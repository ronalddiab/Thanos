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E32" i="47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G174" i="14"/>
  <c r="G173"/>
  <c r="E50" i="13"/>
  <c r="E51"/>
  <c r="E52"/>
  <c r="E53"/>
  <c r="E54"/>
  <c r="E55"/>
  <c r="E56"/>
  <c r="E57"/>
  <c r="E58"/>
  <c r="G162" i="12" l="1"/>
  <c r="G163"/>
  <c r="G164"/>
  <c r="G170"/>
  <c r="G171"/>
  <c r="G172"/>
  <c r="E162"/>
  <c r="E163"/>
  <c r="E164"/>
  <c r="E165"/>
  <c r="G165" s="1"/>
  <c r="E166"/>
  <c r="G166" s="1"/>
  <c r="E167"/>
  <c r="G167" s="1"/>
  <c r="E168"/>
  <c r="G168" s="1"/>
  <c r="E169"/>
  <c r="G169" s="1"/>
  <c r="E170"/>
  <c r="E171"/>
  <c r="E172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AZ34" i="1"/>
  <c r="AS34"/>
  <c r="E162" i="43"/>
  <c r="E163"/>
  <c r="E164"/>
  <c r="E165"/>
  <c r="E166"/>
  <c r="E167"/>
  <c r="E168"/>
  <c r="E169"/>
  <c r="E170"/>
  <c r="E171"/>
  <c r="E172"/>
  <c r="E10"/>
  <c r="E11"/>
  <c r="E12"/>
  <c r="E98" i="27"/>
  <c r="E135"/>
  <c r="G135" s="1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H91" s="1"/>
  <c r="E91" i="25"/>
  <c r="G91" s="1"/>
  <c r="H91" s="1"/>
  <c r="E91" i="40"/>
  <c r="G91" s="1"/>
  <c r="H91" s="1"/>
  <c r="E91" i="27"/>
  <c r="G91" s="1"/>
  <c r="H91" s="1"/>
  <c r="E91" i="28"/>
  <c r="G91" s="1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i="8" l="1"/>
  <c r="J91" s="1"/>
  <c r="H91" i="22"/>
  <c r="J91" s="1"/>
  <c r="E10" i="40"/>
  <c r="E135" i="25"/>
  <c r="E134"/>
  <c r="G174" i="21"/>
  <c r="G174" i="20"/>
  <c r="E45" i="11"/>
  <c r="E46"/>
  <c r="E105"/>
  <c r="G2" i="48"/>
  <c r="E93" i="9"/>
  <c r="E83"/>
  <c r="H114" i="3"/>
  <c r="H114" i="4" s="1"/>
  <c r="H114" i="5" s="1"/>
  <c r="H109" i="3"/>
  <c r="H109" i="4" s="1"/>
  <c r="H109" i="5" s="1"/>
  <c r="H91" i="23" l="1"/>
  <c r="J91" s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73" i="25"/>
  <c r="E74"/>
  <c r="E75"/>
  <c r="E76"/>
  <c r="E77"/>
  <c r="E78"/>
  <c r="E79"/>
  <c r="E80"/>
  <c r="E81"/>
  <c r="E82"/>
  <c r="E83"/>
  <c r="E84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E166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90" i="28" l="1"/>
  <c r="E74" i="27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E166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7" i="28"/>
  <c r="E108"/>
  <c r="E109"/>
  <c r="E110"/>
  <c r="E111"/>
  <c r="E112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AC32" i="49" s="1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H88" i="43" l="1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F8" s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G9" i="12" l="1"/>
  <c r="F8" i="16"/>
  <c r="E8" i="17" s="1"/>
  <c r="F8" s="1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C19" i="44" s="1"/>
  <c r="J86" i="7"/>
  <c r="H86" i="8"/>
  <c r="J86" s="1"/>
  <c r="E101" i="33"/>
  <c r="E97" l="1"/>
  <c r="E8"/>
  <c r="G8" l="1"/>
  <c r="C9" i="44" s="1"/>
  <c r="E8" i="7"/>
  <c r="G8" s="1"/>
  <c r="C10" i="44" s="1"/>
  <c r="E29" i="43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F8" s="1"/>
  <c r="E8" i="19" s="1"/>
  <c r="F8" s="1"/>
  <c r="E8" i="20" s="1"/>
  <c r="F8" s="1"/>
  <c r="E8" i="21" s="1"/>
  <c r="F8" s="1"/>
  <c r="E8" i="22" s="1"/>
  <c r="F8" s="1"/>
  <c r="E8" i="23" s="1"/>
  <c r="F8" s="1"/>
  <c r="E8" i="24" s="1"/>
  <c r="F8" s="1"/>
  <c r="E8" i="25" s="1"/>
  <c r="F8" s="1"/>
  <c r="E8" i="40" s="1"/>
  <c r="F8" s="1"/>
  <c r="E8" i="27" s="1"/>
  <c r="F8" s="1"/>
  <c r="E8" i="28" s="1"/>
  <c r="K8" i="17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7" i="13"/>
  <c r="F8" i="28" l="1"/>
  <c r="E8" i="29" s="1"/>
  <c r="G7" i="13"/>
  <c r="B16" i="44" s="1"/>
  <c r="G8" i="24"/>
  <c r="C27" i="44" s="1"/>
  <c r="L15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F8" i="29" l="1"/>
  <c r="E8" i="30" s="1"/>
  <c r="F8" s="1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E8" i="43" l="1"/>
  <c r="F8" s="1"/>
  <c r="G8" s="1"/>
  <c r="C34" i="44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H32" i="1" l="1"/>
  <c r="C33" i="44"/>
  <c r="N8" i="43"/>
  <c r="E8" i="31"/>
  <c r="F8" s="1"/>
  <c r="G8" s="1"/>
  <c r="H33" i="1"/>
  <c r="K33" s="1"/>
  <c r="G33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J115" i="31"/>
  <c r="H115" i="22"/>
  <c r="J115" s="1"/>
  <c r="J115" i="21"/>
  <c r="H115" i="33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G8" i="8" l="1"/>
  <c r="C11" i="44" s="1"/>
  <c r="E8" i="10"/>
  <c r="G8" i="9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9"/>
  <c r="K9" s="1"/>
  <c r="H8"/>
  <c r="K8" s="1"/>
  <c r="H7"/>
  <c r="K7" s="1"/>
  <c r="H6"/>
  <c r="K6" s="1"/>
  <c r="H5"/>
  <c r="K5" s="1"/>
  <c r="H10" l="1"/>
  <c r="K10" s="1"/>
  <c r="E27" i="8"/>
  <c r="G27" s="1"/>
  <c r="E8" i="11"/>
  <c r="G8" s="1"/>
  <c r="G8" i="10"/>
  <c r="C12" i="44"/>
  <c r="E27" i="9"/>
  <c r="G27" s="1"/>
  <c r="H11" i="1"/>
  <c r="K11" s="1"/>
  <c r="H115" i="8"/>
  <c r="J115" i="7"/>
  <c r="K4" i="1"/>
  <c r="G27" i="13"/>
  <c r="G27" i="30"/>
  <c r="M10" i="29"/>
  <c r="I7"/>
  <c r="C14" i="44" l="1"/>
  <c r="E27" i="11"/>
  <c r="G27" s="1"/>
  <c r="H13" i="1"/>
  <c r="K13" s="1"/>
  <c r="C13" i="44"/>
  <c r="E27" i="10"/>
  <c r="G27" s="1"/>
  <c r="H12" i="1"/>
  <c r="K12" s="1"/>
  <c r="J115" i="8"/>
  <c r="H115" i="9"/>
  <c r="N7" i="28"/>
  <c r="K35" i="1" l="1"/>
  <c r="H35"/>
  <c r="C36" i="44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50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173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0"/>
  <c r="G10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0"/>
  <c r="G10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5" i="14" l="1"/>
  <c r="D17" i="44" s="1"/>
  <c r="E15" i="15"/>
  <c r="F15" s="1"/>
  <c r="E15" i="7"/>
  <c r="E9"/>
  <c r="G9" s="1"/>
  <c r="G13" s="1"/>
  <c r="E7" i="8"/>
  <c r="G7" i="14"/>
  <c r="F9" i="15"/>
  <c r="E9" i="16" s="1"/>
  <c r="J33" i="44"/>
  <c r="I30" i="49" s="1"/>
  <c r="AC29" i="1"/>
  <c r="AE29" s="1"/>
  <c r="F144" i="27"/>
  <c r="BF33" i="1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G11" i="12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E12" i="21"/>
  <c r="G12" s="1"/>
  <c r="E12" i="25"/>
  <c r="G12" s="1"/>
  <c r="E12" i="29"/>
  <c r="G12" s="1"/>
  <c r="E12" i="15"/>
  <c r="G12" s="1"/>
  <c r="E12" i="27"/>
  <c r="G12" s="1"/>
  <c r="G12" i="43"/>
  <c r="E12" i="23"/>
  <c r="G12" s="1"/>
  <c r="G12" i="12"/>
  <c r="E12" i="16"/>
  <c r="G12" s="1"/>
  <c r="E12" i="20"/>
  <c r="G12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Z5" s="1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I7" i="1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I14" i="1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W5"/>
  <c r="E5" i="35"/>
  <c r="G5" s="1"/>
  <c r="AI5" i="1"/>
  <c r="AC5"/>
  <c r="AA5"/>
  <c r="M5" i="35"/>
  <c r="O5" s="1"/>
  <c r="BC5" i="1"/>
  <c r="BB4"/>
  <c r="AX5"/>
  <c r="AV5"/>
  <c r="AT5"/>
  <c r="AZ5"/>
  <c r="I5"/>
  <c r="AI4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H4" i="49" l="1"/>
  <c r="AZ7" i="44"/>
  <c r="BH6" i="49"/>
  <c r="AZ9" i="44"/>
  <c r="BH3" i="49"/>
  <c r="AZ6" i="44"/>
  <c r="BH5" i="49"/>
  <c r="AZ8" i="44"/>
  <c r="AN17"/>
  <c r="BG14" i="49" s="1"/>
  <c r="T24" i="45"/>
  <c r="BD18" i="49" s="1"/>
  <c r="B17" i="44"/>
  <c r="N7" i="14"/>
  <c r="I16" i="1"/>
  <c r="E15" i="16"/>
  <c r="F15" s="1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G144" s="1"/>
  <c r="E15" i="8"/>
  <c r="E7" i="9"/>
  <c r="O7" i="14"/>
  <c r="E7" i="15"/>
  <c r="F9" i="16"/>
  <c r="E9" i="17" s="1"/>
  <c r="F9" s="1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I8" i="1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O16" i="1"/>
  <c r="I25" i="4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G173" i="15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I15" i="1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S10" i="1" l="1"/>
  <c r="R10"/>
  <c r="AT17" i="44"/>
  <c r="BM14" i="49" s="1"/>
  <c r="G129" i="15"/>
  <c r="BN16" i="1"/>
  <c r="BM16"/>
  <c r="BL16"/>
  <c r="E15" i="17"/>
  <c r="F15" s="1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52" s="1"/>
  <c r="G152" i="7"/>
  <c r="G148"/>
  <c r="G150"/>
  <c r="B10" i="44"/>
  <c r="I9" i="1"/>
  <c r="G154" i="7"/>
  <c r="D19" i="44"/>
  <c r="AN19"/>
  <c r="G129" i="16"/>
  <c r="E28"/>
  <c r="G28" s="1"/>
  <c r="G32" s="1"/>
  <c r="M18" i="1"/>
  <c r="G15" i="7"/>
  <c r="E15" i="9"/>
  <c r="G15" i="8"/>
  <c r="B11" i="44"/>
  <c r="E7" i="10"/>
  <c r="F7" i="15"/>
  <c r="E7" i="16" s="1"/>
  <c r="G148" i="8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BO16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BA18" i="44" l="1"/>
  <c r="G15" i="47"/>
  <c r="O17" i="1"/>
  <c r="BO17" s="1"/>
  <c r="G7" i="15"/>
  <c r="G152" s="1"/>
  <c r="G146" i="8"/>
  <c r="I10" i="1"/>
  <c r="L10" s="1"/>
  <c r="G150" i="8"/>
  <c r="G7" i="9"/>
  <c r="G144" s="1"/>
  <c r="I59" i="8"/>
  <c r="G144"/>
  <c r="G6" i="47"/>
  <c r="M6" s="1"/>
  <c r="O8" i="1"/>
  <c r="BO8" s="1"/>
  <c r="BG6" i="49"/>
  <c r="AT9" i="44"/>
  <c r="BM6" i="49" s="1"/>
  <c r="G154" i="8"/>
  <c r="I13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F15" i="18"/>
  <c r="E15" i="19" s="1"/>
  <c r="D10" i="44"/>
  <c r="E28" i="7"/>
  <c r="G28" s="1"/>
  <c r="G32" s="1"/>
  <c r="AN10" i="44"/>
  <c r="M9" i="1"/>
  <c r="G129" i="7"/>
  <c r="G15" i="17"/>
  <c r="B18" i="44"/>
  <c r="G146" i="15"/>
  <c r="F7" i="16"/>
  <c r="E7" i="17" s="1"/>
  <c r="F7" s="1"/>
  <c r="F9" i="18"/>
  <c r="E9" i="19" s="1"/>
  <c r="F9" s="1"/>
  <c r="B12" i="44"/>
  <c r="I11" i="1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154" i="15" l="1"/>
  <c r="I17" i="1"/>
  <c r="L17" s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15" i="11"/>
  <c r="D20" i="44"/>
  <c r="E28" i="17"/>
  <c r="G28" s="1"/>
  <c r="G32" s="1"/>
  <c r="M19" i="1"/>
  <c r="AN20" i="44"/>
  <c r="G129" i="17"/>
  <c r="H129" s="1"/>
  <c r="J129" s="1"/>
  <c r="BO18" i="1"/>
  <c r="BO36" s="1"/>
  <c r="F15" i="19"/>
  <c r="E15" i="20" s="1"/>
  <c r="F15" s="1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BL17"/>
  <c r="G9" i="18"/>
  <c r="G13" s="1"/>
  <c r="G7" i="16"/>
  <c r="E9" i="20"/>
  <c r="G9" i="19"/>
  <c r="G13" s="1"/>
  <c r="K7" i="17"/>
  <c r="E7" i="18"/>
  <c r="F7" s="1"/>
  <c r="G7" i="17"/>
  <c r="L11" i="1"/>
  <c r="BL11"/>
  <c r="BN11"/>
  <c r="BM11"/>
  <c r="G7" i="11"/>
  <c r="G7" i="10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BM17" i="1" l="1"/>
  <c r="BN17"/>
  <c r="M15" i="47"/>
  <c r="AN21" i="44"/>
  <c r="BG18" i="49" s="1"/>
  <c r="M20" i="1"/>
  <c r="O20" s="1"/>
  <c r="B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BO11" s="1"/>
  <c r="M8" i="47"/>
  <c r="E28" i="9"/>
  <c r="G28" s="1"/>
  <c r="G32" s="1"/>
  <c r="AN12" i="44"/>
  <c r="AT12" s="1"/>
  <c r="BM9" i="49" s="1"/>
  <c r="D12" i="44"/>
  <c r="E15" i="21"/>
  <c r="G15" i="20"/>
  <c r="E15" i="12"/>
  <c r="G129" i="19"/>
  <c r="AN22" i="44"/>
  <c r="M21" i="1"/>
  <c r="BM7" i="49"/>
  <c r="G17" i="47"/>
  <c r="O19" i="1"/>
  <c r="BO19" s="1"/>
  <c r="E28" i="10"/>
  <c r="G28" s="1"/>
  <c r="G32" s="1"/>
  <c r="M12" i="1"/>
  <c r="BO9"/>
  <c r="BG17" i="49"/>
  <c r="AT20" i="44"/>
  <c r="B14"/>
  <c r="I13" i="1"/>
  <c r="G146" i="11"/>
  <c r="G148"/>
  <c r="G152"/>
  <c r="G154"/>
  <c r="G150"/>
  <c r="G144"/>
  <c r="I13"/>
  <c r="I59"/>
  <c r="E7" i="19"/>
  <c r="F7" s="1"/>
  <c r="G7" i="18"/>
  <c r="I13" s="1"/>
  <c r="B13" i="44"/>
  <c r="G146" i="10"/>
  <c r="G144"/>
  <c r="G154"/>
  <c r="I13"/>
  <c r="G150"/>
  <c r="G152"/>
  <c r="G148"/>
  <c r="I59"/>
  <c r="I12" i="1"/>
  <c r="B20" i="44"/>
  <c r="I19" i="1"/>
  <c r="G146" i="17"/>
  <c r="G144"/>
  <c r="G148"/>
  <c r="G150"/>
  <c r="G152"/>
  <c r="G154"/>
  <c r="I59"/>
  <c r="I13"/>
  <c r="I60" i="18"/>
  <c r="I60" i="19"/>
  <c r="B19" i="44"/>
  <c r="I18" i="1"/>
  <c r="G150" i="16"/>
  <c r="G148"/>
  <c r="G152"/>
  <c r="G146"/>
  <c r="G144"/>
  <c r="G154"/>
  <c r="I59"/>
  <c r="I13"/>
  <c r="F9" i="20"/>
  <c r="E9" i="21" s="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D13" i="44" l="1"/>
  <c r="G129" i="10"/>
  <c r="G18" i="47"/>
  <c r="AT21" i="44"/>
  <c r="BA21" s="1"/>
  <c r="H129" i="19"/>
  <c r="J129" s="1"/>
  <c r="D22" i="44"/>
  <c r="G9" i="47"/>
  <c r="M9" s="1"/>
  <c r="G15" i="11"/>
  <c r="E28" s="1"/>
  <c r="G28" s="1"/>
  <c r="G32" s="1"/>
  <c r="G9" i="20"/>
  <c r="G13" s="1"/>
  <c r="I60" s="1"/>
  <c r="BG9" i="49"/>
  <c r="F15" i="21"/>
  <c r="E15" i="22" s="1"/>
  <c r="BG19" i="49"/>
  <c r="AT22" i="44"/>
  <c r="D23"/>
  <c r="AN23"/>
  <c r="M22" i="1"/>
  <c r="E28" i="20"/>
  <c r="G28" s="1"/>
  <c r="G32" s="1"/>
  <c r="G129"/>
  <c r="H129" s="1"/>
  <c r="J129" s="1"/>
  <c r="G19" i="47"/>
  <c r="O21" i="1"/>
  <c r="BO21" s="1"/>
  <c r="D14" i="44"/>
  <c r="AN14"/>
  <c r="E15" i="13"/>
  <c r="G15" s="1"/>
  <c r="G10" i="47"/>
  <c r="O12" i="1"/>
  <c r="BM17" i="49"/>
  <c r="BA20" i="44"/>
  <c r="BG10" i="49"/>
  <c r="AT13" i="44"/>
  <c r="BM10" i="49" s="1"/>
  <c r="BM13" i="1"/>
  <c r="L13"/>
  <c r="BN13"/>
  <c r="BL13"/>
  <c r="E7" i="20"/>
  <c r="F7" s="1"/>
  <c r="G7" i="19"/>
  <c r="B21" i="44"/>
  <c r="G144" i="18"/>
  <c r="I20" i="1"/>
  <c r="G150" i="18"/>
  <c r="G154"/>
  <c r="G152"/>
  <c r="G148"/>
  <c r="G146"/>
  <c r="I59"/>
  <c r="M16" i="47"/>
  <c r="BM18" i="1"/>
  <c r="BM36" s="1"/>
  <c r="BN18"/>
  <c r="L18"/>
  <c r="L36" s="1"/>
  <c r="BL18"/>
  <c r="BL36" s="1"/>
  <c r="I36"/>
  <c r="M10" i="47"/>
  <c r="BL12" i="1"/>
  <c r="L12"/>
  <c r="BM12"/>
  <c r="BN12"/>
  <c r="F9" i="21"/>
  <c r="E9" i="22" s="1"/>
  <c r="M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BM18" i="49" l="1"/>
  <c r="G15" i="21"/>
  <c r="AN24" i="44" s="1"/>
  <c r="G129" i="11"/>
  <c r="M13" i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F15" i="22"/>
  <c r="E15" i="23" s="1"/>
  <c r="BM19" i="49"/>
  <c r="BA22" i="44"/>
  <c r="BG11" i="49"/>
  <c r="AT14" i="44"/>
  <c r="BG20" i="49"/>
  <c r="AT23" i="44"/>
  <c r="G20" i="47"/>
  <c r="O22" i="1"/>
  <c r="BO22" s="1"/>
  <c r="BO12"/>
  <c r="G11" i="47"/>
  <c r="M11" s="1"/>
  <c r="O13" i="1"/>
  <c r="BO13" s="1"/>
  <c r="M18" i="47"/>
  <c r="L20" i="1"/>
  <c r="BN20"/>
  <c r="BM20"/>
  <c r="BL20"/>
  <c r="E7" i="21"/>
  <c r="G7" i="20"/>
  <c r="F9" i="22"/>
  <c r="E9" i="23" s="1"/>
  <c r="B22" i="44"/>
  <c r="G152" i="19"/>
  <c r="G146"/>
  <c r="G150"/>
  <c r="I21" i="1"/>
  <c r="G154" i="19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E28" i="21" l="1"/>
  <c r="G28" s="1"/>
  <c r="G32" s="1"/>
  <c r="M23" i="1"/>
  <c r="O23" s="1"/>
  <c r="B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F15" i="23"/>
  <c r="E15" i="24" s="1"/>
  <c r="BM11" i="49"/>
  <c r="G13" i="47"/>
  <c r="M13" s="1"/>
  <c r="O15" i="1"/>
  <c r="BO15" s="1"/>
  <c r="BM20" i="49"/>
  <c r="BA23" i="44"/>
  <c r="BG13" i="49"/>
  <c r="AT16" i="44"/>
  <c r="BM13" i="49" s="1"/>
  <c r="B23" i="44"/>
  <c r="I22" i="1"/>
  <c r="G148" i="20"/>
  <c r="G152"/>
  <c r="G154"/>
  <c r="G144"/>
  <c r="G150"/>
  <c r="G146"/>
  <c r="I59"/>
  <c r="I13"/>
  <c r="G9" i="22"/>
  <c r="G13" s="1"/>
  <c r="F9" i="23"/>
  <c r="E9" i="24" s="1"/>
  <c r="F9" s="1"/>
  <c r="M19" i="47"/>
  <c r="BN21" i="1"/>
  <c r="L21"/>
  <c r="BM21"/>
  <c r="BL21"/>
  <c r="F7" i="21"/>
  <c r="E7" i="22" s="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G21" i="47" l="1"/>
  <c r="AN25" i="44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F15" i="24"/>
  <c r="E15" i="25" s="1"/>
  <c r="G22" i="47"/>
  <c r="O24" i="1"/>
  <c r="BO24" s="1"/>
  <c r="M20" i="47"/>
  <c r="L22" i="1"/>
  <c r="BM22"/>
  <c r="BL22"/>
  <c r="BN22"/>
  <c r="I60" i="22"/>
  <c r="G7" i="21"/>
  <c r="F7" i="22"/>
  <c r="E7" i="23" s="1"/>
  <c r="F7" s="1"/>
  <c r="E9" i="25"/>
  <c r="F9" s="1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T25" i="44" l="1"/>
  <c r="BA25" s="1"/>
  <c r="G7" i="22"/>
  <c r="L7" s="1"/>
  <c r="D26" i="44"/>
  <c r="G129" i="23"/>
  <c r="H129" s="1"/>
  <c r="J129" s="1"/>
  <c r="E28"/>
  <c r="G28" s="1"/>
  <c r="G32" s="1"/>
  <c r="AN26" i="44"/>
  <c r="AT26" s="1"/>
  <c r="J28" i="12"/>
  <c r="G15" i="24"/>
  <c r="F15" i="25"/>
  <c r="E15" i="40" s="1"/>
  <c r="G23" i="47"/>
  <c r="O25" i="1"/>
  <c r="BO25" s="1"/>
  <c r="E7" i="24"/>
  <c r="F7" s="1"/>
  <c r="G7" i="23"/>
  <c r="E9" i="40"/>
  <c r="F9" s="1"/>
  <c r="G9" i="25"/>
  <c r="G13" s="1"/>
  <c r="I60" s="1"/>
  <c r="I60" i="24"/>
  <c r="B24" i="44"/>
  <c r="I23" i="1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M22" i="49" l="1"/>
  <c r="BG23"/>
  <c r="G15" i="25"/>
  <c r="G129" s="1"/>
  <c r="I24" i="1"/>
  <c r="M22" i="47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F15" i="40"/>
  <c r="E15" i="27" s="1"/>
  <c r="BM23" i="49"/>
  <c r="BA26" i="44"/>
  <c r="M21" i="47"/>
  <c r="BM23" i="1"/>
  <c r="L23"/>
  <c r="BL23"/>
  <c r="BN23"/>
  <c r="E7" i="25"/>
  <c r="G7" i="24"/>
  <c r="B26" i="44"/>
  <c r="I25" i="1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H31" i="16" s="1"/>
  <c r="H31" i="17" s="1"/>
  <c r="H31" i="18" s="1"/>
  <c r="H31" i="19" s="1"/>
  <c r="H31" i="20" s="1"/>
  <c r="J31" i="14"/>
  <c r="E28" i="25"/>
  <c r="G28" s="1"/>
  <c r="G32" s="1"/>
  <c r="D28" i="44"/>
  <c r="G15" i="40"/>
  <c r="E28" s="1"/>
  <c r="G28" s="1"/>
  <c r="G32" s="1"/>
  <c r="AN28" i="44"/>
  <c r="M27" i="1"/>
  <c r="O27" s="1"/>
  <c r="BO27" s="1"/>
  <c r="L24"/>
  <c r="BN24"/>
  <c r="BL24"/>
  <c r="BM24"/>
  <c r="G24" i="47"/>
  <c r="O26" i="1"/>
  <c r="BO26" s="1"/>
  <c r="G25" i="47"/>
  <c r="F15" i="27"/>
  <c r="E15" i="28" s="1"/>
  <c r="H129" i="25"/>
  <c r="J129" s="1"/>
  <c r="BG25" i="49"/>
  <c r="AT28" i="44"/>
  <c r="BG24" i="49"/>
  <c r="AT27" i="44"/>
  <c r="M23" i="47"/>
  <c r="BN25" i="1"/>
  <c r="BL25"/>
  <c r="BM25"/>
  <c r="L25"/>
  <c r="F7" i="25"/>
  <c r="E7" i="40" s="1"/>
  <c r="F7" s="1"/>
  <c r="F9" i="27"/>
  <c r="E9" i="28" s="1"/>
  <c r="B27" i="44"/>
  <c r="I26" i="1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AN29" i="44" l="1"/>
  <c r="AT29" s="1"/>
  <c r="J31" i="15"/>
  <c r="G129" i="40"/>
  <c r="H129" s="1"/>
  <c r="J129" s="1"/>
  <c r="M28" i="1"/>
  <c r="D29" i="44"/>
  <c r="G7" i="25"/>
  <c r="B28" i="44" s="1"/>
  <c r="G15" i="27"/>
  <c r="AN30" i="44" s="1"/>
  <c r="BM24" i="49"/>
  <c r="BA27" i="44"/>
  <c r="F15" i="28"/>
  <c r="E15" i="29" s="1"/>
  <c r="G26" i="47"/>
  <c r="O28" i="1"/>
  <c r="BO28" s="1"/>
  <c r="BM25" i="49"/>
  <c r="BA28" i="44"/>
  <c r="F9" i="28"/>
  <c r="E9" i="29" s="1"/>
  <c r="F9" s="1"/>
  <c r="M24" i="47"/>
  <c r="L26" i="1"/>
  <c r="BN26"/>
  <c r="BM26"/>
  <c r="BL26"/>
  <c r="E7" i="27"/>
  <c r="F7" s="1"/>
  <c r="G7" i="40"/>
  <c r="G9" i="27"/>
  <c r="G13" s="1"/>
  <c r="J31" i="20"/>
  <c r="H31" i="2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BG26" i="49" l="1"/>
  <c r="E28" i="27"/>
  <c r="G28" s="1"/>
  <c r="G32" s="1"/>
  <c r="I13" i="25"/>
  <c r="G154"/>
  <c r="G146"/>
  <c r="D30" i="44"/>
  <c r="G148" i="25"/>
  <c r="G150"/>
  <c r="M29" i="1"/>
  <c r="G27" i="47" s="1"/>
  <c r="G144" i="25"/>
  <c r="I59"/>
  <c r="G129" i="27"/>
  <c r="H129" s="1"/>
  <c r="J129" s="1"/>
  <c r="G152" i="25"/>
  <c r="I27" i="1"/>
  <c r="M25" i="47" s="1"/>
  <c r="G15" i="28"/>
  <c r="E28" s="1"/>
  <c r="G28" s="1"/>
  <c r="G32" s="1"/>
  <c r="F15" i="29"/>
  <c r="E15" i="30" s="1"/>
  <c r="BG27" i="49"/>
  <c r="AT30" i="44"/>
  <c r="BM26" i="49"/>
  <c r="BA29" i="44"/>
  <c r="G9" i="28"/>
  <c r="G13" s="1"/>
  <c r="E7"/>
  <c r="F7" s="1"/>
  <c r="G7" i="27"/>
  <c r="I13" s="1"/>
  <c r="E9" i="30"/>
  <c r="G9" i="29"/>
  <c r="G13" s="1"/>
  <c r="B29" i="44"/>
  <c r="I28" i="1"/>
  <c r="N7" i="40"/>
  <c r="N11" s="1"/>
  <c r="G144"/>
  <c r="G146"/>
  <c r="G150"/>
  <c r="G154"/>
  <c r="G152"/>
  <c r="G148"/>
  <c r="I59"/>
  <c r="I13"/>
  <c r="I60" i="27"/>
  <c r="J31" i="21"/>
  <c r="H31" i="22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O29" i="1" l="1"/>
  <c r="BO29" s="1"/>
  <c r="D31" i="44"/>
  <c r="G129" i="28"/>
  <c r="H129" s="1"/>
  <c r="J129" s="1"/>
  <c r="BL27" i="1"/>
  <c r="BN27"/>
  <c r="AN31" i="44"/>
  <c r="AT31" s="1"/>
  <c r="L27" i="1"/>
  <c r="M30"/>
  <c r="O30" s="1"/>
  <c r="BO30" s="1"/>
  <c r="BM27"/>
  <c r="G15" i="29"/>
  <c r="D32" i="44" s="1"/>
  <c r="F15" i="30"/>
  <c r="G15" s="1"/>
  <c r="G28" i="47"/>
  <c r="BM27" i="49"/>
  <c r="BA30" i="44"/>
  <c r="I60" i="28"/>
  <c r="E7" i="29"/>
  <c r="G7" i="28"/>
  <c r="I13" s="1"/>
  <c r="B30" i="44"/>
  <c r="I29" i="1"/>
  <c r="G146" i="27"/>
  <c r="G150"/>
  <c r="G152"/>
  <c r="G144"/>
  <c r="G154"/>
  <c r="G148"/>
  <c r="I59"/>
  <c r="F9" i="30"/>
  <c r="G9" s="1"/>
  <c r="G13" s="1"/>
  <c r="I60" i="29"/>
  <c r="M26" i="47"/>
  <c r="BN28" i="1"/>
  <c r="BL28"/>
  <c r="BM28"/>
  <c r="L28"/>
  <c r="J31" i="22"/>
  <c r="H31" i="23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G129" i="29" l="1"/>
  <c r="M31" i="1"/>
  <c r="O31" s="1"/>
  <c r="BO31" s="1"/>
  <c r="BG28" i="49"/>
  <c r="E28" i="29"/>
  <c r="G28" s="1"/>
  <c r="G32" s="1"/>
  <c r="AN32" i="44"/>
  <c r="AT32" s="1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F7" i="29"/>
  <c r="E7" i="30" s="1"/>
  <c r="F7" s="1"/>
  <c r="B31" i="44"/>
  <c r="I30" i="1"/>
  <c r="G144" i="28"/>
  <c r="G148"/>
  <c r="G150"/>
  <c r="G154"/>
  <c r="G146"/>
  <c r="G152"/>
  <c r="I59"/>
  <c r="I60" i="30"/>
  <c r="M27" i="47"/>
  <c r="BL29" i="1"/>
  <c r="BM29"/>
  <c r="BN29"/>
  <c r="L29"/>
  <c r="E9" i="43"/>
  <c r="F9" s="1"/>
  <c r="E9" i="42"/>
  <c r="G9" s="1"/>
  <c r="G13" s="1"/>
  <c r="I59" s="1"/>
  <c r="J31" i="23"/>
  <c r="H31" i="24"/>
  <c r="H31" i="25" s="1"/>
  <c r="H31" i="40" s="1"/>
  <c r="H31" i="27" s="1"/>
  <c r="H31" i="28" s="1"/>
  <c r="H31" i="29" s="1"/>
  <c r="H31" i="30" s="1"/>
  <c r="H31" i="43" s="1"/>
  <c r="J153" i="17"/>
  <c r="H153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9" i="47" l="1"/>
  <c r="G7" i="29"/>
  <c r="G146" s="1"/>
  <c r="BG29" i="49"/>
  <c r="G30" i="47"/>
  <c r="O32" i="1"/>
  <c r="BO32" s="1"/>
  <c r="BG30" i="49"/>
  <c r="AT33" i="44"/>
  <c r="F15" i="43"/>
  <c r="N15" s="1"/>
  <c r="BM29" i="49"/>
  <c r="BA32" i="44"/>
  <c r="G7" i="30"/>
  <c r="E7" i="42"/>
  <c r="G7" s="1"/>
  <c r="E7" i="43"/>
  <c r="F7" s="1"/>
  <c r="N9"/>
  <c r="E9" i="31"/>
  <c r="F9" s="1"/>
  <c r="G9" i="43"/>
  <c r="G13" s="1"/>
  <c r="I60" s="1"/>
  <c r="M28" i="47"/>
  <c r="BM30" i="1"/>
  <c r="L30"/>
  <c r="BN30"/>
  <c r="BL30"/>
  <c r="J31" i="43"/>
  <c r="H31" i="31"/>
  <c r="J31" s="1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B32" i="44" l="1"/>
  <c r="G150" i="29"/>
  <c r="I59"/>
  <c r="I13"/>
  <c r="G148"/>
  <c r="G152"/>
  <c r="I31" i="1"/>
  <c r="BL31" s="1"/>
  <c r="G154" i="29"/>
  <c r="G144"/>
  <c r="BM30" i="49"/>
  <c r="BA33" i="44"/>
  <c r="G15" i="43"/>
  <c r="B33" i="44"/>
  <c r="G152" i="30"/>
  <c r="G146"/>
  <c r="I32" i="1"/>
  <c r="G148" i="30"/>
  <c r="G150"/>
  <c r="G144"/>
  <c r="G154"/>
  <c r="I59"/>
  <c r="I13"/>
  <c r="M29" i="47"/>
  <c r="L31" i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BN31" i="1" l="1"/>
  <c r="BM31"/>
  <c r="M33"/>
  <c r="D34" i="44"/>
  <c r="D36" s="1"/>
  <c r="AN34"/>
  <c r="G129" i="43"/>
  <c r="E28"/>
  <c r="G28" s="1"/>
  <c r="G32" s="1"/>
  <c r="M30" i="47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O33" i="1" l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3" i="1" l="1"/>
  <c r="BO35" s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sharedStrings.xml><?xml version="1.0" encoding="utf-8"?>
<sst xmlns="http://schemas.openxmlformats.org/spreadsheetml/2006/main" count="10352" uniqueCount="376">
  <si>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</si>
  <si>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</si>
  <si>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</si>
  <si>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</si>
  <si>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</si>
  <si>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</si>
  <si>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</si>
  <si>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</si>
  <si>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</si>
  <si>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</si>
  <si>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</si>
  <si>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</si>
  <si>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</si>
  <si>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</si>
  <si>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R.o.plant</t>
  </si>
  <si>
    <t>STP Water Prod</t>
  </si>
  <si>
    <t>Domestic  Zone-1</t>
  </si>
  <si>
    <t>Domestic  Zone-2</t>
  </si>
  <si>
    <t>Domestic  Zone-3</t>
  </si>
  <si>
    <t>Flush Zone -1</t>
  </si>
  <si>
    <t>Flush Zone -2</t>
  </si>
  <si>
    <t>Flush Zone -3</t>
  </si>
  <si>
    <t>Swimming pool</t>
  </si>
  <si>
    <t>B2 Laundry</t>
  </si>
  <si>
    <t>Boiler Feed Water</t>
  </si>
  <si>
    <t>cooling tower filling water</t>
  </si>
  <si>
    <t>STP flush(new water meter)</t>
  </si>
  <si>
    <t>Garden Water Pump</t>
  </si>
  <si>
    <t>Flush Zone 2 pump meter</t>
  </si>
  <si>
    <t>Flush Zone 3 Pump Meter (wtp transfer )</t>
  </si>
  <si>
    <t>Flush Tanker-Zone-1</t>
  </si>
  <si>
    <t>Total Domestic Water (Tanker (R.O) +BMC)</t>
  </si>
  <si>
    <t>Total Domestic Consumption</t>
  </si>
  <si>
    <t>Total STP Consumption</t>
  </si>
  <si>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</si>
  <si>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</si>
  <si>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</si>
  <si>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</si>
  <si>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</si>
  <si>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</si>
  <si>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</si>
  <si>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</si>
  <si>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</si>
  <si>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</si>
  <si>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</si>
  <si>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</si>
  <si>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</si>
  <si>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</si>
  <si>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</si>
  <si>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</si>
  <si>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</si>
  <si>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</si>
  <si>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</si>
  <si>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</si>
  <si>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</si>
  <si>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</si>
  <si>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</si>
  <si>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</si>
  <si>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</si>
  <si>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</si>
  <si>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</si>
  <si>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</si>
  <si>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</si>
  <si>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</si>
  <si>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</si>
  <si>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</si>
  <si>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</si>
  <si>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</si>
  <si>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</si>
  <si>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</si>
  <si>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</si>
  <si>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</si>
  <si>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</si>
  <si>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</si>
  <si>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</si>
  <si>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</si>
  <si>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</si>
  <si>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</si>
  <si>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</si>
  <si>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</si>
  <si>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</si>
  <si>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</si>
  <si>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</si>
  <si>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</si>
  <si>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</si>
  <si>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</si>
  <si>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</si>
  <si>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</si>
  <si>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</si>
  <si>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</si>
  <si>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</si>
  <si>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</si>
  <si>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</si>
  <si>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</si>
  <si>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</si>
  <si>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</si>
  <si>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</si>
  <si>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</si>
  <si>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</si>
  <si>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</si>
  <si>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</si>
  <si>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</si>
  <si>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 xml:space="preserve">Total </t>
  </si>
  <si>
    <t>Guest complaint</t>
  </si>
  <si>
    <t>Hotel Occupancy Occ%</t>
  </si>
  <si>
    <t>Room Nights</t>
  </si>
  <si>
    <t>Comp Night</t>
  </si>
  <si>
    <t>Cummulative %</t>
  </si>
  <si>
    <t xml:space="preserve">Total Covers Guests </t>
  </si>
  <si>
    <t>Total Room Nights</t>
  </si>
  <si>
    <t>Paid occ %</t>
  </si>
  <si>
    <t>occupancy</t>
  </si>
  <si>
    <t>Tanker</t>
  </si>
  <si>
    <t>BMC</t>
  </si>
  <si>
    <t>R.O. Plant Production</t>
  </si>
  <si>
    <t>STP Production</t>
  </si>
  <si>
    <t>Domestic Water</t>
  </si>
  <si>
    <t>Flushing Water</t>
  </si>
  <si>
    <t>Branches ( Domestic water )</t>
  </si>
  <si>
    <t>Pool</t>
  </si>
  <si>
    <t>Branches ( STP Water )</t>
  </si>
  <si>
    <t>CT  water</t>
  </si>
  <si>
    <t>STP flush</t>
  </si>
  <si>
    <t xml:space="preserve">Garden </t>
  </si>
  <si>
    <t>Total Tanke(RO) + BMC</t>
  </si>
  <si>
    <t>Domestic consumption</t>
  </si>
  <si>
    <t>STP +Flush Consumption</t>
  </si>
  <si>
    <t>BOH</t>
  </si>
  <si>
    <t>Guest Floor</t>
  </si>
  <si>
    <t xml:space="preserve">Guest floor% </t>
  </si>
  <si>
    <t>Transformer -Load</t>
  </si>
  <si>
    <t xml:space="preserve">Electrical </t>
  </si>
  <si>
    <t>Boiler Running</t>
  </si>
  <si>
    <t>Gas consumption</t>
  </si>
  <si>
    <t>Boiler Running Hours</t>
  </si>
  <si>
    <t>HT Kwh</t>
  </si>
  <si>
    <t>HT Kvah</t>
  </si>
  <si>
    <t>MGL Gas</t>
  </si>
  <si>
    <t xml:space="preserve">Water </t>
  </si>
  <si>
    <t>HVAC</t>
  </si>
  <si>
    <t>Fire &amp; Emergency PP</t>
  </si>
  <si>
    <t>Main PP</t>
  </si>
  <si>
    <t>Lighting PP</t>
  </si>
  <si>
    <t>CH-1+ CH2+CH3+CH4</t>
  </si>
  <si>
    <t>MK-1</t>
  </si>
  <si>
    <t>MK-2</t>
  </si>
  <si>
    <t>Prato</t>
  </si>
  <si>
    <t>San- Qi Indian</t>
  </si>
  <si>
    <t>San- Qi Japanese</t>
  </si>
  <si>
    <t>The club</t>
  </si>
  <si>
    <t>AER</t>
  </si>
  <si>
    <t>COLD ROOM'S</t>
  </si>
  <si>
    <t>Ball Room 1</t>
  </si>
  <si>
    <t>Ball Room 2</t>
  </si>
  <si>
    <t>B1 Laundry</t>
  </si>
  <si>
    <t>STP</t>
  </si>
  <si>
    <t>MOCK Up Room</t>
  </si>
  <si>
    <t>27th Floor</t>
  </si>
  <si>
    <t>Physic57</t>
  </si>
  <si>
    <t>Pinoor Legal- Power+lighting</t>
  </si>
  <si>
    <t>2nd floor plant room</t>
  </si>
  <si>
    <t>5th Floor</t>
  </si>
  <si>
    <t>12th Floor</t>
  </si>
  <si>
    <t>20th Floor</t>
  </si>
  <si>
    <t>34th Floor</t>
  </si>
  <si>
    <t>Sanqi</t>
  </si>
  <si>
    <t>Cooling Tower</t>
  </si>
  <si>
    <t>MGL</t>
  </si>
  <si>
    <t>HWG</t>
  </si>
  <si>
    <t>BR-1</t>
  </si>
  <si>
    <t>SanQi IND</t>
  </si>
  <si>
    <t>SanQi JPN</t>
  </si>
  <si>
    <t>Boiler</t>
  </si>
  <si>
    <t>Boiler3 (400Kg)</t>
  </si>
  <si>
    <t>Total</t>
  </si>
  <si>
    <t xml:space="preserve">Average </t>
  </si>
  <si>
    <t>24th Sep</t>
  </si>
  <si>
    <t>Today</t>
  </si>
  <si>
    <t>HWG AVG</t>
  </si>
  <si>
    <t>20 cub extra</t>
  </si>
  <si>
    <t>INR</t>
  </si>
  <si>
    <t>Extra</t>
  </si>
  <si>
    <t xml:space="preserve"> </t>
  </si>
  <si>
    <t xml:space="preserve">Prepaired by- Nilesh 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</si>
  <si>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</si>
  <si>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</si>
  <si>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</si>
  <si>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</si>
  <si>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</si>
  <si>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</si>
  <si>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</si>
  <si>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</si>
  <si>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</si>
  <si>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</si>
  <si>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</si>
  <si>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</si>
  <si>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</si>
  <si>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</si>
  <si>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</si>
  <si>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</si>
  <si>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</si>
  <si>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</si>
  <si>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</si>
  <si>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</si>
  <si>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</si>
  <si>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</si>
  <si>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</si>
  <si>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</si>
  <si>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</si>
  <si>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</si>
  <si>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</si>
  <si>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</si>
  <si>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</si>
  <si>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</si>
  <si>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</si>
  <si>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</si>
  <si>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</si>
  <si>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</si>
  <si>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</si>
  <si>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</si>
  <si>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</si>
  <si>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</si>
  <si>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</si>
  <si>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</si>
  <si>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</si>
  <si>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</si>
  <si>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</si>
  <si>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</si>
  <si>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</si>
  <si>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</si>
  <si>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</si>
  <si>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</si>
  <si>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</si>
  <si>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</si>
  <si>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</si>
  <si>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</si>
  <si>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</si>
  <si>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</si>
  <si>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</si>
  <si>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</si>
  <si>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</si>
  <si>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</si>
  <si>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</si>
  <si>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</si>
  <si>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</si>
  <si>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</si>
  <si>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</si>
  <si>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</si>
  <si>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</si>
  <si>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</si>
  <si>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</si>
  <si>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</si>
  <si>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 xml:space="preserve">2nd floor plant room </t>
  </si>
  <si>
    <t>KWh</t>
  </si>
  <si>
    <t xml:space="preserve">5th floor spa </t>
  </si>
  <si>
    <t xml:space="preserve">20th Floor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</si>
  <si>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</si>
  <si>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</si>
  <si>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</si>
  <si>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</si>
  <si>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</si>
  <si>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</si>
  <si>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</si>
  <si>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</si>
  <si>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</si>
  <si>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</si>
  <si>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</si>
  <si>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 xml:space="preserve">B1 Laundry </t>
  </si>
  <si>
    <t>STP Electrical</t>
  </si>
  <si>
    <t xml:space="preserve">MOCK Up Room </t>
  </si>
  <si>
    <t xml:space="preserve">27th Floor </t>
  </si>
  <si>
    <t>Pinoor Legal- Power</t>
  </si>
  <si>
    <t>Pinoor Legal- Lighting</t>
  </si>
  <si>
    <t>20th Floor Project office</t>
  </si>
  <si>
    <t>WATER</t>
  </si>
  <si>
    <t xml:space="preserve">R.o.plant </t>
  </si>
  <si>
    <t xml:space="preserve">Total water Produce </t>
  </si>
  <si>
    <t xml:space="preserve">Total water consum </t>
  </si>
  <si>
    <t xml:space="preserve">Water Branches </t>
  </si>
  <si>
    <t>Branches</t>
  </si>
  <si>
    <t xml:space="preserve">Flushing Water 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</si>
  <si>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</si>
  <si>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</si>
  <si>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</si>
  <si>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</si>
  <si>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</si>
  <si>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</si>
  <si>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</si>
  <si>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</si>
  <si>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</si>
  <si>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</si>
  <si>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</si>
  <si>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</si>
  <si>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</si>
  <si>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</si>
  <si>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</si>
  <si>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</si>
  <si>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</si>
  <si>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</si>
  <si>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</si>
  <si>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</si>
  <si>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</si>
  <si>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</si>
  <si>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</si>
  <si>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</si>
  <si>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</si>
  <si>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</si>
  <si>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</si>
  <si>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</si>
  <si>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</si>
  <si>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</si>
  <si>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</si>
  <si>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</si>
  <si>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</si>
  <si>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</si>
  <si>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</si>
  <si>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</si>
  <si>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</si>
  <si>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</si>
  <si>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</si>
  <si>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</si>
  <si>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</si>
  <si>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Daily Utility Consumption Report</t>
  </si>
  <si>
    <t>Prepaired by- Ramesh</t>
  </si>
  <si>
    <t>Main Lighting &amp; Small power pannel  Sub meter</t>
  </si>
  <si>
    <t>Prepaired by--- Nilesh</t>
  </si>
  <si>
    <t>.</t>
  </si>
  <si>
    <t xml:space="preserve">Prepaired by-- Devendra  </t>
  </si>
  <si>
    <t>`</t>
  </si>
  <si>
    <t xml:space="preserve">10th floor energy meter reading </t>
  </si>
  <si>
    <t>Prepaired by --- Prakash</t>
  </si>
  <si>
    <t>..</t>
  </si>
  <si>
    <t xml:space="preserve">25th floor energy meter reading </t>
  </si>
  <si>
    <t>Prepaired by--- Prakash</t>
  </si>
  <si>
    <t>Prepaired by---Prakash</t>
  </si>
  <si>
    <t xml:space="preserve">Prepaired by - Devendra </t>
  </si>
  <si>
    <t>Prepaired by ---Nilesh</t>
  </si>
  <si>
    <t>Prepaired by-- Nilesh</t>
  </si>
  <si>
    <t xml:space="preserve">  </t>
  </si>
  <si>
    <t xml:space="preserve">Prepaired by- </t>
  </si>
  <si>
    <t xml:space="preserve">Prepaired by--Devendra </t>
  </si>
  <si>
    <t xml:space="preserve"> Daily Utility Consumption Report</t>
  </si>
  <si>
    <t>Prepaired by- Prakash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</si>
  <si>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</si>
  <si>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Prepaired by- Nilesh</t>
  </si>
  <si>
    <t>Prepaired by Nilesh</t>
  </si>
  <si>
    <t xml:space="preserve">         </t>
  </si>
  <si>
    <t xml:space="preserve">Percentage  of ele, unit per area </t>
  </si>
  <si>
    <t>Prepaired by--Nilesh</t>
  </si>
  <si>
    <t xml:space="preserve">Prepaired by------- Devendra </t>
  </si>
  <si>
    <t xml:space="preserve">20th Floor project office meter reading </t>
  </si>
  <si>
    <t xml:space="preserve">Prepaired by -- Devendra </t>
  </si>
  <si>
    <t xml:space="preserve">                                                  </t>
  </si>
  <si>
    <t>Lighting</t>
  </si>
  <si>
    <t>Prepaired by- Devendra</t>
  </si>
  <si>
    <t>\</t>
  </si>
  <si>
    <t xml:space="preserve">Prepaired by---- Devendra </t>
  </si>
  <si>
    <t>Prepaired by----Ramesh</t>
  </si>
  <si>
    <t>Prepaired by---Ramesh</t>
  </si>
  <si>
    <t>1643044-1655344</t>
  </si>
  <si>
    <t>Prepaired by--  Ramesh</t>
  </si>
  <si>
    <t>Prepaired by----Nilesh</t>
  </si>
  <si>
    <t>aaaa</t>
  </si>
  <si>
    <t>GLR</t>
  </si>
  <si>
    <t xml:space="preserve">Prepaired by--- Devendra 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</si>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</sst>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2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694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1" fillId="0" borderId="5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1" fontId="1" fillId="0" borderId="0" xfId="1" applyNumberFormat="1" applyFont="1"/>
    <xf numFmtId="1" fontId="1" fillId="14" borderId="0" xfId="1" applyNumberFormat="1" applyFont="1" applyFill="1"/>
    <xf numFmtId="0" fontId="1" fillId="0" borderId="27" xfId="1" applyFont="1" applyFill="1" applyBorder="1" applyAlignment="1">
      <alignment horizontal="center" vertical="center" wrapText="1"/>
    </xf>
    <xf numFmtId="0" fontId="1" fillId="0" borderId="36" xfId="1" applyFont="1" applyFill="1" applyBorder="1" applyAlignment="1">
      <alignment horizontal="center" vertical="center" wrapText="1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1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-746.54000000000451</c:v>
                </c:pt>
                <c:pt idx="14">
                  <c:v>26.099999999998545</c:v>
                </c:pt>
                <c:pt idx="15">
                  <c:v>23.590000000003783</c:v>
                </c:pt>
                <c:pt idx="16">
                  <c:v>24.44999999999709</c:v>
                </c:pt>
                <c:pt idx="17">
                  <c:v>23.900000000001455</c:v>
                </c:pt>
                <c:pt idx="18">
                  <c:v>23.93999999999869</c:v>
                </c:pt>
                <c:pt idx="19">
                  <c:v>24</c:v>
                </c:pt>
                <c:pt idx="20">
                  <c:v>24</c:v>
                </c:pt>
                <c:pt idx="21">
                  <c:v>27.590000000003783</c:v>
                </c:pt>
                <c:pt idx="22">
                  <c:v>24.389999999999418</c:v>
                </c:pt>
                <c:pt idx="23">
                  <c:v>24</c:v>
                </c:pt>
                <c:pt idx="24">
                  <c:v>23.910000000003492</c:v>
                </c:pt>
                <c:pt idx="25">
                  <c:v>36.109999999993306</c:v>
                </c:pt>
                <c:pt idx="26">
                  <c:v>24.040000000000873</c:v>
                </c:pt>
                <c:pt idx="27">
                  <c:v>23.680000000003929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3.2000000000007276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99857536"/>
        <c:axId val="99859456"/>
      </c:lineChart>
      <c:catAx>
        <c:axId val="99857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9456"/>
        <c:crosses val="autoZero"/>
        <c:auto val="1"/>
        <c:lblAlgn val="ctr"/>
        <c:lblOffset val="100"/>
      </c:catAx>
      <c:valAx>
        <c:axId val="9985945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9985753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-183.39999999999054</c:v>
                </c:pt>
                <c:pt idx="14">
                  <c:v>9.5299999999988358</c:v>
                </c:pt>
                <c:pt idx="15">
                  <c:v>0</c:v>
                </c:pt>
                <c:pt idx="16">
                  <c:v>6.2800000000024738</c:v>
                </c:pt>
                <c:pt idx="17">
                  <c:v>8.5299999999988358</c:v>
                </c:pt>
                <c:pt idx="18">
                  <c:v>2.0000000004074536E-2</c:v>
                </c:pt>
                <c:pt idx="19">
                  <c:v>0</c:v>
                </c:pt>
                <c:pt idx="20">
                  <c:v>9.3399999999892316</c:v>
                </c:pt>
                <c:pt idx="21">
                  <c:v>7.5400000000008731</c:v>
                </c:pt>
                <c:pt idx="22">
                  <c:v>2.4500000000116415</c:v>
                </c:pt>
                <c:pt idx="23">
                  <c:v>10.25</c:v>
                </c:pt>
                <c:pt idx="24">
                  <c:v>10.25</c:v>
                </c:pt>
                <c:pt idx="25">
                  <c:v>2.8299999999908323</c:v>
                </c:pt>
                <c:pt idx="26">
                  <c:v>9.7800000000133878</c:v>
                </c:pt>
                <c:pt idx="27">
                  <c:v>7.7799999999915599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11.750000000007049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1841536"/>
        <c:axId val="161843072"/>
      </c:lineChart>
      <c:catAx>
        <c:axId val="16184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43072"/>
        <c:crosses val="autoZero"/>
        <c:auto val="1"/>
        <c:lblAlgn val="ctr"/>
        <c:lblOffset val="100"/>
      </c:catAx>
      <c:valAx>
        <c:axId val="16184307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415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847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-1837</c:v>
                </c:pt>
                <c:pt idx="14">
                  <c:v>116</c:v>
                </c:pt>
                <c:pt idx="15">
                  <c:v>117</c:v>
                </c:pt>
                <c:pt idx="16">
                  <c:v>76</c:v>
                </c:pt>
                <c:pt idx="17">
                  <c:v>105</c:v>
                </c:pt>
                <c:pt idx="18">
                  <c:v>60</c:v>
                </c:pt>
                <c:pt idx="19">
                  <c:v>57</c:v>
                </c:pt>
                <c:pt idx="20">
                  <c:v>96</c:v>
                </c:pt>
                <c:pt idx="21">
                  <c:v>150</c:v>
                </c:pt>
                <c:pt idx="22">
                  <c:v>140</c:v>
                </c:pt>
                <c:pt idx="23">
                  <c:v>110</c:v>
                </c:pt>
                <c:pt idx="24">
                  <c:v>120</c:v>
                </c:pt>
                <c:pt idx="25">
                  <c:v>113</c:v>
                </c:pt>
                <c:pt idx="26">
                  <c:v>121</c:v>
                </c:pt>
                <c:pt idx="27">
                  <c:v>100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1600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6802560"/>
        <c:axId val="166804096"/>
      </c:lineChart>
      <c:catAx>
        <c:axId val="16680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04096"/>
        <c:crosses val="autoZero"/>
        <c:auto val="1"/>
        <c:lblAlgn val="ctr"/>
        <c:lblOffset val="100"/>
      </c:catAx>
      <c:valAx>
        <c:axId val="16680409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0256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81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550</c:v>
                </c:pt>
                <c:pt idx="14">
                  <c:v>550</c:v>
                </c:pt>
                <c:pt idx="15">
                  <c:v>550</c:v>
                </c:pt>
                <c:pt idx="16">
                  <c:v>550</c:v>
                </c:pt>
                <c:pt idx="17">
                  <c:v>550</c:v>
                </c:pt>
                <c:pt idx="18">
                  <c:v>550</c:v>
                </c:pt>
                <c:pt idx="19">
                  <c:v>550</c:v>
                </c:pt>
                <c:pt idx="20">
                  <c:v>550</c:v>
                </c:pt>
                <c:pt idx="21">
                  <c:v>550</c:v>
                </c:pt>
                <c:pt idx="22">
                  <c:v>550</c:v>
                </c:pt>
                <c:pt idx="23">
                  <c:v>550</c:v>
                </c:pt>
                <c:pt idx="24">
                  <c:v>550</c:v>
                </c:pt>
                <c:pt idx="25">
                  <c:v>550</c:v>
                </c:pt>
                <c:pt idx="26">
                  <c:v>550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16208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42406656"/>
        <c:axId val="42408192"/>
      </c:lineChart>
      <c:catAx>
        <c:axId val="4240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08192"/>
        <c:crosses val="autoZero"/>
        <c:auto val="1"/>
        <c:lblAlgn val="ctr"/>
        <c:lblOffset val="100"/>
      </c:catAx>
      <c:valAx>
        <c:axId val="4240819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0665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64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-74453.109999999986</c:v>
                </c:pt>
                <c:pt idx="14">
                  <c:v>2173.109999999986</c:v>
                </c:pt>
                <c:pt idx="15">
                  <c:v>2154</c:v>
                </c:pt>
                <c:pt idx="16">
                  <c:v>2155</c:v>
                </c:pt>
                <c:pt idx="17">
                  <c:v>2101</c:v>
                </c:pt>
                <c:pt idx="18">
                  <c:v>2013</c:v>
                </c:pt>
                <c:pt idx="19">
                  <c:v>1961</c:v>
                </c:pt>
                <c:pt idx="20">
                  <c:v>1537</c:v>
                </c:pt>
                <c:pt idx="21">
                  <c:v>2952</c:v>
                </c:pt>
                <c:pt idx="22">
                  <c:v>2431.5499999999884</c:v>
                </c:pt>
                <c:pt idx="23">
                  <c:v>2245.960000000021</c:v>
                </c:pt>
                <c:pt idx="24">
                  <c:v>2043.7600000000093</c:v>
                </c:pt>
                <c:pt idx="25">
                  <c:v>2149.1999999999534</c:v>
                </c:pt>
                <c:pt idx="26">
                  <c:v>2221.5300000000279</c:v>
                </c:pt>
                <c:pt idx="27">
                  <c:v>2110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-10707.710000000021</c:v>
                </c:pt>
                <c:pt idx="14">
                  <c:v>474.71000000002095</c:v>
                </c:pt>
                <c:pt idx="15">
                  <c:v>454</c:v>
                </c:pt>
                <c:pt idx="16">
                  <c:v>491</c:v>
                </c:pt>
                <c:pt idx="17">
                  <c:v>524</c:v>
                </c:pt>
                <c:pt idx="18">
                  <c:v>566</c:v>
                </c:pt>
                <c:pt idx="19">
                  <c:v>0</c:v>
                </c:pt>
                <c:pt idx="20">
                  <c:v>566</c:v>
                </c:pt>
                <c:pt idx="21">
                  <c:v>544</c:v>
                </c:pt>
                <c:pt idx="22">
                  <c:v>511.10999999998603</c:v>
                </c:pt>
                <c:pt idx="23">
                  <c:v>518.92000000004191</c:v>
                </c:pt>
                <c:pt idx="24">
                  <c:v>524.8399999999674</c:v>
                </c:pt>
                <c:pt idx="25">
                  <c:v>541.67999999999302</c:v>
                </c:pt>
                <c:pt idx="26">
                  <c:v>552.45000000001164</c:v>
                </c:pt>
                <c:pt idx="27">
                  <c:v>601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42475520"/>
        <c:axId val="42477056"/>
      </c:lineChart>
      <c:catAx>
        <c:axId val="4247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77056"/>
        <c:crosses val="autoZero"/>
        <c:auto val="1"/>
        <c:lblAlgn val="ctr"/>
        <c:lblOffset val="100"/>
      </c:catAx>
      <c:valAx>
        <c:axId val="4247705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7552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-66853.050000000047</c:v>
                </c:pt>
                <c:pt idx="14">
                  <c:v>2007.0500000000466</c:v>
                </c:pt>
                <c:pt idx="15">
                  <c:v>1926</c:v>
                </c:pt>
                <c:pt idx="16">
                  <c:v>1602</c:v>
                </c:pt>
                <c:pt idx="17">
                  <c:v>1530</c:v>
                </c:pt>
                <c:pt idx="18">
                  <c:v>1651</c:v>
                </c:pt>
                <c:pt idx="19">
                  <c:v>1818</c:v>
                </c:pt>
                <c:pt idx="20">
                  <c:v>1843</c:v>
                </c:pt>
                <c:pt idx="21">
                  <c:v>1920</c:v>
                </c:pt>
                <c:pt idx="22">
                  <c:v>2173.4300000000512</c:v>
                </c:pt>
                <c:pt idx="23">
                  <c:v>2126.4799999999814</c:v>
                </c:pt>
                <c:pt idx="24">
                  <c:v>2110.8800000000047</c:v>
                </c:pt>
                <c:pt idx="25">
                  <c:v>2644.9599999999627</c:v>
                </c:pt>
                <c:pt idx="26">
                  <c:v>2481.25</c:v>
                </c:pt>
                <c:pt idx="27">
                  <c:v>2485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42461056"/>
        <c:axId val="42462592"/>
      </c:lineChart>
      <c:catAx>
        <c:axId val="4246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62592"/>
        <c:crosses val="autoZero"/>
        <c:auto val="1"/>
        <c:lblAlgn val="ctr"/>
        <c:lblOffset val="100"/>
      </c:catAx>
      <c:valAx>
        <c:axId val="4246259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610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0.63</c:v>
                </c:pt>
                <c:pt idx="14">
                  <c:v>0.83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0.24</c:v>
                </c:pt>
                <c:pt idx="20">
                  <c:v>0.24</c:v>
                </c:pt>
                <c:pt idx="21">
                  <c:v>0.35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1.4848387096774194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42511744"/>
        <c:axId val="42513536"/>
      </c:lineChart>
      <c:catAx>
        <c:axId val="4251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13536"/>
        <c:crosses val="autoZero"/>
        <c:auto val="1"/>
        <c:lblAlgn val="ctr"/>
        <c:lblOffset val="100"/>
      </c:catAx>
      <c:valAx>
        <c:axId val="425135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4251174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42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42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42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16562</c:v>
                </c:pt>
                <c:pt idx="1">
                  <c:v>16547.630000000005</c:v>
                </c:pt>
                <c:pt idx="2">
                  <c:v>16075.239999999991</c:v>
                </c:pt>
                <c:pt idx="3">
                  <c:v>16418.200000000012</c:v>
                </c:pt>
                <c:pt idx="4">
                  <c:v>20003.640000000014</c:v>
                </c:pt>
                <c:pt idx="5">
                  <c:v>18334.27999999997</c:v>
                </c:pt>
                <c:pt idx="6">
                  <c:v>17237.040000000037</c:v>
                </c:pt>
                <c:pt idx="7">
                  <c:v>17225.719999999972</c:v>
                </c:pt>
                <c:pt idx="8">
                  <c:v>16842.25</c:v>
                </c:pt>
                <c:pt idx="9">
                  <c:v>17057</c:v>
                </c:pt>
                <c:pt idx="10">
                  <c:v>17131</c:v>
                </c:pt>
                <c:pt idx="11">
                  <c:v>18761</c:v>
                </c:pt>
                <c:pt idx="12">
                  <c:v>20334</c:v>
                </c:pt>
                <c:pt idx="13">
                  <c:v>17000</c:v>
                </c:pt>
                <c:pt idx="14">
                  <c:v>17000</c:v>
                </c:pt>
                <c:pt idx="15">
                  <c:v>17000</c:v>
                </c:pt>
                <c:pt idx="16">
                  <c:v>17000</c:v>
                </c:pt>
                <c:pt idx="17">
                  <c:v>17000</c:v>
                </c:pt>
                <c:pt idx="18">
                  <c:v>17000</c:v>
                </c:pt>
                <c:pt idx="19">
                  <c:v>17000</c:v>
                </c:pt>
                <c:pt idx="20">
                  <c:v>17000</c:v>
                </c:pt>
                <c:pt idx="21">
                  <c:v>17000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17000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17150</c:v>
                </c:pt>
                <c:pt idx="31">
                  <c:v>534679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42542592"/>
        <c:axId val="42544128"/>
      </c:lineChart>
      <c:catAx>
        <c:axId val="4254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44128"/>
        <c:crosses val="autoZero"/>
        <c:auto val="1"/>
        <c:lblAlgn val="ctr"/>
        <c:lblOffset val="100"/>
      </c:catAx>
      <c:valAx>
        <c:axId val="4254412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42592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-228.70999999999981</c:v>
                </c:pt>
                <c:pt idx="14">
                  <c:v>7.6199999999998909</c:v>
                </c:pt>
                <c:pt idx="15">
                  <c:v>7.9700000000000273</c:v>
                </c:pt>
                <c:pt idx="16">
                  <c:v>8.0499999999999545</c:v>
                </c:pt>
                <c:pt idx="17">
                  <c:v>7.7400000000000091</c:v>
                </c:pt>
                <c:pt idx="18">
                  <c:v>7.2999999999999545</c:v>
                </c:pt>
                <c:pt idx="19">
                  <c:v>8.1900000000000546</c:v>
                </c:pt>
                <c:pt idx="20">
                  <c:v>7.0199999999999818</c:v>
                </c:pt>
                <c:pt idx="21">
                  <c:v>7.3600000000001273</c:v>
                </c:pt>
                <c:pt idx="22">
                  <c:v>8.0499999999999545</c:v>
                </c:pt>
                <c:pt idx="23">
                  <c:v>8.2199999999997999</c:v>
                </c:pt>
                <c:pt idx="24">
                  <c:v>7.7499999999997726</c:v>
                </c:pt>
                <c:pt idx="25">
                  <c:v>7.7799999999999727</c:v>
                </c:pt>
                <c:pt idx="26">
                  <c:v>7.6299999999998818</c:v>
                </c:pt>
                <c:pt idx="27">
                  <c:v>7.1900000000000546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42584704"/>
        <c:axId val="42594688"/>
      </c:lineChart>
      <c:catAx>
        <c:axId val="4258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94688"/>
        <c:crosses val="autoZero"/>
        <c:auto val="1"/>
        <c:lblAlgn val="ctr"/>
        <c:lblOffset val="100"/>
      </c:catAx>
      <c:valAx>
        <c:axId val="4259468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847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1438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-6003.9100000000326</c:v>
                </c:pt>
                <c:pt idx="11">
                  <c:v>200.9100000000326</c:v>
                </c:pt>
                <c:pt idx="12">
                  <c:v>209</c:v>
                </c:pt>
                <c:pt idx="13">
                  <c:v>214</c:v>
                </c:pt>
                <c:pt idx="14">
                  <c:v>195</c:v>
                </c:pt>
                <c:pt idx="15">
                  <c:v>173</c:v>
                </c:pt>
                <c:pt idx="16">
                  <c:v>204</c:v>
                </c:pt>
                <c:pt idx="17">
                  <c:v>194</c:v>
                </c:pt>
                <c:pt idx="18">
                  <c:v>194</c:v>
                </c:pt>
                <c:pt idx="19">
                  <c:v>214.8399999999674</c:v>
                </c:pt>
                <c:pt idx="20">
                  <c:v>230.1600000000326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8445.9100000000326</c:v>
                </c:pt>
                <c:pt idx="11">
                  <c:v>303.68999999997322</c:v>
                </c:pt>
                <c:pt idx="12">
                  <c:v>284</c:v>
                </c:pt>
                <c:pt idx="13">
                  <c:v>290</c:v>
                </c:pt>
                <c:pt idx="14">
                  <c:v>310</c:v>
                </c:pt>
                <c:pt idx="15">
                  <c:v>335</c:v>
                </c:pt>
                <c:pt idx="16">
                  <c:v>298</c:v>
                </c:pt>
                <c:pt idx="17">
                  <c:v>289</c:v>
                </c:pt>
                <c:pt idx="18">
                  <c:v>292</c:v>
                </c:pt>
                <c:pt idx="19">
                  <c:v>274.520000000035</c:v>
                </c:pt>
                <c:pt idx="20">
                  <c:v>248.04999999995925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-1816</c:v>
                </c:pt>
                <c:pt idx="11">
                  <c:v>45</c:v>
                </c:pt>
                <c:pt idx="12">
                  <c:v>57</c:v>
                </c:pt>
                <c:pt idx="13">
                  <c:v>46</c:v>
                </c:pt>
                <c:pt idx="14">
                  <c:v>45</c:v>
                </c:pt>
                <c:pt idx="15">
                  <c:v>42</c:v>
                </c:pt>
                <c:pt idx="16">
                  <c:v>48</c:v>
                </c:pt>
                <c:pt idx="17">
                  <c:v>67</c:v>
                </c:pt>
                <c:pt idx="18">
                  <c:v>64</c:v>
                </c:pt>
                <c:pt idx="19">
                  <c:v>60.839999999996508</c:v>
                </c:pt>
                <c:pt idx="20">
                  <c:v>71.790000000008149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43055360"/>
        <c:axId val="43130880"/>
      </c:lineChart>
      <c:catAx>
        <c:axId val="430553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43130880"/>
        <c:crosses val="autoZero"/>
        <c:auto val="1"/>
        <c:lblAlgn val="ctr"/>
        <c:lblOffset val="100"/>
      </c:catAx>
      <c:valAx>
        <c:axId val="431308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430553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82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-1385</c:v>
                </c:pt>
                <c:pt idx="14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99850496"/>
        <c:axId val="9986867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593145</c:v>
                </c:pt>
                <c:pt idx="14">
                  <c:v>610295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99870208"/>
        <c:axId val="99871744"/>
      </c:lineChart>
      <c:catAx>
        <c:axId val="9985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68672"/>
        <c:crosses val="autoZero"/>
        <c:auto val="1"/>
        <c:lblAlgn val="ctr"/>
        <c:lblOffset val="100"/>
      </c:catAx>
      <c:valAx>
        <c:axId val="998686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0496"/>
        <c:crosses val="autoZero"/>
        <c:crossBetween val="between"/>
        <c:minorUnit val="50"/>
      </c:valAx>
      <c:catAx>
        <c:axId val="99870208"/>
        <c:scaling>
          <c:orientation val="minMax"/>
        </c:scaling>
        <c:delete val="1"/>
        <c:axPos val="b"/>
        <c:tickLblPos val="none"/>
        <c:crossAx val="99871744"/>
        <c:crosses val="autoZero"/>
        <c:auto val="1"/>
        <c:lblAlgn val="ctr"/>
        <c:lblOffset val="100"/>
      </c:catAx>
      <c:valAx>
        <c:axId val="998717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7020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99892224"/>
        <c:axId val="99910400"/>
      </c:lineChart>
      <c:catAx>
        <c:axId val="998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10400"/>
        <c:crosses val="autoZero"/>
        <c:auto val="1"/>
        <c:lblAlgn val="ctr"/>
        <c:lblOffset val="100"/>
      </c:catAx>
      <c:valAx>
        <c:axId val="9991040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922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593145</c:v>
                </c:pt>
                <c:pt idx="14">
                  <c:v>610295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00148352"/>
        <c:axId val="100149888"/>
      </c:lineChart>
      <c:catAx>
        <c:axId val="10014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49888"/>
        <c:crosses val="autoZero"/>
        <c:auto val="1"/>
        <c:lblAlgn val="ctr"/>
        <c:lblOffset val="100"/>
      </c:catAx>
      <c:valAx>
        <c:axId val="10014988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483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01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43</c:v>
                </c:pt>
                <c:pt idx="13">
                  <c:v>-440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00197504"/>
        <c:axId val="10019904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593145</c:v>
                </c:pt>
                <c:pt idx="14">
                  <c:v>610295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00270464"/>
        <c:axId val="100272000"/>
      </c:lineChart>
      <c:catAx>
        <c:axId val="1001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99040"/>
        <c:crosses val="autoZero"/>
        <c:auto val="1"/>
        <c:lblAlgn val="ctr"/>
        <c:lblOffset val="100"/>
      </c:catAx>
      <c:valAx>
        <c:axId val="10019904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97504"/>
        <c:crosses val="autoZero"/>
        <c:crossBetween val="between"/>
      </c:valAx>
      <c:catAx>
        <c:axId val="100270464"/>
        <c:scaling>
          <c:orientation val="minMax"/>
        </c:scaling>
        <c:delete val="1"/>
        <c:axPos val="b"/>
        <c:tickLblPos val="none"/>
        <c:crossAx val="100272000"/>
        <c:crosses val="autoZero"/>
        <c:auto val="1"/>
        <c:lblAlgn val="ctr"/>
        <c:lblOffset val="100"/>
      </c:catAx>
      <c:valAx>
        <c:axId val="10027200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70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-3520.929999999993</c:v>
                </c:pt>
                <c:pt idx="14">
                  <c:v>89.929999999993015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00332672"/>
        <c:axId val="10033420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593145</c:v>
                </c:pt>
                <c:pt idx="14">
                  <c:v>610295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00348288"/>
        <c:axId val="100349824"/>
      </c:lineChart>
      <c:catAx>
        <c:axId val="10033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34208"/>
        <c:crosses val="autoZero"/>
        <c:auto val="1"/>
        <c:lblAlgn val="ctr"/>
        <c:lblOffset val="100"/>
      </c:catAx>
      <c:valAx>
        <c:axId val="10033420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32672"/>
        <c:crosses val="autoZero"/>
        <c:crossBetween val="between"/>
        <c:majorUnit val="2"/>
      </c:valAx>
      <c:catAx>
        <c:axId val="100348288"/>
        <c:scaling>
          <c:orientation val="minMax"/>
        </c:scaling>
        <c:delete val="1"/>
        <c:axPos val="b"/>
        <c:tickLblPos val="none"/>
        <c:crossAx val="100349824"/>
        <c:crosses val="autoZero"/>
        <c:auto val="1"/>
        <c:lblAlgn val="ctr"/>
        <c:lblOffset val="100"/>
      </c:catAx>
      <c:valAx>
        <c:axId val="1003498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4828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>
      <selection activeCell="K12" sqref="K12"/>
    </sheetView>
  </sheetViews>
  <sheetFormatPr defaultColWidth="9" defaultRowHeight="15"/>
  <cols>
    <col min="1" max="1" width="9.6640625" style="1125" customWidth="1"/>
    <col min="2" max="3" width="9" style="1119"/>
    <col min="4" max="4" width="10.44140625" style="1120" customWidth="1"/>
    <col min="5" max="5" width="9.77734375" style="1121" customWidth="1"/>
    <col min="6" max="6" width="9.77734375" style="1125" customWidth="1"/>
    <col min="7" max="10" width="9" style="1125"/>
    <col min="11" max="12" width="9" style="1121"/>
    <col min="13" max="13" width="0" style="1124" hidden="1" customWidth="1"/>
    <col min="14" max="256" width="9" style="1124"/>
    <col min="257" max="257" width="9.6640625" style="1124" customWidth="1"/>
    <col min="258" max="259" width="9" style="1124"/>
    <col min="260" max="260" width="10.44140625" style="1124" customWidth="1"/>
    <col min="261" max="262" width="9.77734375" style="1124" customWidth="1"/>
    <col min="263" max="268" width="9" style="1124"/>
    <col min="269" max="269" width="0" style="1124" hidden="1" customWidth="1"/>
    <col min="270" max="512" width="9" style="1124"/>
    <col min="513" max="513" width="9.6640625" style="1124" customWidth="1"/>
    <col min="514" max="515" width="9" style="1124"/>
    <col min="516" max="516" width="10.44140625" style="1124" customWidth="1"/>
    <col min="517" max="518" width="9.77734375" style="1124" customWidth="1"/>
    <col min="519" max="524" width="9" style="1124"/>
    <col min="525" max="525" width="0" style="1124" hidden="1" customWidth="1"/>
    <col min="526" max="768" width="9" style="1124"/>
    <col min="769" max="769" width="9.6640625" style="1124" customWidth="1"/>
    <col min="770" max="771" width="9" style="1124"/>
    <col min="772" max="772" width="10.44140625" style="1124" customWidth="1"/>
    <col min="773" max="774" width="9.77734375" style="1124" customWidth="1"/>
    <col min="775" max="780" width="9" style="1124"/>
    <col min="781" max="781" width="0" style="1124" hidden="1" customWidth="1"/>
    <col min="782" max="1024" width="9" style="1124"/>
    <col min="1025" max="1025" width="9.6640625" style="1124" customWidth="1"/>
    <col min="1026" max="1027" width="9" style="1124"/>
    <col min="1028" max="1028" width="10.44140625" style="1124" customWidth="1"/>
    <col min="1029" max="1030" width="9.77734375" style="1124" customWidth="1"/>
    <col min="1031" max="1036" width="9" style="1124"/>
    <col min="1037" max="1037" width="0" style="1124" hidden="1" customWidth="1"/>
    <col min="1038" max="1280" width="9" style="1124"/>
    <col min="1281" max="1281" width="9.6640625" style="1124" customWidth="1"/>
    <col min="1282" max="1283" width="9" style="1124"/>
    <col min="1284" max="1284" width="10.44140625" style="1124" customWidth="1"/>
    <col min="1285" max="1286" width="9.77734375" style="1124" customWidth="1"/>
    <col min="1287" max="1292" width="9" style="1124"/>
    <col min="1293" max="1293" width="0" style="1124" hidden="1" customWidth="1"/>
    <col min="1294" max="1536" width="9" style="1124"/>
    <col min="1537" max="1537" width="9.6640625" style="1124" customWidth="1"/>
    <col min="1538" max="1539" width="9" style="1124"/>
    <col min="1540" max="1540" width="10.44140625" style="1124" customWidth="1"/>
    <col min="1541" max="1542" width="9.77734375" style="1124" customWidth="1"/>
    <col min="1543" max="1548" width="9" style="1124"/>
    <col min="1549" max="1549" width="0" style="1124" hidden="1" customWidth="1"/>
    <col min="1550" max="1792" width="9" style="1124"/>
    <col min="1793" max="1793" width="9.6640625" style="1124" customWidth="1"/>
    <col min="1794" max="1795" width="9" style="1124"/>
    <col min="1796" max="1796" width="10.44140625" style="1124" customWidth="1"/>
    <col min="1797" max="1798" width="9.77734375" style="1124" customWidth="1"/>
    <col min="1799" max="1804" width="9" style="1124"/>
    <col min="1805" max="1805" width="0" style="1124" hidden="1" customWidth="1"/>
    <col min="1806" max="2048" width="9" style="1124"/>
    <col min="2049" max="2049" width="9.6640625" style="1124" customWidth="1"/>
    <col min="2050" max="2051" width="9" style="1124"/>
    <col min="2052" max="2052" width="10.44140625" style="1124" customWidth="1"/>
    <col min="2053" max="2054" width="9.77734375" style="1124" customWidth="1"/>
    <col min="2055" max="2060" width="9" style="1124"/>
    <col min="2061" max="2061" width="0" style="1124" hidden="1" customWidth="1"/>
    <col min="2062" max="2304" width="9" style="1124"/>
    <col min="2305" max="2305" width="9.6640625" style="1124" customWidth="1"/>
    <col min="2306" max="2307" width="9" style="1124"/>
    <col min="2308" max="2308" width="10.44140625" style="1124" customWidth="1"/>
    <col min="2309" max="2310" width="9.77734375" style="1124" customWidth="1"/>
    <col min="2311" max="2316" width="9" style="1124"/>
    <col min="2317" max="2317" width="0" style="1124" hidden="1" customWidth="1"/>
    <col min="2318" max="2560" width="9" style="1124"/>
    <col min="2561" max="2561" width="9.6640625" style="1124" customWidth="1"/>
    <col min="2562" max="2563" width="9" style="1124"/>
    <col min="2564" max="2564" width="10.44140625" style="1124" customWidth="1"/>
    <col min="2565" max="2566" width="9.77734375" style="1124" customWidth="1"/>
    <col min="2567" max="2572" width="9" style="1124"/>
    <col min="2573" max="2573" width="0" style="1124" hidden="1" customWidth="1"/>
    <col min="2574" max="2816" width="9" style="1124"/>
    <col min="2817" max="2817" width="9.6640625" style="1124" customWidth="1"/>
    <col min="2818" max="2819" width="9" style="1124"/>
    <col min="2820" max="2820" width="10.44140625" style="1124" customWidth="1"/>
    <col min="2821" max="2822" width="9.77734375" style="1124" customWidth="1"/>
    <col min="2823" max="2828" width="9" style="1124"/>
    <col min="2829" max="2829" width="0" style="1124" hidden="1" customWidth="1"/>
    <col min="2830" max="3072" width="9" style="1124"/>
    <col min="3073" max="3073" width="9.6640625" style="1124" customWidth="1"/>
    <col min="3074" max="3075" width="9" style="1124"/>
    <col min="3076" max="3076" width="10.44140625" style="1124" customWidth="1"/>
    <col min="3077" max="3078" width="9.77734375" style="1124" customWidth="1"/>
    <col min="3079" max="3084" width="9" style="1124"/>
    <col min="3085" max="3085" width="0" style="1124" hidden="1" customWidth="1"/>
    <col min="3086" max="3328" width="9" style="1124"/>
    <col min="3329" max="3329" width="9.6640625" style="1124" customWidth="1"/>
    <col min="3330" max="3331" width="9" style="1124"/>
    <col min="3332" max="3332" width="10.44140625" style="1124" customWidth="1"/>
    <col min="3333" max="3334" width="9.77734375" style="1124" customWidth="1"/>
    <col min="3335" max="3340" width="9" style="1124"/>
    <col min="3341" max="3341" width="0" style="1124" hidden="1" customWidth="1"/>
    <col min="3342" max="3584" width="9" style="1124"/>
    <col min="3585" max="3585" width="9.6640625" style="1124" customWidth="1"/>
    <col min="3586" max="3587" width="9" style="1124"/>
    <col min="3588" max="3588" width="10.44140625" style="1124" customWidth="1"/>
    <col min="3589" max="3590" width="9.77734375" style="1124" customWidth="1"/>
    <col min="3591" max="3596" width="9" style="1124"/>
    <col min="3597" max="3597" width="0" style="1124" hidden="1" customWidth="1"/>
    <col min="3598" max="3840" width="9" style="1124"/>
    <col min="3841" max="3841" width="9.6640625" style="1124" customWidth="1"/>
    <col min="3842" max="3843" width="9" style="1124"/>
    <col min="3844" max="3844" width="10.44140625" style="1124" customWidth="1"/>
    <col min="3845" max="3846" width="9.77734375" style="1124" customWidth="1"/>
    <col min="3847" max="3852" width="9" style="1124"/>
    <col min="3853" max="3853" width="0" style="1124" hidden="1" customWidth="1"/>
    <col min="3854" max="4096" width="9" style="1124"/>
    <col min="4097" max="4097" width="9.6640625" style="1124" customWidth="1"/>
    <col min="4098" max="4099" width="9" style="1124"/>
    <col min="4100" max="4100" width="10.44140625" style="1124" customWidth="1"/>
    <col min="4101" max="4102" width="9.77734375" style="1124" customWidth="1"/>
    <col min="4103" max="4108" width="9" style="1124"/>
    <col min="4109" max="4109" width="0" style="1124" hidden="1" customWidth="1"/>
    <col min="4110" max="4352" width="9" style="1124"/>
    <col min="4353" max="4353" width="9.6640625" style="1124" customWidth="1"/>
    <col min="4354" max="4355" width="9" style="1124"/>
    <col min="4356" max="4356" width="10.44140625" style="1124" customWidth="1"/>
    <col min="4357" max="4358" width="9.77734375" style="1124" customWidth="1"/>
    <col min="4359" max="4364" width="9" style="1124"/>
    <col min="4365" max="4365" width="0" style="1124" hidden="1" customWidth="1"/>
    <col min="4366" max="4608" width="9" style="1124"/>
    <col min="4609" max="4609" width="9.6640625" style="1124" customWidth="1"/>
    <col min="4610" max="4611" width="9" style="1124"/>
    <col min="4612" max="4612" width="10.44140625" style="1124" customWidth="1"/>
    <col min="4613" max="4614" width="9.77734375" style="1124" customWidth="1"/>
    <col min="4615" max="4620" width="9" style="1124"/>
    <col min="4621" max="4621" width="0" style="1124" hidden="1" customWidth="1"/>
    <col min="4622" max="4864" width="9" style="1124"/>
    <col min="4865" max="4865" width="9.6640625" style="1124" customWidth="1"/>
    <col min="4866" max="4867" width="9" style="1124"/>
    <col min="4868" max="4868" width="10.44140625" style="1124" customWidth="1"/>
    <col min="4869" max="4870" width="9.77734375" style="1124" customWidth="1"/>
    <col min="4871" max="4876" width="9" style="1124"/>
    <col min="4877" max="4877" width="0" style="1124" hidden="1" customWidth="1"/>
    <col min="4878" max="5120" width="9" style="1124"/>
    <col min="5121" max="5121" width="9.6640625" style="1124" customWidth="1"/>
    <col min="5122" max="5123" width="9" style="1124"/>
    <col min="5124" max="5124" width="10.44140625" style="1124" customWidth="1"/>
    <col min="5125" max="5126" width="9.77734375" style="1124" customWidth="1"/>
    <col min="5127" max="5132" width="9" style="1124"/>
    <col min="5133" max="5133" width="0" style="1124" hidden="1" customWidth="1"/>
    <col min="5134" max="5376" width="9" style="1124"/>
    <col min="5377" max="5377" width="9.6640625" style="1124" customWidth="1"/>
    <col min="5378" max="5379" width="9" style="1124"/>
    <col min="5380" max="5380" width="10.44140625" style="1124" customWidth="1"/>
    <col min="5381" max="5382" width="9.77734375" style="1124" customWidth="1"/>
    <col min="5383" max="5388" width="9" style="1124"/>
    <col min="5389" max="5389" width="0" style="1124" hidden="1" customWidth="1"/>
    <col min="5390" max="5632" width="9" style="1124"/>
    <col min="5633" max="5633" width="9.6640625" style="1124" customWidth="1"/>
    <col min="5634" max="5635" width="9" style="1124"/>
    <col min="5636" max="5636" width="10.44140625" style="1124" customWidth="1"/>
    <col min="5637" max="5638" width="9.77734375" style="1124" customWidth="1"/>
    <col min="5639" max="5644" width="9" style="1124"/>
    <col min="5645" max="5645" width="0" style="1124" hidden="1" customWidth="1"/>
    <col min="5646" max="5888" width="9" style="1124"/>
    <col min="5889" max="5889" width="9.6640625" style="1124" customWidth="1"/>
    <col min="5890" max="5891" width="9" style="1124"/>
    <col min="5892" max="5892" width="10.44140625" style="1124" customWidth="1"/>
    <col min="5893" max="5894" width="9.77734375" style="1124" customWidth="1"/>
    <col min="5895" max="5900" width="9" style="1124"/>
    <col min="5901" max="5901" width="0" style="1124" hidden="1" customWidth="1"/>
    <col min="5902" max="6144" width="9" style="1124"/>
    <col min="6145" max="6145" width="9.6640625" style="1124" customWidth="1"/>
    <col min="6146" max="6147" width="9" style="1124"/>
    <col min="6148" max="6148" width="10.44140625" style="1124" customWidth="1"/>
    <col min="6149" max="6150" width="9.77734375" style="1124" customWidth="1"/>
    <col min="6151" max="6156" width="9" style="1124"/>
    <col min="6157" max="6157" width="0" style="1124" hidden="1" customWidth="1"/>
    <col min="6158" max="6400" width="9" style="1124"/>
    <col min="6401" max="6401" width="9.6640625" style="1124" customWidth="1"/>
    <col min="6402" max="6403" width="9" style="1124"/>
    <col min="6404" max="6404" width="10.44140625" style="1124" customWidth="1"/>
    <col min="6405" max="6406" width="9.77734375" style="1124" customWidth="1"/>
    <col min="6407" max="6412" width="9" style="1124"/>
    <col min="6413" max="6413" width="0" style="1124" hidden="1" customWidth="1"/>
    <col min="6414" max="6656" width="9" style="1124"/>
    <col min="6657" max="6657" width="9.6640625" style="1124" customWidth="1"/>
    <col min="6658" max="6659" width="9" style="1124"/>
    <col min="6660" max="6660" width="10.44140625" style="1124" customWidth="1"/>
    <col min="6661" max="6662" width="9.77734375" style="1124" customWidth="1"/>
    <col min="6663" max="6668" width="9" style="1124"/>
    <col min="6669" max="6669" width="0" style="1124" hidden="1" customWidth="1"/>
    <col min="6670" max="6912" width="9" style="1124"/>
    <col min="6913" max="6913" width="9.6640625" style="1124" customWidth="1"/>
    <col min="6914" max="6915" width="9" style="1124"/>
    <col min="6916" max="6916" width="10.44140625" style="1124" customWidth="1"/>
    <col min="6917" max="6918" width="9.77734375" style="1124" customWidth="1"/>
    <col min="6919" max="6924" width="9" style="1124"/>
    <col min="6925" max="6925" width="0" style="1124" hidden="1" customWidth="1"/>
    <col min="6926" max="7168" width="9" style="1124"/>
    <col min="7169" max="7169" width="9.6640625" style="1124" customWidth="1"/>
    <col min="7170" max="7171" width="9" style="1124"/>
    <col min="7172" max="7172" width="10.44140625" style="1124" customWidth="1"/>
    <col min="7173" max="7174" width="9.77734375" style="1124" customWidth="1"/>
    <col min="7175" max="7180" width="9" style="1124"/>
    <col min="7181" max="7181" width="0" style="1124" hidden="1" customWidth="1"/>
    <col min="7182" max="7424" width="9" style="1124"/>
    <col min="7425" max="7425" width="9.6640625" style="1124" customWidth="1"/>
    <col min="7426" max="7427" width="9" style="1124"/>
    <col min="7428" max="7428" width="10.44140625" style="1124" customWidth="1"/>
    <col min="7429" max="7430" width="9.77734375" style="1124" customWidth="1"/>
    <col min="7431" max="7436" width="9" style="1124"/>
    <col min="7437" max="7437" width="0" style="1124" hidden="1" customWidth="1"/>
    <col min="7438" max="7680" width="9" style="1124"/>
    <col min="7681" max="7681" width="9.6640625" style="1124" customWidth="1"/>
    <col min="7682" max="7683" width="9" style="1124"/>
    <col min="7684" max="7684" width="10.44140625" style="1124" customWidth="1"/>
    <col min="7685" max="7686" width="9.77734375" style="1124" customWidth="1"/>
    <col min="7687" max="7692" width="9" style="1124"/>
    <col min="7693" max="7693" width="0" style="1124" hidden="1" customWidth="1"/>
    <col min="7694" max="7936" width="9" style="1124"/>
    <col min="7937" max="7937" width="9.6640625" style="1124" customWidth="1"/>
    <col min="7938" max="7939" width="9" style="1124"/>
    <col min="7940" max="7940" width="10.44140625" style="1124" customWidth="1"/>
    <col min="7941" max="7942" width="9.77734375" style="1124" customWidth="1"/>
    <col min="7943" max="7948" width="9" style="1124"/>
    <col min="7949" max="7949" width="0" style="1124" hidden="1" customWidth="1"/>
    <col min="7950" max="8192" width="9" style="1124"/>
    <col min="8193" max="8193" width="9.6640625" style="1124" customWidth="1"/>
    <col min="8194" max="8195" width="9" style="1124"/>
    <col min="8196" max="8196" width="10.44140625" style="1124" customWidth="1"/>
    <col min="8197" max="8198" width="9.77734375" style="1124" customWidth="1"/>
    <col min="8199" max="8204" width="9" style="1124"/>
    <col min="8205" max="8205" width="0" style="1124" hidden="1" customWidth="1"/>
    <col min="8206" max="8448" width="9" style="1124"/>
    <col min="8449" max="8449" width="9.6640625" style="1124" customWidth="1"/>
    <col min="8450" max="8451" width="9" style="1124"/>
    <col min="8452" max="8452" width="10.44140625" style="1124" customWidth="1"/>
    <col min="8453" max="8454" width="9.77734375" style="1124" customWidth="1"/>
    <col min="8455" max="8460" width="9" style="1124"/>
    <col min="8461" max="8461" width="0" style="1124" hidden="1" customWidth="1"/>
    <col min="8462" max="8704" width="9" style="1124"/>
    <col min="8705" max="8705" width="9.6640625" style="1124" customWidth="1"/>
    <col min="8706" max="8707" width="9" style="1124"/>
    <col min="8708" max="8708" width="10.44140625" style="1124" customWidth="1"/>
    <col min="8709" max="8710" width="9.77734375" style="1124" customWidth="1"/>
    <col min="8711" max="8716" width="9" style="1124"/>
    <col min="8717" max="8717" width="0" style="1124" hidden="1" customWidth="1"/>
    <col min="8718" max="8960" width="9" style="1124"/>
    <col min="8961" max="8961" width="9.6640625" style="1124" customWidth="1"/>
    <col min="8962" max="8963" width="9" style="1124"/>
    <col min="8964" max="8964" width="10.44140625" style="1124" customWidth="1"/>
    <col min="8965" max="8966" width="9.77734375" style="1124" customWidth="1"/>
    <col min="8967" max="8972" width="9" style="1124"/>
    <col min="8973" max="8973" width="0" style="1124" hidden="1" customWidth="1"/>
    <col min="8974" max="9216" width="9" style="1124"/>
    <col min="9217" max="9217" width="9.6640625" style="1124" customWidth="1"/>
    <col min="9218" max="9219" width="9" style="1124"/>
    <col min="9220" max="9220" width="10.44140625" style="1124" customWidth="1"/>
    <col min="9221" max="9222" width="9.77734375" style="1124" customWidth="1"/>
    <col min="9223" max="9228" width="9" style="1124"/>
    <col min="9229" max="9229" width="0" style="1124" hidden="1" customWidth="1"/>
    <col min="9230" max="9472" width="9" style="1124"/>
    <col min="9473" max="9473" width="9.6640625" style="1124" customWidth="1"/>
    <col min="9474" max="9475" width="9" style="1124"/>
    <col min="9476" max="9476" width="10.44140625" style="1124" customWidth="1"/>
    <col min="9477" max="9478" width="9.77734375" style="1124" customWidth="1"/>
    <col min="9479" max="9484" width="9" style="1124"/>
    <col min="9485" max="9485" width="0" style="1124" hidden="1" customWidth="1"/>
    <col min="9486" max="9728" width="9" style="1124"/>
    <col min="9729" max="9729" width="9.6640625" style="1124" customWidth="1"/>
    <col min="9730" max="9731" width="9" style="1124"/>
    <col min="9732" max="9732" width="10.44140625" style="1124" customWidth="1"/>
    <col min="9733" max="9734" width="9.77734375" style="1124" customWidth="1"/>
    <col min="9735" max="9740" width="9" style="1124"/>
    <col min="9741" max="9741" width="0" style="1124" hidden="1" customWidth="1"/>
    <col min="9742" max="9984" width="9" style="1124"/>
    <col min="9985" max="9985" width="9.6640625" style="1124" customWidth="1"/>
    <col min="9986" max="9987" width="9" style="1124"/>
    <col min="9988" max="9988" width="10.44140625" style="1124" customWidth="1"/>
    <col min="9989" max="9990" width="9.77734375" style="1124" customWidth="1"/>
    <col min="9991" max="9996" width="9" style="1124"/>
    <col min="9997" max="9997" width="0" style="1124" hidden="1" customWidth="1"/>
    <col min="9998" max="10240" width="9" style="1124"/>
    <col min="10241" max="10241" width="9.6640625" style="1124" customWidth="1"/>
    <col min="10242" max="10243" width="9" style="1124"/>
    <col min="10244" max="10244" width="10.44140625" style="1124" customWidth="1"/>
    <col min="10245" max="10246" width="9.77734375" style="1124" customWidth="1"/>
    <col min="10247" max="10252" width="9" style="1124"/>
    <col min="10253" max="10253" width="0" style="1124" hidden="1" customWidth="1"/>
    <col min="10254" max="10496" width="9" style="1124"/>
    <col min="10497" max="10497" width="9.6640625" style="1124" customWidth="1"/>
    <col min="10498" max="10499" width="9" style="1124"/>
    <col min="10500" max="10500" width="10.44140625" style="1124" customWidth="1"/>
    <col min="10501" max="10502" width="9.77734375" style="1124" customWidth="1"/>
    <col min="10503" max="10508" width="9" style="1124"/>
    <col min="10509" max="10509" width="0" style="1124" hidden="1" customWidth="1"/>
    <col min="10510" max="10752" width="9" style="1124"/>
    <col min="10753" max="10753" width="9.6640625" style="1124" customWidth="1"/>
    <col min="10754" max="10755" width="9" style="1124"/>
    <col min="10756" max="10756" width="10.44140625" style="1124" customWidth="1"/>
    <col min="10757" max="10758" width="9.77734375" style="1124" customWidth="1"/>
    <col min="10759" max="10764" width="9" style="1124"/>
    <col min="10765" max="10765" width="0" style="1124" hidden="1" customWidth="1"/>
    <col min="10766" max="11008" width="9" style="1124"/>
    <col min="11009" max="11009" width="9.6640625" style="1124" customWidth="1"/>
    <col min="11010" max="11011" width="9" style="1124"/>
    <col min="11012" max="11012" width="10.44140625" style="1124" customWidth="1"/>
    <col min="11013" max="11014" width="9.77734375" style="1124" customWidth="1"/>
    <col min="11015" max="11020" width="9" style="1124"/>
    <col min="11021" max="11021" width="0" style="1124" hidden="1" customWidth="1"/>
    <col min="11022" max="11264" width="9" style="1124"/>
    <col min="11265" max="11265" width="9.6640625" style="1124" customWidth="1"/>
    <col min="11266" max="11267" width="9" style="1124"/>
    <col min="11268" max="11268" width="10.44140625" style="1124" customWidth="1"/>
    <col min="11269" max="11270" width="9.77734375" style="1124" customWidth="1"/>
    <col min="11271" max="11276" width="9" style="1124"/>
    <col min="11277" max="11277" width="0" style="1124" hidden="1" customWidth="1"/>
    <col min="11278" max="11520" width="9" style="1124"/>
    <col min="11521" max="11521" width="9.6640625" style="1124" customWidth="1"/>
    <col min="11522" max="11523" width="9" style="1124"/>
    <col min="11524" max="11524" width="10.44140625" style="1124" customWidth="1"/>
    <col min="11525" max="11526" width="9.77734375" style="1124" customWidth="1"/>
    <col min="11527" max="11532" width="9" style="1124"/>
    <col min="11533" max="11533" width="0" style="1124" hidden="1" customWidth="1"/>
    <col min="11534" max="11776" width="9" style="1124"/>
    <col min="11777" max="11777" width="9.6640625" style="1124" customWidth="1"/>
    <col min="11778" max="11779" width="9" style="1124"/>
    <col min="11780" max="11780" width="10.44140625" style="1124" customWidth="1"/>
    <col min="11781" max="11782" width="9.77734375" style="1124" customWidth="1"/>
    <col min="11783" max="11788" width="9" style="1124"/>
    <col min="11789" max="11789" width="0" style="1124" hidden="1" customWidth="1"/>
    <col min="11790" max="12032" width="9" style="1124"/>
    <col min="12033" max="12033" width="9.6640625" style="1124" customWidth="1"/>
    <col min="12034" max="12035" width="9" style="1124"/>
    <col min="12036" max="12036" width="10.44140625" style="1124" customWidth="1"/>
    <col min="12037" max="12038" width="9.77734375" style="1124" customWidth="1"/>
    <col min="12039" max="12044" width="9" style="1124"/>
    <col min="12045" max="12045" width="0" style="1124" hidden="1" customWidth="1"/>
    <col min="12046" max="12288" width="9" style="1124"/>
    <col min="12289" max="12289" width="9.6640625" style="1124" customWidth="1"/>
    <col min="12290" max="12291" width="9" style="1124"/>
    <col min="12292" max="12292" width="10.44140625" style="1124" customWidth="1"/>
    <col min="12293" max="12294" width="9.77734375" style="1124" customWidth="1"/>
    <col min="12295" max="12300" width="9" style="1124"/>
    <col min="12301" max="12301" width="0" style="1124" hidden="1" customWidth="1"/>
    <col min="12302" max="12544" width="9" style="1124"/>
    <col min="12545" max="12545" width="9.6640625" style="1124" customWidth="1"/>
    <col min="12546" max="12547" width="9" style="1124"/>
    <col min="12548" max="12548" width="10.44140625" style="1124" customWidth="1"/>
    <col min="12549" max="12550" width="9.77734375" style="1124" customWidth="1"/>
    <col min="12551" max="12556" width="9" style="1124"/>
    <col min="12557" max="12557" width="0" style="1124" hidden="1" customWidth="1"/>
    <col min="12558" max="12800" width="9" style="1124"/>
    <col min="12801" max="12801" width="9.6640625" style="1124" customWidth="1"/>
    <col min="12802" max="12803" width="9" style="1124"/>
    <col min="12804" max="12804" width="10.44140625" style="1124" customWidth="1"/>
    <col min="12805" max="12806" width="9.77734375" style="1124" customWidth="1"/>
    <col min="12807" max="12812" width="9" style="1124"/>
    <col min="12813" max="12813" width="0" style="1124" hidden="1" customWidth="1"/>
    <col min="12814" max="13056" width="9" style="1124"/>
    <col min="13057" max="13057" width="9.6640625" style="1124" customWidth="1"/>
    <col min="13058" max="13059" width="9" style="1124"/>
    <col min="13060" max="13060" width="10.44140625" style="1124" customWidth="1"/>
    <col min="13061" max="13062" width="9.77734375" style="1124" customWidth="1"/>
    <col min="13063" max="13068" width="9" style="1124"/>
    <col min="13069" max="13069" width="0" style="1124" hidden="1" customWidth="1"/>
    <col min="13070" max="13312" width="9" style="1124"/>
    <col min="13313" max="13313" width="9.6640625" style="1124" customWidth="1"/>
    <col min="13314" max="13315" width="9" style="1124"/>
    <col min="13316" max="13316" width="10.44140625" style="1124" customWidth="1"/>
    <col min="13317" max="13318" width="9.77734375" style="1124" customWidth="1"/>
    <col min="13319" max="13324" width="9" style="1124"/>
    <col min="13325" max="13325" width="0" style="1124" hidden="1" customWidth="1"/>
    <col min="13326" max="13568" width="9" style="1124"/>
    <col min="13569" max="13569" width="9.6640625" style="1124" customWidth="1"/>
    <col min="13570" max="13571" width="9" style="1124"/>
    <col min="13572" max="13572" width="10.44140625" style="1124" customWidth="1"/>
    <col min="13573" max="13574" width="9.77734375" style="1124" customWidth="1"/>
    <col min="13575" max="13580" width="9" style="1124"/>
    <col min="13581" max="13581" width="0" style="1124" hidden="1" customWidth="1"/>
    <col min="13582" max="13824" width="9" style="1124"/>
    <col min="13825" max="13825" width="9.6640625" style="1124" customWidth="1"/>
    <col min="13826" max="13827" width="9" style="1124"/>
    <col min="13828" max="13828" width="10.44140625" style="1124" customWidth="1"/>
    <col min="13829" max="13830" width="9.77734375" style="1124" customWidth="1"/>
    <col min="13831" max="13836" width="9" style="1124"/>
    <col min="13837" max="13837" width="0" style="1124" hidden="1" customWidth="1"/>
    <col min="13838" max="14080" width="9" style="1124"/>
    <col min="14081" max="14081" width="9.6640625" style="1124" customWidth="1"/>
    <col min="14082" max="14083" width="9" style="1124"/>
    <col min="14084" max="14084" width="10.44140625" style="1124" customWidth="1"/>
    <col min="14085" max="14086" width="9.77734375" style="1124" customWidth="1"/>
    <col min="14087" max="14092" width="9" style="1124"/>
    <col min="14093" max="14093" width="0" style="1124" hidden="1" customWidth="1"/>
    <col min="14094" max="14336" width="9" style="1124"/>
    <col min="14337" max="14337" width="9.6640625" style="1124" customWidth="1"/>
    <col min="14338" max="14339" width="9" style="1124"/>
    <col min="14340" max="14340" width="10.44140625" style="1124" customWidth="1"/>
    <col min="14341" max="14342" width="9.77734375" style="1124" customWidth="1"/>
    <col min="14343" max="14348" width="9" style="1124"/>
    <col min="14349" max="14349" width="0" style="1124" hidden="1" customWidth="1"/>
    <col min="14350" max="14592" width="9" style="1124"/>
    <col min="14593" max="14593" width="9.6640625" style="1124" customWidth="1"/>
    <col min="14594" max="14595" width="9" style="1124"/>
    <col min="14596" max="14596" width="10.44140625" style="1124" customWidth="1"/>
    <col min="14597" max="14598" width="9.77734375" style="1124" customWidth="1"/>
    <col min="14599" max="14604" width="9" style="1124"/>
    <col min="14605" max="14605" width="0" style="1124" hidden="1" customWidth="1"/>
    <col min="14606" max="14848" width="9" style="1124"/>
    <col min="14849" max="14849" width="9.6640625" style="1124" customWidth="1"/>
    <col min="14850" max="14851" width="9" style="1124"/>
    <col min="14852" max="14852" width="10.44140625" style="1124" customWidth="1"/>
    <col min="14853" max="14854" width="9.77734375" style="1124" customWidth="1"/>
    <col min="14855" max="14860" width="9" style="1124"/>
    <col min="14861" max="14861" width="0" style="1124" hidden="1" customWidth="1"/>
    <col min="14862" max="15104" width="9" style="1124"/>
    <col min="15105" max="15105" width="9.6640625" style="1124" customWidth="1"/>
    <col min="15106" max="15107" width="9" style="1124"/>
    <col min="15108" max="15108" width="10.44140625" style="1124" customWidth="1"/>
    <col min="15109" max="15110" width="9.77734375" style="1124" customWidth="1"/>
    <col min="15111" max="15116" width="9" style="1124"/>
    <col min="15117" max="15117" width="0" style="1124" hidden="1" customWidth="1"/>
    <col min="15118" max="15360" width="9" style="1124"/>
    <col min="15361" max="15361" width="9.6640625" style="1124" customWidth="1"/>
    <col min="15362" max="15363" width="9" style="1124"/>
    <col min="15364" max="15364" width="10.44140625" style="1124" customWidth="1"/>
    <col min="15365" max="15366" width="9.77734375" style="1124" customWidth="1"/>
    <col min="15367" max="15372" width="9" style="1124"/>
    <col min="15373" max="15373" width="0" style="1124" hidden="1" customWidth="1"/>
    <col min="15374" max="15616" width="9" style="1124"/>
    <col min="15617" max="15617" width="9.6640625" style="1124" customWidth="1"/>
    <col min="15618" max="15619" width="9" style="1124"/>
    <col min="15620" max="15620" width="10.44140625" style="1124" customWidth="1"/>
    <col min="15621" max="15622" width="9.77734375" style="1124" customWidth="1"/>
    <col min="15623" max="15628" width="9" style="1124"/>
    <col min="15629" max="15629" width="0" style="1124" hidden="1" customWidth="1"/>
    <col min="15630" max="15872" width="9" style="1124"/>
    <col min="15873" max="15873" width="9.6640625" style="1124" customWidth="1"/>
    <col min="15874" max="15875" width="9" style="1124"/>
    <col min="15876" max="15876" width="10.44140625" style="1124" customWidth="1"/>
    <col min="15877" max="15878" width="9.77734375" style="1124" customWidth="1"/>
    <col min="15879" max="15884" width="9" style="1124"/>
    <col min="15885" max="15885" width="0" style="1124" hidden="1" customWidth="1"/>
    <col min="15886" max="16128" width="9" style="1124"/>
    <col min="16129" max="16129" width="9.6640625" style="1124" customWidth="1"/>
    <col min="16130" max="16131" width="9" style="1124"/>
    <col min="16132" max="16132" width="10.44140625" style="1124" customWidth="1"/>
    <col min="16133" max="16134" width="9.77734375" style="1124" customWidth="1"/>
    <col min="16135" max="16140" width="9" style="1124"/>
    <col min="16141" max="16141" width="0" style="1124" hidden="1" customWidth="1"/>
    <col min="16142" max="16384" width="9" style="1124"/>
  </cols>
  <sheetData>
    <row r="1" spans="1:13" s="1117" customFormat="1" ht="60.75" thickBot="1">
      <c r="A1" s="1111" t="s">
        <v>0</v>
      </c>
      <c r="B1" s="1112" t="s">
        <v>1</v>
      </c>
      <c r="C1" s="1112" t="s">
        <v>2</v>
      </c>
      <c r="D1" s="1113" t="s">
        <v>3</v>
      </c>
      <c r="E1" s="1114" t="s">
        <v>4</v>
      </c>
      <c r="F1" s="1115" t="s">
        <v>5</v>
      </c>
      <c r="G1" s="1114" t="s">
        <v>6</v>
      </c>
      <c r="H1" s="1115" t="s">
        <v>7</v>
      </c>
      <c r="I1" s="1115" t="s">
        <v>8</v>
      </c>
      <c r="J1" s="1115" t="s">
        <v>9</v>
      </c>
      <c r="K1" s="1114" t="s">
        <v>10</v>
      </c>
      <c r="L1" s="1114" t="s">
        <v>11</v>
      </c>
      <c r="M1" s="1116" t="s">
        <v>12</v>
      </c>
    </row>
    <row r="2" spans="1:13">
      <c r="A2" s="1118" t="s">
        <v>13</v>
      </c>
      <c r="B2" s="1119">
        <v>1</v>
      </c>
      <c r="C2" s="1119">
        <v>6</v>
      </c>
      <c r="D2" s="1120">
        <v>2021</v>
      </c>
      <c r="E2" s="1121">
        <f>(IF('Daily HLP'!I4&gt;0,'Daily HLP'!H4,0))</f>
        <v>16655</v>
      </c>
      <c r="F2" s="1122">
        <v>9</v>
      </c>
      <c r="G2" s="1122">
        <f>(IF('Daily HLP'!M4&gt;0,'Daily HLP'!M4,0))</f>
        <v>267</v>
      </c>
      <c r="H2" s="1122">
        <v>52</v>
      </c>
      <c r="I2" s="1122">
        <f>(IF('Daily HLP'!P4&gt;0,'Daily HLP'!P4,0))</f>
        <v>80</v>
      </c>
      <c r="J2" s="1122">
        <v>118</v>
      </c>
      <c r="K2" s="1153">
        <f>Occupancy!G2</f>
        <v>57</v>
      </c>
      <c r="L2" s="1121">
        <f>Occupancy!F2</f>
        <v>57</v>
      </c>
      <c r="M2" s="1123" t="e">
        <f>E2*F2+G2*H2+#REF!*#REF!+I2*J2</f>
        <v>#REF!</v>
      </c>
    </row>
    <row r="3" spans="1:13">
      <c r="A3" s="1118" t="s">
        <v>13</v>
      </c>
      <c r="B3" s="1119">
        <f>B2+1</f>
        <v>2</v>
      </c>
      <c r="C3" s="1119">
        <v>6</v>
      </c>
      <c r="D3" s="1120">
        <v>2021</v>
      </c>
      <c r="E3" s="1121">
        <f>(IF('Daily HLP'!I5&gt;0,'Daily HLP'!H5,0))</f>
        <v>16620.270000000019</v>
      </c>
      <c r="F3" s="1122">
        <v>9</v>
      </c>
      <c r="G3" s="1122">
        <f>(IF('Daily HLP'!M5&gt;0,'Daily HLP'!M5,0))</f>
        <v>436.69999999995343</v>
      </c>
      <c r="H3" s="1122">
        <v>52</v>
      </c>
      <c r="I3" s="1122">
        <f>(IF('Daily HLP'!P5&gt;0,'Daily HLP'!P5,0))</f>
        <v>112</v>
      </c>
      <c r="J3" s="1122">
        <v>118</v>
      </c>
      <c r="K3" s="1153">
        <f>Occupancy!G3</f>
        <v>68</v>
      </c>
      <c r="L3" s="1121">
        <f>Occupancy!F3</f>
        <v>69</v>
      </c>
      <c r="M3" s="1123" t="e">
        <f>E3*F3+G3*H3+#REF!*#REF!+I3*J3</f>
        <v>#REF!</v>
      </c>
    </row>
    <row r="4" spans="1:13">
      <c r="A4" s="1118" t="s">
        <v>13</v>
      </c>
      <c r="B4" s="1119">
        <f t="shared" ref="B4:B32" si="0">B3+1</f>
        <v>3</v>
      </c>
      <c r="C4" s="1119">
        <v>6</v>
      </c>
      <c r="D4" s="1120">
        <v>2021</v>
      </c>
      <c r="E4" s="1121">
        <f>(IF('Daily HLP'!I6&gt;0,'Daily HLP'!H6,0))</f>
        <v>16135.809999999998</v>
      </c>
      <c r="F4" s="1122">
        <v>9</v>
      </c>
      <c r="G4" s="1122">
        <f>(IF('Daily HLP'!M6&gt;0,'Daily HLP'!M6,0))</f>
        <v>615.80400000000373</v>
      </c>
      <c r="H4" s="1122">
        <v>52</v>
      </c>
      <c r="I4" s="1122">
        <f>(IF('Daily HLP'!P6&gt;0,'Daily HLP'!P6,0))</f>
        <v>143</v>
      </c>
      <c r="J4" s="1122">
        <v>118</v>
      </c>
      <c r="K4" s="1153">
        <f>Occupancy!G4</f>
        <v>60</v>
      </c>
      <c r="L4" s="1121">
        <f>Occupancy!F4</f>
        <v>97</v>
      </c>
      <c r="M4" s="1123" t="e">
        <f>E4*F4+G4*H4+#REF!*#REF!+I4*J4</f>
        <v>#REF!</v>
      </c>
    </row>
    <row r="5" spans="1:13">
      <c r="A5" s="1118" t="s">
        <v>13</v>
      </c>
      <c r="B5" s="1119">
        <f t="shared" si="0"/>
        <v>4</v>
      </c>
      <c r="C5" s="1119">
        <v>6</v>
      </c>
      <c r="D5" s="1120">
        <v>2021</v>
      </c>
      <c r="E5" s="1121">
        <f>(IF('Daily HLP'!I7&gt;0,'Daily HLP'!H7,0))</f>
        <v>16478.789999999979</v>
      </c>
      <c r="F5" s="1122">
        <v>9</v>
      </c>
      <c r="G5" s="1122">
        <f>(IF('Daily HLP'!M7&gt;0,'Daily HLP'!M7,0))</f>
        <v>302.90400000009686</v>
      </c>
      <c r="H5" s="1122">
        <v>52</v>
      </c>
      <c r="I5" s="1122">
        <f>(IF('Daily HLP'!P7&gt;0,'Daily HLP'!P7,0))</f>
        <v>101</v>
      </c>
      <c r="J5" s="1122">
        <v>118</v>
      </c>
      <c r="K5" s="1153">
        <f>Occupancy!G5</f>
        <v>92</v>
      </c>
      <c r="L5" s="1121">
        <f>Occupancy!F5</f>
        <v>209</v>
      </c>
      <c r="M5" s="1123" t="e">
        <f>E5*F5+G5*H5+#REF!*#REF!+I5*J5</f>
        <v>#REF!</v>
      </c>
    </row>
    <row r="6" spans="1:13">
      <c r="A6" s="1118" t="s">
        <v>13</v>
      </c>
      <c r="B6" s="1119">
        <f t="shared" si="0"/>
        <v>5</v>
      </c>
      <c r="C6" s="1119">
        <v>6</v>
      </c>
      <c r="D6" s="1120">
        <v>2021</v>
      </c>
      <c r="E6" s="1121">
        <f>(IF('Daily HLP'!I8&gt;0,'Daily HLP'!H8,0))</f>
        <v>20105.280000000028</v>
      </c>
      <c r="F6" s="1122">
        <v>9</v>
      </c>
      <c r="G6" s="1122">
        <f>(IF('Daily HLP'!M8&gt;0,'Daily HLP'!M8,0))</f>
        <v>453.90200000000186</v>
      </c>
      <c r="H6" s="1122">
        <v>52</v>
      </c>
      <c r="I6" s="1122">
        <f>(IF('Daily HLP'!P8&gt;0,'Daily HLP'!P8,0))</f>
        <v>102</v>
      </c>
      <c r="J6" s="1122">
        <v>118</v>
      </c>
      <c r="K6" s="1153">
        <f>Occupancy!G6</f>
        <v>159</v>
      </c>
      <c r="L6" s="1121">
        <f>Occupancy!F6</f>
        <v>433</v>
      </c>
      <c r="M6" s="1123" t="e">
        <f>E6*F6+G6*H6+#REF!*#REF!+I6*J6</f>
        <v>#REF!</v>
      </c>
    </row>
    <row r="7" spans="1:13">
      <c r="A7" s="1118" t="s">
        <v>13</v>
      </c>
      <c r="B7" s="1119">
        <f t="shared" si="0"/>
        <v>6</v>
      </c>
      <c r="C7" s="1119">
        <v>6</v>
      </c>
      <c r="D7" s="1120">
        <v>2021</v>
      </c>
      <c r="E7" s="1121">
        <f>(IF('Daily HLP'!I9&gt;0,'Daily HLP'!H9,0))</f>
        <v>18422.639999999956</v>
      </c>
      <c r="F7" s="1122">
        <v>9</v>
      </c>
      <c r="G7" s="1122">
        <f>(IF('Daily HLP'!M9&gt;0,'Daily HLP'!M9,0))</f>
        <v>556.86999999987893</v>
      </c>
      <c r="H7" s="1122">
        <v>52</v>
      </c>
      <c r="I7" s="1122">
        <f>(IF('Daily HLP'!P9&gt;0,'Daily HLP'!P9,0))</f>
        <v>175</v>
      </c>
      <c r="J7" s="1122">
        <v>118</v>
      </c>
      <c r="K7" s="1153">
        <f>Occupancy!G7</f>
        <v>78</v>
      </c>
      <c r="L7" s="1121">
        <f>Occupancy!F7</f>
        <v>220</v>
      </c>
      <c r="M7" s="1123" t="e">
        <f>E7*F7+G7*H7+#REF!*#REF!+I7*J7</f>
        <v>#REF!</v>
      </c>
    </row>
    <row r="8" spans="1:13">
      <c r="A8" s="1118" t="s">
        <v>13</v>
      </c>
      <c r="B8" s="1119">
        <f t="shared" si="0"/>
        <v>7</v>
      </c>
      <c r="C8" s="1119">
        <v>6</v>
      </c>
      <c r="D8" s="1120">
        <v>2021</v>
      </c>
      <c r="E8" s="1121">
        <f>(IF('Daily HLP'!I10&gt;0,'Daily HLP'!H10,0))</f>
        <v>17315.960000000021</v>
      </c>
      <c r="F8" s="1122">
        <v>9</v>
      </c>
      <c r="G8" s="1122">
        <f>(IF('Daily HLP'!M10&gt;0,'Daily HLP'!M10,0))</f>
        <v>563.6500000001397</v>
      </c>
      <c r="H8" s="1122">
        <v>52</v>
      </c>
      <c r="I8" s="1122">
        <f>(IF('Daily HLP'!P10&gt;0,'Daily HLP'!P10,0))</f>
        <v>122</v>
      </c>
      <c r="J8" s="1122">
        <v>118</v>
      </c>
      <c r="K8" s="1153">
        <f>Occupancy!G8</f>
        <v>63</v>
      </c>
      <c r="L8" s="1121">
        <f>Occupancy!F8</f>
        <v>115</v>
      </c>
      <c r="M8" s="1123" t="e">
        <f>E8*F8+G8*H8+#REF!*#REF!+I8*J8</f>
        <v>#REF!</v>
      </c>
    </row>
    <row r="9" spans="1:13">
      <c r="A9" s="1118" t="s">
        <v>13</v>
      </c>
      <c r="B9" s="1119">
        <f t="shared" si="0"/>
        <v>8</v>
      </c>
      <c r="C9" s="1119">
        <v>6</v>
      </c>
      <c r="D9" s="1120">
        <v>2021</v>
      </c>
      <c r="E9" s="1121">
        <f>(IF('Daily HLP'!I11&gt;0,'Daily HLP'!H11,0))</f>
        <v>17288.559999999998</v>
      </c>
      <c r="F9" s="1122">
        <v>9</v>
      </c>
      <c r="G9" s="1122">
        <f>(IF('Daily HLP'!M11&gt;0,'Daily HLP'!M11,0))</f>
        <v>406.11999999987893</v>
      </c>
      <c r="H9" s="1122">
        <v>52</v>
      </c>
      <c r="I9" s="1122">
        <f>(IF('Daily HLP'!P11&gt;0,'Daily HLP'!P11,0))</f>
        <v>159</v>
      </c>
      <c r="J9" s="1122">
        <v>118</v>
      </c>
      <c r="K9" s="1153">
        <f>Occupancy!G9</f>
        <v>73</v>
      </c>
      <c r="L9" s="1121">
        <f>Occupancy!F9</f>
        <v>140</v>
      </c>
      <c r="M9" s="1123" t="e">
        <f>E9*F9+G9*H9+#REF!*#REF!+I9*J9</f>
        <v>#REF!</v>
      </c>
    </row>
    <row r="10" spans="1:13">
      <c r="A10" s="1118" t="s">
        <v>13</v>
      </c>
      <c r="B10" s="1119">
        <f t="shared" si="0"/>
        <v>9</v>
      </c>
      <c r="C10" s="1119">
        <v>6</v>
      </c>
      <c r="D10" s="1120">
        <v>2021</v>
      </c>
      <c r="E10" s="1121">
        <f>(IF('Daily HLP'!I12&gt;0,'Daily HLP'!H12,0))</f>
        <v>16891.690000000002</v>
      </c>
      <c r="F10" s="1122">
        <v>9</v>
      </c>
      <c r="G10" s="1122">
        <f>(IF('Daily HLP'!M12&gt;0,'Daily HLP'!M12,0))</f>
        <v>345.05000000004657</v>
      </c>
      <c r="H10" s="1122">
        <v>52</v>
      </c>
      <c r="I10" s="1122">
        <f>(IF('Daily HLP'!P12&gt;0,'Daily HLP'!P12,0))</f>
        <v>78</v>
      </c>
      <c r="J10" s="1122">
        <v>118</v>
      </c>
      <c r="K10" s="1153">
        <f>Occupancy!G10</f>
        <v>83</v>
      </c>
      <c r="L10" s="1121">
        <f>Occupancy!F10</f>
        <v>159</v>
      </c>
      <c r="M10" s="1123" t="e">
        <f>E10*F10+G10*H10+#REF!*#REF!+I10*J10</f>
        <v>#REF!</v>
      </c>
    </row>
    <row r="11" spans="1:13">
      <c r="A11" s="1118" t="s">
        <v>13</v>
      </c>
      <c r="B11" s="1119">
        <f t="shared" si="0"/>
        <v>10</v>
      </c>
      <c r="C11" s="1119">
        <v>6</v>
      </c>
      <c r="D11" s="1120">
        <v>2021</v>
      </c>
      <c r="E11" s="1121">
        <f>(IF('Daily HLP'!I13&gt;0,'Daily HLP'!H13,0))</f>
        <v>17110</v>
      </c>
      <c r="F11" s="1122">
        <v>9</v>
      </c>
      <c r="G11" s="1122">
        <f>(IF('Daily HLP'!M13&gt;0,'Daily HLP'!M13,0))</f>
        <v>665</v>
      </c>
      <c r="H11" s="1122">
        <v>52</v>
      </c>
      <c r="I11" s="1122">
        <f>(IF('Daily HLP'!P13&gt;0,'Daily HLP'!P13,0))</f>
        <v>86</v>
      </c>
      <c r="J11" s="1122">
        <v>118</v>
      </c>
      <c r="K11" s="1153">
        <f>Occupancy!G11</f>
        <v>86</v>
      </c>
      <c r="L11" s="1121">
        <f>Occupancy!F11</f>
        <v>182</v>
      </c>
      <c r="M11" s="1123" t="e">
        <f>E11*F11+G11*H11+#REF!*#REF!+I11*J11</f>
        <v>#REF!</v>
      </c>
    </row>
    <row r="12" spans="1:13">
      <c r="A12" s="1118" t="s">
        <v>13</v>
      </c>
      <c r="B12" s="1119">
        <f t="shared" si="0"/>
        <v>11</v>
      </c>
      <c r="C12" s="1119">
        <v>6</v>
      </c>
      <c r="D12" s="1120">
        <v>2021</v>
      </c>
      <c r="E12" s="1121">
        <f>(IF('Daily HLP'!I14&gt;0,'Daily HLP'!H14,0))</f>
        <v>17188</v>
      </c>
      <c r="F12" s="1122">
        <v>9</v>
      </c>
      <c r="G12" s="1122">
        <f>(IF('Daily HLP'!M14&gt;0,'Daily HLP'!M14,0))</f>
        <v>498</v>
      </c>
      <c r="H12" s="1122">
        <v>52</v>
      </c>
      <c r="I12" s="1122">
        <f>(IF('Daily HLP'!P14&gt;0,'Daily HLP'!P14,0))</f>
        <v>103</v>
      </c>
      <c r="J12" s="1122">
        <v>118</v>
      </c>
      <c r="K12" s="1153">
        <f>Occupancy!G12</f>
        <v>0</v>
      </c>
      <c r="L12" s="1121">
        <f>Occupancy!F12</f>
        <v>0</v>
      </c>
      <c r="M12" s="1123" t="e">
        <f>E12*F12+G12*H12+#REF!*#REF!+I12*J12</f>
        <v>#REF!</v>
      </c>
    </row>
    <row r="13" spans="1:13">
      <c r="A13" s="1118" t="s">
        <v>13</v>
      </c>
      <c r="B13" s="1119">
        <f t="shared" si="0"/>
        <v>12</v>
      </c>
      <c r="C13" s="1119">
        <v>6</v>
      </c>
      <c r="D13" s="1120">
        <v>2021</v>
      </c>
      <c r="E13" s="1121">
        <f>(IF('Daily HLP'!I15&gt;0,'Daily HLP'!H15,0))</f>
        <v>18830</v>
      </c>
      <c r="F13" s="1122">
        <v>9</v>
      </c>
      <c r="G13" s="1122">
        <f>(IF('Daily HLP'!M15&gt;0,'Daily HLP'!M15,0))</f>
        <v>460</v>
      </c>
      <c r="H13" s="1122">
        <v>52</v>
      </c>
      <c r="I13" s="1122">
        <f>(IF('Daily HLP'!P15&gt;0,'Daily HLP'!P15,0))</f>
        <v>125</v>
      </c>
      <c r="J13" s="1122">
        <v>118</v>
      </c>
      <c r="K13" s="1153">
        <f>Occupancy!G13</f>
        <v>0</v>
      </c>
      <c r="L13" s="1121">
        <f>Occupancy!F13</f>
        <v>0</v>
      </c>
      <c r="M13" s="1123" t="e">
        <f>E13*F13+G13*H13+#REF!*#REF!+I13*J13</f>
        <v>#REF!</v>
      </c>
    </row>
    <row r="14" spans="1:13">
      <c r="A14" s="1118" t="s">
        <v>13</v>
      </c>
      <c r="B14" s="1119">
        <f t="shared" si="0"/>
        <v>13</v>
      </c>
      <c r="C14" s="1119">
        <v>6</v>
      </c>
      <c r="D14" s="1120">
        <v>2021</v>
      </c>
      <c r="E14" s="1121">
        <f>(IF('Daily HLP'!I16&gt;0,'Daily HLP'!H16,0))</f>
        <v>20443</v>
      </c>
      <c r="F14" s="1122">
        <v>9</v>
      </c>
      <c r="G14" s="1122">
        <f>(IF('Daily HLP'!M16&gt;0,'Daily HLP'!M16,0))</f>
        <v>737</v>
      </c>
      <c r="H14" s="1122">
        <v>52</v>
      </c>
      <c r="I14" s="1122">
        <f>(IF('Daily HLP'!P16&gt;0,'Daily HLP'!P16,0))</f>
        <v>194</v>
      </c>
      <c r="J14" s="1122">
        <v>118</v>
      </c>
      <c r="K14" s="1153">
        <f>Occupancy!G14</f>
        <v>0</v>
      </c>
      <c r="L14" s="1121">
        <f>Occupancy!F14</f>
        <v>0</v>
      </c>
      <c r="M14" s="1123" t="e">
        <f>E14*F14+G14*H14+#REF!*#REF!+I14*J14</f>
        <v>#REF!</v>
      </c>
    </row>
    <row r="15" spans="1:13">
      <c r="A15" s="1118" t="s">
        <v>13</v>
      </c>
      <c r="B15" s="1119">
        <f t="shared" si="0"/>
        <v>14</v>
      </c>
      <c r="C15" s="1119">
        <v>6</v>
      </c>
      <c r="D15" s="1120">
        <v>2021</v>
      </c>
      <c r="E15" s="1121">
        <f>(IF('Daily HLP'!I17&gt;0,'Daily HLP'!H17,0))</f>
        <v>17150</v>
      </c>
      <c r="F15" s="1122">
        <v>9</v>
      </c>
      <c r="G15" s="1122">
        <f>(IF('Daily HLP'!M17&gt;0,'Daily HLP'!M17,0))</f>
        <v>550</v>
      </c>
      <c r="H15" s="1122">
        <v>52</v>
      </c>
      <c r="I15" s="1122">
        <f>(IF('Daily HLP'!P17&gt;0,'Daily HLP'!P17,0))</f>
        <v>0</v>
      </c>
      <c r="J15" s="1122">
        <v>118</v>
      </c>
      <c r="K15" s="1153">
        <f>Occupancy!G15</f>
        <v>0</v>
      </c>
      <c r="L15" s="1121">
        <f>Occupancy!F15</f>
        <v>0</v>
      </c>
      <c r="M15" s="1123" t="e">
        <f>E15*F15+G15*H15+#REF!*#REF!+I15*J15</f>
        <v>#REF!</v>
      </c>
    </row>
    <row r="16" spans="1:13">
      <c r="A16" s="1118" t="s">
        <v>13</v>
      </c>
      <c r="B16" s="1119">
        <f t="shared" si="0"/>
        <v>15</v>
      </c>
      <c r="C16" s="1119">
        <v>6</v>
      </c>
      <c r="D16" s="1120">
        <v>2021</v>
      </c>
      <c r="E16" s="1121">
        <f>(IF('Daily HLP'!I18&gt;0,'Daily HLP'!H18,0))</f>
        <v>17150</v>
      </c>
      <c r="F16" s="1122">
        <v>9</v>
      </c>
      <c r="G16" s="1122">
        <f>(IF('Daily HLP'!M18&gt;0,'Daily HLP'!M18,0))</f>
        <v>550</v>
      </c>
      <c r="H16" s="1122">
        <v>52</v>
      </c>
      <c r="I16" s="1122">
        <f>(IF('Daily HLP'!P18&gt;0,'Daily HLP'!P18,0))</f>
        <v>116</v>
      </c>
      <c r="J16" s="1122">
        <v>118</v>
      </c>
      <c r="K16" s="1153">
        <f>Occupancy!G16</f>
        <v>0</v>
      </c>
      <c r="L16" s="1121">
        <f>Occupancy!F16</f>
        <v>0</v>
      </c>
      <c r="M16" s="1123" t="e">
        <f>E16*F16+G16*H16+#REF!*#REF!+I16*J16</f>
        <v>#REF!</v>
      </c>
    </row>
    <row r="17" spans="1:13">
      <c r="A17" s="1118" t="s">
        <v>13</v>
      </c>
      <c r="B17" s="1119">
        <f t="shared" si="0"/>
        <v>16</v>
      </c>
      <c r="C17" s="1119">
        <v>6</v>
      </c>
      <c r="D17" s="1120">
        <v>2021</v>
      </c>
      <c r="E17" s="1121">
        <f>(IF('Daily HLP'!I19&gt;0,'Daily HLP'!H19,0))</f>
        <v>17150</v>
      </c>
      <c r="F17" s="1122">
        <v>9</v>
      </c>
      <c r="G17" s="1122">
        <f>(IF('Daily HLP'!M19&gt;0,'Daily HLP'!M19,0))</f>
        <v>550</v>
      </c>
      <c r="H17" s="1122">
        <v>52</v>
      </c>
      <c r="I17" s="1122">
        <f>(IF('Daily HLP'!P19&gt;0,'Daily HLP'!P19,0))</f>
        <v>117</v>
      </c>
      <c r="J17" s="1122">
        <v>118</v>
      </c>
      <c r="K17" s="1153">
        <f>Occupancy!G17</f>
        <v>0</v>
      </c>
      <c r="L17" s="1121">
        <f>Occupancy!F17</f>
        <v>0</v>
      </c>
      <c r="M17" s="1123" t="e">
        <f>E17*F17+G17*H17+#REF!*#REF!+I17*J17</f>
        <v>#REF!</v>
      </c>
    </row>
    <row r="18" spans="1:13">
      <c r="A18" s="1118" t="s">
        <v>13</v>
      </c>
      <c r="B18" s="1119">
        <f t="shared" si="0"/>
        <v>17</v>
      </c>
      <c r="C18" s="1119">
        <v>6</v>
      </c>
      <c r="D18" s="1120">
        <v>2021</v>
      </c>
      <c r="E18" s="1121">
        <f>(IF('Daily HLP'!I20&gt;0,'Daily HLP'!H20,0))</f>
        <v>17150</v>
      </c>
      <c r="F18" s="1122">
        <v>9</v>
      </c>
      <c r="G18" s="1122">
        <f>(IF('Daily HLP'!M20&gt;0,'Daily HLP'!M20,0))</f>
        <v>550</v>
      </c>
      <c r="H18" s="1122">
        <v>52</v>
      </c>
      <c r="I18" s="1122">
        <f>(IF('Daily HLP'!P20&gt;0,'Daily HLP'!P20,0))</f>
        <v>76</v>
      </c>
      <c r="J18" s="1122">
        <v>118</v>
      </c>
      <c r="K18" s="1153">
        <f>Occupancy!G18</f>
        <v>0</v>
      </c>
      <c r="L18" s="1121">
        <f>Occupancy!F18</f>
        <v>0</v>
      </c>
      <c r="M18" s="1123" t="e">
        <f>E18*F18+G18*H18+#REF!*#REF!+I18*J18</f>
        <v>#REF!</v>
      </c>
    </row>
    <row r="19" spans="1:13">
      <c r="A19" s="1118" t="s">
        <v>13</v>
      </c>
      <c r="B19" s="1119">
        <f t="shared" si="0"/>
        <v>18</v>
      </c>
      <c r="C19" s="1119">
        <v>6</v>
      </c>
      <c r="D19" s="1120">
        <v>2021</v>
      </c>
      <c r="E19" s="1121">
        <f>(IF('Daily HLP'!I21&gt;0,'Daily HLP'!H21,0))</f>
        <v>17150</v>
      </c>
      <c r="F19" s="1122">
        <v>9</v>
      </c>
      <c r="G19" s="1122">
        <f>(IF('Daily HLP'!M21&gt;0,'Daily HLP'!M21,0))</f>
        <v>550</v>
      </c>
      <c r="H19" s="1122">
        <v>52</v>
      </c>
      <c r="I19" s="1122">
        <f>(IF('Daily HLP'!P21&gt;0,'Daily HLP'!P21,0))</f>
        <v>105</v>
      </c>
      <c r="J19" s="1122">
        <v>118</v>
      </c>
      <c r="K19" s="1153">
        <f>Occupancy!G19</f>
        <v>0</v>
      </c>
      <c r="L19" s="1121">
        <f>Occupancy!F19</f>
        <v>0</v>
      </c>
      <c r="M19" s="1123" t="e">
        <f>E19*F19+G19*H19+#REF!*#REF!+I19*J19</f>
        <v>#REF!</v>
      </c>
    </row>
    <row r="20" spans="1:13">
      <c r="A20" s="1118" t="s">
        <v>13</v>
      </c>
      <c r="B20" s="1119">
        <f t="shared" si="0"/>
        <v>19</v>
      </c>
      <c r="C20" s="1119">
        <v>6</v>
      </c>
      <c r="D20" s="1120">
        <v>2021</v>
      </c>
      <c r="E20" s="1121">
        <f>(IF('Daily HLP'!I22&gt;0,'Daily HLP'!H22,0))</f>
        <v>17150</v>
      </c>
      <c r="F20" s="1122">
        <v>9</v>
      </c>
      <c r="G20" s="1122">
        <f>(IF('Daily HLP'!M22&gt;0,'Daily HLP'!M22,0))</f>
        <v>550</v>
      </c>
      <c r="H20" s="1122">
        <v>52</v>
      </c>
      <c r="I20" s="1122">
        <f>(IF('Daily HLP'!P22&gt;0,'Daily HLP'!P22,0))</f>
        <v>60</v>
      </c>
      <c r="J20" s="1122">
        <v>118</v>
      </c>
      <c r="K20" s="1153">
        <f>Occupancy!G20</f>
        <v>0</v>
      </c>
      <c r="L20" s="1121">
        <f>Occupancy!F20</f>
        <v>0</v>
      </c>
      <c r="M20" s="1123" t="e">
        <f>E20*F20+G20*H20+#REF!*#REF!+I20*J20</f>
        <v>#REF!</v>
      </c>
    </row>
    <row r="21" spans="1:13">
      <c r="A21" s="1118" t="s">
        <v>13</v>
      </c>
      <c r="B21" s="1119">
        <f t="shared" si="0"/>
        <v>20</v>
      </c>
      <c r="C21" s="1119">
        <v>6</v>
      </c>
      <c r="D21" s="1120">
        <v>2021</v>
      </c>
      <c r="E21" s="1121">
        <f>(IF('Daily HLP'!I23&gt;0,'Daily HLP'!H23,0))</f>
        <v>17150</v>
      </c>
      <c r="F21" s="1122">
        <v>9</v>
      </c>
      <c r="G21" s="1122">
        <f>(IF('Daily HLP'!M23&gt;0,'Daily HLP'!M23,0))</f>
        <v>550</v>
      </c>
      <c r="H21" s="1122">
        <v>52</v>
      </c>
      <c r="I21" s="1122">
        <f>(IF('Daily HLP'!P23&gt;0,'Daily HLP'!P23,0))</f>
        <v>57</v>
      </c>
      <c r="J21" s="1122">
        <v>118</v>
      </c>
      <c r="K21" s="1153">
        <f>Occupancy!G21</f>
        <v>0</v>
      </c>
      <c r="L21" s="1121">
        <f>Occupancy!F21</f>
        <v>0</v>
      </c>
      <c r="M21" s="1123" t="e">
        <f>E21*F21+G21*H21+#REF!*#REF!+I21*J21</f>
        <v>#REF!</v>
      </c>
    </row>
    <row r="22" spans="1:13">
      <c r="A22" s="1118" t="s">
        <v>13</v>
      </c>
      <c r="B22" s="1119">
        <f t="shared" si="0"/>
        <v>21</v>
      </c>
      <c r="C22" s="1119">
        <v>6</v>
      </c>
      <c r="D22" s="1120">
        <v>2021</v>
      </c>
      <c r="E22" s="1121">
        <f>(IF('Daily HLP'!I24&gt;0,'Daily HLP'!H24,0))</f>
        <v>17150</v>
      </c>
      <c r="F22" s="1122">
        <v>9</v>
      </c>
      <c r="G22" s="1122">
        <f>(IF('Daily HLP'!M24&gt;0,'Daily HLP'!M24,0))</f>
        <v>550</v>
      </c>
      <c r="H22" s="1122">
        <v>52</v>
      </c>
      <c r="I22" s="1122">
        <f>(IF('Daily HLP'!P24&gt;0,'Daily HLP'!P24,0))</f>
        <v>96</v>
      </c>
      <c r="J22" s="1122">
        <v>118</v>
      </c>
      <c r="K22" s="1153">
        <f>Occupancy!G22</f>
        <v>0</v>
      </c>
      <c r="L22" s="1121">
        <f>Occupancy!F22</f>
        <v>0</v>
      </c>
      <c r="M22" s="1123" t="e">
        <f>E22*F22+G22*H22+#REF!*#REF!+I22*J22</f>
        <v>#REF!</v>
      </c>
    </row>
    <row r="23" spans="1:13">
      <c r="A23" s="1118" t="s">
        <v>13</v>
      </c>
      <c r="B23" s="1119">
        <f t="shared" si="0"/>
        <v>22</v>
      </c>
      <c r="C23" s="1119">
        <v>6</v>
      </c>
      <c r="D23" s="1120">
        <v>2021</v>
      </c>
      <c r="E23" s="1121">
        <f>(IF('Daily HLP'!I25&gt;0,'Daily HLP'!H25,0))</f>
        <v>17150</v>
      </c>
      <c r="F23" s="1122">
        <v>9</v>
      </c>
      <c r="G23" s="1122">
        <f>(IF('Daily HLP'!M25&gt;0,'Daily HLP'!M25,0))</f>
        <v>550</v>
      </c>
      <c r="H23" s="1122">
        <v>52</v>
      </c>
      <c r="I23" s="1122">
        <f>(IF('Daily HLP'!P25&gt;0,'Daily HLP'!P25,0))</f>
        <v>150</v>
      </c>
      <c r="J23" s="1122">
        <v>118</v>
      </c>
      <c r="K23" s="1153">
        <f>Occupancy!G23</f>
        <v>0</v>
      </c>
      <c r="L23" s="1121">
        <f>Occupancy!F23</f>
        <v>0</v>
      </c>
      <c r="M23" s="1123" t="e">
        <f>E23*F23+G23*H23+#REF!*#REF!+I23*J23</f>
        <v>#REF!</v>
      </c>
    </row>
    <row r="24" spans="1:13">
      <c r="A24" s="1118" t="s">
        <v>13</v>
      </c>
      <c r="B24" s="1119">
        <f t="shared" si="0"/>
        <v>23</v>
      </c>
      <c r="C24" s="1119">
        <v>6</v>
      </c>
      <c r="D24" s="1120">
        <v>2021</v>
      </c>
      <c r="E24" s="1121">
        <f>(IF('Daily HLP'!I26&gt;0,'Daily HLP'!H26,0))</f>
        <v>17150</v>
      </c>
      <c r="F24" s="1122">
        <v>9</v>
      </c>
      <c r="G24" s="1122">
        <f>(IF('Daily HLP'!M26&gt;0,'Daily HLP'!M26,0))</f>
        <v>550</v>
      </c>
      <c r="H24" s="1122">
        <v>52</v>
      </c>
      <c r="I24" s="1122">
        <f>(IF('Daily HLP'!P26&gt;0,'Daily HLP'!P26,0))</f>
        <v>140</v>
      </c>
      <c r="J24" s="1122">
        <v>118</v>
      </c>
      <c r="K24" s="1153">
        <f>Occupancy!G24</f>
        <v>0</v>
      </c>
      <c r="L24" s="1121">
        <f>Occupancy!F24</f>
        <v>0</v>
      </c>
      <c r="M24" s="1123" t="e">
        <f>E24*F24+G24*H24+#REF!*#REF!+I24*J24</f>
        <v>#REF!</v>
      </c>
    </row>
    <row r="25" spans="1:13">
      <c r="A25" s="1118" t="s">
        <v>13</v>
      </c>
      <c r="B25" s="1119">
        <f t="shared" si="0"/>
        <v>24</v>
      </c>
      <c r="C25" s="1119">
        <v>6</v>
      </c>
      <c r="D25" s="1120">
        <v>2021</v>
      </c>
      <c r="E25" s="1121">
        <f>(IF('Daily HLP'!I27&gt;0,'Daily HLP'!H27,0))</f>
        <v>17150</v>
      </c>
      <c r="F25" s="1122">
        <v>9</v>
      </c>
      <c r="G25" s="1122">
        <f>(IF('Daily HLP'!M27&gt;0,'Daily HLP'!M27,0))</f>
        <v>550</v>
      </c>
      <c r="H25" s="1122">
        <v>52</v>
      </c>
      <c r="I25" s="1122">
        <f>(IF('Daily HLP'!P27&gt;0,'Daily HLP'!P27,0))</f>
        <v>110</v>
      </c>
      <c r="J25" s="1122">
        <v>118</v>
      </c>
      <c r="K25" s="1153">
        <f>Occupancy!G25</f>
        <v>0</v>
      </c>
      <c r="L25" s="1121">
        <f>Occupancy!F25</f>
        <v>0</v>
      </c>
      <c r="M25" s="1123" t="e">
        <f>E25*F25+G25*H25+#REF!*#REF!+I25*J25</f>
        <v>#REF!</v>
      </c>
    </row>
    <row r="26" spans="1:13">
      <c r="A26" s="1118" t="s">
        <v>13</v>
      </c>
      <c r="B26" s="1119">
        <f>B25+1</f>
        <v>25</v>
      </c>
      <c r="C26" s="1119">
        <v>6</v>
      </c>
      <c r="D26" s="1120">
        <v>2021</v>
      </c>
      <c r="E26" s="1121">
        <f>(IF('Daily HLP'!I28&gt;0,'Daily HLP'!H28,0))</f>
        <v>17150</v>
      </c>
      <c r="F26" s="1122">
        <v>9</v>
      </c>
      <c r="G26" s="1122">
        <f>(IF('Daily HLP'!M28&gt;0,'Daily HLP'!M28,0))</f>
        <v>550</v>
      </c>
      <c r="H26" s="1122">
        <v>52</v>
      </c>
      <c r="I26" s="1122">
        <f>(IF('Daily HLP'!P28&gt;0,'Daily HLP'!P28,0))</f>
        <v>120</v>
      </c>
      <c r="J26" s="1122">
        <v>118</v>
      </c>
      <c r="K26" s="1153">
        <f>Occupancy!G26</f>
        <v>0</v>
      </c>
      <c r="L26" s="1121">
        <f>Occupancy!F26</f>
        <v>0</v>
      </c>
      <c r="M26" s="1123" t="e">
        <f>E26*F26+G26*H26+#REF!*#REF!+I26*J26</f>
        <v>#REF!</v>
      </c>
    </row>
    <row r="27" spans="1:13">
      <c r="A27" s="1118" t="s">
        <v>13</v>
      </c>
      <c r="B27" s="1119">
        <f t="shared" si="0"/>
        <v>26</v>
      </c>
      <c r="C27" s="1119">
        <v>6</v>
      </c>
      <c r="D27" s="1120">
        <v>2021</v>
      </c>
      <c r="E27" s="1121">
        <f>(IF('Daily HLP'!I29&gt;0,'Daily HLP'!H29,0))</f>
        <v>17150</v>
      </c>
      <c r="F27" s="1122">
        <v>9</v>
      </c>
      <c r="G27" s="1122">
        <f>(IF('Daily HLP'!M29&gt;0,'Daily HLP'!M29,0))</f>
        <v>550</v>
      </c>
      <c r="H27" s="1122">
        <v>52</v>
      </c>
      <c r="I27" s="1122">
        <f>(IF('Daily HLP'!P29&gt;0,'Daily HLP'!P29,0))</f>
        <v>113</v>
      </c>
      <c r="J27" s="1122">
        <v>118</v>
      </c>
      <c r="K27" s="1153">
        <f>Occupancy!G27</f>
        <v>0</v>
      </c>
      <c r="L27" s="1121">
        <f>Occupancy!F27</f>
        <v>0</v>
      </c>
      <c r="M27" s="1123" t="e">
        <f>E27*F27+G27*H27+#REF!*#REF!+I27*J27</f>
        <v>#REF!</v>
      </c>
    </row>
    <row r="28" spans="1:13">
      <c r="A28" s="1118" t="s">
        <v>13</v>
      </c>
      <c r="B28" s="1119">
        <f t="shared" si="0"/>
        <v>27</v>
      </c>
      <c r="C28" s="1119">
        <v>6</v>
      </c>
      <c r="D28" s="1120">
        <v>2021</v>
      </c>
      <c r="E28" s="1121">
        <f>(IF('Daily HLP'!I30&gt;0,'Daily HLP'!H30,0))</f>
        <v>17150</v>
      </c>
      <c r="F28" s="1122">
        <v>9</v>
      </c>
      <c r="G28" s="1122">
        <f>(IF('Daily HLP'!M30&gt;0,'Daily HLP'!M30,0))</f>
        <v>550</v>
      </c>
      <c r="H28" s="1122">
        <v>52</v>
      </c>
      <c r="I28" s="1122">
        <f>(IF('Daily HLP'!P30&gt;0,'Daily HLP'!P30,0))</f>
        <v>121</v>
      </c>
      <c r="J28" s="1122">
        <v>118</v>
      </c>
      <c r="K28" s="1153">
        <f>Occupancy!G28</f>
        <v>0</v>
      </c>
      <c r="L28" s="1121">
        <f>Occupancy!F28</f>
        <v>0</v>
      </c>
      <c r="M28" s="1123" t="e">
        <f>E28*F28+G28*H28+#REF!*#REF!+I28*J28</f>
        <v>#REF!</v>
      </c>
    </row>
    <row r="29" spans="1:13">
      <c r="A29" s="1118" t="s">
        <v>13</v>
      </c>
      <c r="B29" s="1119">
        <f t="shared" si="0"/>
        <v>28</v>
      </c>
      <c r="C29" s="1119">
        <v>6</v>
      </c>
      <c r="D29" s="1120">
        <v>2021</v>
      </c>
      <c r="E29" s="1121">
        <f>(IF('Daily HLP'!I31&gt;0,'Daily HLP'!H31,0))</f>
        <v>17150</v>
      </c>
      <c r="F29" s="1122">
        <v>9</v>
      </c>
      <c r="G29" s="1122">
        <f>(IF('Daily HLP'!M31&gt;0,'Daily HLP'!M31,0))</f>
        <v>550</v>
      </c>
      <c r="H29" s="1122">
        <v>52</v>
      </c>
      <c r="I29" s="1122">
        <f>(IF('Daily HLP'!P31&gt;0,'Daily HLP'!P31,0))</f>
        <v>100</v>
      </c>
      <c r="J29" s="1122">
        <v>118</v>
      </c>
      <c r="K29" s="1153">
        <f>Occupancy!G29</f>
        <v>0</v>
      </c>
      <c r="L29" s="1121">
        <f>Occupancy!F29</f>
        <v>0</v>
      </c>
      <c r="M29" s="1123" t="e">
        <f>E29*F29+G29*H29+#REF!*#REF!+I29*J29</f>
        <v>#REF!</v>
      </c>
    </row>
    <row r="30" spans="1:13">
      <c r="A30" s="1118" t="s">
        <v>13</v>
      </c>
      <c r="B30" s="1119">
        <f t="shared" si="0"/>
        <v>29</v>
      </c>
      <c r="C30" s="1119">
        <v>6</v>
      </c>
      <c r="D30" s="1120">
        <v>2021</v>
      </c>
      <c r="E30" s="1121">
        <f>(IF('Daily HLP'!I32&gt;0,'Daily HLP'!H32,0))</f>
        <v>17150</v>
      </c>
      <c r="F30" s="1122">
        <v>9</v>
      </c>
      <c r="G30" s="1122">
        <f>(IF('Daily HLP'!M32&gt;0,'Daily HLP'!M32,0))</f>
        <v>550</v>
      </c>
      <c r="H30" s="1122">
        <v>52</v>
      </c>
      <c r="I30" s="1122">
        <f>(IF('Daily HLP'!P32&gt;0,'Daily HLP'!P32,0))</f>
        <v>117</v>
      </c>
      <c r="J30" s="1122">
        <v>118</v>
      </c>
      <c r="K30" s="1153">
        <f>Occupancy!G30</f>
        <v>0</v>
      </c>
      <c r="L30" s="1121">
        <f>Occupancy!F30</f>
        <v>0</v>
      </c>
      <c r="M30" s="1123" t="e">
        <f>E30*F30+G30*H30+#REF!*#REF!+I30*J30</f>
        <v>#REF!</v>
      </c>
    </row>
    <row r="31" spans="1:13">
      <c r="A31" s="1118" t="s">
        <v>13</v>
      </c>
      <c r="B31" s="1119">
        <f t="shared" si="0"/>
        <v>30</v>
      </c>
      <c r="C31" s="1119">
        <v>6</v>
      </c>
      <c r="D31" s="1120">
        <v>2021</v>
      </c>
      <c r="E31" s="1121">
        <f>(IF('Daily HLP'!I33&gt;0,'Daily HLP'!H33,0))</f>
        <v>17150</v>
      </c>
      <c r="F31" s="1122">
        <v>9</v>
      </c>
      <c r="G31" s="1122">
        <f>(IF('Daily HLP'!M33&gt;0,'Daily HLP'!M33,0))</f>
        <v>550</v>
      </c>
      <c r="H31" s="1122">
        <v>52</v>
      </c>
      <c r="I31" s="1122">
        <f>(IF('Daily HLP'!P33&gt;0,'Daily HLP'!P33,0))</f>
        <v>138</v>
      </c>
      <c r="J31" s="1122">
        <v>118</v>
      </c>
      <c r="K31" s="1153">
        <f>Occupancy!G31</f>
        <v>0</v>
      </c>
      <c r="L31" s="1121">
        <f>Occupancy!F31</f>
        <v>0</v>
      </c>
      <c r="M31" s="1123" t="e">
        <f>E31*F31+G31*H31+#REF!*#REF!+I31*J31</f>
        <v>#REF!</v>
      </c>
    </row>
    <row r="32" spans="1:13" s="1121" customFormat="1">
      <c r="A32" s="1118" t="s">
        <v>13</v>
      </c>
      <c r="B32" s="1119">
        <f t="shared" si="0"/>
        <v>31</v>
      </c>
      <c r="C32" s="1119">
        <v>6</v>
      </c>
      <c r="D32" s="1120">
        <v>2021</v>
      </c>
      <c r="E32" s="1121">
        <f>(IF('Daily HLP'!I34&gt;0,'Daily HLP'!H34,0))</f>
        <v>17150</v>
      </c>
      <c r="F32" s="1122">
        <v>10</v>
      </c>
      <c r="G32" s="1122">
        <f>(IF('Daily HLP'!M34&gt;0,'Daily HLP'!M34,0))</f>
        <v>550</v>
      </c>
      <c r="H32" s="1122">
        <v>52</v>
      </c>
      <c r="I32" s="1122">
        <f>(IF('Daily HLP'!P34&gt;0,'Daily HLP'!P34,0))</f>
        <v>121</v>
      </c>
      <c r="J32" s="1122">
        <v>118</v>
      </c>
      <c r="K32" s="1153">
        <f>Occupancy!G32</f>
        <v>0</v>
      </c>
      <c r="L32" s="1121">
        <f>Occupancy!F32</f>
        <v>0</v>
      </c>
      <c r="M32" s="1124"/>
    </row>
    <row r="33" spans="1:13" s="1121" customFormat="1">
      <c r="A33" s="1125"/>
      <c r="B33" s="1119"/>
      <c r="C33" s="1119"/>
      <c r="D33" s="1120"/>
      <c r="F33" s="1122"/>
      <c r="G33" s="1122"/>
      <c r="H33" s="1122"/>
      <c r="I33" s="1122"/>
      <c r="J33" s="1122"/>
      <c r="M33" s="1124"/>
    </row>
    <row r="34" spans="1:13" s="1121" customFormat="1">
      <c r="A34" s="1125"/>
      <c r="B34" s="1119"/>
      <c r="C34" s="1119"/>
      <c r="D34" s="1120"/>
      <c r="F34" s="1122"/>
      <c r="G34" s="1122"/>
      <c r="H34" s="1122"/>
      <c r="I34" s="1122"/>
      <c r="J34" s="1122"/>
      <c r="M34" s="1124"/>
    </row>
    <row r="35" spans="1:13" s="1121" customFormat="1">
      <c r="A35" s="1125"/>
      <c r="B35" s="1119"/>
      <c r="C35" s="1119"/>
      <c r="D35" s="1120"/>
      <c r="F35" s="1122"/>
      <c r="G35" s="1122"/>
      <c r="H35" s="1122"/>
      <c r="I35" s="1122"/>
      <c r="J35" s="1122"/>
      <c r="M35" s="1124"/>
    </row>
    <row r="36" spans="1:13" s="1121" customFormat="1">
      <c r="A36" s="1125"/>
      <c r="B36" s="1119"/>
      <c r="C36" s="1119"/>
      <c r="D36" s="1120"/>
      <c r="F36" s="1122"/>
      <c r="G36" s="1122"/>
      <c r="H36" s="1122"/>
      <c r="I36" s="1122"/>
      <c r="J36" s="1122"/>
      <c r="M36" s="1124"/>
    </row>
    <row r="37" spans="1:13" s="1121" customFormat="1">
      <c r="A37" s="1125"/>
      <c r="B37" s="1119"/>
      <c r="C37" s="1119"/>
      <c r="D37" s="1120"/>
      <c r="F37" s="1122"/>
      <c r="G37" s="1122"/>
      <c r="H37" s="1122"/>
      <c r="I37" s="1122"/>
      <c r="J37" s="1122"/>
      <c r="M37" s="1124"/>
    </row>
    <row r="38" spans="1:13" s="1121" customFormat="1">
      <c r="A38" s="1125"/>
      <c r="B38" s="1119"/>
      <c r="C38" s="1119"/>
      <c r="D38" s="1120"/>
      <c r="F38" s="1122"/>
      <c r="G38" s="1122"/>
      <c r="H38" s="1122"/>
      <c r="I38" s="1122"/>
      <c r="J38" s="1122"/>
      <c r="M38" s="112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37" sqref="C37"/>
    </sheetView>
  </sheetViews>
  <sheetFormatPr defaultColWidth="9" defaultRowHeight="15"/>
  <cols>
    <col min="1" max="1" width="20.109375" style="1195" customWidth="1"/>
    <col min="2" max="3" width="9" style="1199" customWidth="1"/>
    <col min="4" max="4" width="10.44140625" style="1199" customWidth="1"/>
    <col min="5" max="29" width="9.77734375" style="1212" customWidth="1"/>
    <col min="30" max="30" width="9" style="1212"/>
    <col min="31" max="31" width="9" style="1213"/>
    <col min="32" max="32" width="9" style="1212"/>
    <col min="33" max="39" width="9" style="1214"/>
    <col min="40" max="40" width="9" style="1254"/>
    <col min="41" max="49" width="9" style="1214"/>
    <col min="50" max="58" width="9" style="1254"/>
    <col min="59" max="65" width="9" style="1214"/>
    <col min="66" max="16384" width="9" style="1198"/>
  </cols>
  <sheetData>
    <row r="1" spans="1:65" s="1195" customFormat="1" ht="60" customHeight="1">
      <c r="A1" s="1193" t="s">
        <v>0</v>
      </c>
      <c r="B1" s="1194" t="s">
        <v>1</v>
      </c>
      <c r="C1" s="1194" t="s">
        <v>2</v>
      </c>
      <c r="D1" s="1194" t="s">
        <v>3</v>
      </c>
      <c r="E1" s="1206" t="str">
        <f>'Section Load'!F4</f>
        <v>HVAC</v>
      </c>
      <c r="F1" s="1206" t="str">
        <f>'Section Load'!G4</f>
        <v>Fire &amp; Emergency PP</v>
      </c>
      <c r="G1" s="1206" t="str">
        <f>'Section Load'!H4</f>
        <v>Main PP</v>
      </c>
      <c r="H1" s="1206" t="str">
        <f>'Section Load'!I4</f>
        <v>Lighting PP</v>
      </c>
      <c r="I1" s="1206" t="str">
        <f>'Section Load'!J4</f>
        <v>CH-1+ CH2+CH3+CH4</v>
      </c>
      <c r="J1" s="1206" t="str">
        <f>'Section Load'!K4</f>
        <v>Chilled water Pump</v>
      </c>
      <c r="K1" s="1206" t="str">
        <f>'Section Load'!L4</f>
        <v>Ball Room-1</v>
      </c>
      <c r="L1" s="1206" t="str">
        <f>'Section Load'!M4</f>
        <v>Ball Room-2</v>
      </c>
      <c r="M1" s="1206" t="str">
        <f>'Section Load'!N4</f>
        <v>MK-1</v>
      </c>
      <c r="N1" s="1206" t="str">
        <f>'Section Load'!O4</f>
        <v>MK-2</v>
      </c>
      <c r="O1" s="1206" t="str">
        <f>'Section Load'!P4</f>
        <v>Prato</v>
      </c>
      <c r="P1" s="1206" t="str">
        <f>'Section Load'!Q4</f>
        <v>San- Qi Indian</v>
      </c>
      <c r="Q1" s="1206" t="str">
        <f>'Section Load'!R4</f>
        <v>San- Qi Japanese</v>
      </c>
      <c r="R1" s="1206" t="str">
        <f>'Section Load'!S4</f>
        <v>The club</v>
      </c>
      <c r="S1" s="1206" t="str">
        <f>'Section Load'!T4</f>
        <v>AER</v>
      </c>
      <c r="T1" s="1206" t="str">
        <f>'Section Load'!U4</f>
        <v>COLD ROOM'S</v>
      </c>
      <c r="U1" s="1206" t="str">
        <f>'Section Load'!V4</f>
        <v>Ball Room 1</v>
      </c>
      <c r="V1" s="1206" t="str">
        <f>'Section Load'!W4</f>
        <v>Ball Room 2</v>
      </c>
      <c r="W1" s="1206" t="str">
        <f>'Section Load'!X4</f>
        <v>B1 Laundry</v>
      </c>
      <c r="X1" s="1206" t="str">
        <f>'Section Load'!Y4</f>
        <v>B2 Laundry</v>
      </c>
      <c r="Y1" s="1206" t="str">
        <f>'Section Load'!Z4</f>
        <v>STP</v>
      </c>
      <c r="Z1" s="1206" t="str">
        <f>'Section Load'!AA4</f>
        <v>MOCK Up Room</v>
      </c>
      <c r="AA1" s="1206" t="str">
        <f>'Section Load'!AB4</f>
        <v>27th Floor</v>
      </c>
      <c r="AB1" s="1206" t="str">
        <f>'Section Load'!AC4</f>
        <v>Physic57</v>
      </c>
      <c r="AC1" s="1206" t="str">
        <f>'Section Load'!AD4</f>
        <v>Pinoor Legal- Power+lighting</v>
      </c>
      <c r="AD1" s="1206" t="str">
        <f>'Section Load'!AE4</f>
        <v>2nd floor plant room</v>
      </c>
      <c r="AE1" s="1206" t="str">
        <f>'Section Load'!AF4</f>
        <v>5th Floor</v>
      </c>
      <c r="AF1" s="1206" t="str">
        <f>'Section Load'!AG4</f>
        <v>5th Floor</v>
      </c>
      <c r="AG1" s="1206" t="str">
        <f>'Section Load'!AH4</f>
        <v>12th Floor</v>
      </c>
      <c r="AH1" s="1206" t="str">
        <f>'Section Load'!AI4</f>
        <v>20th Floor</v>
      </c>
      <c r="AI1" s="1206" t="str">
        <f>'Section Load'!AJ4</f>
        <v>27th Floor</v>
      </c>
      <c r="AJ1" s="1206" t="str">
        <f>'Section Load'!AK4</f>
        <v>34th Floor</v>
      </c>
      <c r="AK1" s="1206" t="str">
        <f>'Section Load'!AL4</f>
        <v>Sanqi</v>
      </c>
      <c r="AL1" s="1206" t="str">
        <f>'Section Load'!AM4</f>
        <v>Cooling Tower</v>
      </c>
      <c r="AM1" s="1207" t="s">
        <v>14</v>
      </c>
      <c r="AN1" s="1252" t="s">
        <v>15</v>
      </c>
      <c r="AO1" s="1207" t="s">
        <v>16</v>
      </c>
      <c r="AP1" s="1207" t="s">
        <v>17</v>
      </c>
      <c r="AQ1" s="1207" t="s">
        <v>18</v>
      </c>
      <c r="AR1" s="1207" t="s">
        <v>19</v>
      </c>
      <c r="AS1" s="1207" t="s">
        <v>20</v>
      </c>
      <c r="AT1" s="1207" t="s">
        <v>21</v>
      </c>
      <c r="AU1" s="1207" t="s">
        <v>22</v>
      </c>
      <c r="AV1" s="1207" t="s">
        <v>23</v>
      </c>
      <c r="AW1" s="1207" t="s">
        <v>24</v>
      </c>
      <c r="AX1" s="1252" t="s">
        <v>25</v>
      </c>
      <c r="AY1" s="1252" t="s">
        <v>26</v>
      </c>
      <c r="AZ1" s="1252" t="s">
        <v>27</v>
      </c>
      <c r="BA1" s="1252" t="s">
        <v>28</v>
      </c>
      <c r="BB1" s="1252" t="s">
        <v>29</v>
      </c>
      <c r="BC1" s="1252" t="s">
        <v>30</v>
      </c>
      <c r="BD1" s="1252" t="s">
        <v>31</v>
      </c>
      <c r="BE1" s="1252" t="s">
        <v>32</v>
      </c>
      <c r="BF1" s="1252" t="s">
        <v>33</v>
      </c>
      <c r="BG1" s="1208" t="str">
        <f>'Section Load'!AN4</f>
        <v>MGL</v>
      </c>
      <c r="BH1" s="1208" t="str">
        <f>'Section Load'!AO4</f>
        <v>HWG</v>
      </c>
      <c r="BI1" s="1208" t="str">
        <f>'Section Load'!AP4</f>
        <v>Prato</v>
      </c>
      <c r="BJ1" s="1208" t="str">
        <f>'Section Load'!AQ4</f>
        <v>BR-1</v>
      </c>
      <c r="BK1" s="1208" t="str">
        <f>'Section Load'!AR4</f>
        <v>SanQi IND</v>
      </c>
      <c r="BL1" s="1208" t="str">
        <f>'Section Load'!AS4</f>
        <v>SanQi JPN</v>
      </c>
      <c r="BM1" s="1208" t="str">
        <f>'Section Load'!AT4</f>
        <v>Boiler</v>
      </c>
    </row>
    <row r="2" spans="1:65" ht="15" customHeight="1">
      <c r="A2" s="1196" t="s">
        <v>13</v>
      </c>
      <c r="B2" s="1197">
        <v>1</v>
      </c>
      <c r="C2" s="1197">
        <v>6</v>
      </c>
      <c r="D2" s="1197">
        <v>2021</v>
      </c>
      <c r="E2" s="1209">
        <f>(IF('Section Load'!F5&gt;0,'Section Load'!F5,0))</f>
        <v>2344</v>
      </c>
      <c r="F2" s="1209">
        <f>(IF('Section Load'!G5&gt;0,'Section Load'!G5,0))</f>
        <v>1278</v>
      </c>
      <c r="G2" s="1209">
        <f>(IF('Section Load'!H5&gt;0,'Section Load'!H5,0))</f>
        <v>1170</v>
      </c>
      <c r="H2" s="1209">
        <f>(IF('Section Load'!I5&gt;0,'Section Load'!I5,0))</f>
        <v>2546</v>
      </c>
      <c r="I2" s="1209">
        <f>(IF('Section Load'!J5&gt;0,'Section Load'!J5,0))</f>
        <v>5306.5100000000093</v>
      </c>
      <c r="J2" s="1209">
        <f>(IF('Section Load'!K5&gt;0,'Section Load'!K5,0))</f>
        <v>2272</v>
      </c>
      <c r="K2" s="1209">
        <f>(IF('Section Load'!L5&gt;0,'Section Load'!L5,0))</f>
        <v>814</v>
      </c>
      <c r="L2" s="1209">
        <f>(IF('Section Load'!M5&gt;0,'Section Load'!M5,0))</f>
        <v>446</v>
      </c>
      <c r="M2" s="1209">
        <f>(IF('Section Load'!N5&gt;0,'Section Load'!N5,0))</f>
        <v>14</v>
      </c>
      <c r="N2" s="1209">
        <f>(IF('Section Load'!O5&gt;0,'Section Load'!O5,0))</f>
        <v>1</v>
      </c>
      <c r="O2" s="1209">
        <f>(IF('Section Load'!P5&gt;0,'Section Load'!P5,0))</f>
        <v>7</v>
      </c>
      <c r="P2" s="1209">
        <f>(IF('Section Load'!Q5&gt;0,'Section Load'!Q5,0))</f>
        <v>54</v>
      </c>
      <c r="Q2" s="1209">
        <f>(IF('Section Load'!R5&gt;0,'Section Load'!R5,0))</f>
        <v>57</v>
      </c>
      <c r="R2" s="1209">
        <f>(IF('Section Load'!S5&gt;0,'Section Load'!S5,0))</f>
        <v>49</v>
      </c>
      <c r="S2" s="1209">
        <f>(IF('Section Load'!T5&gt;0,'Section Load'!T5,0))</f>
        <v>55</v>
      </c>
      <c r="T2" s="1209">
        <f>(IF('Section Load'!U5&gt;0,'Section Load'!U5,0))</f>
        <v>155</v>
      </c>
      <c r="U2" s="1209">
        <f>(IF('Section Load'!V5&gt;0,'Section Load'!V5,0))</f>
        <v>370</v>
      </c>
      <c r="V2" s="1209">
        <f>(IF('Section Load'!W5&gt;0,'Section Load'!W5,0))</f>
        <v>94</v>
      </c>
      <c r="W2" s="1209">
        <f>(IF('Section Load'!X5&gt;0,'Section Load'!X5,0))</f>
        <v>11</v>
      </c>
      <c r="X2" s="1209">
        <f>(IF('Section Load'!Y5&gt;0,'Section Load'!Y5,0))</f>
        <v>0</v>
      </c>
      <c r="Y2" s="1209">
        <f>(IF('Section Load'!Z5&gt;0,'Section Load'!Z5,0))</f>
        <v>152</v>
      </c>
      <c r="Z2" s="1209">
        <f>(IF('Section Load'!AA5&gt;0,'Section Load'!AA5,0))</f>
        <v>34</v>
      </c>
      <c r="AA2" s="1209">
        <f>(IF('Section Load'!AB5&gt;0,'Section Load'!AB5,0))</f>
        <v>21</v>
      </c>
      <c r="AB2" s="1209">
        <f>(IF('Section Load'!AC5&gt;0,'Section Load'!AC5,0))</f>
        <v>27</v>
      </c>
      <c r="AC2" s="1209">
        <f>(IF('Section Load'!AD5&gt;0,'Section Load'!AD5,0))</f>
        <v>10.500000000001364</v>
      </c>
      <c r="AD2" s="1209">
        <f>(IF('Section Load'!AE5&gt;0,'Section Load'!AE5,0))</f>
        <v>0</v>
      </c>
      <c r="AE2" s="1209">
        <f>(IF('Section Load'!AF5&gt;0,'Section Load'!AF5,0))</f>
        <v>0</v>
      </c>
      <c r="AF2" s="1209">
        <f>(IF('Section Load'!AG5&gt;0,'Section Load'!AG5,0))</f>
        <v>196</v>
      </c>
      <c r="AG2" s="1209">
        <f>(IF('Section Load'!AH5&gt;0,'Section Load'!AH5,0))</f>
        <v>239</v>
      </c>
      <c r="AH2" s="1209">
        <f>(IF('Section Load'!AI5&gt;0,'Section Load'!AI5,0))</f>
        <v>216</v>
      </c>
      <c r="AI2" s="1209">
        <f>(IF('Section Load'!AJ5&gt;0,'Section Load'!AJ5,0))</f>
        <v>310</v>
      </c>
      <c r="AJ2" s="1209">
        <f>(IF('Section Load'!AK5&gt;0,'Section Load'!AK5,0))</f>
        <v>0</v>
      </c>
      <c r="AK2" s="1209">
        <f>(IF('Section Load'!AL5&gt;0,'Section Load'!AL5,0))</f>
        <v>104</v>
      </c>
      <c r="AL2" s="1209">
        <f>(IF('Section Load'!AM5&gt;0,'Section Load'!AM5,0))</f>
        <v>827</v>
      </c>
      <c r="AM2" s="1210">
        <f>(IF('Water Report'!$D$7&gt;0,'Water Report'!$D$7,0))</f>
        <v>18</v>
      </c>
      <c r="AN2" s="1210">
        <f>(IF('Water Report'!$D$8&gt;0,'Water Report'!$D$8,0))</f>
        <v>58</v>
      </c>
      <c r="AO2" s="1210">
        <f>(IF('Water Report'!$D$9&gt;0,'Water Report'!$D$9,0))</f>
        <v>40</v>
      </c>
      <c r="AP2" s="1210">
        <f>(IF('Water Report'!$D$10&gt;0,'Water Report'!$D$10,0))</f>
        <v>13</v>
      </c>
      <c r="AQ2" s="1210">
        <f>(IF('Water Report'!$D$11&gt;0,'Water Report'!$D$11,0))</f>
        <v>15</v>
      </c>
      <c r="AR2" s="1210">
        <f>(IF('Water Report'!$D$13&gt;0,'Water Report'!$D$13,0))</f>
        <v>7</v>
      </c>
      <c r="AS2" s="1210">
        <f>(IF('Water Report'!$D$14&gt;0,'Water Report'!$D$14,0))</f>
        <v>12</v>
      </c>
      <c r="AT2" s="1210">
        <f>(IF('Water Report'!$D$15&gt;0,'Water Report'!$D$15,0))</f>
        <v>5</v>
      </c>
      <c r="AU2" s="1210">
        <f>(IF('Water Report'!$D$17&gt;0,'Water Report'!$D$17,0))</f>
        <v>0</v>
      </c>
      <c r="AV2" s="1210">
        <f>(IF('Water Report'!$D$18&gt;0,'Water Report'!$D$18,0))</f>
        <v>0</v>
      </c>
      <c r="AW2" s="1210">
        <f>(IF('Water Report'!$D$19&gt;0,'Water Report'!$D$19,0))</f>
        <v>0</v>
      </c>
      <c r="AX2" s="1253">
        <f>(IF('Water Report'!$D$21&gt;0,'Water Report'!$D$21,0))</f>
        <v>63</v>
      </c>
      <c r="AY2" s="1253">
        <f>(IF('Water Report'!$D$22&gt;0,'Water Report'!$D$22,0))</f>
        <v>0</v>
      </c>
      <c r="AZ2" s="1253">
        <f>(IF('Water Report'!$D$23&gt;0,'Water Report'!$D$23,0))</f>
        <v>16</v>
      </c>
      <c r="BA2" s="1253">
        <f>(IF('Water Report'!$D$14&gt;0,'Water Report'!$D$14,0))</f>
        <v>12</v>
      </c>
      <c r="BB2" s="1253">
        <f>(IF('Water Report'!$D$15&gt;0,'Water Report'!$D$15,0))</f>
        <v>5</v>
      </c>
      <c r="BC2" s="1253">
        <f>(IF('Water Report'!$D$13&gt;0,'Water Report'!$D$13,0))</f>
        <v>7</v>
      </c>
      <c r="BD2" s="1253">
        <f>(IF('Water Report'!$D$24&gt;0,'Water Report'!$D$24,0))</f>
        <v>80</v>
      </c>
      <c r="BE2" s="1253">
        <f>(IF('Water Report'!$D$25&gt;0,'Water Report'!$D$25,0))</f>
        <v>85</v>
      </c>
      <c r="BF2" s="1253">
        <f>(IF('Water Report'!$D$27&gt;0,'Water Report'!$D$27,0))</f>
        <v>86</v>
      </c>
      <c r="BG2" s="1211">
        <f>(IF('Section Load'!AN5&gt;0,'Section Load'!AN5,0))</f>
        <v>267</v>
      </c>
      <c r="BH2" s="1211">
        <f>(IF('Section Load'!AO5&gt;0,'Section Load'!AO5,0))</f>
        <v>175</v>
      </c>
      <c r="BI2" s="1211">
        <f>(IF('Section Load'!AP5&gt;0,'Section Load'!AP5,0))</f>
        <v>0</v>
      </c>
      <c r="BJ2" s="1211">
        <f>(IF('Section Load'!AQ5&gt;0,'Section Load'!AQ5,0))</f>
        <v>52</v>
      </c>
      <c r="BK2" s="1211">
        <f>(IF('Section Load'!AR5&gt;0,'Section Load'!AR5,0))</f>
        <v>0</v>
      </c>
      <c r="BL2" s="1211">
        <f>(IF('Section Load'!AS5&gt;0,'Section Load'!AS5,0))</f>
        <v>0</v>
      </c>
      <c r="BM2" s="1211">
        <f>(IF('Section Load'!AT5&gt;0,'Section Load'!AT5,0))</f>
        <v>40</v>
      </c>
    </row>
    <row r="3" spans="1:65">
      <c r="A3" s="1196" t="s">
        <v>13</v>
      </c>
      <c r="B3" s="1197">
        <f>B2+1</f>
        <v>2</v>
      </c>
      <c r="C3" s="1197">
        <v>6</v>
      </c>
      <c r="D3" s="1197">
        <v>2021</v>
      </c>
      <c r="E3" s="1209">
        <f>(IF('Section Load'!F6&gt;0,'Section Load'!F6,0))</f>
        <v>2408.1199999999953</v>
      </c>
      <c r="F3" s="1209">
        <f>(IF('Section Load'!G6&gt;0,'Section Load'!G6,0))</f>
        <v>1249.570000000007</v>
      </c>
      <c r="G3" s="1209">
        <f>(IF('Section Load'!H6&gt;0,'Section Load'!H6,0))</f>
        <v>1246.6900000000023</v>
      </c>
      <c r="H3" s="1209">
        <f>(IF('Section Load'!I6&gt;0,'Section Load'!I6,0))</f>
        <v>2516.5599999999977</v>
      </c>
      <c r="I3" s="1209">
        <f>(IF('Section Load'!J6&gt;0,'Section Load'!J6,0))</f>
        <v>4924.3699999999371</v>
      </c>
      <c r="J3" s="1209">
        <f>(IF('Section Load'!K6&gt;0,'Section Load'!K6,0))</f>
        <v>2270.4000000000233</v>
      </c>
      <c r="K3" s="1209">
        <f>(IF('Section Load'!L6&gt;0,'Section Load'!L6,0))</f>
        <v>854.71000000002095</v>
      </c>
      <c r="L3" s="1209">
        <f>(IF('Section Load'!M6&gt;0,'Section Load'!M6,0))</f>
        <v>488.12300000000005</v>
      </c>
      <c r="M3" s="1209">
        <f>(IF('Section Load'!N6&gt;0,'Section Load'!N6,0))</f>
        <v>13</v>
      </c>
      <c r="N3" s="1209">
        <f>(IF('Section Load'!O6&gt;0,'Section Load'!O6,0))</f>
        <v>1</v>
      </c>
      <c r="O3" s="1209">
        <f>(IF('Section Load'!P6&gt;0,'Section Load'!P6,0))</f>
        <v>6.9600000000000364</v>
      </c>
      <c r="P3" s="1209">
        <f>(IF('Section Load'!Q6&gt;0,'Section Load'!Q6,0))</f>
        <v>60.059999999999491</v>
      </c>
      <c r="Q3" s="1209">
        <f>(IF('Section Load'!R6&gt;0,'Section Load'!R6,0))</f>
        <v>55.430000000000291</v>
      </c>
      <c r="R3" s="1209">
        <f>(IF('Section Load'!S6&gt;0,'Section Load'!S6,0))</f>
        <v>48</v>
      </c>
      <c r="S3" s="1209">
        <f>(IF('Section Load'!T6&gt;0,'Section Load'!T6,0))</f>
        <v>53</v>
      </c>
      <c r="T3" s="1209">
        <f>(IF('Section Load'!U6&gt;0,'Section Load'!U6,0))</f>
        <v>166</v>
      </c>
      <c r="U3" s="1209">
        <f>(IF('Section Load'!V6&gt;0,'Section Load'!V6,0))</f>
        <v>368.23999999999069</v>
      </c>
      <c r="V3" s="1209">
        <f>(IF('Section Load'!W6&gt;0,'Section Load'!W6,0))</f>
        <v>90.040000000037253</v>
      </c>
      <c r="W3" s="1209">
        <f>(IF('Section Load'!X6&gt;0,'Section Load'!X6,0))</f>
        <v>23.729999999995925</v>
      </c>
      <c r="X3" s="1209">
        <f>(IF('Section Load'!Y6&gt;0,'Section Load'!Y6,0))</f>
        <v>104</v>
      </c>
      <c r="Y3" s="1209">
        <f>(IF('Section Load'!Z6&gt;0,'Section Load'!Z6,0))</f>
        <v>147</v>
      </c>
      <c r="Z3" s="1209">
        <f>(IF('Section Load'!AA6&gt;0,'Section Load'!AA6,0))</f>
        <v>32.799999999988358</v>
      </c>
      <c r="AA3" s="1209">
        <f>(IF('Section Load'!AB6&gt;0,'Section Load'!AB6,0))</f>
        <v>19.80000000000291</v>
      </c>
      <c r="AB3" s="1209">
        <f>(IF('Section Load'!AC6&gt;0,'Section Load'!AC6,0))</f>
        <v>23.829999999987194</v>
      </c>
      <c r="AC3" s="1209">
        <f>(IF('Section Load'!AD6&gt;0,'Section Load'!AD6,0))</f>
        <v>11.5</v>
      </c>
      <c r="AD3" s="1209">
        <f>(IF('Section Load'!AE6&gt;0,'Section Load'!AE6,0))</f>
        <v>0</v>
      </c>
      <c r="AE3" s="1209">
        <f>(IF('Section Load'!AF6&gt;0,'Section Load'!AF6,0))</f>
        <v>0</v>
      </c>
      <c r="AF3" s="1209">
        <f>(IF('Section Load'!AG6&gt;0,'Section Load'!AG6,0))</f>
        <v>183.88000000000466</v>
      </c>
      <c r="AG3" s="1209">
        <f>(IF('Section Load'!AH6&gt;0,'Section Load'!AH6,0))</f>
        <v>219.67999999999302</v>
      </c>
      <c r="AH3" s="1209">
        <f>(IF('Section Load'!AI6&gt;0,'Section Load'!AI6,0))</f>
        <v>223.12999999999738</v>
      </c>
      <c r="AI3" s="1209">
        <f>(IF('Section Load'!AJ6&gt;0,'Section Load'!AJ6,0))</f>
        <v>367.60999999998603</v>
      </c>
      <c r="AJ3" s="1209">
        <f>(IF('Section Load'!AK6&gt;0,'Section Load'!AK6,0))</f>
        <v>0</v>
      </c>
      <c r="AK3" s="1209">
        <f>(IF('Section Load'!AL6&gt;0,'Section Load'!AL6,0))</f>
        <v>89.25</v>
      </c>
      <c r="AL3" s="1209">
        <f>(IF('Section Load'!AM6&gt;0,'Section Load'!AM6,0))</f>
        <v>821</v>
      </c>
      <c r="AM3" s="1210">
        <f>(IF('Water Report'!$E$7&gt;0,'Water Report'!$E$7,0))</f>
        <v>42</v>
      </c>
      <c r="AN3" s="1210">
        <f>(IF('Water Report'!$E$8&gt;0,'Water Report'!$E$8,0))</f>
        <v>61</v>
      </c>
      <c r="AO3" s="1210">
        <f>(IF('Water Report'!$E$9&gt;0,'Water Report'!$E$9,0))</f>
        <v>36</v>
      </c>
      <c r="AP3" s="1210">
        <f>(IF('Water Report'!$E$10&gt;0,'Water Report'!$E$10,0))</f>
        <v>9</v>
      </c>
      <c r="AQ3" s="1210">
        <f>(IF('Water Report'!$E$11&gt;0,'Water Report'!$E$11,0))</f>
        <v>10</v>
      </c>
      <c r="AR3" s="1210">
        <f>(IF('Water Report'!$E$13&gt;0,'Water Report'!$E$13,0))</f>
        <v>4</v>
      </c>
      <c r="AS3" s="1210">
        <f>(IF('Water Report'!$E$14&gt;0,'Water Report'!$E$14,0))</f>
        <v>37</v>
      </c>
      <c r="AT3" s="1210">
        <f>(IF('Water Report'!$E$15&gt;0,'Water Report'!$E$15,0))</f>
        <v>3</v>
      </c>
      <c r="AU3" s="1210">
        <f>(IF('Water Report'!$E$17&gt;0,'Water Report'!$E$17,0))</f>
        <v>0</v>
      </c>
      <c r="AV3" s="1210">
        <f>(IF('Water Report'!$E$18&gt;0,'Water Report'!$E$18,0))</f>
        <v>0</v>
      </c>
      <c r="AW3" s="1210">
        <f>(IF('Water Report'!$E$19&gt;0,'Water Report'!$E$19,0))</f>
        <v>3</v>
      </c>
      <c r="AX3" s="1253">
        <f>(IF('Water Report'!$E$21&gt;0,'Water Report'!$E$21,0))</f>
        <v>42</v>
      </c>
      <c r="AY3" s="1253">
        <f>(IF('Water Report'!$E$22&gt;0,'Water Report'!$E$22,0))</f>
        <v>0</v>
      </c>
      <c r="AZ3" s="1253">
        <f>(IF('Water Report'!$E$23&gt;0,'Water Report'!$E$23,0))</f>
        <v>0</v>
      </c>
      <c r="BA3" s="1253">
        <f>(IF('Water Report'!$E$14&gt;0,'Water Report'!$E$14,0))</f>
        <v>37</v>
      </c>
      <c r="BB3" s="1253">
        <f>(IF('Water Report'!$E$15&gt;0,'Water Report'!$E$15,0))</f>
        <v>3</v>
      </c>
      <c r="BC3" s="1253">
        <f>(IF('Water Report'!$E$13&gt;0,'Water Report'!$E$13,0))</f>
        <v>4</v>
      </c>
      <c r="BD3" s="1253">
        <f>(IF('Water Report'!$E$24&gt;0,'Water Report'!$E$24,0))</f>
        <v>112</v>
      </c>
      <c r="BE3" s="1253">
        <f>(IF('Water Report'!$E$25&gt;0,'Water Report'!$E$25,0))</f>
        <v>95</v>
      </c>
      <c r="BF3" s="1253">
        <f>(IF('Water Report'!$E$27&gt;0,'Water Report'!$E$27,0))</f>
        <v>46</v>
      </c>
      <c r="BG3" s="1211">
        <f>(IF('Section Load'!AN6&gt;0,'Section Load'!AN6,0))</f>
        <v>436.69999999995343</v>
      </c>
      <c r="BH3" s="1211">
        <f>(IF('Section Load'!AO6&gt;0,'Section Load'!AO6,0))</f>
        <v>170.84999999997672</v>
      </c>
      <c r="BI3" s="1211">
        <f>(IF('Section Load'!AP6&gt;0,'Section Load'!AP6,0))</f>
        <v>0</v>
      </c>
      <c r="BJ3" s="1211">
        <f>(IF('Section Load'!AQ6&gt;0,'Section Load'!AQ6,0))</f>
        <v>63.329999999987194</v>
      </c>
      <c r="BK3" s="1211">
        <f>(IF('Section Load'!AR6&gt;0,'Section Load'!AR6,0))</f>
        <v>0.2000000000007276</v>
      </c>
      <c r="BL3" s="1211">
        <f>(IF('Section Load'!AS6&gt;0,'Section Load'!AS6,0))</f>
        <v>0</v>
      </c>
      <c r="BM3" s="1211">
        <f>(IF('Section Load'!AT6&gt;0,'Section Load'!AT6,0))</f>
        <v>202.61999999998807</v>
      </c>
    </row>
    <row r="4" spans="1:65">
      <c r="A4" s="1196" t="s">
        <v>13</v>
      </c>
      <c r="B4" s="1197">
        <f t="shared" ref="B4:B32" si="0">B3+1</f>
        <v>3</v>
      </c>
      <c r="C4" s="1197">
        <v>6</v>
      </c>
      <c r="D4" s="1197">
        <v>2021</v>
      </c>
      <c r="E4" s="1209">
        <f>(IF('Section Load'!F7&gt;0,'Section Load'!F7,0))</f>
        <v>2425.1999999999534</v>
      </c>
      <c r="F4" s="1209">
        <f>(IF('Section Load'!G7&gt;0,'Section Load'!G7,0))</f>
        <v>1251.0499999999884</v>
      </c>
      <c r="G4" s="1209">
        <f>(IF('Section Load'!H7&gt;0,'Section Load'!H7,0))</f>
        <v>1277.8999999999942</v>
      </c>
      <c r="H4" s="1209">
        <f>(IF('Section Load'!I7&gt;0,'Section Load'!I7,0))</f>
        <v>2426.5199999999604</v>
      </c>
      <c r="I4" s="1209">
        <f>(IF('Section Load'!J7&gt;0,'Section Load'!J7,0))</f>
        <v>4328.2400000001071</v>
      </c>
      <c r="J4" s="1209">
        <f>(IF('Section Load'!K7&gt;0,'Section Load'!K7,0))</f>
        <v>2314.2999999999302</v>
      </c>
      <c r="K4" s="1209">
        <f>(IF('Section Load'!L7&gt;0,'Section Load'!L7,0))</f>
        <v>869.23999999999069</v>
      </c>
      <c r="L4" s="1209">
        <f>(IF('Section Load'!M7&gt;0,'Section Load'!M7,0))</f>
        <v>475.35699999999997</v>
      </c>
      <c r="M4" s="1209">
        <f>(IF('Section Load'!N7&gt;0,'Section Load'!N7,0))</f>
        <v>14</v>
      </c>
      <c r="N4" s="1209">
        <f>(IF('Section Load'!O7&gt;0,'Section Load'!O7,0))</f>
        <v>2</v>
      </c>
      <c r="O4" s="1209">
        <f>(IF('Section Load'!P7&gt;0,'Section Load'!P7,0))</f>
        <v>0</v>
      </c>
      <c r="P4" s="1209">
        <f>(IF('Section Load'!Q7&gt;0,'Section Load'!Q7,0))</f>
        <v>49.940000000000509</v>
      </c>
      <c r="Q4" s="1209">
        <f>(IF('Section Load'!R7&gt;0,'Section Load'!R7,0))</f>
        <v>57.199999999999818</v>
      </c>
      <c r="R4" s="1209">
        <f>(IF('Section Load'!S7&gt;0,'Section Load'!S7,0))</f>
        <v>46</v>
      </c>
      <c r="S4" s="1209">
        <f>(IF('Section Load'!T7&gt;0,'Section Load'!T7,0))</f>
        <v>47</v>
      </c>
      <c r="T4" s="1209">
        <f>(IF('Section Load'!U7&gt;0,'Section Load'!U7,0))</f>
        <v>153</v>
      </c>
      <c r="U4" s="1209">
        <f>(IF('Section Load'!V7&gt;0,'Section Load'!V7,0))</f>
        <v>401.40000000002328</v>
      </c>
      <c r="V4" s="1209">
        <f>(IF('Section Load'!W7&gt;0,'Section Load'!W7,0))</f>
        <v>93.199999999953434</v>
      </c>
      <c r="W4" s="1209">
        <f>(IF('Section Load'!X7&gt;0,'Section Load'!X7,0))</f>
        <v>11.120000000009895</v>
      </c>
      <c r="X4" s="1209">
        <f>(IF('Section Load'!Y7&gt;0,'Section Load'!Y7,0))</f>
        <v>232.05999999999767</v>
      </c>
      <c r="Y4" s="1209">
        <f>(IF('Section Load'!Z7&gt;0,'Section Load'!Z7,0))</f>
        <v>218</v>
      </c>
      <c r="Z4" s="1209">
        <f>(IF('Section Load'!AA7&gt;0,'Section Load'!AA7,0))</f>
        <v>33.919999999983702</v>
      </c>
      <c r="AA4" s="1209">
        <f>(IF('Section Load'!AB7&gt;0,'Section Load'!AB7,0))</f>
        <v>21</v>
      </c>
      <c r="AB4" s="1209">
        <f>(IF('Section Load'!AC7&gt;0,'Section Load'!AC7,0))</f>
        <v>24.660000000003492</v>
      </c>
      <c r="AC4" s="1209">
        <f>(IF('Section Load'!AD7&gt;0,'Section Load'!AD7,0))</f>
        <v>11.400000000001455</v>
      </c>
      <c r="AD4" s="1209">
        <f>(IF('Section Load'!AE7&gt;0,'Section Load'!AE7,0))</f>
        <v>0</v>
      </c>
      <c r="AE4" s="1209">
        <f>(IF('Section Load'!AF7&gt;0,'Section Load'!AF7,0))</f>
        <v>0</v>
      </c>
      <c r="AF4" s="1209">
        <f>(IF('Section Load'!AG7&gt;0,'Section Load'!AG7,0))</f>
        <v>181.19000000000233</v>
      </c>
      <c r="AG4" s="1209">
        <f>(IF('Section Load'!AH7&gt;0,'Section Load'!AH7,0))</f>
        <v>177.63000000000466</v>
      </c>
      <c r="AH4" s="1209">
        <f>(IF('Section Load'!AI7&gt;0,'Section Load'!AI7,0))</f>
        <v>246.58000000000175</v>
      </c>
      <c r="AI4" s="1209">
        <f>(IF('Section Load'!AJ7&gt;0,'Section Load'!AJ7,0))</f>
        <v>308.92000000001281</v>
      </c>
      <c r="AJ4" s="1209">
        <f>(IF('Section Load'!AK7&gt;0,'Section Load'!AK7,0))</f>
        <v>0</v>
      </c>
      <c r="AK4" s="1209">
        <f>(IF('Section Load'!AL7&gt;0,'Section Load'!AL7,0))</f>
        <v>87.179999999993015</v>
      </c>
      <c r="AL4" s="1209">
        <f>(IF('Section Load'!AM7&gt;0,'Section Load'!AM7,0))</f>
        <v>756</v>
      </c>
      <c r="AM4" s="1210">
        <f>(IF('Water Report'!$F$7&gt;0,'Water Report'!$F$7,0))</f>
        <v>56</v>
      </c>
      <c r="AN4" s="1210">
        <f>(IF('Water Report'!$F$8&gt;0,'Water Report'!$F$8,0))</f>
        <v>99</v>
      </c>
      <c r="AO4" s="1210">
        <f>(IF('Water Report'!$F$9&gt;0,'Water Report'!$G$9,0))</f>
        <v>27</v>
      </c>
      <c r="AP4" s="1210">
        <f>(IF('Water Report'!$F$10&gt;0,'Water Report'!$F$10,0))</f>
        <v>10</v>
      </c>
      <c r="AQ4" s="1210">
        <f>(IF('Water Report'!$F$11&gt;0,'Water Report'!$F$11,0))</f>
        <v>11</v>
      </c>
      <c r="AR4" s="1210">
        <f>(IF('Water Report'!$F$13&gt;0,'Water Report'!$F$13,0))</f>
        <v>7</v>
      </c>
      <c r="AS4" s="1210">
        <f>(IF('Water Report'!$F$14&gt;0,'Water Report'!$F$14,0))</f>
        <v>23</v>
      </c>
      <c r="AT4" s="1210">
        <f>(IF('Water Report'!$F$15&gt;0,'Water Report'!$F$15,0))</f>
        <v>3</v>
      </c>
      <c r="AU4" s="1210">
        <f>(IF('Water Report'!$F$17&gt;0,'Water Report'!$F$17,0))</f>
        <v>0</v>
      </c>
      <c r="AV4" s="1210">
        <f>(IF('Water Report'!$F$18&gt;0,'Water Report'!$F$18,0))</f>
        <v>13</v>
      </c>
      <c r="AW4" s="1210">
        <f>(IF('Water Report'!$F$19&gt;0,'Water Report'!$F$19,0))</f>
        <v>0</v>
      </c>
      <c r="AX4" s="1253">
        <f>(IF('Water Report'!$F$21&gt;0,'Water Report'!$F$21,0))</f>
        <v>87</v>
      </c>
      <c r="AY4" s="1253">
        <f>(IF('Water Report'!$F$22&gt;0,'Water Report'!$F$22,0))</f>
        <v>0</v>
      </c>
      <c r="AZ4" s="1253">
        <f>(IF('Water Report'!$F$23&gt;0,'Water Report'!$F$23,0))</f>
        <v>14</v>
      </c>
      <c r="BA4" s="1253">
        <f>(IF('Water Report'!$F$14&gt;0,'Water Report'!$F$14,0))</f>
        <v>23</v>
      </c>
      <c r="BB4" s="1253">
        <f>(IF('Water Report'!$F$15&gt;0,'Water Report'!$F$15,0))</f>
        <v>3</v>
      </c>
      <c r="BC4" s="1253">
        <f>(IF('Water Report'!$F$13&gt;0,'Water Report'!$F$13,0))</f>
        <v>7</v>
      </c>
      <c r="BD4" s="1253">
        <f>(IF('Water Report'!$F$24&gt;0,'Water Report'!$F$24,0))</f>
        <v>143</v>
      </c>
      <c r="BE4" s="1253">
        <f>(IF('Water Report'!$F$25&gt;0,'Water Report'!$F$25,0))</f>
        <v>118</v>
      </c>
      <c r="BF4" s="1253">
        <f>(IF('Water Report'!$F$27&gt;0,'Water Report'!$F$27,0))</f>
        <v>108</v>
      </c>
      <c r="BG4" s="1211">
        <f>(IF('Section Load'!AN7&gt;0,'Section Load'!AN7,0))</f>
        <v>615.80400000000373</v>
      </c>
      <c r="BH4" s="1211">
        <f>(IF('Section Load'!AO7&gt;0,'Section Load'!AO7,0))</f>
        <v>178.45000000006985</v>
      </c>
      <c r="BI4" s="1211">
        <f>(IF('Section Load'!AP7&gt;0,'Section Load'!AP7,0))</f>
        <v>0</v>
      </c>
      <c r="BJ4" s="1211">
        <f>(IF('Section Load'!AQ7&gt;0,'Section Load'!AQ7,0))</f>
        <v>62.690000000002328</v>
      </c>
      <c r="BK4" s="1211">
        <f>(IF('Section Load'!AR7&gt;0,'Section Load'!AR7,0))</f>
        <v>0</v>
      </c>
      <c r="BL4" s="1211">
        <f>(IF('Section Load'!AS7&gt;0,'Section Load'!AS7,0))</f>
        <v>0</v>
      </c>
      <c r="BM4" s="1211">
        <f>(IF('Section Load'!AT7&gt;0,'Section Load'!AT7,0))</f>
        <v>374.66399999993155</v>
      </c>
    </row>
    <row r="5" spans="1:65">
      <c r="A5" s="1196" t="s">
        <v>13</v>
      </c>
      <c r="B5" s="1197">
        <f t="shared" si="0"/>
        <v>4</v>
      </c>
      <c r="C5" s="1197">
        <v>6</v>
      </c>
      <c r="D5" s="1197">
        <v>2021</v>
      </c>
      <c r="E5" s="1209">
        <f>(IF('Section Load'!F8&gt;0,'Section Load'!F8,0))</f>
        <v>2421.5200000000186</v>
      </c>
      <c r="F5" s="1209">
        <f>(IF('Section Load'!G8&gt;0,'Section Load'!G8,0))</f>
        <v>1305.7000000000116</v>
      </c>
      <c r="G5" s="1209">
        <f>(IF('Section Load'!H8&gt;0,'Section Load'!H8,0))</f>
        <v>1089.3699999999953</v>
      </c>
      <c r="H5" s="1209">
        <f>(IF('Section Load'!I8&gt;0,'Section Load'!I8,0))</f>
        <v>2762.9400000000023</v>
      </c>
      <c r="I5" s="1209">
        <f>(IF('Section Load'!J8&gt;0,'Section Load'!J8,0))</f>
        <v>4466.5599999999395</v>
      </c>
      <c r="J5" s="1209">
        <f>(IF('Section Load'!K8&gt;0,'Section Load'!K8,0))</f>
        <v>2358.8000000000466</v>
      </c>
      <c r="K5" s="1209">
        <f>(IF('Section Load'!L8&gt;0,'Section Load'!L8,0))</f>
        <v>1026.2000000000116</v>
      </c>
      <c r="L5" s="1209">
        <f>(IF('Section Load'!M8&gt;0,'Section Load'!M8,0))</f>
        <v>520.79</v>
      </c>
      <c r="M5" s="1209">
        <f>(IF('Section Load'!N8&gt;0,'Section Load'!N8,0))</f>
        <v>12</v>
      </c>
      <c r="N5" s="1209">
        <f>(IF('Section Load'!O8&gt;0,'Section Load'!O8,0))</f>
        <v>0</v>
      </c>
      <c r="O5" s="1209">
        <f>(IF('Section Load'!P8&gt;0,'Section Load'!P8,0))</f>
        <v>0</v>
      </c>
      <c r="P5" s="1209">
        <f>(IF('Section Load'!Q8&gt;0,'Section Load'!Q8,0))</f>
        <v>0</v>
      </c>
      <c r="Q5" s="1209">
        <f>(IF('Section Load'!R8&gt;0,'Section Load'!R8,0))</f>
        <v>62.019999999999527</v>
      </c>
      <c r="R5" s="1209">
        <f>(IF('Section Load'!S8&gt;0,'Section Load'!S8,0))</f>
        <v>49</v>
      </c>
      <c r="S5" s="1209">
        <f>(IF('Section Load'!T8&gt;0,'Section Load'!T8,0))</f>
        <v>93</v>
      </c>
      <c r="T5" s="1209">
        <f>(IF('Section Load'!U8&gt;0,'Section Load'!U8,0))</f>
        <v>151</v>
      </c>
      <c r="U5" s="1209">
        <f>(IF('Section Load'!V8&gt;0,'Section Load'!V8,0))</f>
        <v>343.6600000000326</v>
      </c>
      <c r="V5" s="1209">
        <f>(IF('Section Load'!W8&gt;0,'Section Load'!W8,0))</f>
        <v>86.599999999976717</v>
      </c>
      <c r="W5" s="1209">
        <f>(IF('Section Load'!X8&gt;0,'Section Load'!X8,0))</f>
        <v>10.059999999997672</v>
      </c>
      <c r="X5" s="1209">
        <f>(IF('Section Load'!Y8&gt;0,'Section Load'!Y8,0))</f>
        <v>3</v>
      </c>
      <c r="Y5" s="1209">
        <f>(IF('Section Load'!Z8&gt;0,'Section Load'!Z8,0))</f>
        <v>163</v>
      </c>
      <c r="Z5" s="1209">
        <f>(IF('Section Load'!AA8&gt;0,'Section Load'!AA8,0))</f>
        <v>28.540000000037253</v>
      </c>
      <c r="AA5" s="1209">
        <f>(IF('Section Load'!AB8&gt;0,'Section Load'!AB8,0))</f>
        <v>17.80000000000291</v>
      </c>
      <c r="AB5" s="1209">
        <f>(IF('Section Load'!AC8&gt;0,'Section Load'!AC8,0))</f>
        <v>74.770000000018626</v>
      </c>
      <c r="AC5" s="1209">
        <f>(IF('Section Load'!AD8&gt;0,'Section Load'!AD8,0))</f>
        <v>10.100000000000364</v>
      </c>
      <c r="AD5" s="1209">
        <f>(IF('Section Load'!AE8&gt;0,'Section Load'!AE8,0))</f>
        <v>0</v>
      </c>
      <c r="AE5" s="1209">
        <f>(IF('Section Load'!AF8&gt;0,'Section Load'!AF8,0))</f>
        <v>0</v>
      </c>
      <c r="AF5" s="1209">
        <f>(IF('Section Load'!AG8&gt;0,'Section Load'!AG8,0))</f>
        <v>197.36999999999534</v>
      </c>
      <c r="AG5" s="1209">
        <f>(IF('Section Load'!AH8&gt;0,'Section Load'!AH8,0))</f>
        <v>184.45999999999185</v>
      </c>
      <c r="AH5" s="1209">
        <f>(IF('Section Load'!AI8&gt;0,'Section Load'!AI8,0))</f>
        <v>319.11000000000058</v>
      </c>
      <c r="AI5" s="1209">
        <f>(IF('Section Load'!AJ8&gt;0,'Section Load'!AJ8,0))</f>
        <v>438.05999999999767</v>
      </c>
      <c r="AJ5" s="1209">
        <f>(IF('Section Load'!AK8&gt;0,'Section Load'!AK8,0))</f>
        <v>0</v>
      </c>
      <c r="AK5" s="1209">
        <f>(IF('Section Load'!AL8&gt;0,'Section Load'!AL8,0))</f>
        <v>92.5</v>
      </c>
      <c r="AL5" s="1209">
        <f>(IF('Section Load'!AM8&gt;0,'Section Load'!AM8,0))</f>
        <v>790</v>
      </c>
      <c r="AM5" s="1210">
        <f>(IF('Water Report'!$G$7&gt;0,'Water Report'!$F$7,0))</f>
        <v>56</v>
      </c>
      <c r="AN5" s="1210">
        <f>(IF('Water Report'!$G$8&gt;0,'Water Report'!$F$8,0))</f>
        <v>99</v>
      </c>
      <c r="AO5" s="1210">
        <f>(IF('Water Report'!$G$9&gt;0,'Water Report'!$H$9,0))</f>
        <v>50</v>
      </c>
      <c r="AP5" s="1210">
        <f>(IF('Water Report'!$G$10&gt;0,'Water Report'!$G$10,0))</f>
        <v>9</v>
      </c>
      <c r="AQ5" s="1210">
        <f>(IF('Water Report'!$G$11&gt;0,'Water Report'!$G$11,0))</f>
        <v>15</v>
      </c>
      <c r="AR5" s="1210">
        <f>(IF('Water Report'!$G$13&gt;0,'Water Report'!$G$13,0))</f>
        <v>10</v>
      </c>
      <c r="AS5" s="1210">
        <f>(IF('Water Report'!$G$14&gt;0,'Water Report'!$G$14,0))</f>
        <v>9</v>
      </c>
      <c r="AT5" s="1210">
        <f>(IF('Water Report'!$G$15&gt;0,'Water Report'!$G$15,0))</f>
        <v>5</v>
      </c>
      <c r="AU5" s="1210">
        <f>(IF('Water Report'!$G$17&gt;0,'Water Report'!$G$17,0))</f>
        <v>0</v>
      </c>
      <c r="AV5" s="1210">
        <f>(IF('Water Report'!$G$18&gt;0,'Water Report'!$G$18,0))</f>
        <v>0</v>
      </c>
      <c r="AW5" s="1210">
        <f>(IF('Water Report'!$G$19&gt;0,'Water Report'!$G$19,0))</f>
        <v>6</v>
      </c>
      <c r="AX5" s="1253">
        <f>(IF('Water Report'!$G$21&gt;0,'Water Report'!$G$21,0))</f>
        <v>65</v>
      </c>
      <c r="AY5" s="1253">
        <f>(IF('Water Report'!$G$22&gt;0,'Water Report'!$G$22,0))</f>
        <v>10</v>
      </c>
      <c r="AZ5" s="1253">
        <f>(IF('Water Report'!$G$23&gt;0,'Water Report'!$G$23,0))</f>
        <v>0</v>
      </c>
      <c r="BA5" s="1253">
        <f>(IF('Water Report'!$G$14&gt;0,'Water Report'!$G$14,0))</f>
        <v>9</v>
      </c>
      <c r="BB5" s="1253">
        <f>(IF('Water Report'!$G$15&gt;0,'Water Report'!$G$15,0))</f>
        <v>5</v>
      </c>
      <c r="BC5" s="1253">
        <f>(IF('Water Report'!$G$13&gt;0,'Water Report'!$G$13,0))</f>
        <v>10</v>
      </c>
      <c r="BD5" s="1253">
        <f>(IF('Water Report'!$G$24&gt;0,'Water Report'!$G$24,0))</f>
        <v>101</v>
      </c>
      <c r="BE5" s="1253">
        <f>(IF('Water Report'!$G$25&gt;0,'Water Report'!$G$25,0))</f>
        <v>65</v>
      </c>
      <c r="BF5" s="1253">
        <f>(IF('Water Report'!$G$27&gt;0,'Water Report'!$G$27,0))</f>
        <v>75</v>
      </c>
      <c r="BG5" s="1211">
        <f>(IF('Section Load'!AN8&gt;0,'Section Load'!AN8,0))</f>
        <v>302.90400000009686</v>
      </c>
      <c r="BH5" s="1211">
        <f>(IF('Section Load'!AO8&gt;0,'Section Load'!AO8,0))</f>
        <v>179.52999999991152</v>
      </c>
      <c r="BI5" s="1211">
        <f>(IF('Section Load'!AP8&gt;0,'Section Load'!AP8,0))</f>
        <v>0</v>
      </c>
      <c r="BJ5" s="1211">
        <f>(IF('Section Load'!AQ8&gt;0,'Section Load'!AQ8,0))</f>
        <v>68.400000000023283</v>
      </c>
      <c r="BK5" s="1211">
        <f>(IF('Section Load'!AR8&gt;0,'Section Load'!AR8,0))</f>
        <v>0</v>
      </c>
      <c r="BL5" s="1211">
        <f>(IF('Section Load'!AS8&gt;0,'Section Load'!AS8,0))</f>
        <v>0</v>
      </c>
      <c r="BM5" s="1211">
        <f>(IF('Section Load'!AT8&gt;0,'Section Load'!AT8,0))</f>
        <v>55.374000000156229</v>
      </c>
    </row>
    <row r="6" spans="1:65">
      <c r="A6" s="1196" t="s">
        <v>13</v>
      </c>
      <c r="B6" s="1197">
        <f t="shared" si="0"/>
        <v>5</v>
      </c>
      <c r="C6" s="1197">
        <v>6</v>
      </c>
      <c r="D6" s="1197">
        <v>2021</v>
      </c>
      <c r="E6" s="1209">
        <f>(IF('Section Load'!F9&gt;0,'Section Load'!F9,0))</f>
        <v>2427.4400000000605</v>
      </c>
      <c r="F6" s="1209">
        <f>(IF('Section Load'!G9&gt;0,'Section Load'!G9,0))</f>
        <v>1382.5499999999884</v>
      </c>
      <c r="G6" s="1209">
        <f>(IF('Section Load'!H9&gt;0,'Section Load'!H9,0))</f>
        <v>1403.7799999999697</v>
      </c>
      <c r="H6" s="1209">
        <f>(IF('Section Load'!I9&gt;0,'Section Load'!I9,0))</f>
        <v>3287.4400000000023</v>
      </c>
      <c r="I6" s="1209">
        <f>(IF('Section Load'!J9&gt;0,'Section Load'!J9,0))</f>
        <v>5836.539999999979</v>
      </c>
      <c r="J6" s="1209">
        <f>(IF('Section Load'!K9&gt;0,'Section Load'!K9,0))</f>
        <v>2676.1999999999534</v>
      </c>
      <c r="K6" s="1209">
        <f>(IF('Section Load'!L9&gt;0,'Section Load'!L9,0))</f>
        <v>1410.5199999999604</v>
      </c>
      <c r="L6" s="1209">
        <f>(IF('Section Load'!M9&gt;0,'Section Load'!M9,0))</f>
        <v>927.5</v>
      </c>
      <c r="M6" s="1209">
        <f>(IF('Section Load'!N9&gt;0,'Section Load'!N9,0))</f>
        <v>13</v>
      </c>
      <c r="N6" s="1209">
        <f>(IF('Section Load'!O9&gt;0,'Section Load'!O9,0))</f>
        <v>2</v>
      </c>
      <c r="O6" s="1209">
        <f>(IF('Section Load'!P9&gt;0,'Section Load'!P9,0))</f>
        <v>0</v>
      </c>
      <c r="P6" s="1209">
        <f>(IF('Section Load'!Q9&gt;0,'Section Load'!Q9,0))</f>
        <v>70.729999999999563</v>
      </c>
      <c r="Q6" s="1209">
        <f>(IF('Section Load'!R9&gt;0,'Section Load'!R9,0))</f>
        <v>66.070000000000618</v>
      </c>
      <c r="R6" s="1209">
        <f>(IF('Section Load'!S9&gt;0,'Section Load'!S9,0))</f>
        <v>51</v>
      </c>
      <c r="S6" s="1209">
        <f>(IF('Section Load'!T9&gt;0,'Section Load'!T9,0))</f>
        <v>131</v>
      </c>
      <c r="T6" s="1209">
        <f>(IF('Section Load'!U9&gt;0,'Section Load'!U9,0))</f>
        <v>145</v>
      </c>
      <c r="U6" s="1209">
        <f>(IF('Section Load'!V9&gt;0,'Section Load'!V9,0))</f>
        <v>448.26000000000931</v>
      </c>
      <c r="V6" s="1209">
        <f>(IF('Section Load'!W9&gt;0,'Section Load'!W9,0))</f>
        <v>90.400000000023283</v>
      </c>
      <c r="W6" s="1209">
        <f>(IF('Section Load'!X9&gt;0,'Section Load'!X9,0))</f>
        <v>27.129999999990105</v>
      </c>
      <c r="X6" s="1209">
        <f>(IF('Section Load'!Y9&gt;0,'Section Load'!Y9,0))</f>
        <v>107.81000000000495</v>
      </c>
      <c r="Y6" s="1209">
        <f>(IF('Section Load'!Z9&gt;0,'Section Load'!Z9,0))</f>
        <v>270</v>
      </c>
      <c r="Z6" s="1209">
        <f>(IF('Section Load'!AA9&gt;0,'Section Load'!AA9,0))</f>
        <v>31.459999999962747</v>
      </c>
      <c r="AA6" s="1209">
        <f>(IF('Section Load'!AB9&gt;0,'Section Load'!AB9,0))</f>
        <v>15</v>
      </c>
      <c r="AB6" s="1209">
        <f>(IF('Section Load'!AC9&gt;0,'Section Load'!AC9,0))</f>
        <v>27.269999999989523</v>
      </c>
      <c r="AC6" s="1209">
        <f>(IF('Section Load'!AD9&gt;0,'Section Load'!AD9,0))</f>
        <v>18</v>
      </c>
      <c r="AD6" s="1209">
        <f>(IF('Section Load'!AE9&gt;0,'Section Load'!AE9,0))</f>
        <v>0</v>
      </c>
      <c r="AE6" s="1209">
        <f>(IF('Section Load'!AF9&gt;0,'Section Load'!AF9,0))</f>
        <v>0</v>
      </c>
      <c r="AF6" s="1209">
        <f>(IF('Section Load'!AG9&gt;0,'Section Load'!AG9,0))</f>
        <v>255.30999999999767</v>
      </c>
      <c r="AG6" s="1209">
        <f>(IF('Section Load'!AH9&gt;0,'Section Load'!AH9,0))</f>
        <v>343.46000000002095</v>
      </c>
      <c r="AH6" s="1209">
        <f>(IF('Section Load'!AI9&gt;0,'Section Load'!AI9,0))</f>
        <v>397.37000000000262</v>
      </c>
      <c r="AI6" s="1209">
        <f>(IF('Section Load'!AJ9&gt;0,'Section Load'!AJ9,0))</f>
        <v>487.05999999999767</v>
      </c>
      <c r="AJ6" s="1209">
        <f>(IF('Section Load'!AK9&gt;0,'Section Load'!AK9,0))</f>
        <v>0</v>
      </c>
      <c r="AK6" s="1209">
        <f>(IF('Section Load'!AL9&gt;0,'Section Load'!AL9,0))</f>
        <v>128.05000000000291</v>
      </c>
      <c r="AL6" s="1209">
        <f>(IF('Section Load'!AM9&gt;0,'Section Load'!AM9,0))</f>
        <v>877</v>
      </c>
      <c r="AM6" s="1210">
        <f>(IF('Water Report'!$H$7&gt;0,'Water Report'!$H$7,0))</f>
        <v>51</v>
      </c>
      <c r="AN6" s="1210">
        <f>(IF('Water Report'!$H$8&gt;0,'Water Report'!$H$8,0))</f>
        <v>108</v>
      </c>
      <c r="AO6" s="1210">
        <f>(IF('Water Report'!$H$9&gt;0,'Water Report'!$H$9,0))</f>
        <v>50</v>
      </c>
      <c r="AP6" s="1210">
        <f>(IF('Water Report'!$H$10&gt;0,'Water Report'!$H$10,0))</f>
        <v>14</v>
      </c>
      <c r="AQ6" s="1210">
        <f>(IF('Water Report'!$H$11&gt;0,'Water Report'!$H$11,0))</f>
        <v>29</v>
      </c>
      <c r="AR6" s="1210">
        <f>(IF('Water Report'!$H$13&gt;0,'Water Report'!$H$13,0))</f>
        <v>5</v>
      </c>
      <c r="AS6" s="1210">
        <f>(IF('Water Report'!$H$14&gt;0,'Water Report'!$H$14,0))</f>
        <v>12</v>
      </c>
      <c r="AT6" s="1210">
        <f>(IF('Water Report'!$H$15&gt;0,'Water Report'!$H$15,0))</f>
        <v>8</v>
      </c>
      <c r="AU6" s="1210">
        <f>(IF('Water Report'!$H$17&gt;0,'Water Report'!$H$17,0))</f>
        <v>0</v>
      </c>
      <c r="AV6" s="1210">
        <f>(IF('Water Report'!$H$18&gt;0,'Water Report'!$H$18,0))</f>
        <v>1</v>
      </c>
      <c r="AW6" s="1210">
        <f>(IF('Water Report'!$H$19&gt;0,'Water Report'!$H$19,0))</f>
        <v>3</v>
      </c>
      <c r="AX6" s="1253">
        <f>(IF('Water Report'!$H$21&gt;0,'Water Report'!$H$21,0))</f>
        <v>88</v>
      </c>
      <c r="AY6" s="1253">
        <f>(IF('Water Report'!$H$22&gt;0,'Water Report'!$H$22,0))</f>
        <v>17</v>
      </c>
      <c r="AZ6" s="1253">
        <f>(IF('Water Report'!$H$23&gt;0,'Water Report'!$H$23,0))</f>
        <v>15</v>
      </c>
      <c r="BA6" s="1253">
        <f>(IF('Water Report'!$H$14&gt;0,'Water Report'!$H$14,0))</f>
        <v>12</v>
      </c>
      <c r="BB6" s="1253">
        <f>(IF('Water Report'!$H$15&gt;0,'Water Report'!$H$15,0))</f>
        <v>8</v>
      </c>
      <c r="BC6" s="1253">
        <f>(IF('Water Report'!$H$13&gt;0,'Water Report'!$H$13,0))</f>
        <v>5</v>
      </c>
      <c r="BD6" s="1253">
        <f>(IF('Water Report'!$H$24&gt;0,'Water Report'!$H$24,0))</f>
        <v>102</v>
      </c>
      <c r="BE6" s="1253">
        <f>(IF('Water Report'!$H$25&gt;0,'Water Report'!$H$25,0))</f>
        <v>113</v>
      </c>
      <c r="BF6" s="1253">
        <f>(IF('Water Report'!$H$27&gt;0,'Water Report'!$H$27,0))</f>
        <v>108</v>
      </c>
      <c r="BG6" s="1211">
        <f>(IF('Section Load'!AN9&gt;0,'Section Load'!AN9,0))</f>
        <v>453.90200000000186</v>
      </c>
      <c r="BH6" s="1211">
        <f>(IF('Section Load'!AO9&gt;0,'Section Load'!AO9,0))</f>
        <v>181.65000000002328</v>
      </c>
      <c r="BI6" s="1211">
        <f>(IF('Section Load'!AP9&gt;0,'Section Load'!AP9,0))</f>
        <v>0</v>
      </c>
      <c r="BJ6" s="1211">
        <f>(IF('Section Load'!AQ9&gt;0,'Section Load'!AQ9,0))</f>
        <v>61.129999999975553</v>
      </c>
      <c r="BK6" s="1211">
        <f>(IF('Section Load'!AR9&gt;0,'Section Load'!AR9,0))</f>
        <v>2.8999999999978172</v>
      </c>
      <c r="BL6" s="1211">
        <f>(IF('Section Load'!AS9&gt;0,'Section Load'!AS9,0))</f>
        <v>0.19999999999890861</v>
      </c>
      <c r="BM6" s="1211">
        <f>(IF('Section Load'!AT9&gt;0,'Section Load'!AT9,0))</f>
        <v>208.0220000000063</v>
      </c>
    </row>
    <row r="7" spans="1:65">
      <c r="A7" s="1196" t="s">
        <v>13</v>
      </c>
      <c r="B7" s="1197">
        <f t="shared" si="0"/>
        <v>6</v>
      </c>
      <c r="C7" s="1197">
        <v>6</v>
      </c>
      <c r="D7" s="1197">
        <v>2021</v>
      </c>
      <c r="E7" s="1209">
        <f>(IF('Section Load'!F10&gt;0,'Section Load'!F10,0))</f>
        <v>2676.4000000000233</v>
      </c>
      <c r="F7" s="1209">
        <f>(IF('Section Load'!G10&gt;0,'Section Load'!G10,0))</f>
        <v>1373</v>
      </c>
      <c r="G7" s="1209">
        <f>(IF('Section Load'!H10&gt;0,'Section Load'!H10,0))</f>
        <v>1420.2099999999919</v>
      </c>
      <c r="H7" s="1209">
        <f>(IF('Section Load'!I10&gt;0,'Section Load'!I10,0))</f>
        <v>3169.640000000014</v>
      </c>
      <c r="I7" s="1209">
        <f>(IF('Section Load'!J10&gt;0,'Section Load'!J10,0))</f>
        <v>5049.8000000000466</v>
      </c>
      <c r="J7" s="1209">
        <f>(IF('Section Load'!K10&gt;0,'Section Load'!K10,0))</f>
        <v>2410.1000000000931</v>
      </c>
      <c r="K7" s="1209">
        <f>(IF('Section Load'!L10&gt;0,'Section Load'!L10,0))</f>
        <v>1017.0400000000373</v>
      </c>
      <c r="L7" s="1209">
        <f>(IF('Section Load'!M10&gt;0,'Section Load'!M10,0))</f>
        <v>502.36000000000013</v>
      </c>
      <c r="M7" s="1209">
        <f>(IF('Section Load'!N10&gt;0,'Section Load'!N10,0))</f>
        <v>13</v>
      </c>
      <c r="N7" s="1209">
        <f>(IF('Section Load'!O10&gt;0,'Section Load'!O10,0))</f>
        <v>1</v>
      </c>
      <c r="O7" s="1209">
        <f>(IF('Section Load'!P10&gt;0,'Section Load'!P10,0))</f>
        <v>0</v>
      </c>
      <c r="P7" s="1209">
        <f>(IF('Section Load'!Q10&gt;0,'Section Load'!Q10,0))</f>
        <v>81.81000000000131</v>
      </c>
      <c r="Q7" s="1209">
        <f>(IF('Section Load'!R10&gt;0,'Section Load'!R10,0))</f>
        <v>59.739999999999782</v>
      </c>
      <c r="R7" s="1209">
        <f>(IF('Section Load'!S10&gt;0,'Section Load'!S10,0))</f>
        <v>54</v>
      </c>
      <c r="S7" s="1209">
        <f>(IF('Section Load'!T10&gt;0,'Section Load'!T10,0))</f>
        <v>135</v>
      </c>
      <c r="T7" s="1209">
        <f>(IF('Section Load'!U10&gt;0,'Section Load'!U10,0))</f>
        <v>166</v>
      </c>
      <c r="U7" s="1209">
        <f>(IF('Section Load'!V10&gt;0,'Section Load'!V10,0))</f>
        <v>421.47999999998137</v>
      </c>
      <c r="V7" s="1209">
        <f>(IF('Section Load'!W10&gt;0,'Section Load'!W10,0))</f>
        <v>91.07999999995809</v>
      </c>
      <c r="W7" s="1209">
        <f>(IF('Section Load'!X10&gt;0,'Section Load'!X10,0))</f>
        <v>11.840000000011059</v>
      </c>
      <c r="X7" s="1209">
        <f>(IF('Section Load'!Y10&gt;0,'Section Load'!Y10,0))</f>
        <v>161.5199999999968</v>
      </c>
      <c r="Y7" s="1209">
        <f>(IF('Section Load'!Z10&gt;0,'Section Load'!Z10,0))</f>
        <v>300</v>
      </c>
      <c r="Z7" s="1209">
        <f>(IF('Section Load'!AA10&gt;0,'Section Load'!AA10,0))</f>
        <v>30.92000000004191</v>
      </c>
      <c r="AA7" s="1209">
        <f>(IF('Section Load'!AB10&gt;0,'Section Load'!AB10,0))</f>
        <v>11</v>
      </c>
      <c r="AB7" s="1209">
        <f>(IF('Section Load'!AC10&gt;0,'Section Load'!AC10,0))</f>
        <v>115.45999999999185</v>
      </c>
      <c r="AC7" s="1209">
        <f>(IF('Section Load'!AD10&gt;0,'Section Load'!AD10,0))</f>
        <v>16.900000000001455</v>
      </c>
      <c r="AD7" s="1209">
        <f>(IF('Section Load'!AE10&gt;0,'Section Load'!AE10,0))</f>
        <v>0</v>
      </c>
      <c r="AE7" s="1209">
        <f>(IF('Section Load'!AF10&gt;0,'Section Load'!AF10,0))</f>
        <v>0</v>
      </c>
      <c r="AF7" s="1209">
        <f>(IF('Section Load'!AG10&gt;0,'Section Load'!AG10,0))</f>
        <v>290.86999999999534</v>
      </c>
      <c r="AG7" s="1209">
        <f>(IF('Section Load'!AH10&gt;0,'Section Load'!AH10,0))</f>
        <v>292.22999999998137</v>
      </c>
      <c r="AH7" s="1209">
        <f>(IF('Section Load'!AI10&gt;0,'Section Load'!AI10,0))</f>
        <v>388.47000000000116</v>
      </c>
      <c r="AI7" s="1209">
        <f>(IF('Section Load'!AJ10&gt;0,'Section Load'!AJ10,0))</f>
        <v>457.67999999999302</v>
      </c>
      <c r="AJ7" s="1209">
        <f>(IF('Section Load'!AK10&gt;0,'Section Load'!AK10,0))</f>
        <v>0</v>
      </c>
      <c r="AK7" s="1209">
        <f>(IF('Section Load'!AL10&gt;0,'Section Load'!AL10,0))</f>
        <v>155.15000000000873</v>
      </c>
      <c r="AL7" s="1209">
        <f>(IF('Section Load'!AM10&gt;0,'Section Load'!AM10,0))</f>
        <v>918</v>
      </c>
      <c r="AM7" s="1210">
        <f>(IF('Water Report'!$I$7&gt;0,'Water Report'!$I$7,0))</f>
        <v>85</v>
      </c>
      <c r="AN7" s="1210">
        <f>(IF('Water Report'!$I$8&gt;0,'Water Report'!$I$8,0))</f>
        <v>124</v>
      </c>
      <c r="AO7" s="1210">
        <f>(IF('Water Report'!$I$9&gt;0,'Water Report'!$I$9,0))</f>
        <v>73</v>
      </c>
      <c r="AP7" s="1210">
        <f>(IF('Water Report'!$I$10&gt;0,'Water Report'!$I$10,0))</f>
        <v>21</v>
      </c>
      <c r="AQ7" s="1210">
        <f>(IF('Water Report'!$I$11&gt;0,'Water Report'!$I$11,0))</f>
        <v>30</v>
      </c>
      <c r="AR7" s="1210">
        <f>(IF('Water Report'!$I$13&gt;0,'Water Report'!$I$13,0))</f>
        <v>18</v>
      </c>
      <c r="AS7" s="1210">
        <f>(IF('Water Report'!$I$14&gt;0,'Water Report'!$I$14,0))</f>
        <v>12</v>
      </c>
      <c r="AT7" s="1210">
        <f>(IF('Water Report'!$I$15&gt;0,'Water Report'!$I$15,0))</f>
        <v>13</v>
      </c>
      <c r="AU7" s="1210">
        <f>(IF('Water Report'!$I$17&gt;0,'Water Report'!$I$17,0))</f>
        <v>0</v>
      </c>
      <c r="AV7" s="1210">
        <f>(IF('Water Report'!$I$18&gt;0,'Water Report'!$I$18,0))</f>
        <v>10</v>
      </c>
      <c r="AW7" s="1210">
        <f>(IF('Water Report'!$I$19&gt;0,'Water Report'!$I$19,0))</f>
        <v>5</v>
      </c>
      <c r="AX7" s="1253">
        <f>(IF('Water Report'!$I$21&gt;0,'Water Report'!$I$21,0))</f>
        <v>63</v>
      </c>
      <c r="AY7" s="1253">
        <f>(IF('Water Report'!$I$22&gt;0,'Water Report'!$I$22,0))</f>
        <v>10</v>
      </c>
      <c r="AZ7" s="1253">
        <f>(IF('Water Report'!$I$23&gt;0,'Water Report'!$I$23,0))</f>
        <v>0</v>
      </c>
      <c r="BA7" s="1253">
        <f>(IF('Water Report'!$I$14&gt;0,'Water Report'!$I$14,0))</f>
        <v>12</v>
      </c>
      <c r="BB7" s="1253">
        <f>(IF('Water Report'!$I$15&gt;0,'Water Report'!$I$15,0))</f>
        <v>13</v>
      </c>
      <c r="BC7" s="1253">
        <f>(IF('Water Report'!$I$13&gt;0,'Water Report'!$I$13,0))</f>
        <v>18</v>
      </c>
      <c r="BD7" s="1253">
        <f>(IF('Water Report'!$I$24&gt;0,'Water Report'!$I$24,0))</f>
        <v>175</v>
      </c>
      <c r="BE7" s="1253">
        <f>(IF('Water Report'!$I$25&gt;0,'Water Report'!$I$25,0))</f>
        <v>149</v>
      </c>
      <c r="BF7" s="1253">
        <f>(IF('Water Report'!$I$27&gt;0,'Water Report'!$I$27,0))</f>
        <v>81</v>
      </c>
      <c r="BG7" s="1211">
        <f>(IF('Section Load'!AN10&gt;0,'Section Load'!AN10,0))</f>
        <v>556.86999999987893</v>
      </c>
      <c r="BH7" s="1211">
        <f>(IF('Section Load'!AO10&gt;0,'Section Load'!AO10,0))</f>
        <v>189.30000000004657</v>
      </c>
      <c r="BI7" s="1211">
        <f>(IF('Section Load'!AP10&gt;0,'Section Load'!AP10,0))</f>
        <v>0.39999999999417923</v>
      </c>
      <c r="BJ7" s="1211">
        <f>(IF('Section Load'!AQ10&gt;0,'Section Load'!AQ10,0))</f>
        <v>71.570000000006985</v>
      </c>
      <c r="BK7" s="1211">
        <f>(IF('Section Load'!AR10&gt;0,'Section Load'!AR10,0))</f>
        <v>0</v>
      </c>
      <c r="BL7" s="1211">
        <f>(IF('Section Load'!AS10&gt;0,'Section Load'!AS10,0))</f>
        <v>0</v>
      </c>
      <c r="BM7" s="1211">
        <f>(IF('Section Load'!AT10&gt;0,'Section Load'!AT10,0))</f>
        <v>295.5999999998312</v>
      </c>
    </row>
    <row r="8" spans="1:65">
      <c r="A8" s="1196" t="s">
        <v>13</v>
      </c>
      <c r="B8" s="1197">
        <f t="shared" si="0"/>
        <v>7</v>
      </c>
      <c r="C8" s="1197">
        <v>6</v>
      </c>
      <c r="D8" s="1197">
        <v>2021</v>
      </c>
      <c r="E8" s="1209">
        <f>(IF('Section Load'!F11&gt;0,'Section Load'!F11,0))</f>
        <v>2464.9599999999627</v>
      </c>
      <c r="F8" s="1209">
        <f>(IF('Section Load'!G11&gt;0,'Section Load'!G11,0))</f>
        <v>1289.6199999999953</v>
      </c>
      <c r="G8" s="1209">
        <f>(IF('Section Load'!H11&gt;0,'Section Load'!H11,0))</f>
        <v>1221.3999999999942</v>
      </c>
      <c r="H8" s="1209">
        <f>(IF('Section Load'!I11&gt;0,'Section Load'!I11,0))</f>
        <v>2961.6600000000326</v>
      </c>
      <c r="I8" s="1209">
        <f>(IF('Section Load'!J11&gt;0,'Section Load'!J11,0))</f>
        <v>4822.7399999999616</v>
      </c>
      <c r="J8" s="1209">
        <f>(IF('Section Load'!K11&gt;0,'Section Load'!K11,0))</f>
        <v>2436.8999999999069</v>
      </c>
      <c r="K8" s="1209">
        <f>(IF('Section Load'!L11&gt;0,'Section Load'!L11,0))</f>
        <v>844.47999999998137</v>
      </c>
      <c r="L8" s="1209">
        <f>(IF('Section Load'!M11&gt;0,'Section Load'!M11,0))</f>
        <v>523.92999999999984</v>
      </c>
      <c r="M8" s="1209">
        <f>(IF('Section Load'!N11&gt;0,'Section Load'!N11,0))</f>
        <v>17</v>
      </c>
      <c r="N8" s="1209">
        <f>(IF('Section Load'!O11&gt;0,'Section Load'!O11,0))</f>
        <v>1</v>
      </c>
      <c r="O8" s="1209">
        <f>(IF('Section Load'!P11&gt;0,'Section Load'!P11,0))</f>
        <v>0</v>
      </c>
      <c r="P8" s="1209">
        <f>(IF('Section Load'!Q11&gt;0,'Section Load'!Q11,0))</f>
        <v>77.979999999999563</v>
      </c>
      <c r="Q8" s="1209">
        <f>(IF('Section Load'!R11&gt;0,'Section Load'!R11,0))</f>
        <v>60.539999999999964</v>
      </c>
      <c r="R8" s="1209">
        <f>(IF('Section Load'!S11&gt;0,'Section Load'!S11,0))</f>
        <v>46</v>
      </c>
      <c r="S8" s="1209">
        <f>(IF('Section Load'!T11&gt;0,'Section Load'!T11,0))</f>
        <v>99</v>
      </c>
      <c r="T8" s="1209">
        <f>(IF('Section Load'!U11&gt;0,'Section Load'!U11,0))</f>
        <v>140</v>
      </c>
      <c r="U8" s="1209">
        <f>(IF('Section Load'!V11&gt;0,'Section Load'!V11,0))</f>
        <v>333.95999999996275</v>
      </c>
      <c r="V8" s="1209">
        <f>(IF('Section Load'!W11&gt;0,'Section Load'!W11,0))</f>
        <v>90.680000000051223</v>
      </c>
      <c r="W8" s="1209">
        <f>(IF('Section Load'!X11&gt;0,'Section Load'!X11,0))</f>
        <v>11.119999999995343</v>
      </c>
      <c r="X8" s="1209">
        <f>(IF('Section Load'!Y11&gt;0,'Section Load'!Y11,0))</f>
        <v>246.15000000000146</v>
      </c>
      <c r="Y8" s="1209">
        <f>(IF('Section Load'!Z11&gt;0,'Section Load'!Z11,0))</f>
        <v>182</v>
      </c>
      <c r="Z8" s="1209">
        <f>(IF('Section Load'!AA11&gt;0,'Section Load'!AA11,0))</f>
        <v>27.35999999998603</v>
      </c>
      <c r="AA8" s="1209">
        <f>(IF('Section Load'!AB11&gt;0,'Section Load'!AB11,0))</f>
        <v>22.5</v>
      </c>
      <c r="AB8" s="1209">
        <f>(IF('Section Load'!AC11&gt;0,'Section Load'!AC11,0))</f>
        <v>23.010000000009313</v>
      </c>
      <c r="AC8" s="1209">
        <f>(IF('Section Load'!AD11&gt;0,'Section Load'!AD11,0))</f>
        <v>35.399999999995543</v>
      </c>
      <c r="AD8" s="1209">
        <f>(IF('Section Load'!AE11&gt;0,'Section Load'!AE11,0))</f>
        <v>0</v>
      </c>
      <c r="AE8" s="1209">
        <f>(IF('Section Load'!AF11&gt;0,'Section Load'!AF11,0))</f>
        <v>0</v>
      </c>
      <c r="AF8" s="1209">
        <f>(IF('Section Load'!AG11&gt;0,'Section Load'!AG11,0))</f>
        <v>363.02000000001863</v>
      </c>
      <c r="AG8" s="1209">
        <f>(IF('Section Load'!AH11&gt;0,'Section Load'!AH11,0))</f>
        <v>212.49000000001979</v>
      </c>
      <c r="AH8" s="1209">
        <f>(IF('Section Load'!AI11&gt;0,'Section Load'!AI11,0))</f>
        <v>386.30999999999767</v>
      </c>
      <c r="AI8" s="1209">
        <f>(IF('Section Load'!AJ11&gt;0,'Section Load'!AJ11,0))</f>
        <v>374.34000000002561</v>
      </c>
      <c r="AJ8" s="1209">
        <f>(IF('Section Load'!AK11&gt;0,'Section Load'!AK11,0))</f>
        <v>0</v>
      </c>
      <c r="AK8" s="1209">
        <f>(IF('Section Load'!AL11&gt;0,'Section Load'!AL11,0))</f>
        <v>122.19999999999709</v>
      </c>
      <c r="AL8" s="1209">
        <f>(IF('Section Load'!AM11&gt;0,'Section Load'!AM11,0))</f>
        <v>763</v>
      </c>
      <c r="AM8" s="1210">
        <f>(IF('Water Report'!$J$7&gt;0,'Water Report'!$J$7,0))</f>
        <v>57</v>
      </c>
      <c r="AN8" s="1210">
        <f>(IF('Water Report'!$J$8&gt;0,'Water Report'!$J$8,0))</f>
        <v>80</v>
      </c>
      <c r="AO8" s="1210">
        <f>(IF('Water Report'!$J$9&gt;0,'Water Report'!$J$9,0))</f>
        <v>67</v>
      </c>
      <c r="AP8" s="1210">
        <f>(IF('Water Report'!$J$10&gt;0,'Water Report'!$J$10,0))</f>
        <v>7</v>
      </c>
      <c r="AQ8" s="1210">
        <f>(IF('Water Report'!$J$11&gt;0,'Water Report'!$J$11,0))</f>
        <v>19</v>
      </c>
      <c r="AR8" s="1210">
        <f>(IF('Water Report'!$J$13&gt;0,'Water Report'!$J$13,0))</f>
        <v>2</v>
      </c>
      <c r="AS8" s="1210">
        <f>(IF('Water Report'!$J$14&gt;0,'Water Report'!$J$14,0))</f>
        <v>14</v>
      </c>
      <c r="AT8" s="1210">
        <f>(IF('Water Report'!$J$15&gt;0,'Water Report'!$J$15,0))</f>
        <v>7</v>
      </c>
      <c r="AU8" s="1210">
        <f>(IF('Water Report'!$J$17&gt;0,'Water Report'!$J$17,0))</f>
        <v>0</v>
      </c>
      <c r="AV8" s="1210">
        <f>(IF('Water Report'!$J$18&gt;0,'Water Report'!$J$18,0))</f>
        <v>12</v>
      </c>
      <c r="AW8" s="1210">
        <f>(IF('Water Report'!$J$19&gt;0,'Water Report'!$J$19,0))</f>
        <v>4</v>
      </c>
      <c r="AX8" s="1253">
        <f>(IF('Water Report'!$J$21&gt;0,'Water Report'!$J$21,0))</f>
        <v>63</v>
      </c>
      <c r="AY8" s="1253">
        <f>(IF('Water Report'!$J$22&gt;0,'Water Report'!$J$22,0))</f>
        <v>0</v>
      </c>
      <c r="AZ8" s="1253">
        <f>(IF('Water Report'!$J$23&gt;0,'Water Report'!$J$23,0))</f>
        <v>0</v>
      </c>
      <c r="BA8" s="1253">
        <f>(IF('Water Report'!$J$14&gt;0,'Water Report'!$J$14,0))</f>
        <v>14</v>
      </c>
      <c r="BB8" s="1253">
        <f>(IF('Water Report'!$J$15&gt;0,'Water Report'!$J$15,0))</f>
        <v>7</v>
      </c>
      <c r="BC8" s="1253">
        <f>(IF('Water Report'!$J$13&gt;0,'Water Report'!$J$13,0))</f>
        <v>2</v>
      </c>
      <c r="BD8" s="1253">
        <f>(IF('Water Report'!$J$24&gt;0,'Water Report'!$J$24,0))</f>
        <v>122</v>
      </c>
      <c r="BE8" s="1253">
        <f>(IF('Water Report'!$J$25&gt;0,'Water Report'!$J$25,0))</f>
        <v>114</v>
      </c>
      <c r="BF8" s="1253">
        <f>(IF('Water Report'!$J$27&gt;0,'Water Report'!$J$27,0))</f>
        <v>65</v>
      </c>
      <c r="BG8" s="1211">
        <f>(IF('Section Load'!AN11&gt;0,'Section Load'!AN11,0))</f>
        <v>563.6500000001397</v>
      </c>
      <c r="BH8" s="1211">
        <f>(IF('Section Load'!AO11&gt;0,'Section Load'!AO11,0))</f>
        <v>182.21999999997206</v>
      </c>
      <c r="BI8" s="1211">
        <f>(IF('Section Load'!AP11&gt;0,'Section Load'!AP11,0))</f>
        <v>0</v>
      </c>
      <c r="BJ8" s="1211">
        <f>(IF('Section Load'!AQ11&gt;0,'Section Load'!AQ11,0))</f>
        <v>49.880000000004657</v>
      </c>
      <c r="BK8" s="1211">
        <f>(IF('Section Load'!AR11&gt;0,'Section Load'!AR11,0))</f>
        <v>0</v>
      </c>
      <c r="BL8" s="1211">
        <f>(IF('Section Load'!AS11&gt;0,'Section Load'!AS11,0))</f>
        <v>0</v>
      </c>
      <c r="BM8" s="1211">
        <f>(IF('Section Load'!AT11&gt;0,'Section Load'!AT11,0))</f>
        <v>332.05000000015571</v>
      </c>
    </row>
    <row r="9" spans="1:65">
      <c r="A9" s="1196" t="s">
        <v>13</v>
      </c>
      <c r="B9" s="1197">
        <f t="shared" si="0"/>
        <v>8</v>
      </c>
      <c r="C9" s="1197">
        <v>6</v>
      </c>
      <c r="D9" s="1197">
        <v>2021</v>
      </c>
      <c r="E9" s="1209">
        <f>(IF('Section Load'!F12&gt;0,'Section Load'!F12,0))</f>
        <v>2459.6799999999348</v>
      </c>
      <c r="F9" s="1209">
        <f>(IF('Section Load'!G12&gt;0,'Section Load'!G12,0))</f>
        <v>1347.640000000014</v>
      </c>
      <c r="G9" s="1209">
        <f>(IF('Section Load'!H12&gt;0,'Section Load'!H12,0))</f>
        <v>1148.8699999999953</v>
      </c>
      <c r="H9" s="1209">
        <f>(IF('Section Load'!I12&gt;0,'Section Load'!I12,0))</f>
        <v>2920.1999999999534</v>
      </c>
      <c r="I9" s="1209">
        <f>(IF('Section Load'!J12&gt;0,'Section Load'!J12,0))</f>
        <v>5104.1400000000431</v>
      </c>
      <c r="J9" s="1209">
        <f>(IF('Section Load'!K12&gt;0,'Section Load'!K12,0))</f>
        <v>2446.8000000000466</v>
      </c>
      <c r="K9" s="1209">
        <f>(IF('Section Load'!L12&gt;0,'Section Load'!L12,0))</f>
        <v>832.40000000002328</v>
      </c>
      <c r="L9" s="1209">
        <f>(IF('Section Load'!M12&gt;0,'Section Load'!M12,0))</f>
        <v>596.12000000000035</v>
      </c>
      <c r="M9" s="1209">
        <f>(IF('Section Load'!N12&gt;0,'Section Load'!N12,0))</f>
        <v>11</v>
      </c>
      <c r="N9" s="1209">
        <f>(IF('Section Load'!O12&gt;0,'Section Load'!O12,0))</f>
        <v>1</v>
      </c>
      <c r="O9" s="1209">
        <f>(IF('Section Load'!P12&gt;0,'Section Load'!P12,0))</f>
        <v>0</v>
      </c>
      <c r="P9" s="1209">
        <f>(IF('Section Load'!Q12&gt;0,'Section Load'!Q12,0))</f>
        <v>59.690000000000509</v>
      </c>
      <c r="Q9" s="1209">
        <f>(IF('Section Load'!R12&gt;0,'Section Load'!R12,0))</f>
        <v>54.649999999999636</v>
      </c>
      <c r="R9" s="1209">
        <f>(IF('Section Load'!S12&gt;0,'Section Load'!S12,0))</f>
        <v>51</v>
      </c>
      <c r="S9" s="1209">
        <f>(IF('Section Load'!T12&gt;0,'Section Load'!T12,0))</f>
        <v>57</v>
      </c>
      <c r="T9" s="1209">
        <f>(IF('Section Load'!U12&gt;0,'Section Load'!U12,0))</f>
        <v>136</v>
      </c>
      <c r="U9" s="1209">
        <f>(IF('Section Load'!V12&gt;0,'Section Load'!V12,0))</f>
        <v>332</v>
      </c>
      <c r="V9" s="1209">
        <f>(IF('Section Load'!W12&gt;0,'Section Load'!W12,0))</f>
        <v>188</v>
      </c>
      <c r="W9" s="1209">
        <f>(IF('Section Load'!X12&gt;0,'Section Load'!X12,0))</f>
        <v>25.600000000005821</v>
      </c>
      <c r="X9" s="1209">
        <f>(IF('Section Load'!Y12&gt;0,'Section Load'!Y12,0))</f>
        <v>81.25</v>
      </c>
      <c r="Y9" s="1209">
        <f>(IF('Section Load'!Z12&gt;0,'Section Load'!Z12,0))</f>
        <v>165</v>
      </c>
      <c r="Z9" s="1209">
        <f>(IF('Section Load'!AA12&gt;0,'Section Load'!AA12,0))</f>
        <v>33</v>
      </c>
      <c r="AA9" s="1209">
        <f>(IF('Section Load'!AB12&gt;0,'Section Load'!AB12,0))</f>
        <v>35</v>
      </c>
      <c r="AB9" s="1209">
        <f>(IF('Section Load'!AC12&gt;0,'Section Load'!AC12,0))</f>
        <v>26</v>
      </c>
      <c r="AC9" s="1209">
        <f>(IF('Section Load'!AD12&gt;0,'Section Load'!AD12,0))</f>
        <v>20.700000000003001</v>
      </c>
      <c r="AD9" s="1209">
        <f>(IF('Section Load'!AE12&gt;0,'Section Load'!AE12,0))</f>
        <v>0</v>
      </c>
      <c r="AE9" s="1209">
        <f>(IF('Section Load'!AF12&gt;0,'Section Load'!AF12,0))</f>
        <v>0</v>
      </c>
      <c r="AF9" s="1209">
        <f>(IF('Section Load'!AG12&gt;0,'Section Load'!AG12,0))</f>
        <v>338.02999999999884</v>
      </c>
      <c r="AG9" s="1209">
        <f>(IF('Section Load'!AH12&gt;0,'Section Load'!AH12,0))</f>
        <v>197.34999999997672</v>
      </c>
      <c r="AH9" s="1209">
        <f>(IF('Section Load'!AI12&gt;0,'Section Load'!AI12,0))</f>
        <v>407.66999999999825</v>
      </c>
      <c r="AI9" s="1209">
        <f>(IF('Section Load'!AJ12&gt;0,'Section Load'!AJ12,0))</f>
        <v>365.69999999998254</v>
      </c>
      <c r="AJ9" s="1209">
        <f>(IF('Section Load'!AK12&gt;0,'Section Load'!AK12,0))</f>
        <v>0</v>
      </c>
      <c r="AK9" s="1209">
        <f>(IF('Section Load'!AL12&gt;0,'Section Load'!AL12,0))</f>
        <v>102.47000000000116</v>
      </c>
      <c r="AL9" s="1209">
        <f>(IF('Section Load'!AM12&gt;0,'Section Load'!AM12,0))</f>
        <v>696</v>
      </c>
      <c r="AM9" s="1210">
        <f>(IF('Water Report'!$K$7&gt;0,'Water Report'!$K$7,0))</f>
        <v>40</v>
      </c>
      <c r="AN9" s="1210">
        <f>(IF('Water Report'!$K$8&gt;0,'Water Report'!$K$8,0))</f>
        <v>88</v>
      </c>
      <c r="AO9" s="1210">
        <f>(IF('Water Report'!$K$9&gt;0,'Water Report'!$K$9,0))</f>
        <v>34</v>
      </c>
      <c r="AP9" s="1210">
        <f>(IF('Water Report'!$K$10&gt;0,'Water Report'!$K$10,0))</f>
        <v>9</v>
      </c>
      <c r="AQ9" s="1210">
        <f>(IF('Water Report'!$K$11&gt;0,'Water Report'!$K$11,0))</f>
        <v>15</v>
      </c>
      <c r="AR9" s="1210">
        <f>(IF('Water Report'!$K$13&gt;0,'Water Report'!$K$13,0))</f>
        <v>5</v>
      </c>
      <c r="AS9" s="1210">
        <f>(IF('Water Report'!$K$14&gt;0,'Water Report'!$K$14,0))</f>
        <v>31</v>
      </c>
      <c r="AT9" s="1210">
        <f>(IF('Water Report'!$K$15&gt;0,'Water Report'!$K$15,0))</f>
        <v>6</v>
      </c>
      <c r="AU9" s="1210">
        <f>(IF('Water Report'!$K$17&gt;0,'Water Report'!$K$17,0))</f>
        <v>0</v>
      </c>
      <c r="AV9" s="1210">
        <f>(IF('Water Report'!$K$18&gt;0,'Water Report'!$K$18,0))</f>
        <v>0</v>
      </c>
      <c r="AW9" s="1210">
        <f>(IF('Water Report'!$K$19&gt;0,'Water Report'!$K$19,0))</f>
        <v>3</v>
      </c>
      <c r="AX9" s="1253">
        <f>(IF('Water Report'!$K$21&gt;0,'Water Report'!$K$21,0))</f>
        <v>45</v>
      </c>
      <c r="AY9" s="1253">
        <f>(IF('Water Report'!$K$22&gt;0,'Water Report'!$K$22,0))</f>
        <v>17</v>
      </c>
      <c r="AZ9" s="1253">
        <f>(IF('Water Report'!$K$23&gt;0,'Water Report'!$K$23,0))</f>
        <v>0</v>
      </c>
      <c r="BA9" s="1253">
        <f>(IF('Water Report'!$K$14&gt;0,'Water Report'!$K$14,0))</f>
        <v>31</v>
      </c>
      <c r="BB9" s="1253">
        <f>(IF('Water Report'!$K$15&gt;0,'Water Report'!$K$15,0))</f>
        <v>6</v>
      </c>
      <c r="BC9" s="1253">
        <f>(IF('Water Report'!$K$13&gt;0,'Water Report'!$K$13,0))</f>
        <v>5</v>
      </c>
      <c r="BD9" s="1253">
        <f>(IF('Water Report'!$K$24&gt;0,'Water Report'!$K$24,0))</f>
        <v>159</v>
      </c>
      <c r="BE9" s="1253">
        <f>(IF('Water Report'!$K$25&gt;0,'Water Report'!$K$25,0))</f>
        <v>95</v>
      </c>
      <c r="BF9" s="1253">
        <f>(IF('Water Report'!$K$27&gt;0,'Water Report'!$K$27,0))</f>
        <v>50</v>
      </c>
      <c r="BG9" s="1211">
        <f>(IF('Section Load'!AN12&gt;0,'Section Load'!AN12,0))</f>
        <v>406.11999999987893</v>
      </c>
      <c r="BH9" s="1211">
        <f>(IF('Section Load'!AO12&gt;0,'Section Load'!AO12,0))</f>
        <v>178.89000000001397</v>
      </c>
      <c r="BI9" s="1211">
        <f>(IF('Section Load'!AP12&gt;0,'Section Load'!AP12,0))</f>
        <v>0.39999999999417923</v>
      </c>
      <c r="BJ9" s="1211">
        <f>(IF('Section Load'!AQ12&gt;0,'Section Load'!AQ12,0))</f>
        <v>58</v>
      </c>
      <c r="BK9" s="1211">
        <f>(IF('Section Load'!AR12&gt;0,'Section Load'!AR12,0))</f>
        <v>0</v>
      </c>
      <c r="BL9" s="1211">
        <f>(IF('Section Load'!AS12&gt;0,'Section Load'!AS12,0))</f>
        <v>0.1000000000003638</v>
      </c>
      <c r="BM9" s="1211">
        <f>(IF('Section Load'!AT12&gt;0,'Section Load'!AT12,0))</f>
        <v>168.72999999987042</v>
      </c>
    </row>
    <row r="10" spans="1:65">
      <c r="A10" s="1196" t="s">
        <v>13</v>
      </c>
      <c r="B10" s="1197">
        <f t="shared" si="0"/>
        <v>9</v>
      </c>
      <c r="C10" s="1197">
        <v>6</v>
      </c>
      <c r="D10" s="1197">
        <v>2021</v>
      </c>
      <c r="E10" s="1209">
        <f>(IF('Section Load'!F13&gt;0,'Section Load'!F13,0))</f>
        <v>2245.8100000000559</v>
      </c>
      <c r="F10" s="1209">
        <f>(IF('Section Load'!G13&gt;0,'Section Load'!G13,0))</f>
        <v>1379.7399999999907</v>
      </c>
      <c r="G10" s="1209">
        <f>(IF('Section Load'!H13&gt;0,'Section Load'!H13,0))</f>
        <v>1004.8500000000058</v>
      </c>
      <c r="H10" s="1209">
        <f>(IF('Section Load'!I13&gt;0,'Section Load'!I13,0))</f>
        <v>3069.710000000021</v>
      </c>
      <c r="I10" s="1209">
        <f>(IF('Section Load'!J13&gt;0,'Section Load'!J13,0))</f>
        <v>4917.2599999999802</v>
      </c>
      <c r="J10" s="1209">
        <f>(IF('Section Load'!K13&gt;0,'Section Load'!K13,0))</f>
        <v>2440.5</v>
      </c>
      <c r="K10" s="1209">
        <f>(IF('Section Load'!L13&gt;0,'Section Load'!L13,0))</f>
        <v>877.40999999997439</v>
      </c>
      <c r="L10" s="1209">
        <f>(IF('Section Load'!M13&gt;0,'Section Load'!M13,0))</f>
        <v>614.81999999999971</v>
      </c>
      <c r="M10" s="1209">
        <f>(IF('Section Load'!N13&gt;0,'Section Load'!N13,0))</f>
        <v>12</v>
      </c>
      <c r="N10" s="1209">
        <f>(IF('Section Load'!O13&gt;0,'Section Load'!O13,0))</f>
        <v>1</v>
      </c>
      <c r="O10" s="1209">
        <f>(IF('Section Load'!P13&gt;0,'Section Load'!P13,0))</f>
        <v>0</v>
      </c>
      <c r="P10" s="1209">
        <f>(IF('Section Load'!Q13&gt;0,'Section Load'!Q13,0))</f>
        <v>59.6299999999992</v>
      </c>
      <c r="Q10" s="1209">
        <f>(IF('Section Load'!R13&gt;0,'Section Load'!R13,0))</f>
        <v>59.350000000000364</v>
      </c>
      <c r="R10" s="1209">
        <f>(IF('Section Load'!S13&gt;0,'Section Load'!S13,0))</f>
        <v>50</v>
      </c>
      <c r="S10" s="1209">
        <f>(IF('Section Load'!T13&gt;0,'Section Load'!T13,0))</f>
        <v>53</v>
      </c>
      <c r="T10" s="1209">
        <f>(IF('Section Load'!U13&gt;0,'Section Load'!U13,0))</f>
        <v>147</v>
      </c>
      <c r="U10" s="1209">
        <f>(IF('Section Load'!V13&gt;0,'Section Load'!V13,0))</f>
        <v>322</v>
      </c>
      <c r="V10" s="1209">
        <f>(IF('Section Load'!W13&gt;0,'Section Load'!W13,0))</f>
        <v>176</v>
      </c>
      <c r="W10" s="1209">
        <f>(IF('Section Load'!X13&gt;0,'Section Load'!X13,0))</f>
        <v>10.399999999994179</v>
      </c>
      <c r="X10" s="1209">
        <f>(IF('Section Load'!Y13&gt;0,'Section Load'!Y13,0))</f>
        <v>0</v>
      </c>
      <c r="Y10" s="1209">
        <f>(IF('Section Load'!Z13&gt;0,'Section Load'!Z13,0))</f>
        <v>175</v>
      </c>
      <c r="Z10" s="1209">
        <f>(IF('Section Load'!AA13&gt;0,'Section Load'!AA13,0))</f>
        <v>32</v>
      </c>
      <c r="AA10" s="1209">
        <f>(IF('Section Load'!AB13&gt;0,'Section Load'!AB13,0))</f>
        <v>17.19999999999709</v>
      </c>
      <c r="AB10" s="1209">
        <f>(IF('Section Load'!AC13&gt;0,'Section Load'!AC13,0))</f>
        <v>33</v>
      </c>
      <c r="AC10" s="1209">
        <f>(IF('Section Load'!AD13&gt;0,'Section Load'!AD13,0))</f>
        <v>22.199999999998454</v>
      </c>
      <c r="AD10" s="1209">
        <f>(IF('Section Load'!AE13&gt;0,'Section Load'!AE13,0))</f>
        <v>0</v>
      </c>
      <c r="AE10" s="1209">
        <f>(IF('Section Load'!AF13&gt;0,'Section Load'!AF13,0))</f>
        <v>0</v>
      </c>
      <c r="AF10" s="1209">
        <f>(IF('Section Load'!AG13&gt;0,'Section Load'!AG13,0))</f>
        <v>357.32999999998719</v>
      </c>
      <c r="AG10" s="1209">
        <f>(IF('Section Load'!AH13&gt;0,'Section Load'!AH13,0))</f>
        <v>234.70000000001164</v>
      </c>
      <c r="AH10" s="1209">
        <f>(IF('Section Load'!AI13&gt;0,'Section Load'!AI13,0))</f>
        <v>419.36000000000058</v>
      </c>
      <c r="AI10" s="1209">
        <f>(IF('Section Load'!AJ13&gt;0,'Section Load'!AJ13,0))</f>
        <v>394.63000000000466</v>
      </c>
      <c r="AJ10" s="1209">
        <f>(IF('Section Load'!AK13&gt;0,'Section Load'!AK13,0))</f>
        <v>0</v>
      </c>
      <c r="AK10" s="1209">
        <f>(IF('Section Load'!AL13&gt;0,'Section Load'!AL13,0))</f>
        <v>125.19999999999709</v>
      </c>
      <c r="AL10" s="1209">
        <f>(IF('Section Load'!AM13&gt;0,'Section Load'!AM13,0))</f>
        <v>558</v>
      </c>
      <c r="AM10" s="1210">
        <f>(IF('Water Report'!$L$7&gt;0,'Water Report'!$L$7,0))</f>
        <v>0</v>
      </c>
      <c r="AN10" s="1210">
        <f>(IF('Water Report'!$L$8&gt;0,'Water Report'!$L$8,0))</f>
        <v>84</v>
      </c>
      <c r="AO10" s="1210">
        <f>(IF('Water Report'!$L$9&gt;0,'Water Report'!$L$9,0))</f>
        <v>24</v>
      </c>
      <c r="AP10" s="1210">
        <f>(IF('Water Report'!$L$10&gt;0,'Water Report'!$L$10,0))</f>
        <v>10</v>
      </c>
      <c r="AQ10" s="1210">
        <f>(IF('Water Report'!$L$11&gt;0,'Water Report'!$L$11,0))</f>
        <v>15</v>
      </c>
      <c r="AR10" s="1210">
        <f>(IF('Water Report'!$L$13&gt;0,'Water Report'!$L$13,0))</f>
        <v>4</v>
      </c>
      <c r="AS10" s="1210">
        <f>(IF('Water Report'!$L$14&gt;0,'Water Report'!$L$14,0))</f>
        <v>4</v>
      </c>
      <c r="AT10" s="1210">
        <f>(IF('Water Report'!$L$15&gt;0,'Water Report'!$L$15,0))</f>
        <v>4</v>
      </c>
      <c r="AU10" s="1210">
        <f>(IF('Water Report'!$L$17&gt;0,'Water Report'!$L$17,0))</f>
        <v>0</v>
      </c>
      <c r="AV10" s="1210">
        <f>(IF('Water Report'!$L$18&gt;0,'Water Report'!$L$18,0))</f>
        <v>0</v>
      </c>
      <c r="AW10" s="1210">
        <f>(IF('Water Report'!$L$19&gt;0,'Water Report'!$L$19,0))</f>
        <v>0</v>
      </c>
      <c r="AX10" s="1253">
        <f>(IF('Water Report'!$L$21&gt;0,'Water Report'!$L$21,0))</f>
        <v>77</v>
      </c>
      <c r="AY10" s="1253">
        <f>(IF('Water Report'!$L$22&gt;0,'Water Report'!$L$22,0))</f>
        <v>0</v>
      </c>
      <c r="AZ10" s="1253">
        <f>(IF('Water Report'!$L$23&gt;0,'Water Report'!$L$23,0))</f>
        <v>0</v>
      </c>
      <c r="BA10" s="1253">
        <f>(IF('Water Report'!$L$14&gt;0,'Water Report'!$L$14,0))</f>
        <v>4</v>
      </c>
      <c r="BB10" s="1253">
        <f>(IF('Water Report'!$L$15&gt;0,'Water Report'!$L$15,0))</f>
        <v>4</v>
      </c>
      <c r="BC10" s="1253">
        <f>(IF('Water Report'!$L$13&gt;0,'Water Report'!$L$13,0))</f>
        <v>4</v>
      </c>
      <c r="BD10" s="1253">
        <f>(IF('Water Report'!$L$24&gt;0,'Water Report'!$L$24,0))</f>
        <v>78</v>
      </c>
      <c r="BE10" s="1253">
        <f>(IF('Water Report'!$L$25&gt;0,'Water Report'!$L$25,0))</f>
        <v>57</v>
      </c>
      <c r="BF10" s="1253">
        <f>(IF('Water Report'!$L$27&gt;0,'Water Report'!$L$27,0))</f>
        <v>81</v>
      </c>
      <c r="BG10" s="1211">
        <f>(IF('Section Load'!AN13&gt;0,'Section Load'!AN13,0))</f>
        <v>345.05000000004657</v>
      </c>
      <c r="BH10" s="1211">
        <f>(IF('Section Load'!AO13&gt;0,'Section Load'!AO13,0))</f>
        <v>206.10999999998603</v>
      </c>
      <c r="BI10" s="1211">
        <f>(IF('Section Load'!AP13&gt;0,'Section Load'!AP13,0))</f>
        <v>0</v>
      </c>
      <c r="BJ10" s="1211">
        <f>(IF('Section Load'!AQ13&gt;0,'Section Load'!AQ13,0))</f>
        <v>75</v>
      </c>
      <c r="BK10" s="1211">
        <f>(IF('Section Load'!AR13&gt;0,'Section Load'!AR13,0))</f>
        <v>0</v>
      </c>
      <c r="BL10" s="1211">
        <f>(IF('Section Load'!AS13&gt;0,'Section Load'!AS13,0))</f>
        <v>0</v>
      </c>
      <c r="BM10" s="1211">
        <f>(IF('Section Load'!AT13&gt;0,'Section Load'!AT13,0))</f>
        <v>63.940000000060536</v>
      </c>
    </row>
    <row r="11" spans="1:65">
      <c r="A11" s="1196" t="s">
        <v>13</v>
      </c>
      <c r="B11" s="1197">
        <f t="shared" si="0"/>
        <v>10</v>
      </c>
      <c r="C11" s="1197">
        <v>6</v>
      </c>
      <c r="D11" s="1197">
        <v>2021</v>
      </c>
      <c r="E11" s="1209">
        <f>(IF('Section Load'!F14&gt;0,'Section Load'!F14,0))</f>
        <v>2172</v>
      </c>
      <c r="F11" s="1209">
        <f>(IF('Section Load'!G14&gt;0,'Section Load'!G14,0))</f>
        <v>1349</v>
      </c>
      <c r="G11" s="1209">
        <f>(IF('Section Load'!H14&gt;0,'Section Load'!H14,0))</f>
        <v>1210</v>
      </c>
      <c r="H11" s="1209">
        <f>(IF('Section Load'!I14&gt;0,'Section Load'!I14,0))</f>
        <v>3175.3300000000163</v>
      </c>
      <c r="I11" s="1209">
        <f>(IF('Section Load'!J14&gt;0,'Section Load'!J14,0))</f>
        <v>4704.3899999999994</v>
      </c>
      <c r="J11" s="1209">
        <f>(IF('Section Load'!K14&gt;0,'Section Load'!K14,0))</f>
        <v>2439</v>
      </c>
      <c r="K11" s="1209">
        <f>(IF('Section Load'!L14&gt;0,'Section Load'!L14,0))</f>
        <v>890</v>
      </c>
      <c r="L11" s="1209">
        <f>(IF('Section Load'!M14&gt;0,'Section Load'!M14,0))</f>
        <v>564</v>
      </c>
      <c r="M11" s="1209">
        <f>(IF('Section Load'!N14&gt;0,'Section Load'!N14,0))</f>
        <v>13</v>
      </c>
      <c r="N11" s="1209">
        <f>(IF('Section Load'!O14&gt;0,'Section Load'!O14,0))</f>
        <v>1</v>
      </c>
      <c r="O11" s="1209">
        <f>(IF('Section Load'!P14&gt;0,'Section Load'!P14,0))</f>
        <v>0</v>
      </c>
      <c r="P11" s="1209">
        <f>(IF('Section Load'!Q14&gt;0,'Section Load'!Q14,0))</f>
        <v>57</v>
      </c>
      <c r="Q11" s="1209">
        <f>(IF('Section Load'!R14&gt;0,'Section Load'!R14,0))</f>
        <v>55</v>
      </c>
      <c r="R11" s="1209">
        <f>(IF('Section Load'!S14&gt;0,'Section Load'!S14,0))</f>
        <v>51</v>
      </c>
      <c r="S11" s="1209">
        <f>(IF('Section Load'!T14&gt;0,'Section Load'!T14,0))</f>
        <v>52</v>
      </c>
      <c r="T11" s="1209">
        <f>(IF('Section Load'!U14&gt;0,'Section Load'!U14,0))</f>
        <v>132</v>
      </c>
      <c r="U11" s="1209">
        <f>(IF('Section Load'!V14&gt;0,'Section Load'!V14,0))</f>
        <v>371</v>
      </c>
      <c r="V11" s="1209">
        <f>(IF('Section Load'!W14&gt;0,'Section Load'!W14,0))</f>
        <v>102</v>
      </c>
      <c r="W11" s="1209">
        <f>(IF('Section Load'!X14&gt;0,'Section Load'!X14,0))</f>
        <v>11</v>
      </c>
      <c r="X11" s="1209">
        <f>(IF('Section Load'!Y14&gt;0,'Section Load'!Y14,0))</f>
        <v>239.20999999999913</v>
      </c>
      <c r="Y11" s="1209">
        <f>(IF('Section Load'!Z14&gt;0,'Section Load'!Z14,0))</f>
        <v>232</v>
      </c>
      <c r="Z11" s="1209">
        <f>(IF('Section Load'!AA14&gt;0,'Section Load'!AA14,0))</f>
        <v>30</v>
      </c>
      <c r="AA11" s="1209">
        <f>(IF('Section Load'!AB14&gt;0,'Section Load'!AB14,0))</f>
        <v>26</v>
      </c>
      <c r="AB11" s="1209">
        <f>(IF('Section Load'!AC14&gt;0,'Section Load'!AC14,0))</f>
        <v>29</v>
      </c>
      <c r="AC11" s="1209">
        <f>(IF('Section Load'!AD14&gt;0,'Section Load'!AD14,0))</f>
        <v>34.599999999999909</v>
      </c>
      <c r="AD11" s="1209">
        <f>(IF('Section Load'!AE14&gt;0,'Section Load'!AE14,0))</f>
        <v>0</v>
      </c>
      <c r="AE11" s="1209">
        <f>(IF('Section Load'!AF14&gt;0,'Section Load'!AF14,0))</f>
        <v>0</v>
      </c>
      <c r="AF11" s="1209">
        <f>(IF('Section Load'!AG14&gt;0,'Section Load'!AG14,0))</f>
        <v>352</v>
      </c>
      <c r="AG11" s="1209">
        <f>(IF('Section Load'!AH14&gt;0,'Section Load'!AH14,0))</f>
        <v>266</v>
      </c>
      <c r="AH11" s="1209">
        <f>(IF('Section Load'!AI14&gt;0,'Section Load'!AI14,0))</f>
        <v>415</v>
      </c>
      <c r="AI11" s="1209">
        <f>(IF('Section Load'!AJ14&gt;0,'Section Load'!AJ14,0))</f>
        <v>377</v>
      </c>
      <c r="AJ11" s="1209">
        <f>(IF('Section Load'!AK14&gt;0,'Section Load'!AK14,0))</f>
        <v>0</v>
      </c>
      <c r="AK11" s="1209">
        <f>(IF('Section Load'!AL14&gt;0,'Section Load'!AL14,0))</f>
        <v>170</v>
      </c>
      <c r="AL11" s="1209">
        <f>(IF('Section Load'!AM14&gt;0,'Section Load'!AM14,0))</f>
        <v>592</v>
      </c>
      <c r="AM11" s="1210">
        <f>(IF('Water Report'!$M$7&gt;0,'Water Report'!$M$7,0))</f>
        <v>41</v>
      </c>
      <c r="AN11" s="1210">
        <f>(IF('Water Report'!$M$8&gt;0,'Water Report'!$M$8,0))</f>
        <v>116</v>
      </c>
      <c r="AO11" s="1210">
        <f>(IF('Water Report'!$M$9&gt;0,'Water Report'!$M$9,0))</f>
        <v>59</v>
      </c>
      <c r="AP11" s="1210">
        <f>(IF('Water Report'!$M$10&gt;0,'Water Report'!$M$10,0))</f>
        <v>11</v>
      </c>
      <c r="AQ11" s="1210">
        <f>(IF('Water Report'!$M$11&gt;0,'Water Report'!$M$11,0))</f>
        <v>16</v>
      </c>
      <c r="AR11" s="1210">
        <f>(IF('Water Report'!$M$13&gt;0,'Water Report'!$M$13,0))</f>
        <v>4</v>
      </c>
      <c r="AS11" s="1210">
        <f>(IF('Water Report'!$M$14&gt;0,'Water Report'!$M$14,0))</f>
        <v>10</v>
      </c>
      <c r="AT11" s="1210">
        <f>(IF('Water Report'!$M$15&gt;0,'Water Report'!$M$15,0))</f>
        <v>5</v>
      </c>
      <c r="AU11" s="1210">
        <f>(IF('Water Report'!$M$17&gt;0,'Water Report'!$M$17,0))</f>
        <v>0</v>
      </c>
      <c r="AV11" s="1210">
        <f>(IF('Water Report'!$M$18&gt;0,'Water Report'!$M$18,0))</f>
        <v>17</v>
      </c>
      <c r="AW11" s="1210">
        <f>(IF('Water Report'!$M$19&gt;0,'Water Report'!$M$19,0))</f>
        <v>7</v>
      </c>
      <c r="AX11" s="1253">
        <f>(IF('Water Report'!$M$21&gt;0,'Water Report'!$M$21,0))</f>
        <v>62</v>
      </c>
      <c r="AY11" s="1253">
        <f>(IF('Water Report'!$M$22&gt;0,'Water Report'!$M$22,0))</f>
        <v>13</v>
      </c>
      <c r="AZ11" s="1253">
        <f>(IF('Water Report'!$M$23&gt;0,'Water Report'!$M$23,0))</f>
        <v>0</v>
      </c>
      <c r="BA11" s="1253">
        <f>(IF('Water Report'!$M$14&gt;0,'Water Report'!$M$14,0))</f>
        <v>10</v>
      </c>
      <c r="BB11" s="1253">
        <f>(IF('Water Report'!$M$15&gt;0,'Water Report'!$M$15,0))</f>
        <v>5</v>
      </c>
      <c r="BC11" s="1253">
        <f>(IF('Water Report'!$M$13&gt;0,'Water Report'!$M$13,0))</f>
        <v>4</v>
      </c>
      <c r="BD11" s="1253">
        <f>(IF('Water Report'!$M$24&gt;0,'Water Report'!$M$24,0))</f>
        <v>86</v>
      </c>
      <c r="BE11" s="1253">
        <f>(IF('Water Report'!$M$25&gt;0,'Water Report'!$M$25,0))</f>
        <v>101</v>
      </c>
      <c r="BF11" s="1253">
        <f>(IF('Water Report'!$M$27&gt;0,'Water Report'!$M$27,0))</f>
        <v>66</v>
      </c>
      <c r="BG11" s="1211">
        <f>(IF('Section Load'!AN14&gt;0,'Section Load'!AN14,0))</f>
        <v>665</v>
      </c>
      <c r="BH11" s="1211">
        <f>(IF('Section Load'!AO14&gt;0,'Section Load'!AO14,0))</f>
        <v>211</v>
      </c>
      <c r="BI11" s="1211">
        <f>(IF('Section Load'!AP14&gt;0,'Section Load'!AP14,0))</f>
        <v>0</v>
      </c>
      <c r="BJ11" s="1211">
        <f>(IF('Section Load'!AQ14&gt;0,'Section Load'!AQ14,0))</f>
        <v>66</v>
      </c>
      <c r="BK11" s="1211">
        <f>(IF('Section Load'!AR14&gt;0,'Section Load'!AR14,0))</f>
        <v>0</v>
      </c>
      <c r="BL11" s="1211">
        <f>(IF('Section Load'!AS14&gt;0,'Section Load'!AS14,0))</f>
        <v>0</v>
      </c>
      <c r="BM11" s="1211">
        <f>(IF('Section Load'!AT14&gt;0,'Section Load'!AT14,0))</f>
        <v>388</v>
      </c>
    </row>
    <row r="12" spans="1:65">
      <c r="A12" s="1196" t="s">
        <v>13</v>
      </c>
      <c r="B12" s="1197">
        <f t="shared" si="0"/>
        <v>11</v>
      </c>
      <c r="C12" s="1197">
        <v>6</v>
      </c>
      <c r="D12" s="1197">
        <v>2021</v>
      </c>
      <c r="E12" s="1209">
        <f>(IF('Section Load'!F15&gt;0,'Section Load'!F15,0))</f>
        <v>2190</v>
      </c>
      <c r="F12" s="1209">
        <f>(IF('Section Load'!G15&gt;0,'Section Load'!G15,0))</f>
        <v>1386</v>
      </c>
      <c r="G12" s="1209">
        <f>(IF('Section Load'!H15&gt;0,'Section Load'!H15,0))</f>
        <v>1184</v>
      </c>
      <c r="H12" s="1209">
        <f>(IF('Section Load'!I15&gt;0,'Section Load'!I15,0))</f>
        <v>3233</v>
      </c>
      <c r="I12" s="1209">
        <f>(IF('Section Load'!J15&gt;0,'Section Load'!J15,0))</f>
        <v>4819</v>
      </c>
      <c r="J12" s="1209">
        <f>(IF('Section Load'!K15&gt;0,'Section Load'!K15,0))</f>
        <v>2435</v>
      </c>
      <c r="K12" s="1209">
        <f>(IF('Section Load'!L15&gt;0,'Section Load'!L15,0))</f>
        <v>897</v>
      </c>
      <c r="L12" s="1209">
        <f>(IF('Section Load'!M15&gt;0,'Section Load'!M15,0))</f>
        <v>578</v>
      </c>
      <c r="M12" s="1209">
        <f>(IF('Section Load'!N15&gt;0,'Section Load'!N15,0))</f>
        <v>14</v>
      </c>
      <c r="N12" s="1209">
        <f>(IF('Section Load'!O15&gt;0,'Section Load'!O15,0))</f>
        <v>1</v>
      </c>
      <c r="O12" s="1209">
        <f>(IF('Section Load'!P15&gt;0,'Section Load'!P15,0))</f>
        <v>0</v>
      </c>
      <c r="P12" s="1209">
        <f>(IF('Section Load'!Q15&gt;0,'Section Load'!Q15,0))</f>
        <v>76</v>
      </c>
      <c r="Q12" s="1209">
        <f>(IF('Section Load'!R15&gt;0,'Section Load'!R15,0))</f>
        <v>59</v>
      </c>
      <c r="R12" s="1209">
        <f>(IF('Section Load'!S15&gt;0,'Section Load'!S15,0))</f>
        <v>51</v>
      </c>
      <c r="S12" s="1209">
        <f>(IF('Section Load'!T15&gt;0,'Section Load'!T15,0))</f>
        <v>47</v>
      </c>
      <c r="T12" s="1209">
        <f>(IF('Section Load'!U15&gt;0,'Section Load'!U15,0))</f>
        <v>138</v>
      </c>
      <c r="U12" s="1209">
        <f>(IF('Section Load'!V15&gt;0,'Section Load'!V15,0))</f>
        <v>324</v>
      </c>
      <c r="V12" s="1209">
        <f>(IF('Section Load'!W15&gt;0,'Section Load'!W15,0))</f>
        <v>108</v>
      </c>
      <c r="W12" s="1209">
        <f>(IF('Section Load'!X15&gt;0,'Section Load'!X15,0))</f>
        <v>25</v>
      </c>
      <c r="X12" s="1209">
        <f>(IF('Section Load'!Y15&gt;0,'Section Load'!Y15,0))</f>
        <v>97</v>
      </c>
      <c r="Y12" s="1209">
        <f>(IF('Section Load'!Z15&gt;0,'Section Load'!Z15,0))</f>
        <v>176</v>
      </c>
      <c r="Z12" s="1209">
        <f>(IF('Section Load'!AA15&gt;0,'Section Load'!AA15,0))</f>
        <v>28</v>
      </c>
      <c r="AA12" s="1209">
        <f>(IF('Section Load'!AB15&gt;0,'Section Load'!AB15,0))</f>
        <v>19.600000000005821</v>
      </c>
      <c r="AB12" s="1209">
        <f>(IF('Section Load'!AC15&gt;0,'Section Load'!AC15,0))</f>
        <v>24</v>
      </c>
      <c r="AC12" s="1209">
        <f>(IF('Section Load'!AD15&gt;0,'Section Load'!AD15,0))</f>
        <v>22.600000000005821</v>
      </c>
      <c r="AD12" s="1209">
        <f>(IF('Section Load'!AE15&gt;0,'Section Load'!AE15,0))</f>
        <v>0</v>
      </c>
      <c r="AE12" s="1209">
        <f>(IF('Section Load'!AF15&gt;0,'Section Load'!AF15,0))</f>
        <v>0</v>
      </c>
      <c r="AF12" s="1209">
        <f>(IF('Section Load'!AG15&gt;0,'Section Load'!AG15,0))</f>
        <v>353</v>
      </c>
      <c r="AG12" s="1209">
        <f>(IF('Section Load'!AH15&gt;0,'Section Load'!AH15,0))</f>
        <v>270</v>
      </c>
      <c r="AH12" s="1209">
        <f>(IF('Section Load'!AI15&gt;0,'Section Load'!AI15,0))</f>
        <v>420</v>
      </c>
      <c r="AI12" s="1209">
        <f>(IF('Section Load'!AJ15&gt;0,'Section Load'!AJ15,0))</f>
        <v>426</v>
      </c>
      <c r="AJ12" s="1209">
        <f>(IF('Section Load'!AK15&gt;0,'Section Load'!AK15,0))</f>
        <v>0</v>
      </c>
      <c r="AK12" s="1209">
        <f>(IF('Section Load'!AL15&gt;0,'Section Load'!AL15,0))</f>
        <v>152</v>
      </c>
      <c r="AL12" s="1209">
        <f>(IF('Section Load'!AM15&gt;0,'Section Load'!AM15,0))</f>
        <v>564</v>
      </c>
      <c r="AM12" s="1210">
        <f>(IF('Water Report'!$N$7&gt;0,'Water Report'!$N$7,0))</f>
        <v>18</v>
      </c>
      <c r="AN12" s="1210">
        <f>(IF('Water Report'!$N$8&gt;0,'Water Report'!$N$8,0))</f>
        <v>114</v>
      </c>
      <c r="AO12" s="1210">
        <f>(IF('Water Report'!$N$9&gt;0,'Water Report'!$N$9,0))</f>
        <v>46</v>
      </c>
      <c r="AP12" s="1210">
        <f>(IF('Water Report'!$N$10&gt;0,'Water Report'!$N$10,0))</f>
        <v>9</v>
      </c>
      <c r="AQ12" s="1210">
        <f>(IF('Water Report'!$N$11&gt;0,'Water Report'!$N$11,0))</f>
        <v>26</v>
      </c>
      <c r="AR12" s="1210">
        <f>(IF('Water Report'!$N$13&gt;0,'Water Report'!$N$13,0))</f>
        <v>19</v>
      </c>
      <c r="AS12" s="1210">
        <f>(IF('Water Report'!$N$14&gt;0,'Water Report'!$N$14,0))</f>
        <v>5</v>
      </c>
      <c r="AT12" s="1210">
        <f>(IF('Water Report'!$N$15&gt;0,'Water Report'!$N$15,0))</f>
        <v>5</v>
      </c>
      <c r="AU12" s="1210">
        <f>(IF('Water Report'!$N$17&gt;0,'Water Report'!$N$17,0))</f>
        <v>0</v>
      </c>
      <c r="AV12" s="1210">
        <f>(IF('Water Report'!$N$18&gt;0,'Water Report'!$N$18,0))</f>
        <v>0</v>
      </c>
      <c r="AW12" s="1210">
        <f>(IF('Water Report'!$N$19&gt;0,'Water Report'!$N$19,0))</f>
        <v>3</v>
      </c>
      <c r="AX12" s="1253">
        <f>(IF('Water Report'!$N$21&gt;0,'Water Report'!$N$21,0))</f>
        <v>27</v>
      </c>
      <c r="AY12" s="1253">
        <f>(IF('Water Report'!$N$22&gt;0,'Water Report'!$N$22,0))</f>
        <v>30</v>
      </c>
      <c r="AZ12" s="1253">
        <f>(IF('Water Report'!$N$23&gt;0,'Water Report'!$N$23,0))</f>
        <v>0</v>
      </c>
      <c r="BA12" s="1253">
        <f>(IF('Water Report'!$N$14&gt;0,'Water Report'!$N$14,0))</f>
        <v>5</v>
      </c>
      <c r="BB12" s="1253">
        <f>(IF('Water Report'!$N$15&gt;0,'Water Report'!$N$15,0))</f>
        <v>5</v>
      </c>
      <c r="BC12" s="1253">
        <f>(IF('Water Report'!$N$13&gt;0,'Water Report'!$N$13,0))</f>
        <v>19</v>
      </c>
      <c r="BD12" s="1253">
        <f>(IF('Water Report'!$N$24&gt;0,'Water Report'!$N$24,0))</f>
        <v>103</v>
      </c>
      <c r="BE12" s="1253">
        <f>(IF('Water Report'!$N$25&gt;0,'Water Report'!$N$25,0))</f>
        <v>91</v>
      </c>
      <c r="BF12" s="1253">
        <f>(IF('Water Report'!$N$27&gt;0,'Water Report'!$N$27,0))</f>
        <v>46</v>
      </c>
      <c r="BG12" s="1211">
        <f>(IF('Section Load'!AN15&gt;0,'Section Load'!AN15,0))</f>
        <v>498</v>
      </c>
      <c r="BH12" s="1211">
        <f>(IF('Section Load'!AO15&gt;0,'Section Load'!AO15,0))</f>
        <v>230</v>
      </c>
      <c r="BI12" s="1211">
        <f>(IF('Section Load'!AP15&gt;0,'Section Load'!AP15,0))</f>
        <v>0</v>
      </c>
      <c r="BJ12" s="1211">
        <f>(IF('Section Load'!AQ15&gt;0,'Section Load'!AQ15,0))</f>
        <v>66</v>
      </c>
      <c r="BK12" s="1211">
        <f>(IF('Section Load'!AR15&gt;0,'Section Load'!AR15,0))</f>
        <v>0</v>
      </c>
      <c r="BL12" s="1211">
        <f>(IF('Section Load'!AS15&gt;0,'Section Load'!AS15,0))</f>
        <v>0</v>
      </c>
      <c r="BM12" s="1211">
        <f>(IF('Section Load'!AT15&gt;0,'Section Load'!AT15,0))</f>
        <v>202</v>
      </c>
    </row>
    <row r="13" spans="1:65">
      <c r="A13" s="1196" t="s">
        <v>13</v>
      </c>
      <c r="B13" s="1197">
        <f t="shared" si="0"/>
        <v>12</v>
      </c>
      <c r="C13" s="1197">
        <v>6</v>
      </c>
      <c r="D13" s="1197">
        <v>2021</v>
      </c>
      <c r="E13" s="1209">
        <f>(IF('Section Load'!F16&gt;0,'Section Load'!F16,0))</f>
        <v>2554</v>
      </c>
      <c r="F13" s="1209">
        <f>(IF('Section Load'!G16&gt;0,'Section Load'!G16,0))</f>
        <v>1461</v>
      </c>
      <c r="G13" s="1209">
        <f>(IF('Section Load'!H16&gt;0,'Section Load'!H16,0))</f>
        <v>1383</v>
      </c>
      <c r="H13" s="1209">
        <f>(IF('Section Load'!I16&gt;0,'Section Load'!I16,0))</f>
        <v>3517</v>
      </c>
      <c r="I13" s="1209">
        <f>(IF('Section Load'!J16&gt;0,'Section Load'!J16,0))</f>
        <v>5598</v>
      </c>
      <c r="J13" s="1209">
        <f>(IF('Section Load'!K16&gt;0,'Section Load'!K16,0))</f>
        <v>2382</v>
      </c>
      <c r="K13" s="1209">
        <f>(IF('Section Load'!L16&gt;0,'Section Load'!L16,0))</f>
        <v>939</v>
      </c>
      <c r="L13" s="1209">
        <f>(IF('Section Load'!M16&gt;0,'Section Load'!M16,0))</f>
        <v>544</v>
      </c>
      <c r="M13" s="1209">
        <f>(IF('Section Load'!N16&gt;0,'Section Load'!N16,0))</f>
        <v>12</v>
      </c>
      <c r="N13" s="1209">
        <f>(IF('Section Load'!O16&gt;0,'Section Load'!O16,0))</f>
        <v>2</v>
      </c>
      <c r="O13" s="1209">
        <f>(IF('Section Load'!P16&gt;0,'Section Load'!P16,0))</f>
        <v>0</v>
      </c>
      <c r="P13" s="1209">
        <f>(IF('Section Load'!Q16&gt;0,'Section Load'!Q16,0))</f>
        <v>143</v>
      </c>
      <c r="Q13" s="1209">
        <f>(IF('Section Load'!R16&gt;0,'Section Load'!R16,0))</f>
        <v>54</v>
      </c>
      <c r="R13" s="1209">
        <f>(IF('Section Load'!S16&gt;0,'Section Load'!S16,0))</f>
        <v>47</v>
      </c>
      <c r="S13" s="1209">
        <f>(IF('Section Load'!T16&gt;0,'Section Load'!T16,0))</f>
        <v>41</v>
      </c>
      <c r="T13" s="1209">
        <f>(IF('Section Load'!U16&gt;0,'Section Load'!U16,0))</f>
        <v>140</v>
      </c>
      <c r="U13" s="1209">
        <f>(IF('Section Load'!V16&gt;0,'Section Load'!V16,0))</f>
        <v>376</v>
      </c>
      <c r="V13" s="1209">
        <f>(IF('Section Load'!W16&gt;0,'Section Load'!W16,0))</f>
        <v>111</v>
      </c>
      <c r="W13" s="1209">
        <f>(IF('Section Load'!X16&gt;0,'Section Load'!X16,0))</f>
        <v>12</v>
      </c>
      <c r="X13" s="1209">
        <f>(IF('Section Load'!Y16&gt;0,'Section Load'!Y16,0))</f>
        <v>37</v>
      </c>
      <c r="Y13" s="1209">
        <f>(IF('Section Load'!Z16&gt;0,'Section Load'!Z16,0))</f>
        <v>198</v>
      </c>
      <c r="Z13" s="1209">
        <f>(IF('Section Load'!AA16&gt;0,'Section Load'!AA16,0))</f>
        <v>30</v>
      </c>
      <c r="AA13" s="1209">
        <f>(IF('Section Load'!AB16&gt;0,'Section Load'!AB16,0))</f>
        <v>12.399999999994179</v>
      </c>
      <c r="AB13" s="1209">
        <f>(IF('Section Load'!AC16&gt;0,'Section Load'!AC16,0))</f>
        <v>24</v>
      </c>
      <c r="AC13" s="1209">
        <f>(IF('Section Load'!AD16&gt;0,'Section Load'!AD16,0))</f>
        <v>13.399999999994179</v>
      </c>
      <c r="AD13" s="1209">
        <f>(IF('Section Load'!AE16&gt;0,'Section Load'!AE16,0))</f>
        <v>0</v>
      </c>
      <c r="AE13" s="1209">
        <f>(IF('Section Load'!AF16&gt;0,'Section Load'!AF16,0))</f>
        <v>0</v>
      </c>
      <c r="AF13" s="1209">
        <f>(IF('Section Load'!AG16&gt;0,'Section Load'!AG16,0))</f>
        <v>334</v>
      </c>
      <c r="AG13" s="1209">
        <f>(IF('Section Load'!AH16&gt;0,'Section Load'!AH16,0))</f>
        <v>366</v>
      </c>
      <c r="AH13" s="1209">
        <f>(IF('Section Load'!AI16&gt;0,'Section Load'!AI16,0))</f>
        <v>427</v>
      </c>
      <c r="AI13" s="1209">
        <f>(IF('Section Load'!AJ16&gt;0,'Section Load'!AJ16,0))</f>
        <v>459</v>
      </c>
      <c r="AJ13" s="1209">
        <f>(IF('Section Load'!AK16&gt;0,'Section Load'!AK16,0))</f>
        <v>0</v>
      </c>
      <c r="AK13" s="1209">
        <f>(IF('Section Load'!AL16&gt;0,'Section Load'!AL16,0))</f>
        <v>227</v>
      </c>
      <c r="AL13" s="1209">
        <f>(IF('Section Load'!AM16&gt;0,'Section Load'!AM16,0))</f>
        <v>596</v>
      </c>
      <c r="AM13" s="1210">
        <f>(IF('Water Report'!$O$7&gt;0,'Water Report'!$O$7,0))</f>
        <v>55</v>
      </c>
      <c r="AN13" s="1210">
        <f>(IF('Water Report'!$O$8&gt;0,'Water Report'!$O$8,0))</f>
        <v>154</v>
      </c>
      <c r="AO13" s="1210">
        <f>(IF('Water Report'!$O$9&gt;0,'Water Report'!$O$9,0))</f>
        <v>36</v>
      </c>
      <c r="AP13" s="1210">
        <f>(IF('Water Report'!$O$10&gt;0,'Water Report'!$O$10,0))</f>
        <v>16</v>
      </c>
      <c r="AQ13" s="1210">
        <f>(IF('Water Report'!$O$11&gt;0,'Water Report'!$O$11,0))</f>
        <v>37</v>
      </c>
      <c r="AR13" s="1210">
        <f>(IF('Water Report'!$O$13&gt;0,'Water Report'!$O$13,0))</f>
        <v>20</v>
      </c>
      <c r="AS13" s="1210">
        <f>(IF('Water Report'!$O$14&gt;0,'Water Report'!$O$14,0))</f>
        <v>11</v>
      </c>
      <c r="AT13" s="1210">
        <f>(IF('Water Report'!$O$15&gt;0,'Water Report'!$O$15,0))</f>
        <v>21</v>
      </c>
      <c r="AU13" s="1210">
        <f>(IF('Water Report'!$O$17&gt;0,'Water Report'!$O$17,0))</f>
        <v>0</v>
      </c>
      <c r="AV13" s="1210">
        <f>(IF('Water Report'!$O$18&gt;0,'Water Report'!$O$18,0))</f>
        <v>0</v>
      </c>
      <c r="AW13" s="1210">
        <f>(IF('Water Report'!$O$19&gt;0,'Water Report'!$O$19,0))</f>
        <v>4</v>
      </c>
      <c r="AX13" s="1253">
        <f>(IF('Water Report'!$O$21&gt;0,'Water Report'!$O$21,0))</f>
        <v>33</v>
      </c>
      <c r="AY13" s="1253">
        <f>(IF('Water Report'!$O$22&gt;0,'Water Report'!$O$22,0))</f>
        <v>22</v>
      </c>
      <c r="AZ13" s="1253">
        <f>(IF('Water Report'!$O$23&gt;0,'Water Report'!$O$23,0))</f>
        <v>0</v>
      </c>
      <c r="BA13" s="1253">
        <f>(IF('Water Report'!$O$14&gt;0,'Water Report'!$O$14,0))</f>
        <v>11</v>
      </c>
      <c r="BB13" s="1253">
        <f>(IF('Water Report'!$O$15&gt;0,'Water Report'!$O$15,0))</f>
        <v>21</v>
      </c>
      <c r="BC13" s="1253">
        <f>(IF('Water Report'!$O$13&gt;0,'Water Report'!$O$13,0))</f>
        <v>20</v>
      </c>
      <c r="BD13" s="1253">
        <f>(IF('Water Report'!$O$24&gt;0,'Water Report'!$O$24,0))</f>
        <v>125</v>
      </c>
      <c r="BE13" s="1253">
        <f>(IF('Water Report'!$O$25&gt;0,'Water Report'!$O$25,0))</f>
        <v>121</v>
      </c>
      <c r="BF13" s="1253">
        <f>(IF('Water Report'!$O$27&gt;0,'Water Report'!$O$27,0))</f>
        <v>53</v>
      </c>
      <c r="BG13" s="1211">
        <f>(IF('Section Load'!AN16&gt;0,'Section Load'!AN16,0))</f>
        <v>460</v>
      </c>
      <c r="BH13" s="1211">
        <f>(IF('Section Load'!AO16&gt;0,'Section Load'!AO16,0))</f>
        <v>238</v>
      </c>
      <c r="BI13" s="1211">
        <f>(IF('Section Load'!AP16&gt;0,'Section Load'!AP16,0))</f>
        <v>0</v>
      </c>
      <c r="BJ13" s="1211">
        <f>(IF('Section Load'!AQ16&gt;0,'Section Load'!AQ16,0))</f>
        <v>62</v>
      </c>
      <c r="BK13" s="1211">
        <f>(IF('Section Load'!AR16&gt;0,'Section Load'!AR16,0))</f>
        <v>0</v>
      </c>
      <c r="BL13" s="1211">
        <f>(IF('Section Load'!AS16&gt;0,'Section Load'!AS16,0))</f>
        <v>0</v>
      </c>
      <c r="BM13" s="1211">
        <f>(IF('Section Load'!AT16&gt;0,'Section Load'!AT16,0))</f>
        <v>160.39999999999418</v>
      </c>
    </row>
    <row r="14" spans="1:65">
      <c r="A14" s="1196" t="s">
        <v>13</v>
      </c>
      <c r="B14" s="1197">
        <f t="shared" si="0"/>
        <v>13</v>
      </c>
      <c r="C14" s="1197">
        <v>6</v>
      </c>
      <c r="D14" s="1197">
        <v>2021</v>
      </c>
      <c r="E14" s="1209">
        <f>(IF('Section Load'!F17&gt;0,'Section Load'!F17,0))</f>
        <v>2615</v>
      </c>
      <c r="F14" s="1209">
        <f>(IF('Section Load'!G17&gt;0,'Section Load'!G17,0))</f>
        <v>1413</v>
      </c>
      <c r="G14" s="1209">
        <f>(IF('Section Load'!H17&gt;0,'Section Load'!H17,0))</f>
        <v>1494</v>
      </c>
      <c r="H14" s="1209">
        <f>(IF('Section Load'!I17&gt;0,'Section Load'!I17,0))</f>
        <v>3369</v>
      </c>
      <c r="I14" s="1209">
        <f>(IF('Section Load'!J17&gt;0,'Section Load'!J17,0))</f>
        <v>6701.4799999999959</v>
      </c>
      <c r="J14" s="1209">
        <f>(IF('Section Load'!K17&gt;0,'Section Load'!K17,0))</f>
        <v>2647.33</v>
      </c>
      <c r="K14" s="1209">
        <f>(IF('Section Load'!L17&gt;0,'Section Load'!L17,0))</f>
        <v>1050</v>
      </c>
      <c r="L14" s="1209">
        <f>(IF('Section Load'!M17&gt;0,'Section Load'!M17,0))</f>
        <v>557</v>
      </c>
      <c r="M14" s="1209">
        <f>(IF('Section Load'!N17&gt;0,'Section Load'!N17,0))</f>
        <v>43</v>
      </c>
      <c r="N14" s="1209">
        <f>(IF('Section Load'!O17&gt;0,'Section Load'!O17,0))</f>
        <v>1</v>
      </c>
      <c r="O14" s="1209">
        <f>(IF('Section Load'!P17&gt;0,'Section Load'!P17,0))</f>
        <v>0</v>
      </c>
      <c r="P14" s="1209">
        <f>(IF('Section Load'!Q17&gt;0,'Section Load'!Q17,0))</f>
        <v>129</v>
      </c>
      <c r="Q14" s="1209">
        <f>(IF('Section Load'!R17&gt;0,'Section Load'!R17,0))</f>
        <v>55</v>
      </c>
      <c r="R14" s="1209">
        <f>(IF('Section Load'!S17&gt;0,'Section Load'!S17,0))</f>
        <v>56</v>
      </c>
      <c r="S14" s="1209">
        <f>(IF('Section Load'!T17&gt;0,'Section Load'!T17,0))</f>
        <v>30</v>
      </c>
      <c r="T14" s="1209">
        <f>(IF('Section Load'!U17&gt;0,'Section Load'!U17,0))</f>
        <v>136</v>
      </c>
      <c r="U14" s="1209">
        <f>(IF('Section Load'!V17&gt;0,'Section Load'!V17,0))</f>
        <v>380.52000000001863</v>
      </c>
      <c r="V14" s="1209">
        <f>(IF('Section Load'!W17&gt;0,'Section Load'!W17,0))</f>
        <v>124.80000000004657</v>
      </c>
      <c r="W14" s="1209">
        <f>(IF('Section Load'!X17&gt;0,'Section Load'!X17,0))</f>
        <v>11</v>
      </c>
      <c r="X14" s="1209">
        <f>(IF('Section Load'!Y17&gt;0,'Section Load'!Y17,0))</f>
        <v>238</v>
      </c>
      <c r="Y14" s="1209">
        <f>(IF('Section Load'!Z17&gt;0,'Section Load'!Z17,0))</f>
        <v>236</v>
      </c>
      <c r="Z14" s="1209">
        <f>(IF('Section Load'!AA17&gt;0,'Section Load'!AA17,0))</f>
        <v>29.440000000002328</v>
      </c>
      <c r="AA14" s="1209">
        <f>(IF('Section Load'!AB17&gt;0,'Section Load'!AB17,0))</f>
        <v>11</v>
      </c>
      <c r="AB14" s="1209">
        <f>(IF('Section Load'!AC17&gt;0,'Section Load'!AC17,0))</f>
        <v>22.730000000010477</v>
      </c>
      <c r="AC14" s="1209">
        <f>(IF('Section Load'!AD17&gt;0,'Section Load'!AD17,0))</f>
        <v>12.900000000000091</v>
      </c>
      <c r="AD14" s="1209">
        <f>(IF('Section Load'!AE17&gt;0,'Section Load'!AE17,0))</f>
        <v>0</v>
      </c>
      <c r="AE14" s="1209">
        <f>(IF('Section Load'!AF17&gt;0,'Section Load'!AF17,0))</f>
        <v>0</v>
      </c>
      <c r="AF14" s="1209">
        <f>(IF('Section Load'!AG17&gt;0,'Section Load'!AG17,0))</f>
        <v>352</v>
      </c>
      <c r="AG14" s="1209">
        <f>(IF('Section Load'!AH17&gt;0,'Section Load'!AH17,0))</f>
        <v>411</v>
      </c>
      <c r="AH14" s="1209">
        <f>(IF('Section Load'!AI17&gt;0,'Section Load'!AI17,0))</f>
        <v>376</v>
      </c>
      <c r="AI14" s="1209">
        <f>(IF('Section Load'!AJ17&gt;0,'Section Load'!AJ17,0))</f>
        <v>429</v>
      </c>
      <c r="AJ14" s="1209">
        <f>(IF('Section Load'!AK17&gt;0,'Section Load'!AK17,0))</f>
        <v>0</v>
      </c>
      <c r="AK14" s="1209">
        <f>(IF('Section Load'!AL17&gt;0,'Section Load'!AL17,0))</f>
        <v>217</v>
      </c>
      <c r="AL14" s="1209">
        <f>(IF('Section Load'!AM17&gt;0,'Section Load'!AM17,0))</f>
        <v>687</v>
      </c>
      <c r="AM14" s="1210">
        <f>(IF('Water Report'!$P$7&gt;0,'Water Report'!$P$7,0))</f>
        <v>124</v>
      </c>
      <c r="AN14" s="1210">
        <f>(IF('Water Report'!$P$8&gt;0,'Water Report'!$P$8,0))</f>
        <v>109</v>
      </c>
      <c r="AO14" s="1210">
        <f>(IF('Water Report'!$P$9&gt;0,'Water Report'!$P$9,0))</f>
        <v>64</v>
      </c>
      <c r="AP14" s="1210">
        <f>(IF('Water Report'!$P$10&gt;0,'Water Report'!$P$10,0))</f>
        <v>34</v>
      </c>
      <c r="AQ14" s="1210">
        <f>(IF('Water Report'!$P$11&gt;0,'Water Report'!$P$11,0))</f>
        <v>47</v>
      </c>
      <c r="AR14" s="1210">
        <f>(IF('Water Report'!$P$13&gt;0,'Water Report'!$P$13,0))</f>
        <v>8</v>
      </c>
      <c r="AS14" s="1210">
        <f>(IF('Water Report'!$P$14&gt;0,'Water Report'!$P$14,0))</f>
        <v>16</v>
      </c>
      <c r="AT14" s="1210">
        <f>(IF('Water Report'!$P$15&gt;0,'Water Report'!$P$15,0))</f>
        <v>15</v>
      </c>
      <c r="AU14" s="1210">
        <f>(IF('Water Report'!$P$17&gt;0,'Water Report'!$P$17,0))</f>
        <v>0</v>
      </c>
      <c r="AV14" s="1210">
        <f>(IF('Water Report'!$P$18&gt;0,'Water Report'!$P$18,0))</f>
        <v>13</v>
      </c>
      <c r="AW14" s="1210">
        <f>(IF('Water Report'!$P$19&gt;0,'Water Report'!$P$19,0))</f>
        <v>5</v>
      </c>
      <c r="AX14" s="1253">
        <f>(IF('Water Report'!$P$21&gt;0,'Water Report'!$P$21,0))</f>
        <v>63</v>
      </c>
      <c r="AY14" s="1253">
        <f>(IF('Water Report'!$P$22&gt;0,'Water Report'!$P$22,0))</f>
        <v>0</v>
      </c>
      <c r="AZ14" s="1253">
        <f>(IF('Water Report'!$P$23&gt;0,'Water Report'!$P$23,0))</f>
        <v>0</v>
      </c>
      <c r="BA14" s="1253">
        <f>(IF('Water Report'!$P$14&gt;0,'Water Report'!$P$14,0))</f>
        <v>16</v>
      </c>
      <c r="BB14" s="1253">
        <f>(IF('Water Report'!$P$15&gt;0,'Water Report'!$P$15,0))</f>
        <v>15</v>
      </c>
      <c r="BC14" s="1253">
        <f>(IF('Water Report'!$P$13&gt;0,'Water Report'!$P$13,0))</f>
        <v>8</v>
      </c>
      <c r="BD14" s="1253">
        <f>(IF('Water Report'!$P$24&gt;0,'Water Report'!$P$24,0))</f>
        <v>194</v>
      </c>
      <c r="BE14" s="1253">
        <f>(IF('Water Report'!$P$25&gt;0,'Water Report'!$P$25,0))</f>
        <v>176</v>
      </c>
      <c r="BF14" s="1253">
        <f>(IF('Water Report'!$P$27&gt;0,'Water Report'!$P$27,0))</f>
        <v>71</v>
      </c>
      <c r="BG14" s="1211">
        <f>(IF('Section Load'!AN17&gt;0,'Section Load'!AN17,0))</f>
        <v>737</v>
      </c>
      <c r="BH14" s="1211">
        <f>(IF('Section Load'!AO17&gt;0,'Section Load'!AO17,0))</f>
        <v>245</v>
      </c>
      <c r="BI14" s="1211">
        <f>(IF('Section Load'!AP17&gt;0,'Section Load'!AP17,0))</f>
        <v>0</v>
      </c>
      <c r="BJ14" s="1211">
        <f>(IF('Section Load'!AQ17&gt;0,'Section Load'!AQ17,0))</f>
        <v>60</v>
      </c>
      <c r="BK14" s="1211">
        <f>(IF('Section Load'!AR17&gt;0,'Section Load'!AR17,0))</f>
        <v>68</v>
      </c>
      <c r="BL14" s="1211">
        <f>(IF('Section Load'!AS17&gt;0,'Section Load'!AS17,0))</f>
        <v>2</v>
      </c>
      <c r="BM14" s="1211">
        <f>(IF('Section Load'!AT17&gt;0,'Section Load'!AT17,0))</f>
        <v>362</v>
      </c>
    </row>
    <row r="15" spans="1:65">
      <c r="A15" s="1196" t="s">
        <v>13</v>
      </c>
      <c r="B15" s="1197">
        <f t="shared" si="0"/>
        <v>14</v>
      </c>
      <c r="C15" s="1197">
        <v>6</v>
      </c>
      <c r="D15" s="1197">
        <v>2021</v>
      </c>
      <c r="E15" s="1209">
        <f>(IF('Section Load'!F18&gt;0,'Section Load'!F18,0))</f>
        <v>0</v>
      </c>
      <c r="F15" s="1209">
        <f>(IF('Section Load'!G18&gt;0,'Section Load'!G18,0))</f>
        <v>0</v>
      </c>
      <c r="G15" s="1209">
        <f>(IF('Section Load'!H18&gt;0,'Section Load'!H18,0))</f>
        <v>0</v>
      </c>
      <c r="H15" s="1209">
        <f>(IF('Section Load'!I18&gt;0,'Section Load'!I18,0))</f>
        <v>0</v>
      </c>
      <c r="I15" s="1209">
        <f>(IF('Section Load'!J18&gt;0,'Section Load'!J18,0))</f>
        <v>0</v>
      </c>
      <c r="J15" s="1209">
        <f>(IF('Section Load'!K18&gt;0,'Section Load'!K18,0))</f>
        <v>0</v>
      </c>
      <c r="K15" s="1209">
        <f>(IF('Section Load'!L18&gt;0,'Section Load'!L18,0))</f>
        <v>0</v>
      </c>
      <c r="L15" s="1209">
        <f>(IF('Section Load'!M18&gt;0,'Section Load'!M18,0))</f>
        <v>339554</v>
      </c>
      <c r="M15" s="1209">
        <f>(IF('Section Load'!N18&gt;0,'Section Load'!N18,0))</f>
        <v>0</v>
      </c>
      <c r="N15" s="1209">
        <f>(IF('Section Load'!O18&gt;0,'Section Load'!O18,0))</f>
        <v>0</v>
      </c>
      <c r="O15" s="1209">
        <f>(IF('Section Load'!P18&gt;0,'Section Load'!P18,0))</f>
        <v>0</v>
      </c>
      <c r="P15" s="1209">
        <f>(IF('Section Load'!Q18&gt;0,'Section Load'!Q18,0))</f>
        <v>0</v>
      </c>
      <c r="Q15" s="1209">
        <f>(IF('Section Load'!R18&gt;0,'Section Load'!R18,0))</f>
        <v>0</v>
      </c>
      <c r="R15" s="1209">
        <f>(IF('Section Load'!S18&gt;0,'Section Load'!S18,0))</f>
        <v>0</v>
      </c>
      <c r="S15" s="1209">
        <f>(IF('Section Load'!T18&gt;0,'Section Load'!T18,0))</f>
        <v>0</v>
      </c>
      <c r="T15" s="1209">
        <f>(IF('Section Load'!U18&gt;0,'Section Load'!U18,0))</f>
        <v>0</v>
      </c>
      <c r="U15" s="1209">
        <f>(IF('Section Load'!V18&gt;0,'Section Load'!V18,0))</f>
        <v>0</v>
      </c>
      <c r="V15" s="1209">
        <f>(IF('Section Load'!W18&gt;0,'Section Load'!W18,0))</f>
        <v>0</v>
      </c>
      <c r="W15" s="1209">
        <f>(IF('Section Load'!X18&gt;0,'Section Load'!X18,0))</f>
        <v>0</v>
      </c>
      <c r="X15" s="1209">
        <f>(IF('Section Load'!Y18&gt;0,'Section Load'!Y18,0))</f>
        <v>0</v>
      </c>
      <c r="Y15" s="1209">
        <f>(IF('Section Load'!Z18&gt;0,'Section Load'!Z18,0))</f>
        <v>0</v>
      </c>
      <c r="Z15" s="1209">
        <f>(IF('Section Load'!AA18&gt;0,'Section Load'!AA18,0))</f>
        <v>0</v>
      </c>
      <c r="AA15" s="1209">
        <f>(IF('Section Load'!AB18&gt;0,'Section Load'!AB18,0))</f>
        <v>0</v>
      </c>
      <c r="AB15" s="1209">
        <f>(IF('Section Load'!AC18&gt;0,'Section Load'!AC18,0))</f>
        <v>0</v>
      </c>
      <c r="AC15" s="1209">
        <f>(IF('Section Load'!AD18&gt;0,'Section Load'!AD18,0))</f>
        <v>0</v>
      </c>
      <c r="AD15" s="1209">
        <f>(IF('Section Load'!AE18&gt;0,'Section Load'!AE18,0))</f>
        <v>0</v>
      </c>
      <c r="AE15" s="1209">
        <f>(IF('Section Load'!AF18&gt;0,'Section Load'!AF18,0))</f>
        <v>2412.15</v>
      </c>
      <c r="AF15" s="1209">
        <f>(IF('Section Load'!AG18&gt;0,'Section Load'!AG18,0))</f>
        <v>0</v>
      </c>
      <c r="AG15" s="1209">
        <f>(IF('Section Load'!AH18&gt;0,'Section Load'!AH18,0))</f>
        <v>0</v>
      </c>
      <c r="AH15" s="1209">
        <f>(IF('Section Load'!AI18&gt;0,'Section Load'!AI18,0))</f>
        <v>0</v>
      </c>
      <c r="AI15" s="1209">
        <f>(IF('Section Load'!AJ18&gt;0,'Section Load'!AJ18,0))</f>
        <v>0</v>
      </c>
      <c r="AJ15" s="1209">
        <f>(IF('Section Load'!AK18&gt;0,'Section Load'!AK18,0))</f>
        <v>0</v>
      </c>
      <c r="AK15" s="1209">
        <f>(IF('Section Load'!AL18&gt;0,'Section Load'!AL18,0))</f>
        <v>0</v>
      </c>
      <c r="AL15" s="1209">
        <f>(IF('Section Load'!AM18&gt;0,'Section Load'!AM18,0))</f>
        <v>0</v>
      </c>
      <c r="AM15" s="1210">
        <f>(IF('Water Report'!$Q$7&gt;0,'Water Report'!$Q$7,0))</f>
        <v>0</v>
      </c>
      <c r="AN15" s="1210">
        <f>(IF('Water Report'!$Q$8&gt;0,'Water Report'!$Q$8,0))</f>
        <v>0</v>
      </c>
      <c r="AO15" s="1210">
        <f>(IF('Water Report'!$Q$9&gt;0,'Water Report'!$Q$9,0))</f>
        <v>0</v>
      </c>
      <c r="AP15" s="1210">
        <f>(IF('Water Report'!$Q$10&gt;0,'Water Report'!$Q$10,0))</f>
        <v>0</v>
      </c>
      <c r="AQ15" s="1210">
        <f>(IF('Water Report'!$Q$11&gt;0,'Water Report'!$Q$11,0))</f>
        <v>0</v>
      </c>
      <c r="AR15" s="1210">
        <f>(IF('Water Report'!$Q$13&gt;0,'Water Report'!$Q$13,0))</f>
        <v>0</v>
      </c>
      <c r="AS15" s="1210">
        <f>(IF('Water Report'!$Q$14&gt;0,'Water Report'!$Q$14,0))</f>
        <v>0</v>
      </c>
      <c r="AT15" s="1210">
        <f>(IF('Water Report'!$Q$15&gt;0,'Water Report'!$Q$15,0))</f>
        <v>0</v>
      </c>
      <c r="AU15" s="1210">
        <f>(IF('Water Report'!$Q$17&gt;0,'Water Report'!$Q$17,0))</f>
        <v>0</v>
      </c>
      <c r="AV15" s="1210">
        <f>(IF('Water Report'!$Q$18&gt;0,'Water Report'!$Q$18,0))</f>
        <v>0</v>
      </c>
      <c r="AW15" s="1210">
        <f>(IF('Water Report'!$Q$19&gt;0,'Water Report'!$Q$19,0))</f>
        <v>0</v>
      </c>
      <c r="AX15" s="1253">
        <f>(IF('Water Report'!$Q$21&gt;0,'Water Report'!$Q$21,0))</f>
        <v>0</v>
      </c>
      <c r="AY15" s="1253">
        <f>(IF('Water Report'!$Q$22&gt;0,'Water Report'!$Q$22,0))</f>
        <v>0</v>
      </c>
      <c r="AZ15" s="1253">
        <f>(IF('Water Report'!$Q$23&gt;0,'Water Report'!$Q$23,0))</f>
        <v>0</v>
      </c>
      <c r="BA15" s="1253">
        <f>(IF('Water Report'!$Q$14&gt;0,'Water Report'!$Q$14,0))</f>
        <v>0</v>
      </c>
      <c r="BB15" s="1253">
        <f>(IF('Water Report'!$Q$15&gt;0,'Water Report'!$Q$15,0))</f>
        <v>0</v>
      </c>
      <c r="BC15" s="1253">
        <f>(IF('Water Report'!$Q$13&gt;0,'Water Report'!$Q$13,0))</f>
        <v>0</v>
      </c>
      <c r="BD15" s="1253">
        <f>(IF('Water Report'!$Q$24&gt;0,'Water Report'!$Q$24,0))</f>
        <v>0</v>
      </c>
      <c r="BE15" s="1253">
        <f>(IF('Water Report'!$Q$25&gt;0,'Water Report'!$Q$25,0))</f>
        <v>0</v>
      </c>
      <c r="BF15" s="1253">
        <f>(IF('Water Report'!$Q$27&gt;0,'Water Report'!$Q$27,0))</f>
        <v>0</v>
      </c>
      <c r="BG15" s="1211">
        <f>(IF('Section Load'!AN18&gt;0,'Section Load'!AN18,0))</f>
        <v>550</v>
      </c>
      <c r="BH15" s="1211">
        <f>(IF('Section Load'!AO18&gt;0,'Section Load'!AO18,0))</f>
        <v>0</v>
      </c>
      <c r="BI15" s="1211">
        <f>(IF('Section Load'!AP18&gt;0,'Section Load'!AP18,0))</f>
        <v>0</v>
      </c>
      <c r="BJ15" s="1211">
        <f>(IF('Section Load'!AQ18&gt;0,'Section Load'!AQ18,0))</f>
        <v>0</v>
      </c>
      <c r="BK15" s="1211">
        <f>(IF('Section Load'!AR18&gt;0,'Section Load'!AR18,0))</f>
        <v>0</v>
      </c>
      <c r="BL15" s="1211">
        <f>(IF('Section Load'!AS18&gt;0,'Section Load'!AS18,0))</f>
        <v>0</v>
      </c>
      <c r="BM15" s="1211">
        <f>(IF('Section Load'!AT18&gt;0,'Section Load'!AT18,0))</f>
        <v>8445.9100000000326</v>
      </c>
    </row>
    <row r="16" spans="1:65">
      <c r="A16" s="1196" t="s">
        <v>13</v>
      </c>
      <c r="B16" s="1197">
        <f t="shared" si="0"/>
        <v>15</v>
      </c>
      <c r="C16" s="1197">
        <v>6</v>
      </c>
      <c r="D16" s="1197">
        <v>2021</v>
      </c>
      <c r="E16" s="1209">
        <f>(IF('Section Load'!F19&gt;0,'Section Load'!F19,0))</f>
        <v>2006.9200000000419</v>
      </c>
      <c r="F16" s="1209">
        <f>(IF('Section Load'!G19&gt;0,'Section Load'!G19,0))</f>
        <v>1297.0899999999965</v>
      </c>
      <c r="G16" s="1209">
        <f>(IF('Section Load'!H19&gt;0,'Section Load'!H19,0))</f>
        <v>1315.9600000000501</v>
      </c>
      <c r="H16" s="1209">
        <f>(IF('Section Load'!I19&gt;0,'Section Load'!I19,0))</f>
        <v>2647.820000000007</v>
      </c>
      <c r="I16" s="1209">
        <f>(IF('Section Load'!J19&gt;0,'Section Load'!J19,0))</f>
        <v>5855.1400000000194</v>
      </c>
      <c r="J16" s="1209">
        <f>(IF('Section Load'!K19&gt;0,'Section Load'!K19,0))</f>
        <v>2074.8000000000466</v>
      </c>
      <c r="K16" s="1209">
        <f>(IF('Section Load'!L19&gt;0,'Section Load'!L19,0))</f>
        <v>895.01000000000931</v>
      </c>
      <c r="L16" s="1209">
        <f>(IF('Section Load'!M19&gt;0,'Section Load'!M19,0))</f>
        <v>0</v>
      </c>
      <c r="M16" s="1209">
        <f>(IF('Section Load'!N19&gt;0,'Section Load'!N19,0))</f>
        <v>10</v>
      </c>
      <c r="N16" s="1209">
        <f>(IF('Section Load'!O19&gt;0,'Section Load'!O19,0))</f>
        <v>1</v>
      </c>
      <c r="O16" s="1209">
        <f>(IF('Section Load'!P19&gt;0,'Section Load'!P19,0))</f>
        <v>6.8400000000001455</v>
      </c>
      <c r="P16" s="1209">
        <f>(IF('Section Load'!Q19&gt;0,'Section Load'!Q19,0))</f>
        <v>52.409999999999854</v>
      </c>
      <c r="Q16" s="1209">
        <f>(IF('Section Load'!R19&gt;0,'Section Load'!R19,0))</f>
        <v>57.430000000000291</v>
      </c>
      <c r="R16" s="1209">
        <f>(IF('Section Load'!S19&gt;0,'Section Load'!S19,0))</f>
        <v>25</v>
      </c>
      <c r="S16" s="1209">
        <f>(IF('Section Load'!T19&gt;0,'Section Load'!T19,0))</f>
        <v>144</v>
      </c>
      <c r="T16" s="1209">
        <f>(IF('Section Load'!U19&gt;0,'Section Load'!U19,0))</f>
        <v>125</v>
      </c>
      <c r="U16" s="1209">
        <f>(IF('Section Load'!V19&gt;0,'Section Load'!V19,0))</f>
        <v>373.67999999999302</v>
      </c>
      <c r="V16" s="1209">
        <f>(IF('Section Load'!W19&gt;0,'Section Load'!W19,0))</f>
        <v>75.160000000032596</v>
      </c>
      <c r="W16" s="1209">
        <f>(IF('Section Load'!X19&gt;0,'Section Load'!X19,0))</f>
        <v>37.94999999999709</v>
      </c>
      <c r="X16" s="1209">
        <f>(IF('Section Load'!Y19&gt;0,'Section Load'!Y19,0))</f>
        <v>36.730000000003201</v>
      </c>
      <c r="Y16" s="1209">
        <f>(IF('Section Load'!Z19&gt;0,'Section Load'!Z19,0))</f>
        <v>252</v>
      </c>
      <c r="Z16" s="1209">
        <f>(IF('Section Load'!AA19&gt;0,'Section Load'!AA19,0))</f>
        <v>80.599999999976717</v>
      </c>
      <c r="AA16" s="1209">
        <f>(IF('Section Load'!AB19&gt;0,'Section Load'!AB19,0))</f>
        <v>7.1999999999970896</v>
      </c>
      <c r="AB16" s="1209">
        <f>(IF('Section Load'!AC19&gt;0,'Section Load'!AC19,0))</f>
        <v>4</v>
      </c>
      <c r="AC16" s="1209">
        <f>(IF('Section Load'!AD19&gt;0,'Section Load'!AD19,0))</f>
        <v>7.1999999999970896</v>
      </c>
      <c r="AD16" s="1209">
        <f>(IF('Section Load'!AE19&gt;0,'Section Load'!AE19,0))</f>
        <v>0.18000000000029104</v>
      </c>
      <c r="AE16" s="1209">
        <f>(IF('Section Load'!AF19&gt;0,'Section Load'!AF19,0))</f>
        <v>2.8499999999999091</v>
      </c>
      <c r="AF16" s="1209">
        <f>(IF('Section Load'!AG19&gt;0,'Section Load'!AG19,0))</f>
        <v>201.95000000001164</v>
      </c>
      <c r="AG16" s="1209">
        <f>(IF('Section Load'!AH19&gt;0,'Section Load'!AH19,0))</f>
        <v>270.82999999998719</v>
      </c>
      <c r="AH16" s="1209">
        <f>(IF('Section Load'!AI19&gt;0,'Section Load'!AI19,0))</f>
        <v>271.45999999999913</v>
      </c>
      <c r="AI16" s="1209">
        <f>(IF('Section Load'!AJ19&gt;0,'Section Load'!AJ19,0))</f>
        <v>339.41000000000349</v>
      </c>
      <c r="AJ16" s="1209">
        <f>(IF('Section Load'!AK19&gt;0,'Section Load'!AK19,0))</f>
        <v>0</v>
      </c>
      <c r="AK16" s="1209">
        <f>(IF('Section Load'!AL19&gt;0,'Section Load'!AL19,0))</f>
        <v>89.929999999993015</v>
      </c>
      <c r="AL16" s="1209">
        <f>(IF('Section Load'!AM19&gt;0,'Section Load'!AM19,0))</f>
        <v>599</v>
      </c>
      <c r="AM16" s="1210">
        <f>(IF('Water Report'!$R$7&gt;0,'Water Report'!$R$7,0))</f>
        <v>153</v>
      </c>
      <c r="AN16" s="1210">
        <f>(IF('Water Report'!$R$8&gt;0,'Water Report'!$R$8,0))</f>
        <v>131</v>
      </c>
      <c r="AO16" s="1210">
        <f>(IF('Water Report'!$R$9&gt;0,'Water Report'!$R$9,0))</f>
        <v>42</v>
      </c>
      <c r="AP16" s="1210">
        <f>(IF('Water Report'!$R$10&gt;0,'Water Report'!$R$10,0))</f>
        <v>10</v>
      </c>
      <c r="AQ16" s="1210">
        <f>(IF('Water Report'!$R$11&gt;0,'Water Report'!$R$11,0))</f>
        <v>33</v>
      </c>
      <c r="AR16" s="1210">
        <f>(IF('Water Report'!$R$13&gt;0,'Water Report'!$R$13,0))</f>
        <v>23</v>
      </c>
      <c r="AS16" s="1210">
        <f>(IF('Water Report'!$R$14&gt;0,'Water Report'!$R$14,0))</f>
        <v>7</v>
      </c>
      <c r="AT16" s="1210">
        <f>(IF('Water Report'!$R$15&gt;0,'Water Report'!$R$15,0))</f>
        <v>1</v>
      </c>
      <c r="AU16" s="1210">
        <f>(IF('Water Report'!$R$17&gt;0,'Water Report'!$R$17,0))</f>
        <v>0</v>
      </c>
      <c r="AV16" s="1210">
        <f>(IF('Water Report'!$R$18&gt;0,'Water Report'!$R$18,0))</f>
        <v>0</v>
      </c>
      <c r="AW16" s="1210">
        <f>(IF('Water Report'!$R$19&gt;0,'Water Report'!$R$19,0))</f>
        <v>3</v>
      </c>
      <c r="AX16" s="1253">
        <f>(IF('Water Report'!$R$21&gt;0,'Water Report'!$R$21,0))</f>
        <v>42</v>
      </c>
      <c r="AY16" s="1253">
        <f>(IF('Water Report'!$R$22&gt;0,'Water Report'!$R$22,0))</f>
        <v>30</v>
      </c>
      <c r="AZ16" s="1253">
        <f>(IF('Water Report'!$R$23&gt;0,'Water Report'!$R$23,0))</f>
        <v>17</v>
      </c>
      <c r="BA16" s="1253">
        <f>(IF('Water Report'!$R$14&gt;0,'Water Report'!$R$14,0))</f>
        <v>7</v>
      </c>
      <c r="BB16" s="1253">
        <f>(IF('Water Report'!$R$15&gt;0,'Water Report'!$R$15,0))</f>
        <v>1</v>
      </c>
      <c r="BC16" s="1253">
        <f>(IF('Water Report'!$R$13&gt;0,'Water Report'!$R$13,0))</f>
        <v>23</v>
      </c>
      <c r="BD16" s="1253">
        <f>(IF('Water Report'!$R$24&gt;0,'Water Report'!$R$24,0))</f>
        <v>116</v>
      </c>
      <c r="BE16" s="1253">
        <f>(IF('Water Report'!$R$25&gt;0,'Water Report'!$R$25,0))</f>
        <v>93</v>
      </c>
      <c r="BF16" s="1253">
        <f>(IF('Water Report'!$R$27&gt;0,'Water Report'!$R$27,0))</f>
        <v>82</v>
      </c>
      <c r="BG16" s="1211">
        <f>(IF('Section Load'!AN19&gt;0,'Section Load'!AN19,0))</f>
        <v>550</v>
      </c>
      <c r="BH16" s="1211">
        <f>(IF('Section Load'!AO19&gt;0,'Section Load'!AO19,0))</f>
        <v>200.9100000000326</v>
      </c>
      <c r="BI16" s="1211">
        <f>(IF('Section Load'!AP19&gt;0,'Section Load'!AP19,0))</f>
        <v>0.39999999999417923</v>
      </c>
      <c r="BJ16" s="1211">
        <f>(IF('Section Load'!AQ19&gt;0,'Section Load'!AQ19,0))</f>
        <v>45</v>
      </c>
      <c r="BK16" s="1211">
        <f>(IF('Section Load'!AR19&gt;0,'Section Load'!AR19,0))</f>
        <v>0</v>
      </c>
      <c r="BL16" s="1211">
        <f>(IF('Section Load'!AS19&gt;0,'Section Load'!AS19,0))</f>
        <v>0</v>
      </c>
      <c r="BM16" s="1211">
        <f>(IF('Section Load'!AT19&gt;0,'Section Load'!AT19,0))</f>
        <v>303.68999999997322</v>
      </c>
    </row>
    <row r="17" spans="1:65">
      <c r="A17" s="1196" t="s">
        <v>13</v>
      </c>
      <c r="B17" s="1197">
        <f t="shared" si="0"/>
        <v>16</v>
      </c>
      <c r="C17" s="1197">
        <v>6</v>
      </c>
      <c r="D17" s="1197">
        <v>2021</v>
      </c>
      <c r="E17" s="1209">
        <f>(IF('Section Load'!F20&gt;0,'Section Load'!F20,0))</f>
        <v>1926.1300000000047</v>
      </c>
      <c r="F17" s="1209">
        <f>(IF('Section Load'!G20&gt;0,'Section Load'!G20,0))</f>
        <v>1239</v>
      </c>
      <c r="G17" s="1209">
        <f>(IF('Section Load'!H20&gt;0,'Section Load'!H20,0))</f>
        <v>1097</v>
      </c>
      <c r="H17" s="1209">
        <f>(IF('Section Load'!I20&gt;0,'Section Load'!I20,0))</f>
        <v>2608</v>
      </c>
      <c r="I17" s="1209">
        <f>(IF('Section Load'!J20&gt;0,'Section Load'!J20,0))</f>
        <v>4448</v>
      </c>
      <c r="J17" s="1209">
        <f>(IF('Section Load'!K20&gt;0,'Section Load'!K20,0))</f>
        <v>2126</v>
      </c>
      <c r="K17" s="1209">
        <f>(IF('Section Load'!L20&gt;0,'Section Load'!L20,0))</f>
        <v>821</v>
      </c>
      <c r="L17" s="1209">
        <f>(IF('Section Load'!M20&gt;0,'Section Load'!M20,0))</f>
        <v>0</v>
      </c>
      <c r="M17" s="1209">
        <f>(IF('Section Load'!N20&gt;0,'Section Load'!N20,0))</f>
        <v>7</v>
      </c>
      <c r="N17" s="1209">
        <f>(IF('Section Load'!O20&gt;0,'Section Load'!O20,0))</f>
        <v>0</v>
      </c>
      <c r="O17" s="1209">
        <f>(IF('Section Load'!P20&gt;0,'Section Load'!P20,0))</f>
        <v>9</v>
      </c>
      <c r="P17" s="1209">
        <f>(IF('Section Load'!Q20&gt;0,'Section Load'!Q20,0))</f>
        <v>54</v>
      </c>
      <c r="Q17" s="1209">
        <f>(IF('Section Load'!R20&gt;0,'Section Load'!R20,0))</f>
        <v>56</v>
      </c>
      <c r="R17" s="1209">
        <f>(IF('Section Load'!S20&gt;0,'Section Load'!S20,0))</f>
        <v>29</v>
      </c>
      <c r="S17" s="1209">
        <f>(IF('Section Load'!T20&gt;0,'Section Load'!T20,0))</f>
        <v>118</v>
      </c>
      <c r="T17" s="1209">
        <f>(IF('Section Load'!U20&gt;0,'Section Load'!U20,0))</f>
        <v>120</v>
      </c>
      <c r="U17" s="1209">
        <f>(IF('Section Load'!V20&gt;0,'Section Load'!V20,0))</f>
        <v>333</v>
      </c>
      <c r="V17" s="1209">
        <f>(IF('Section Load'!W20&gt;0,'Section Load'!W20,0))</f>
        <v>82</v>
      </c>
      <c r="W17" s="1209">
        <f>(IF('Section Load'!X20&gt;0,'Section Load'!X20,0))</f>
        <v>10</v>
      </c>
      <c r="X17" s="1209">
        <f>(IF('Section Load'!Y20&gt;0,'Section Load'!Y20,0))</f>
        <v>0</v>
      </c>
      <c r="Y17" s="1209">
        <f>(IF('Section Load'!Z20&gt;0,'Section Load'!Z20,0))</f>
        <v>116</v>
      </c>
      <c r="Z17" s="1209">
        <f>(IF('Section Load'!AA20&gt;0,'Section Load'!AA20,0))</f>
        <v>28</v>
      </c>
      <c r="AA17" s="1209">
        <f>(IF('Section Load'!AB20&gt;0,'Section Load'!AB20,0))</f>
        <v>4</v>
      </c>
      <c r="AB17" s="1209">
        <f>(IF('Section Load'!AC20&gt;0,'Section Load'!AC20,0))</f>
        <v>9</v>
      </c>
      <c r="AC17" s="1209">
        <f>(IF('Section Load'!AD20&gt;0,'Section Load'!AD20,0))</f>
        <v>4</v>
      </c>
      <c r="AD17" s="1209">
        <f>(IF('Section Load'!AE20&gt;0,'Section Load'!AE20,0))</f>
        <v>0</v>
      </c>
      <c r="AE17" s="1209">
        <f>(IF('Section Load'!AF20&gt;0,'Section Load'!AF20,0))</f>
        <v>4</v>
      </c>
      <c r="AF17" s="1209">
        <f>(IF('Section Load'!AG20&gt;0,'Section Load'!AG20,0))</f>
        <v>201</v>
      </c>
      <c r="AG17" s="1209">
        <f>(IF('Section Load'!AH20&gt;0,'Section Load'!AH20,0))</f>
        <v>295</v>
      </c>
      <c r="AH17" s="1209">
        <f>(IF('Section Load'!AI20&gt;0,'Section Load'!AI20,0))</f>
        <v>260</v>
      </c>
      <c r="AI17" s="1209">
        <f>(IF('Section Load'!AJ20&gt;0,'Section Load'!AJ20,0))</f>
        <v>332</v>
      </c>
      <c r="AJ17" s="1209">
        <f>(IF('Section Load'!AK20&gt;0,'Section Load'!AK20,0))</f>
        <v>0</v>
      </c>
      <c r="AK17" s="1209">
        <f>(IF('Section Load'!AL20&gt;0,'Section Load'!AL20,0))</f>
        <v>95</v>
      </c>
      <c r="AL17" s="1209">
        <f>(IF('Section Load'!AM20&gt;0,'Section Load'!AM20,0))</f>
        <v>511</v>
      </c>
      <c r="AM17" s="1210">
        <f>(IF('Water Report'!$S$7&gt;0,'Water Report'!$S$7,0))</f>
        <v>45</v>
      </c>
      <c r="AN17" s="1210">
        <f>(IF('Water Report'!$S$8&gt;0,'Water Report'!$S$8,0))</f>
        <v>29</v>
      </c>
      <c r="AO17" s="1210">
        <f>(IF('Water Report'!$S$9&gt;0,'Water Report'!$S$9,0))</f>
        <v>27</v>
      </c>
      <c r="AP17" s="1210">
        <f>(IF('Water Report'!$S$10&gt;0,'Water Report'!$D$10,0))</f>
        <v>13</v>
      </c>
      <c r="AQ17" s="1210">
        <f>(IF('Water Report'!$S$11&gt;0,'Water Report'!$D$11,0))</f>
        <v>15</v>
      </c>
      <c r="AR17" s="1210">
        <f>(IF('Water Report'!$S$13&gt;0,'Water Report'!$D$13,0))</f>
        <v>7</v>
      </c>
      <c r="AS17" s="1210">
        <f>(IF('Water Report'!$S$14&gt;0,'Water Report'!$D$14,0))</f>
        <v>12</v>
      </c>
      <c r="AT17" s="1210">
        <f>(IF('Water Report'!$S$15&gt;0,'Water Report'!$D$15,0))</f>
        <v>5</v>
      </c>
      <c r="AU17" s="1210">
        <f>(IF('Water Report'!$S$17&gt;0,'Water Report'!$D$17,0))</f>
        <v>0</v>
      </c>
      <c r="AV17" s="1210">
        <f>(IF('Water Report'!$S$18&gt;0,'Water Report'!$D$18,0))</f>
        <v>0</v>
      </c>
      <c r="AW17" s="1210">
        <f>(IF('Water Report'!$S$19&gt;0,'Water Report'!$D$19,0))</f>
        <v>0</v>
      </c>
      <c r="AX17" s="1253">
        <f>(IF('Water Report'!$S$21&gt;0,'Water Report'!$D$21,0))</f>
        <v>63</v>
      </c>
      <c r="AY17" s="1253">
        <f>(IF('Water Report'!$S$22&gt;0,'Water Report'!$D$22,0))</f>
        <v>0</v>
      </c>
      <c r="AZ17" s="1253">
        <f>(IF('Water Report'!$S$23&gt;0,'Water Report'!$D$23,0))</f>
        <v>0</v>
      </c>
      <c r="BA17" s="1253">
        <f>(IF('Water Report'!$S$14&gt;0,'Water Report'!$D$14,0))</f>
        <v>12</v>
      </c>
      <c r="BB17" s="1253">
        <f>(IF('Water Report'!$S$15&gt;0,'Water Report'!$D$15,0))</f>
        <v>5</v>
      </c>
      <c r="BC17" s="1253">
        <f>(IF('Water Report'!$S$13&gt;0,'Water Report'!$D$13,0))</f>
        <v>7</v>
      </c>
      <c r="BD17" s="1253">
        <f>(IF('Water Report'!$S$24&gt;0,'Water Report'!$D$24,0))</f>
        <v>80</v>
      </c>
      <c r="BE17" s="1253">
        <f>(IF('Water Report'!$S$25&gt;0,'Water Report'!$D$25,0))</f>
        <v>85</v>
      </c>
      <c r="BF17" s="1253">
        <f>(IF('Water Report'!$S$27&gt;0,'Water Report'!$D$27,0))</f>
        <v>86</v>
      </c>
      <c r="BG17" s="1211">
        <f>(IF('Section Load'!AN20&gt;0,'Section Load'!AN20,0))</f>
        <v>550</v>
      </c>
      <c r="BH17" s="1211">
        <f>(IF('Section Load'!AO20&gt;0,'Section Load'!AO20,0))</f>
        <v>209</v>
      </c>
      <c r="BI17" s="1211">
        <f>(IF('Section Load'!AP20&gt;0,'Section Load'!AP20,0))</f>
        <v>0</v>
      </c>
      <c r="BJ17" s="1211">
        <f>(IF('Section Load'!AQ20&gt;0,'Section Load'!AQ20,0))</f>
        <v>57</v>
      </c>
      <c r="BK17" s="1211">
        <f>(IF('Section Load'!AR20&gt;0,'Section Load'!AR20,0))</f>
        <v>0</v>
      </c>
      <c r="BL17" s="1211">
        <f>(IF('Section Load'!AS20&gt;0,'Section Load'!AS20,0))</f>
        <v>0</v>
      </c>
      <c r="BM17" s="1211">
        <f>(IF('Section Load'!AT20&gt;0,'Section Load'!AT20,0))</f>
        <v>284</v>
      </c>
    </row>
    <row r="18" spans="1:65">
      <c r="A18" s="1196" t="s">
        <v>13</v>
      </c>
      <c r="B18" s="1197">
        <f t="shared" si="0"/>
        <v>17</v>
      </c>
      <c r="C18" s="1197">
        <v>6</v>
      </c>
      <c r="D18" s="1197">
        <v>2021</v>
      </c>
      <c r="E18" s="1209">
        <f>(IF('Section Load'!F21&gt;0,'Section Load'!F21,0))</f>
        <v>1602</v>
      </c>
      <c r="F18" s="1209">
        <f>(IF('Section Load'!G21&gt;0,'Section Load'!G21,0))</f>
        <v>1338.1300000000047</v>
      </c>
      <c r="G18" s="1209">
        <f>(IF('Section Load'!H21&gt;0,'Section Load'!H21,0))</f>
        <v>1050</v>
      </c>
      <c r="H18" s="1209">
        <f>(IF('Section Load'!I21&gt;0,'Section Load'!I21,0))</f>
        <v>2646</v>
      </c>
      <c r="I18" s="1209">
        <f>(IF('Section Load'!J21&gt;0,'Section Load'!J21,0))</f>
        <v>4494</v>
      </c>
      <c r="J18" s="1209">
        <f>(IF('Section Load'!K21&gt;0,'Section Load'!K21,0))</f>
        <v>2036</v>
      </c>
      <c r="K18" s="1209">
        <f>(IF('Section Load'!L21&gt;0,'Section Load'!L21,0))</f>
        <v>762</v>
      </c>
      <c r="L18" s="1209">
        <f>(IF('Section Load'!M21&gt;0,'Section Load'!M21,0))</f>
        <v>0</v>
      </c>
      <c r="M18" s="1209">
        <f>(IF('Section Load'!N21&gt;0,'Section Load'!N21,0))</f>
        <v>6</v>
      </c>
      <c r="N18" s="1209">
        <f>(IF('Section Load'!O21&gt;0,'Section Load'!O21,0))</f>
        <v>1</v>
      </c>
      <c r="O18" s="1209">
        <f>(IF('Section Load'!P21&gt;0,'Section Load'!P21,0))</f>
        <v>6</v>
      </c>
      <c r="P18" s="1209">
        <f>(IF('Section Load'!Q21&gt;0,'Section Load'!Q21,0))</f>
        <v>59</v>
      </c>
      <c r="Q18" s="1209">
        <f>(IF('Section Load'!R21&gt;0,'Section Load'!R21,0))</f>
        <v>57</v>
      </c>
      <c r="R18" s="1209">
        <f>(IF('Section Load'!S21&gt;0,'Section Load'!S21,0))</f>
        <v>29</v>
      </c>
      <c r="S18" s="1209">
        <f>(IF('Section Load'!T21&gt;0,'Section Load'!T21,0))</f>
        <v>89</v>
      </c>
      <c r="T18" s="1209">
        <f>(IF('Section Load'!U21&gt;0,'Section Load'!U21,0))</f>
        <v>117</v>
      </c>
      <c r="U18" s="1209">
        <f>(IF('Section Load'!V21&gt;0,'Section Load'!V21,0))</f>
        <v>311</v>
      </c>
      <c r="V18" s="1209">
        <f>(IF('Section Load'!W21&gt;0,'Section Load'!W21,0))</f>
        <v>76</v>
      </c>
      <c r="W18" s="1209">
        <f>(IF('Section Load'!X21&gt;0,'Section Load'!X21,0))</f>
        <v>11</v>
      </c>
      <c r="X18" s="1209">
        <f>(IF('Section Load'!Y21&gt;0,'Section Load'!Y21,0))</f>
        <v>199</v>
      </c>
      <c r="Y18" s="1209">
        <f>(IF('Section Load'!Z21&gt;0,'Section Load'!Z21,0))</f>
        <v>175</v>
      </c>
      <c r="Z18" s="1209">
        <f>(IF('Section Load'!AA21&gt;0,'Section Load'!AA21,0))</f>
        <v>36</v>
      </c>
      <c r="AA18" s="1209">
        <f>(IF('Section Load'!AB21&gt;0,'Section Load'!AB21,0))</f>
        <v>7</v>
      </c>
      <c r="AB18" s="1209">
        <f>(IF('Section Load'!AC21&gt;0,'Section Load'!AC21,0))</f>
        <v>66</v>
      </c>
      <c r="AC18" s="1209">
        <f>(IF('Section Load'!AD21&gt;0,'Section Load'!AD21,0))</f>
        <v>7</v>
      </c>
      <c r="AD18" s="1209">
        <f>(IF('Section Load'!AE21&gt;0,'Section Load'!AE21,0))</f>
        <v>0</v>
      </c>
      <c r="AE18" s="1209">
        <f>(IF('Section Load'!AF21&gt;0,'Section Load'!AF21,0))</f>
        <v>4</v>
      </c>
      <c r="AF18" s="1209">
        <f>(IF('Section Load'!AG21&gt;0,'Section Load'!AG21,0))</f>
        <v>266</v>
      </c>
      <c r="AG18" s="1209">
        <f>(IF('Section Load'!AH21&gt;0,'Section Load'!AH21,0))</f>
        <v>284</v>
      </c>
      <c r="AH18" s="1209">
        <f>(IF('Section Load'!AI21&gt;0,'Section Load'!AI21,0))</f>
        <v>272</v>
      </c>
      <c r="AI18" s="1209">
        <f>(IF('Section Load'!AJ21&gt;0,'Section Load'!AJ21,0))</f>
        <v>322</v>
      </c>
      <c r="AJ18" s="1209">
        <f>(IF('Section Load'!AK21&gt;0,'Section Load'!AK21,0))</f>
        <v>0</v>
      </c>
      <c r="AK18" s="1209">
        <f>(IF('Section Load'!AL21&gt;0,'Section Load'!AL21,0))</f>
        <v>87</v>
      </c>
      <c r="AL18" s="1209">
        <f>(IF('Section Load'!AM21&gt;0,'Section Load'!AM21,0))</f>
        <v>419</v>
      </c>
      <c r="AM18" s="1210">
        <f>(IF('Water Report'!$T$7&gt;0,'Water Report'!$T$7,0))</f>
        <v>0</v>
      </c>
      <c r="AN18" s="1210">
        <f>(IF('Water Report'!$T$8&gt;0,'Water Report'!$T$8,0))</f>
        <v>93</v>
      </c>
      <c r="AO18" s="1210">
        <f>(IF('Water Report'!$T$9&gt;0,'Water Report'!$T$9,0))</f>
        <v>45</v>
      </c>
      <c r="AP18" s="1210">
        <f>(IF('Water Report'!$T$10&gt;0,'Water Report'!$T$10,0))</f>
        <v>7</v>
      </c>
      <c r="AQ18" s="1210">
        <f>(IF('Water Report'!$T$11&gt;0,'Water Report'!$T$11,0))</f>
        <v>6</v>
      </c>
      <c r="AR18" s="1210">
        <f>(IF('Water Report'!$T$13&gt;0,'Water Report'!$T$13,0))</f>
        <v>2</v>
      </c>
      <c r="AS18" s="1210">
        <f>(IF('Water Report'!$T$14&gt;0,'Water Report'!$T$14,0))</f>
        <v>22</v>
      </c>
      <c r="AT18" s="1210">
        <f>(IF('Water Report'!$T$15&gt;0,'Water Report'!$T$15,0))</f>
        <v>8</v>
      </c>
      <c r="AU18" s="1210">
        <f>(IF('Water Report'!$T$17&gt;0,'Water Report'!$T$17,0))</f>
        <v>0</v>
      </c>
      <c r="AV18" s="1210">
        <f>(IF('Water Report'!$T$18&gt;0,'Water Report'!$T$18,0))</f>
        <v>14</v>
      </c>
      <c r="AW18" s="1210">
        <f>(IF('Water Report'!$T$19&gt;0,'Water Report'!$T$19,0))</f>
        <v>6</v>
      </c>
      <c r="AX18" s="1253">
        <f>(IF('Water Report'!$T$21&gt;0,'Water Report'!$T$21,0))</f>
        <v>20</v>
      </c>
      <c r="AY18" s="1253">
        <f>(IF('Water Report'!$T$22&gt;0,'Water Report'!$T$22,0))</f>
        <v>0</v>
      </c>
      <c r="AZ18" s="1253">
        <f>(IF('Water Report'!$T$23&gt;0,'Water Report'!$T$23,0))</f>
        <v>0</v>
      </c>
      <c r="BA18" s="1253">
        <f>(IF('Water Report'!$T$14&gt;0,'Water Report'!$T$14,0))</f>
        <v>22</v>
      </c>
      <c r="BB18" s="1253">
        <f>(IF('Water Report'!$T$15&gt;0,'Water Report'!$T$15,0))</f>
        <v>8</v>
      </c>
      <c r="BC18" s="1253">
        <f>(IF('Water Report'!$T$13&gt;0,'Water Report'!$T$13,0))</f>
        <v>2</v>
      </c>
      <c r="BD18" s="1253">
        <f>(IF('Water Report'!$T$24&gt;0,'Water Report'!$T$24,0))</f>
        <v>76</v>
      </c>
      <c r="BE18" s="1253">
        <f>(IF('Water Report'!$T$25&gt;0,'Water Report'!$T$25,0))</f>
        <v>88</v>
      </c>
      <c r="BF18" s="1253">
        <f>(IF('Water Report'!$T$27&gt;0,'Water Report'!$T$27,0))</f>
        <v>22</v>
      </c>
      <c r="BG18" s="1211">
        <f>(IF('Section Load'!AN21&gt;0,'Section Load'!AN21,0))</f>
        <v>550</v>
      </c>
      <c r="BH18" s="1211">
        <f>(IF('Section Load'!AO21&gt;0,'Section Load'!AO21,0))</f>
        <v>214</v>
      </c>
      <c r="BI18" s="1211">
        <f>(IF('Section Load'!AP21&gt;0,'Section Load'!AP21,0))</f>
        <v>0</v>
      </c>
      <c r="BJ18" s="1211">
        <f>(IF('Section Load'!AQ21&gt;0,'Section Load'!AQ21,0))</f>
        <v>46</v>
      </c>
      <c r="BK18" s="1211">
        <f>(IF('Section Load'!AR21&gt;0,'Section Load'!AR21,0))</f>
        <v>0</v>
      </c>
      <c r="BL18" s="1211">
        <f>(IF('Section Load'!AS21&gt;0,'Section Load'!AS21,0))</f>
        <v>0</v>
      </c>
      <c r="BM18" s="1211">
        <f>(IF('Section Load'!AT21&gt;0,'Section Load'!AT21,0))</f>
        <v>290</v>
      </c>
    </row>
    <row r="19" spans="1:65">
      <c r="A19" s="1196" t="s">
        <v>13</v>
      </c>
      <c r="B19" s="1197">
        <f t="shared" si="0"/>
        <v>18</v>
      </c>
      <c r="C19" s="1197">
        <v>6</v>
      </c>
      <c r="D19" s="1197">
        <v>2021</v>
      </c>
      <c r="E19" s="1209">
        <f>(IF('Section Load'!F22&gt;0,'Section Load'!F22,0))</f>
        <v>1530</v>
      </c>
      <c r="F19" s="1209">
        <f>(IF('Section Load'!G22&gt;0,'Section Load'!G22,0))</f>
        <v>1254</v>
      </c>
      <c r="G19" s="1209">
        <f>(IF('Section Load'!H22&gt;0,'Section Load'!H22,0))</f>
        <v>1081</v>
      </c>
      <c r="H19" s="1209">
        <f>(IF('Section Load'!I22&gt;0,'Section Load'!I22,0))</f>
        <v>2625</v>
      </c>
      <c r="I19" s="1209">
        <f>(IF('Section Load'!J22&gt;0,'Section Load'!J22,0))</f>
        <v>5084.5400000000009</v>
      </c>
      <c r="J19" s="1209">
        <f>(IF('Section Load'!K22&gt;0,'Section Load'!K22,0))</f>
        <v>2115</v>
      </c>
      <c r="K19" s="1209">
        <f>(IF('Section Load'!L22&gt;0,'Section Load'!L22,0))</f>
        <v>802</v>
      </c>
      <c r="L19" s="1209">
        <f>(IF('Section Load'!M22&gt;0,'Section Load'!M22,0))</f>
        <v>0</v>
      </c>
      <c r="M19" s="1209">
        <f>(IF('Section Load'!N22&gt;0,'Section Load'!N22,0))</f>
        <v>6</v>
      </c>
      <c r="N19" s="1209">
        <f>(IF('Section Load'!O22&gt;0,'Section Load'!O22,0))</f>
        <v>2</v>
      </c>
      <c r="O19" s="1209">
        <f>(IF('Section Load'!P22&gt;0,'Section Load'!P22,0))</f>
        <v>4</v>
      </c>
      <c r="P19" s="1209">
        <f>(IF('Section Load'!Q22&gt;0,'Section Load'!Q22,0))</f>
        <v>53</v>
      </c>
      <c r="Q19" s="1209">
        <f>(IF('Section Load'!R22&gt;0,'Section Load'!R22,0))</f>
        <v>56</v>
      </c>
      <c r="R19" s="1209">
        <f>(IF('Section Load'!S22&gt;0,'Section Load'!S22,0))</f>
        <v>30</v>
      </c>
      <c r="S19" s="1209">
        <f>(IF('Section Load'!T22&gt;0,'Section Load'!T22,0))</f>
        <v>75</v>
      </c>
      <c r="T19" s="1209">
        <f>(IF('Section Load'!U22&gt;0,'Section Load'!U22,0))</f>
        <v>128</v>
      </c>
      <c r="U19" s="1209">
        <f>(IF('Section Load'!V22&gt;0,'Section Load'!V22,0))</f>
        <v>300</v>
      </c>
      <c r="V19" s="1209">
        <f>(IF('Section Load'!W22&gt;0,'Section Load'!W22,0))</f>
        <v>80</v>
      </c>
      <c r="W19" s="1209">
        <f>(IF('Section Load'!X22&gt;0,'Section Load'!X22,0))</f>
        <v>26</v>
      </c>
      <c r="X19" s="1209">
        <f>(IF('Section Load'!Y22&gt;0,'Section Load'!Y22,0))</f>
        <v>63</v>
      </c>
      <c r="Y19" s="1209">
        <f>(IF('Section Load'!Z22&gt;0,'Section Load'!Z22,0))</f>
        <v>240</v>
      </c>
      <c r="Z19" s="1209">
        <f>(IF('Section Load'!AA22&gt;0,'Section Load'!AA22,0))</f>
        <v>31</v>
      </c>
      <c r="AA19" s="1209">
        <f>(IF('Section Load'!AB22&gt;0,'Section Load'!AB22,0))</f>
        <v>14</v>
      </c>
      <c r="AB19" s="1209">
        <f>(IF('Section Load'!AC22&gt;0,'Section Load'!AC22,0))</f>
        <v>68</v>
      </c>
      <c r="AC19" s="1209">
        <f>(IF('Section Load'!AD22&gt;0,'Section Load'!AD22,0))</f>
        <v>14.199999999999818</v>
      </c>
      <c r="AD19" s="1209">
        <f>(IF('Section Load'!AE22&gt;0,'Section Load'!AE22,0))</f>
        <v>0.18000000000029104</v>
      </c>
      <c r="AE19" s="1209">
        <f>(IF('Section Load'!AF22&gt;0,'Section Load'!AF22,0))</f>
        <v>4</v>
      </c>
      <c r="AF19" s="1209">
        <f>(IF('Section Load'!AG22&gt;0,'Section Load'!AG22,0))</f>
        <v>337</v>
      </c>
      <c r="AG19" s="1209">
        <f>(IF('Section Load'!AH22&gt;0,'Section Load'!AH22,0))</f>
        <v>268</v>
      </c>
      <c r="AH19" s="1209">
        <f>(IF('Section Load'!AI22&gt;0,'Section Load'!AI22,0))</f>
        <v>270</v>
      </c>
      <c r="AI19" s="1209">
        <f>(IF('Section Load'!AJ22&gt;0,'Section Load'!AJ22,0))</f>
        <v>300</v>
      </c>
      <c r="AJ19" s="1209">
        <f>(IF('Section Load'!AK22&gt;0,'Section Load'!AK22,0))</f>
        <v>0</v>
      </c>
      <c r="AK19" s="1209">
        <f>(IF('Section Load'!AL22&gt;0,'Section Load'!AL22,0))</f>
        <v>78</v>
      </c>
      <c r="AL19" s="1209">
        <f>(IF('Section Load'!AM22&gt;0,'Section Load'!AM22,0))</f>
        <v>353</v>
      </c>
      <c r="AM19" s="1210">
        <f>(IF('Water Report'!$U$7&gt;0,'Water Report'!$U$7,0))</f>
        <v>0</v>
      </c>
      <c r="AN19" s="1210">
        <f>(IF('Water Report'!$U$8&gt;0,'Water Report'!$U$8,0))</f>
        <v>146</v>
      </c>
      <c r="AO19" s="1210">
        <f>(IF('Water Report'!$U$9&gt;0,'Water Report'!$U$9,0))</f>
        <v>29</v>
      </c>
      <c r="AP19" s="1210">
        <f>(IF('Water Report'!$U$10&gt;0,'Water Report'!$U$10,0))</f>
        <v>12</v>
      </c>
      <c r="AQ19" s="1210">
        <f>(IF('Water Report'!$U$11&gt;0,'Water Report'!$U$11,0))</f>
        <v>8</v>
      </c>
      <c r="AR19" s="1210">
        <f>(IF('Water Report'!$U$13&gt;0,'Water Report'!$U$13,0))</f>
        <v>4</v>
      </c>
      <c r="AS19" s="1210">
        <f>(IF('Water Report'!$U$14&gt;0,'Water Report'!$U$14,0))</f>
        <v>10</v>
      </c>
      <c r="AT19" s="1210">
        <f>(IF('Water Report'!$U$15&gt;0,'Water Report'!$U$15,0))</f>
        <v>0</v>
      </c>
      <c r="AU19" s="1210">
        <f>(IF('Water Report'!$U$17&gt;0,'Water Report'!$U$17,0))</f>
        <v>0</v>
      </c>
      <c r="AV19" s="1210">
        <f>(IF('Water Report'!$U$18&gt;0,'Water Report'!$U$18,0))</f>
        <v>0</v>
      </c>
      <c r="AW19" s="1210">
        <f>(IF('Water Report'!$U$19&gt;0,'Water Report'!$U$19,0))</f>
        <v>2</v>
      </c>
      <c r="AX19" s="1253">
        <f>(IF('Water Report'!$U$21&gt;0,'Water Report'!$U$21,0))</f>
        <v>73</v>
      </c>
      <c r="AY19" s="1253">
        <f>(IF('Water Report'!$U$22&gt;0,'Water Report'!$U$22,0))</f>
        <v>0</v>
      </c>
      <c r="AZ19" s="1253">
        <f>(IF('Water Report'!$U$23&gt;0,'Water Report'!$U$23,0))</f>
        <v>4</v>
      </c>
      <c r="BA19" s="1253">
        <f>(IF('Water Report'!$U$14&gt;0,'Water Report'!$U$14,0))</f>
        <v>10</v>
      </c>
      <c r="BB19" s="1253">
        <f>(IF('Water Report'!$U$15&gt;0,'Water Report'!$U$15,0))</f>
        <v>0</v>
      </c>
      <c r="BC19" s="1253">
        <f>(IF('Water Report'!$U$13&gt;0,'Water Report'!$U$13,0))</f>
        <v>4</v>
      </c>
      <c r="BD19" s="1253">
        <f>(IF('Water Report'!$U$24&gt;0,'Water Report'!$U$24,0))</f>
        <v>105</v>
      </c>
      <c r="BE19" s="1253">
        <f>(IF('Water Report'!$U$25&gt;0,'Water Report'!$U$25,0))</f>
        <v>59</v>
      </c>
      <c r="BF19" s="1253">
        <f>(IF('Water Report'!$U$27&gt;0,'Water Report'!$U$27,0))</f>
        <v>81</v>
      </c>
      <c r="BG19" s="1211">
        <f>(IF('Section Load'!AN22&gt;0,'Section Load'!AN22,0))</f>
        <v>550</v>
      </c>
      <c r="BH19" s="1211">
        <f>(IF('Section Load'!AO22&gt;0,'Section Load'!AO22,0))</f>
        <v>195</v>
      </c>
      <c r="BI19" s="1211">
        <f>(IF('Section Load'!AP22&gt;0,'Section Load'!AP22,0))</f>
        <v>0</v>
      </c>
      <c r="BJ19" s="1211">
        <f>(IF('Section Load'!AQ22&gt;0,'Section Load'!AQ22,0))</f>
        <v>45</v>
      </c>
      <c r="BK19" s="1211">
        <f>(IF('Section Load'!AR22&gt;0,'Section Load'!AR22,0))</f>
        <v>0</v>
      </c>
      <c r="BL19" s="1211">
        <f>(IF('Section Load'!AS22&gt;0,'Section Load'!AS22,0))</f>
        <v>0</v>
      </c>
      <c r="BM19" s="1211">
        <f>(IF('Section Load'!AT22&gt;0,'Section Load'!AT22,0))</f>
        <v>310</v>
      </c>
    </row>
    <row r="20" spans="1:65">
      <c r="A20" s="1196" t="s">
        <v>13</v>
      </c>
      <c r="B20" s="1197">
        <f t="shared" si="0"/>
        <v>19</v>
      </c>
      <c r="C20" s="1197">
        <v>6</v>
      </c>
      <c r="D20" s="1197">
        <v>2021</v>
      </c>
      <c r="E20" s="1209">
        <f>(IF('Section Load'!F23&gt;0,'Section Load'!F23,0))</f>
        <v>1650.8699999999953</v>
      </c>
      <c r="F20" s="1209">
        <f>(IF('Section Load'!G23&gt;0,'Section Load'!G23,0))</f>
        <v>1200</v>
      </c>
      <c r="G20" s="1209">
        <f>(IF('Section Load'!H23&gt;0,'Section Load'!H23,0))</f>
        <v>999</v>
      </c>
      <c r="H20" s="1209">
        <f>(IF('Section Load'!I23&gt;0,'Section Load'!I23,0))</f>
        <v>2579</v>
      </c>
      <c r="I20" s="1209">
        <f>(IF('Section Load'!J23&gt;0,'Section Load'!J23,0))</f>
        <v>4451.9900000000271</v>
      </c>
      <c r="J20" s="1209">
        <f>(IF('Section Load'!K23&gt;0,'Section Load'!K23,0))</f>
        <v>2088.67</v>
      </c>
      <c r="K20" s="1209">
        <f>(IF('Section Load'!L23&gt;0,'Section Load'!L23,0))</f>
        <v>793</v>
      </c>
      <c r="L20" s="1209">
        <f>(IF('Section Load'!M23&gt;0,'Section Load'!M23,0))</f>
        <v>0</v>
      </c>
      <c r="M20" s="1209">
        <f>(IF('Section Load'!N23&gt;0,'Section Load'!N23,0))</f>
        <v>10</v>
      </c>
      <c r="N20" s="1209">
        <f>(IF('Section Load'!O23&gt;0,'Section Load'!O23,0))</f>
        <v>1</v>
      </c>
      <c r="O20" s="1209">
        <f>(IF('Section Load'!P23&gt;0,'Section Load'!P23,0))</f>
        <v>5</v>
      </c>
      <c r="P20" s="1209">
        <f>(IF('Section Load'!Q23&gt;0,'Section Load'!Q23,0))</f>
        <v>56</v>
      </c>
      <c r="Q20" s="1209">
        <f>(IF('Section Load'!R23&gt;0,'Section Load'!R23,0))</f>
        <v>58</v>
      </c>
      <c r="R20" s="1209">
        <f>(IF('Section Load'!S23&gt;0,'Section Load'!S23,0))</f>
        <v>29</v>
      </c>
      <c r="S20" s="1209">
        <f>(IF('Section Load'!T23&gt;0,'Section Load'!T23,0))</f>
        <v>82</v>
      </c>
      <c r="T20" s="1209">
        <f>(IF('Section Load'!U23&gt;0,'Section Load'!U23,0))</f>
        <v>123</v>
      </c>
      <c r="U20" s="1209">
        <f>(IF('Section Load'!V23&gt;0,'Section Load'!V23,0))</f>
        <v>293</v>
      </c>
      <c r="V20" s="1209">
        <f>(IF('Section Load'!W23&gt;0,'Section Load'!W23,0))</f>
        <v>77</v>
      </c>
      <c r="W20" s="1209">
        <f>(IF('Section Load'!X23&gt;0,'Section Load'!X23,0))</f>
        <v>11</v>
      </c>
      <c r="X20" s="1209">
        <f>(IF('Section Load'!Y23&gt;0,'Section Load'!Y23,0))</f>
        <v>1</v>
      </c>
      <c r="Y20" s="1209">
        <f>(IF('Section Load'!Z23&gt;0,'Section Load'!Z23,0))</f>
        <v>153</v>
      </c>
      <c r="Z20" s="1209">
        <f>(IF('Section Load'!AA23&gt;0,'Section Load'!AA23,0))</f>
        <v>23</v>
      </c>
      <c r="AA20" s="1209">
        <f>(IF('Section Load'!AB23&gt;0,'Section Load'!AB23,0))</f>
        <v>21</v>
      </c>
      <c r="AB20" s="1209">
        <f>(IF('Section Load'!AC23&gt;0,'Section Load'!AC23,0))</f>
        <v>24</v>
      </c>
      <c r="AC20" s="1209">
        <f>(IF('Section Load'!AD23&gt;0,'Section Load'!AD23,0))</f>
        <v>21</v>
      </c>
      <c r="AD20" s="1209">
        <f>(IF('Section Load'!AE23&gt;0,'Section Load'!AE23,0))</f>
        <v>2.0000000000436557E-2</v>
      </c>
      <c r="AE20" s="1209">
        <f>(IF('Section Load'!AF23&gt;0,'Section Load'!AF23,0))</f>
        <v>4</v>
      </c>
      <c r="AF20" s="1209">
        <f>(IF('Section Load'!AG23&gt;0,'Section Load'!AG23,0))</f>
        <v>323</v>
      </c>
      <c r="AG20" s="1209">
        <f>(IF('Section Load'!AH23&gt;0,'Section Load'!AH23,0))</f>
        <v>210</v>
      </c>
      <c r="AH20" s="1209">
        <f>(IF('Section Load'!AI23&gt;0,'Section Load'!AI23,0))</f>
        <v>234</v>
      </c>
      <c r="AI20" s="1209">
        <f>(IF('Section Load'!AJ23&gt;0,'Section Load'!AJ23,0))</f>
        <v>236</v>
      </c>
      <c r="AJ20" s="1209">
        <f>(IF('Section Load'!AK23&gt;0,'Section Load'!AK23,0))</f>
        <v>0</v>
      </c>
      <c r="AK20" s="1209">
        <f>(IF('Section Load'!AL23&gt;0,'Section Load'!AL23,0))</f>
        <v>104</v>
      </c>
      <c r="AL20" s="1209">
        <f>(IF('Section Load'!AM23&gt;0,'Section Load'!AM23,0))</f>
        <v>355</v>
      </c>
      <c r="AM20" s="1210">
        <f>(IF('Water Report'!$V$7&gt;0,'Water Report'!$V$7,0))</f>
        <v>0</v>
      </c>
      <c r="AN20" s="1210">
        <f>(IF('Water Report'!$V$8&gt;0,'Water Report'!$V$8,0))</f>
        <v>75</v>
      </c>
      <c r="AO20" s="1210">
        <f>(IF('Water Report'!$V$9&gt;0,'Water Report'!$V$9,0))</f>
        <v>23</v>
      </c>
      <c r="AP20" s="1210">
        <f>(IF('Water Report'!$V$10&gt;0,'Water Report'!$V$10,0))</f>
        <v>7</v>
      </c>
      <c r="AQ20" s="1210">
        <f>(IF('Water Report'!$V$11&gt;0,'Water Report'!$V$11,0))</f>
        <v>12</v>
      </c>
      <c r="AR20" s="1210">
        <f>(IF('Water Report'!$V$13&gt;0,'Water Report'!$V$13,0))</f>
        <v>11</v>
      </c>
      <c r="AS20" s="1210">
        <f>(IF('Water Report'!$V$14&gt;0,'Water Report'!$V$14,0))</f>
        <v>7</v>
      </c>
      <c r="AT20" s="1210">
        <f>(IF('Water Report'!$V$15&gt;0,'Water Report'!$V$15,0))</f>
        <v>2</v>
      </c>
      <c r="AU20" s="1210">
        <f>(IF('Water Report'!$V$17&gt;0,'Water Report'!$V$17,0))</f>
        <v>0</v>
      </c>
      <c r="AV20" s="1210">
        <f>(IF('Water Report'!$V$18&gt;0,'Water Report'!$V$18,0))</f>
        <v>0</v>
      </c>
      <c r="AW20" s="1210">
        <f>(IF('Water Report'!$V$19&gt;0,'Water Report'!$V$19,0))</f>
        <v>0</v>
      </c>
      <c r="AX20" s="1253">
        <f>(IF('Water Report'!$V$21&gt;0,'Water Report'!$V$21,0))</f>
        <v>40</v>
      </c>
      <c r="AY20" s="1253">
        <f>(IF('Water Report'!$V$22&gt;0,'Water Report'!$V$22,0))</f>
        <v>11</v>
      </c>
      <c r="AZ20" s="1253">
        <f>(IF('Water Report'!$V$23&gt;0,'Water Report'!$V$23,0))</f>
        <v>0</v>
      </c>
      <c r="BA20" s="1253">
        <f>(IF('Water Report'!$V$14&gt;0,'Water Report'!$V$14,0))</f>
        <v>7</v>
      </c>
      <c r="BB20" s="1253">
        <f>(IF('Water Report'!$V$15&gt;0,'Water Report'!$V$15,0))</f>
        <v>2</v>
      </c>
      <c r="BC20" s="1253">
        <f>(IF('Water Report'!$V$13&gt;0,'Water Report'!$V$13,0))</f>
        <v>11</v>
      </c>
      <c r="BD20" s="1253">
        <f>(IF('Water Report'!$V$24&gt;0,'Water Report'!$V$24,0))</f>
        <v>60</v>
      </c>
      <c r="BE20" s="1253">
        <f>(IF('Water Report'!$V$25&gt;0,'Water Report'!$V$25,0))</f>
        <v>51</v>
      </c>
      <c r="BF20" s="1253">
        <f>(IF('Water Report'!$V$27&gt;0,'Water Report'!$V$27,0))</f>
        <v>51</v>
      </c>
      <c r="BG20" s="1211">
        <f>(IF('Section Load'!AN23&gt;0,'Section Load'!AN23,0))</f>
        <v>550</v>
      </c>
      <c r="BH20" s="1211">
        <f>(IF('Section Load'!AO23&gt;0,'Section Load'!AO23,0))</f>
        <v>173</v>
      </c>
      <c r="BI20" s="1211">
        <f>(IF('Section Load'!AP23&gt;0,'Section Load'!AP23,0))</f>
        <v>0</v>
      </c>
      <c r="BJ20" s="1211">
        <f>(IF('Section Load'!AQ23&gt;0,'Section Load'!AQ23,0))</f>
        <v>42</v>
      </c>
      <c r="BK20" s="1211">
        <f>(IF('Section Load'!AR23&gt;0,'Section Load'!AR23,0))</f>
        <v>0</v>
      </c>
      <c r="BL20" s="1211">
        <f>(IF('Section Load'!AS23&gt;0,'Section Load'!AS23,0))</f>
        <v>0</v>
      </c>
      <c r="BM20" s="1211">
        <f>(IF('Section Load'!AT23&gt;0,'Section Load'!AT23,0))</f>
        <v>335</v>
      </c>
    </row>
    <row r="21" spans="1:65">
      <c r="A21" s="1196" t="s">
        <v>13</v>
      </c>
      <c r="B21" s="1197">
        <f t="shared" si="0"/>
        <v>20</v>
      </c>
      <c r="C21" s="1197">
        <v>6</v>
      </c>
      <c r="D21" s="1197">
        <v>2021</v>
      </c>
      <c r="E21" s="1209">
        <f>(IF('Section Load'!F24&gt;0,'Section Load'!F24,0))</f>
        <v>1818</v>
      </c>
      <c r="F21" s="1209">
        <f>(IF('Section Load'!G24&gt;0,'Section Load'!G24,0))</f>
        <v>1255</v>
      </c>
      <c r="G21" s="1209">
        <f>(IF('Section Load'!H24&gt;0,'Section Load'!H24,0))</f>
        <v>978</v>
      </c>
      <c r="H21" s="1209">
        <f>(IF('Section Load'!I24&gt;0,'Section Load'!I24,0))</f>
        <v>2517</v>
      </c>
      <c r="I21" s="1209">
        <f>(IF('Section Load'!J24&gt;0,'Section Load'!J24,0))</f>
        <v>4744</v>
      </c>
      <c r="J21" s="1209">
        <f>(IF('Section Load'!K24&gt;0,'Section Load'!K24,0))</f>
        <v>2118</v>
      </c>
      <c r="K21" s="1209">
        <f>(IF('Section Load'!L24&gt;0,'Section Load'!L24,0))</f>
        <v>870</v>
      </c>
      <c r="L21" s="1209">
        <f>(IF('Section Load'!M24&gt;0,'Section Load'!M24,0))</f>
        <v>0</v>
      </c>
      <c r="M21" s="1209">
        <f>(IF('Section Load'!N24&gt;0,'Section Load'!N24,0))</f>
        <v>9</v>
      </c>
      <c r="N21" s="1209">
        <f>(IF('Section Load'!O24&gt;0,'Section Load'!O24,0))</f>
        <v>0</v>
      </c>
      <c r="O21" s="1209">
        <f>(IF('Section Load'!P24&gt;0,'Section Load'!P24,0))</f>
        <v>8</v>
      </c>
      <c r="P21" s="1209">
        <f>(IF('Section Load'!Q24&gt;0,'Section Load'!Q24,0))</f>
        <v>52</v>
      </c>
      <c r="Q21" s="1209">
        <f>(IF('Section Load'!R24&gt;0,'Section Load'!R24,0))</f>
        <v>57</v>
      </c>
      <c r="R21" s="1209">
        <f>(IF('Section Load'!S24&gt;0,'Section Load'!S24,0))</f>
        <v>33</v>
      </c>
      <c r="S21" s="1209">
        <f>(IF('Section Load'!T24&gt;0,'Section Load'!T24,0))</f>
        <v>50</v>
      </c>
      <c r="T21" s="1209">
        <f>(IF('Section Load'!U24&gt;0,'Section Load'!U24,0))</f>
        <v>117</v>
      </c>
      <c r="U21" s="1209">
        <f>(IF('Section Load'!V24&gt;0,'Section Load'!V24,0))</f>
        <v>357</v>
      </c>
      <c r="V21" s="1209">
        <f>(IF('Section Load'!W24&gt;0,'Section Load'!W24,0))</f>
        <v>76</v>
      </c>
      <c r="W21" s="1209">
        <f>(IF('Section Load'!X24&gt;0,'Section Load'!X24,0))</f>
        <v>10</v>
      </c>
      <c r="X21" s="1209">
        <f>(IF('Section Load'!Y24&gt;0,'Section Load'!Y24,0))</f>
        <v>15</v>
      </c>
      <c r="Y21" s="1209">
        <f>(IF('Section Load'!Z24&gt;0,'Section Load'!Z24,0))</f>
        <v>94</v>
      </c>
      <c r="Z21" s="1209">
        <f>(IF('Section Load'!AA24&gt;0,'Section Load'!AA24,0))</f>
        <v>24</v>
      </c>
      <c r="AA21" s="1209">
        <f>(IF('Section Load'!AB24&gt;0,'Section Load'!AB24,0))</f>
        <v>27</v>
      </c>
      <c r="AB21" s="1209">
        <f>(IF('Section Load'!AC24&gt;0,'Section Load'!AC24,0))</f>
        <v>23</v>
      </c>
      <c r="AC21" s="1209">
        <f>(IF('Section Load'!AD24&gt;0,'Section Load'!AD24,0))</f>
        <v>27</v>
      </c>
      <c r="AD21" s="1209">
        <f>(IF('Section Load'!AE24&gt;0,'Section Load'!AE24,0))</f>
        <v>0</v>
      </c>
      <c r="AE21" s="1209">
        <f>(IF('Section Load'!AF24&gt;0,'Section Load'!AF24,0))</f>
        <v>4</v>
      </c>
      <c r="AF21" s="1209">
        <f>(IF('Section Load'!AG24&gt;0,'Section Load'!AG24,0))</f>
        <v>267</v>
      </c>
      <c r="AG21" s="1209">
        <f>(IF('Section Load'!AH24&gt;0,'Section Load'!AH24,0))</f>
        <v>205</v>
      </c>
      <c r="AH21" s="1209">
        <f>(IF('Section Load'!AI24&gt;0,'Section Load'!AI24,0))</f>
        <v>256</v>
      </c>
      <c r="AI21" s="1209">
        <f>(IF('Section Load'!AJ24&gt;0,'Section Load'!AJ24,0))</f>
        <v>279</v>
      </c>
      <c r="AJ21" s="1209">
        <f>(IF('Section Load'!AK24&gt;0,'Section Load'!AK24,0))</f>
        <v>0</v>
      </c>
      <c r="AK21" s="1209">
        <f>(IF('Section Load'!AL24&gt;0,'Section Load'!AL24,0))</f>
        <v>67</v>
      </c>
      <c r="AL21" s="1209">
        <f>(IF('Section Load'!AM24&gt;0,'Section Load'!AM24,0))</f>
        <v>365</v>
      </c>
      <c r="AM21" s="1210">
        <f>(IF('Water Report'!$W$7&gt;0,'Water Report'!$W$7,0))</f>
        <v>22</v>
      </c>
      <c r="AN21" s="1210">
        <f>(IF('Water Report'!$W$8&gt;0,'Water Report'!$W$8,0))</f>
        <v>34</v>
      </c>
      <c r="AO21" s="1210">
        <f>(IF('Water Report'!$W$9&gt;0,'Water Report'!$W$9,0))</f>
        <v>27</v>
      </c>
      <c r="AP21" s="1210">
        <f>(IF('Water Report'!$W$10&gt;0,'Water Report'!$W$10,0))</f>
        <v>11</v>
      </c>
      <c r="AQ21" s="1210">
        <f>(IF('Water Report'!$W$11&gt;0,'Water Report'!$W$11,0))</f>
        <v>16</v>
      </c>
      <c r="AR21" s="1210">
        <f>(IF('Water Report'!$W$13&gt;0,'Water Report'!$W$13,0))</f>
        <v>10</v>
      </c>
      <c r="AS21" s="1210">
        <f>(IF('Water Report'!$W$14&gt;0,'Water Report'!$W$14,0))</f>
        <v>14</v>
      </c>
      <c r="AT21" s="1210">
        <f>(IF('Water Report'!$W$15&gt;0,'Water Report'!$W$15,0))</f>
        <v>3</v>
      </c>
      <c r="AU21" s="1210">
        <f>(IF('Water Report'!$W$17&gt;0,'Water Report'!$W$17,0))</f>
        <v>0</v>
      </c>
      <c r="AV21" s="1210">
        <f>(IF('Water Report'!$W$18&gt;0,'Water Report'!$W$18,0))</f>
        <v>0</v>
      </c>
      <c r="AW21" s="1210">
        <f>(IF('Water Report'!$W$19&gt;0,'Water Report'!$W$19,0))</f>
        <v>0</v>
      </c>
      <c r="AX21" s="1253">
        <f>(IF('Water Report'!$W$21&gt;0,'Water Report'!$W$21,0))</f>
        <v>39</v>
      </c>
      <c r="AY21" s="1253">
        <f>(IF('Water Report'!$W$22&gt;0,'Water Report'!$W$22,0))</f>
        <v>18</v>
      </c>
      <c r="AZ21" s="1253">
        <f>(IF('Water Report'!$W$23&gt;0,'Water Report'!$W$23,0))</f>
        <v>0</v>
      </c>
      <c r="BA21" s="1253">
        <f>(IF('Water Report'!$W$14&gt;0,'Water Report'!$W$14,0))</f>
        <v>14</v>
      </c>
      <c r="BB21" s="1253">
        <f>(IF('Water Report'!$W$15&gt;0,'Water Report'!$W$15,0))</f>
        <v>3</v>
      </c>
      <c r="BC21" s="1253">
        <f>(IF('Water Report'!$W$13&gt;0,'Water Report'!$W$13,0))</f>
        <v>10</v>
      </c>
      <c r="BD21" s="1253">
        <f>(IF('Water Report'!$W$24&gt;0,'Water Report'!$W$24,0))</f>
        <v>57</v>
      </c>
      <c r="BE21" s="1253">
        <f>(IF('Water Report'!$W$25&gt;0,'Water Report'!$W$25,0))</f>
        <v>71</v>
      </c>
      <c r="BF21" s="1253">
        <f>(IF('Water Report'!$W$27&gt;0,'Water Report'!$W$27,0))</f>
        <v>49</v>
      </c>
      <c r="BG21" s="1211">
        <f>(IF('Section Load'!AN24&gt;0,'Section Load'!AN24,0))</f>
        <v>550</v>
      </c>
      <c r="BH21" s="1211">
        <f>(IF('Section Load'!AO24&gt;0,'Section Load'!AO24,0))</f>
        <v>204</v>
      </c>
      <c r="BI21" s="1211">
        <f>(IF('Section Load'!AP24&gt;0,'Section Load'!AP24,0))</f>
        <v>0</v>
      </c>
      <c r="BJ21" s="1211">
        <f>(IF('Section Load'!AQ24&gt;0,'Section Load'!AQ24,0))</f>
        <v>48</v>
      </c>
      <c r="BK21" s="1211">
        <f>(IF('Section Load'!AR24&gt;0,'Section Load'!AR24,0))</f>
        <v>0</v>
      </c>
      <c r="BL21" s="1211">
        <f>(IF('Section Load'!AS24&gt;0,'Section Load'!AS24,0))</f>
        <v>0</v>
      </c>
      <c r="BM21" s="1211">
        <f>(IF('Section Load'!AT24&gt;0,'Section Load'!AT24,0))</f>
        <v>298</v>
      </c>
    </row>
    <row r="22" spans="1:65">
      <c r="A22" s="1196" t="s">
        <v>13</v>
      </c>
      <c r="B22" s="1197">
        <f t="shared" si="0"/>
        <v>21</v>
      </c>
      <c r="C22" s="1197">
        <v>6</v>
      </c>
      <c r="D22" s="1197">
        <v>2021</v>
      </c>
      <c r="E22" s="1209">
        <f>(IF('Section Load'!F25&gt;0,'Section Load'!F25,0))</f>
        <v>1843.1300000000047</v>
      </c>
      <c r="F22" s="1209">
        <f>(IF('Section Load'!G25&gt;0,'Section Load'!G25,0))</f>
        <v>1333</v>
      </c>
      <c r="G22" s="1209">
        <f>(IF('Section Load'!H25&gt;0,'Section Load'!H25,0))</f>
        <v>1150.0699999999488</v>
      </c>
      <c r="H22" s="1209">
        <f>(IF('Section Load'!I25&gt;0,'Section Load'!I25,0))</f>
        <v>2103</v>
      </c>
      <c r="I22" s="1209">
        <f>(IF('Section Load'!J25&gt;0,'Section Load'!J25,0))</f>
        <v>5144</v>
      </c>
      <c r="J22" s="1209">
        <f>(IF('Section Load'!K25&gt;0,'Section Load'!K25,0))</f>
        <v>2133</v>
      </c>
      <c r="K22" s="1209">
        <f>(IF('Section Load'!L25&gt;0,'Section Load'!L25,0))</f>
        <v>800</v>
      </c>
      <c r="L22" s="1209">
        <f>(IF('Section Load'!M25&gt;0,'Section Load'!M25,0))</f>
        <v>0</v>
      </c>
      <c r="M22" s="1209">
        <f>(IF('Section Load'!N25&gt;0,'Section Load'!N25,0))</f>
        <v>10</v>
      </c>
      <c r="N22" s="1209">
        <f>(IF('Section Load'!O25&gt;0,'Section Load'!O25,0))</f>
        <v>2</v>
      </c>
      <c r="O22" s="1209">
        <f>(IF('Section Load'!P25&gt;0,'Section Load'!P25,0))</f>
        <v>6</v>
      </c>
      <c r="P22" s="1209">
        <f>(IF('Section Load'!Q25&gt;0,'Section Load'!Q25,0))</f>
        <v>53</v>
      </c>
      <c r="Q22" s="1209">
        <f>(IF('Section Load'!R25&gt;0,'Section Load'!R25,0))</f>
        <v>55</v>
      </c>
      <c r="R22" s="1209">
        <f>(IF('Section Load'!S25&gt;0,'Section Load'!S25,0))</f>
        <v>34</v>
      </c>
      <c r="S22" s="1209">
        <f>(IF('Section Load'!T25&gt;0,'Section Load'!T25,0))</f>
        <v>184</v>
      </c>
      <c r="T22" s="1209">
        <f>(IF('Section Load'!U25&gt;0,'Section Load'!U25,0))</f>
        <v>136</v>
      </c>
      <c r="U22" s="1209">
        <f>(IF('Section Load'!V25&gt;0,'Section Load'!V25,0))</f>
        <v>331</v>
      </c>
      <c r="V22" s="1209">
        <f>(IF('Section Load'!W25&gt;0,'Section Load'!W25,0))</f>
        <v>79</v>
      </c>
      <c r="W22" s="1209">
        <f>(IF('Section Load'!X25&gt;0,'Section Load'!X25,0))</f>
        <v>26</v>
      </c>
      <c r="X22" s="1209">
        <f>(IF('Section Load'!Y25&gt;0,'Section Load'!Y25,0))</f>
        <v>133</v>
      </c>
      <c r="Y22" s="1209">
        <f>(IF('Section Load'!Z25&gt;0,'Section Load'!Z25,0))</f>
        <v>145</v>
      </c>
      <c r="Z22" s="1209">
        <f>(IF('Section Load'!AA25&gt;0,'Section Load'!AA25,0))</f>
        <v>21</v>
      </c>
      <c r="AA22" s="1209">
        <f>(IF('Section Load'!AB25&gt;0,'Section Load'!AB25,0))</f>
        <v>22</v>
      </c>
      <c r="AB22" s="1209">
        <f>(IF('Section Load'!AC25&gt;0,'Section Load'!AC25,0))</f>
        <v>25</v>
      </c>
      <c r="AC22" s="1209">
        <f>(IF('Section Load'!AD25&gt;0,'Section Load'!AD25,0))</f>
        <v>22</v>
      </c>
      <c r="AD22" s="1209">
        <f>(IF('Section Load'!AE25&gt;0,'Section Load'!AE25,0))</f>
        <v>0</v>
      </c>
      <c r="AE22" s="1209">
        <f>(IF('Section Load'!AF25&gt;0,'Section Load'!AF25,0))</f>
        <v>3</v>
      </c>
      <c r="AF22" s="1209">
        <f>(IF('Section Load'!AG25&gt;0,'Section Load'!AG25,0))</f>
        <v>175</v>
      </c>
      <c r="AG22" s="1209">
        <f>(IF('Section Load'!AH25&gt;0,'Section Load'!AH25,0))</f>
        <v>206</v>
      </c>
      <c r="AH22" s="1209">
        <f>(IF('Section Load'!AI25&gt;0,'Section Load'!AI25,0))</f>
        <v>261</v>
      </c>
      <c r="AI22" s="1209">
        <f>(IF('Section Load'!AJ25&gt;0,'Section Load'!AJ25,0))</f>
        <v>481</v>
      </c>
      <c r="AJ22" s="1209">
        <f>(IF('Section Load'!AK25&gt;0,'Section Load'!AK25,0))</f>
        <v>0</v>
      </c>
      <c r="AK22" s="1209">
        <f>(IF('Section Load'!AL25&gt;0,'Section Load'!AL25,0))</f>
        <v>76</v>
      </c>
      <c r="AL22" s="1209">
        <f>(IF('Section Load'!AM25&gt;0,'Section Load'!AM25,0))</f>
        <v>379</v>
      </c>
      <c r="AM22" s="1210">
        <f>(IF('Water Report'!$X$7&gt;0,'Water Report'!$X$7,0))</f>
        <v>37</v>
      </c>
      <c r="AN22" s="1210">
        <f>(IF('Water Report'!$X$8&gt;0,'Water Report'!$X$8,0))</f>
        <v>83</v>
      </c>
      <c r="AO22" s="1210">
        <f>(IF('Water Report'!$X$9&gt;0,'Water Report'!$X$9,0))</f>
        <v>49</v>
      </c>
      <c r="AP22" s="1210">
        <f>(IF('Water Report'!$X$10&gt;0,'Water Report'!$X$10,0))</f>
        <v>9</v>
      </c>
      <c r="AQ22" s="1210">
        <f>(IF('Water Report'!$X$11&gt;0,'Water Report'!$X$11,0))</f>
        <v>20</v>
      </c>
      <c r="AR22" s="1210">
        <f>(IF('Water Report'!$X$13&gt;0,'Water Report'!$X$13,0))</f>
        <v>6</v>
      </c>
      <c r="AS22" s="1210">
        <f>(IF('Water Report'!$X$14&gt;0,'Water Report'!$X$14,0))</f>
        <v>4</v>
      </c>
      <c r="AT22" s="1210">
        <f>(IF('Water Report'!$X$15&gt;0,'Water Report'!$X$15,0))</f>
        <v>7</v>
      </c>
      <c r="AU22" s="1210">
        <f>(IF('Water Report'!$X$17&gt;0,'Water Report'!$X$17,0))</f>
        <v>7</v>
      </c>
      <c r="AV22" s="1210">
        <f>(IF('Water Report'!$X$18&gt;0,'Water Report'!$X$18,0))</f>
        <v>4</v>
      </c>
      <c r="AW22" s="1210">
        <f>(IF('Water Report'!$X$19&gt;0,'Water Report'!$X$19,0))</f>
        <v>5</v>
      </c>
      <c r="AX22" s="1253">
        <f>(IF('Water Report'!$X$21&gt;0,'Water Report'!$X$21,0))</f>
        <v>39</v>
      </c>
      <c r="AY22" s="1253">
        <f>(IF('Water Report'!$X$22&gt;0,'Water Report'!$X$22,0))</f>
        <v>3</v>
      </c>
      <c r="AZ22" s="1253">
        <f>(IF('Water Report'!$X$23&gt;0,'Water Report'!$X$23,0))</f>
        <v>0</v>
      </c>
      <c r="BA22" s="1253">
        <f>(IF('Water Report'!$X$14&gt;0,'Water Report'!$X$14,0))</f>
        <v>4</v>
      </c>
      <c r="BB22" s="1253">
        <f>(IF('Water Report'!$X$15&gt;0,'Water Report'!$X$15,0))</f>
        <v>7</v>
      </c>
      <c r="BC22" s="1253">
        <f>(IF('Water Report'!$X$13&gt;0,'Water Report'!$X$13,0))</f>
        <v>6</v>
      </c>
      <c r="BD22" s="1253">
        <f>(IF('Water Report'!$X$24&gt;0,'Water Report'!$X$24,0))</f>
        <v>96</v>
      </c>
      <c r="BE22" s="1253">
        <f>(IF('Water Report'!$X$25&gt;0,'Water Report'!$X$25,0))</f>
        <v>89</v>
      </c>
      <c r="BF22" s="1253">
        <f>(IF('Water Report'!$X$27&gt;0,'Water Report'!$X$27,0))</f>
        <v>45</v>
      </c>
      <c r="BG22" s="1211">
        <f>(IF('Section Load'!AN25&gt;0,'Section Load'!AN25,0))</f>
        <v>550</v>
      </c>
      <c r="BH22" s="1211">
        <f>(IF('Section Load'!AO25&gt;0,'Section Load'!AO25,0))</f>
        <v>194</v>
      </c>
      <c r="BI22" s="1211">
        <f>(IF('Section Load'!AP25&gt;0,'Section Load'!AP25,0))</f>
        <v>0</v>
      </c>
      <c r="BJ22" s="1211">
        <f>(IF('Section Load'!AQ25&gt;0,'Section Load'!AQ25,0))</f>
        <v>67</v>
      </c>
      <c r="BK22" s="1211">
        <f>(IF('Section Load'!AR25&gt;0,'Section Load'!AR25,0))</f>
        <v>0</v>
      </c>
      <c r="BL22" s="1211">
        <f>(IF('Section Load'!AS25&gt;0,'Section Load'!AS25,0))</f>
        <v>0</v>
      </c>
      <c r="BM22" s="1211">
        <f>(IF('Section Load'!AT25&gt;0,'Section Load'!AT25,0))</f>
        <v>289</v>
      </c>
    </row>
    <row r="23" spans="1:65">
      <c r="A23" s="1196" t="s">
        <v>13</v>
      </c>
      <c r="B23" s="1197">
        <f t="shared" si="0"/>
        <v>22</v>
      </c>
      <c r="C23" s="1197">
        <v>6</v>
      </c>
      <c r="D23" s="1197">
        <v>2021</v>
      </c>
      <c r="E23" s="1209">
        <f>(IF('Section Load'!F26&gt;0,'Section Load'!F26,0))</f>
        <v>1920</v>
      </c>
      <c r="F23" s="1209">
        <f>(IF('Section Load'!G26&gt;0,'Section Load'!G26,0))</f>
        <v>1372</v>
      </c>
      <c r="G23" s="1209">
        <f>(IF('Section Load'!H26&gt;0,'Section Load'!H26,0))</f>
        <v>1280</v>
      </c>
      <c r="H23" s="1209">
        <f>(IF('Section Load'!I26&gt;0,'Section Load'!I26,0))</f>
        <v>3496</v>
      </c>
      <c r="I23" s="1209">
        <f>(IF('Section Load'!J26&gt;0,'Section Load'!J26,0))</f>
        <v>6030</v>
      </c>
      <c r="J23" s="1209">
        <f>(IF('Section Load'!K26&gt;0,'Section Load'!K26,0))</f>
        <v>2210</v>
      </c>
      <c r="K23" s="1209">
        <f>(IF('Section Load'!L26&gt;0,'Section Load'!L26,0))</f>
        <v>918</v>
      </c>
      <c r="L23" s="1209">
        <f>(IF('Section Load'!M26&gt;0,'Section Load'!M26,0))</f>
        <v>0</v>
      </c>
      <c r="M23" s="1209">
        <f>(IF('Section Load'!N26&gt;0,'Section Load'!N26,0))</f>
        <v>10</v>
      </c>
      <c r="N23" s="1209">
        <f>(IF('Section Load'!O26&gt;0,'Section Load'!O26,0))</f>
        <v>1</v>
      </c>
      <c r="O23" s="1209">
        <f>(IF('Section Load'!P26&gt;0,'Section Load'!P26,0))</f>
        <v>8</v>
      </c>
      <c r="P23" s="1209">
        <f>(IF('Section Load'!Q26&gt;0,'Section Load'!Q26,0))</f>
        <v>54</v>
      </c>
      <c r="Q23" s="1209">
        <f>(IF('Section Load'!R26&gt;0,'Section Load'!R26,0))</f>
        <v>56</v>
      </c>
      <c r="R23" s="1209">
        <f>(IF('Section Load'!S26&gt;0,'Section Load'!S26,0))</f>
        <v>42</v>
      </c>
      <c r="S23" s="1209">
        <f>(IF('Section Load'!T26&gt;0,'Section Load'!T26,0))</f>
        <v>197</v>
      </c>
      <c r="T23" s="1209">
        <f>(IF('Section Load'!U26&gt;0,'Section Load'!U26,0))</f>
        <v>129</v>
      </c>
      <c r="U23" s="1209">
        <f>(IF('Section Load'!V26&gt;0,'Section Load'!V26,0))</f>
        <v>377</v>
      </c>
      <c r="V23" s="1209">
        <f>(IF('Section Load'!W26&gt;0,'Section Load'!W26,0))</f>
        <v>76</v>
      </c>
      <c r="W23" s="1209">
        <f>(IF('Section Load'!X26&gt;0,'Section Load'!X26,0))</f>
        <v>11</v>
      </c>
      <c r="X23" s="1209">
        <f>(IF('Section Load'!Y26&gt;0,'Section Load'!Y26,0))</f>
        <v>244</v>
      </c>
      <c r="Y23" s="1209">
        <f>(IF('Section Load'!Z26&gt;0,'Section Load'!Z26,0))</f>
        <v>174</v>
      </c>
      <c r="Z23" s="1209">
        <f>(IF('Section Load'!AA26&gt;0,'Section Load'!AA26,0))</f>
        <v>88</v>
      </c>
      <c r="AA23" s="1209">
        <f>(IF('Section Load'!AB26&gt;0,'Section Load'!AB26,0))</f>
        <v>13</v>
      </c>
      <c r="AB23" s="1209">
        <f>(IF('Section Load'!AC26&gt;0,'Section Load'!AC26,0))</f>
        <v>23</v>
      </c>
      <c r="AC23" s="1209">
        <f>(IF('Section Load'!AD26&gt;0,'Section Load'!AD26,0))</f>
        <v>13.800000000000182</v>
      </c>
      <c r="AD23" s="1209">
        <f>(IF('Section Load'!AE26&gt;0,'Section Load'!AE26,0))</f>
        <v>0</v>
      </c>
      <c r="AE23" s="1209">
        <f>(IF('Section Load'!AF26&gt;0,'Section Load'!AF26,0))</f>
        <v>4</v>
      </c>
      <c r="AF23" s="1209">
        <f>(IF('Section Load'!AG26&gt;0,'Section Load'!AG26,0))</f>
        <v>209</v>
      </c>
      <c r="AG23" s="1209">
        <f>(IF('Section Load'!AH26&gt;0,'Section Load'!AH26,0))</f>
        <v>203</v>
      </c>
      <c r="AH23" s="1209">
        <f>(IF('Section Load'!AI26&gt;0,'Section Load'!AI26,0))</f>
        <v>311</v>
      </c>
      <c r="AI23" s="1209">
        <f>(IF('Section Load'!AJ26&gt;0,'Section Load'!AJ26,0))</f>
        <v>522</v>
      </c>
      <c r="AJ23" s="1209">
        <f>(IF('Section Load'!AK26&gt;0,'Section Load'!AK26,0))</f>
        <v>0</v>
      </c>
      <c r="AK23" s="1209">
        <f>(IF('Section Load'!AL26&gt;0,'Section Load'!AL26,0))</f>
        <v>106</v>
      </c>
      <c r="AL23" s="1209">
        <f>(IF('Section Load'!AM26&gt;0,'Section Load'!AM26,0))</f>
        <v>451</v>
      </c>
      <c r="AM23" s="1210">
        <f>(IF('Water Report'!$Y$7&gt;0,'Water Report'!$Y$7,0))</f>
        <v>63</v>
      </c>
      <c r="AN23" s="1210">
        <f>(IF('Water Report'!$Y$8&gt;0,'Water Report'!$Y$8,0))</f>
        <v>101</v>
      </c>
      <c r="AO23" s="1210">
        <f>(IF('Water Report'!$Y$9&gt;0,'Water Report'!$Y$9,0))</f>
        <v>80</v>
      </c>
      <c r="AP23" s="1210">
        <f>(IF('Water Report'!$Y$10&gt;0,'Water Report'!$Y$10,0))</f>
        <v>9</v>
      </c>
      <c r="AQ23" s="1210">
        <f>(IF('Water Report'!$Y$11&gt;0,'Water Report'!$Y$11,0))</f>
        <v>25</v>
      </c>
      <c r="AR23" s="1210">
        <f>(IF('Water Report'!$Y$13&gt;0,'Water Report'!$Y$13,0))</f>
        <v>13</v>
      </c>
      <c r="AS23" s="1210">
        <f>(IF('Water Report'!$Y$14&gt;0,'Water Report'!$Y$14,0))</f>
        <v>10</v>
      </c>
      <c r="AT23" s="1210">
        <f>(IF('Water Report'!$Y$15&gt;0,'Water Report'!$Y$15,0))</f>
        <v>17</v>
      </c>
      <c r="AU23" s="1210">
        <f>(IF('Water Report'!$Y$17&gt;0,'Water Report'!$Y$17,0))</f>
        <v>4</v>
      </c>
      <c r="AV23" s="1210">
        <f>(IF('Water Report'!$Y$18&gt;0,'Water Report'!$Y$18,0))</f>
        <v>13</v>
      </c>
      <c r="AW23" s="1210">
        <f>(IF('Water Report'!$Y$19&gt;0,'Water Report'!$Y$19,0))</f>
        <v>4</v>
      </c>
      <c r="AX23" s="1253">
        <f>(IF('Water Report'!$Y$21&gt;0,'Water Report'!$Y$21,0))</f>
        <v>40</v>
      </c>
      <c r="AY23" s="1253">
        <f>(IF('Water Report'!$Y$22&gt;0,'Water Report'!$Y$22,0))</f>
        <v>26</v>
      </c>
      <c r="AZ23" s="1253">
        <f>(IF('Water Report'!$Y$23&gt;0,'Water Report'!$Y$23,0))</f>
        <v>14</v>
      </c>
      <c r="BA23" s="1253">
        <f>(IF('Water Report'!$Y$14&gt;0,'Water Report'!$Y$14,0))</f>
        <v>10</v>
      </c>
      <c r="BB23" s="1253">
        <f>(IF('Water Report'!$Y$15&gt;0,'Water Report'!$Y$15,0))</f>
        <v>17</v>
      </c>
      <c r="BC23" s="1253">
        <f>(IF('Water Report'!$Y$13&gt;0,'Water Report'!$Y$13,0))</f>
        <v>13</v>
      </c>
      <c r="BD23" s="1253">
        <f>(IF('Water Report'!$Y$24&gt;0,'Water Report'!$Y$24,0))</f>
        <v>150</v>
      </c>
      <c r="BE23" s="1253">
        <f>(IF('Water Report'!$Y$25&gt;0,'Water Report'!$Y$25,0))</f>
        <v>141</v>
      </c>
      <c r="BF23" s="1253">
        <f>(IF('Water Report'!$Y$27&gt;0,'Water Report'!$Y$27,0))</f>
        <v>67</v>
      </c>
      <c r="BG23" s="1211">
        <f>(IF('Section Load'!AN26&gt;0,'Section Load'!AN26,0))</f>
        <v>550</v>
      </c>
      <c r="BH23" s="1211">
        <f>(IF('Section Load'!AO26&gt;0,'Section Load'!AO26,0))</f>
        <v>194</v>
      </c>
      <c r="BI23" s="1211">
        <f>(IF('Section Load'!AP26&gt;0,'Section Load'!AP26,0))</f>
        <v>0</v>
      </c>
      <c r="BJ23" s="1211">
        <f>(IF('Section Load'!AQ26&gt;0,'Section Load'!AQ26,0))</f>
        <v>64</v>
      </c>
      <c r="BK23" s="1211">
        <f>(IF('Section Load'!AR26&gt;0,'Section Load'!AR26,0))</f>
        <v>0</v>
      </c>
      <c r="BL23" s="1211">
        <f>(IF('Section Load'!AS26&gt;0,'Section Load'!AS26,0))</f>
        <v>0</v>
      </c>
      <c r="BM23" s="1211">
        <f>(IF('Section Load'!AT26&gt;0,'Section Load'!AT26,0))</f>
        <v>292</v>
      </c>
    </row>
    <row r="24" spans="1:65">
      <c r="A24" s="1196" t="s">
        <v>13</v>
      </c>
      <c r="B24" s="1197">
        <f t="shared" si="0"/>
        <v>23</v>
      </c>
      <c r="C24" s="1197">
        <v>6</v>
      </c>
      <c r="D24" s="1197">
        <v>2021</v>
      </c>
      <c r="E24" s="1209">
        <f>(IF('Section Load'!F27&gt;0,'Section Load'!F27,0))</f>
        <v>2173.4300000000512</v>
      </c>
      <c r="F24" s="1209">
        <f>(IF('Section Load'!G27&gt;0,'Section Load'!G27,0))</f>
        <v>1310.3799999999901</v>
      </c>
      <c r="G24" s="1209">
        <f>(IF('Section Load'!H27&gt;0,'Section Load'!H27,0))</f>
        <v>1286.429999999993</v>
      </c>
      <c r="H24" s="1209">
        <f>(IF('Section Load'!I27&gt;0,'Section Load'!I27,0))</f>
        <v>2942.6599999999744</v>
      </c>
      <c r="I24" s="1209">
        <f>(IF('Section Load'!J27&gt;0,'Section Load'!J27,0))</f>
        <v>5435.8999999999505</v>
      </c>
      <c r="J24" s="1209">
        <f>(IF('Section Load'!K27&gt;0,'Section Load'!K27,0))</f>
        <v>2171.5999999999767</v>
      </c>
      <c r="K24" s="1209">
        <f>(IF('Section Load'!L27&gt;0,'Section Load'!L27,0))</f>
        <v>854.15000000002328</v>
      </c>
      <c r="L24" s="1209">
        <f>(IF('Section Load'!M27&gt;0,'Section Load'!M27,0))</f>
        <v>0</v>
      </c>
      <c r="M24" s="1209">
        <f>(IF('Section Load'!N27&gt;0,'Section Load'!N27,0))</f>
        <v>10</v>
      </c>
      <c r="N24" s="1209">
        <f>(IF('Section Load'!O27&gt;0,'Section Load'!O27,0))</f>
        <v>0</v>
      </c>
      <c r="O24" s="1209">
        <f>(IF('Section Load'!P27&gt;0,'Section Load'!P27,0))</f>
        <v>6.6500000000000909</v>
      </c>
      <c r="P24" s="1209">
        <f>(IF('Section Load'!Q27&gt;0,'Section Load'!Q27,0))</f>
        <v>58.1200000000008</v>
      </c>
      <c r="Q24" s="1209">
        <f>(IF('Section Load'!R27&gt;0,'Section Load'!R27,0))</f>
        <v>54.300000000000182</v>
      </c>
      <c r="R24" s="1209">
        <f>(IF('Section Load'!S27&gt;0,'Section Load'!S27,0))</f>
        <v>38</v>
      </c>
      <c r="S24" s="1209">
        <f>(IF('Section Load'!T27&gt;0,'Section Load'!T27,0))</f>
        <v>127</v>
      </c>
      <c r="T24" s="1209">
        <f>(IF('Section Load'!U27&gt;0,'Section Load'!U27,0))</f>
        <v>131</v>
      </c>
      <c r="U24" s="1209">
        <f>(IF('Section Load'!V27&gt;0,'Section Load'!V27,0))</f>
        <v>357.64000000001397</v>
      </c>
      <c r="V24" s="1209">
        <f>(IF('Section Load'!W27&gt;0,'Section Load'!W27,0))</f>
        <v>79.560000000055879</v>
      </c>
      <c r="W24" s="1209">
        <f>(IF('Section Load'!X27&gt;0,'Section Load'!X27,0))</f>
        <v>11.070000000006985</v>
      </c>
      <c r="X24" s="1209">
        <f>(IF('Section Load'!Y27&gt;0,'Section Load'!Y27,0))</f>
        <v>29.150000000001455</v>
      </c>
      <c r="Y24" s="1209">
        <f>(IF('Section Load'!Z27&gt;0,'Section Load'!Z27,0))</f>
        <v>211</v>
      </c>
      <c r="Z24" s="1209">
        <f>(IF('Section Load'!AA27&gt;0,'Section Load'!AA27,0))</f>
        <v>22.559999999997672</v>
      </c>
      <c r="AA24" s="1209">
        <f>(IF('Section Load'!AB27&gt;0,'Section Load'!AB27,0))</f>
        <v>6.3000000000029104</v>
      </c>
      <c r="AB24" s="1209">
        <f>(IF('Section Load'!AC27&gt;0,'Section Load'!AC27,0))</f>
        <v>23.730000000010477</v>
      </c>
      <c r="AC24" s="1209">
        <f>(IF('Section Load'!AD27&gt;0,'Section Load'!AD27,0))</f>
        <v>6.4000000000028194</v>
      </c>
      <c r="AD24" s="1209">
        <f>(IF('Section Load'!AE27&gt;0,'Section Load'!AE27,0))</f>
        <v>0</v>
      </c>
      <c r="AE24" s="1209">
        <f>(IF('Section Load'!AF27&gt;0,'Section Load'!AF27,0))</f>
        <v>3.8699999999998909</v>
      </c>
      <c r="AF24" s="1209">
        <f>(IF('Section Load'!AG27&gt;0,'Section Load'!AG27,0))</f>
        <v>204.73999999999069</v>
      </c>
      <c r="AG24" s="1209">
        <f>(IF('Section Load'!AH27&gt;0,'Section Load'!AH27,0))</f>
        <v>208.10000000000582</v>
      </c>
      <c r="AH24" s="1209">
        <f>(IF('Section Load'!AI27&gt;0,'Section Load'!AI27,0))</f>
        <v>312.41999999999825</v>
      </c>
      <c r="AI24" s="1209">
        <f>(IF('Section Load'!AJ27&gt;0,'Section Load'!AJ27,0))</f>
        <v>495.17000000001281</v>
      </c>
      <c r="AJ24" s="1209">
        <f>(IF('Section Load'!AK27&gt;0,'Section Load'!AK27,0))</f>
        <v>0</v>
      </c>
      <c r="AK24" s="1209">
        <f>(IF('Section Load'!AL27&gt;0,'Section Load'!AL27,0))</f>
        <v>192.10000000000582</v>
      </c>
      <c r="AL24" s="1209">
        <f>(IF('Section Load'!AM27&gt;0,'Section Load'!AM27,0))</f>
        <v>556</v>
      </c>
      <c r="AM24" s="1210">
        <f>(IF('Water Report'!$Z$7&gt;0,'Water Report'!$Z$7,0))</f>
        <v>57</v>
      </c>
      <c r="AN24" s="1210">
        <f>(IF('Water Report'!$Z$8&gt;0,'Water Report'!$Z$8,0))</f>
        <v>92</v>
      </c>
      <c r="AO24" s="1210">
        <f>(IF('Water Report'!$Z$9&gt;0,'Water Report'!$Z$9,0))</f>
        <v>37</v>
      </c>
      <c r="AP24" s="1210">
        <f>(IF('Water Report'!$Z$10&gt;0,'Water Report'!$Z$10,0))</f>
        <v>15</v>
      </c>
      <c r="AQ24" s="1210">
        <f>(IF('Water Report'!$Z$11&gt;0,'Water Report'!$Z$11,0))</f>
        <v>31</v>
      </c>
      <c r="AR24" s="1210">
        <f>(IF('Water Report'!$Z$13&gt;0,'Water Report'!$Z$13,0))</f>
        <v>21</v>
      </c>
      <c r="AS24" s="1210">
        <f>(IF('Water Report'!$Z$14&gt;0,'Water Report'!$Z$14,0))</f>
        <v>5</v>
      </c>
      <c r="AT24" s="1210">
        <f>(IF('Water Report'!$Z$15&gt;0,'Water Report'!$Z$15,0))</f>
        <v>11</v>
      </c>
      <c r="AU24" s="1210">
        <f>(IF('Water Report'!$Z$17&gt;0,'Water Report'!$Z$17,0))</f>
        <v>0</v>
      </c>
      <c r="AV24" s="1210">
        <f>(IF('Water Report'!$Z$18&gt;0,'Water Report'!$Z$18,0))</f>
        <v>0</v>
      </c>
      <c r="AW24" s="1210">
        <f>(IF('Water Report'!$Z$19&gt;0,'Water Report'!$Z$19,0))</f>
        <v>2</v>
      </c>
      <c r="AX24" s="1253">
        <f>(IF('Water Report'!$Z$21&gt;0,'Water Report'!$Z$21,0))</f>
        <v>60</v>
      </c>
      <c r="AY24" s="1253">
        <f>(IF('Water Report'!$Z$22&gt;0,'Water Report'!$Z$22,0))</f>
        <v>19</v>
      </c>
      <c r="AZ24" s="1253">
        <f>(IF('Water Report'!$Z$23&gt;0,'Water Report'!$Z$23,0))</f>
        <v>0</v>
      </c>
      <c r="BA24" s="1253">
        <f>(IF('Water Report'!$Z$14&gt;0,'Water Report'!$Z$14,0))</f>
        <v>5</v>
      </c>
      <c r="BB24" s="1253">
        <f>(IF('Water Report'!$Z$15&gt;0,'Water Report'!$Z$15,0))</f>
        <v>11</v>
      </c>
      <c r="BC24" s="1253">
        <f>(IF('Water Report'!$Z$13&gt;0,'Water Report'!$Z$13,0))</f>
        <v>21</v>
      </c>
      <c r="BD24" s="1253">
        <f>(IF('Water Report'!$Z$24&gt;0,'Water Report'!$Z$24,0))</f>
        <v>140</v>
      </c>
      <c r="BE24" s="1253">
        <f>(IF('Water Report'!$Z$25&gt;0,'Water Report'!$Z$25,0))</f>
        <v>99</v>
      </c>
      <c r="BF24" s="1253">
        <f>(IF('Water Report'!$Z$27&gt;0,'Water Report'!$Z$27,0))</f>
        <v>81</v>
      </c>
      <c r="BG24" s="1211">
        <f>(IF('Section Load'!AN27&gt;0,'Section Load'!AN27,0))</f>
        <v>550</v>
      </c>
      <c r="BH24" s="1211">
        <f>(IF('Section Load'!AO27&gt;0,'Section Load'!AO27,0))</f>
        <v>214.8399999999674</v>
      </c>
      <c r="BI24" s="1211">
        <f>(IF('Section Load'!AP27&gt;0,'Section Load'!AP27,0))</f>
        <v>0</v>
      </c>
      <c r="BJ24" s="1211">
        <f>(IF('Section Load'!AQ27&gt;0,'Section Load'!AQ27,0))</f>
        <v>60.839999999996508</v>
      </c>
      <c r="BK24" s="1211">
        <f>(IF('Section Load'!AR27&gt;0,'Section Load'!AR27,0))</f>
        <v>0.2000000000007276</v>
      </c>
      <c r="BL24" s="1211">
        <f>(IF('Section Load'!AS27&gt;0,'Section Load'!AS27,0))</f>
        <v>0</v>
      </c>
      <c r="BM24" s="1211">
        <f>(IF('Section Load'!AT27&gt;0,'Section Load'!AT27,0))</f>
        <v>274.520000000035</v>
      </c>
    </row>
    <row r="25" spans="1:65">
      <c r="A25" s="1196" t="s">
        <v>13</v>
      </c>
      <c r="B25" s="1197">
        <f t="shared" si="0"/>
        <v>24</v>
      </c>
      <c r="C25" s="1197">
        <v>6</v>
      </c>
      <c r="D25" s="1197">
        <v>2021</v>
      </c>
      <c r="E25" s="1209">
        <f>(IF('Section Load'!F28&gt;0,'Section Load'!F28,0))</f>
        <v>2126.4799999999814</v>
      </c>
      <c r="F25" s="1209">
        <f>(IF('Section Load'!G28&gt;0,'Section Load'!G28,0))</f>
        <v>1287.3700000000099</v>
      </c>
      <c r="G25" s="1209">
        <f>(IF('Section Load'!H28&gt;0,'Section Load'!H28,0))</f>
        <v>1238.2799999999988</v>
      </c>
      <c r="H25" s="1209">
        <f>(IF('Section Load'!I28&gt;0,'Section Load'!I28,0))</f>
        <v>2764.8800000000629</v>
      </c>
      <c r="I25" s="1209">
        <f>(IF('Section Load'!J28&gt;0,'Section Load'!J28,0))</f>
        <v>5182.0400000000445</v>
      </c>
      <c r="J25" s="1209">
        <f>(IF('Section Load'!K28&gt;0,'Section Load'!K28,0))</f>
        <v>2226.2000000000698</v>
      </c>
      <c r="K25" s="1209">
        <f>(IF('Section Load'!L28&gt;0,'Section Load'!L28,0))</f>
        <v>864.44000000000233</v>
      </c>
      <c r="L25" s="1209">
        <f>(IF('Section Load'!M28&gt;0,'Section Load'!M28,0))</f>
        <v>0</v>
      </c>
      <c r="M25" s="1209">
        <f>(IF('Section Load'!N28&gt;0,'Section Load'!N28,0))</f>
        <v>9</v>
      </c>
      <c r="N25" s="1209">
        <f>(IF('Section Load'!O28&gt;0,'Section Load'!O28,0))</f>
        <v>2</v>
      </c>
      <c r="O25" s="1209">
        <f>(IF('Section Load'!P28&gt;0,'Section Load'!P28,0))</f>
        <v>7.0299999999997453</v>
      </c>
      <c r="P25" s="1209">
        <f>(IF('Section Load'!Q28&gt;0,'Section Load'!Q28,0))</f>
        <v>58.089999999998327</v>
      </c>
      <c r="Q25" s="1209">
        <f>(IF('Section Load'!R28&gt;0,'Section Load'!R28,0))</f>
        <v>57.529999999999745</v>
      </c>
      <c r="R25" s="1209">
        <f>(IF('Section Load'!S28&gt;0,'Section Load'!S28,0))</f>
        <v>42</v>
      </c>
      <c r="S25" s="1209">
        <f>(IF('Section Load'!T28&gt;0,'Section Load'!T28,0))</f>
        <v>92</v>
      </c>
      <c r="T25" s="1209">
        <f>(IF('Section Load'!U28&gt;0,'Section Load'!U28,0))</f>
        <v>123</v>
      </c>
      <c r="U25" s="1209">
        <f>(IF('Section Load'!V28&gt;0,'Section Load'!V28,0))</f>
        <v>342.40000000002328</v>
      </c>
      <c r="V25" s="1209">
        <f>(IF('Section Load'!W28&gt;0,'Section Load'!W28,0))</f>
        <v>80.479999999981374</v>
      </c>
      <c r="W25" s="1209">
        <f>(IF('Section Load'!X28&gt;0,'Section Load'!X28,0))</f>
        <v>30.079999999987194</v>
      </c>
      <c r="X25" s="1209">
        <f>(IF('Section Load'!Y28&gt;0,'Section Load'!Y28,0))</f>
        <v>98.220000000001164</v>
      </c>
      <c r="Y25" s="1209">
        <f>(IF('Section Load'!Z28&gt;0,'Section Load'!Z28,0))</f>
        <v>135</v>
      </c>
      <c r="Z25" s="1209">
        <f>(IF('Section Load'!AA28&gt;0,'Section Load'!AA28,0))</f>
        <v>25.28000000002794</v>
      </c>
      <c r="AA25" s="1209">
        <f>(IF('Section Load'!AB28&gt;0,'Section Load'!AB28,0))</f>
        <v>18</v>
      </c>
      <c r="AB25" s="1209">
        <f>(IF('Section Load'!AC28&gt;0,'Section Load'!AC28,0))</f>
        <v>125.29999999998836</v>
      </c>
      <c r="AC25" s="1209">
        <f>(IF('Section Load'!AD28&gt;0,'Section Load'!AD28,0))</f>
        <v>18</v>
      </c>
      <c r="AD25" s="1209">
        <f>(IF('Section Load'!AE28&gt;0,'Section Load'!AE28,0))</f>
        <v>0</v>
      </c>
      <c r="AE25" s="1209">
        <f>(IF('Section Load'!AF28&gt;0,'Section Load'!AF28,0))</f>
        <v>3.8499999999999091</v>
      </c>
      <c r="AF25" s="1209">
        <f>(IF('Section Load'!AG28&gt;0,'Section Load'!AG28,0))</f>
        <v>214.25</v>
      </c>
      <c r="AG25" s="1209">
        <f>(IF('Section Load'!AH28&gt;0,'Section Load'!AH28,0))</f>
        <v>219.75</v>
      </c>
      <c r="AH25" s="1209">
        <f>(IF('Section Load'!AI28&gt;0,'Section Load'!AI28,0))</f>
        <v>302.76000000000204</v>
      </c>
      <c r="AI25" s="1209">
        <f>(IF('Section Load'!AJ28&gt;0,'Section Load'!AJ28,0))</f>
        <v>430.22999999998137</v>
      </c>
      <c r="AJ25" s="1209">
        <f>(IF('Section Load'!AK28&gt;0,'Section Load'!AK28,0))</f>
        <v>0</v>
      </c>
      <c r="AK25" s="1209">
        <f>(IF('Section Load'!AL28&gt;0,'Section Load'!AL28,0))</f>
        <v>85.279999999998836</v>
      </c>
      <c r="AL25" s="1209">
        <f>(IF('Section Load'!AM28&gt;0,'Section Load'!AM28,0))</f>
        <v>653</v>
      </c>
      <c r="AM25" s="1210">
        <f>(IF('Water Report'!$AA$7&gt;0,'Water Report'!$AA$7,0))</f>
        <v>28</v>
      </c>
      <c r="AN25" s="1210">
        <f>(IF('Water Report'!$AA$8&gt;0,'Water Report'!$AA$8,0))</f>
        <v>74</v>
      </c>
      <c r="AO25" s="1210">
        <f>(IF('Water Report'!$AA$9&gt;0,'Water Report'!$AA$9,0))</f>
        <v>40</v>
      </c>
      <c r="AP25" s="1210">
        <f>(IF('Water Report'!$AA$10&gt;0,'Water Report'!$AA$10,0))</f>
        <v>11</v>
      </c>
      <c r="AQ25" s="1210">
        <f>(IF('Water Report'!$AA$11&gt;0,'Water Report'!$AA$11,0))</f>
        <v>16</v>
      </c>
      <c r="AR25" s="1210">
        <f>(IF('Water Report'!$AA$13&gt;0,'Water Report'!$AA$13,0))</f>
        <v>28</v>
      </c>
      <c r="AS25" s="1210">
        <f>(IF('Water Report'!$AA$14&gt;0,'Water Report'!$AA$14,0))</f>
        <v>5</v>
      </c>
      <c r="AT25" s="1210">
        <f>(IF('Water Report'!$AA$15&gt;0,'Water Report'!$AA$15,0))</f>
        <v>7</v>
      </c>
      <c r="AU25" s="1210">
        <f>(IF('Water Report'!$AA$17&gt;0,'Water Report'!$AA$17,0))</f>
        <v>0</v>
      </c>
      <c r="AV25" s="1210">
        <f>(IF('Water Report'!$AA$18&gt;0,'Water Report'!$AA$18,0))</f>
        <v>1</v>
      </c>
      <c r="AW25" s="1210">
        <f>(IF('Water Report'!$AA$19&gt;0,'Water Report'!$AA$19,0))</f>
        <v>3</v>
      </c>
      <c r="AX25" s="1253">
        <f>(IF('Water Report'!$AA$21&gt;0,'Water Report'!$AA$21,0))</f>
        <v>40</v>
      </c>
      <c r="AY25" s="1253">
        <f>(IF('Water Report'!$AA$22&gt;0,'Water Report'!$AA$22,0))</f>
        <v>40</v>
      </c>
      <c r="AZ25" s="1253">
        <f>(IF('Water Report'!$AA$23&gt;0,'Water Report'!$AA$23,0))</f>
        <v>0</v>
      </c>
      <c r="BA25" s="1253">
        <f>(IF('Water Report'!$AA$14&gt;0,'Water Report'!$AA$14,0))</f>
        <v>5</v>
      </c>
      <c r="BB25" s="1253">
        <f>(IF('Water Report'!$AA$15&gt;0,'Water Report'!$AA$15,0))</f>
        <v>7</v>
      </c>
      <c r="BC25" s="1253">
        <f>(IF('Water Report'!$AA$13&gt;0,'Water Report'!$AA$13,0))</f>
        <v>28</v>
      </c>
      <c r="BD25" s="1253">
        <f>(IF('Water Report'!$AA$24&gt;0,'Water Report'!$AA$24,0))</f>
        <v>110</v>
      </c>
      <c r="BE25" s="1253">
        <f>(IF('Water Report'!$AA$25&gt;0,'Water Report'!$AA$25,0))</f>
        <v>79</v>
      </c>
      <c r="BF25" s="1253">
        <f>(IF('Water Report'!$AA$27&gt;0,'Water Report'!$AA$27,0))</f>
        <v>68</v>
      </c>
      <c r="BG25" s="1211">
        <f>(IF('Section Load'!AN28&gt;0,'Section Load'!AN28,0))</f>
        <v>550</v>
      </c>
      <c r="BH25" s="1211">
        <f>(IF('Section Load'!AO28&gt;0,'Section Load'!AO28,0))</f>
        <v>230.1600000000326</v>
      </c>
      <c r="BI25" s="1211">
        <f>(IF('Section Load'!AP28&gt;0,'Section Load'!AP28,0))</f>
        <v>0</v>
      </c>
      <c r="BJ25" s="1211">
        <f>(IF('Section Load'!AQ28&gt;0,'Section Load'!AQ28,0))</f>
        <v>71.790000000008149</v>
      </c>
      <c r="BK25" s="1211">
        <f>(IF('Section Load'!AR28&gt;0,'Section Load'!AR28,0))</f>
        <v>0</v>
      </c>
      <c r="BL25" s="1211">
        <f>(IF('Section Load'!AS28&gt;0,'Section Load'!AS28,0))</f>
        <v>0</v>
      </c>
      <c r="BM25" s="1211">
        <f>(IF('Section Load'!AT28&gt;0,'Section Load'!AT28,0))</f>
        <v>248.04999999995925</v>
      </c>
    </row>
    <row r="26" spans="1:65">
      <c r="A26" s="1196" t="s">
        <v>13</v>
      </c>
      <c r="B26" s="1197">
        <f>B25+1</f>
        <v>25</v>
      </c>
      <c r="C26" s="1197">
        <v>6</v>
      </c>
      <c r="D26" s="1197">
        <v>2021</v>
      </c>
      <c r="E26" s="1209">
        <f>(IF('Section Load'!F29&gt;0,'Section Load'!F29,0))</f>
        <v>2110.8800000000047</v>
      </c>
      <c r="F26" s="1209">
        <f>(IF('Section Load'!G29&gt;0,'Section Load'!G29,0))</f>
        <v>1247.8499999999913</v>
      </c>
      <c r="G26" s="1209">
        <f>(IF('Section Load'!H29&gt;0,'Section Load'!H29,0))</f>
        <v>1212.3300000000163</v>
      </c>
      <c r="H26" s="1209">
        <f>(IF('Section Load'!I29&gt;0,'Section Load'!I29,0))</f>
        <v>2568.5999999999767</v>
      </c>
      <c r="I26" s="1209">
        <f>(IF('Section Load'!J29&gt;0,'Section Load'!J29,0))</f>
        <v>5004.3399999999747</v>
      </c>
      <c r="J26" s="1209">
        <f>(IF('Section Load'!K29&gt;0,'Section Load'!K29,0))</f>
        <v>2198.6999999999534</v>
      </c>
      <c r="K26" s="1209">
        <f>(IF('Section Load'!L29&gt;0,'Section Load'!L29,0))</f>
        <v>860.51999999996042</v>
      </c>
      <c r="L26" s="1209">
        <f>(IF('Section Load'!M29&gt;0,'Section Load'!M29,0))</f>
        <v>0</v>
      </c>
      <c r="M26" s="1209">
        <f>(IF('Section Load'!N29&gt;0,'Section Load'!N29,0))</f>
        <v>9</v>
      </c>
      <c r="N26" s="1209">
        <f>(IF('Section Load'!O29&gt;0,'Section Load'!O29,0))</f>
        <v>14</v>
      </c>
      <c r="O26" s="1209">
        <f>(IF('Section Load'!P29&gt;0,'Section Load'!P29,0))</f>
        <v>6.1100000000001273</v>
      </c>
      <c r="P26" s="1209">
        <f>(IF('Section Load'!Q29&gt;0,'Section Load'!Q29,0))</f>
        <v>54.400000000001455</v>
      </c>
      <c r="Q26" s="1209">
        <f>(IF('Section Load'!R29&gt;0,'Section Load'!R29,0))</f>
        <v>57.020000000000437</v>
      </c>
      <c r="R26" s="1209">
        <f>(IF('Section Load'!S29&gt;0,'Section Load'!S29,0))</f>
        <v>46</v>
      </c>
      <c r="S26" s="1209">
        <f>(IF('Section Load'!T29&gt;0,'Section Load'!T29,0))</f>
        <v>101</v>
      </c>
      <c r="T26" s="1209">
        <f>(IF('Section Load'!U29&gt;0,'Section Load'!U29,0))</f>
        <v>121</v>
      </c>
      <c r="U26" s="1209">
        <f>(IF('Section Load'!V29&gt;0,'Section Load'!V29,0))</f>
        <v>365.07999999995809</v>
      </c>
      <c r="V26" s="1209">
        <f>(IF('Section Load'!W29&gt;0,'Section Load'!W29,0))</f>
        <v>89.119999999995343</v>
      </c>
      <c r="W26" s="1209">
        <f>(IF('Section Load'!X29&gt;0,'Section Load'!X29,0))</f>
        <v>10.590000000011059</v>
      </c>
      <c r="X26" s="1209">
        <f>(IF('Section Load'!Y29&gt;0,'Section Load'!Y29,0))</f>
        <v>244.13999999999942</v>
      </c>
      <c r="Y26" s="1209">
        <f>(IF('Section Load'!Z29&gt;0,'Section Load'!Z29,0))</f>
        <v>183</v>
      </c>
      <c r="Z26" s="1209">
        <f>(IF('Section Load'!AA29&gt;0,'Section Load'!AA29,0))</f>
        <v>24</v>
      </c>
      <c r="AA26" s="1209">
        <f>(IF('Section Load'!AB29&gt;0,'Section Load'!AB29,0))</f>
        <v>33.399999999994179</v>
      </c>
      <c r="AB26" s="1209">
        <f>(IF('Section Load'!AC29&gt;0,'Section Load'!AC29,0))</f>
        <v>23.929999999993015</v>
      </c>
      <c r="AC26" s="1209">
        <f>(IF('Section Load'!AD29&gt;0,'Section Load'!AD29,0))</f>
        <v>33.399999999994179</v>
      </c>
      <c r="AD26" s="1209">
        <f>(IF('Section Load'!AE29&gt;0,'Section Load'!AE29,0))</f>
        <v>0</v>
      </c>
      <c r="AE26" s="1209">
        <f>(IF('Section Load'!AF29&gt;0,'Section Load'!AF29,0))</f>
        <v>3.75</v>
      </c>
      <c r="AF26" s="1209">
        <f>(IF('Section Load'!AG29&gt;0,'Section Load'!AG29,0))</f>
        <v>198.07000000000698</v>
      </c>
      <c r="AG26" s="1209">
        <f>(IF('Section Load'!AH29&gt;0,'Section Load'!AH29,0))</f>
        <v>259.14999999999418</v>
      </c>
      <c r="AH26" s="1209">
        <f>(IF('Section Load'!AI29&gt;0,'Section Load'!AI29,0))</f>
        <v>252.61000000000058</v>
      </c>
      <c r="AI26" s="1209">
        <f>(IF('Section Load'!AJ29&gt;0,'Section Load'!AJ29,0))</f>
        <v>362.61000000001513</v>
      </c>
      <c r="AJ26" s="1209">
        <f>(IF('Section Load'!AK29&gt;0,'Section Load'!AK29,0))</f>
        <v>0</v>
      </c>
      <c r="AK26" s="1209">
        <f>(IF('Section Load'!AL29&gt;0,'Section Load'!AL29,0))</f>
        <v>71.589999999996508</v>
      </c>
      <c r="AL26" s="1209">
        <f>(IF('Section Load'!AM29&gt;0,'Section Load'!AM29,0))</f>
        <v>649</v>
      </c>
      <c r="AM26" s="1210">
        <f>(IF('Water Report'!$AB$7&gt;0,'Water Report'!$AB$7,0))</f>
        <v>54</v>
      </c>
      <c r="AN26" s="1210">
        <f>(IF('Water Report'!$AB$8&gt;0,'Water Report'!$AB$8,0))</f>
        <v>97</v>
      </c>
      <c r="AO26" s="1210">
        <f>(IF('Water Report'!$AB$9&gt;0,'Water Report'!$AB$9,0))</f>
        <v>78</v>
      </c>
      <c r="AP26" s="1210">
        <f>(IF('Water Report'!$AB$10&gt;0,'Water Report'!$AB$10,0))</f>
        <v>9</v>
      </c>
      <c r="AQ26" s="1210">
        <f>(IF('Water Report'!$AB$11&gt;0,'Water Report'!$AB$11,0))</f>
        <v>13</v>
      </c>
      <c r="AR26" s="1210">
        <f>(IF('Water Report'!$AB$13&gt;0,'Water Report'!$AB$13,0))</f>
        <v>7</v>
      </c>
      <c r="AS26" s="1210">
        <f>(IF('Water Report'!$AB$14&gt;0,'Water Report'!$AB$14,0))</f>
        <v>8</v>
      </c>
      <c r="AT26" s="1210">
        <f>(IF('Water Report'!$AB$15&gt;0,'Water Report'!$AB$15,0))</f>
        <v>12</v>
      </c>
      <c r="AU26" s="1210">
        <f>(IF('Water Report'!$AB$17&gt;0,'Water Report'!$AB$17,0))</f>
        <v>0</v>
      </c>
      <c r="AV26" s="1210">
        <f>(IF('Water Report'!$AB$18&gt;0,'Water Report'!$AB$18,0))</f>
        <v>16</v>
      </c>
      <c r="AW26" s="1210">
        <f>(IF('Water Report'!$AB$19&gt;0,'Water Report'!$AB$19,0))</f>
        <v>0</v>
      </c>
      <c r="AX26" s="1253">
        <f>(IF('Water Report'!$AB$21&gt;0,'Water Report'!$AB$21,0))</f>
        <v>50</v>
      </c>
      <c r="AY26" s="1253">
        <f>(IF('Water Report'!$AB$22&gt;0,'Water Report'!$AB$22,0))</f>
        <v>0</v>
      </c>
      <c r="AZ26" s="1253">
        <f>(IF('Water Report'!$AB$23&gt;0,'Water Report'!$AB$23,0))</f>
        <v>16</v>
      </c>
      <c r="BA26" s="1253">
        <f>(IF('Water Report'!$AB$14&gt;0,'Water Report'!$AB$14,0))</f>
        <v>8</v>
      </c>
      <c r="BB26" s="1253">
        <f>(IF('Water Report'!$AB$15&gt;0,'Water Report'!$AB$15,0))</f>
        <v>12</v>
      </c>
      <c r="BC26" s="1253">
        <f>(IF('Water Report'!$AB$13&gt;0,'Water Report'!$AB$13,0))</f>
        <v>7</v>
      </c>
      <c r="BD26" s="1253">
        <f>(IF('Water Report'!$AB$24&gt;0,'Water Report'!$AB$24,0))</f>
        <v>120</v>
      </c>
      <c r="BE26" s="1253">
        <f>(IF('Water Report'!$AB$25&gt;0,'Water Report'!$AB$25,0))</f>
        <v>120</v>
      </c>
      <c r="BF26" s="1253">
        <f>(IF('Water Report'!$AB$27&gt;0,'Water Report'!$AB$27,0))</f>
        <v>73</v>
      </c>
      <c r="BG26" s="1211">
        <f>(IF('Section Load'!AN29&gt;0,'Section Load'!AN29,0))</f>
        <v>550</v>
      </c>
      <c r="BH26" s="1211">
        <f>(IF('Section Load'!AO29&gt;0,'Section Load'!AO29,0))</f>
        <v>208.40000000002328</v>
      </c>
      <c r="BI26" s="1211">
        <f>(IF('Section Load'!AP29&gt;0,'Section Load'!AP29,0))</f>
        <v>0</v>
      </c>
      <c r="BJ26" s="1211">
        <f>(IF('Section Load'!AQ29&gt;0,'Section Load'!AQ29,0))</f>
        <v>74.119999999995343</v>
      </c>
      <c r="BK26" s="1211">
        <f>(IF('Section Load'!AR29&gt;0,'Section Load'!AR29,0))</f>
        <v>0</v>
      </c>
      <c r="BL26" s="1211">
        <f>(IF('Section Load'!AS29&gt;0,'Section Load'!AS29,0))</f>
        <v>0</v>
      </c>
      <c r="BM26" s="1211">
        <f>(IF('Section Load'!AT29&gt;0,'Section Load'!AT29,0))</f>
        <v>267.47999999998137</v>
      </c>
    </row>
    <row r="27" spans="1:65">
      <c r="A27" s="1196" t="s">
        <v>13</v>
      </c>
      <c r="B27" s="1197">
        <f t="shared" si="0"/>
        <v>26</v>
      </c>
      <c r="C27" s="1197">
        <v>6</v>
      </c>
      <c r="D27" s="1197">
        <v>2021</v>
      </c>
      <c r="E27" s="1209">
        <f>(IF('Section Load'!F30&gt;0,'Section Load'!F30,0))</f>
        <v>2644.9599999999627</v>
      </c>
      <c r="F27" s="1209">
        <f>(IF('Section Load'!G30&gt;0,'Section Load'!G30,0))</f>
        <v>1344</v>
      </c>
      <c r="G27" s="1209">
        <f>(IF('Section Load'!H30&gt;0,'Section Load'!H30,0))</f>
        <v>1226.3500000000058</v>
      </c>
      <c r="H27" s="1209">
        <f>(IF('Section Load'!I30&gt;0,'Section Load'!I30,0))</f>
        <v>2690.8799999999464</v>
      </c>
      <c r="I27" s="1209">
        <f>(IF('Section Load'!J30&gt;0,'Section Load'!J30,0))</f>
        <v>5995.2500000000291</v>
      </c>
      <c r="J27" s="1209">
        <f>(IF('Section Load'!K30&gt;0,'Section Load'!K30,0))</f>
        <v>2602.8000000000466</v>
      </c>
      <c r="K27" s="1209">
        <f>(IF('Section Load'!L30&gt;0,'Section Load'!L30,0))</f>
        <v>1413.7200000000303</v>
      </c>
      <c r="L27" s="1209">
        <f>(IF('Section Load'!M30&gt;0,'Section Load'!M30,0))</f>
        <v>0</v>
      </c>
      <c r="M27" s="1209">
        <f>(IF('Section Load'!N30&gt;0,'Section Load'!N30,0))</f>
        <v>13</v>
      </c>
      <c r="N27" s="1209">
        <f>(IF('Section Load'!O30&gt;0,'Section Load'!O30,0))</f>
        <v>17</v>
      </c>
      <c r="O27" s="1209">
        <f>(IF('Section Load'!P30&gt;0,'Section Load'!P30,0))</f>
        <v>7.2800000000002001</v>
      </c>
      <c r="P27" s="1209">
        <f>(IF('Section Load'!Q30&gt;0,'Section Load'!Q30,0))</f>
        <v>68.889999999999418</v>
      </c>
      <c r="Q27" s="1209">
        <f>(IF('Section Load'!R30&gt;0,'Section Load'!R30,0))</f>
        <v>53.149999999999636</v>
      </c>
      <c r="R27" s="1209">
        <f>(IF('Section Load'!S30&gt;0,'Section Load'!S30,0))</f>
        <v>41</v>
      </c>
      <c r="S27" s="1209">
        <f>(IF('Section Load'!T30&gt;0,'Section Load'!T30,0))</f>
        <v>9</v>
      </c>
      <c r="T27" s="1209">
        <f>(IF('Section Load'!U30&gt;0,'Section Load'!U30,0))</f>
        <v>132</v>
      </c>
      <c r="U27" s="1209">
        <f>(IF('Section Load'!V30&gt;0,'Section Load'!V30,0))</f>
        <v>383.92000000004191</v>
      </c>
      <c r="V27" s="1209">
        <f>(IF('Section Load'!W30&gt;0,'Section Load'!W30,0))</f>
        <v>78.559999999939464</v>
      </c>
      <c r="W27" s="1209">
        <f>(IF('Section Load'!X30&gt;0,'Section Load'!X30,0))</f>
        <v>10.679999999993015</v>
      </c>
      <c r="X27" s="1209">
        <f>(IF('Section Load'!Y30&gt;0,'Section Load'!Y30,0))</f>
        <v>37.169999999998254</v>
      </c>
      <c r="Y27" s="1209">
        <f>(IF('Section Load'!Z30&gt;0,'Section Load'!Z30,0))</f>
        <v>190</v>
      </c>
      <c r="Z27" s="1209">
        <f>(IF('Section Load'!AA30&gt;0,'Section Load'!AA30,0))</f>
        <v>30.479999999981374</v>
      </c>
      <c r="AA27" s="1209">
        <f>(IF('Section Load'!AB30&gt;0,'Section Load'!AB30,0))</f>
        <v>18.80000000000291</v>
      </c>
      <c r="AB27" s="1209">
        <f>(IF('Section Load'!AC30&gt;0,'Section Load'!AC30,0))</f>
        <v>22.050000000017462</v>
      </c>
      <c r="AC27" s="1209">
        <f>(IF('Section Load'!AD30&gt;0,'Section Load'!AD30,0))</f>
        <v>18.80000000000291</v>
      </c>
      <c r="AD27" s="1209">
        <f>(IF('Section Load'!AE30&gt;0,'Section Load'!AE30,0))</f>
        <v>0</v>
      </c>
      <c r="AE27" s="1209">
        <f>(IF('Section Load'!AF30&gt;0,'Section Load'!AF30,0))</f>
        <v>3.6300000000001091</v>
      </c>
      <c r="AF27" s="1209">
        <f>(IF('Section Load'!AG30&gt;0,'Section Load'!AG30,0))</f>
        <v>174.64000000001397</v>
      </c>
      <c r="AG27" s="1209">
        <f>(IF('Section Load'!AH30&gt;0,'Section Load'!AH30,0))</f>
        <v>185.88000000000466</v>
      </c>
      <c r="AH27" s="1209">
        <f>(IF('Section Load'!AI30&gt;0,'Section Load'!AI30,0))</f>
        <v>245.62999999999738</v>
      </c>
      <c r="AI27" s="1209">
        <f>(IF('Section Load'!AJ30&gt;0,'Section Load'!AJ30,0))</f>
        <v>385.55999999999767</v>
      </c>
      <c r="AJ27" s="1209">
        <f>(IF('Section Load'!AK30&gt;0,'Section Load'!AK30,0))</f>
        <v>0</v>
      </c>
      <c r="AK27" s="1209">
        <f>(IF('Section Load'!AL30&gt;0,'Section Load'!AL30,0))</f>
        <v>139.5399999999936</v>
      </c>
      <c r="AL27" s="1209">
        <f>(IF('Section Load'!AM30&gt;0,'Section Load'!AM30,0))</f>
        <v>786</v>
      </c>
      <c r="AM27" s="1210">
        <f>(IF('Water Report'!$AC$7&gt;0,'Water Report'!$AC$7,0))</f>
        <v>38</v>
      </c>
      <c r="AN27" s="1210">
        <f>(IF('Water Report'!$AC$8&gt;0,'Water Report'!$AC$8,0))</f>
        <v>79</v>
      </c>
      <c r="AO27" s="1210">
        <f>(IF('Water Report'!$AC$9&gt;0,'Water Report'!$AC$9,0))</f>
        <v>43</v>
      </c>
      <c r="AP27" s="1210">
        <f>(IF('Water Report'!$AC$10&gt;0,'Water Report'!$AC$10,0))</f>
        <v>9</v>
      </c>
      <c r="AQ27" s="1210">
        <f>(IF('Water Report'!$AC$11&gt;0,'Water Report'!$AC$11,0))</f>
        <v>18</v>
      </c>
      <c r="AR27" s="1210">
        <f>(IF('Water Report'!$AC$13&gt;0,'Water Report'!$AC$13,0))</f>
        <v>5</v>
      </c>
      <c r="AS27" s="1210">
        <f>(IF('Water Report'!$AC$14&gt;0,'Water Report'!$AC$14,0))</f>
        <v>5</v>
      </c>
      <c r="AT27" s="1210">
        <f>(IF('Water Report'!$AC$15&gt;0,'Water Report'!$AC$15,0))</f>
        <v>6</v>
      </c>
      <c r="AU27" s="1210">
        <f>(IF('Water Report'!$AC$17&gt;0,'Water Report'!$AC$17,0))</f>
        <v>0</v>
      </c>
      <c r="AV27" s="1210">
        <f>(IF('Water Report'!$AC$18&gt;0,'Water Report'!$AC$18,0))</f>
        <v>1</v>
      </c>
      <c r="AW27" s="1210">
        <f>(IF('Water Report'!$AC$19&gt;0,'Water Report'!$AC$19,0))</f>
        <v>7</v>
      </c>
      <c r="AX27" s="1253">
        <f>(IF('Water Report'!$AC$21&gt;0,'Water Report'!$AC$21,0))</f>
        <v>98</v>
      </c>
      <c r="AY27" s="1253">
        <f>(IF('Water Report'!$AC$22&gt;0,'Water Report'!$AC$22,0))</f>
        <v>24</v>
      </c>
      <c r="AZ27" s="1253">
        <f>(IF('Water Report'!$AC$23&gt;0,'Water Report'!$AC$23,0))</f>
        <v>0</v>
      </c>
      <c r="BA27" s="1253">
        <f>(IF('Water Report'!$AC$14&gt;0,'Water Report'!$AC$14,0))</f>
        <v>5</v>
      </c>
      <c r="BB27" s="1253">
        <f>(IF('Water Report'!$AC$15&gt;0,'Water Report'!$AC$15,0))</f>
        <v>6</v>
      </c>
      <c r="BC27" s="1253">
        <f>(IF('Water Report'!$AC$13&gt;0,'Water Report'!$AC$13,0))</f>
        <v>5</v>
      </c>
      <c r="BD27" s="1253">
        <f>(IF('Water Report'!$AC$24&gt;0,'Water Report'!$AC$24,0))</f>
        <v>113</v>
      </c>
      <c r="BE27" s="1253">
        <f>(IF('Water Report'!$AC$25&gt;0,'Water Report'!$AC$25,0))</f>
        <v>81</v>
      </c>
      <c r="BF27" s="1253">
        <f>(IF('Water Report'!$AC$27&gt;0,'Water Report'!$AC$27,0))</f>
        <v>103</v>
      </c>
      <c r="BG27" s="1211">
        <f>(IF('Section Load'!AN30&gt;0,'Section Load'!AN30,0))</f>
        <v>550</v>
      </c>
      <c r="BH27" s="1211">
        <f>(IF('Section Load'!AO30&gt;0,'Section Load'!AO30,0))</f>
        <v>207.51000000000931</v>
      </c>
      <c r="BI27" s="1211">
        <f>(IF('Section Load'!AP30&gt;0,'Section Load'!AP30,0))</f>
        <v>0</v>
      </c>
      <c r="BJ27" s="1211">
        <f>(IF('Section Load'!AQ30&gt;0,'Section Load'!AQ30,0))</f>
        <v>71.220000000001164</v>
      </c>
      <c r="BK27" s="1211">
        <f>(IF('Section Load'!AR30&gt;0,'Section Load'!AR30,0))</f>
        <v>0</v>
      </c>
      <c r="BL27" s="1211">
        <f>(IF('Section Load'!AS30&gt;0,'Section Load'!AS30,0))</f>
        <v>0</v>
      </c>
      <c r="BM27" s="1211">
        <f>(IF('Section Load'!AT30&gt;0,'Section Load'!AT30,0))</f>
        <v>271.26999999998952</v>
      </c>
    </row>
    <row r="28" spans="1:65">
      <c r="A28" s="1196" t="s">
        <v>13</v>
      </c>
      <c r="B28" s="1197">
        <f t="shared" si="0"/>
        <v>27</v>
      </c>
      <c r="C28" s="1197">
        <v>6</v>
      </c>
      <c r="D28" s="1197">
        <v>2021</v>
      </c>
      <c r="E28" s="1209">
        <f>(IF('Section Load'!F31&gt;0,'Section Load'!F31,0))</f>
        <v>2481.25</v>
      </c>
      <c r="F28" s="1209">
        <f>(IF('Section Load'!G31&gt;0,'Section Load'!G31,0))</f>
        <v>1296.4000000000087</v>
      </c>
      <c r="G28" s="1209">
        <f>(IF('Section Load'!H31&gt;0,'Section Load'!H31,0))</f>
        <v>1176.5400000000373</v>
      </c>
      <c r="H28" s="1209">
        <f>(IF('Section Load'!I31&gt;0,'Section Load'!I31,0))</f>
        <v>2773.9800000000396</v>
      </c>
      <c r="I28" s="1209">
        <f>(IF('Section Load'!J31&gt;0,'Section Load'!J31,0))</f>
        <v>4767.4700000000012</v>
      </c>
      <c r="J28" s="1209">
        <f>(IF('Section Load'!K31&gt;0,'Section Load'!K31,0))</f>
        <v>2345.6999999999534</v>
      </c>
      <c r="K28" s="1209">
        <f>(IF('Section Load'!L31&gt;0,'Section Load'!L31,0))</f>
        <v>845.1699999999837</v>
      </c>
      <c r="L28" s="1209">
        <f>(IF('Section Load'!M31&gt;0,'Section Load'!M31,0))</f>
        <v>0</v>
      </c>
      <c r="M28" s="1209">
        <f>(IF('Section Load'!N31&gt;0,'Section Load'!N31,0))</f>
        <v>10</v>
      </c>
      <c r="N28" s="1209">
        <f>(IF('Section Load'!O31&gt;0,'Section Load'!O31,0))</f>
        <v>1</v>
      </c>
      <c r="O28" s="1209">
        <f>(IF('Section Load'!P31&gt;0,'Section Load'!P31,0))</f>
        <v>5.9299999999998363</v>
      </c>
      <c r="P28" s="1209">
        <f>(IF('Section Load'!Q31&gt;0,'Section Load'!Q31,0))</f>
        <v>59.5</v>
      </c>
      <c r="Q28" s="1209">
        <f>(IF('Section Load'!R31&gt;0,'Section Load'!R31,0))</f>
        <v>54</v>
      </c>
      <c r="R28" s="1209">
        <f>(IF('Section Load'!S31&gt;0,'Section Load'!S31,0))</f>
        <v>44</v>
      </c>
      <c r="S28" s="1209">
        <f>(IF('Section Load'!T31&gt;0,'Section Load'!T31,0))</f>
        <v>64</v>
      </c>
      <c r="T28" s="1209">
        <f>(IF('Section Load'!U31&gt;0,'Section Load'!U31,0))</f>
        <v>112</v>
      </c>
      <c r="U28" s="1209">
        <f>(IF('Section Load'!V31&gt;0,'Section Load'!V31,0))</f>
        <v>342.95999999996275</v>
      </c>
      <c r="V28" s="1209">
        <f>(IF('Section Load'!W31&gt;0,'Section Load'!W31,0))</f>
        <v>80.28000000002794</v>
      </c>
      <c r="W28" s="1209">
        <f>(IF('Section Load'!X31&gt;0,'Section Load'!X31,0))</f>
        <v>24.580000000001746</v>
      </c>
      <c r="X28" s="1209">
        <f>(IF('Section Load'!Y31&gt;0,'Section Load'!Y31,0))</f>
        <v>82.319999999999709</v>
      </c>
      <c r="Y28" s="1209">
        <f>(IF('Section Load'!Z31&gt;0,'Section Load'!Z31,0))</f>
        <v>167</v>
      </c>
      <c r="Z28" s="1209">
        <f>(IF('Section Load'!AA31&gt;0,'Section Load'!AA31,0))</f>
        <v>34.679999999993015</v>
      </c>
      <c r="AA28" s="1209">
        <f>(IF('Section Load'!AB31&gt;0,'Section Load'!AB31,0))</f>
        <v>17.5</v>
      </c>
      <c r="AB28" s="1209">
        <f>(IF('Section Load'!AC31&gt;0,'Section Load'!AC31,0))</f>
        <v>21.989999999990687</v>
      </c>
      <c r="AC28" s="1209">
        <f>(IF('Section Load'!AD31&gt;0,'Section Load'!AD31,0))</f>
        <v>17.900000000000091</v>
      </c>
      <c r="AD28" s="1209">
        <f>(IF('Section Load'!AE31&gt;0,'Section Load'!AE31,0))</f>
        <v>0</v>
      </c>
      <c r="AE28" s="1209">
        <f>(IF('Section Load'!AF31&gt;0,'Section Load'!AF31,0))</f>
        <v>2.9000000000000909</v>
      </c>
      <c r="AF28" s="1209">
        <f>(IF('Section Load'!AG31&gt;0,'Section Load'!AG31,0))</f>
        <v>196.29999999998836</v>
      </c>
      <c r="AG28" s="1209">
        <f>(IF('Section Load'!AH31&gt;0,'Section Load'!AH31,0))</f>
        <v>214.11999999999534</v>
      </c>
      <c r="AH28" s="1209">
        <f>(IF('Section Load'!AI31&gt;0,'Section Load'!AI31,0))</f>
        <v>267.58000000000175</v>
      </c>
      <c r="AI28" s="1209">
        <f>(IF('Section Load'!AJ31&gt;0,'Section Load'!AJ31,0))</f>
        <v>446.42999999999302</v>
      </c>
      <c r="AJ28" s="1209">
        <f>(IF('Section Load'!AK31&gt;0,'Section Load'!AK31,0))</f>
        <v>0</v>
      </c>
      <c r="AK28" s="1209">
        <f>(IF('Section Load'!AL31&gt;0,'Section Load'!AL31,0))</f>
        <v>100.49000000000524</v>
      </c>
      <c r="AL28" s="1209">
        <f>(IF('Section Load'!AM31&gt;0,'Section Load'!AM31,0))</f>
        <v>763</v>
      </c>
      <c r="AM28" s="1210">
        <f>(IF('Water Report'!$AD$7&gt;0,'Water Report'!$AD$7,0))</f>
        <v>35</v>
      </c>
      <c r="AN28" s="1210">
        <f>(IF('Water Report'!$AD$8&gt;0,'Water Report'!$AD$8,0))</f>
        <v>86</v>
      </c>
      <c r="AO28" s="1210">
        <f>(IF('Water Report'!$AD$9&gt;0,'Water Report'!$AD$9,0))</f>
        <v>49</v>
      </c>
      <c r="AP28" s="1210">
        <f>(IF('Water Report'!$AD$10&gt;0,'Water Report'!AD$10,0))</f>
        <v>11</v>
      </c>
      <c r="AQ28" s="1210">
        <f>(IF('Water Report'!$AD$11&gt;0,'Water Report'!AE$11,0))</f>
        <v>18</v>
      </c>
      <c r="AR28" s="1210">
        <f>(IF('Water Report'!$AD$13&gt;0,'Water Report'!AF$13,0))</f>
        <v>4</v>
      </c>
      <c r="AS28" s="1210">
        <f>(IF('Water Report'!$AD$14&gt;0,'Water Report'!AG$14,0))</f>
        <v>9</v>
      </c>
      <c r="AT28" s="1210">
        <f>(IF('Water Report'!$AD$15&gt;0,'Water Report'!AH$15,0))</f>
        <v>6</v>
      </c>
      <c r="AU28" s="1210">
        <f>(IF('Water Report'!$AD$17&gt;0,'Water Report'!AI$17,0))</f>
        <v>0</v>
      </c>
      <c r="AV28" s="1210">
        <f>(IF('Water Report'!$AD$18&gt;0,'Water Report'!AJ$18,0))</f>
        <v>0</v>
      </c>
      <c r="AW28" s="1210">
        <f>(IF('Water Report'!$AD$19&gt;0,'Water Report'!AK$19,0))</f>
        <v>0</v>
      </c>
      <c r="AX28" s="1253">
        <f>(IF('Water Report'!$AD$21&gt;0,'Water Report'!AL$21,0))</f>
        <v>0</v>
      </c>
      <c r="AY28" s="1253">
        <f>(IF('Water Report'!$AD$22&gt;0,'Water Report'!AM$22,0))</f>
        <v>0</v>
      </c>
      <c r="AZ28" s="1253">
        <f>(IF('Water Report'!$AD$23&gt;0,'Water Report'!AN$23,0))</f>
        <v>0</v>
      </c>
      <c r="BA28" s="1253">
        <f>(IF('Water Report'!$AD$14&gt;0,'Water Report'!AO$14,0))</f>
        <v>0</v>
      </c>
      <c r="BB28" s="1253">
        <f>(IF('Water Report'!$AD$15&gt;0,'Water Report'!AP$15,0))</f>
        <v>0</v>
      </c>
      <c r="BC28" s="1253">
        <f>(IF('Water Report'!$AD$13&gt;0,'Water Report'!AQ$13,0))</f>
        <v>0</v>
      </c>
      <c r="BD28" s="1253">
        <f>(IF('Water Report'!$AD$24&gt;0,'Water Report'!AR$24,0))</f>
        <v>0</v>
      </c>
      <c r="BE28" s="1253">
        <f>(IF('Water Report'!$AD$25&gt;0,'Water Report'!AS$25,0))</f>
        <v>0</v>
      </c>
      <c r="BF28" s="1253">
        <f>(IF('Water Report'!$AD$27&gt;0,'Water Report'!AT$27,0))</f>
        <v>0</v>
      </c>
      <c r="BG28" s="1211">
        <f>(IF('Section Load'!AN31&gt;0,'Section Load'!AN31,0))</f>
        <v>550</v>
      </c>
      <c r="BH28" s="1211">
        <f>(IF('Section Load'!AO31&gt;0,'Section Load'!AO31,0))</f>
        <v>205.0899999999674</v>
      </c>
      <c r="BI28" s="1211">
        <f>(IF('Section Load'!AP31&gt;0,'Section Load'!AP31,0))</f>
        <v>0</v>
      </c>
      <c r="BJ28" s="1211">
        <f>(IF('Section Load'!AQ31&gt;0,'Section Load'!AQ31,0))</f>
        <v>53.029999999998836</v>
      </c>
      <c r="BK28" s="1211">
        <f>(IF('Section Load'!AR31&gt;0,'Section Load'!AR31,0))</f>
        <v>0</v>
      </c>
      <c r="BL28" s="1211">
        <f>(IF('Section Load'!AS31&gt;0,'Section Load'!AS31,0))</f>
        <v>0</v>
      </c>
      <c r="BM28" s="1211">
        <f>(IF('Section Load'!AT31&gt;0,'Section Load'!AT31,0))</f>
        <v>291.88000000003376</v>
      </c>
    </row>
    <row r="29" spans="1:65">
      <c r="A29" s="1196" t="s">
        <v>13</v>
      </c>
      <c r="B29" s="1197">
        <f t="shared" si="0"/>
        <v>28</v>
      </c>
      <c r="C29" s="1197">
        <v>6</v>
      </c>
      <c r="D29" s="1197">
        <v>2021</v>
      </c>
      <c r="E29" s="1209">
        <f>(IF('Section Load'!F32&gt;0,'Section Load'!F32,0))</f>
        <v>2485</v>
      </c>
      <c r="F29" s="1209">
        <f>(IF('Section Load'!G32&gt;0,'Section Load'!G32,0))</f>
        <v>1279</v>
      </c>
      <c r="G29" s="1209">
        <f>(IF('Section Load'!H32&gt;0,'Section Load'!H32,0))</f>
        <v>1195.0699999999488</v>
      </c>
      <c r="H29" s="1209">
        <f>(IF('Section Load'!I32&gt;0,'Section Load'!I32,0))</f>
        <v>2711</v>
      </c>
      <c r="I29" s="1209">
        <f>(IF('Section Load'!J32&gt;0,'Section Load'!J32,0))</f>
        <v>4796</v>
      </c>
      <c r="J29" s="1209">
        <f>(IF('Section Load'!K32&gt;0,'Section Load'!K32,0))</f>
        <v>2329.33</v>
      </c>
      <c r="K29" s="1209">
        <f>(IF('Section Load'!L32&gt;0,'Section Load'!L32,0))</f>
        <v>832</v>
      </c>
      <c r="L29" s="1209">
        <f>(IF('Section Load'!M32&gt;0,'Section Load'!M32,0))</f>
        <v>0</v>
      </c>
      <c r="M29" s="1209">
        <f>(IF('Section Load'!N32&gt;0,'Section Load'!N32,0))</f>
        <v>14</v>
      </c>
      <c r="N29" s="1209">
        <f>(IF('Section Load'!O32&gt;0,'Section Load'!O32,0))</f>
        <v>1</v>
      </c>
      <c r="O29" s="1209">
        <f>(IF('Section Load'!P32&gt;0,'Section Load'!P32,0))</f>
        <v>7</v>
      </c>
      <c r="P29" s="1209">
        <f>(IF('Section Load'!Q32&gt;0,'Section Load'!Q32,0))</f>
        <v>58</v>
      </c>
      <c r="Q29" s="1209">
        <f>(IF('Section Load'!R32&gt;0,'Section Load'!R32,0))</f>
        <v>57</v>
      </c>
      <c r="R29" s="1209">
        <f>(IF('Section Load'!S32&gt;0,'Section Load'!S32,0))</f>
        <v>39</v>
      </c>
      <c r="S29" s="1209">
        <f>(IF('Section Load'!T32&gt;0,'Section Load'!T32,0))</f>
        <v>110</v>
      </c>
      <c r="T29" s="1209">
        <f>(IF('Section Load'!U32&gt;0,'Section Load'!U32,0))</f>
        <v>134</v>
      </c>
      <c r="U29" s="1209">
        <f>(IF('Section Load'!V32&gt;0,'Section Load'!V32,0))</f>
        <v>345</v>
      </c>
      <c r="V29" s="1209">
        <f>(IF('Section Load'!W32&gt;0,'Section Load'!W32,0))</f>
        <v>77</v>
      </c>
      <c r="W29" s="1209">
        <f>(IF('Section Load'!X32&gt;0,'Section Load'!X32,0))</f>
        <v>11</v>
      </c>
      <c r="X29" s="1209">
        <f>(IF('Section Load'!Y32&gt;0,'Section Load'!Y32,0))</f>
        <v>213</v>
      </c>
      <c r="Y29" s="1209">
        <f>(IF('Section Load'!Z32&gt;0,'Section Load'!Z32,0))</f>
        <v>149</v>
      </c>
      <c r="Z29" s="1209">
        <f>(IF('Section Load'!AA32&gt;0,'Section Load'!AA32,0))</f>
        <v>34</v>
      </c>
      <c r="AA29" s="1209">
        <f>(IF('Section Load'!AB32&gt;0,'Section Load'!AB32,0))</f>
        <v>18</v>
      </c>
      <c r="AB29" s="1209">
        <f>(IF('Section Load'!AC32&gt;0,'Section Load'!AC32,0))</f>
        <v>23</v>
      </c>
      <c r="AC29" s="1209">
        <f>(IF('Section Load'!AD32&gt;0,'Section Load'!AD32,0))</f>
        <v>18</v>
      </c>
      <c r="AD29" s="1209">
        <f>(IF('Section Load'!AE32&gt;0,'Section Load'!AE32,0))</f>
        <v>0</v>
      </c>
      <c r="AE29" s="1209">
        <f>(IF('Section Load'!AF32&gt;0,'Section Load'!AF32,0))</f>
        <v>4</v>
      </c>
      <c r="AF29" s="1209">
        <f>(IF('Section Load'!AG32&gt;0,'Section Load'!AG32,0))</f>
        <v>191</v>
      </c>
      <c r="AG29" s="1209">
        <f>(IF('Section Load'!AH32&gt;0,'Section Load'!AH32,0))</f>
        <v>218</v>
      </c>
      <c r="AH29" s="1209">
        <f>(IF('Section Load'!AI32&gt;0,'Section Load'!AI32,0))</f>
        <v>248</v>
      </c>
      <c r="AI29" s="1209">
        <f>(IF('Section Load'!AJ32&gt;0,'Section Load'!AJ32,0))</f>
        <v>372</v>
      </c>
      <c r="AJ29" s="1209">
        <f>(IF('Section Load'!AK32&gt;0,'Section Load'!AK32,0))</f>
        <v>0</v>
      </c>
      <c r="AK29" s="1209">
        <f>(IF('Section Load'!AL32&gt;0,'Section Load'!AL32,0))</f>
        <v>126</v>
      </c>
      <c r="AL29" s="1209">
        <f>(IF('Section Load'!AM32&gt;0,'Section Load'!AM32,0))</f>
        <v>879</v>
      </c>
      <c r="AM29" s="1210">
        <f>(IF('Water Report'!$AE$7&gt;0,'Water Report'!$AE$7,0))</f>
        <v>28</v>
      </c>
      <c r="AN29" s="1210">
        <f>(IF('Water Report'!$AE$8&gt;0,'Water Report'!$AE$8,0))</f>
        <v>80</v>
      </c>
      <c r="AO29" s="1210">
        <f>(IF('Water Report'!$AE$9&gt;0,'Water Report'!$AE$9,0))</f>
        <v>51</v>
      </c>
      <c r="AP29" s="1210">
        <f>(IF('Water Report'!$AE$10&gt;0,'Water Report'!$AE$10,0))</f>
        <v>7</v>
      </c>
      <c r="AQ29" s="1210">
        <f>(IF('Water Report'!$AE$11&gt;0,'Water Report'!$AE$11,0))</f>
        <v>18</v>
      </c>
      <c r="AR29" s="1210">
        <f>(IF('Water Report'!$AE$13&gt;0,'Water Report'!$AE$13,0))</f>
        <v>4</v>
      </c>
      <c r="AS29" s="1210">
        <f>(IF('Water Report'!$AE$14&gt;0,'Water Report'!$AE$14,0))</f>
        <v>6</v>
      </c>
      <c r="AT29" s="1210">
        <f>(IF('Water Report'!$AE$15&gt;0,'Water Report'!$AE$15,0))</f>
        <v>4</v>
      </c>
      <c r="AU29" s="1210">
        <f>(IF('Water Report'!$AE$17&gt;0,'Water Report'!$AE$17,0))</f>
        <v>0</v>
      </c>
      <c r="AV29" s="1210">
        <f>(IF('Water Report'!$AE$18&gt;0,'Water Report'!$AE$18,0))</f>
        <v>14</v>
      </c>
      <c r="AW29" s="1210">
        <f>(IF('Water Report'!$AE$19&gt;0,'Water Report'!$AE$19,0))</f>
        <v>5</v>
      </c>
      <c r="AX29" s="1253">
        <f>(IF('Water Report'!$AE$21&gt;0,'Water Report'!$AE$21,0))</f>
        <v>56</v>
      </c>
      <c r="AY29" s="1253">
        <f>(IF('Water Report'!$AE$22&gt;0,'Water Report'!$AE$22,0))</f>
        <v>0</v>
      </c>
      <c r="AZ29" s="1253">
        <f>(IF('Water Report'!$AE$23&gt;0,'Water Report'!$AE$23,0))</f>
        <v>0</v>
      </c>
      <c r="BA29" s="1253">
        <f>(IF('Water Report'!$AE$14&gt;0,'Water Report'!$AE$14,0))</f>
        <v>6</v>
      </c>
      <c r="BB29" s="1253">
        <f>(IF('Water Report'!$AE$15&gt;0,'Water Report'!$AE$15,0))</f>
        <v>4</v>
      </c>
      <c r="BC29" s="1253">
        <f>(IF('Water Report'!$AE$13&gt;0,'Water Report'!$AE$13,0))</f>
        <v>4</v>
      </c>
      <c r="BD29" s="1253">
        <f>(IF('Water Report'!$AE$24&gt;0,'Water Report'!$AE$24,0))</f>
        <v>100</v>
      </c>
      <c r="BE29" s="1253">
        <f>(IF('Water Report'!$AE$25&gt;0,'Water Report'!$AE$25,0))</f>
        <v>86</v>
      </c>
      <c r="BF29" s="1253">
        <f>(IF('Water Report'!$AE$27&gt;0,'Water Report'!$AE$27,0))</f>
        <v>60</v>
      </c>
      <c r="BG29" s="1211">
        <f>(IF('Section Load'!AN32&gt;0,'Section Load'!AN32,0))</f>
        <v>550</v>
      </c>
      <c r="BH29" s="1211">
        <f>(IF('Section Load'!AO32&gt;0,'Section Load'!AO32,0))</f>
        <v>197</v>
      </c>
      <c r="BI29" s="1211">
        <f>(IF('Section Load'!AP32&gt;0,'Section Load'!AP32,0))</f>
        <v>0</v>
      </c>
      <c r="BJ29" s="1211">
        <f>(IF('Section Load'!AQ32&gt;0,'Section Load'!AQ32,0))</f>
        <v>66</v>
      </c>
      <c r="BK29" s="1211">
        <f>(IF('Section Load'!AR32&gt;0,'Section Load'!AR32,0))</f>
        <v>0</v>
      </c>
      <c r="BL29" s="1211">
        <f>(IF('Section Load'!AS32&gt;0,'Section Load'!AS32,0))</f>
        <v>0.3999999999996362</v>
      </c>
      <c r="BM29" s="1211">
        <f>(IF('Section Load'!AT32&gt;0,'Section Load'!AT32,0))</f>
        <v>286.80000000000109</v>
      </c>
    </row>
    <row r="30" spans="1:65">
      <c r="A30" s="1196" t="s">
        <v>13</v>
      </c>
      <c r="B30" s="1197">
        <f t="shared" si="0"/>
        <v>29</v>
      </c>
      <c r="C30" s="1197">
        <v>6</v>
      </c>
      <c r="D30" s="1197">
        <v>2021</v>
      </c>
      <c r="E30" s="1209">
        <f>(IF('Section Load'!F33&gt;0,'Section Load'!F33,0))</f>
        <v>2408</v>
      </c>
      <c r="F30" s="1209">
        <f>(IF('Section Load'!G33&gt;0,'Section Load'!G33,0))</f>
        <v>1353.8699999999953</v>
      </c>
      <c r="G30" s="1209">
        <f>(IF('Section Load'!H33&gt;0,'Section Load'!H33,0))</f>
        <v>1218</v>
      </c>
      <c r="H30" s="1209">
        <f>(IF('Section Load'!I33&gt;0,'Section Load'!I33,0))</f>
        <v>2918</v>
      </c>
      <c r="I30" s="1209">
        <f>(IF('Section Load'!J33&gt;0,'Section Load'!J33,0))</f>
        <v>4832</v>
      </c>
      <c r="J30" s="1209">
        <f>(IF('Section Load'!K33&gt;0,'Section Load'!K33,0))</f>
        <v>2325.67</v>
      </c>
      <c r="K30" s="1209">
        <f>(IF('Section Load'!L33&gt;0,'Section Load'!L33,0))</f>
        <v>866</v>
      </c>
      <c r="L30" s="1209">
        <f>(IF('Section Load'!M33&gt;0,'Section Load'!M33,0))</f>
        <v>0</v>
      </c>
      <c r="M30" s="1209">
        <f>(IF('Section Load'!N33&gt;0,'Section Load'!N33,0))</f>
        <v>11</v>
      </c>
      <c r="N30" s="1209">
        <f>(IF('Section Load'!O33&gt;0,'Section Load'!O33,0))</f>
        <v>1</v>
      </c>
      <c r="O30" s="1209">
        <f>(IF('Section Load'!P33&gt;0,'Section Load'!P33,0))</f>
        <v>7</v>
      </c>
      <c r="P30" s="1209">
        <f>(IF('Section Load'!Q33&gt;0,'Section Load'!Q33,0))</f>
        <v>56</v>
      </c>
      <c r="Q30" s="1209">
        <f>(IF('Section Load'!R33&gt;0,'Section Load'!R33,0))</f>
        <v>58</v>
      </c>
      <c r="R30" s="1209">
        <f>(IF('Section Load'!S33&gt;0,'Section Load'!S33,0))</f>
        <v>38</v>
      </c>
      <c r="S30" s="1209">
        <f>(IF('Section Load'!T33&gt;0,'Section Load'!T33,0))</f>
        <v>195</v>
      </c>
      <c r="T30" s="1209">
        <f>(IF('Section Load'!U33&gt;0,'Section Load'!U33,0))</f>
        <v>138</v>
      </c>
      <c r="U30" s="1209">
        <f>(IF('Section Load'!V33&gt;0,'Section Load'!V33,0))</f>
        <v>392</v>
      </c>
      <c r="V30" s="1209">
        <f>(IF('Section Load'!W33&gt;0,'Section Load'!W33,0))</f>
        <v>86</v>
      </c>
      <c r="W30" s="1209">
        <f>(IF('Section Load'!X33&gt;0,'Section Load'!X33,0))</f>
        <v>11</v>
      </c>
      <c r="X30" s="1209">
        <f>(IF('Section Load'!Y33&gt;0,'Section Load'!Y33,0))</f>
        <v>0</v>
      </c>
      <c r="Y30" s="1209">
        <f>(IF('Section Load'!Z33&gt;0,'Section Load'!Z33,0))</f>
        <v>169</v>
      </c>
      <c r="Z30" s="1209">
        <f>(IF('Section Load'!AA33&gt;0,'Section Load'!AA33,0))</f>
        <v>35</v>
      </c>
      <c r="AA30" s="1209">
        <f>(IF('Section Load'!AB33&gt;0,'Section Load'!AB33,0))</f>
        <v>15</v>
      </c>
      <c r="AB30" s="1209">
        <f>(IF('Section Load'!AC33&gt;0,'Section Load'!AC33,0))</f>
        <v>23</v>
      </c>
      <c r="AC30" s="1209">
        <f>(IF('Section Load'!AD33&gt;0,'Section Load'!AD33,0))</f>
        <v>15</v>
      </c>
      <c r="AD30" s="1209">
        <f>(IF('Section Load'!AE33&gt;0,'Section Load'!AE33,0))</f>
        <v>0</v>
      </c>
      <c r="AE30" s="1209">
        <f>(IF('Section Load'!AF33&gt;0,'Section Load'!AF33,0))</f>
        <v>4</v>
      </c>
      <c r="AF30" s="1209">
        <f>(IF('Section Load'!AG33&gt;0,'Section Load'!AG33,0))</f>
        <v>193</v>
      </c>
      <c r="AG30" s="1209">
        <f>(IF('Section Load'!AH33&gt;0,'Section Load'!AH33,0))</f>
        <v>213</v>
      </c>
      <c r="AH30" s="1209">
        <f>(IF('Section Load'!AI33&gt;0,'Section Load'!AI33,0))</f>
        <v>281</v>
      </c>
      <c r="AI30" s="1209">
        <f>(IF('Section Load'!AJ33&gt;0,'Section Load'!AJ33,0))</f>
        <v>539</v>
      </c>
      <c r="AJ30" s="1209">
        <f>(IF('Section Load'!AK33&gt;0,'Section Load'!AK33,0))</f>
        <v>0</v>
      </c>
      <c r="AK30" s="1209">
        <f>(IF('Section Load'!AL33&gt;0,'Section Load'!AL33,0))</f>
        <v>89</v>
      </c>
      <c r="AL30" s="1209">
        <f>(IF('Section Load'!AM33&gt;0,'Section Load'!AM33,0))</f>
        <v>872</v>
      </c>
      <c r="AM30" s="1210">
        <f>(IF('Water Report'!$AF$7&gt;0,'Water Report'!$AF$7,0))</f>
        <v>39</v>
      </c>
      <c r="AN30" s="1210">
        <f>(IF('Water Report'!$AF$8&gt;0,'Water Report'!$AF$8,0))</f>
        <v>68</v>
      </c>
      <c r="AO30" s="1210">
        <f>(IF('Water Report'!$AF$9&gt;0,'Water Report'!$AF$9,0))</f>
        <v>46</v>
      </c>
      <c r="AP30" s="1210">
        <f>(IF('Water Report'!$AF$10&gt;0,'Water Report'!$AF$10,0))</f>
        <v>9</v>
      </c>
      <c r="AQ30" s="1210">
        <f>(IF('Water Report'!$AF$11&gt;0,'Water Report'!$AF$11,0))</f>
        <v>35</v>
      </c>
      <c r="AR30" s="1210">
        <f>(IF('Water Report'!$AF$13&gt;0,'Water Report'!$AF$13,0))</f>
        <v>4</v>
      </c>
      <c r="AS30" s="1210">
        <f>(IF('Water Report'!$AF$14&gt;0,'Water Report'!$AF$14,0))</f>
        <v>7</v>
      </c>
      <c r="AT30" s="1210">
        <f>(IF('Water Report'!$AF$15&gt;0,'Water Report'!$AF$15,0))</f>
        <v>6</v>
      </c>
      <c r="AU30" s="1210">
        <f>(IF('Water Report'!$AF$17&gt;0,'Water Report'!$AF$17,0))</f>
        <v>0</v>
      </c>
      <c r="AV30" s="1210">
        <f>(IF('Water Report'!$AF$18&gt;0,'Water Report'!$AF$18,0))</f>
        <v>0</v>
      </c>
      <c r="AW30" s="1210">
        <f>(IF('Water Report'!$AF$19&gt;0,'Water Report'!$AF$19,0))</f>
        <v>0</v>
      </c>
      <c r="AX30" s="1253">
        <f>(IF('Water Report'!$AF$21&gt;0,'Water Report'!$AF$21,0))</f>
        <v>66</v>
      </c>
      <c r="AY30" s="1253">
        <f>(IF('Water Report'!$AF$22&gt;0,'Water Report'!$AF$22,0))</f>
        <v>18</v>
      </c>
      <c r="AZ30" s="1253">
        <f>(IF('Water Report'!$AF$23&gt;0,'Water Report'!$AF$23,0))</f>
        <v>17</v>
      </c>
      <c r="BA30" s="1253">
        <f>(IF('Water Report'!$AF$14&gt;0,'Water Report'!$AF$14,0))</f>
        <v>7</v>
      </c>
      <c r="BB30" s="1253">
        <f>(IF('Water Report'!$AF$15&gt;0,'Water Report'!$AF$15,0))</f>
        <v>6</v>
      </c>
      <c r="BC30" s="1253">
        <f>(IF('Water Report'!$AF$13&gt;0,'Water Report'!$AF$13,0))</f>
        <v>4</v>
      </c>
      <c r="BD30" s="1253">
        <f>(IF('Water Report'!$AF$24&gt;0,'Water Report'!$AF$24,0))</f>
        <v>117</v>
      </c>
      <c r="BE30" s="1253">
        <f>(IF('Water Report'!$AF$25&gt;0,'Water Report'!$AF$25,0))</f>
        <v>103</v>
      </c>
      <c r="BF30" s="1253">
        <f>(IF('Water Report'!$AF$27&gt;0,'Water Report'!$AF$27,0))</f>
        <v>87</v>
      </c>
      <c r="BG30" s="1211">
        <f>(IF('Section Load'!AN33&gt;0,'Section Load'!AN33,0))</f>
        <v>550</v>
      </c>
      <c r="BH30" s="1211">
        <f>(IF('Section Load'!AO33&gt;0,'Section Load'!AO33,0))</f>
        <v>197</v>
      </c>
      <c r="BI30" s="1211">
        <f>(IF('Section Load'!AP33&gt;0,'Section Load'!AP33,0))</f>
        <v>0</v>
      </c>
      <c r="BJ30" s="1211">
        <f>(IF('Section Load'!AQ33&gt;0,'Section Load'!AQ33,0))</f>
        <v>66</v>
      </c>
      <c r="BK30" s="1211">
        <f>(IF('Section Load'!AR33&gt;0,'Section Load'!AR33,0))</f>
        <v>0</v>
      </c>
      <c r="BL30" s="1211">
        <f>(IF('Section Load'!AS33&gt;0,'Section Load'!AS33,0))</f>
        <v>0</v>
      </c>
      <c r="BM30" s="1211">
        <f>(IF('Section Load'!AT33&gt;0,'Section Load'!AT33,0))</f>
        <v>287.39999999999418</v>
      </c>
    </row>
    <row r="31" spans="1:65">
      <c r="A31" s="1196" t="s">
        <v>13</v>
      </c>
      <c r="B31" s="1197">
        <f t="shared" si="0"/>
        <v>30</v>
      </c>
      <c r="C31" s="1197">
        <v>6</v>
      </c>
      <c r="D31" s="1197">
        <v>2021</v>
      </c>
      <c r="E31" s="1209">
        <f>(IF('Section Load'!F34&gt;0,'Section Load'!F34,0))</f>
        <v>2377</v>
      </c>
      <c r="F31" s="1209">
        <f>(IF('Section Load'!G34&gt;0,'Section Load'!G34,0))</f>
        <v>1302.1300000000047</v>
      </c>
      <c r="G31" s="1209">
        <f>(IF('Section Load'!H34&gt;0,'Section Load'!H34,0))</f>
        <v>1330.9300000000512</v>
      </c>
      <c r="H31" s="1209">
        <f>(IF('Section Load'!I34&gt;0,'Section Load'!I34,0))</f>
        <v>2954</v>
      </c>
      <c r="I31" s="1209">
        <f>(IF('Section Load'!J34&gt;0,'Section Load'!J34,0))</f>
        <v>5573</v>
      </c>
      <c r="J31" s="1209">
        <f>(IF('Section Load'!K34&gt;0,'Section Load'!K34,0))</f>
        <v>2307</v>
      </c>
      <c r="K31" s="1209">
        <f>(IF('Section Load'!L34&gt;0,'Section Load'!L34,0))</f>
        <v>926</v>
      </c>
      <c r="L31" s="1209">
        <f>(IF('Section Load'!M34&gt;0,'Section Load'!M34,0))</f>
        <v>0</v>
      </c>
      <c r="M31" s="1209">
        <f>(IF('Section Load'!N34&gt;0,'Section Load'!N34,0))</f>
        <v>14</v>
      </c>
      <c r="N31" s="1209">
        <f>(IF('Section Load'!O34&gt;0,'Section Load'!O34,0))</f>
        <v>1</v>
      </c>
      <c r="O31" s="1209">
        <f>(IF('Section Load'!P34&gt;0,'Section Load'!P34,0))</f>
        <v>6</v>
      </c>
      <c r="P31" s="1209">
        <f>(IF('Section Load'!Q34&gt;0,'Section Load'!Q34,0))</f>
        <v>54</v>
      </c>
      <c r="Q31" s="1209">
        <f>(IF('Section Load'!R34&gt;0,'Section Load'!R34,0))</f>
        <v>55</v>
      </c>
      <c r="R31" s="1209">
        <f>(IF('Section Load'!S34&gt;0,'Section Load'!S34,0))</f>
        <v>41</v>
      </c>
      <c r="S31" s="1209">
        <f>(IF('Section Load'!T34&gt;0,'Section Load'!T34,0))</f>
        <v>194</v>
      </c>
      <c r="T31" s="1209">
        <f>(IF('Section Load'!U34&gt;0,'Section Load'!U34,0))</f>
        <v>161</v>
      </c>
      <c r="U31" s="1209">
        <f>(IF('Section Load'!V34&gt;0,'Section Load'!V34,0))</f>
        <v>381</v>
      </c>
      <c r="V31" s="1209">
        <f>(IF('Section Load'!W34&gt;0,'Section Load'!W34,0))</f>
        <v>98</v>
      </c>
      <c r="W31" s="1209">
        <f>(IF('Section Load'!X34&gt;0,'Section Load'!X34,0))</f>
        <v>23</v>
      </c>
      <c r="X31" s="1209">
        <f>(IF('Section Load'!Y34&gt;0,'Section Load'!Y34,0))</f>
        <v>91</v>
      </c>
      <c r="Y31" s="1209">
        <f>(IF('Section Load'!Z34&gt;0,'Section Load'!Z34,0))</f>
        <v>224</v>
      </c>
      <c r="Z31" s="1209">
        <f>(IF('Section Load'!AA34&gt;0,'Section Load'!AA34,0))</f>
        <v>36</v>
      </c>
      <c r="AA31" s="1209">
        <f>(IF('Section Load'!AB34&gt;0,'Section Load'!AB34,0))</f>
        <v>12</v>
      </c>
      <c r="AB31" s="1209">
        <f>(IF('Section Load'!AC34&gt;0,'Section Load'!AC34,0))</f>
        <v>24</v>
      </c>
      <c r="AC31" s="1209">
        <f>(IF('Section Load'!AD34&gt;0,'Section Load'!AD34,0))</f>
        <v>12</v>
      </c>
      <c r="AD31" s="1209">
        <f>(IF('Section Load'!AE34&gt;0,'Section Load'!AE34,0))</f>
        <v>0</v>
      </c>
      <c r="AE31" s="1209">
        <f>(IF('Section Load'!AF34&gt;0,'Section Load'!AF34,0))</f>
        <v>4</v>
      </c>
      <c r="AF31" s="1209">
        <f>(IF('Section Load'!AG34&gt;0,'Section Load'!AG34,0))</f>
        <v>192</v>
      </c>
      <c r="AG31" s="1209">
        <f>(IF('Section Load'!AH34&gt;0,'Section Load'!AH34,0))</f>
        <v>216</v>
      </c>
      <c r="AH31" s="1209">
        <f>(IF('Section Load'!AI34&gt;0,'Section Load'!AI34,0))</f>
        <v>301</v>
      </c>
      <c r="AI31" s="1209">
        <f>(IF('Section Load'!AJ34&gt;0,'Section Load'!AJ34,0))</f>
        <v>526</v>
      </c>
      <c r="AJ31" s="1209">
        <f>(IF('Section Load'!AK34&gt;0,'Section Load'!AK34,0))</f>
        <v>0</v>
      </c>
      <c r="AK31" s="1209">
        <f>(IF('Section Load'!AL34&gt;0,'Section Load'!AL34,0))</f>
        <v>138</v>
      </c>
      <c r="AL31" s="1209">
        <f>(IF('Section Load'!AM34&gt;0,'Section Load'!AM34,0))</f>
        <v>802</v>
      </c>
      <c r="AM31" s="1210">
        <f>(IF('Water Report'!$AG$7&gt;0,'Water Report'!$AG$7,0))</f>
        <v>0</v>
      </c>
      <c r="AN31" s="1210">
        <f>(IF('Water Report'!$AG$8&gt;0,'Water Report'!$AG$8,0))</f>
        <v>112</v>
      </c>
      <c r="AO31" s="1210">
        <f>(IF('Water Report'!$AG$9&gt;0,'Water Report'!$AG$9,0))</f>
        <v>38</v>
      </c>
      <c r="AP31" s="1210">
        <f>(IF('Water Report'!$AG$10&gt;0,'Water Report'!$DAG$10,0))</f>
        <v>0</v>
      </c>
      <c r="AQ31" s="1210">
        <f>(IF('Water Report'!$AG$11&gt;0,'Water Report'!$DAG$11,0))</f>
        <v>0</v>
      </c>
      <c r="AR31" s="1210">
        <f>(IF('Water Report'!$AG$13&gt;0,'Water Report'!$DAG$13,0))</f>
        <v>0</v>
      </c>
      <c r="AS31" s="1210">
        <f>(IF('Water Report'!$AG$14&gt;0,'Water Report'!$DAG$14,0))</f>
        <v>0</v>
      </c>
      <c r="AT31" s="1210">
        <f>(IF('Water Report'!$AG$15&gt;0,'Water Report'!$DAG$15,0))</f>
        <v>0</v>
      </c>
      <c r="AU31" s="1210">
        <f>(IF('Water Report'!$AG$17&gt;0,'Water Report'!$DAG$17,0))</f>
        <v>0</v>
      </c>
      <c r="AV31" s="1210">
        <f>(IF('Water Report'!$AG$18&gt;0,'Water Report'!$DAG$18,0))</f>
        <v>0</v>
      </c>
      <c r="AW31" s="1210">
        <f>(IF('Water Report'!$AG$19&gt;0,'Water Report'!$DAG$19,0))</f>
        <v>0</v>
      </c>
      <c r="AX31" s="1253">
        <f>(IF('Water Report'!$AG$21&gt;0,'Water Report'!$DAG$21,0))</f>
        <v>0</v>
      </c>
      <c r="AY31" s="1253">
        <f>(IF('Water Report'!$AG$22&gt;0,'Water Report'!$DAG$22,0))</f>
        <v>0</v>
      </c>
      <c r="AZ31" s="1253">
        <f>(IF('Water Report'!$AG$23&gt;0,'Water Report'!$DAG$23,0))</f>
        <v>0</v>
      </c>
      <c r="BA31" s="1253">
        <f>(IF('Water Report'!$AG$14&gt;0,'Water Report'!$DAG$14,0))</f>
        <v>0</v>
      </c>
      <c r="BB31" s="1253">
        <f>(IF('Water Report'!$AG$15&gt;0,'Water Report'!$DAG$15,0))</f>
        <v>0</v>
      </c>
      <c r="BC31" s="1253">
        <f>(IF('Water Report'!$AG$13&gt;0,'Water Report'!$DAG$13,0))</f>
        <v>0</v>
      </c>
      <c r="BD31" s="1253">
        <f>(IF('Water Report'!$AG$24&gt;0,'Water Report'!$DAG$24,0))</f>
        <v>0</v>
      </c>
      <c r="BE31" s="1253">
        <f>(IF('Water Report'!$AG$25&gt;0,'Water Report'!$DAG$25,0))</f>
        <v>0</v>
      </c>
      <c r="BF31" s="1253">
        <f>(IF('Water Report'!$AG$27&gt;0,'Water Report'!$DAG$27,0))</f>
        <v>0</v>
      </c>
      <c r="BG31" s="1211">
        <f>(IF('Section Load'!AN34&gt;0,'Section Load'!AN34,0))</f>
        <v>550</v>
      </c>
      <c r="BH31" s="1211">
        <f>(IF('Section Load'!AO34&gt;0,'Section Load'!AO34,0))</f>
        <v>217</v>
      </c>
      <c r="BI31" s="1211">
        <f>(IF('Section Load'!AP34&gt;0,'Section Load'!AP34,0))</f>
        <v>0.39999999999417923</v>
      </c>
      <c r="BJ31" s="1211">
        <f>(IF('Section Load'!AQ34&gt;0,'Section Load'!AQ34,0))</f>
        <v>65</v>
      </c>
      <c r="BK31" s="1211">
        <f>(IF('Section Load'!AR34&gt;0,'Section Load'!AR34,0))</f>
        <v>0</v>
      </c>
      <c r="BL31" s="1211">
        <f>(IF('Section Load'!AS34&gt;0,'Section Load'!AS34,0))</f>
        <v>0</v>
      </c>
      <c r="BM31" s="1211">
        <f>(IF('Section Load'!AT34&gt;0,'Section Load'!AT34,0))</f>
        <v>267.60000000000582</v>
      </c>
    </row>
    <row r="32" spans="1:65">
      <c r="A32" s="1196" t="s">
        <v>13</v>
      </c>
      <c r="B32" s="1197">
        <f t="shared" si="0"/>
        <v>31</v>
      </c>
      <c r="C32" s="1197">
        <v>6</v>
      </c>
      <c r="D32" s="1197">
        <v>2021</v>
      </c>
      <c r="E32" s="1209">
        <f>(IF('Section Load'!F35&gt;0,'Section Load'!F35,0))</f>
        <v>2344.8699999999953</v>
      </c>
      <c r="F32" s="1209">
        <f>(IF('Section Load'!G35&gt;0,'Section Load'!G35,0))</f>
        <v>1260</v>
      </c>
      <c r="G32" s="1209">
        <f>(IF('Section Load'!H35&gt;0,'Section Load'!H35,0))</f>
        <v>1249</v>
      </c>
      <c r="H32" s="1209">
        <f>(IF('Section Load'!I35&gt;0,'Section Load'!I35,0))</f>
        <v>2684</v>
      </c>
      <c r="I32" s="1209">
        <f>(IF('Section Load'!J35&gt;0,'Section Load'!J35,0))</f>
        <v>5603</v>
      </c>
      <c r="J32" s="1209">
        <f>(IF('Section Load'!K35&gt;0,'Section Load'!K35,0))</f>
        <v>2277</v>
      </c>
      <c r="K32" s="1209">
        <f>(IF('Section Load'!L35&gt;0,'Section Load'!L35,0))</f>
        <v>884</v>
      </c>
      <c r="L32" s="1209">
        <f>(IF('Section Load'!M35&gt;0,'Section Load'!M35,0))</f>
        <v>173</v>
      </c>
      <c r="M32" s="1209">
        <f>(IF('Section Load'!N35&gt;0,'Section Load'!N35,0))</f>
        <v>12</v>
      </c>
      <c r="N32" s="1209">
        <f>(IF('Section Load'!O35&gt;0,'Section Load'!O35,0))</f>
        <v>1</v>
      </c>
      <c r="O32" s="1209">
        <f>(IF('Section Load'!P35&gt;0,'Section Load'!P35,0))</f>
        <v>7</v>
      </c>
      <c r="P32" s="1209">
        <f>(IF('Section Load'!Q35&gt;0,'Section Load'!Q35,0))</f>
        <v>54</v>
      </c>
      <c r="Q32" s="1209">
        <f>(IF('Section Load'!R35&gt;0,'Section Load'!R35,0))</f>
        <v>56</v>
      </c>
      <c r="R32" s="1209">
        <f>(IF('Section Load'!S35&gt;0,'Section Load'!S35,0))</f>
        <v>48</v>
      </c>
      <c r="S32" s="1209">
        <f>(IF('Section Load'!T35&gt;0,'Section Load'!T35,0))</f>
        <v>78</v>
      </c>
      <c r="T32" s="1209">
        <f>(IF('Section Load'!U35&gt;0,'Section Load'!U35,0))</f>
        <v>158</v>
      </c>
      <c r="U32" s="1209">
        <f>(IF('Section Load'!V35&gt;0,'Section Load'!V35,0))</f>
        <v>359</v>
      </c>
      <c r="V32" s="1209">
        <f>(IF('Section Load'!W35&gt;0,'Section Load'!W35,0))</f>
        <v>89</v>
      </c>
      <c r="W32" s="1209">
        <f>(IF('Section Load'!X35&gt;0,'Section Load'!X35,0))</f>
        <v>12</v>
      </c>
      <c r="X32" s="1209">
        <f>(IF('Section Load'!Y35&gt;0,'Section Load'!Y35,0))</f>
        <v>270</v>
      </c>
      <c r="Y32" s="1209">
        <f>(IF('Section Load'!Z35&gt;0,'Section Load'!Z35,0))</f>
        <v>193</v>
      </c>
      <c r="Z32" s="1209">
        <f>(IF('Section Load'!AA35&gt;0,'Section Load'!AA35,0))</f>
        <v>23</v>
      </c>
      <c r="AA32" s="1209">
        <f>(IF('Section Load'!AB35&gt;0,'Section Load'!AB35,0))</f>
        <v>94</v>
      </c>
      <c r="AB32" s="1209">
        <f>(IF('Section Load'!AC35&gt;0,'Section Load'!AC35,0))</f>
        <v>10.599999999998545</v>
      </c>
      <c r="AC32" s="1209">
        <f>(IF('Section Load'!AD35&gt;0,'Section Load'!AD35,0))</f>
        <v>94</v>
      </c>
      <c r="AD32" s="1209">
        <f>(IF('Section Load'!AE35&gt;0,'Section Load'!AE35,0))</f>
        <v>0</v>
      </c>
      <c r="AE32" s="1209">
        <f>(IF('Section Load'!AF35&gt;0,'Section Load'!AF35,0))</f>
        <v>0</v>
      </c>
      <c r="AF32" s="1209">
        <f>(IF('Section Load'!AG35&gt;0,'Section Load'!AG35,0))</f>
        <v>187</v>
      </c>
      <c r="AG32" s="1209">
        <f>(IF('Section Load'!AH35&gt;0,'Section Load'!AH35,0))</f>
        <v>221</v>
      </c>
      <c r="AH32" s="1209">
        <f>(IF('Section Load'!AI35&gt;0,'Section Load'!AI35,0))</f>
        <v>283</v>
      </c>
      <c r="AI32" s="1209">
        <f>(IF('Section Load'!AJ35&gt;0,'Section Load'!AJ35,0))</f>
        <v>422</v>
      </c>
      <c r="AJ32" s="1209">
        <f>(IF('Section Load'!AK35&gt;0,'Section Load'!AK35,0))</f>
        <v>0</v>
      </c>
      <c r="AK32" s="1209">
        <f>(IF('Section Load'!AL35&gt;0,'Section Load'!AL35,0))</f>
        <v>104</v>
      </c>
      <c r="AL32" s="1209">
        <f>(IF('Section Load'!AM35&gt;0,'Section Load'!AM35,0))</f>
        <v>805</v>
      </c>
      <c r="AM32" s="1210">
        <f>(IF('Water Report'!$AH$7&gt;0,'Water Report'!$AH$7,0))</f>
        <v>110</v>
      </c>
      <c r="AN32" s="1210">
        <f>(IF('Water Report'!$AH$8&gt;0,'Water Report'!$AH$8,0))</f>
        <v>79</v>
      </c>
      <c r="AO32" s="1210">
        <f>(IF('Water Report'!$AH$9&gt;0,'Water Report'!$AH$9,0))</f>
        <v>54</v>
      </c>
      <c r="AP32" s="1210">
        <f>(IF('Water Report'!$AH$10&gt;0,'Water Report'!$DAH$10,0))</f>
        <v>0</v>
      </c>
      <c r="AQ32" s="1210">
        <f>(IF('Water Report'!$AH$11&gt;0,'Water Report'!$DAH$11,0))</f>
        <v>0</v>
      </c>
      <c r="AR32" s="1210">
        <f>(IF('Water Report'!$AH$13&gt;0,'Water Report'!$DAH$13,0))</f>
        <v>0</v>
      </c>
      <c r="AS32" s="1210">
        <f>(IF('Water Report'!$AH$14&gt;0,'Water Report'!$DAH$14,0))</f>
        <v>0</v>
      </c>
      <c r="AT32" s="1210">
        <f>(IF('Water Report'!$AH$15&gt;0,'Water Report'!$DAH$15,0))</f>
        <v>0</v>
      </c>
      <c r="AU32" s="1210">
        <f>(IF('Water Report'!$AH$17&gt;0,'Water Report'!$DAH$17,0))</f>
        <v>0</v>
      </c>
      <c r="AV32" s="1210">
        <f>(IF('Water Report'!$AH$18&gt;0,'Water Report'!$DAH$18,0))</f>
        <v>0</v>
      </c>
      <c r="AW32" s="1210">
        <f>(IF('Water Report'!$AH$19&gt;0,'Water Report'!$DAH$19,0))</f>
        <v>0</v>
      </c>
      <c r="AX32" s="1253">
        <f>(IF('Water Report'!$AH$21&gt;0,'Water Report'!$DAH$21,0))</f>
        <v>0</v>
      </c>
      <c r="AY32" s="1253">
        <f>(IF('Water Report'!$AH$22&gt;0,'Water Report'!$DAH$22,0))</f>
        <v>0</v>
      </c>
      <c r="AZ32" s="1253">
        <f>(IF('Water Report'!$AH$23&gt;0,'Water Report'!$DAH$23,0))</f>
        <v>0</v>
      </c>
      <c r="BA32" s="1253">
        <f>(IF('Water Report'!$AH$14&gt;0,'Water Report'!$DAH$14,0))</f>
        <v>0</v>
      </c>
      <c r="BB32" s="1253">
        <f>(IF('Water Report'!$AH$15&gt;0,'Water Report'!$DAH$15,0))</f>
        <v>0</v>
      </c>
      <c r="BC32" s="1253">
        <f>(IF('Water Report'!$AH$13&gt;0,'Water Report'!$DAH$13,0))</f>
        <v>0</v>
      </c>
      <c r="BD32" s="1253">
        <f>(IF('Water Report'!$AH$24&gt;0,'Water Report'!$DAH$24,0))</f>
        <v>0</v>
      </c>
      <c r="BE32" s="1253">
        <f>(IF('Water Report'!$AH$25&gt;0,'Water Report'!$DAH$25,0))</f>
        <v>0</v>
      </c>
      <c r="BF32" s="1253">
        <f>(IF('Water Report'!$AH$27&gt;0,'Water Report'!$DAH$27,0))</f>
        <v>0</v>
      </c>
      <c r="BG32" s="1211">
        <f>(IF('Section Load'!AN35&gt;0,'Section Load'!AN35,0))</f>
        <v>550</v>
      </c>
      <c r="BH32" s="1211">
        <f>(IF('Section Load'!AO35&gt;0,'Section Load'!AO35,0))</f>
        <v>177</v>
      </c>
      <c r="BI32" s="1211">
        <f>(IF('Section Load'!AP35&gt;0,'Section Load'!AP35,0))</f>
        <v>0</v>
      </c>
      <c r="BJ32" s="1211">
        <f>(IF('Section Load'!AQ35&gt;0,'Section Load'!AQ35,0))</f>
        <v>58</v>
      </c>
      <c r="BK32" s="1211">
        <f>(IF('Section Load'!AR35&gt;0,'Section Load'!AR35,0))</f>
        <v>2</v>
      </c>
      <c r="BL32" s="1211">
        <f>(IF('Section Load'!AS35&gt;0,'Section Load'!AS35,0))</f>
        <v>1</v>
      </c>
      <c r="BM32" s="1211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H34" sqref="H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3" customWidth="1"/>
    <col min="12" max="12" width="6.88671875" style="233" customWidth="1"/>
    <col min="13" max="13" width="7.44140625" customWidth="1"/>
    <col min="14" max="14" width="6.109375" customWidth="1"/>
    <col min="15" max="15" width="8.6640625" style="233" customWidth="1"/>
    <col min="16" max="16" width="7.21875" customWidth="1"/>
    <col min="17" max="17" width="6.109375" customWidth="1"/>
    <col min="18" max="18" width="8.5546875" style="233" customWidth="1"/>
    <col min="19" max="19" width="11.5546875" style="233" customWidth="1"/>
    <col min="20" max="21" width="6.109375" customWidth="1"/>
    <col min="22" max="22" width="10.5546875" style="233" customWidth="1"/>
    <col min="23" max="23" width="7.77734375" style="36" customWidth="1"/>
    <col min="24" max="24" width="7" style="36" customWidth="1"/>
    <col min="25" max="25" width="7.44140625" style="36" customWidth="1"/>
    <col min="26" max="26" width="8.33203125" style="36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26"/>
      <c r="B1" s="1426"/>
      <c r="C1" s="1426"/>
      <c r="D1" s="1426"/>
      <c r="E1" s="1426"/>
      <c r="F1" s="1426"/>
      <c r="G1" s="1426"/>
      <c r="H1" s="1426"/>
      <c r="I1" s="1426"/>
      <c r="J1" s="1426"/>
      <c r="K1" s="1426"/>
      <c r="L1" s="1426"/>
      <c r="M1" s="1426"/>
      <c r="N1" s="1426"/>
      <c r="O1" s="1426"/>
      <c r="P1" s="1426"/>
      <c r="Q1" s="1426"/>
      <c r="R1" s="1426"/>
      <c r="S1" s="1426"/>
      <c r="T1" s="1426"/>
      <c r="U1" s="1426"/>
      <c r="V1" s="1426"/>
      <c r="W1" s="1426"/>
      <c r="X1" s="1426"/>
      <c r="Y1" s="1426"/>
      <c r="Z1" s="1426"/>
      <c r="AA1" s="1426"/>
      <c r="AB1" s="1426"/>
      <c r="AC1" s="1426"/>
      <c r="AD1" s="1426"/>
      <c r="AE1" s="1426"/>
      <c r="AF1" s="1426"/>
      <c r="AG1" s="1426"/>
      <c r="AH1" s="1426"/>
      <c r="AI1" s="1426"/>
      <c r="AJ1" s="1426"/>
      <c r="AK1" s="1426"/>
      <c r="AL1" s="1426"/>
      <c r="AM1" s="1426"/>
      <c r="AN1" s="1426"/>
      <c r="AO1" s="1426"/>
      <c r="AP1" s="1426"/>
      <c r="AQ1" s="1426"/>
      <c r="AR1" s="1426"/>
      <c r="AS1" s="1426"/>
      <c r="AT1" s="1426"/>
      <c r="AU1" s="1426"/>
      <c r="AV1" s="1426"/>
      <c r="AW1" s="1426"/>
      <c r="AX1" s="1426"/>
      <c r="AY1" s="1426"/>
      <c r="AZ1" s="1426"/>
      <c r="BA1" s="1426"/>
      <c r="BB1" s="1426"/>
      <c r="BC1" s="1426"/>
      <c r="BD1" s="1426"/>
      <c r="BE1" s="1426"/>
      <c r="BF1" s="1426"/>
      <c r="BG1" s="1426"/>
      <c r="BH1" s="1426"/>
      <c r="BI1" s="1426"/>
      <c r="BJ1" s="1426"/>
      <c r="BK1" s="1426"/>
      <c r="BL1" s="1426"/>
      <c r="BM1" s="1426"/>
      <c r="BN1" s="1426"/>
      <c r="BO1" s="1426"/>
    </row>
    <row r="2" spans="1:70" ht="28.5" customHeight="1">
      <c r="A2" s="1" t="s">
        <v>34</v>
      </c>
      <c r="B2" s="1" t="s">
        <v>34</v>
      </c>
      <c r="C2" s="1384" t="s">
        <v>35</v>
      </c>
      <c r="D2" s="2" t="s">
        <v>36</v>
      </c>
      <c r="E2" s="3" t="s">
        <v>37</v>
      </c>
      <c r="F2" s="433" t="s">
        <v>38</v>
      </c>
      <c r="G2" s="433" t="s">
        <v>39</v>
      </c>
      <c r="H2" s="433"/>
      <c r="I2" s="1427" t="s">
        <v>40</v>
      </c>
      <c r="J2" s="1427"/>
      <c r="K2" s="1427"/>
      <c r="L2" s="234"/>
      <c r="M2" s="1428" t="s">
        <v>41</v>
      </c>
      <c r="N2" s="1428"/>
      <c r="O2" s="1428"/>
      <c r="P2" s="1429" t="s">
        <v>42</v>
      </c>
      <c r="Q2" s="1429"/>
      <c r="R2" s="1429"/>
      <c r="S2" s="234" t="s">
        <v>43</v>
      </c>
      <c r="T2" s="1430" t="s">
        <v>44</v>
      </c>
      <c r="U2" s="1430"/>
      <c r="V2" s="1430"/>
      <c r="W2" s="1431" t="s">
        <v>45</v>
      </c>
      <c r="X2" s="1432"/>
      <c r="Y2" s="1433"/>
      <c r="Z2" s="1383"/>
      <c r="AA2" s="1434" t="s">
        <v>46</v>
      </c>
      <c r="AB2" s="1434"/>
      <c r="AC2" s="1434"/>
      <c r="AD2" s="1434"/>
      <c r="AE2" s="1384"/>
      <c r="AF2" s="1384" t="s">
        <v>47</v>
      </c>
      <c r="AG2" s="1384" t="s">
        <v>48</v>
      </c>
      <c r="AH2" s="1434" t="s">
        <v>49</v>
      </c>
      <c r="AI2" s="1434"/>
      <c r="AJ2" s="1434"/>
      <c r="AK2" s="1384" t="s">
        <v>50</v>
      </c>
      <c r="AL2" s="1434" t="s">
        <v>51</v>
      </c>
      <c r="AM2" s="1434"/>
      <c r="AN2" s="1434"/>
      <c r="AO2" s="1384" t="s">
        <v>52</v>
      </c>
      <c r="AP2" s="5" t="s">
        <v>53</v>
      </c>
      <c r="AQ2" s="1435" t="s">
        <v>54</v>
      </c>
      <c r="AR2" s="1436"/>
      <c r="AS2" s="1436"/>
      <c r="AT2" s="1436"/>
      <c r="AU2" s="1436"/>
      <c r="AV2" s="1436"/>
      <c r="AW2" s="1436"/>
      <c r="AX2" s="1436"/>
      <c r="AY2" s="1436"/>
      <c r="AZ2" s="1437"/>
      <c r="BA2" s="1435" t="s">
        <v>55</v>
      </c>
      <c r="BB2" s="1436"/>
      <c r="BC2" s="1436"/>
      <c r="BD2" s="1436"/>
      <c r="BE2" s="1436"/>
      <c r="BF2" s="1436"/>
      <c r="BG2" s="1436"/>
      <c r="BH2" s="1436"/>
      <c r="BI2" s="1436"/>
      <c r="BJ2" s="1419"/>
      <c r="BK2" s="1420"/>
      <c r="BL2" s="1421"/>
      <c r="BM2" s="1421"/>
      <c r="BN2" s="1421"/>
      <c r="BO2" s="1384" t="s">
        <v>56</v>
      </c>
      <c r="BQ2" t="s">
        <v>57</v>
      </c>
    </row>
    <row r="3" spans="1:70" s="15" customFormat="1" ht="45">
      <c r="A3" s="6"/>
      <c r="B3" s="1"/>
      <c r="C3" s="7"/>
      <c r="D3" s="8"/>
      <c r="E3" s="9"/>
      <c r="F3" s="10" t="s">
        <v>58</v>
      </c>
      <c r="G3" s="10"/>
      <c r="H3" s="10" t="s">
        <v>59</v>
      </c>
      <c r="I3" s="11" t="s">
        <v>60</v>
      </c>
      <c r="J3" s="11" t="s">
        <v>61</v>
      </c>
      <c r="K3" s="231" t="s">
        <v>62</v>
      </c>
      <c r="L3" s="231" t="s">
        <v>63</v>
      </c>
      <c r="M3" s="11" t="s">
        <v>64</v>
      </c>
      <c r="N3" s="11" t="s">
        <v>61</v>
      </c>
      <c r="O3" s="231" t="s">
        <v>62</v>
      </c>
      <c r="P3" s="11" t="s">
        <v>65</v>
      </c>
      <c r="Q3" s="11" t="s">
        <v>61</v>
      </c>
      <c r="R3" s="231" t="s">
        <v>62</v>
      </c>
      <c r="S3" s="231"/>
      <c r="T3" s="7" t="s">
        <v>66</v>
      </c>
      <c r="U3" s="7" t="s">
        <v>61</v>
      </c>
      <c r="V3" s="231" t="s">
        <v>62</v>
      </c>
      <c r="W3" s="11" t="s">
        <v>67</v>
      </c>
      <c r="X3" s="11" t="s">
        <v>68</v>
      </c>
      <c r="Y3" s="11" t="s">
        <v>69</v>
      </c>
      <c r="Z3" s="11"/>
      <c r="AA3" s="12" t="s">
        <v>70</v>
      </c>
      <c r="AB3" s="12" t="s">
        <v>71</v>
      </c>
      <c r="AC3" s="12" t="s">
        <v>72</v>
      </c>
      <c r="AD3" s="12" t="s">
        <v>73</v>
      </c>
      <c r="AE3" s="12" t="s">
        <v>74</v>
      </c>
      <c r="AF3" s="12"/>
      <c r="AG3" s="12"/>
      <c r="AH3" s="12" t="s">
        <v>75</v>
      </c>
      <c r="AI3" s="12" t="s">
        <v>76</v>
      </c>
      <c r="AJ3" s="12" t="s">
        <v>77</v>
      </c>
      <c r="AK3" s="12"/>
      <c r="AL3" s="12" t="s">
        <v>78</v>
      </c>
      <c r="AM3" s="12" t="s">
        <v>79</v>
      </c>
      <c r="AN3" s="12"/>
      <c r="AO3" s="12"/>
      <c r="AP3" s="254"/>
      <c r="AQ3" s="256" t="s">
        <v>80</v>
      </c>
      <c r="AR3" s="13" t="s">
        <v>81</v>
      </c>
      <c r="AS3" s="13" t="s">
        <v>82</v>
      </c>
      <c r="AT3" s="13" t="s">
        <v>83</v>
      </c>
      <c r="AU3" s="13" t="s">
        <v>84</v>
      </c>
      <c r="AV3" s="13" t="s">
        <v>85</v>
      </c>
      <c r="AW3" s="13" t="s">
        <v>86</v>
      </c>
      <c r="AX3" s="13" t="s">
        <v>87</v>
      </c>
      <c r="AY3" s="13" t="s">
        <v>88</v>
      </c>
      <c r="AZ3" s="257" t="s">
        <v>89</v>
      </c>
      <c r="BA3" s="256" t="s">
        <v>90</v>
      </c>
      <c r="BB3" s="13" t="s">
        <v>91</v>
      </c>
      <c r="BC3" s="13" t="s">
        <v>82</v>
      </c>
      <c r="BD3" s="13" t="s">
        <v>92</v>
      </c>
      <c r="BE3" s="13" t="s">
        <v>93</v>
      </c>
      <c r="BF3" s="14" t="s">
        <v>94</v>
      </c>
      <c r="BG3" s="14" t="s">
        <v>95</v>
      </c>
      <c r="BH3" s="14" t="s">
        <v>87</v>
      </c>
      <c r="BI3" s="416" t="s">
        <v>96</v>
      </c>
      <c r="BJ3" s="416"/>
      <c r="BK3" s="14" t="s">
        <v>97</v>
      </c>
      <c r="BL3" s="14" t="s">
        <v>98</v>
      </c>
      <c r="BM3" s="14" t="s">
        <v>99</v>
      </c>
      <c r="BN3" s="14" t="s">
        <v>100</v>
      </c>
      <c r="BO3" s="12"/>
      <c r="BP3" s="15" t="s">
        <v>101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3">
        <f>'1'!D4</f>
        <v>0.8</v>
      </c>
      <c r="F4" s="253">
        <f>'1'!D2</f>
        <v>0.73</v>
      </c>
      <c r="G4" s="19">
        <f>'1'!G8</f>
        <v>16655</v>
      </c>
      <c r="H4" s="19">
        <f>'1'!G8</f>
        <v>16655</v>
      </c>
      <c r="I4" s="19">
        <f>'1'!G7</f>
        <v>16562</v>
      </c>
      <c r="J4" s="19">
        <f>'1'!F27</f>
        <v>9</v>
      </c>
      <c r="K4" s="239">
        <f>H4*J4</f>
        <v>149895</v>
      </c>
      <c r="L4" s="235">
        <f>I4/202</f>
        <v>81.990099009900987</v>
      </c>
      <c r="M4" s="19">
        <f>'1'!G15</f>
        <v>267</v>
      </c>
      <c r="N4" s="19">
        <v>35</v>
      </c>
      <c r="O4" s="235">
        <f>M4*N4</f>
        <v>9345</v>
      </c>
      <c r="P4" s="19">
        <f>'1'!G20</f>
        <v>80</v>
      </c>
      <c r="Q4" s="19">
        <v>134</v>
      </c>
      <c r="R4" s="236">
        <f t="shared" ref="R4:R33" si="0">P4*Q4</f>
        <v>10720</v>
      </c>
      <c r="S4" s="237">
        <f t="shared" ref="S4:S33" si="1">P4/(F4*202/100)</f>
        <v>54.252000542520001</v>
      </c>
      <c r="T4" s="19">
        <f>'1'!G24</f>
        <v>120</v>
      </c>
      <c r="U4" s="19">
        <v>69</v>
      </c>
      <c r="V4" s="238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5">
        <f>'1'!G124</f>
        <v>175</v>
      </c>
      <c r="AQ4" s="258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59">
        <f>'1'!G36</f>
        <v>446</v>
      </c>
      <c r="BA4" s="258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59">
        <f>'1'!G50</f>
        <v>814</v>
      </c>
      <c r="BJ4" s="367">
        <f>SUM(AV4,AW4,BF4,BG4)</f>
        <v>5306.5100000000093</v>
      </c>
      <c r="BK4" s="367">
        <f>'1'!G84</f>
        <v>827</v>
      </c>
      <c r="BL4" s="23">
        <f>SUM(AQ4,AV4,AW4,AX4,BA4,BF4,BG4,BH4)/I4%</f>
        <v>59.911302982731605</v>
      </c>
      <c r="BM4" s="23">
        <f>SUM(AT4,BD4)/I4%</f>
        <v>15.372539548363724</v>
      </c>
      <c r="BN4" s="24">
        <f>(AS4+BC4)/I4</f>
        <v>7.0643642072213506E-2</v>
      </c>
      <c r="BO4" s="25">
        <f>K4+O4+R4+V4</f>
        <v>178240</v>
      </c>
      <c r="BP4" s="212">
        <f>SUM(AV4,AW4,AX4,BF4,BG4,BH4,BK4)</f>
        <v>8405.5100000000093</v>
      </c>
      <c r="BQ4">
        <f>BP4/(AE4*280)</f>
        <v>1.2508199404761919</v>
      </c>
      <c r="BR4" s="212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3">
        <f>'2'!D4</f>
        <v>0.8</v>
      </c>
      <c r="F5" s="253">
        <f>'2'!D2</f>
        <v>0.6</v>
      </c>
      <c r="G5" s="19">
        <f>'2'!G8</f>
        <v>16620.270000000019</v>
      </c>
      <c r="H5" s="19">
        <f>'2'!G8</f>
        <v>16620.270000000019</v>
      </c>
      <c r="I5" s="19">
        <f>'2'!G7</f>
        <v>16547.630000000005</v>
      </c>
      <c r="J5" s="19">
        <v>10</v>
      </c>
      <c r="K5" s="239">
        <f t="shared" ref="K5:K33" si="3">H5*J5</f>
        <v>166202.70000000019</v>
      </c>
      <c r="L5" s="235">
        <f t="shared" ref="L5:L33" si="4">I5/202</f>
        <v>81.918960396039623</v>
      </c>
      <c r="M5" s="19">
        <f>'2'!G15</f>
        <v>436.69999999995343</v>
      </c>
      <c r="N5" s="19">
        <v>35</v>
      </c>
      <c r="O5" s="235">
        <f t="shared" ref="O5:O33" si="5">M5*N5</f>
        <v>15284.49999999837</v>
      </c>
      <c r="P5" s="19">
        <f>'2'!G20</f>
        <v>112</v>
      </c>
      <c r="Q5" s="19">
        <v>134</v>
      </c>
      <c r="R5" s="236">
        <f t="shared" si="0"/>
        <v>15008</v>
      </c>
      <c r="S5" s="237">
        <f t="shared" si="1"/>
        <v>92.409240924092416</v>
      </c>
      <c r="T5" s="19">
        <f>'2'!G24</f>
        <v>0</v>
      </c>
      <c r="U5" s="19">
        <v>69</v>
      </c>
      <c r="V5" s="238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5">
        <f>'2'!G124</f>
        <v>170.84999999997672</v>
      </c>
      <c r="AQ5" s="258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59">
        <f>'2'!G36</f>
        <v>488.12300000000005</v>
      </c>
      <c r="BA5" s="258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59">
        <f>'2'!G50</f>
        <v>854.71000000002095</v>
      </c>
      <c r="BJ5" s="367">
        <f t="shared" ref="BJ5:BJ32" si="12">SUM(AV5,AW5,BF5,BG5)</f>
        <v>4924.3699999999371</v>
      </c>
      <c r="BK5" s="367">
        <f>'2'!G84</f>
        <v>821</v>
      </c>
      <c r="BL5" s="23">
        <f t="shared" ref="BL5:BL33" si="13">SUM(AQ5,AV5,AW5,AX5,BA5,BF5,BG5,BH5)/I5%</f>
        <v>58.031814827863286</v>
      </c>
      <c r="BM5" s="23">
        <f t="shared" ref="BM5:BM33" si="14">SUM(AT5,BD5)/I5%</f>
        <v>15.207978423496277</v>
      </c>
      <c r="BN5" s="24">
        <f t="shared" ref="BN5:BN33" si="15">(AS5+BC5)/I5</f>
        <v>7.533948970335945E-2</v>
      </c>
      <c r="BO5" s="25">
        <f t="shared" ref="BO5:BO33" si="16">K5+O5+R5+V5</f>
        <v>196495.19999999856</v>
      </c>
      <c r="BP5" s="212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3">
        <f>'3'!D4</f>
        <v>0.78</v>
      </c>
      <c r="F6" s="253">
        <f>'3'!D2</f>
        <v>0.56999999999999995</v>
      </c>
      <c r="G6" s="19">
        <f>'3'!G8</f>
        <v>16135.809999999998</v>
      </c>
      <c r="H6" s="19">
        <f>'3'!G8</f>
        <v>16135.809999999998</v>
      </c>
      <c r="I6" s="19">
        <f>'3'!G7</f>
        <v>16075.239999999991</v>
      </c>
      <c r="J6" s="19">
        <v>10</v>
      </c>
      <c r="K6" s="239">
        <f t="shared" si="3"/>
        <v>161358.09999999998</v>
      </c>
      <c r="L6" s="235">
        <f t="shared" si="4"/>
        <v>79.580396039603912</v>
      </c>
      <c r="M6" s="19">
        <f>'3'!G15</f>
        <v>615.80400000000373</v>
      </c>
      <c r="N6" s="19">
        <v>35</v>
      </c>
      <c r="O6" s="235">
        <f t="shared" si="5"/>
        <v>21553.14000000013</v>
      </c>
      <c r="P6" s="19">
        <f>'3'!G20</f>
        <v>143</v>
      </c>
      <c r="Q6" s="19">
        <v>134</v>
      </c>
      <c r="R6" s="236">
        <f t="shared" si="0"/>
        <v>19162</v>
      </c>
      <c r="S6" s="237">
        <f t="shared" si="1"/>
        <v>124.19663018933475</v>
      </c>
      <c r="T6" s="19">
        <f>'3'!G24</f>
        <v>0</v>
      </c>
      <c r="U6" s="19">
        <v>69</v>
      </c>
      <c r="V6" s="238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5">
        <f>'3'!G124</f>
        <v>178.45000000006985</v>
      </c>
      <c r="AQ6" s="258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59">
        <f>'3'!G36</f>
        <v>475.35699999999997</v>
      </c>
      <c r="BA6" s="258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59">
        <f>'3'!G50</f>
        <v>869.23999999999069</v>
      </c>
      <c r="BJ6" s="367">
        <f t="shared" si="12"/>
        <v>4328.2400000001071</v>
      </c>
      <c r="BK6" s="367">
        <f>'3'!G84</f>
        <v>756</v>
      </c>
      <c r="BL6" s="23">
        <f t="shared" si="13"/>
        <v>56.408115835284548</v>
      </c>
      <c r="BM6" s="23">
        <f t="shared" si="14"/>
        <v>15.094766858846038</v>
      </c>
      <c r="BN6" s="24">
        <f t="shared" si="15"/>
        <v>7.9494925114648049E-2</v>
      </c>
      <c r="BO6" s="25">
        <f t="shared" si="16"/>
        <v>202073.24000000011</v>
      </c>
      <c r="BP6" s="212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3">
        <f>'4'!D4</f>
        <v>0.84</v>
      </c>
      <c r="F7" s="253">
        <f>'4'!D2</f>
        <v>0.1</v>
      </c>
      <c r="G7" s="19">
        <f>'4'!G8</f>
        <v>16478.789999999979</v>
      </c>
      <c r="H7" s="19">
        <f>'4'!G8</f>
        <v>16478.789999999979</v>
      </c>
      <c r="I7" s="19">
        <f>'4'!G7</f>
        <v>16418.200000000012</v>
      </c>
      <c r="J7" s="19">
        <v>10</v>
      </c>
      <c r="K7" s="239">
        <f t="shared" si="3"/>
        <v>164787.89999999979</v>
      </c>
      <c r="L7" s="235">
        <f t="shared" si="4"/>
        <v>81.278217821782235</v>
      </c>
      <c r="M7" s="19">
        <f>'4'!G15</f>
        <v>302.90400000009686</v>
      </c>
      <c r="N7" s="19">
        <v>35</v>
      </c>
      <c r="O7" s="235">
        <f t="shared" si="5"/>
        <v>10601.64000000339</v>
      </c>
      <c r="P7" s="19">
        <f>'4'!G20</f>
        <v>101</v>
      </c>
      <c r="Q7" s="19">
        <v>134</v>
      </c>
      <c r="R7" s="236">
        <f t="shared" si="0"/>
        <v>13534</v>
      </c>
      <c r="S7" s="237">
        <f t="shared" si="1"/>
        <v>499.99999999999989</v>
      </c>
      <c r="T7" s="19">
        <f>'4'!G24</f>
        <v>0</v>
      </c>
      <c r="U7" s="19">
        <v>69</v>
      </c>
      <c r="V7" s="238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5">
        <f>'4'!G124</f>
        <v>179.52999999991152</v>
      </c>
      <c r="AQ7" s="258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59">
        <f>'4'!G36</f>
        <v>520.79</v>
      </c>
      <c r="BA7" s="258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59">
        <f>'4'!G50</f>
        <v>1026.2000000000116</v>
      </c>
      <c r="BJ7" s="367">
        <f t="shared" si="12"/>
        <v>4466.5599999999395</v>
      </c>
      <c r="BK7" s="367">
        <f>'3'!G84</f>
        <v>756</v>
      </c>
      <c r="BL7" s="23">
        <f t="shared" si="13"/>
        <v>56.320912158458277</v>
      </c>
      <c r="BM7" s="23">
        <f t="shared" si="14"/>
        <v>16.828519569745772</v>
      </c>
      <c r="BN7" s="24">
        <f t="shared" si="15"/>
        <v>6.6351366166814543E-2</v>
      </c>
      <c r="BO7" s="25">
        <f t="shared" si="16"/>
        <v>188923.54000000318</v>
      </c>
      <c r="BP7" s="212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3">
        <f>'5'!D4</f>
        <v>0.84</v>
      </c>
      <c r="F8" s="253">
        <f>'5'!D2</f>
        <v>0.98</v>
      </c>
      <c r="G8" s="19">
        <f>'5'!G8</f>
        <v>20105.280000000028</v>
      </c>
      <c r="H8" s="19">
        <f>'5'!G8</f>
        <v>20105.280000000028</v>
      </c>
      <c r="I8" s="19">
        <f>'5'!G7</f>
        <v>20003.640000000014</v>
      </c>
      <c r="J8" s="19">
        <v>10</v>
      </c>
      <c r="K8" s="239">
        <f t="shared" si="3"/>
        <v>201052.80000000028</v>
      </c>
      <c r="L8" s="235">
        <f t="shared" si="4"/>
        <v>99.027920792079271</v>
      </c>
      <c r="M8" s="19">
        <f>'5'!G15</f>
        <v>453.90200000000186</v>
      </c>
      <c r="N8" s="19">
        <v>35</v>
      </c>
      <c r="O8" s="235">
        <f t="shared" si="5"/>
        <v>15886.570000000065</v>
      </c>
      <c r="P8" s="19">
        <f>'5'!G20</f>
        <v>102</v>
      </c>
      <c r="Q8" s="19">
        <v>134</v>
      </c>
      <c r="R8" s="236">
        <f t="shared" si="0"/>
        <v>13668</v>
      </c>
      <c r="S8" s="237">
        <f t="shared" si="1"/>
        <v>51.525560719337243</v>
      </c>
      <c r="T8" s="19">
        <f>'5'!G24</f>
        <v>0</v>
      </c>
      <c r="U8" s="19">
        <v>69</v>
      </c>
      <c r="V8" s="238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5">
        <f>'5'!G124</f>
        <v>181.65000000002328</v>
      </c>
      <c r="AQ8" s="258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59">
        <f>'5'!G36</f>
        <v>927.5</v>
      </c>
      <c r="BA8" s="258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59">
        <f>'5'!G50</f>
        <v>1410.5199999999604</v>
      </c>
      <c r="BJ8" s="367">
        <f t="shared" si="12"/>
        <v>5836.539999999979</v>
      </c>
      <c r="BK8" s="367">
        <f>'5'!G84</f>
        <v>877</v>
      </c>
      <c r="BL8" s="23">
        <f t="shared" si="13"/>
        <v>54.690946247782833</v>
      </c>
      <c r="BM8" s="23">
        <f t="shared" si="14"/>
        <v>16.43420897396674</v>
      </c>
      <c r="BN8" s="24">
        <f t="shared" si="15"/>
        <v>7.0176227926515816E-2</v>
      </c>
      <c r="BO8" s="25">
        <f t="shared" si="16"/>
        <v>230607.37000000034</v>
      </c>
      <c r="BP8" s="212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3">
        <f>'6'!D4</f>
        <v>0.84</v>
      </c>
      <c r="F9" s="253">
        <f>'6'!D2</f>
        <v>0.75</v>
      </c>
      <c r="G9" s="19">
        <f>'6'!G8</f>
        <v>18422.639999999956</v>
      </c>
      <c r="H9" s="19">
        <f>'6'!G8</f>
        <v>18422.639999999956</v>
      </c>
      <c r="I9" s="19">
        <f>'6'!G7</f>
        <v>18334.27999999997</v>
      </c>
      <c r="J9" s="19">
        <v>10</v>
      </c>
      <c r="K9" s="239">
        <f t="shared" si="3"/>
        <v>184226.39999999956</v>
      </c>
      <c r="L9" s="235">
        <f t="shared" si="4"/>
        <v>90.76376237623748</v>
      </c>
      <c r="M9" s="19">
        <f>'6'!G15</f>
        <v>556.86999999987893</v>
      </c>
      <c r="N9" s="19">
        <v>35</v>
      </c>
      <c r="O9" s="235">
        <f t="shared" si="5"/>
        <v>19490.449999995762</v>
      </c>
      <c r="P9" s="19">
        <f>'6'!G20</f>
        <v>175</v>
      </c>
      <c r="Q9" s="19">
        <v>134</v>
      </c>
      <c r="R9" s="236">
        <f t="shared" si="0"/>
        <v>23450</v>
      </c>
      <c r="S9" s="237">
        <f t="shared" si="1"/>
        <v>115.51155115511551</v>
      </c>
      <c r="T9" s="19">
        <f>'6'!G24</f>
        <v>0</v>
      </c>
      <c r="U9" s="19">
        <v>69</v>
      </c>
      <c r="V9" s="238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5">
        <f>'6'!G124</f>
        <v>189.30000000004657</v>
      </c>
      <c r="AQ9" s="258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59">
        <f>'6'!G36</f>
        <v>502.36000000000013</v>
      </c>
      <c r="BA9" s="258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59">
        <f>'6'!G50</f>
        <v>1017.0400000000373</v>
      </c>
      <c r="BJ9" s="367">
        <f t="shared" si="12"/>
        <v>5049.8000000000466</v>
      </c>
      <c r="BK9" s="367">
        <f>'6'!G84</f>
        <v>918</v>
      </c>
      <c r="BL9" s="23">
        <f t="shared" si="13"/>
        <v>55.28605432010518</v>
      </c>
      <c r="BM9" s="23">
        <f t="shared" si="14"/>
        <v>17.288052762366558</v>
      </c>
      <c r="BN9" s="24">
        <f t="shared" si="15"/>
        <v>7.7462000143992252E-2</v>
      </c>
      <c r="BO9" s="25">
        <f t="shared" si="16"/>
        <v>227166.84999999532</v>
      </c>
      <c r="BP9" s="212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3">
        <f>'7'!D4</f>
        <v>0.8</v>
      </c>
      <c r="F10" s="253">
        <f>'7'!D2</f>
        <v>0.76</v>
      </c>
      <c r="G10" s="19">
        <f>'7'!G8</f>
        <v>17315.960000000021</v>
      </c>
      <c r="H10" s="19">
        <f>'7'!G8</f>
        <v>17315.960000000021</v>
      </c>
      <c r="I10" s="19">
        <f>'7'!G7</f>
        <v>17237.040000000037</v>
      </c>
      <c r="J10" s="19">
        <v>10</v>
      </c>
      <c r="K10" s="239">
        <f t="shared" si="3"/>
        <v>173159.60000000021</v>
      </c>
      <c r="L10" s="235">
        <f t="shared" si="4"/>
        <v>85.331881188118999</v>
      </c>
      <c r="M10" s="19">
        <f>'7'!G15</f>
        <v>563.6500000001397</v>
      </c>
      <c r="N10" s="19">
        <v>35</v>
      </c>
      <c r="O10" s="235">
        <f t="shared" si="5"/>
        <v>19727.750000004889</v>
      </c>
      <c r="P10" s="19">
        <f>'7'!G20</f>
        <v>122</v>
      </c>
      <c r="Q10" s="19">
        <v>134</v>
      </c>
      <c r="R10" s="236">
        <f t="shared" si="0"/>
        <v>16348</v>
      </c>
      <c r="S10" s="237">
        <f t="shared" si="1"/>
        <v>79.468473163105784</v>
      </c>
      <c r="T10" s="19">
        <f>'7'!G24</f>
        <v>0</v>
      </c>
      <c r="U10" s="19">
        <v>69</v>
      </c>
      <c r="V10" s="238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5">
        <f>'7'!G124</f>
        <v>182.21999999997206</v>
      </c>
      <c r="AQ10" s="258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59">
        <f>'7'!G36</f>
        <v>523.92999999999984</v>
      </c>
      <c r="BA10" s="258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59">
        <f>'7'!G50</f>
        <v>844.47999999998137</v>
      </c>
      <c r="BJ10" s="367">
        <f t="shared" si="12"/>
        <v>4822.7399999999616</v>
      </c>
      <c r="BK10" s="367">
        <f>'7'!G84</f>
        <v>763</v>
      </c>
      <c r="BL10" s="23">
        <f t="shared" si="13"/>
        <v>56.416879000105652</v>
      </c>
      <c r="BM10" s="23">
        <f t="shared" si="14"/>
        <v>17.181952353768551</v>
      </c>
      <c r="BN10" s="24">
        <f t="shared" si="15"/>
        <v>7.0859033801626697E-2</v>
      </c>
      <c r="BO10" s="25">
        <f t="shared" si="16"/>
        <v>209235.3500000051</v>
      </c>
      <c r="BP10" s="212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3">
        <f>'8'!D4</f>
        <v>0.78</v>
      </c>
      <c r="F11" s="253">
        <f>'8'!D2</f>
        <v>0.24</v>
      </c>
      <c r="G11" s="19">
        <f>'8'!G8</f>
        <v>17288.559999999998</v>
      </c>
      <c r="H11" s="19">
        <f>'8'!G8</f>
        <v>17288.559999999998</v>
      </c>
      <c r="I11" s="19">
        <f>'8'!G7</f>
        <v>17225.719999999972</v>
      </c>
      <c r="J11" s="19">
        <v>10</v>
      </c>
      <c r="K11" s="239">
        <f t="shared" si="3"/>
        <v>172885.59999999998</v>
      </c>
      <c r="L11" s="235">
        <f t="shared" si="4"/>
        <v>85.275841584158272</v>
      </c>
      <c r="M11" s="19">
        <f>'8'!G15</f>
        <v>406.11999999987893</v>
      </c>
      <c r="N11" s="19">
        <v>35</v>
      </c>
      <c r="O11" s="235">
        <f t="shared" si="5"/>
        <v>14214.199999995762</v>
      </c>
      <c r="P11" s="19">
        <f>'8'!G20</f>
        <v>159</v>
      </c>
      <c r="Q11" s="19">
        <v>134</v>
      </c>
      <c r="R11" s="236">
        <f t="shared" si="0"/>
        <v>21306</v>
      </c>
      <c r="S11" s="237">
        <f t="shared" si="1"/>
        <v>327.97029702970298</v>
      </c>
      <c r="T11" s="19">
        <f>'8'!G24</f>
        <v>0</v>
      </c>
      <c r="U11" s="19">
        <v>69</v>
      </c>
      <c r="V11" s="238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5">
        <f>'8'!G124</f>
        <v>178.89000000001397</v>
      </c>
      <c r="AQ11" s="258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59">
        <f>'8'!G36</f>
        <v>596.12000000000035</v>
      </c>
      <c r="BA11" s="258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59">
        <f>'8'!G50</f>
        <v>832.40000000002328</v>
      </c>
      <c r="BJ11" s="367">
        <f t="shared" si="12"/>
        <v>5104.1400000000431</v>
      </c>
      <c r="BK11" s="367">
        <f>'8'!G84</f>
        <v>696</v>
      </c>
      <c r="BL11" s="23">
        <f t="shared" si="13"/>
        <v>58.114377802495575</v>
      </c>
      <c r="BM11" s="23">
        <f t="shared" si="14"/>
        <v>16.952556990360684</v>
      </c>
      <c r="BN11" s="24">
        <f t="shared" si="15"/>
        <v>6.6695035098677857E-2</v>
      </c>
      <c r="BO11" s="25">
        <f t="shared" si="16"/>
        <v>208405.79999999574</v>
      </c>
      <c r="BP11" s="212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3">
        <f>'9'!D4</f>
        <v>0.88</v>
      </c>
      <c r="F12" s="253">
        <f>'9'!D2</f>
        <v>0.16</v>
      </c>
      <c r="G12" s="19">
        <f>'9'!G8</f>
        <v>16891.690000000002</v>
      </c>
      <c r="H12" s="19">
        <f>'9'!G8</f>
        <v>16891.690000000002</v>
      </c>
      <c r="I12" s="19">
        <f>'9'!G7</f>
        <v>16842.25</v>
      </c>
      <c r="J12" s="19">
        <v>10</v>
      </c>
      <c r="K12" s="239">
        <f t="shared" si="3"/>
        <v>168916.90000000002</v>
      </c>
      <c r="L12" s="235">
        <f t="shared" si="4"/>
        <v>83.377475247524757</v>
      </c>
      <c r="M12" s="19">
        <f>'9'!G15</f>
        <v>345.05000000004657</v>
      </c>
      <c r="N12" s="19">
        <v>35</v>
      </c>
      <c r="O12" s="235">
        <f t="shared" si="5"/>
        <v>12076.75000000163</v>
      </c>
      <c r="P12" s="19">
        <f>'9'!G20</f>
        <v>78</v>
      </c>
      <c r="Q12" s="19">
        <v>134</v>
      </c>
      <c r="R12" s="236">
        <f t="shared" si="0"/>
        <v>10452</v>
      </c>
      <c r="S12" s="237">
        <f t="shared" si="1"/>
        <v>241.33663366336634</v>
      </c>
      <c r="T12" s="19">
        <f>'9'!G24</f>
        <v>0</v>
      </c>
      <c r="U12" s="19">
        <v>69</v>
      </c>
      <c r="V12" s="238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5">
        <f>'9'!G124</f>
        <v>206.10999999998603</v>
      </c>
      <c r="AQ12" s="258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59">
        <f>'9'!G36</f>
        <v>614.81999999999971</v>
      </c>
      <c r="BA12" s="258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59">
        <f>'9'!G50</f>
        <v>877.40999999997439</v>
      </c>
      <c r="BJ12" s="367">
        <f t="shared" si="12"/>
        <v>4917.2599999999802</v>
      </c>
      <c r="BK12" s="367">
        <f>'8'!G84</f>
        <v>696</v>
      </c>
      <c r="BL12" s="23">
        <f t="shared" si="13"/>
        <v>57.020706853300688</v>
      </c>
      <c r="BM12" s="23">
        <f t="shared" si="14"/>
        <v>18.226246493194321</v>
      </c>
      <c r="BN12" s="24">
        <f t="shared" si="15"/>
        <v>5.9662456025768876E-2</v>
      </c>
      <c r="BO12" s="25">
        <f t="shared" si="16"/>
        <v>191445.65000000165</v>
      </c>
      <c r="BP12" s="212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3">
        <f>'10'!D4</f>
        <v>0.78</v>
      </c>
      <c r="F13" s="253">
        <f>'10'!D2</f>
        <v>0.89</v>
      </c>
      <c r="G13" s="19">
        <f>'10'!G8</f>
        <v>17110</v>
      </c>
      <c r="H13" s="19">
        <f>'10'!G8</f>
        <v>17110</v>
      </c>
      <c r="I13" s="19">
        <f>'10'!G7</f>
        <v>17057</v>
      </c>
      <c r="J13" s="19">
        <v>10</v>
      </c>
      <c r="K13" s="239">
        <f t="shared" si="3"/>
        <v>171100</v>
      </c>
      <c r="L13" s="235">
        <f t="shared" si="4"/>
        <v>84.440594059405939</v>
      </c>
      <c r="M13" s="19">
        <f>'10'!G15</f>
        <v>665</v>
      </c>
      <c r="N13" s="19">
        <v>35</v>
      </c>
      <c r="O13" s="235">
        <f t="shared" si="5"/>
        <v>23275</v>
      </c>
      <c r="P13" s="19">
        <f>'10'!G20</f>
        <v>86</v>
      </c>
      <c r="Q13" s="19">
        <v>134</v>
      </c>
      <c r="R13" s="236">
        <f t="shared" si="0"/>
        <v>11524</v>
      </c>
      <c r="S13" s="237">
        <f t="shared" si="1"/>
        <v>47.836244298587161</v>
      </c>
      <c r="T13" s="19">
        <f>'10'!G24</f>
        <v>0</v>
      </c>
      <c r="U13" s="19">
        <v>69</v>
      </c>
      <c r="V13" s="238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5">
        <f>'10'!G124</f>
        <v>211</v>
      </c>
      <c r="AQ13" s="258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59">
        <f>'10'!G36</f>
        <v>564</v>
      </c>
      <c r="BA13" s="258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59">
        <f>'10'!G50</f>
        <v>890</v>
      </c>
      <c r="BJ13" s="367">
        <f t="shared" si="12"/>
        <v>4704.3899999999994</v>
      </c>
      <c r="BK13" s="367">
        <f>'8'!G84</f>
        <v>696</v>
      </c>
      <c r="BL13" s="23">
        <f t="shared" si="13"/>
        <v>54.613296593773818</v>
      </c>
      <c r="BM13" s="23">
        <f t="shared" si="14"/>
        <v>18.61599343378095</v>
      </c>
      <c r="BN13" s="24">
        <f t="shared" si="15"/>
        <v>7.0938617576361607E-2</v>
      </c>
      <c r="BO13" s="25">
        <f t="shared" si="16"/>
        <v>205899</v>
      </c>
      <c r="BP13" s="212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3">
        <f>'11'!D4</f>
        <v>0.8</v>
      </c>
      <c r="F14" s="253">
        <f>'11'!D2</f>
        <v>0.92</v>
      </c>
      <c r="G14" s="19">
        <f>'11'!G8</f>
        <v>17188</v>
      </c>
      <c r="H14" s="19">
        <f>'11'!G8</f>
        <v>17188</v>
      </c>
      <c r="I14" s="19">
        <f>'11'!G7</f>
        <v>17131</v>
      </c>
      <c r="J14" s="19">
        <v>10</v>
      </c>
      <c r="K14" s="239">
        <f t="shared" si="3"/>
        <v>171880</v>
      </c>
      <c r="L14" s="235">
        <f t="shared" si="4"/>
        <v>84.806930693069305</v>
      </c>
      <c r="M14" s="19">
        <f>'11'!G15</f>
        <v>498</v>
      </c>
      <c r="N14" s="19">
        <v>35</v>
      </c>
      <c r="O14" s="235">
        <f t="shared" si="5"/>
        <v>17430</v>
      </c>
      <c r="P14" s="19">
        <f>'11'!G20</f>
        <v>103</v>
      </c>
      <c r="Q14" s="19">
        <v>134</v>
      </c>
      <c r="R14" s="236">
        <f t="shared" si="0"/>
        <v>13802</v>
      </c>
      <c r="S14" s="237">
        <f t="shared" si="1"/>
        <v>55.42402066293586</v>
      </c>
      <c r="T14" s="19">
        <f>'11'!G24</f>
        <v>0</v>
      </c>
      <c r="U14" s="19">
        <v>69</v>
      </c>
      <c r="V14" s="238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5">
        <f>'11'!G124</f>
        <v>230</v>
      </c>
      <c r="AQ14" s="258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59">
        <f>'11'!G36</f>
        <v>578</v>
      </c>
      <c r="BA14" s="258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59">
        <f>'11'!G50</f>
        <v>897</v>
      </c>
      <c r="BJ14" s="367">
        <f t="shared" si="12"/>
        <v>4819</v>
      </c>
      <c r="BK14" s="367">
        <f>'11'!G84</f>
        <v>564</v>
      </c>
      <c r="BL14" s="23">
        <f t="shared" si="13"/>
        <v>55.128130290117333</v>
      </c>
      <c r="BM14" s="23">
        <f t="shared" si="14"/>
        <v>18.872219952133559</v>
      </c>
      <c r="BN14" s="24">
        <f t="shared" si="15"/>
        <v>6.9114470842332618E-2</v>
      </c>
      <c r="BO14" s="25">
        <f t="shared" si="16"/>
        <v>203112</v>
      </c>
      <c r="BP14" s="212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3">
        <f>'12'!D4</f>
        <v>0.79</v>
      </c>
      <c r="F15" s="253">
        <f>'12'!D2</f>
        <v>0.78</v>
      </c>
      <c r="G15" s="19">
        <f>'12'!G8</f>
        <v>18830</v>
      </c>
      <c r="H15" s="19">
        <f>'12'!G8</f>
        <v>18830</v>
      </c>
      <c r="I15" s="19">
        <f>'12'!G7</f>
        <v>18761</v>
      </c>
      <c r="J15" s="19">
        <v>10</v>
      </c>
      <c r="K15" s="239">
        <f t="shared" si="3"/>
        <v>188300</v>
      </c>
      <c r="L15" s="235">
        <f t="shared" si="4"/>
        <v>92.876237623762378</v>
      </c>
      <c r="M15" s="19">
        <f>'12'!G15</f>
        <v>460</v>
      </c>
      <c r="N15" s="19">
        <v>35</v>
      </c>
      <c r="O15" s="232">
        <f t="shared" si="5"/>
        <v>16100</v>
      </c>
      <c r="P15" s="19">
        <f>'12'!G20</f>
        <v>125</v>
      </c>
      <c r="Q15" s="19">
        <v>134</v>
      </c>
      <c r="R15" s="236">
        <f t="shared" si="0"/>
        <v>16750</v>
      </c>
      <c r="S15" s="237">
        <f t="shared" si="1"/>
        <v>79.334856562579333</v>
      </c>
      <c r="T15" s="19">
        <f>'12'!G24</f>
        <v>0</v>
      </c>
      <c r="U15" s="19">
        <v>69</v>
      </c>
      <c r="V15" s="238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5">
        <f>'12'!G124</f>
        <v>238</v>
      </c>
      <c r="AQ15" s="258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59">
        <f>'12'!G36</f>
        <v>544</v>
      </c>
      <c r="BA15" s="258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59">
        <f>'12'!G50</f>
        <v>939</v>
      </c>
      <c r="BJ15" s="367">
        <f t="shared" si="12"/>
        <v>5598</v>
      </c>
      <c r="BK15" s="367">
        <f>'12'!G84</f>
        <v>596</v>
      </c>
      <c r="BL15" s="23">
        <f t="shared" si="13"/>
        <v>56.148392942806879</v>
      </c>
      <c r="BM15" s="23">
        <f t="shared" si="14"/>
        <v>18.746335483183199</v>
      </c>
      <c r="BN15" s="24">
        <f t="shared" si="15"/>
        <v>7.3716752838334842E-2</v>
      </c>
      <c r="BO15" s="25">
        <f t="shared" si="16"/>
        <v>221150</v>
      </c>
      <c r="BP15" s="212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3">
        <f>'13'!D4</f>
        <v>0.92</v>
      </c>
      <c r="F16" s="253">
        <f>'13'!D2</f>
        <v>0.26</v>
      </c>
      <c r="G16" s="19">
        <f>'13'!G8</f>
        <v>20443</v>
      </c>
      <c r="H16" s="19">
        <f>'13'!G8</f>
        <v>20443</v>
      </c>
      <c r="I16" s="19">
        <f>'13'!G7</f>
        <v>20334</v>
      </c>
      <c r="J16" s="19">
        <v>10</v>
      </c>
      <c r="K16" s="239">
        <f t="shared" si="3"/>
        <v>204430</v>
      </c>
      <c r="L16" s="235">
        <f t="shared" si="4"/>
        <v>100.66336633663366</v>
      </c>
      <c r="M16" s="19">
        <f>'13'!G15</f>
        <v>737</v>
      </c>
      <c r="N16" s="19">
        <v>35</v>
      </c>
      <c r="O16" s="232">
        <f t="shared" si="5"/>
        <v>25795</v>
      </c>
      <c r="P16" s="19">
        <f>'13'!G20</f>
        <v>194</v>
      </c>
      <c r="Q16" s="19">
        <v>134</v>
      </c>
      <c r="R16" s="236">
        <f t="shared" si="0"/>
        <v>25996</v>
      </c>
      <c r="S16" s="237">
        <f t="shared" si="1"/>
        <v>369.38309215536941</v>
      </c>
      <c r="T16" s="19">
        <f>'13'!G24</f>
        <v>0</v>
      </c>
      <c r="U16" s="19">
        <v>69</v>
      </c>
      <c r="V16" s="238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5">
        <f>'13'!G124</f>
        <v>245</v>
      </c>
      <c r="AQ16" s="258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59">
        <f>'13'!G36</f>
        <v>557</v>
      </c>
      <c r="BA16" s="258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59">
        <f>'13'!G50</f>
        <v>1050</v>
      </c>
      <c r="BJ16" s="367">
        <f t="shared" si="12"/>
        <v>6701.4799999999959</v>
      </c>
      <c r="BK16" s="367">
        <f>'13'!G84</f>
        <v>687</v>
      </c>
      <c r="BL16" s="23">
        <f t="shared" si="13"/>
        <v>58.83648077112224</v>
      </c>
      <c r="BM16" s="23">
        <f t="shared" si="14"/>
        <v>16.568309235762761</v>
      </c>
      <c r="BN16" s="24">
        <f t="shared" si="15"/>
        <v>7.3473000885216883E-2</v>
      </c>
      <c r="BO16" s="25">
        <f t="shared" si="16"/>
        <v>256221</v>
      </c>
      <c r="BP16" s="212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3">
        <f>'14'!D4</f>
        <v>0.78</v>
      </c>
      <c r="F17" s="253">
        <f>'14'!D2</f>
        <v>0.63</v>
      </c>
      <c r="G17" s="19">
        <f>'14'!G8</f>
        <v>17150</v>
      </c>
      <c r="H17" s="19">
        <f>'14'!G8</f>
        <v>17150</v>
      </c>
      <c r="I17" s="19">
        <f>'14'!G7</f>
        <v>17000</v>
      </c>
      <c r="J17" s="19">
        <v>10</v>
      </c>
      <c r="K17" s="239">
        <f t="shared" si="3"/>
        <v>171500</v>
      </c>
      <c r="L17" s="235">
        <f t="shared" si="4"/>
        <v>84.158415841584159</v>
      </c>
      <c r="M17" s="19">
        <f>'14'!G15</f>
        <v>550</v>
      </c>
      <c r="N17" s="19">
        <v>35</v>
      </c>
      <c r="O17" s="232">
        <f t="shared" si="5"/>
        <v>19250</v>
      </c>
      <c r="P17" s="19">
        <f>'14'!G20</f>
        <v>-1837</v>
      </c>
      <c r="Q17" s="19">
        <v>134</v>
      </c>
      <c r="R17" s="236">
        <f t="shared" si="0"/>
        <v>-246158</v>
      </c>
      <c r="S17" s="237">
        <f t="shared" si="1"/>
        <v>-1443.5014930064435</v>
      </c>
      <c r="T17" s="19">
        <f>'14'!G24</f>
        <v>0</v>
      </c>
      <c r="U17" s="19">
        <v>69</v>
      </c>
      <c r="V17" s="238">
        <f t="shared" si="6"/>
        <v>0</v>
      </c>
      <c r="W17" s="22">
        <f>'14'!G96</f>
        <v>-1385</v>
      </c>
      <c r="X17" s="22">
        <f>'14'!G97</f>
        <v>-347</v>
      </c>
      <c r="Y17" s="22">
        <f>'14'!G98</f>
        <v>-625</v>
      </c>
      <c r="Z17" s="22">
        <f>W17+X17+Y17</f>
        <v>-2357</v>
      </c>
      <c r="AA17" s="19">
        <f>'14'!G133</f>
        <v>-164.65000000000146</v>
      </c>
      <c r="AB17" s="19">
        <f>'14'!G134</f>
        <v>0</v>
      </c>
      <c r="AC17" s="19">
        <f>'14'!G135</f>
        <v>-290.87000000000262</v>
      </c>
      <c r="AD17" s="19">
        <f>'14'!G136</f>
        <v>-291.02000000000044</v>
      </c>
      <c r="AE17" s="19">
        <f t="shared" si="8"/>
        <v>-746.54000000000451</v>
      </c>
      <c r="AF17" s="23">
        <f t="shared" si="2"/>
        <v>-154018.67000000004</v>
      </c>
      <c r="AG17" s="23">
        <f t="shared" si="9"/>
        <v>206.3100034827325</v>
      </c>
      <c r="AH17" s="19">
        <f>'14'!G137</f>
        <v>-74.590000000000146</v>
      </c>
      <c r="AI17" s="19">
        <f>'14'!G138</f>
        <v>-9.9999999998544808E-2</v>
      </c>
      <c r="AJ17" s="19">
        <f>'14'!G139</f>
        <v>-108.70999999999185</v>
      </c>
      <c r="AK17" s="19">
        <f t="shared" si="10"/>
        <v>-183.39999999999054</v>
      </c>
      <c r="AL17" s="19">
        <f>'14'!G140</f>
        <v>-228.70999999999981</v>
      </c>
      <c r="AM17" s="19">
        <f>'14'!G141</f>
        <v>0</v>
      </c>
      <c r="AN17" s="19"/>
      <c r="AO17" s="19">
        <f t="shared" si="11"/>
        <v>-228.70999999999981</v>
      </c>
      <c r="AP17" s="255">
        <f>'14'!G124</f>
        <v>-6003.9100000000326</v>
      </c>
      <c r="AQ17" s="258">
        <f>'14'!G35</f>
        <v>-66853.050000000047</v>
      </c>
      <c r="AR17" s="19">
        <f>'14'!G37</f>
        <v>-39435.089999999997</v>
      </c>
      <c r="AS17" s="19">
        <f>'14'!G38</f>
        <v>-36338.03</v>
      </c>
      <c r="AT17" s="19">
        <f>'14'!G39</f>
        <v>-74453.109999999986</v>
      </c>
      <c r="AU17" s="19">
        <f>'14'!G40</f>
        <v>-962.97</v>
      </c>
      <c r="AV17" s="19">
        <f>'14'!G41</f>
        <v>-35002.450000000012</v>
      </c>
      <c r="AW17" s="19">
        <f>'14'!G42</f>
        <v>-10.919999999998254</v>
      </c>
      <c r="AX17" s="19">
        <f>'14'!G43</f>
        <v>-69214.800000000047</v>
      </c>
      <c r="AY17" s="23">
        <f>'14'!G44</f>
        <v>0</v>
      </c>
      <c r="AZ17" s="259">
        <f>'14'!G36</f>
        <v>339554</v>
      </c>
      <c r="BA17" s="258">
        <f>'14'!G49</f>
        <v>0</v>
      </c>
      <c r="BB17" s="19">
        <f>'14'!G51</f>
        <v>0</v>
      </c>
      <c r="BC17" s="19">
        <f>'14'!G52</f>
        <v>0</v>
      </c>
      <c r="BD17" s="19">
        <f>'14'!G53</f>
        <v>-10707.710000000021</v>
      </c>
      <c r="BE17" s="19">
        <f>'14'!G54</f>
        <v>-2426.9899999999998</v>
      </c>
      <c r="BF17" s="19">
        <f>'14'!G55</f>
        <v>-59573.01</v>
      </c>
      <c r="BG17" s="19">
        <f>'14'!G56</f>
        <v>-59432.290000000037</v>
      </c>
      <c r="BH17" s="19">
        <f>'14'!G57</f>
        <v>0</v>
      </c>
      <c r="BI17" s="259">
        <f>'14'!G50</f>
        <v>-27329.010000000009</v>
      </c>
      <c r="BJ17" s="367">
        <f t="shared" si="12"/>
        <v>-154018.67000000004</v>
      </c>
      <c r="BK17" s="367">
        <f>'14'!G84</f>
        <v>-19642</v>
      </c>
      <c r="BL17" s="23">
        <f t="shared" si="13"/>
        <v>-1706.3912941176479</v>
      </c>
      <c r="BM17" s="23">
        <f t="shared" si="14"/>
        <v>-500.94600000000003</v>
      </c>
      <c r="BN17" s="24">
        <f t="shared" si="15"/>
        <v>-2.137531176470588</v>
      </c>
      <c r="BO17" s="25">
        <f t="shared" si="16"/>
        <v>-55408</v>
      </c>
      <c r="BP17" s="212">
        <f t="shared" si="17"/>
        <v>-242875.47000000009</v>
      </c>
      <c r="BQ17">
        <f t="shared" si="18"/>
        <v>1.1619101359031505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3">
        <f>'15'!D4</f>
        <v>0.78</v>
      </c>
      <c r="F18" s="253">
        <f>'15'!D2</f>
        <v>0.83</v>
      </c>
      <c r="G18" s="19">
        <f>'15'!G8</f>
        <v>17150</v>
      </c>
      <c r="H18" s="19">
        <f>'15'!G8</f>
        <v>17150</v>
      </c>
      <c r="I18" s="19">
        <f>'15'!G7</f>
        <v>17000</v>
      </c>
      <c r="J18" s="19">
        <v>10</v>
      </c>
      <c r="K18" s="239">
        <f t="shared" si="3"/>
        <v>171500</v>
      </c>
      <c r="L18" s="235">
        <f t="shared" si="4"/>
        <v>84.158415841584159</v>
      </c>
      <c r="M18" s="19">
        <f>'15'!G15</f>
        <v>550</v>
      </c>
      <c r="N18" s="19">
        <v>35</v>
      </c>
      <c r="O18" s="232">
        <f t="shared" si="5"/>
        <v>19250</v>
      </c>
      <c r="P18" s="19">
        <f>'15'!G20</f>
        <v>116</v>
      </c>
      <c r="Q18" s="19">
        <v>134</v>
      </c>
      <c r="R18" s="236">
        <f t="shared" si="0"/>
        <v>15544</v>
      </c>
      <c r="S18" s="237">
        <f t="shared" si="1"/>
        <v>69.187641655731838</v>
      </c>
      <c r="T18" s="19">
        <f>'15'!G24</f>
        <v>0</v>
      </c>
      <c r="U18" s="19">
        <v>69</v>
      </c>
      <c r="V18" s="238">
        <f t="shared" si="6"/>
        <v>0</v>
      </c>
      <c r="W18" s="22">
        <f>'15'!G96</f>
        <v>42</v>
      </c>
      <c r="X18" s="22">
        <f>'15'!G97</f>
        <v>10</v>
      </c>
      <c r="Y18" s="22">
        <f>'15'!G98</f>
        <v>33</v>
      </c>
      <c r="Z18" s="22">
        <f t="shared" si="7"/>
        <v>85</v>
      </c>
      <c r="AA18" s="19">
        <f>'15'!G133</f>
        <v>2.1699999999982538</v>
      </c>
      <c r="AB18" s="19">
        <f>'15'!G134</f>
        <v>0</v>
      </c>
      <c r="AC18" s="19">
        <f>'15'!G135</f>
        <v>23.930000000000291</v>
      </c>
      <c r="AD18" s="19">
        <f>'15'!G136</f>
        <v>0</v>
      </c>
      <c r="AE18" s="19">
        <f t="shared" si="8"/>
        <v>26.099999999998545</v>
      </c>
      <c r="AF18" s="23">
        <f t="shared" si="2"/>
        <v>5855.1400000000194</v>
      </c>
      <c r="AG18" s="23">
        <f t="shared" si="9"/>
        <v>224.33486590039638</v>
      </c>
      <c r="AH18" s="19">
        <f>'15'!G137</f>
        <v>0</v>
      </c>
      <c r="AI18" s="19">
        <f>'15'!G138</f>
        <v>0</v>
      </c>
      <c r="AJ18" s="19">
        <f>'15'!G139</f>
        <v>9.5299999999988358</v>
      </c>
      <c r="AK18" s="19">
        <f t="shared" si="10"/>
        <v>9.5299999999988358</v>
      </c>
      <c r="AL18" s="19">
        <f>'15'!G140</f>
        <v>7.6199999999998909</v>
      </c>
      <c r="AM18" s="19">
        <f>'15'!G141</f>
        <v>0</v>
      </c>
      <c r="AN18" s="19"/>
      <c r="AO18" s="19">
        <f t="shared" si="11"/>
        <v>7.6199999999998909</v>
      </c>
      <c r="AP18" s="255">
        <f>'15'!G124</f>
        <v>200.9100000000326</v>
      </c>
      <c r="AQ18" s="258">
        <f>'15'!G35</f>
        <v>2007.0500000000466</v>
      </c>
      <c r="AR18" s="19">
        <f>'15'!G37</f>
        <v>1297.0899999999965</v>
      </c>
      <c r="AS18" s="19">
        <f>'15'!G38</f>
        <v>1316.0299999999988</v>
      </c>
      <c r="AT18" s="19">
        <f>'15'!G39</f>
        <v>2173.109999999986</v>
      </c>
      <c r="AU18" s="19">
        <f>'15'!G40</f>
        <v>34.970000000000027</v>
      </c>
      <c r="AV18" s="19">
        <f>'15'!G41</f>
        <v>471.45000000001164</v>
      </c>
      <c r="AW18" s="19">
        <f>'15'!G42</f>
        <v>-8.000000000174623E-2</v>
      </c>
      <c r="AX18" s="19">
        <f>'15'!G43</f>
        <v>2074.8000000000466</v>
      </c>
      <c r="AY18" s="23">
        <f>'15'!G44</f>
        <v>0</v>
      </c>
      <c r="AZ18" s="259">
        <f>'15'!G36</f>
        <v>0</v>
      </c>
      <c r="BA18" s="258">
        <f>'15'!G49</f>
        <v>-0.13000000000465661</v>
      </c>
      <c r="BB18" s="19">
        <f>'15'!G51</f>
        <v>0</v>
      </c>
      <c r="BC18" s="19">
        <f>'15'!G52</f>
        <v>-6.9999999948777258E-2</v>
      </c>
      <c r="BD18" s="19">
        <f>'15'!G53</f>
        <v>474.71000000002095</v>
      </c>
      <c r="BE18" s="19">
        <f>'15'!G54</f>
        <v>70.989999999999782</v>
      </c>
      <c r="BF18" s="19">
        <f>'15'!G55</f>
        <v>5373.01</v>
      </c>
      <c r="BG18" s="19">
        <f>'15'!G56</f>
        <v>10.760000000009313</v>
      </c>
      <c r="BH18" s="19">
        <f>'15'!G57</f>
        <v>0</v>
      </c>
      <c r="BI18" s="259">
        <f>'15'!G50</f>
        <v>895.01000000000931</v>
      </c>
      <c r="BJ18" s="367">
        <f t="shared" si="12"/>
        <v>5855.1400000000194</v>
      </c>
      <c r="BK18" s="367">
        <f>'15'!G84</f>
        <v>599</v>
      </c>
      <c r="BL18" s="23">
        <f t="shared" si="13"/>
        <v>58.45211764705946</v>
      </c>
      <c r="BM18" s="23">
        <f t="shared" si="14"/>
        <v>15.575411764705924</v>
      </c>
      <c r="BN18" s="24">
        <f t="shared" si="15"/>
        <v>7.7409411764708821E-2</v>
      </c>
      <c r="BO18" s="25">
        <f t="shared" si="16"/>
        <v>206294</v>
      </c>
      <c r="BP18" s="212">
        <f t="shared" si="17"/>
        <v>8528.940000000066</v>
      </c>
      <c r="BQ18">
        <f t="shared" si="18"/>
        <v>1.1670689655173154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3">
        <f>'16'!D4</f>
        <v>0.78</v>
      </c>
      <c r="F19" s="253">
        <f>'16'!D2</f>
        <v>0.52</v>
      </c>
      <c r="G19" s="19">
        <f>'16'!G8</f>
        <v>17150</v>
      </c>
      <c r="H19" s="19">
        <f>'16'!G8</f>
        <v>17150</v>
      </c>
      <c r="I19" s="19">
        <f>'16'!G7</f>
        <v>17000</v>
      </c>
      <c r="J19" s="19">
        <v>10</v>
      </c>
      <c r="K19" s="239">
        <f t="shared" si="3"/>
        <v>171500</v>
      </c>
      <c r="L19" s="235">
        <f t="shared" si="4"/>
        <v>84.158415841584159</v>
      </c>
      <c r="M19" s="19">
        <f>'16'!G15</f>
        <v>550</v>
      </c>
      <c r="N19" s="19">
        <v>35</v>
      </c>
      <c r="O19" s="232">
        <f t="shared" si="5"/>
        <v>19250</v>
      </c>
      <c r="P19" s="19">
        <f>'16'!G20</f>
        <v>117</v>
      </c>
      <c r="Q19" s="19">
        <v>134</v>
      </c>
      <c r="R19" s="236">
        <f t="shared" si="0"/>
        <v>15678</v>
      </c>
      <c r="S19" s="237">
        <f t="shared" si="1"/>
        <v>111.38613861386139</v>
      </c>
      <c r="T19" s="19">
        <f>'16'!G24</f>
        <v>0</v>
      </c>
      <c r="U19" s="19">
        <v>69</v>
      </c>
      <c r="V19" s="238">
        <f t="shared" si="6"/>
        <v>0</v>
      </c>
      <c r="W19" s="22">
        <f>'16'!G96</f>
        <v>27</v>
      </c>
      <c r="X19" s="22">
        <f>'16'!G97</f>
        <v>14</v>
      </c>
      <c r="Y19" s="22">
        <f>'16'!G98</f>
        <v>19</v>
      </c>
      <c r="Z19" s="22">
        <f t="shared" si="7"/>
        <v>60</v>
      </c>
      <c r="AA19" s="19">
        <f>'16'!G133</f>
        <v>0</v>
      </c>
      <c r="AB19" s="19">
        <f>'16'!G134</f>
        <v>0</v>
      </c>
      <c r="AC19" s="19">
        <f>'16'!G135</f>
        <v>23.590000000003783</v>
      </c>
      <c r="AD19" s="19">
        <f>'16'!G136</f>
        <v>0</v>
      </c>
      <c r="AE19" s="19">
        <f t="shared" si="8"/>
        <v>23.590000000003783</v>
      </c>
      <c r="AF19" s="23">
        <f t="shared" si="2"/>
        <v>4448</v>
      </c>
      <c r="AG19" s="23">
        <f t="shared" si="9"/>
        <v>188.5544722339672</v>
      </c>
      <c r="AH19" s="19">
        <f>'16'!G137</f>
        <v>0</v>
      </c>
      <c r="AI19" s="19">
        <f>'16'!G138</f>
        <v>0</v>
      </c>
      <c r="AJ19" s="19">
        <f>'16'!G139</f>
        <v>0</v>
      </c>
      <c r="AK19" s="19">
        <f t="shared" si="10"/>
        <v>0</v>
      </c>
      <c r="AL19" s="19">
        <f>'16'!G140</f>
        <v>7.9700000000000273</v>
      </c>
      <c r="AM19" s="19">
        <f>'16'!G141</f>
        <v>0</v>
      </c>
      <c r="AN19" s="19"/>
      <c r="AO19" s="19">
        <f t="shared" si="11"/>
        <v>7.9700000000000273</v>
      </c>
      <c r="AP19" s="255">
        <f>'16'!G124</f>
        <v>209</v>
      </c>
      <c r="AQ19" s="258">
        <f>'16'!G35</f>
        <v>1926</v>
      </c>
      <c r="AR19" s="19">
        <f>'16'!G37</f>
        <v>1239</v>
      </c>
      <c r="AS19" s="19">
        <f>'16'!G38</f>
        <v>1097</v>
      </c>
      <c r="AT19" s="19">
        <f>'16'!G39</f>
        <v>2154</v>
      </c>
      <c r="AU19" s="19">
        <f>'16'!G40</f>
        <v>52</v>
      </c>
      <c r="AV19" s="19">
        <f>'16'!G41</f>
        <v>0</v>
      </c>
      <c r="AW19" s="19">
        <f>'16'!G42</f>
        <v>0</v>
      </c>
      <c r="AX19" s="19">
        <f>'16'!G43</f>
        <v>2126</v>
      </c>
      <c r="AY19" s="23">
        <f>'16'!G44</f>
        <v>0</v>
      </c>
      <c r="AZ19" s="259">
        <f>'16'!G36</f>
        <v>0</v>
      </c>
      <c r="BA19" s="258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454</v>
      </c>
      <c r="BE19" s="19">
        <f>'16'!G54</f>
        <v>73</v>
      </c>
      <c r="BF19" s="19">
        <f>'16'!G55</f>
        <v>4448</v>
      </c>
      <c r="BG19" s="19">
        <f>'16'!G56</f>
        <v>0</v>
      </c>
      <c r="BH19" s="19">
        <f>'16'!G57</f>
        <v>0</v>
      </c>
      <c r="BI19" s="259">
        <f>'16'!G50</f>
        <v>821</v>
      </c>
      <c r="BJ19" s="367">
        <f t="shared" si="12"/>
        <v>4448</v>
      </c>
      <c r="BK19" s="367">
        <f>'16'!G84</f>
        <v>511</v>
      </c>
      <c r="BL19" s="23">
        <f t="shared" si="13"/>
        <v>50.000764705882382</v>
      </c>
      <c r="BM19" s="23">
        <f t="shared" si="14"/>
        <v>15.341176470588236</v>
      </c>
      <c r="BN19" s="24">
        <f t="shared" si="15"/>
        <v>6.4529411764705877E-2</v>
      </c>
      <c r="BO19" s="25">
        <f t="shared" si="16"/>
        <v>206428</v>
      </c>
      <c r="BP19" s="212">
        <f t="shared" si="17"/>
        <v>7085</v>
      </c>
      <c r="BQ19">
        <f t="shared" si="18"/>
        <v>1.0726397383877648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3">
        <f>'17'!D4</f>
        <v>0.8</v>
      </c>
      <c r="F20" s="253">
        <f>'17'!D2</f>
        <v>0.6</v>
      </c>
      <c r="G20" s="19">
        <f>'17'!G8</f>
        <v>17150</v>
      </c>
      <c r="H20" s="19">
        <f>'17'!G8</f>
        <v>17150</v>
      </c>
      <c r="I20" s="19">
        <f>'17'!G7</f>
        <v>17000</v>
      </c>
      <c r="J20" s="19">
        <v>10</v>
      </c>
      <c r="K20" s="239">
        <f t="shared" si="3"/>
        <v>171500</v>
      </c>
      <c r="L20" s="235">
        <f t="shared" si="4"/>
        <v>84.158415841584159</v>
      </c>
      <c r="M20" s="19">
        <f>'17'!G15</f>
        <v>550</v>
      </c>
      <c r="N20" s="19">
        <v>35</v>
      </c>
      <c r="O20" s="232">
        <f t="shared" si="5"/>
        <v>19250</v>
      </c>
      <c r="P20" s="19">
        <f>'17'!G20</f>
        <v>76</v>
      </c>
      <c r="Q20" s="19">
        <v>134</v>
      </c>
      <c r="R20" s="236">
        <f t="shared" si="0"/>
        <v>10184</v>
      </c>
      <c r="S20" s="237">
        <f t="shared" si="1"/>
        <v>62.706270627062707</v>
      </c>
      <c r="T20" s="19">
        <f>'17'!G24</f>
        <v>0</v>
      </c>
      <c r="U20" s="19">
        <v>69</v>
      </c>
      <c r="V20" s="238">
        <f t="shared" si="6"/>
        <v>0</v>
      </c>
      <c r="W20" s="22">
        <f>'17'!G96</f>
        <v>45</v>
      </c>
      <c r="X20" s="22">
        <f>'17'!G97</f>
        <v>7</v>
      </c>
      <c r="Y20" s="22">
        <f>'17'!G98</f>
        <v>6</v>
      </c>
      <c r="Z20" s="22">
        <f t="shared" si="7"/>
        <v>58</v>
      </c>
      <c r="AA20" s="19">
        <f>'17'!G133</f>
        <v>0</v>
      </c>
      <c r="AB20" s="19">
        <f>'17'!G134</f>
        <v>0</v>
      </c>
      <c r="AC20" s="19">
        <f>'17'!G135</f>
        <v>24.44999999999709</v>
      </c>
      <c r="AD20" s="19">
        <f>'17'!G136</f>
        <v>0</v>
      </c>
      <c r="AE20" s="19">
        <f t="shared" si="8"/>
        <v>24.44999999999709</v>
      </c>
      <c r="AF20" s="23">
        <f t="shared" si="2"/>
        <v>4494</v>
      </c>
      <c r="AG20" s="23">
        <f t="shared" si="9"/>
        <v>183.80368098161696</v>
      </c>
      <c r="AH20" s="19">
        <f>'17'!G137</f>
        <v>6.2800000000024738</v>
      </c>
      <c r="AI20" s="19">
        <f>'17'!G138</f>
        <v>0</v>
      </c>
      <c r="AJ20" s="19">
        <f>'17'!G139</f>
        <v>0</v>
      </c>
      <c r="AK20" s="19">
        <f t="shared" si="10"/>
        <v>6.2800000000024738</v>
      </c>
      <c r="AL20" s="19">
        <f>'17'!G140</f>
        <v>8.0499999999999545</v>
      </c>
      <c r="AM20" s="19">
        <f>'17'!G141</f>
        <v>0</v>
      </c>
      <c r="AN20" s="19"/>
      <c r="AO20" s="19">
        <f t="shared" si="11"/>
        <v>8.0499999999999545</v>
      </c>
      <c r="AP20" s="255">
        <f>'17'!G124</f>
        <v>214</v>
      </c>
      <c r="AQ20" s="258">
        <f>'17'!G35</f>
        <v>1602</v>
      </c>
      <c r="AR20" s="19">
        <f>'17'!G37</f>
        <v>1338</v>
      </c>
      <c r="AS20" s="19">
        <f>'17'!G38</f>
        <v>1050</v>
      </c>
      <c r="AT20" s="19">
        <f>'17'!G39</f>
        <v>2155</v>
      </c>
      <c r="AU20" s="19">
        <f>'17'!G40</f>
        <v>80</v>
      </c>
      <c r="AV20" s="19">
        <f>'17'!G41</f>
        <v>0</v>
      </c>
      <c r="AW20" s="19">
        <f>'17'!G42</f>
        <v>0</v>
      </c>
      <c r="AX20" s="19">
        <f>'17'!G43</f>
        <v>2036</v>
      </c>
      <c r="AY20" s="23">
        <f>'17'!G44</f>
        <v>0</v>
      </c>
      <c r="AZ20" s="259">
        <f>'17'!G36</f>
        <v>0</v>
      </c>
      <c r="BA20" s="258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491</v>
      </c>
      <c r="BE20" s="19">
        <f>'17'!G54</f>
        <v>80</v>
      </c>
      <c r="BF20" s="19">
        <f>'17'!G55</f>
        <v>4494</v>
      </c>
      <c r="BG20" s="19">
        <f>'17'!G56</f>
        <v>0</v>
      </c>
      <c r="BH20" s="19">
        <f>'17'!G57</f>
        <v>0</v>
      </c>
      <c r="BI20" s="259">
        <f>'17'!G50</f>
        <v>762</v>
      </c>
      <c r="BJ20" s="367">
        <f t="shared" si="12"/>
        <v>4494</v>
      </c>
      <c r="BK20" s="367">
        <f>'17'!G84</f>
        <v>419</v>
      </c>
      <c r="BL20" s="23">
        <f t="shared" si="13"/>
        <v>47.835294117647059</v>
      </c>
      <c r="BM20" s="23">
        <f t="shared" si="14"/>
        <v>15.564705882352941</v>
      </c>
      <c r="BN20" s="24">
        <f t="shared" si="15"/>
        <v>6.1764705882352944E-2</v>
      </c>
      <c r="BO20" s="25">
        <f t="shared" si="16"/>
        <v>200934</v>
      </c>
      <c r="BP20" s="212">
        <f t="shared" si="17"/>
        <v>6949</v>
      </c>
      <c r="BQ20">
        <f t="shared" si="18"/>
        <v>1.0150452819165683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3">
        <f>'18'!D4</f>
        <v>0.79</v>
      </c>
      <c r="F21" s="253">
        <f>'18'!D2</f>
        <v>0.54</v>
      </c>
      <c r="G21" s="19">
        <f>'18'!G8</f>
        <v>17150</v>
      </c>
      <c r="H21" s="19">
        <f>'18'!G8</f>
        <v>17150</v>
      </c>
      <c r="I21" s="19">
        <f>'18'!G7</f>
        <v>17000</v>
      </c>
      <c r="J21" s="19">
        <v>10</v>
      </c>
      <c r="K21" s="239">
        <f t="shared" si="3"/>
        <v>171500</v>
      </c>
      <c r="L21" s="235">
        <f t="shared" si="4"/>
        <v>84.158415841584159</v>
      </c>
      <c r="M21" s="19">
        <f>'18'!G15</f>
        <v>550</v>
      </c>
      <c r="N21" s="19">
        <v>35</v>
      </c>
      <c r="O21" s="232">
        <f t="shared" si="5"/>
        <v>19250</v>
      </c>
      <c r="P21" s="19">
        <f>'18'!G20</f>
        <v>105</v>
      </c>
      <c r="Q21" s="19">
        <v>134</v>
      </c>
      <c r="R21" s="236">
        <f t="shared" si="0"/>
        <v>14070</v>
      </c>
      <c r="S21" s="237">
        <f t="shared" si="1"/>
        <v>96.259625962596246</v>
      </c>
      <c r="T21" s="19">
        <f>'18'!G24</f>
        <v>0</v>
      </c>
      <c r="U21" s="19">
        <v>69</v>
      </c>
      <c r="V21" s="238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5">
        <f>'18'!G124</f>
        <v>195</v>
      </c>
      <c r="AQ21" s="258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59">
        <f>'18'!G36</f>
        <v>0</v>
      </c>
      <c r="BA21" s="258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59">
        <f>'18'!G50</f>
        <v>802</v>
      </c>
      <c r="BJ21" s="367">
        <f t="shared" si="12"/>
        <v>5084.5400000000009</v>
      </c>
      <c r="BK21" s="367">
        <f>'18'!G84</f>
        <v>353</v>
      </c>
      <c r="BL21" s="23">
        <f t="shared" si="13"/>
        <v>51.350235294117653</v>
      </c>
      <c r="BM21" s="23">
        <f t="shared" si="14"/>
        <v>15.441176470588236</v>
      </c>
      <c r="BN21" s="24">
        <f t="shared" si="15"/>
        <v>6.3588235294117654E-2</v>
      </c>
      <c r="BO21" s="25">
        <f t="shared" si="16"/>
        <v>204820</v>
      </c>
      <c r="BP21" s="212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3">
        <f>'19'!D4</f>
        <v>0.84</v>
      </c>
      <c r="F22" s="253">
        <f>'19'!D2</f>
        <v>0.1</v>
      </c>
      <c r="G22" s="19">
        <f>'19'!G8</f>
        <v>17150</v>
      </c>
      <c r="H22" s="19">
        <f>'19'!G8</f>
        <v>17150</v>
      </c>
      <c r="I22" s="19">
        <f>'19'!G7</f>
        <v>17000</v>
      </c>
      <c r="J22" s="19">
        <v>10</v>
      </c>
      <c r="K22" s="239">
        <f t="shared" si="3"/>
        <v>171500</v>
      </c>
      <c r="L22" s="235">
        <f t="shared" si="4"/>
        <v>84.158415841584159</v>
      </c>
      <c r="M22" s="19">
        <f>'19'!G15</f>
        <v>550</v>
      </c>
      <c r="N22" s="19">
        <v>35</v>
      </c>
      <c r="O22" s="232">
        <f t="shared" si="5"/>
        <v>19250</v>
      </c>
      <c r="P22" s="19">
        <f>'19'!G20</f>
        <v>60</v>
      </c>
      <c r="Q22" s="19">
        <v>134</v>
      </c>
      <c r="R22" s="236">
        <f t="shared" si="0"/>
        <v>8040</v>
      </c>
      <c r="S22" s="237">
        <f t="shared" si="1"/>
        <v>297.02970297029697</v>
      </c>
      <c r="T22" s="19">
        <f>'19'!G24</f>
        <v>0</v>
      </c>
      <c r="U22" s="19">
        <v>69</v>
      </c>
      <c r="V22" s="238">
        <f t="shared" si="6"/>
        <v>0</v>
      </c>
      <c r="W22" s="22">
        <f>'19'!G96</f>
        <v>23</v>
      </c>
      <c r="X22" s="22">
        <f>'19'!G97</f>
        <v>7</v>
      </c>
      <c r="Y22" s="22">
        <f>'19'!G98</f>
        <v>12</v>
      </c>
      <c r="Z22" s="22">
        <f t="shared" si="7"/>
        <v>42</v>
      </c>
      <c r="AA22" s="19">
        <f>'19'!G133</f>
        <v>0</v>
      </c>
      <c r="AB22" s="19">
        <f>'19'!G134</f>
        <v>0</v>
      </c>
      <c r="AC22" s="19">
        <f>'19'!G135</f>
        <v>24</v>
      </c>
      <c r="AD22" s="19">
        <f>'19'!G136</f>
        <v>-6.0000000001309672E-2</v>
      </c>
      <c r="AE22" s="19">
        <f t="shared" si="8"/>
        <v>23.93999999999869</v>
      </c>
      <c r="AF22" s="23">
        <f t="shared" si="2"/>
        <v>4451.9900000000271</v>
      </c>
      <c r="AG22" s="23">
        <f t="shared" si="9"/>
        <v>185.96449456976904</v>
      </c>
      <c r="AH22" s="19">
        <f>'19'!G137</f>
        <v>0</v>
      </c>
      <c r="AI22" s="19">
        <f>'19'!G138</f>
        <v>0</v>
      </c>
      <c r="AJ22" s="19">
        <f>'19'!G139</f>
        <v>2.0000000004074536E-2</v>
      </c>
      <c r="AK22" s="19">
        <f t="shared" si="10"/>
        <v>2.0000000004074536E-2</v>
      </c>
      <c r="AL22" s="19">
        <f>'19'!G140</f>
        <v>7.2999999999999545</v>
      </c>
      <c r="AM22" s="19">
        <f>'19'!G141</f>
        <v>0</v>
      </c>
      <c r="AN22" s="19"/>
      <c r="AO22" s="19">
        <f t="shared" si="11"/>
        <v>7.2999999999999545</v>
      </c>
      <c r="AP22" s="255">
        <f>'19'!G124</f>
        <v>173</v>
      </c>
      <c r="AQ22" s="258">
        <f>'19'!G35</f>
        <v>1651</v>
      </c>
      <c r="AR22" s="19">
        <f>'19'!G37</f>
        <v>1200</v>
      </c>
      <c r="AS22" s="19">
        <f>'19'!G38</f>
        <v>999</v>
      </c>
      <c r="AT22" s="19">
        <f>'19'!G39</f>
        <v>2013</v>
      </c>
      <c r="AU22" s="19">
        <f>'19'!G40</f>
        <v>68</v>
      </c>
      <c r="AV22" s="19">
        <f>'19'!G41</f>
        <v>0</v>
      </c>
      <c r="AW22" s="19">
        <f>'19'!G42</f>
        <v>0</v>
      </c>
      <c r="AX22" s="19">
        <f>'19'!G43</f>
        <v>2089</v>
      </c>
      <c r="AY22" s="23">
        <f>'19'!G44</f>
        <v>0</v>
      </c>
      <c r="AZ22" s="259">
        <f>'19'!G36</f>
        <v>0</v>
      </c>
      <c r="BA22" s="258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566</v>
      </c>
      <c r="BE22" s="19">
        <f>'19'!G54</f>
        <v>82</v>
      </c>
      <c r="BF22" s="19">
        <f>'19'!G55</f>
        <v>4403.4599999999991</v>
      </c>
      <c r="BG22" s="19">
        <f>'19'!G56</f>
        <v>48.53000000002794</v>
      </c>
      <c r="BH22" s="19">
        <f>'19'!G57</f>
        <v>-0.32999999999992724</v>
      </c>
      <c r="BI22" s="259">
        <f>'19'!G50</f>
        <v>793</v>
      </c>
      <c r="BJ22" s="367">
        <f t="shared" si="12"/>
        <v>4451.9900000000271</v>
      </c>
      <c r="BK22" s="367">
        <f>'19'!G84</f>
        <v>355</v>
      </c>
      <c r="BL22" s="23">
        <f t="shared" si="13"/>
        <v>48.185470588235425</v>
      </c>
      <c r="BM22" s="23">
        <f t="shared" si="14"/>
        <v>15.170588235294117</v>
      </c>
      <c r="BN22" s="24">
        <f t="shared" si="15"/>
        <v>5.8764705882352941E-2</v>
      </c>
      <c r="BO22" s="25">
        <f t="shared" si="16"/>
        <v>198790</v>
      </c>
      <c r="BP22" s="212">
        <f t="shared" si="17"/>
        <v>6895.6600000000271</v>
      </c>
      <c r="BQ22">
        <f t="shared" si="18"/>
        <v>1.0287116601026978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3">
        <f>'20'!D4</f>
        <v>0.84</v>
      </c>
      <c r="F23" s="253">
        <f>'20'!D2</f>
        <v>0.24</v>
      </c>
      <c r="G23" s="19">
        <f>'20'!G8</f>
        <v>17150</v>
      </c>
      <c r="H23" s="19">
        <f>'20'!G8</f>
        <v>17150</v>
      </c>
      <c r="I23" s="19">
        <f>'20'!G7</f>
        <v>17000</v>
      </c>
      <c r="J23" s="19">
        <v>10</v>
      </c>
      <c r="K23" s="239">
        <f t="shared" si="3"/>
        <v>171500</v>
      </c>
      <c r="L23" s="235">
        <f t="shared" si="4"/>
        <v>84.158415841584159</v>
      </c>
      <c r="M23" s="19">
        <f>'20'!G15</f>
        <v>550</v>
      </c>
      <c r="N23" s="19">
        <v>35</v>
      </c>
      <c r="O23" s="232">
        <f t="shared" si="5"/>
        <v>19250</v>
      </c>
      <c r="P23" s="19">
        <f>'20'!G20</f>
        <v>57</v>
      </c>
      <c r="Q23" s="19">
        <v>134</v>
      </c>
      <c r="R23" s="236">
        <f t="shared" si="0"/>
        <v>7638</v>
      </c>
      <c r="S23" s="237">
        <f t="shared" si="1"/>
        <v>117.57425742574259</v>
      </c>
      <c r="T23" s="19">
        <f>'20'!G24</f>
        <v>0</v>
      </c>
      <c r="U23" s="19">
        <v>69</v>
      </c>
      <c r="V23" s="238">
        <f t="shared" si="6"/>
        <v>0</v>
      </c>
      <c r="W23" s="22">
        <f>'20'!G96</f>
        <v>27</v>
      </c>
      <c r="X23" s="22">
        <f>'20'!G97</f>
        <v>11</v>
      </c>
      <c r="Y23" s="22">
        <f>'20'!G98</f>
        <v>16</v>
      </c>
      <c r="Z23" s="22">
        <f t="shared" si="7"/>
        <v>54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4744</v>
      </c>
      <c r="AG23" s="23">
        <f t="shared" si="9"/>
        <v>197.66666666666666</v>
      </c>
      <c r="AH23" s="19">
        <f>'20'!G137</f>
        <v>0</v>
      </c>
      <c r="AI23" s="19">
        <f>'20'!G138</f>
        <v>0</v>
      </c>
      <c r="AJ23" s="19">
        <f>'20'!G139</f>
        <v>0</v>
      </c>
      <c r="AK23" s="19">
        <f t="shared" si="10"/>
        <v>0</v>
      </c>
      <c r="AL23" s="19">
        <f>'20'!G140</f>
        <v>8.1900000000000546</v>
      </c>
      <c r="AM23" s="19">
        <f>'20'!G141</f>
        <v>0</v>
      </c>
      <c r="AN23" s="19"/>
      <c r="AO23" s="19">
        <f t="shared" si="11"/>
        <v>8.1900000000000546</v>
      </c>
      <c r="AP23" s="255">
        <f>'20'!G124</f>
        <v>204</v>
      </c>
      <c r="AQ23" s="258">
        <f>'20'!G35</f>
        <v>1818</v>
      </c>
      <c r="AR23" s="19">
        <f>'20'!G37</f>
        <v>1255</v>
      </c>
      <c r="AS23" s="19">
        <f>'20'!G38</f>
        <v>978</v>
      </c>
      <c r="AT23" s="19">
        <f>'20'!G39</f>
        <v>1961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2118</v>
      </c>
      <c r="AY23" s="23">
        <f>'20'!G44</f>
        <v>0</v>
      </c>
      <c r="AZ23" s="259">
        <f>'20'!G36</f>
        <v>0</v>
      </c>
      <c r="BA23" s="258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83</v>
      </c>
      <c r="BF23" s="19">
        <f>'20'!G55</f>
        <v>4734</v>
      </c>
      <c r="BG23" s="19">
        <f>'20'!G56</f>
        <v>10</v>
      </c>
      <c r="BH23" s="19">
        <f>'20'!G57</f>
        <v>0</v>
      </c>
      <c r="BI23" s="259">
        <f>'20'!G50</f>
        <v>870</v>
      </c>
      <c r="BJ23" s="367">
        <f t="shared" si="12"/>
        <v>4744</v>
      </c>
      <c r="BK23" s="367">
        <f>'20'!G84</f>
        <v>365</v>
      </c>
      <c r="BL23" s="23">
        <f t="shared" si="13"/>
        <v>51.058823529411768</v>
      </c>
      <c r="BM23" s="23">
        <f t="shared" si="14"/>
        <v>11.535294117647059</v>
      </c>
      <c r="BN23" s="24">
        <f t="shared" si="15"/>
        <v>5.7529411764705884E-2</v>
      </c>
      <c r="BO23" s="25">
        <f t="shared" si="16"/>
        <v>198388</v>
      </c>
      <c r="BP23" s="212">
        <f t="shared" si="17"/>
        <v>7227</v>
      </c>
      <c r="BQ23">
        <f t="shared" si="18"/>
        <v>1.0754464285714285</v>
      </c>
    </row>
    <row r="24" spans="1:69">
      <c r="A24" s="16">
        <v>21</v>
      </c>
      <c r="B24" s="26">
        <v>21</v>
      </c>
      <c r="C24" s="28"/>
      <c r="D24" s="19">
        <v>21</v>
      </c>
      <c r="E24" s="253">
        <f>'21'!D4</f>
        <v>0.84</v>
      </c>
      <c r="F24" s="253">
        <f>'21'!D2</f>
        <v>0.24</v>
      </c>
      <c r="G24" s="19">
        <f>'21'!G8</f>
        <v>17150</v>
      </c>
      <c r="H24" s="19">
        <f>'21'!G8</f>
        <v>17150</v>
      </c>
      <c r="I24" s="19">
        <f>'21'!G7</f>
        <v>17000</v>
      </c>
      <c r="J24" s="19">
        <v>10</v>
      </c>
      <c r="K24" s="239">
        <f t="shared" si="3"/>
        <v>171500</v>
      </c>
      <c r="L24" s="235">
        <f t="shared" si="4"/>
        <v>84.158415841584159</v>
      </c>
      <c r="M24" s="19">
        <f>'21'!G15</f>
        <v>550</v>
      </c>
      <c r="N24" s="19">
        <v>35</v>
      </c>
      <c r="O24" s="232">
        <f t="shared" si="5"/>
        <v>19250</v>
      </c>
      <c r="P24" s="19">
        <f>'21'!G20</f>
        <v>96</v>
      </c>
      <c r="Q24" s="19">
        <v>134</v>
      </c>
      <c r="R24" s="236">
        <f t="shared" si="0"/>
        <v>12864</v>
      </c>
      <c r="S24" s="237">
        <f t="shared" si="1"/>
        <v>198.01980198019803</v>
      </c>
      <c r="T24" s="19">
        <f>'21'!G24</f>
        <v>0</v>
      </c>
      <c r="U24" s="19">
        <v>69</v>
      </c>
      <c r="V24" s="238">
        <f t="shared" si="6"/>
        <v>0</v>
      </c>
      <c r="W24" s="22">
        <f>'21'!G96</f>
        <v>49</v>
      </c>
      <c r="X24" s="22">
        <f>'21'!G97</f>
        <v>9</v>
      </c>
      <c r="Y24" s="22">
        <f>'21'!G98</f>
        <v>20</v>
      </c>
      <c r="Z24" s="22">
        <f t="shared" si="7"/>
        <v>78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5144</v>
      </c>
      <c r="AG24" s="23">
        <f t="shared" si="9"/>
        <v>214.33333333333334</v>
      </c>
      <c r="AH24" s="19">
        <f>'21'!G137</f>
        <v>2.7099999999991269</v>
      </c>
      <c r="AI24" s="19">
        <f>'21'!G138</f>
        <v>0</v>
      </c>
      <c r="AJ24" s="19">
        <f>'21'!G139</f>
        <v>6.6299999999901047</v>
      </c>
      <c r="AK24" s="19">
        <f t="shared" si="10"/>
        <v>9.3399999999892316</v>
      </c>
      <c r="AL24" s="19">
        <f>'21'!G140</f>
        <v>7.0199999999999818</v>
      </c>
      <c r="AM24" s="19">
        <f>'21'!G141</f>
        <v>0</v>
      </c>
      <c r="AN24" s="19"/>
      <c r="AO24" s="19">
        <f t="shared" si="11"/>
        <v>7.0199999999999818</v>
      </c>
      <c r="AP24" s="255">
        <f>'21'!G124</f>
        <v>194</v>
      </c>
      <c r="AQ24" s="258">
        <f>'21'!G35</f>
        <v>1843</v>
      </c>
      <c r="AR24" s="19">
        <f>'21'!G37</f>
        <v>1333</v>
      </c>
      <c r="AS24" s="19">
        <f>'21'!G38</f>
        <v>1150</v>
      </c>
      <c r="AT24" s="19">
        <f>'21'!G39</f>
        <v>1537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2133</v>
      </c>
      <c r="AY24" s="23">
        <f>'21'!G44</f>
        <v>0</v>
      </c>
      <c r="AZ24" s="259">
        <f>'21'!G36</f>
        <v>0</v>
      </c>
      <c r="BA24" s="258">
        <f>'21'!G49</f>
        <v>0.13000000000465661</v>
      </c>
      <c r="BB24" s="19">
        <f>'21'!G51</f>
        <v>0</v>
      </c>
      <c r="BC24" s="19">
        <f>'21'!G52</f>
        <v>6.9999999948777258E-2</v>
      </c>
      <c r="BD24" s="19">
        <f>'21'!G53</f>
        <v>566</v>
      </c>
      <c r="BE24" s="19">
        <f>'21'!G54</f>
        <v>82</v>
      </c>
      <c r="BF24" s="19">
        <f>'21'!G55</f>
        <v>5134</v>
      </c>
      <c r="BG24" s="19">
        <f>'21'!G56</f>
        <v>10</v>
      </c>
      <c r="BH24" s="19">
        <f>'21'!G57</f>
        <v>0</v>
      </c>
      <c r="BI24" s="259">
        <f>'21'!G50</f>
        <v>800</v>
      </c>
      <c r="BJ24" s="367">
        <f t="shared" si="12"/>
        <v>5144</v>
      </c>
      <c r="BK24" s="367">
        <f>'21'!G84</f>
        <v>379</v>
      </c>
      <c r="BL24" s="23">
        <f t="shared" si="13"/>
        <v>53.647823529411795</v>
      </c>
      <c r="BM24" s="23">
        <f t="shared" si="14"/>
        <v>12.370588235294118</v>
      </c>
      <c r="BN24" s="24">
        <f t="shared" si="15"/>
        <v>6.7651176470585217E-2</v>
      </c>
      <c r="BO24" s="25">
        <f t="shared" si="16"/>
        <v>203614</v>
      </c>
      <c r="BP24" s="212">
        <f t="shared" si="17"/>
        <v>7656</v>
      </c>
      <c r="BQ24">
        <f t="shared" si="18"/>
        <v>1.1392857142857142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3">
        <f>'22'!D4</f>
        <v>0.84</v>
      </c>
      <c r="F25" s="253">
        <f>'22'!D2</f>
        <v>0.35</v>
      </c>
      <c r="G25" s="19">
        <f>'22'!G8</f>
        <v>17150</v>
      </c>
      <c r="H25" s="19">
        <f>'22'!G8</f>
        <v>17150</v>
      </c>
      <c r="I25" s="19">
        <f>'22'!G7</f>
        <v>17000</v>
      </c>
      <c r="J25" s="19">
        <v>10</v>
      </c>
      <c r="K25" s="239">
        <f t="shared" si="3"/>
        <v>171500</v>
      </c>
      <c r="L25" s="235">
        <f t="shared" si="4"/>
        <v>84.158415841584159</v>
      </c>
      <c r="M25" s="19">
        <f>'22'!G15</f>
        <v>550</v>
      </c>
      <c r="N25" s="19">
        <v>35</v>
      </c>
      <c r="O25" s="232">
        <f t="shared" si="5"/>
        <v>19250</v>
      </c>
      <c r="P25" s="19">
        <f>'22'!G20</f>
        <v>150</v>
      </c>
      <c r="Q25" s="19">
        <v>134</v>
      </c>
      <c r="R25" s="236">
        <f t="shared" si="0"/>
        <v>20100</v>
      </c>
      <c r="S25" s="237">
        <f t="shared" si="1"/>
        <v>212.16407355021221</v>
      </c>
      <c r="T25" s="19">
        <f>'22'!G24</f>
        <v>0</v>
      </c>
      <c r="U25" s="19">
        <v>69</v>
      </c>
      <c r="V25" s="238">
        <f t="shared" si="6"/>
        <v>0</v>
      </c>
      <c r="W25" s="22">
        <f>'22'!G96</f>
        <v>80</v>
      </c>
      <c r="X25" s="22">
        <f>'22'!G97</f>
        <v>9</v>
      </c>
      <c r="Y25" s="22">
        <f>'22'!G98</f>
        <v>25</v>
      </c>
      <c r="Z25" s="22">
        <f t="shared" si="7"/>
        <v>114</v>
      </c>
      <c r="AA25" s="19">
        <f>'22'!G133</f>
        <v>3.5800000000017462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27.590000000003783</v>
      </c>
      <c r="AF25" s="23">
        <f t="shared" si="2"/>
        <v>6030</v>
      </c>
      <c r="AG25" s="23">
        <f t="shared" si="9"/>
        <v>218.55744835082177</v>
      </c>
      <c r="AH25" s="19">
        <f>'22'!G137</f>
        <v>7.5400000000008731</v>
      </c>
      <c r="AI25" s="19">
        <f>'22'!G138</f>
        <v>0</v>
      </c>
      <c r="AJ25" s="19">
        <f>'22'!G139</f>
        <v>0</v>
      </c>
      <c r="AK25" s="19">
        <f t="shared" si="10"/>
        <v>7.5400000000008731</v>
      </c>
      <c r="AL25" s="19">
        <f>'22'!G140</f>
        <v>7.3600000000001273</v>
      </c>
      <c r="AM25" s="19">
        <f>'22'!G141</f>
        <v>0</v>
      </c>
      <c r="AN25" s="19"/>
      <c r="AO25" s="19">
        <f t="shared" si="11"/>
        <v>7.3600000000001273</v>
      </c>
      <c r="AP25" s="255">
        <f>'22'!G124</f>
        <v>194</v>
      </c>
      <c r="AQ25" s="258">
        <f>'22'!G35</f>
        <v>1920</v>
      </c>
      <c r="AR25" s="19">
        <f>'22'!G37</f>
        <v>1372</v>
      </c>
      <c r="AS25" s="19">
        <f>'22'!G38</f>
        <v>1280</v>
      </c>
      <c r="AT25" s="19">
        <f>'22'!G39</f>
        <v>2952</v>
      </c>
      <c r="AU25" s="19">
        <f>'22'!G40</f>
        <v>99</v>
      </c>
      <c r="AV25" s="19">
        <f>'22'!G41</f>
        <v>810</v>
      </c>
      <c r="AW25" s="19">
        <f>'22'!G42</f>
        <v>0</v>
      </c>
      <c r="AX25" s="19">
        <f>'22'!G43</f>
        <v>2210</v>
      </c>
      <c r="AY25" s="23">
        <f>'22'!G44</f>
        <v>0</v>
      </c>
      <c r="AZ25" s="259">
        <f>'22'!G36</f>
        <v>0</v>
      </c>
      <c r="BA25" s="258">
        <f>'22'!G49</f>
        <v>0</v>
      </c>
      <c r="BB25" s="19">
        <f>'22'!G51</f>
        <v>0</v>
      </c>
      <c r="BC25" s="19">
        <f>'22'!G52</f>
        <v>0</v>
      </c>
      <c r="BD25" s="19">
        <f>'22'!G53</f>
        <v>544</v>
      </c>
      <c r="BE25" s="19">
        <f>'22'!G54</f>
        <v>80</v>
      </c>
      <c r="BF25" s="19">
        <f>'22'!G55</f>
        <v>5210</v>
      </c>
      <c r="BG25" s="19">
        <f>'22'!G56</f>
        <v>10</v>
      </c>
      <c r="BH25" s="19">
        <f>'22'!G57</f>
        <v>0</v>
      </c>
      <c r="BI25" s="259">
        <f>'22'!G50</f>
        <v>918</v>
      </c>
      <c r="BJ25" s="367">
        <f t="shared" si="12"/>
        <v>6030</v>
      </c>
      <c r="BK25" s="367">
        <f>'22'!G84</f>
        <v>451</v>
      </c>
      <c r="BL25" s="23">
        <f t="shared" si="13"/>
        <v>59.764705882352942</v>
      </c>
      <c r="BM25" s="23">
        <f t="shared" si="14"/>
        <v>20.564705882352943</v>
      </c>
      <c r="BN25" s="24">
        <f t="shared" si="15"/>
        <v>7.5294117647058817E-2</v>
      </c>
      <c r="BO25" s="25">
        <f t="shared" si="16"/>
        <v>210850</v>
      </c>
      <c r="BP25" s="212">
        <f t="shared" si="17"/>
        <v>8691</v>
      </c>
      <c r="BQ25">
        <f t="shared" si="18"/>
        <v>1.1250194169728691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3">
        <f>'23'!D4</f>
        <v>0.78</v>
      </c>
      <c r="F26" s="253">
        <f>'23'!D2</f>
        <v>0.52</v>
      </c>
      <c r="G26" s="19">
        <f>'23'!G8</f>
        <v>17150</v>
      </c>
      <c r="H26" s="19">
        <f>'23'!G8</f>
        <v>17150</v>
      </c>
      <c r="I26" s="19">
        <f>'23'!G7</f>
        <v>17000</v>
      </c>
      <c r="J26" s="19">
        <v>10</v>
      </c>
      <c r="K26" s="239">
        <f t="shared" si="3"/>
        <v>171500</v>
      </c>
      <c r="L26" s="235">
        <f t="shared" si="4"/>
        <v>84.158415841584159</v>
      </c>
      <c r="M26" s="19">
        <f>'23'!G15</f>
        <v>550</v>
      </c>
      <c r="N26" s="19">
        <v>35</v>
      </c>
      <c r="O26" s="232">
        <f t="shared" si="5"/>
        <v>19250</v>
      </c>
      <c r="P26" s="19">
        <f>'23'!G20</f>
        <v>140</v>
      </c>
      <c r="Q26" s="19">
        <v>134</v>
      </c>
      <c r="R26" s="236">
        <f t="shared" si="0"/>
        <v>18760</v>
      </c>
      <c r="S26" s="237">
        <f t="shared" si="1"/>
        <v>133.28255902513328</v>
      </c>
      <c r="T26" s="19">
        <f>'23'!G24</f>
        <v>0</v>
      </c>
      <c r="U26" s="19">
        <v>69</v>
      </c>
      <c r="V26" s="238">
        <f t="shared" si="6"/>
        <v>0</v>
      </c>
      <c r="W26" s="22">
        <f>'23'!G96</f>
        <v>37</v>
      </c>
      <c r="X26" s="22">
        <f>'23'!G97</f>
        <v>15</v>
      </c>
      <c r="Y26" s="22">
        <f>'23'!G98</f>
        <v>31</v>
      </c>
      <c r="Z26" s="22">
        <f t="shared" si="7"/>
        <v>83</v>
      </c>
      <c r="AA26" s="19">
        <f>'23'!G133</f>
        <v>0</v>
      </c>
      <c r="AB26" s="19">
        <f>'23'!G134</f>
        <v>0</v>
      </c>
      <c r="AC26" s="19">
        <f>'23'!G135</f>
        <v>24.389999999999418</v>
      </c>
      <c r="AD26" s="19">
        <f>'23'!G136</f>
        <v>0</v>
      </c>
      <c r="AE26" s="19">
        <f t="shared" si="8"/>
        <v>24.389999999999418</v>
      </c>
      <c r="AF26" s="23">
        <f t="shared" si="2"/>
        <v>5435.8999999999505</v>
      </c>
      <c r="AG26" s="23">
        <f t="shared" si="9"/>
        <v>222.87412874129069</v>
      </c>
      <c r="AH26" s="19">
        <f>'23'!G137</f>
        <v>0</v>
      </c>
      <c r="AI26" s="19">
        <f>'23'!G138</f>
        <v>0</v>
      </c>
      <c r="AJ26" s="19">
        <f>'23'!G139</f>
        <v>2.4500000000116415</v>
      </c>
      <c r="AK26" s="19">
        <f t="shared" si="10"/>
        <v>2.4500000000116415</v>
      </c>
      <c r="AL26" s="19">
        <f>'23'!G140</f>
        <v>8.0499999999999545</v>
      </c>
      <c r="AM26" s="19">
        <f>'23'!G141</f>
        <v>0</v>
      </c>
      <c r="AN26" s="19"/>
      <c r="AO26" s="19">
        <f t="shared" si="11"/>
        <v>8.0499999999999545</v>
      </c>
      <c r="AP26" s="255">
        <f>'23'!G124</f>
        <v>214.8399999999674</v>
      </c>
      <c r="AQ26" s="258">
        <f>'23'!G35</f>
        <v>2173.4300000000512</v>
      </c>
      <c r="AR26" s="19">
        <f>'23'!G37</f>
        <v>1310.5099999999948</v>
      </c>
      <c r="AS26" s="19">
        <f>'23'!G38</f>
        <v>1286.429999999993</v>
      </c>
      <c r="AT26" s="19">
        <f>'23'!G39</f>
        <v>2431.5499999999884</v>
      </c>
      <c r="AU26" s="19">
        <f>'23'!G40</f>
        <v>0.48000000000001819</v>
      </c>
      <c r="AV26" s="19">
        <f>'23'!G41</f>
        <v>0.13000000000465661</v>
      </c>
      <c r="AW26" s="19">
        <f>'23'!G42</f>
        <v>-1.0299999999988358</v>
      </c>
      <c r="AX26" s="19">
        <f>'23'!G43</f>
        <v>2171.5999999999767</v>
      </c>
      <c r="AY26" s="23">
        <f>'23'!G44</f>
        <v>0</v>
      </c>
      <c r="AZ26" s="259">
        <f>'23'!G36</f>
        <v>0</v>
      </c>
      <c r="BA26" s="258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511.10999999998603</v>
      </c>
      <c r="BE26" s="19">
        <f>'23'!G54</f>
        <v>80.959999999999127</v>
      </c>
      <c r="BF26" s="19">
        <f>'23'!G55</f>
        <v>5426.6100000000006</v>
      </c>
      <c r="BG26" s="19">
        <f>'23'!G56</f>
        <v>10.189999999944121</v>
      </c>
      <c r="BH26" s="19">
        <f>'23'!G57</f>
        <v>0</v>
      </c>
      <c r="BI26" s="259">
        <f>'23'!G50</f>
        <v>854.15000000002328</v>
      </c>
      <c r="BJ26" s="367">
        <f t="shared" si="12"/>
        <v>5435.8999999999505</v>
      </c>
      <c r="BK26" s="367">
        <f>'23'!G84</f>
        <v>556</v>
      </c>
      <c r="BL26" s="23">
        <f t="shared" si="13"/>
        <v>57.534882352941047</v>
      </c>
      <c r="BM26" s="23">
        <f t="shared" si="14"/>
        <v>17.309764705882202</v>
      </c>
      <c r="BN26" s="24">
        <f t="shared" si="15"/>
        <v>7.5672352941176066E-2</v>
      </c>
      <c r="BO26" s="25">
        <f t="shared" si="16"/>
        <v>209510</v>
      </c>
      <c r="BP26" s="212">
        <f t="shared" si="17"/>
        <v>8163.4999999999272</v>
      </c>
      <c r="BQ26">
        <f t="shared" si="18"/>
        <v>1.1953815966731274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3">
        <f>'24'!D4</f>
        <v>0.8</v>
      </c>
      <c r="F27" s="253">
        <f>'24'!D2</f>
        <v>0.63</v>
      </c>
      <c r="G27" s="19">
        <f>'24'!G8</f>
        <v>17150</v>
      </c>
      <c r="H27" s="19">
        <f>'24'!G8</f>
        <v>17150</v>
      </c>
      <c r="I27" s="19">
        <f>'24'!G7</f>
        <v>17000</v>
      </c>
      <c r="J27" s="19">
        <v>10</v>
      </c>
      <c r="K27" s="239">
        <f t="shared" si="3"/>
        <v>171500</v>
      </c>
      <c r="L27" s="235">
        <f t="shared" si="4"/>
        <v>84.158415841584159</v>
      </c>
      <c r="M27" s="19">
        <f>'24'!G15</f>
        <v>550</v>
      </c>
      <c r="N27" s="19">
        <v>35</v>
      </c>
      <c r="O27" s="232">
        <f t="shared" si="5"/>
        <v>19250</v>
      </c>
      <c r="P27" s="19">
        <f>'24'!G20</f>
        <v>110</v>
      </c>
      <c r="Q27" s="19">
        <v>134</v>
      </c>
      <c r="R27" s="236">
        <f t="shared" si="0"/>
        <v>14740</v>
      </c>
      <c r="S27" s="237">
        <f t="shared" si="1"/>
        <v>86.437215150086445</v>
      </c>
      <c r="T27" s="19">
        <f>'24'!G24</f>
        <v>0</v>
      </c>
      <c r="U27" s="19">
        <v>69</v>
      </c>
      <c r="V27" s="238">
        <f t="shared" si="6"/>
        <v>0</v>
      </c>
      <c r="W27" s="22">
        <f>'24'!G96</f>
        <v>40</v>
      </c>
      <c r="X27" s="22">
        <f>'24'!G97</f>
        <v>11</v>
      </c>
      <c r="Y27" s="22">
        <f>'24'!G98</f>
        <v>16</v>
      </c>
      <c r="Z27" s="22">
        <f t="shared" si="7"/>
        <v>67</v>
      </c>
      <c r="AA27" s="19">
        <f>'24'!G133</f>
        <v>24</v>
      </c>
      <c r="AB27" s="19">
        <f>'24'!G134</f>
        <v>0</v>
      </c>
      <c r="AC27" s="19">
        <f>'24'!G135</f>
        <v>0</v>
      </c>
      <c r="AD27" s="19">
        <f>'24'!G136</f>
        <v>0</v>
      </c>
      <c r="AE27" s="19">
        <f t="shared" si="8"/>
        <v>24</v>
      </c>
      <c r="AF27" s="23">
        <f t="shared" si="2"/>
        <v>5182.0400000000445</v>
      </c>
      <c r="AG27" s="23">
        <f t="shared" si="9"/>
        <v>215.9183333333352</v>
      </c>
      <c r="AH27" s="19">
        <f>'24'!G137</f>
        <v>0</v>
      </c>
      <c r="AI27" s="19">
        <f>'24'!G138</f>
        <v>0</v>
      </c>
      <c r="AJ27" s="19">
        <f>'24'!G139</f>
        <v>10.25</v>
      </c>
      <c r="AK27" s="19">
        <f t="shared" si="10"/>
        <v>10.25</v>
      </c>
      <c r="AL27" s="19">
        <f>'24'!G140</f>
        <v>8.5199999999999818</v>
      </c>
      <c r="AM27" s="19">
        <f>'24'!G141</f>
        <v>-0.3000000000001819</v>
      </c>
      <c r="AN27" s="19"/>
      <c r="AO27" s="19">
        <f t="shared" si="11"/>
        <v>8.2199999999997999</v>
      </c>
      <c r="AP27" s="255">
        <f>'24'!G124</f>
        <v>230.1600000000326</v>
      </c>
      <c r="AQ27" s="258">
        <f>'24'!G35</f>
        <v>2126.4799999999814</v>
      </c>
      <c r="AR27" s="19">
        <f>'24'!G37</f>
        <v>1287.3700000000099</v>
      </c>
      <c r="AS27" s="19">
        <f>'24'!G38</f>
        <v>1238.2799999999988</v>
      </c>
      <c r="AT27" s="19">
        <f>'24'!G39</f>
        <v>2245.960000000021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2226.2000000000698</v>
      </c>
      <c r="AY27" s="23">
        <f>'24'!G44</f>
        <v>0</v>
      </c>
      <c r="AZ27" s="259">
        <f>'24'!G36</f>
        <v>0</v>
      </c>
      <c r="BA27" s="258">
        <f>'24'!G49</f>
        <v>0</v>
      </c>
      <c r="BB27" s="19">
        <f>'24'!G51</f>
        <v>0</v>
      </c>
      <c r="BC27" s="19">
        <f>'24'!G52</f>
        <v>0</v>
      </c>
      <c r="BD27" s="19">
        <f>'24'!G53</f>
        <v>518.92000000004191</v>
      </c>
      <c r="BE27" s="19">
        <f>'24'!G54</f>
        <v>81.950000000000728</v>
      </c>
      <c r="BF27" s="19">
        <f>'24'!G55</f>
        <v>5172.1200000000026</v>
      </c>
      <c r="BG27" s="19">
        <f>'24'!G56</f>
        <v>9.9200000000419095</v>
      </c>
      <c r="BH27" s="19">
        <f>'24'!G57</f>
        <v>0</v>
      </c>
      <c r="BI27" s="259">
        <f>'24'!G50</f>
        <v>864.44000000000233</v>
      </c>
      <c r="BJ27" s="367">
        <f t="shared" si="12"/>
        <v>5182.0400000000445</v>
      </c>
      <c r="BK27" s="367">
        <f>'24'!G84</f>
        <v>653</v>
      </c>
      <c r="BL27" s="23">
        <f t="shared" si="13"/>
        <v>56.086588235294684</v>
      </c>
      <c r="BM27" s="23">
        <f t="shared" si="14"/>
        <v>16.264000000000369</v>
      </c>
      <c r="BN27" s="24">
        <f t="shared" si="15"/>
        <v>7.2839999999999933E-2</v>
      </c>
      <c r="BO27" s="25">
        <f t="shared" si="16"/>
        <v>205490</v>
      </c>
      <c r="BP27" s="212">
        <f t="shared" si="17"/>
        <v>8061.2400000001144</v>
      </c>
      <c r="BQ27">
        <f t="shared" si="18"/>
        <v>1.1995892857143027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3">
        <f>'25'!D4</f>
        <v>0.8</v>
      </c>
      <c r="F28" s="253">
        <f>'25'!D2</f>
        <v>0.54</v>
      </c>
      <c r="G28" s="19">
        <f>'25'!G8</f>
        <v>17150</v>
      </c>
      <c r="H28" s="19">
        <f>'25'!G8</f>
        <v>17150</v>
      </c>
      <c r="I28" s="19">
        <f>'25'!G7</f>
        <v>17000</v>
      </c>
      <c r="J28" s="19">
        <v>10</v>
      </c>
      <c r="K28" s="239">
        <f t="shared" si="3"/>
        <v>171500</v>
      </c>
      <c r="L28" s="235">
        <f t="shared" si="4"/>
        <v>84.158415841584159</v>
      </c>
      <c r="M28" s="19">
        <f>'25'!G15</f>
        <v>550</v>
      </c>
      <c r="N28" s="19">
        <v>35</v>
      </c>
      <c r="O28" s="232">
        <f t="shared" si="5"/>
        <v>19250</v>
      </c>
      <c r="P28" s="19">
        <f>'25'!G20</f>
        <v>120</v>
      </c>
      <c r="Q28" s="19">
        <v>134</v>
      </c>
      <c r="R28" s="236">
        <f t="shared" si="0"/>
        <v>16080</v>
      </c>
      <c r="S28" s="237">
        <f t="shared" si="1"/>
        <v>110.01100110010999</v>
      </c>
      <c r="T28" s="19">
        <f>'25'!G24</f>
        <v>0</v>
      </c>
      <c r="U28" s="19">
        <v>69</v>
      </c>
      <c r="V28" s="238">
        <f t="shared" si="6"/>
        <v>0</v>
      </c>
      <c r="W28" s="22">
        <f>'25'!G96</f>
        <v>78</v>
      </c>
      <c r="X28" s="22">
        <f>'25'!G97</f>
        <v>9</v>
      </c>
      <c r="Y28" s="22">
        <f>'25'!G98</f>
        <v>13</v>
      </c>
      <c r="Z28" s="22">
        <f t="shared" si="7"/>
        <v>100</v>
      </c>
      <c r="AA28" s="19">
        <f>'25'!G133</f>
        <v>0</v>
      </c>
      <c r="AB28" s="19">
        <f>'25'!G134</f>
        <v>0</v>
      </c>
      <c r="AC28" s="19">
        <f>'25'!G135</f>
        <v>23.910000000003492</v>
      </c>
      <c r="AD28" s="19">
        <f>'25'!G136</f>
        <v>0</v>
      </c>
      <c r="AE28" s="19">
        <f t="shared" si="8"/>
        <v>23.910000000003492</v>
      </c>
      <c r="AF28" s="23">
        <f t="shared" si="2"/>
        <v>5004.3399999999747</v>
      </c>
      <c r="AG28" s="23">
        <f t="shared" si="9"/>
        <v>209.29903805935774</v>
      </c>
      <c r="AH28" s="19">
        <f>'24'!G137</f>
        <v>0</v>
      </c>
      <c r="AI28" s="19">
        <f>'24'!G138</f>
        <v>0</v>
      </c>
      <c r="AJ28" s="19">
        <f>'24'!G139</f>
        <v>10.25</v>
      </c>
      <c r="AK28" s="19">
        <f t="shared" si="10"/>
        <v>10.25</v>
      </c>
      <c r="AL28" s="19">
        <f>'23'!G140</f>
        <v>8.0499999999999545</v>
      </c>
      <c r="AM28" s="19">
        <f>'24'!G141</f>
        <v>-0.3000000000001819</v>
      </c>
      <c r="AN28" s="19"/>
      <c r="AO28" s="19">
        <f t="shared" si="11"/>
        <v>7.7499999999997726</v>
      </c>
      <c r="AP28" s="255">
        <f>'25'!G124</f>
        <v>208.40000000002328</v>
      </c>
      <c r="AQ28" s="258">
        <f>'25'!G35</f>
        <v>2110.8800000000047</v>
      </c>
      <c r="AR28" s="19">
        <f>'25'!G37</f>
        <v>1247.8499999999913</v>
      </c>
      <c r="AS28" s="19">
        <f>'25'!G38</f>
        <v>1212.3300000000163</v>
      </c>
      <c r="AT28" s="19">
        <f>'25'!G39</f>
        <v>2043.7600000000093</v>
      </c>
      <c r="AU28" s="19">
        <f>'25'!G40</f>
        <v>0</v>
      </c>
      <c r="AV28" s="19">
        <f>'25'!G41</f>
        <v>0</v>
      </c>
      <c r="AW28" s="19"/>
      <c r="AX28" s="19">
        <f>'25'!G43</f>
        <v>2198.6999999999534</v>
      </c>
      <c r="AY28" s="23">
        <f>'25'!G44</f>
        <v>0</v>
      </c>
      <c r="AZ28" s="259">
        <f>'25'!G36</f>
        <v>0</v>
      </c>
      <c r="BA28" s="258">
        <f>'25'!G49</f>
        <v>0</v>
      </c>
      <c r="BB28" s="19">
        <f>'25'!G51</f>
        <v>0</v>
      </c>
      <c r="BC28" s="19">
        <f>'25'!G52</f>
        <v>0</v>
      </c>
      <c r="BD28" s="19">
        <f>'25'!G53</f>
        <v>524.8399999999674</v>
      </c>
      <c r="BE28" s="19">
        <f>'24'!G54</f>
        <v>81.950000000000728</v>
      </c>
      <c r="BF28" s="19">
        <f>'25'!G55</f>
        <v>4994.739999999998</v>
      </c>
      <c r="BG28" s="19">
        <f>'25'!G56</f>
        <v>9.5999999999767169</v>
      </c>
      <c r="BH28" s="19">
        <f>'25'!G57</f>
        <v>0</v>
      </c>
      <c r="BI28" s="259">
        <f>'25'!G50</f>
        <v>860.51999999996042</v>
      </c>
      <c r="BJ28" s="367">
        <f t="shared" si="12"/>
        <v>5004.3399999999747</v>
      </c>
      <c r="BK28" s="367">
        <f>'25'!G84</f>
        <v>649</v>
      </c>
      <c r="BL28" s="23">
        <f t="shared" si="13"/>
        <v>54.787764705881955</v>
      </c>
      <c r="BM28" s="23">
        <f t="shared" si="14"/>
        <v>15.109411764705746</v>
      </c>
      <c r="BN28" s="24">
        <f t="shared" si="15"/>
        <v>7.1313529411765664E-2</v>
      </c>
      <c r="BO28" s="25">
        <f t="shared" si="16"/>
        <v>206830</v>
      </c>
      <c r="BP28" s="212">
        <f t="shared" si="17"/>
        <v>7852.0399999999281</v>
      </c>
      <c r="BQ28">
        <f t="shared" si="18"/>
        <v>1.1728565453783206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3">
        <f>'26'!D4</f>
        <v>0.74</v>
      </c>
      <c r="F29" s="253">
        <f>'26'!D2</f>
        <v>0.54</v>
      </c>
      <c r="G29" s="19">
        <f>'26'!G8</f>
        <v>17150</v>
      </c>
      <c r="H29" s="19">
        <f>'26'!G8</f>
        <v>17150</v>
      </c>
      <c r="I29" s="19">
        <f>'26'!G7</f>
        <v>17000</v>
      </c>
      <c r="J29" s="19">
        <v>10</v>
      </c>
      <c r="K29" s="239">
        <f t="shared" si="3"/>
        <v>171500</v>
      </c>
      <c r="L29" s="235">
        <f t="shared" si="4"/>
        <v>84.158415841584159</v>
      </c>
      <c r="M29" s="19">
        <f>'26'!G15</f>
        <v>550</v>
      </c>
      <c r="N29" s="19">
        <v>35</v>
      </c>
      <c r="O29" s="232">
        <f t="shared" si="5"/>
        <v>19250</v>
      </c>
      <c r="P29" s="19">
        <f>'26'!G20</f>
        <v>113</v>
      </c>
      <c r="Q29" s="19">
        <v>134</v>
      </c>
      <c r="R29" s="236">
        <f t="shared" si="0"/>
        <v>15142</v>
      </c>
      <c r="S29" s="237">
        <f t="shared" si="1"/>
        <v>103.59369270260358</v>
      </c>
      <c r="T29" s="19">
        <f>'26'!G24</f>
        <v>0</v>
      </c>
      <c r="U29" s="19">
        <v>69</v>
      </c>
      <c r="V29" s="238">
        <f t="shared" si="6"/>
        <v>0</v>
      </c>
      <c r="W29" s="22">
        <f>'26'!G96</f>
        <v>43</v>
      </c>
      <c r="X29" s="22">
        <f>'26'!G97</f>
        <v>9</v>
      </c>
      <c r="Y29" s="22">
        <f>'26'!G98</f>
        <v>18</v>
      </c>
      <c r="Z29" s="22">
        <f t="shared" si="7"/>
        <v>70</v>
      </c>
      <c r="AA29" s="19">
        <f>'26'!G133</f>
        <v>0</v>
      </c>
      <c r="AB29" s="19">
        <f>'26'!G134</f>
        <v>0</v>
      </c>
      <c r="AC29" s="19">
        <f>'26'!G135</f>
        <v>24.039999999993597</v>
      </c>
      <c r="AD29" s="19">
        <f>'26'!G136</f>
        <v>12.069999999999709</v>
      </c>
      <c r="AE29" s="19">
        <f t="shared" si="8"/>
        <v>36.109999999993306</v>
      </c>
      <c r="AF29" s="23">
        <f t="shared" si="2"/>
        <v>5995.2500000000291</v>
      </c>
      <c r="AG29" s="23">
        <f t="shared" si="9"/>
        <v>166.02741622822322</v>
      </c>
      <c r="AH29" s="19">
        <f>'26'!G137</f>
        <v>1.0000000002037268E-2</v>
      </c>
      <c r="AI29" s="19">
        <f>'26'!G138</f>
        <v>-9.9999999983992893E-3</v>
      </c>
      <c r="AJ29" s="19">
        <f>'26'!G139</f>
        <v>2.8299999999871943</v>
      </c>
      <c r="AK29" s="19">
        <f t="shared" si="10"/>
        <v>2.8299999999908323</v>
      </c>
      <c r="AL29" s="19">
        <f>'26'!G140</f>
        <v>7.7799999999999727</v>
      </c>
      <c r="AM29" s="19">
        <f>'26'!G141</f>
        <v>0</v>
      </c>
      <c r="AN29" s="19"/>
      <c r="AO29" s="19">
        <f t="shared" si="11"/>
        <v>7.7799999999999727</v>
      </c>
      <c r="AP29" s="255">
        <f>'26'!G124</f>
        <v>207.51000000000931</v>
      </c>
      <c r="AQ29" s="258">
        <f>'26'!G35</f>
        <v>2644.9599999999627</v>
      </c>
      <c r="AR29" s="19">
        <f>'26'!G37</f>
        <v>1344</v>
      </c>
      <c r="AS29" s="19">
        <f>'26'!G38</f>
        <v>1226.3500000000058</v>
      </c>
      <c r="AT29" s="19">
        <f>'26'!G39</f>
        <v>2149.1999999999534</v>
      </c>
      <c r="AU29" s="19">
        <f>'26'!G40</f>
        <v>202.51</v>
      </c>
      <c r="AV29" s="19">
        <f>'26'!G41</f>
        <v>0</v>
      </c>
      <c r="AW29" s="19">
        <f>'26'!G42</f>
        <v>0</v>
      </c>
      <c r="AX29" s="19">
        <f>'26'!G43</f>
        <v>2602.8000000000466</v>
      </c>
      <c r="AY29" s="23">
        <f>'26'!G44</f>
        <v>0</v>
      </c>
      <c r="AZ29" s="259">
        <f>'26'!G36</f>
        <v>0</v>
      </c>
      <c r="BA29" s="258">
        <f>'26'!G49</f>
        <v>0</v>
      </c>
      <c r="BB29" s="19">
        <f>'26'!G51</f>
        <v>0</v>
      </c>
      <c r="BC29" s="19">
        <f>'26'!G52</f>
        <v>0</v>
      </c>
      <c r="BD29" s="19">
        <f>'26'!G53</f>
        <v>541.67999999999302</v>
      </c>
      <c r="BE29" s="19">
        <f>'26'!G54</f>
        <v>83.3799999999992</v>
      </c>
      <c r="BF29" s="19">
        <f>'26'!G55</f>
        <v>3911.2099999999919</v>
      </c>
      <c r="BG29" s="19">
        <f>'26'!G56</f>
        <v>2084.0400000000373</v>
      </c>
      <c r="BH29" s="19">
        <f>'26'!G57</f>
        <v>0</v>
      </c>
      <c r="BI29" s="259">
        <f>'26'!G50</f>
        <v>1413.7200000000303</v>
      </c>
      <c r="BJ29" s="367">
        <f t="shared" si="12"/>
        <v>5995.2500000000291</v>
      </c>
      <c r="BK29" s="367">
        <f>'26'!G84</f>
        <v>786</v>
      </c>
      <c r="BL29" s="23">
        <f t="shared" si="13"/>
        <v>66.135352941176691</v>
      </c>
      <c r="BM29" s="23">
        <f t="shared" si="14"/>
        <v>15.828705882352626</v>
      </c>
      <c r="BN29" s="24">
        <f t="shared" si="15"/>
        <v>7.2138235294117989E-2</v>
      </c>
      <c r="BO29" s="25">
        <f t="shared" si="16"/>
        <v>205892</v>
      </c>
      <c r="BP29" s="212">
        <f t="shared" si="17"/>
        <v>9384.0500000000757</v>
      </c>
      <c r="BQ29">
        <f t="shared" si="18"/>
        <v>0.92812141472502818</v>
      </c>
    </row>
    <row r="30" spans="1:69">
      <c r="A30" s="16">
        <v>27</v>
      </c>
      <c r="B30" s="17">
        <v>27</v>
      </c>
      <c r="C30" s="28"/>
      <c r="D30" s="19">
        <f>'27'!D3</f>
        <v>30</v>
      </c>
      <c r="E30" s="253">
        <f>'27'!D4</f>
        <v>0.78</v>
      </c>
      <c r="F30" s="253">
        <f>'27'!D2</f>
        <v>0.7</v>
      </c>
      <c r="G30" s="19">
        <f>'27'!G8</f>
        <v>17150</v>
      </c>
      <c r="H30" s="19">
        <f>'27'!G8</f>
        <v>17150</v>
      </c>
      <c r="I30" s="19">
        <f>'27'!G7</f>
        <v>17000</v>
      </c>
      <c r="J30" s="19">
        <v>10</v>
      </c>
      <c r="K30" s="239">
        <f t="shared" si="3"/>
        <v>171500</v>
      </c>
      <c r="L30" s="235">
        <f t="shared" si="4"/>
        <v>84.158415841584159</v>
      </c>
      <c r="M30" s="19">
        <f>'27'!G15</f>
        <v>550</v>
      </c>
      <c r="N30" s="19">
        <v>35</v>
      </c>
      <c r="O30" s="232">
        <f t="shared" si="5"/>
        <v>19250</v>
      </c>
      <c r="P30" s="19">
        <f>'27'!G20</f>
        <v>121</v>
      </c>
      <c r="Q30" s="19">
        <v>134</v>
      </c>
      <c r="R30" s="236">
        <f t="shared" si="0"/>
        <v>16214</v>
      </c>
      <c r="S30" s="237">
        <f t="shared" si="1"/>
        <v>85.572842998585585</v>
      </c>
      <c r="T30" s="19">
        <f>'27'!G24</f>
        <v>0</v>
      </c>
      <c r="U30" s="19">
        <v>69</v>
      </c>
      <c r="V30" s="238">
        <f t="shared" si="6"/>
        <v>0</v>
      </c>
      <c r="W30" s="22">
        <f>'27'!G96</f>
        <v>49</v>
      </c>
      <c r="X30" s="22">
        <f>'27'!G97</f>
        <v>11</v>
      </c>
      <c r="Y30" s="22">
        <f>'27'!G98</f>
        <v>17</v>
      </c>
      <c r="Z30" s="22">
        <f t="shared" si="7"/>
        <v>77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24.040000000000873</v>
      </c>
      <c r="AE30" s="19">
        <f t="shared" si="8"/>
        <v>24.040000000000873</v>
      </c>
      <c r="AF30" s="23">
        <f t="shared" si="2"/>
        <v>4767.4700000000012</v>
      </c>
      <c r="AG30" s="23">
        <f t="shared" si="9"/>
        <v>198.31405990015924</v>
      </c>
      <c r="AH30" s="19">
        <f>'27'!G137</f>
        <v>0</v>
      </c>
      <c r="AI30" s="19">
        <f>'27'!G138</f>
        <v>0</v>
      </c>
      <c r="AJ30" s="19">
        <f>'27'!G139</f>
        <v>9.7800000000133878</v>
      </c>
      <c r="AK30" s="19">
        <f t="shared" si="10"/>
        <v>9.7800000000133878</v>
      </c>
      <c r="AL30" s="19">
        <f>'27'!G140</f>
        <v>7.6299999999998818</v>
      </c>
      <c r="AM30" s="19">
        <f>'27'!G141</f>
        <v>0</v>
      </c>
      <c r="AN30" s="19"/>
      <c r="AO30" s="19">
        <f t="shared" si="11"/>
        <v>7.6299999999998818</v>
      </c>
      <c r="AP30" s="255">
        <f>'27'!G124</f>
        <v>205.0899999999674</v>
      </c>
      <c r="AQ30" s="258">
        <f>'27'!G35</f>
        <v>2481.25</v>
      </c>
      <c r="AR30" s="19">
        <f>'27'!G37</f>
        <v>1296.2700000000041</v>
      </c>
      <c r="AS30" s="19">
        <f>'27'!G38</f>
        <v>1176.609999999986</v>
      </c>
      <c r="AT30" s="19">
        <f>'27'!G39</f>
        <v>2221.5300000000279</v>
      </c>
      <c r="AU30" s="19">
        <f>'27'!G40</f>
        <v>9.9999999999909051E-3</v>
      </c>
      <c r="AV30" s="19">
        <f>'27'!G41</f>
        <v>-0.13000000000465661</v>
      </c>
      <c r="AW30" s="19">
        <f>'27'!G42</f>
        <v>2.9999999998835847E-2</v>
      </c>
      <c r="AX30" s="19">
        <f>'27'!G43</f>
        <v>2345.6999999999534</v>
      </c>
      <c r="AY30" s="23">
        <f>'27'!G44</f>
        <v>0</v>
      </c>
      <c r="AZ30" s="259">
        <f>'27'!G36</f>
        <v>0</v>
      </c>
      <c r="BA30" s="258">
        <f>'27'!G49</f>
        <v>0</v>
      </c>
      <c r="BB30" s="19">
        <f>'27'!G51</f>
        <v>0.13000000000465661</v>
      </c>
      <c r="BC30" s="19">
        <f>'27'!G52</f>
        <v>-6.9999999948777258E-2</v>
      </c>
      <c r="BD30" s="19">
        <f>'27'!G53</f>
        <v>552.45000000001164</v>
      </c>
      <c r="BE30" s="19">
        <f>'27'!G54</f>
        <v>81</v>
      </c>
      <c r="BF30" s="19">
        <f>'27'!G55</f>
        <v>0.32000000000698492</v>
      </c>
      <c r="BG30" s="19">
        <f>'27'!G56</f>
        <v>4767.25</v>
      </c>
      <c r="BH30" s="19">
        <f>'27'!G57</f>
        <v>0</v>
      </c>
      <c r="BI30" s="259">
        <f>'27'!G50</f>
        <v>845.1699999999837</v>
      </c>
      <c r="BJ30" s="367">
        <f t="shared" si="12"/>
        <v>4767.4700000000012</v>
      </c>
      <c r="BK30" s="367">
        <f>'27'!G84</f>
        <v>763</v>
      </c>
      <c r="BL30" s="23">
        <f t="shared" si="13"/>
        <v>56.437764705882088</v>
      </c>
      <c r="BM30" s="23">
        <f t="shared" si="14"/>
        <v>16.317529411764937</v>
      </c>
      <c r="BN30" s="24">
        <f t="shared" si="15"/>
        <v>6.9208235294119833E-2</v>
      </c>
      <c r="BO30" s="25">
        <f t="shared" si="16"/>
        <v>206964</v>
      </c>
      <c r="BP30" s="212">
        <f t="shared" si="17"/>
        <v>7876.1699999999546</v>
      </c>
      <c r="BQ30">
        <f t="shared" si="18"/>
        <v>1.170098942239076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3">
        <f>'28'!D4</f>
        <v>0.78</v>
      </c>
      <c r="F31" s="253">
        <f>'28'!D2</f>
        <v>0.71</v>
      </c>
      <c r="G31" s="19">
        <f>'28'!G8</f>
        <v>17150</v>
      </c>
      <c r="H31" s="19">
        <f>'28'!G8</f>
        <v>17150</v>
      </c>
      <c r="I31" s="19">
        <f>'28'!G7</f>
        <v>17000</v>
      </c>
      <c r="J31" s="19">
        <v>10</v>
      </c>
      <c r="K31" s="239">
        <f t="shared" si="3"/>
        <v>171500</v>
      </c>
      <c r="L31" s="235">
        <f t="shared" si="4"/>
        <v>84.158415841584159</v>
      </c>
      <c r="M31" s="19">
        <f>'28'!G15</f>
        <v>550</v>
      </c>
      <c r="N31" s="19">
        <v>35</v>
      </c>
      <c r="O31" s="232">
        <f t="shared" si="5"/>
        <v>19250</v>
      </c>
      <c r="P31" s="19">
        <f>'28'!G20</f>
        <v>100</v>
      </c>
      <c r="Q31" s="19">
        <v>134</v>
      </c>
      <c r="R31" s="236">
        <f t="shared" si="0"/>
        <v>13400</v>
      </c>
      <c r="S31" s="237">
        <f t="shared" si="1"/>
        <v>69.725282387393676</v>
      </c>
      <c r="T31" s="19">
        <f>'28'!G24</f>
        <v>0</v>
      </c>
      <c r="U31" s="19">
        <v>69</v>
      </c>
      <c r="V31" s="238">
        <f t="shared" si="6"/>
        <v>0</v>
      </c>
      <c r="W31" s="22">
        <f>'28'!G96</f>
        <v>51</v>
      </c>
      <c r="X31" s="22">
        <f>'28'!G97</f>
        <v>7</v>
      </c>
      <c r="Y31" s="22">
        <f>'28'!G98</f>
        <v>18</v>
      </c>
      <c r="Z31" s="22">
        <f t="shared" si="7"/>
        <v>76</v>
      </c>
      <c r="AA31" s="19">
        <f>'28'!G133</f>
        <v>-9.9999999998544808E-2</v>
      </c>
      <c r="AB31" s="19">
        <f>'28'!G134</f>
        <v>0</v>
      </c>
      <c r="AC31" s="19">
        <f>'28'!G135</f>
        <v>-0.33999999999650754</v>
      </c>
      <c r="AD31" s="19">
        <f>'28'!G136</f>
        <v>24.119999999998981</v>
      </c>
      <c r="AE31" s="19">
        <f t="shared" si="8"/>
        <v>23.680000000003929</v>
      </c>
      <c r="AF31" s="23">
        <f t="shared" si="2"/>
        <v>4796</v>
      </c>
      <c r="AG31" s="23">
        <f t="shared" si="9"/>
        <v>202.53378378375018</v>
      </c>
      <c r="AH31" s="19">
        <f>'28'!G137</f>
        <v>7.6399999999994179</v>
      </c>
      <c r="AI31" s="19">
        <f>'28'!G138</f>
        <v>9.9999999998544808E-2</v>
      </c>
      <c r="AJ31" s="19">
        <f>'28'!G139</f>
        <v>3.9999999993597157E-2</v>
      </c>
      <c r="AK31" s="19">
        <f t="shared" si="10"/>
        <v>7.7799999999915599</v>
      </c>
      <c r="AL31" s="19">
        <f>'28'!G140</f>
        <v>7.1900000000000546</v>
      </c>
      <c r="AM31" s="19">
        <f>'28'!G141</f>
        <v>0</v>
      </c>
      <c r="AN31" s="19"/>
      <c r="AO31" s="19">
        <f t="shared" si="11"/>
        <v>7.1900000000000546</v>
      </c>
      <c r="AP31" s="255">
        <f>'28'!G124</f>
        <v>197</v>
      </c>
      <c r="AQ31" s="258">
        <f>'28'!G35</f>
        <v>2485</v>
      </c>
      <c r="AR31" s="19">
        <f>'28'!G37</f>
        <v>1279</v>
      </c>
      <c r="AS31" s="19">
        <f>'28'!G38</f>
        <v>1195</v>
      </c>
      <c r="AT31" s="19">
        <f>'28'!G39</f>
        <v>2110</v>
      </c>
      <c r="AU31" s="19">
        <f>'28'!G40</f>
        <v>0</v>
      </c>
      <c r="AV31" s="19">
        <f>'28'!G41</f>
        <v>0</v>
      </c>
      <c r="AW31" s="19">
        <f>'28'!G42</f>
        <v>0</v>
      </c>
      <c r="AX31" s="434">
        <f>'28'!G43</f>
        <v>2329</v>
      </c>
      <c r="AY31" s="23">
        <f>'28'!G44</f>
        <v>0</v>
      </c>
      <c r="AZ31" s="259">
        <f>'28'!G36</f>
        <v>0</v>
      </c>
      <c r="BA31" s="258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601</v>
      </c>
      <c r="BE31" s="19">
        <f>'28'!G54</f>
        <v>82</v>
      </c>
      <c r="BF31" s="19">
        <f>'28'!G55</f>
        <v>0</v>
      </c>
      <c r="BG31" s="19">
        <f>'28'!G56</f>
        <v>4796</v>
      </c>
      <c r="BH31" s="19">
        <f>'28'!G57</f>
        <v>0.32999999999992724</v>
      </c>
      <c r="BI31" s="259">
        <f>'28'!G50</f>
        <v>832</v>
      </c>
      <c r="BJ31" s="367">
        <f t="shared" si="12"/>
        <v>4796</v>
      </c>
      <c r="BK31" s="367">
        <f>'28'!G84</f>
        <v>879</v>
      </c>
      <c r="BL31" s="23">
        <f>SUM(AQ31,AV31,AW31,AX31,BA31,BF31,BG31,BH31)/I31%</f>
        <v>56.531352941176472</v>
      </c>
      <c r="BM31" s="23">
        <f t="shared" si="14"/>
        <v>15.947058823529412</v>
      </c>
      <c r="BN31" s="24">
        <f t="shared" si="15"/>
        <v>7.0298235294114636E-2</v>
      </c>
      <c r="BO31" s="25">
        <f t="shared" si="16"/>
        <v>204150</v>
      </c>
      <c r="BP31" s="212">
        <f t="shared" si="17"/>
        <v>8004.33</v>
      </c>
      <c r="BQ31">
        <f t="shared" si="18"/>
        <v>1.2072167591696839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3">
        <f>'29'!D4</f>
        <v>0.78</v>
      </c>
      <c r="F32" s="253">
        <f>'29'!D2</f>
        <v>0.98</v>
      </c>
      <c r="G32" s="19">
        <f>'29'!G8</f>
        <v>17150</v>
      </c>
      <c r="H32" s="19">
        <f>'29'!G8</f>
        <v>17150</v>
      </c>
      <c r="I32" s="19">
        <f>'29'!G7</f>
        <v>17000</v>
      </c>
      <c r="J32" s="19">
        <v>10</v>
      </c>
      <c r="K32" s="239">
        <f t="shared" si="3"/>
        <v>171500</v>
      </c>
      <c r="L32" s="235">
        <f t="shared" si="4"/>
        <v>84.158415841584159</v>
      </c>
      <c r="M32" s="19">
        <f>'29'!G15</f>
        <v>550</v>
      </c>
      <c r="N32" s="19">
        <v>35</v>
      </c>
      <c r="O32" s="232">
        <f t="shared" si="5"/>
        <v>19250</v>
      </c>
      <c r="P32" s="19">
        <f>'29'!G20</f>
        <v>117</v>
      </c>
      <c r="Q32" s="19">
        <v>134</v>
      </c>
      <c r="R32" s="236">
        <f t="shared" si="0"/>
        <v>15678</v>
      </c>
      <c r="S32" s="237">
        <f t="shared" si="1"/>
        <v>59.102849060416247</v>
      </c>
      <c r="T32" s="19">
        <f>'29'!G24</f>
        <v>0</v>
      </c>
      <c r="U32" s="19">
        <v>69</v>
      </c>
      <c r="V32" s="238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5">
        <f>'29'!G124</f>
        <v>197</v>
      </c>
      <c r="AQ32" s="258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59">
        <f>'29'!G36</f>
        <v>0</v>
      </c>
      <c r="BA32" s="258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59">
        <f>'29'!G50</f>
        <v>866</v>
      </c>
      <c r="BJ32" s="367">
        <f t="shared" si="12"/>
        <v>4832</v>
      </c>
      <c r="BK32" s="367">
        <f>'29'!G84</f>
        <v>872</v>
      </c>
      <c r="BL32" s="23">
        <f t="shared" si="13"/>
        <v>56.268647058823532</v>
      </c>
      <c r="BM32" s="23">
        <f t="shared" si="14"/>
        <v>17.164705882352941</v>
      </c>
      <c r="BN32" s="24">
        <f t="shared" si="15"/>
        <v>7.1647058823529411E-2</v>
      </c>
      <c r="BO32" s="25">
        <f t="shared" si="16"/>
        <v>206428</v>
      </c>
      <c r="BP32" s="212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3">
        <f>'30'!D4</f>
        <v>0.8</v>
      </c>
      <c r="F33" s="253">
        <f>'30'!D2</f>
        <v>0.62</v>
      </c>
      <c r="G33" s="19">
        <f>'30'!G8</f>
        <v>17150</v>
      </c>
      <c r="H33" s="19">
        <f>'30'!G8</f>
        <v>17150</v>
      </c>
      <c r="I33" s="19">
        <f>'30'!G7</f>
        <v>17000</v>
      </c>
      <c r="J33" s="19">
        <v>10</v>
      </c>
      <c r="K33" s="239">
        <f t="shared" si="3"/>
        <v>171500</v>
      </c>
      <c r="L33" s="235">
        <f t="shared" si="4"/>
        <v>84.158415841584159</v>
      </c>
      <c r="M33" s="19">
        <f>'30'!G15</f>
        <v>550</v>
      </c>
      <c r="N33" s="19">
        <v>35</v>
      </c>
      <c r="O33" s="232">
        <f t="shared" si="5"/>
        <v>19250</v>
      </c>
      <c r="P33" s="19">
        <f>'30'!G20</f>
        <v>138</v>
      </c>
      <c r="Q33" s="19">
        <v>134</v>
      </c>
      <c r="R33" s="236">
        <f t="shared" si="0"/>
        <v>18492</v>
      </c>
      <c r="S33" s="237">
        <f t="shared" si="1"/>
        <v>110.18843819865857</v>
      </c>
      <c r="T33" s="19">
        <f>'30'!G24</f>
        <v>0</v>
      </c>
      <c r="U33" s="19">
        <v>69</v>
      </c>
      <c r="V33" s="238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5">
        <f>'30'!G124</f>
        <v>217</v>
      </c>
      <c r="AQ33" s="258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59">
        <f>'30'!G36</f>
        <v>0</v>
      </c>
      <c r="BA33" s="258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59">
        <f>'30'!G50</f>
        <v>926</v>
      </c>
      <c r="BJ33" s="367">
        <f t="shared" ref="BJ33" si="19">SUM(AV33,AW33,BF33,BG33)</f>
        <v>5573</v>
      </c>
      <c r="BK33" s="367">
        <f>'30'!G84</f>
        <v>802</v>
      </c>
      <c r="BL33" s="23">
        <f t="shared" si="13"/>
        <v>60.335294117647059</v>
      </c>
      <c r="BM33" s="23">
        <f t="shared" si="14"/>
        <v>17.376470588235293</v>
      </c>
      <c r="BN33" s="24">
        <f t="shared" si="15"/>
        <v>7.829000000000301E-2</v>
      </c>
      <c r="BO33" s="25">
        <f t="shared" si="16"/>
        <v>209242</v>
      </c>
      <c r="BP33" s="212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3" t="str">
        <f>'30'!D5</f>
        <v>Unit</v>
      </c>
      <c r="F34" s="253">
        <f>'30'!D3</f>
        <v>29</v>
      </c>
      <c r="G34" s="19">
        <f>'31'!G8</f>
        <v>17150</v>
      </c>
      <c r="H34" s="19">
        <f>'31'!G8</f>
        <v>17150</v>
      </c>
      <c r="I34" s="19">
        <f>'31'!G8</f>
        <v>17150</v>
      </c>
      <c r="J34" s="19">
        <v>11</v>
      </c>
      <c r="K34" s="239">
        <f t="shared" ref="K34" si="20">H34*J34</f>
        <v>188650</v>
      </c>
      <c r="L34" s="235">
        <f t="shared" ref="L34" si="21">I34/202</f>
        <v>84.900990099009903</v>
      </c>
      <c r="M34" s="19">
        <f>'31'!G15</f>
        <v>550</v>
      </c>
      <c r="N34" s="19">
        <v>36</v>
      </c>
      <c r="O34" s="232">
        <f t="shared" ref="O34" si="22">M34*N34</f>
        <v>19800</v>
      </c>
      <c r="P34" s="19">
        <f>'31'!G20</f>
        <v>121</v>
      </c>
      <c r="Q34" s="19">
        <v>134</v>
      </c>
      <c r="R34" s="236">
        <f t="shared" ref="R34" si="23">P34*Q34</f>
        <v>16214</v>
      </c>
      <c r="S34" s="237">
        <f t="shared" ref="S34" si="24">P34/(F34*202/100)</f>
        <v>2.0655513827244794</v>
      </c>
      <c r="T34" s="19">
        <f>'30'!G25</f>
        <v>0</v>
      </c>
      <c r="U34" s="19">
        <v>70</v>
      </c>
      <c r="V34" s="238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5">
        <f>'30'!G125</f>
        <v>0.39999999999417923</v>
      </c>
      <c r="AQ34" s="258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59">
        <f>'31'!G36</f>
        <v>173</v>
      </c>
      <c r="BA34" s="258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59">
        <f>'31'!G50</f>
        <v>884</v>
      </c>
      <c r="BJ34" s="367">
        <f t="shared" ref="BJ34" si="32">SUM(AV34,AW34,BF34,BG34)</f>
        <v>5603</v>
      </c>
      <c r="BK34" s="367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224664</v>
      </c>
      <c r="BP34" s="212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102</v>
      </c>
      <c r="B35" s="30"/>
      <c r="C35" s="31"/>
      <c r="D35" s="32">
        <f>AVERAGE(D4:D34)</f>
        <v>29.419354838709676</v>
      </c>
      <c r="E35" s="33"/>
      <c r="F35" s="381">
        <f>AVERAGE(F4:F34)</f>
        <v>1.4848387096774194</v>
      </c>
      <c r="G35" s="34">
        <f>SUM(G4:G34)</f>
        <v>538185</v>
      </c>
      <c r="H35" s="34">
        <f>SUM(H4:H34)</f>
        <v>538185</v>
      </c>
      <c r="I35" s="34">
        <f t="shared" ref="I35:BO35" si="39">SUM(I4:I34)</f>
        <v>534679</v>
      </c>
      <c r="J35" s="34">
        <f t="shared" si="39"/>
        <v>310</v>
      </c>
      <c r="K35" s="34">
        <f t="shared" si="39"/>
        <v>5382345</v>
      </c>
      <c r="L35" s="34">
        <f t="shared" si="39"/>
        <v>2646.9257425742567</v>
      </c>
      <c r="M35" s="34">
        <f t="shared" si="39"/>
        <v>16208</v>
      </c>
      <c r="N35" s="34">
        <f t="shared" si="39"/>
        <v>1086</v>
      </c>
      <c r="O35" s="34">
        <f t="shared" si="39"/>
        <v>567830</v>
      </c>
      <c r="P35" s="34">
        <f t="shared" si="39"/>
        <v>1600</v>
      </c>
      <c r="Q35" s="34">
        <f t="shared" si="39"/>
        <v>4154</v>
      </c>
      <c r="R35" s="34">
        <f t="shared" si="39"/>
        <v>214400</v>
      </c>
      <c r="S35" s="34">
        <f t="shared" si="39"/>
        <v>2619.4540528510174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3.0299999999988358</v>
      </c>
      <c r="AD35" s="34">
        <f t="shared" si="39"/>
        <v>-23.729999999999563</v>
      </c>
      <c r="AE35" s="34">
        <f t="shared" si="39"/>
        <v>3.2000000000007276</v>
      </c>
      <c r="AF35" s="34">
        <f t="shared" si="39"/>
        <v>1.0300000000061118</v>
      </c>
      <c r="AG35" s="34">
        <f t="shared" si="39"/>
        <v>6383.0161331380777</v>
      </c>
      <c r="AH35" s="34">
        <f t="shared" si="39"/>
        <v>-16.319999999999709</v>
      </c>
      <c r="AI35" s="34">
        <f t="shared" si="39"/>
        <v>9.7300000000068394</v>
      </c>
      <c r="AJ35" s="34">
        <f t="shared" si="39"/>
        <v>18.339999999999918</v>
      </c>
      <c r="AK35" s="34">
        <f t="shared" si="39"/>
        <v>11.750000000007049</v>
      </c>
      <c r="AL35" s="34">
        <f t="shared" si="39"/>
        <v>-6.4100000000000819</v>
      </c>
      <c r="AM35" s="34">
        <f t="shared" si="39"/>
        <v>-0.6000000000003638</v>
      </c>
      <c r="AN35" s="34">
        <f t="shared" si="39"/>
        <v>0</v>
      </c>
      <c r="AO35" s="34">
        <f t="shared" si="39"/>
        <v>-7.0100000000004457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0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-532</v>
      </c>
      <c r="BE35" s="34">
        <f t="shared" si="39"/>
        <v>2.2399999999997817</v>
      </c>
      <c r="BF35" s="34">
        <f t="shared" si="39"/>
        <v>0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1.0300000000061118</v>
      </c>
      <c r="BK35" s="34">
        <f t="shared" si="39"/>
        <v>208</v>
      </c>
      <c r="BL35" s="34">
        <f t="shared" si="39"/>
        <v>-25.430767902606178</v>
      </c>
      <c r="BM35" s="34">
        <f t="shared" si="39"/>
        <v>-11.024880030789079</v>
      </c>
      <c r="BN35" s="34">
        <f t="shared" si="39"/>
        <v>-3.2837346407118023E-2</v>
      </c>
      <c r="BO35" s="34">
        <f t="shared" si="39"/>
        <v>6172855</v>
      </c>
      <c r="BP35" s="212">
        <f t="shared" si="17"/>
        <v>209.02999999999884</v>
      </c>
      <c r="BQ35">
        <f t="shared" si="18"/>
        <v>0.23329241071423137</v>
      </c>
    </row>
    <row r="36" spans="1:69">
      <c r="A36" s="1422"/>
      <c r="B36" s="1422">
        <f t="shared" ref="B36:F36" si="40">B18-B17</f>
        <v>1</v>
      </c>
      <c r="C36" s="1422">
        <f t="shared" si="40"/>
        <v>0</v>
      </c>
      <c r="D36" s="1422">
        <f t="shared" si="40"/>
        <v>1</v>
      </c>
      <c r="E36" s="1422">
        <f t="shared" si="40"/>
        <v>0</v>
      </c>
      <c r="F36" s="1422">
        <f t="shared" si="40"/>
        <v>0.19999999999999996</v>
      </c>
      <c r="G36" s="1422"/>
      <c r="H36" s="1422"/>
      <c r="I36" s="1422">
        <f t="shared" ref="I36:AO36" si="41">I18-I17</f>
        <v>0</v>
      </c>
      <c r="J36" s="1422">
        <f t="shared" si="41"/>
        <v>0</v>
      </c>
      <c r="K36" s="1423">
        <f t="shared" si="41"/>
        <v>0</v>
      </c>
      <c r="L36" s="1423">
        <f t="shared" si="41"/>
        <v>0</v>
      </c>
      <c r="M36" s="1422">
        <f t="shared" si="41"/>
        <v>0</v>
      </c>
      <c r="N36" s="1422">
        <f t="shared" si="41"/>
        <v>0</v>
      </c>
      <c r="O36" s="1423">
        <f t="shared" si="41"/>
        <v>0</v>
      </c>
      <c r="P36" s="1422">
        <f t="shared" si="41"/>
        <v>1953</v>
      </c>
      <c r="Q36" s="1422">
        <f t="shared" si="41"/>
        <v>0</v>
      </c>
      <c r="R36" s="1423">
        <f t="shared" si="41"/>
        <v>261702</v>
      </c>
      <c r="S36" s="1423">
        <f t="shared" si="41"/>
        <v>1512.6891346621753</v>
      </c>
      <c r="T36" s="1422">
        <f t="shared" si="41"/>
        <v>0</v>
      </c>
      <c r="U36" s="1422">
        <f t="shared" si="41"/>
        <v>0</v>
      </c>
      <c r="V36" s="1423">
        <f t="shared" si="41"/>
        <v>0</v>
      </c>
      <c r="W36" s="1422">
        <f t="shared" si="41"/>
        <v>1427</v>
      </c>
      <c r="X36" s="1422">
        <f t="shared" si="41"/>
        <v>357</v>
      </c>
      <c r="Y36" s="1422">
        <f t="shared" si="41"/>
        <v>658</v>
      </c>
      <c r="Z36" s="1422">
        <f t="shared" si="41"/>
        <v>2442</v>
      </c>
      <c r="AA36" s="1422">
        <f t="shared" si="41"/>
        <v>166.81999999999971</v>
      </c>
      <c r="AB36" s="1422">
        <f t="shared" si="41"/>
        <v>0</v>
      </c>
      <c r="AC36" s="1422">
        <f t="shared" si="41"/>
        <v>314.80000000000291</v>
      </c>
      <c r="AD36" s="1422">
        <f t="shared" si="41"/>
        <v>291.02000000000044</v>
      </c>
      <c r="AE36" s="1422">
        <f t="shared" si="41"/>
        <v>772.64000000000306</v>
      </c>
      <c r="AF36" s="1422">
        <f t="shared" si="41"/>
        <v>159873.81000000006</v>
      </c>
      <c r="AG36" s="1422">
        <f t="shared" si="41"/>
        <v>18.024862417663883</v>
      </c>
      <c r="AH36" s="1422">
        <f t="shared" si="41"/>
        <v>74.590000000000146</v>
      </c>
      <c r="AI36" s="1422">
        <f t="shared" si="41"/>
        <v>9.9999999998544808E-2</v>
      </c>
      <c r="AJ36" s="1422">
        <f t="shared" si="41"/>
        <v>118.23999999999069</v>
      </c>
      <c r="AK36" s="1422">
        <f t="shared" si="41"/>
        <v>192.92999999998938</v>
      </c>
      <c r="AL36" s="1422">
        <f t="shared" si="41"/>
        <v>236.3299999999997</v>
      </c>
      <c r="AM36" s="1422">
        <f t="shared" si="41"/>
        <v>0</v>
      </c>
      <c r="AN36" s="1422">
        <f t="shared" si="41"/>
        <v>0</v>
      </c>
      <c r="AO36" s="1422">
        <f t="shared" si="41"/>
        <v>236.3299999999997</v>
      </c>
      <c r="AP36" s="1422"/>
      <c r="AQ36" s="1422">
        <f t="shared" ref="AQ36:AX36" si="42">AQ18-AQ17</f>
        <v>68860.100000000093</v>
      </c>
      <c r="AR36" s="1422">
        <f t="shared" si="42"/>
        <v>40732.179999999993</v>
      </c>
      <c r="AS36" s="1422">
        <f t="shared" si="42"/>
        <v>37654.06</v>
      </c>
      <c r="AT36" s="1422">
        <f t="shared" si="42"/>
        <v>76626.219999999972</v>
      </c>
      <c r="AU36" s="1422">
        <f t="shared" si="42"/>
        <v>997.94</v>
      </c>
      <c r="AV36" s="1422">
        <f t="shared" si="42"/>
        <v>35473.900000000023</v>
      </c>
      <c r="AW36" s="1422">
        <f t="shared" si="42"/>
        <v>10.839999999996508</v>
      </c>
      <c r="AX36" s="1422">
        <f t="shared" si="42"/>
        <v>71289.600000000093</v>
      </c>
      <c r="AY36" s="1422"/>
      <c r="AZ36" s="1422"/>
      <c r="BA36" s="1422">
        <f t="shared" ref="BA36:BH36" si="43">BA18-BA17</f>
        <v>-0.13000000000465661</v>
      </c>
      <c r="BB36" s="1422">
        <f t="shared" si="43"/>
        <v>0</v>
      </c>
      <c r="BC36" s="1422">
        <f t="shared" si="43"/>
        <v>-6.9999999948777258E-2</v>
      </c>
      <c r="BD36" s="1422">
        <f t="shared" si="43"/>
        <v>11182.420000000042</v>
      </c>
      <c r="BE36" s="1422">
        <f t="shared" si="43"/>
        <v>2497.9799999999996</v>
      </c>
      <c r="BF36" s="1422">
        <f t="shared" si="43"/>
        <v>64946.020000000004</v>
      </c>
      <c r="BG36" s="1422">
        <f t="shared" si="43"/>
        <v>59443.050000000047</v>
      </c>
      <c r="BH36" s="1422">
        <f t="shared" si="43"/>
        <v>0</v>
      </c>
      <c r="BI36" s="1422"/>
      <c r="BJ36" s="1422"/>
      <c r="BK36" s="1422"/>
      <c r="BL36" s="1422">
        <f>BL18-BL17</f>
        <v>1764.8434117647073</v>
      </c>
      <c r="BM36" s="1422">
        <f>BM18-BM17</f>
        <v>516.52141176470593</v>
      </c>
      <c r="BN36" s="1422"/>
      <c r="BO36" s="1422">
        <f>BO18-BO17</f>
        <v>261702</v>
      </c>
      <c r="BP36" s="1422">
        <f>BP18-BP17</f>
        <v>251404.41000000015</v>
      </c>
    </row>
    <row r="37" spans="1:69">
      <c r="F37" s="212">
        <f>AVERAGE(F4:F35)</f>
        <v>1.4848387096774194</v>
      </c>
      <c r="G37" s="212"/>
      <c r="H37" s="212"/>
      <c r="I37" s="212">
        <f>AVERAGE(I4:I35)</f>
        <v>33417.4375</v>
      </c>
    </row>
    <row r="38" spans="1:69">
      <c r="B38" s="35" t="s">
        <v>103</v>
      </c>
      <c r="F38" s="380">
        <f>AVERAGE(F4:F35)</f>
        <v>1.4848387096774194</v>
      </c>
      <c r="G38" s="380"/>
      <c r="H38" s="380"/>
    </row>
    <row r="41" spans="1:69">
      <c r="BJ41">
        <f>(BJ31+BK31)/400</f>
        <v>14.1875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>
      <selection activeCell="J11" sqref="J11"/>
    </sheetView>
  </sheetViews>
  <sheetFormatPr defaultRowHeight="15.75"/>
  <cols>
    <col min="2" max="2" width="8.5546875" style="1121" customWidth="1"/>
    <col min="3" max="3" width="7.44140625" style="1121" customWidth="1"/>
    <col min="4" max="4" width="7.5546875" style="1121" customWidth="1"/>
    <col min="5" max="5" width="7.88671875" style="1121" customWidth="1"/>
    <col min="6" max="6" width="10.6640625" style="1121" customWidth="1"/>
    <col min="8" max="8" width="7.5546875" customWidth="1"/>
  </cols>
  <sheetData>
    <row r="1" spans="1:8" ht="47.25">
      <c r="A1" s="1022"/>
      <c r="B1" s="1150" t="s">
        <v>104</v>
      </c>
      <c r="C1" s="1150" t="s">
        <v>105</v>
      </c>
      <c r="D1" s="1150" t="s">
        <v>106</v>
      </c>
      <c r="E1" s="1150" t="s">
        <v>107</v>
      </c>
      <c r="F1" s="1150" t="s">
        <v>108</v>
      </c>
      <c r="G1" s="1189" t="s">
        <v>109</v>
      </c>
      <c r="H1" s="1380" t="s">
        <v>110</v>
      </c>
    </row>
    <row r="2" spans="1:8">
      <c r="A2" s="1022">
        <v>1</v>
      </c>
      <c r="B2" s="1151"/>
      <c r="C2" s="1152">
        <v>28</v>
      </c>
      <c r="D2" s="1152">
        <v>29</v>
      </c>
      <c r="E2" s="1152">
        <f>SUM(C2:D2)/202%</f>
        <v>28.217821782178216</v>
      </c>
      <c r="F2" s="1188">
        <v>57</v>
      </c>
      <c r="G2" s="1188">
        <f>C2+D2</f>
        <v>57</v>
      </c>
      <c r="H2" s="1381">
        <f>C2/202%</f>
        <v>13.861386138613861</v>
      </c>
    </row>
    <row r="3" spans="1:8">
      <c r="A3" s="1022">
        <v>2</v>
      </c>
      <c r="B3" s="1151"/>
      <c r="C3" s="1152">
        <v>39</v>
      </c>
      <c r="D3" s="1152">
        <v>29</v>
      </c>
      <c r="E3" s="1152">
        <f t="shared" ref="E3:E5" si="0">SUM(C3:D3)/202%</f>
        <v>33.663366336633665</v>
      </c>
      <c r="F3" s="1188">
        <v>69</v>
      </c>
      <c r="G3" s="1188">
        <f t="shared" ref="G3:G31" si="1">C3+D3</f>
        <v>68</v>
      </c>
      <c r="H3" s="1381">
        <f t="shared" ref="H3:H32" si="2">C3/202%</f>
        <v>19.306930693069308</v>
      </c>
    </row>
    <row r="4" spans="1:8">
      <c r="A4" s="1022">
        <v>3</v>
      </c>
      <c r="B4" s="1151"/>
      <c r="C4" s="1152">
        <v>33</v>
      </c>
      <c r="D4" s="1152">
        <v>27</v>
      </c>
      <c r="E4" s="1152">
        <f t="shared" si="0"/>
        <v>29.702970297029704</v>
      </c>
      <c r="F4" s="1188">
        <v>97</v>
      </c>
      <c r="G4" s="1188">
        <f t="shared" si="1"/>
        <v>60</v>
      </c>
      <c r="H4" s="1381">
        <f t="shared" si="2"/>
        <v>16.336633663366335</v>
      </c>
    </row>
    <row r="5" spans="1:8">
      <c r="A5" s="1022">
        <v>4</v>
      </c>
      <c r="B5" s="1151"/>
      <c r="C5" s="1152">
        <v>65</v>
      </c>
      <c r="D5" s="1152">
        <v>27</v>
      </c>
      <c r="E5" s="1152">
        <f t="shared" si="0"/>
        <v>45.544554455445542</v>
      </c>
      <c r="F5" s="1188">
        <v>209</v>
      </c>
      <c r="G5" s="1188">
        <f t="shared" si="1"/>
        <v>92</v>
      </c>
      <c r="H5" s="1381">
        <f t="shared" si="2"/>
        <v>32.178217821782177</v>
      </c>
    </row>
    <row r="6" spans="1:8">
      <c r="A6" s="1022">
        <v>5</v>
      </c>
      <c r="B6" s="1151"/>
      <c r="C6" s="1152">
        <v>130</v>
      </c>
      <c r="D6" s="1152">
        <v>29</v>
      </c>
      <c r="E6" s="1152">
        <f t="shared" ref="E6:E31" si="3">SUM(C6:D6)/202%</f>
        <v>78.712871287128706</v>
      </c>
      <c r="F6" s="1188">
        <v>433</v>
      </c>
      <c r="G6" s="1188">
        <f t="shared" si="1"/>
        <v>159</v>
      </c>
      <c r="H6" s="1381">
        <f t="shared" si="2"/>
        <v>64.356435643564353</v>
      </c>
    </row>
    <row r="7" spans="1:8">
      <c r="A7" s="1022">
        <v>6</v>
      </c>
      <c r="B7" s="1151"/>
      <c r="C7" s="1152">
        <v>51</v>
      </c>
      <c r="D7" s="1152">
        <v>27</v>
      </c>
      <c r="E7" s="1152">
        <f t="shared" si="3"/>
        <v>38.613861386138616</v>
      </c>
      <c r="F7" s="1188">
        <v>220</v>
      </c>
      <c r="G7" s="1188">
        <f t="shared" si="1"/>
        <v>78</v>
      </c>
      <c r="H7" s="1381">
        <f t="shared" si="2"/>
        <v>25.247524752475247</v>
      </c>
    </row>
    <row r="8" spans="1:8">
      <c r="A8" s="1022">
        <v>7</v>
      </c>
      <c r="B8" s="1151"/>
      <c r="C8" s="1152">
        <v>36</v>
      </c>
      <c r="D8" s="1152">
        <v>27</v>
      </c>
      <c r="E8" s="1152">
        <f t="shared" si="3"/>
        <v>31.188118811881189</v>
      </c>
      <c r="F8" s="1188">
        <v>115</v>
      </c>
      <c r="G8" s="1188">
        <f t="shared" si="1"/>
        <v>63</v>
      </c>
      <c r="H8" s="1381">
        <f t="shared" si="2"/>
        <v>17.821782178217823</v>
      </c>
    </row>
    <row r="9" spans="1:8">
      <c r="A9" s="1022">
        <v>8</v>
      </c>
      <c r="B9" s="1151"/>
      <c r="C9" s="1152">
        <v>46</v>
      </c>
      <c r="D9" s="1152">
        <v>27</v>
      </c>
      <c r="E9" s="1152">
        <f t="shared" si="3"/>
        <v>36.138613861386141</v>
      </c>
      <c r="F9" s="1188">
        <v>140</v>
      </c>
      <c r="G9" s="1188">
        <f t="shared" si="1"/>
        <v>73</v>
      </c>
      <c r="H9" s="1381">
        <f t="shared" si="2"/>
        <v>22.772277227722771</v>
      </c>
    </row>
    <row r="10" spans="1:8">
      <c r="A10" s="1022">
        <v>9</v>
      </c>
      <c r="B10" s="1151"/>
      <c r="C10" s="1152">
        <v>54</v>
      </c>
      <c r="D10" s="1152">
        <v>29</v>
      </c>
      <c r="E10" s="1152">
        <f t="shared" si="3"/>
        <v>41.089108910891092</v>
      </c>
      <c r="F10" s="1188">
        <v>159</v>
      </c>
      <c r="G10" s="1188">
        <f t="shared" si="1"/>
        <v>83</v>
      </c>
      <c r="H10" s="1381">
        <f t="shared" si="2"/>
        <v>26.732673267326732</v>
      </c>
    </row>
    <row r="11" spans="1:8">
      <c r="A11" s="1022">
        <v>10</v>
      </c>
      <c r="B11" s="1151"/>
      <c r="C11" s="1152">
        <v>57</v>
      </c>
      <c r="D11" s="1152">
        <v>29</v>
      </c>
      <c r="E11" s="1152">
        <f t="shared" si="3"/>
        <v>42.574257425742573</v>
      </c>
      <c r="F11" s="1188">
        <v>182</v>
      </c>
      <c r="G11" s="1188">
        <f t="shared" si="1"/>
        <v>86</v>
      </c>
      <c r="H11" s="1381">
        <f t="shared" si="2"/>
        <v>28.217821782178216</v>
      </c>
    </row>
    <row r="12" spans="1:8">
      <c r="A12" s="1022">
        <v>11</v>
      </c>
      <c r="B12" s="1151"/>
      <c r="C12" s="1152"/>
      <c r="D12" s="1152"/>
      <c r="E12" s="1152">
        <f t="shared" si="3"/>
        <v>0</v>
      </c>
      <c r="F12" s="1188"/>
      <c r="G12" s="1188">
        <f t="shared" si="1"/>
        <v>0</v>
      </c>
      <c r="H12" s="1381">
        <f t="shared" si="2"/>
        <v>0</v>
      </c>
    </row>
    <row r="13" spans="1:8">
      <c r="A13" s="1022">
        <v>12</v>
      </c>
      <c r="B13" s="1151"/>
      <c r="C13" s="1152"/>
      <c r="D13" s="1152"/>
      <c r="E13" s="1152">
        <f t="shared" si="3"/>
        <v>0</v>
      </c>
      <c r="F13" s="1152"/>
      <c r="G13" s="1188">
        <f t="shared" si="1"/>
        <v>0</v>
      </c>
      <c r="H13" s="1381">
        <f t="shared" si="2"/>
        <v>0</v>
      </c>
    </row>
    <row r="14" spans="1:8">
      <c r="A14" s="1022">
        <v>13</v>
      </c>
      <c r="B14" s="1151"/>
      <c r="C14" s="1152"/>
      <c r="D14" s="1152"/>
      <c r="E14" s="1152">
        <f t="shared" si="3"/>
        <v>0</v>
      </c>
      <c r="F14" s="1152"/>
      <c r="G14" s="1188">
        <f t="shared" si="1"/>
        <v>0</v>
      </c>
      <c r="H14" s="1381">
        <f t="shared" si="2"/>
        <v>0</v>
      </c>
    </row>
    <row r="15" spans="1:8">
      <c r="A15" s="1022">
        <v>14</v>
      </c>
      <c r="B15" s="1151"/>
      <c r="C15" s="1152"/>
      <c r="D15" s="1152"/>
      <c r="E15" s="1152">
        <f t="shared" si="3"/>
        <v>0</v>
      </c>
      <c r="F15" s="1152"/>
      <c r="G15" s="1188">
        <f t="shared" si="1"/>
        <v>0</v>
      </c>
      <c r="H15" s="1381">
        <f t="shared" si="2"/>
        <v>0</v>
      </c>
    </row>
    <row r="16" spans="1:8">
      <c r="A16" s="1022">
        <v>15</v>
      </c>
      <c r="B16" s="1151"/>
      <c r="C16" s="1152"/>
      <c r="D16" s="1152"/>
      <c r="E16" s="1152">
        <f t="shared" si="3"/>
        <v>0</v>
      </c>
      <c r="F16" s="1152"/>
      <c r="G16" s="1188">
        <f t="shared" si="1"/>
        <v>0</v>
      </c>
      <c r="H16" s="1381">
        <f t="shared" si="2"/>
        <v>0</v>
      </c>
    </row>
    <row r="17" spans="1:8">
      <c r="A17" s="1022">
        <v>16</v>
      </c>
      <c r="B17" s="1151"/>
      <c r="C17" s="1152"/>
      <c r="D17" s="1152"/>
      <c r="E17" s="1152">
        <f>SUM(C17:D17)/202%</f>
        <v>0</v>
      </c>
      <c r="F17" s="1152"/>
      <c r="G17" s="1188">
        <f t="shared" si="1"/>
        <v>0</v>
      </c>
      <c r="H17" s="1381">
        <f t="shared" si="2"/>
        <v>0</v>
      </c>
    </row>
    <row r="18" spans="1:8">
      <c r="A18" s="1022">
        <v>17</v>
      </c>
      <c r="B18" s="1151"/>
      <c r="C18" s="1152"/>
      <c r="D18" s="1152"/>
      <c r="E18" s="1152">
        <f t="shared" si="3"/>
        <v>0</v>
      </c>
      <c r="F18" s="1152"/>
      <c r="G18" s="1188">
        <f t="shared" si="1"/>
        <v>0</v>
      </c>
      <c r="H18" s="1381">
        <f t="shared" si="2"/>
        <v>0</v>
      </c>
    </row>
    <row r="19" spans="1:8">
      <c r="A19" s="1022">
        <v>18</v>
      </c>
      <c r="B19" s="1151"/>
      <c r="E19" s="1152">
        <f t="shared" si="3"/>
        <v>0</v>
      </c>
      <c r="G19" s="1188">
        <f t="shared" si="1"/>
        <v>0</v>
      </c>
      <c r="H19" s="1381">
        <f t="shared" si="2"/>
        <v>0</v>
      </c>
    </row>
    <row r="20" spans="1:8">
      <c r="A20" s="1022">
        <v>19</v>
      </c>
      <c r="B20" s="1151"/>
      <c r="C20" s="1152"/>
      <c r="D20" s="1152"/>
      <c r="E20" s="1152">
        <f t="shared" si="3"/>
        <v>0</v>
      </c>
      <c r="F20" s="1152"/>
      <c r="G20" s="1188">
        <f t="shared" si="1"/>
        <v>0</v>
      </c>
      <c r="H20" s="1381">
        <f t="shared" si="2"/>
        <v>0</v>
      </c>
    </row>
    <row r="21" spans="1:8">
      <c r="A21" s="1022">
        <v>20</v>
      </c>
      <c r="B21" s="1151"/>
      <c r="C21" s="1152"/>
      <c r="D21" s="1152"/>
      <c r="E21" s="1152">
        <f t="shared" si="3"/>
        <v>0</v>
      </c>
      <c r="F21" s="1152"/>
      <c r="G21" s="1188">
        <f t="shared" si="1"/>
        <v>0</v>
      </c>
      <c r="H21" s="1381">
        <f t="shared" si="2"/>
        <v>0</v>
      </c>
    </row>
    <row r="22" spans="1:8">
      <c r="A22" s="1022">
        <v>21</v>
      </c>
      <c r="B22" s="1151"/>
      <c r="C22" s="1152"/>
      <c r="D22" s="1152"/>
      <c r="E22" s="1152">
        <f t="shared" si="3"/>
        <v>0</v>
      </c>
      <c r="F22" s="1152"/>
      <c r="G22" s="1188">
        <f t="shared" si="1"/>
        <v>0</v>
      </c>
      <c r="H22" s="1381">
        <f t="shared" si="2"/>
        <v>0</v>
      </c>
    </row>
    <row r="23" spans="1:8">
      <c r="A23" s="1022">
        <v>22</v>
      </c>
      <c r="B23" s="1151"/>
      <c r="C23" s="1152"/>
      <c r="D23" s="1152"/>
      <c r="E23" s="1152">
        <f t="shared" si="3"/>
        <v>0</v>
      </c>
      <c r="F23" s="1152"/>
      <c r="G23" s="1188">
        <f t="shared" si="1"/>
        <v>0</v>
      </c>
      <c r="H23" s="1381">
        <f t="shared" si="2"/>
        <v>0</v>
      </c>
    </row>
    <row r="24" spans="1:8">
      <c r="A24" s="1022">
        <v>23</v>
      </c>
      <c r="B24" s="1151"/>
      <c r="C24" s="1152"/>
      <c r="D24" s="1152"/>
      <c r="E24" s="1152">
        <f t="shared" si="3"/>
        <v>0</v>
      </c>
      <c r="F24" s="1152"/>
      <c r="G24" s="1188">
        <f t="shared" si="1"/>
        <v>0</v>
      </c>
      <c r="H24" s="1381">
        <f t="shared" si="2"/>
        <v>0</v>
      </c>
    </row>
    <row r="25" spans="1:8">
      <c r="A25" s="1022">
        <v>24</v>
      </c>
      <c r="B25" s="1151"/>
      <c r="C25" s="1152"/>
      <c r="D25" s="1152"/>
      <c r="E25" s="1152">
        <f t="shared" si="3"/>
        <v>0</v>
      </c>
      <c r="F25" s="1152"/>
      <c r="G25" s="1188">
        <f t="shared" si="1"/>
        <v>0</v>
      </c>
      <c r="H25" s="1381">
        <f t="shared" si="2"/>
        <v>0</v>
      </c>
    </row>
    <row r="26" spans="1:8">
      <c r="A26" s="1022">
        <v>25</v>
      </c>
      <c r="B26" s="1151"/>
      <c r="C26" s="1152"/>
      <c r="D26" s="1152"/>
      <c r="E26" s="1152">
        <f t="shared" si="3"/>
        <v>0</v>
      </c>
      <c r="F26" s="1152"/>
      <c r="G26" s="1188">
        <f t="shared" si="1"/>
        <v>0</v>
      </c>
      <c r="H26" s="1381">
        <f t="shared" si="2"/>
        <v>0</v>
      </c>
    </row>
    <row r="27" spans="1:8">
      <c r="A27" s="1022">
        <v>26</v>
      </c>
      <c r="B27" s="1151"/>
      <c r="C27" s="1152"/>
      <c r="D27" s="1152"/>
      <c r="E27" s="1152">
        <f t="shared" si="3"/>
        <v>0</v>
      </c>
      <c r="F27" s="1152"/>
      <c r="G27" s="1188">
        <f t="shared" si="1"/>
        <v>0</v>
      </c>
      <c r="H27" s="1381">
        <f t="shared" si="2"/>
        <v>0</v>
      </c>
    </row>
    <row r="28" spans="1:8">
      <c r="A28" s="1022">
        <v>27</v>
      </c>
      <c r="B28" s="1151"/>
      <c r="C28" s="1152"/>
      <c r="D28" s="1152"/>
      <c r="E28" s="1152">
        <f t="shared" si="3"/>
        <v>0</v>
      </c>
      <c r="F28" s="1152"/>
      <c r="G28" s="1188">
        <f t="shared" si="1"/>
        <v>0</v>
      </c>
      <c r="H28" s="1381">
        <f t="shared" si="2"/>
        <v>0</v>
      </c>
    </row>
    <row r="29" spans="1:8">
      <c r="A29" s="1022">
        <v>28</v>
      </c>
      <c r="B29" s="1151"/>
      <c r="C29" s="1152"/>
      <c r="D29" s="1152"/>
      <c r="E29" s="1152">
        <f t="shared" si="3"/>
        <v>0</v>
      </c>
      <c r="F29" s="1152"/>
      <c r="G29" s="1188">
        <f t="shared" si="1"/>
        <v>0</v>
      </c>
      <c r="H29" s="1381">
        <f t="shared" si="2"/>
        <v>0</v>
      </c>
    </row>
    <row r="30" spans="1:8">
      <c r="A30" s="1022">
        <v>29</v>
      </c>
      <c r="B30" s="1151"/>
      <c r="C30" s="1152"/>
      <c r="D30" s="1152"/>
      <c r="E30" s="1152">
        <f t="shared" si="3"/>
        <v>0</v>
      </c>
      <c r="F30" s="1152"/>
      <c r="G30" s="1188">
        <f t="shared" si="1"/>
        <v>0</v>
      </c>
      <c r="H30" s="1381">
        <f t="shared" si="2"/>
        <v>0</v>
      </c>
    </row>
    <row r="31" spans="1:8">
      <c r="A31" s="1022">
        <v>30</v>
      </c>
      <c r="B31" s="1152"/>
      <c r="C31" s="1152"/>
      <c r="D31" s="1152"/>
      <c r="E31" s="1152">
        <f t="shared" si="3"/>
        <v>0</v>
      </c>
      <c r="F31" s="1152"/>
      <c r="G31" s="1220">
        <f t="shared" si="1"/>
        <v>0</v>
      </c>
      <c r="H31" s="1381">
        <f t="shared" si="2"/>
        <v>0</v>
      </c>
    </row>
    <row r="32" spans="1:8">
      <c r="A32" s="1022">
        <v>31</v>
      </c>
      <c r="B32" s="1152"/>
      <c r="C32" s="1152"/>
      <c r="D32" s="1152"/>
      <c r="E32" s="1152"/>
      <c r="F32" s="1152"/>
      <c r="G32" s="1220"/>
      <c r="H32" s="1381">
        <f t="shared" si="2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46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6" customFormat="1">
      <c r="B3" s="1064"/>
      <c r="C3" s="1065" t="s">
        <v>34</v>
      </c>
      <c r="D3" s="1024">
        <v>1</v>
      </c>
      <c r="E3" s="1024">
        <v>2</v>
      </c>
      <c r="F3" s="1024">
        <v>3</v>
      </c>
      <c r="G3" s="1024">
        <v>4</v>
      </c>
      <c r="H3" s="1024">
        <v>5</v>
      </c>
      <c r="I3" s="1024">
        <v>6</v>
      </c>
      <c r="J3" s="1024">
        <v>7</v>
      </c>
      <c r="K3" s="1024">
        <v>8</v>
      </c>
      <c r="L3" s="1024">
        <v>9</v>
      </c>
      <c r="M3" s="1024">
        <v>10</v>
      </c>
      <c r="N3" s="1024">
        <v>11</v>
      </c>
      <c r="O3" s="1024">
        <v>12</v>
      </c>
      <c r="P3" s="1024">
        <v>13</v>
      </c>
      <c r="Q3" s="1024">
        <v>14</v>
      </c>
      <c r="R3" s="1065">
        <v>15</v>
      </c>
      <c r="S3" s="1065">
        <v>16</v>
      </c>
      <c r="T3" s="1065">
        <v>17</v>
      </c>
      <c r="U3" s="1065">
        <v>18</v>
      </c>
      <c r="V3" s="1065">
        <v>19</v>
      </c>
      <c r="W3" s="1065">
        <v>20</v>
      </c>
      <c r="X3" s="1065">
        <v>21</v>
      </c>
      <c r="Y3" s="1065">
        <v>22</v>
      </c>
      <c r="Z3" s="1065">
        <v>23</v>
      </c>
      <c r="AA3" s="1065">
        <v>24</v>
      </c>
      <c r="AB3" s="1065">
        <v>25</v>
      </c>
      <c r="AC3" s="1065">
        <v>26</v>
      </c>
      <c r="AD3" s="1065">
        <v>27</v>
      </c>
      <c r="AE3" s="1065">
        <v>28</v>
      </c>
      <c r="AF3" s="1065">
        <v>29</v>
      </c>
      <c r="AG3" s="1065">
        <v>30</v>
      </c>
      <c r="AH3" s="1065">
        <v>31</v>
      </c>
      <c r="AI3" s="1065"/>
    </row>
    <row r="4" spans="2:35">
      <c r="B4" s="447"/>
      <c r="C4" s="443" t="s">
        <v>111</v>
      </c>
      <c r="D4" s="444">
        <f>'[1]1'!F3</f>
        <v>0.5</v>
      </c>
      <c r="E4" s="444">
        <f>'[1]2'!F3</f>
        <v>0.1</v>
      </c>
      <c r="F4" s="444">
        <f>'[1]3'!F3</f>
        <v>0.5</v>
      </c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3"/>
    </row>
    <row r="5" spans="2:35">
      <c r="B5" s="447"/>
      <c r="C5" s="443" t="s">
        <v>112</v>
      </c>
      <c r="D5" s="445">
        <f>'1'!G18</f>
        <v>20</v>
      </c>
      <c r="E5" s="445">
        <f>'2'!G18</f>
        <v>60</v>
      </c>
      <c r="F5" s="445">
        <f>'3'!G18</f>
        <v>80</v>
      </c>
      <c r="G5" s="445">
        <f>'4'!G18</f>
        <v>40</v>
      </c>
      <c r="H5" s="445">
        <f>'5'!G18</f>
        <v>40</v>
      </c>
      <c r="I5" s="445">
        <f>'6'!G18</f>
        <v>110</v>
      </c>
      <c r="J5" s="445">
        <f>'7'!G18</f>
        <v>60</v>
      </c>
      <c r="K5" s="445">
        <f>'8'!G18</f>
        <v>100</v>
      </c>
      <c r="L5" s="445">
        <f>'9'!G18</f>
        <v>0</v>
      </c>
      <c r="M5" s="445">
        <f>'10'!G18</f>
        <v>20</v>
      </c>
      <c r="N5" s="445">
        <f>'11'!G18</f>
        <v>40</v>
      </c>
      <c r="O5" s="445">
        <f>'12'!G18</f>
        <v>60</v>
      </c>
      <c r="P5" s="445">
        <f>'13'!G18</f>
        <v>130</v>
      </c>
      <c r="Q5" s="445">
        <f>'14'!G18</f>
        <v>20</v>
      </c>
      <c r="R5" s="445">
        <f>'15'!G18</f>
        <v>60</v>
      </c>
      <c r="S5" s="445">
        <f>'16'!G18</f>
        <v>60</v>
      </c>
      <c r="T5" s="445">
        <f>'17'!G18</f>
        <v>20</v>
      </c>
      <c r="U5" s="445">
        <f>'18'!G18</f>
        <v>0</v>
      </c>
      <c r="V5" s="445">
        <f>'19'!G18</f>
        <v>0</v>
      </c>
      <c r="W5" s="445">
        <f>'20'!G18</f>
        <v>0</v>
      </c>
      <c r="X5" s="445">
        <f>'21'!G18</f>
        <v>40</v>
      </c>
      <c r="Y5" s="445">
        <f>'22'!G18</f>
        <v>90</v>
      </c>
      <c r="Z5" s="445">
        <f>'23'!G18</f>
        <v>80</v>
      </c>
      <c r="AA5" s="445">
        <f>'24'!G18</f>
        <v>50</v>
      </c>
      <c r="AB5" s="445">
        <f>'25'!G18</f>
        <v>60</v>
      </c>
      <c r="AC5" s="445">
        <f>'26'!G18</f>
        <v>60</v>
      </c>
      <c r="AD5" s="445">
        <f>'27'!G18</f>
        <v>60</v>
      </c>
      <c r="AE5" s="445">
        <f>'28'!G18</f>
        <v>40</v>
      </c>
      <c r="AF5" s="445">
        <f>'29'!G18</f>
        <v>60</v>
      </c>
      <c r="AG5" s="445">
        <f>'30'!G18</f>
        <v>80</v>
      </c>
      <c r="AH5" s="445">
        <f>'31'!G18</f>
        <v>60</v>
      </c>
      <c r="AI5" s="443"/>
    </row>
    <row r="6" spans="2:35">
      <c r="B6" s="447"/>
      <c r="C6" s="443" t="s">
        <v>113</v>
      </c>
      <c r="D6" s="445">
        <f>'1'!G19</f>
        <v>60</v>
      </c>
      <c r="E6" s="445">
        <f>'2'!G19</f>
        <v>52</v>
      </c>
      <c r="F6" s="445">
        <f>'3'!G19</f>
        <v>63</v>
      </c>
      <c r="G6" s="445">
        <f>'4'!G19</f>
        <v>61</v>
      </c>
      <c r="H6" s="445">
        <f>'5'!G19</f>
        <v>62</v>
      </c>
      <c r="I6" s="445">
        <f>'6'!G19</f>
        <v>65</v>
      </c>
      <c r="J6" s="445">
        <f>'7'!G19</f>
        <v>62</v>
      </c>
      <c r="K6" s="445">
        <f>'8'!G19</f>
        <v>59</v>
      </c>
      <c r="L6" s="445">
        <f>'9'!G19</f>
        <v>78</v>
      </c>
      <c r="M6" s="445">
        <f>'10'!G19</f>
        <v>66</v>
      </c>
      <c r="N6" s="445">
        <f>'11'!G19</f>
        <v>63</v>
      </c>
      <c r="O6" s="445">
        <f>'12'!G19</f>
        <v>65</v>
      </c>
      <c r="P6" s="445">
        <f>'13'!G19</f>
        <v>64</v>
      </c>
      <c r="Q6" s="445">
        <f>'14'!G19</f>
        <v>-1857</v>
      </c>
      <c r="R6" s="445">
        <f>'15'!G19</f>
        <v>56</v>
      </c>
      <c r="S6" s="445">
        <f>'16'!G19</f>
        <v>57</v>
      </c>
      <c r="T6" s="445">
        <f>'17'!G19</f>
        <v>56</v>
      </c>
      <c r="U6" s="445">
        <f>'18'!G19</f>
        <v>105</v>
      </c>
      <c r="V6" s="445">
        <f>'19'!G19</f>
        <v>60</v>
      </c>
      <c r="W6" s="445">
        <f>'20'!G19</f>
        <v>57</v>
      </c>
      <c r="X6" s="445">
        <f>'21'!G19</f>
        <v>56</v>
      </c>
      <c r="Y6" s="445">
        <f>'22'!G19</f>
        <v>60</v>
      </c>
      <c r="Z6" s="445">
        <f>'23'!G19</f>
        <v>60</v>
      </c>
      <c r="AA6" s="445">
        <f>'24'!G19</f>
        <v>60</v>
      </c>
      <c r="AB6" s="445">
        <f>'25'!G19</f>
        <v>60</v>
      </c>
      <c r="AC6" s="445">
        <f>'26'!G19</f>
        <v>53</v>
      </c>
      <c r="AD6" s="445">
        <f>'27'!G19</f>
        <v>61</v>
      </c>
      <c r="AE6" s="445">
        <f>'28'!G19</f>
        <v>60</v>
      </c>
      <c r="AF6" s="445">
        <f>'29'!G19</f>
        <v>57</v>
      </c>
      <c r="AG6" s="445">
        <f>'30'!G19</f>
        <v>58</v>
      </c>
      <c r="AH6" s="445">
        <f>'31'!G19</f>
        <v>61</v>
      </c>
      <c r="AI6" s="443"/>
    </row>
    <row r="7" spans="2:35">
      <c r="B7" s="447"/>
      <c r="C7" s="443" t="s">
        <v>114</v>
      </c>
      <c r="D7" s="445">
        <f>'1'!G93</f>
        <v>18</v>
      </c>
      <c r="E7" s="445">
        <f>'2'!G93</f>
        <v>42</v>
      </c>
      <c r="F7" s="445">
        <f>'3'!G93</f>
        <v>56</v>
      </c>
      <c r="G7" s="445">
        <f>'4'!G93</f>
        <v>5</v>
      </c>
      <c r="H7" s="445">
        <f>'5'!G93</f>
        <v>51</v>
      </c>
      <c r="I7" s="445">
        <f>'6'!G93</f>
        <v>85</v>
      </c>
      <c r="J7" s="445">
        <f>'7'!G93</f>
        <v>57</v>
      </c>
      <c r="K7" s="445">
        <f>'8'!G93</f>
        <v>40</v>
      </c>
      <c r="L7" s="445">
        <f>'9'!G93</f>
        <v>0</v>
      </c>
      <c r="M7" s="445">
        <f>'10'!G93</f>
        <v>41</v>
      </c>
      <c r="N7" s="445">
        <f>'11'!G93</f>
        <v>18</v>
      </c>
      <c r="O7" s="445">
        <f>'12'!G93</f>
        <v>55</v>
      </c>
      <c r="P7" s="445">
        <f>'13'!G93</f>
        <v>124</v>
      </c>
      <c r="Q7" s="445">
        <f>'14'!G93</f>
        <v>-1201</v>
      </c>
      <c r="R7" s="445">
        <f>'15'!G93</f>
        <v>153</v>
      </c>
      <c r="S7" s="445">
        <f>'16'!G93</f>
        <v>45</v>
      </c>
      <c r="T7" s="445">
        <f>'17'!G93</f>
        <v>0</v>
      </c>
      <c r="U7" s="445">
        <f>'18'!G93</f>
        <v>0</v>
      </c>
      <c r="V7" s="445">
        <f>'19'!G93</f>
        <v>0</v>
      </c>
      <c r="W7" s="445">
        <f>'20'!G93</f>
        <v>22</v>
      </c>
      <c r="X7" s="445">
        <f>'21'!G93</f>
        <v>37</v>
      </c>
      <c r="Y7" s="445">
        <f>'22'!G93</f>
        <v>63</v>
      </c>
      <c r="Z7" s="445">
        <f>'23'!G93</f>
        <v>57</v>
      </c>
      <c r="AA7" s="445">
        <f>'24'!G93</f>
        <v>28</v>
      </c>
      <c r="AB7" s="445">
        <f>'25'!G93</f>
        <v>54</v>
      </c>
      <c r="AC7" s="445">
        <f>'26'!G93</f>
        <v>38</v>
      </c>
      <c r="AD7" s="445">
        <f>'27'!G93</f>
        <v>35</v>
      </c>
      <c r="AE7" s="445">
        <f>'28'!G93</f>
        <v>28</v>
      </c>
      <c r="AF7" s="445">
        <f>'29'!G93</f>
        <v>39</v>
      </c>
      <c r="AG7" s="445">
        <f>'30'!G93</f>
        <v>0</v>
      </c>
      <c r="AH7" s="445">
        <f>'31'!G93</f>
        <v>110</v>
      </c>
      <c r="AI7" s="443"/>
    </row>
    <row r="8" spans="2:35">
      <c r="B8" s="447"/>
      <c r="C8" s="443" t="s">
        <v>115</v>
      </c>
      <c r="D8" s="445">
        <f>'1'!G94</f>
        <v>58</v>
      </c>
      <c r="E8" s="445">
        <f>'2'!G94</f>
        <v>61</v>
      </c>
      <c r="F8" s="445">
        <f>'3'!G94</f>
        <v>99</v>
      </c>
      <c r="G8" s="445">
        <f>'4'!G94</f>
        <v>81</v>
      </c>
      <c r="H8" s="445">
        <f>'5'!G94</f>
        <v>108</v>
      </c>
      <c r="I8" s="445">
        <f>'6'!G94</f>
        <v>124</v>
      </c>
      <c r="J8" s="445">
        <f>'7'!G94</f>
        <v>80</v>
      </c>
      <c r="K8" s="445">
        <f>'8'!G94</f>
        <v>88</v>
      </c>
      <c r="L8" s="445">
        <f>'9'!G94</f>
        <v>84</v>
      </c>
      <c r="M8" s="445">
        <f>'10'!G94</f>
        <v>116</v>
      </c>
      <c r="N8" s="445">
        <f>'11'!G94</f>
        <v>114</v>
      </c>
      <c r="O8" s="445">
        <f>'12'!G94</f>
        <v>154</v>
      </c>
      <c r="P8" s="445">
        <f>'13'!G94</f>
        <v>109</v>
      </c>
      <c r="Q8" s="445">
        <f>'14'!G94</f>
        <v>-2735</v>
      </c>
      <c r="R8" s="445">
        <f>'15'!G94</f>
        <v>131</v>
      </c>
      <c r="S8" s="445">
        <f>'16'!G94</f>
        <v>29</v>
      </c>
      <c r="T8" s="445">
        <f>'17'!G94</f>
        <v>93</v>
      </c>
      <c r="U8" s="445">
        <f>'18'!G94</f>
        <v>146</v>
      </c>
      <c r="V8" s="445">
        <f>'19'!G94</f>
        <v>75</v>
      </c>
      <c r="W8" s="445">
        <f>'20'!G94</f>
        <v>34</v>
      </c>
      <c r="X8" s="445">
        <f>'21'!G94</f>
        <v>83</v>
      </c>
      <c r="Y8" s="445">
        <f>'22'!G94</f>
        <v>101</v>
      </c>
      <c r="Z8" s="445">
        <f>'23'!G94</f>
        <v>92</v>
      </c>
      <c r="AA8" s="445">
        <f>'24'!G94</f>
        <v>74</v>
      </c>
      <c r="AB8" s="445">
        <f>'25'!G94</f>
        <v>97</v>
      </c>
      <c r="AC8" s="445">
        <f>'26'!G94</f>
        <v>79</v>
      </c>
      <c r="AD8" s="445">
        <f>'27'!G94</f>
        <v>86</v>
      </c>
      <c r="AE8" s="445">
        <f>'28'!G94</f>
        <v>80</v>
      </c>
      <c r="AF8" s="445">
        <f>'29'!G94</f>
        <v>68</v>
      </c>
      <c r="AG8" s="445">
        <f>'30'!G94</f>
        <v>112</v>
      </c>
      <c r="AH8" s="445">
        <f>'31'!G94</f>
        <v>79</v>
      </c>
      <c r="AI8" s="443"/>
    </row>
    <row r="9" spans="2:35">
      <c r="B9" s="1438" t="s">
        <v>116</v>
      </c>
      <c r="C9" s="443" t="s">
        <v>67</v>
      </c>
      <c r="D9" s="445">
        <f>'1'!G96</f>
        <v>40</v>
      </c>
      <c r="E9" s="445">
        <f>'2'!G96</f>
        <v>36</v>
      </c>
      <c r="F9" s="445">
        <f>'3'!G96</f>
        <v>71</v>
      </c>
      <c r="G9" s="445">
        <f>'4'!G96</f>
        <v>27</v>
      </c>
      <c r="H9" s="445">
        <f>'5'!G96</f>
        <v>50</v>
      </c>
      <c r="I9" s="445">
        <f>'6'!G96</f>
        <v>73</v>
      </c>
      <c r="J9" s="445">
        <f>'7'!G96</f>
        <v>67</v>
      </c>
      <c r="K9" s="445">
        <f>'8'!G96</f>
        <v>34</v>
      </c>
      <c r="L9" s="445">
        <f>'9'!G96</f>
        <v>24</v>
      </c>
      <c r="M9" s="445">
        <f>'10'!G96</f>
        <v>59</v>
      </c>
      <c r="N9" s="445">
        <f>'11'!G96</f>
        <v>46</v>
      </c>
      <c r="O9" s="445">
        <f>'12'!G96</f>
        <v>36</v>
      </c>
      <c r="P9" s="445">
        <f>'13'!G96</f>
        <v>64</v>
      </c>
      <c r="Q9" s="445">
        <f>'14'!G96</f>
        <v>-1385</v>
      </c>
      <c r="R9" s="445">
        <f>'15'!G96</f>
        <v>42</v>
      </c>
      <c r="S9" s="445">
        <f>'16'!G96</f>
        <v>27</v>
      </c>
      <c r="T9" s="445">
        <f>'17'!G96</f>
        <v>45</v>
      </c>
      <c r="U9" s="445">
        <f>'18'!G96</f>
        <v>29</v>
      </c>
      <c r="V9" s="445">
        <f>'19'!G96</f>
        <v>23</v>
      </c>
      <c r="W9" s="445">
        <f>'20'!G96</f>
        <v>27</v>
      </c>
      <c r="X9" s="445">
        <f>'21'!G96</f>
        <v>49</v>
      </c>
      <c r="Y9" s="445">
        <f>'22'!G96</f>
        <v>80</v>
      </c>
      <c r="Z9" s="445">
        <f>'23'!G96</f>
        <v>37</v>
      </c>
      <c r="AA9" s="445">
        <f>'24'!G96</f>
        <v>40</v>
      </c>
      <c r="AB9" s="445">
        <f>'25'!G96</f>
        <v>78</v>
      </c>
      <c r="AC9" s="445">
        <f>'26'!G96</f>
        <v>43</v>
      </c>
      <c r="AD9" s="445">
        <f>'27'!G96</f>
        <v>49</v>
      </c>
      <c r="AE9" s="445">
        <f>'28'!G96</f>
        <v>51</v>
      </c>
      <c r="AF9" s="445">
        <f>'29'!G96</f>
        <v>46</v>
      </c>
      <c r="AG9" s="445">
        <f>'30'!G96</f>
        <v>38</v>
      </c>
      <c r="AH9" s="445">
        <f>'31'!G96</f>
        <v>54</v>
      </c>
      <c r="AI9" s="443"/>
    </row>
    <row r="10" spans="2:35">
      <c r="B10" s="1438"/>
      <c r="C10" s="443" t="s">
        <v>68</v>
      </c>
      <c r="D10" s="445">
        <f>'1'!G97</f>
        <v>13</v>
      </c>
      <c r="E10" s="445">
        <f>'2'!G97</f>
        <v>9</v>
      </c>
      <c r="F10" s="445">
        <f>'3'!G97</f>
        <v>10</v>
      </c>
      <c r="G10" s="445">
        <f>'4'!G97</f>
        <v>9</v>
      </c>
      <c r="H10" s="445">
        <f>'5'!G97</f>
        <v>14</v>
      </c>
      <c r="I10" s="445">
        <f>'6'!G97</f>
        <v>21</v>
      </c>
      <c r="J10" s="445">
        <f>'7'!G97</f>
        <v>7</v>
      </c>
      <c r="K10" s="445">
        <f>'8'!G97</f>
        <v>9</v>
      </c>
      <c r="L10" s="445">
        <f>'9'!G97</f>
        <v>10</v>
      </c>
      <c r="M10" s="445">
        <f>'10'!G97</f>
        <v>11</v>
      </c>
      <c r="N10" s="445">
        <f>'11'!G97</f>
        <v>9</v>
      </c>
      <c r="O10" s="445">
        <f>'12'!G97</f>
        <v>16</v>
      </c>
      <c r="P10" s="445">
        <f>'13'!G97</f>
        <v>34</v>
      </c>
      <c r="Q10" s="445">
        <f>'14'!G97</f>
        <v>-347</v>
      </c>
      <c r="R10" s="445">
        <f>'15'!G97</f>
        <v>10</v>
      </c>
      <c r="S10" s="445">
        <f>'16'!G97</f>
        <v>14</v>
      </c>
      <c r="T10" s="445">
        <f>'17'!G97</f>
        <v>7</v>
      </c>
      <c r="U10" s="445">
        <f>'18'!G97</f>
        <v>12</v>
      </c>
      <c r="V10" s="445">
        <f>'19'!G97</f>
        <v>7</v>
      </c>
      <c r="W10" s="445">
        <f>'20'!G97</f>
        <v>11</v>
      </c>
      <c r="X10" s="445">
        <f>'21'!G97</f>
        <v>9</v>
      </c>
      <c r="Y10" s="445">
        <f>'22'!G97</f>
        <v>9</v>
      </c>
      <c r="Z10" s="445">
        <f>'23'!G97</f>
        <v>15</v>
      </c>
      <c r="AA10" s="445">
        <f>'24'!G97</f>
        <v>11</v>
      </c>
      <c r="AB10" s="445">
        <f>'25'!G97</f>
        <v>9</v>
      </c>
      <c r="AC10" s="445">
        <f>'26'!G97</f>
        <v>9</v>
      </c>
      <c r="AD10" s="445">
        <f>'27'!G97</f>
        <v>11</v>
      </c>
      <c r="AE10" s="445">
        <f>'28'!G97</f>
        <v>7</v>
      </c>
      <c r="AF10" s="445">
        <f>'29'!G97</f>
        <v>9</v>
      </c>
      <c r="AG10" s="445">
        <f>'30'!G97</f>
        <v>13</v>
      </c>
      <c r="AH10" s="445">
        <f>'31'!G97</f>
        <v>12</v>
      </c>
      <c r="AI10" s="443"/>
    </row>
    <row r="11" spans="2:35">
      <c r="B11" s="1438"/>
      <c r="C11" s="443" t="s">
        <v>69</v>
      </c>
      <c r="D11" s="445">
        <f>'1'!G98</f>
        <v>15</v>
      </c>
      <c r="E11" s="445">
        <f>'2'!G98</f>
        <v>10</v>
      </c>
      <c r="F11" s="445">
        <f>'3'!G98</f>
        <v>11</v>
      </c>
      <c r="G11" s="445">
        <f>'4'!G98</f>
        <v>15</v>
      </c>
      <c r="H11" s="445">
        <f>'5'!G98</f>
        <v>29</v>
      </c>
      <c r="I11" s="445">
        <f>'6'!G98</f>
        <v>30</v>
      </c>
      <c r="J11" s="445">
        <f>'7'!G98</f>
        <v>19</v>
      </c>
      <c r="K11" s="445">
        <f>'8'!G98</f>
        <v>15</v>
      </c>
      <c r="L11" s="445">
        <f>'9'!G98</f>
        <v>15</v>
      </c>
      <c r="M11" s="445">
        <f>'10'!G98</f>
        <v>16</v>
      </c>
      <c r="N11" s="445">
        <f>'11'!G98</f>
        <v>26</v>
      </c>
      <c r="O11" s="445">
        <f>'12'!G98</f>
        <v>37</v>
      </c>
      <c r="P11" s="445">
        <f>'13'!G98</f>
        <v>47</v>
      </c>
      <c r="Q11" s="445">
        <f>'14'!G98</f>
        <v>-625</v>
      </c>
      <c r="R11" s="445">
        <f>'15'!G98</f>
        <v>33</v>
      </c>
      <c r="S11" s="445">
        <f>'16'!G98</f>
        <v>19</v>
      </c>
      <c r="T11" s="445">
        <f>'17'!G98</f>
        <v>6</v>
      </c>
      <c r="U11" s="445">
        <f>'18'!G98</f>
        <v>8</v>
      </c>
      <c r="V11" s="445">
        <f>'19'!G98</f>
        <v>12</v>
      </c>
      <c r="W11" s="445">
        <f>'20'!G98</f>
        <v>16</v>
      </c>
      <c r="X11" s="445">
        <f>'21'!G98</f>
        <v>20</v>
      </c>
      <c r="Y11" s="445">
        <f>'22'!G98</f>
        <v>25</v>
      </c>
      <c r="Z11" s="445">
        <f>'23'!G98</f>
        <v>31</v>
      </c>
      <c r="AA11" s="445">
        <f>'24'!G98</f>
        <v>16</v>
      </c>
      <c r="AB11" s="445">
        <f>'25'!G98</f>
        <v>13</v>
      </c>
      <c r="AC11" s="445">
        <f>'26'!G98</f>
        <v>18</v>
      </c>
      <c r="AD11" s="445">
        <f>'27'!G98</f>
        <v>17</v>
      </c>
      <c r="AE11" s="445">
        <f>'28'!G98</f>
        <v>18</v>
      </c>
      <c r="AF11" s="445">
        <f>'29'!G98</f>
        <v>35</v>
      </c>
      <c r="AG11" s="445">
        <f>'30'!G98</f>
        <v>34</v>
      </c>
      <c r="AH11" s="445">
        <f>'31'!G98</f>
        <v>19</v>
      </c>
      <c r="AI11" s="443"/>
    </row>
    <row r="12" spans="2:35">
      <c r="B12" s="447"/>
      <c r="C12" s="443"/>
      <c r="D12" s="443"/>
      <c r="E12" s="443"/>
      <c r="F12" s="443"/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443"/>
      <c r="W12" s="443"/>
      <c r="X12" s="443"/>
      <c r="Y12" s="443"/>
      <c r="Z12" s="443"/>
      <c r="AA12" s="443"/>
      <c r="AB12" s="443"/>
      <c r="AC12" s="443"/>
      <c r="AD12" s="443"/>
      <c r="AE12" s="443"/>
      <c r="AF12" s="443"/>
      <c r="AG12" s="443"/>
      <c r="AH12" s="443"/>
      <c r="AI12" s="443"/>
    </row>
    <row r="13" spans="2:35">
      <c r="B13" s="1438" t="s">
        <v>117</v>
      </c>
      <c r="C13" s="443" t="s">
        <v>67</v>
      </c>
      <c r="D13" s="445">
        <f>'1'!G99</f>
        <v>7</v>
      </c>
      <c r="E13" s="445">
        <f>'2'!G99</f>
        <v>4</v>
      </c>
      <c r="F13" s="445">
        <f>'3'!G99</f>
        <v>7</v>
      </c>
      <c r="G13" s="445">
        <f>'4'!G99</f>
        <v>10</v>
      </c>
      <c r="H13" s="445">
        <f>'5'!G99</f>
        <v>5</v>
      </c>
      <c r="I13" s="445">
        <f>'6'!G99</f>
        <v>18</v>
      </c>
      <c r="J13" s="445">
        <f>'7'!G99</f>
        <v>2</v>
      </c>
      <c r="K13" s="445">
        <f>'8'!G99</f>
        <v>5</v>
      </c>
      <c r="L13" s="445">
        <f>'9'!G99</f>
        <v>4</v>
      </c>
      <c r="M13" s="445">
        <f>'10'!G99</f>
        <v>4</v>
      </c>
      <c r="N13" s="445">
        <f>'11'!G99</f>
        <v>19</v>
      </c>
      <c r="O13" s="445">
        <f>'12'!G99</f>
        <v>20</v>
      </c>
      <c r="P13" s="445">
        <f>'13'!G99</f>
        <v>8</v>
      </c>
      <c r="Q13" s="445">
        <f>'14'!G99</f>
        <v>-270</v>
      </c>
      <c r="R13" s="445">
        <f>'15'!G99</f>
        <v>23</v>
      </c>
      <c r="S13" s="445">
        <f>'16'!G99</f>
        <v>5</v>
      </c>
      <c r="T13" s="445">
        <f>'17'!G99</f>
        <v>2</v>
      </c>
      <c r="U13" s="445">
        <f>'18'!G99</f>
        <v>4</v>
      </c>
      <c r="V13" s="445">
        <f>'19'!G99</f>
        <v>11</v>
      </c>
      <c r="W13" s="445">
        <f>'20'!G99</f>
        <v>10</v>
      </c>
      <c r="X13" s="445">
        <f>'21'!G99</f>
        <v>6</v>
      </c>
      <c r="Y13" s="445">
        <f>'22'!G99</f>
        <v>13</v>
      </c>
      <c r="Z13" s="445">
        <f>'23'!G99</f>
        <v>21</v>
      </c>
      <c r="AA13" s="445">
        <f>'24'!G99</f>
        <v>28</v>
      </c>
      <c r="AB13" s="445">
        <f>'25'!G99</f>
        <v>7</v>
      </c>
      <c r="AC13" s="445">
        <f>'26'!G99</f>
        <v>5</v>
      </c>
      <c r="AD13" s="445">
        <f>'27'!G99</f>
        <v>8</v>
      </c>
      <c r="AE13" s="445">
        <f>'28'!G99</f>
        <v>4</v>
      </c>
      <c r="AF13" s="445">
        <f>'29'!G99</f>
        <v>4</v>
      </c>
      <c r="AG13" s="445">
        <f>'30'!G99</f>
        <v>2</v>
      </c>
      <c r="AH13" s="445">
        <f>'31'!G99</f>
        <v>4</v>
      </c>
      <c r="AI13" s="443"/>
    </row>
    <row r="14" spans="2:35">
      <c r="B14" s="1438"/>
      <c r="C14" s="443" t="s">
        <v>68</v>
      </c>
      <c r="D14" s="445">
        <f>'1'!G115</f>
        <v>12</v>
      </c>
      <c r="E14" s="445">
        <f>'2'!G115</f>
        <v>37</v>
      </c>
      <c r="F14" s="445">
        <f>'3'!G115</f>
        <v>23</v>
      </c>
      <c r="G14" s="445">
        <f>'4'!G115</f>
        <v>9</v>
      </c>
      <c r="H14" s="445">
        <f>'5'!G115</f>
        <v>12</v>
      </c>
      <c r="I14" s="445">
        <f>'6'!G115</f>
        <v>12</v>
      </c>
      <c r="J14" s="445">
        <f>'7'!G115</f>
        <v>14</v>
      </c>
      <c r="K14" s="445">
        <f>'8'!G115</f>
        <v>31</v>
      </c>
      <c r="L14" s="445">
        <f>'9'!G115</f>
        <v>4</v>
      </c>
      <c r="M14" s="445">
        <f>'10'!G115</f>
        <v>10</v>
      </c>
      <c r="N14" s="445">
        <f>'11'!G115</f>
        <v>5</v>
      </c>
      <c r="O14" s="445">
        <f>'12'!G115</f>
        <v>11</v>
      </c>
      <c r="P14" s="445">
        <f>'13'!G115</f>
        <v>16</v>
      </c>
      <c r="Q14" s="445">
        <f>'14'!G115</f>
        <v>-361</v>
      </c>
      <c r="R14" s="445">
        <f>'15'!G115</f>
        <v>7</v>
      </c>
      <c r="S14" s="445">
        <f>'16'!G115</f>
        <v>28</v>
      </c>
      <c r="T14" s="445">
        <f>'17'!G115</f>
        <v>22</v>
      </c>
      <c r="U14" s="445">
        <f>'18'!G115</f>
        <v>10</v>
      </c>
      <c r="V14" s="445">
        <f>'19'!G115</f>
        <v>7</v>
      </c>
      <c r="W14" s="445">
        <f>'20'!G115</f>
        <v>14</v>
      </c>
      <c r="X14" s="445">
        <f>'21'!G115</f>
        <v>4</v>
      </c>
      <c r="Y14" s="445">
        <f>'22'!G115</f>
        <v>10</v>
      </c>
      <c r="Z14" s="445">
        <f>'23'!G115</f>
        <v>5</v>
      </c>
      <c r="AA14" s="445">
        <f>'24'!G115</f>
        <v>5</v>
      </c>
      <c r="AB14" s="445">
        <f>'25'!G115</f>
        <v>8</v>
      </c>
      <c r="AC14" s="445">
        <f>'26'!G115</f>
        <v>5</v>
      </c>
      <c r="AD14" s="445">
        <f>'27'!G115</f>
        <v>10</v>
      </c>
      <c r="AE14" s="445">
        <f>'28'!G115</f>
        <v>6</v>
      </c>
      <c r="AF14" s="445">
        <f>'29'!G115</f>
        <v>7</v>
      </c>
      <c r="AG14" s="445">
        <f>'30'!G115</f>
        <v>9</v>
      </c>
      <c r="AH14" s="445">
        <f>'31'!G115</f>
        <v>8</v>
      </c>
      <c r="AI14" s="443"/>
    </row>
    <row r="15" spans="2:35">
      <c r="B15" s="1438"/>
      <c r="C15" s="443" t="s">
        <v>69</v>
      </c>
      <c r="D15" s="445">
        <f>'1'!G116</f>
        <v>5</v>
      </c>
      <c r="E15" s="445">
        <f>'2'!G116</f>
        <v>3</v>
      </c>
      <c r="F15" s="445">
        <f>'3'!G116</f>
        <v>3</v>
      </c>
      <c r="G15" s="445">
        <f>'4'!G116</f>
        <v>5</v>
      </c>
      <c r="H15" s="445">
        <f>'5'!G116</f>
        <v>8</v>
      </c>
      <c r="I15" s="445">
        <f>'6'!G116</f>
        <v>13</v>
      </c>
      <c r="J15" s="445">
        <f>'7'!G116</f>
        <v>7</v>
      </c>
      <c r="K15" s="445">
        <f>'8'!G116</f>
        <v>6</v>
      </c>
      <c r="L15" s="445">
        <f>'9'!G116</f>
        <v>4</v>
      </c>
      <c r="M15" s="445">
        <f>'10'!G116</f>
        <v>5</v>
      </c>
      <c r="N15" s="445">
        <f>'11'!G116</f>
        <v>5</v>
      </c>
      <c r="O15" s="445">
        <f>'12'!G116</f>
        <v>21</v>
      </c>
      <c r="P15" s="445">
        <f>'13'!G116</f>
        <v>15</v>
      </c>
      <c r="Q15" s="445">
        <f>'14'!G116</f>
        <v>-214</v>
      </c>
      <c r="R15" s="445">
        <f>'15'!G116</f>
        <v>1</v>
      </c>
      <c r="S15" s="445">
        <f>'16'!G116</f>
        <v>7</v>
      </c>
      <c r="T15" s="445">
        <f>'17'!G116</f>
        <v>8</v>
      </c>
      <c r="U15" s="445">
        <f>'18'!G116</f>
        <v>0</v>
      </c>
      <c r="V15" s="445">
        <f>'19'!G116</f>
        <v>2</v>
      </c>
      <c r="W15" s="445">
        <f>'20'!G116</f>
        <v>3</v>
      </c>
      <c r="X15" s="445">
        <f>'21'!G116</f>
        <v>7</v>
      </c>
      <c r="Y15" s="445">
        <f>'22'!G116</f>
        <v>17</v>
      </c>
      <c r="Z15" s="445">
        <f>'23'!G116</f>
        <v>11</v>
      </c>
      <c r="AA15" s="445">
        <f>'24'!G116</f>
        <v>7</v>
      </c>
      <c r="AB15" s="445">
        <f>'25'!G116</f>
        <v>12</v>
      </c>
      <c r="AC15" s="445">
        <f>'26'!G116</f>
        <v>6</v>
      </c>
      <c r="AD15" s="445">
        <f>'27'!G116</f>
        <v>6</v>
      </c>
      <c r="AE15" s="445">
        <f>'28'!G116</f>
        <v>4</v>
      </c>
      <c r="AF15" s="445">
        <f>'29'!G116</f>
        <v>6</v>
      </c>
      <c r="AG15" s="445">
        <f>'30'!G116</f>
        <v>11</v>
      </c>
      <c r="AH15" s="445">
        <f>'31'!G116</f>
        <v>6</v>
      </c>
      <c r="AI15" s="443"/>
    </row>
    <row r="16" spans="2:35">
      <c r="B16" s="447"/>
      <c r="C16" s="443"/>
      <c r="D16" s="443"/>
      <c r="E16" s="443"/>
      <c r="F16" s="443"/>
      <c r="G16" s="443"/>
      <c r="H16" s="443"/>
      <c r="I16" s="443"/>
      <c r="J16" s="443"/>
      <c r="K16" s="443"/>
      <c r="L16" s="443"/>
      <c r="M16" s="443"/>
      <c r="N16" s="443"/>
      <c r="O16" s="443"/>
      <c r="P16" s="443"/>
      <c r="Q16" s="443"/>
      <c r="R16" s="443"/>
      <c r="S16" s="443"/>
      <c r="T16" s="443"/>
      <c r="U16" s="443"/>
      <c r="V16" s="443"/>
      <c r="W16" s="443"/>
      <c r="X16" s="443"/>
      <c r="Y16" s="443"/>
      <c r="Z16" s="443"/>
      <c r="AA16" s="443"/>
      <c r="AB16" s="443"/>
      <c r="AC16" s="443"/>
      <c r="AD16" s="443"/>
      <c r="AE16" s="443"/>
      <c r="AF16" s="443"/>
      <c r="AG16" s="443"/>
      <c r="AH16" s="443"/>
      <c r="AI16" s="443"/>
    </row>
    <row r="17" spans="2:35">
      <c r="B17" s="1438" t="s">
        <v>118</v>
      </c>
      <c r="C17" s="443" t="s">
        <v>119</v>
      </c>
      <c r="D17" s="443">
        <f>'1'!G105</f>
        <v>0</v>
      </c>
      <c r="E17" s="445">
        <f>'2'!G105</f>
        <v>0</v>
      </c>
      <c r="F17" s="445">
        <f>'3'!G105</f>
        <v>0</v>
      </c>
      <c r="G17" s="445">
        <f>'4'!G105</f>
        <v>0</v>
      </c>
      <c r="H17" s="445">
        <f>'5'!G105</f>
        <v>0</v>
      </c>
      <c r="I17" s="445">
        <f>'6'!G105</f>
        <v>0</v>
      </c>
      <c r="J17" s="445">
        <f>'7'!G105</f>
        <v>0</v>
      </c>
      <c r="K17" s="445">
        <f>'8'!G105</f>
        <v>0</v>
      </c>
      <c r="L17" s="445">
        <f>'9'!G105</f>
        <v>0</v>
      </c>
      <c r="M17" s="445">
        <f>'10'!G105</f>
        <v>0</v>
      </c>
      <c r="N17" s="445">
        <f>'11'!G105</f>
        <v>0</v>
      </c>
      <c r="O17" s="445">
        <f>'12'!G105</f>
        <v>0</v>
      </c>
      <c r="P17" s="445">
        <f>'13'!G105</f>
        <v>0</v>
      </c>
      <c r="Q17" s="445">
        <f>'14'!G105</f>
        <v>0</v>
      </c>
      <c r="R17" s="445">
        <f>'15'!G105</f>
        <v>0</v>
      </c>
      <c r="S17" s="445">
        <f>'16'!G105</f>
        <v>0</v>
      </c>
      <c r="T17" s="445">
        <f>'17'!G105</f>
        <v>0</v>
      </c>
      <c r="U17" s="445">
        <f>'18'!G105</f>
        <v>0</v>
      </c>
      <c r="V17" s="445">
        <f>'19'!G105</f>
        <v>0</v>
      </c>
      <c r="W17" s="445">
        <f>'20'!G105</f>
        <v>0</v>
      </c>
      <c r="X17" s="445">
        <f>'21'!G105</f>
        <v>7</v>
      </c>
      <c r="Y17" s="445">
        <f>'22'!G105</f>
        <v>4</v>
      </c>
      <c r="Z17" s="445">
        <f>'23'!G105</f>
        <v>0</v>
      </c>
      <c r="AA17" s="445">
        <f>'24'!G105</f>
        <v>0</v>
      </c>
      <c r="AB17" s="445">
        <f>'25'!G105</f>
        <v>0</v>
      </c>
      <c r="AC17" s="445">
        <f>'26'!G105</f>
        <v>0</v>
      </c>
      <c r="AD17" s="445">
        <f>'27'!G105</f>
        <v>0</v>
      </c>
      <c r="AE17" s="445">
        <f>'28'!G105</f>
        <v>0</v>
      </c>
      <c r="AF17" s="445">
        <f>'29'!G105</f>
        <v>0</v>
      </c>
      <c r="AG17" s="445">
        <f>'30'!G105</f>
        <v>0</v>
      </c>
      <c r="AH17" s="445">
        <f>'31'!G105</f>
        <v>0</v>
      </c>
      <c r="AI17" s="443"/>
    </row>
    <row r="18" spans="2:35">
      <c r="B18" s="1438"/>
      <c r="C18" s="443" t="s">
        <v>23</v>
      </c>
      <c r="D18" s="443">
        <f>'1'!G106</f>
        <v>0</v>
      </c>
      <c r="E18" s="445">
        <f>'2'!G106</f>
        <v>0</v>
      </c>
      <c r="F18" s="445">
        <f>'3'!G106</f>
        <v>13</v>
      </c>
      <c r="G18" s="445">
        <f>'4'!G106</f>
        <v>0</v>
      </c>
      <c r="H18" s="445">
        <f>'5'!G106</f>
        <v>1</v>
      </c>
      <c r="I18" s="445">
        <f>'6'!G106</f>
        <v>10</v>
      </c>
      <c r="J18" s="445">
        <f>'7'!G106</f>
        <v>12</v>
      </c>
      <c r="K18" s="445">
        <f>'8'!G106</f>
        <v>0</v>
      </c>
      <c r="L18" s="445">
        <f>'9'!G106</f>
        <v>0</v>
      </c>
      <c r="M18" s="445">
        <f>'10'!G106</f>
        <v>17</v>
      </c>
      <c r="N18" s="445">
        <f>'11'!G106</f>
        <v>0</v>
      </c>
      <c r="O18" s="445">
        <f>'12'!G106</f>
        <v>0</v>
      </c>
      <c r="P18" s="445">
        <f>'13'!G106</f>
        <v>13</v>
      </c>
      <c r="Q18" s="445">
        <f>'14'!G106</f>
        <v>-144</v>
      </c>
      <c r="R18" s="445">
        <f>'15'!G106</f>
        <v>0</v>
      </c>
      <c r="S18" s="445">
        <f>'16'!G106</f>
        <v>0</v>
      </c>
      <c r="T18" s="445">
        <f>'17'!G106</f>
        <v>14</v>
      </c>
      <c r="U18" s="445">
        <f>'18'!G106</f>
        <v>0</v>
      </c>
      <c r="V18" s="445">
        <f>'19'!G106</f>
        <v>0</v>
      </c>
      <c r="W18" s="445">
        <f>'20'!G106</f>
        <v>0</v>
      </c>
      <c r="X18" s="445">
        <f>'21'!G106</f>
        <v>4</v>
      </c>
      <c r="Y18" s="445">
        <f>'22'!G106</f>
        <v>13</v>
      </c>
      <c r="Z18" s="445">
        <f>'23'!G106</f>
        <v>0</v>
      </c>
      <c r="AA18" s="445">
        <f>'24'!G106</f>
        <v>1</v>
      </c>
      <c r="AB18" s="445">
        <f>'25'!G106</f>
        <v>16</v>
      </c>
      <c r="AC18" s="445">
        <f>'26'!G106</f>
        <v>1</v>
      </c>
      <c r="AD18" s="445">
        <f>'27'!G106</f>
        <v>0</v>
      </c>
      <c r="AE18" s="445">
        <f>'28'!G106</f>
        <v>14</v>
      </c>
      <c r="AF18" s="445">
        <f>'29'!G106</f>
        <v>0</v>
      </c>
      <c r="AG18" s="445">
        <f>'30'!G106</f>
        <v>0</v>
      </c>
      <c r="AH18" s="445">
        <f>'31'!G106</f>
        <v>15</v>
      </c>
      <c r="AI18" s="443"/>
    </row>
    <row r="19" spans="2:35">
      <c r="B19" s="1438"/>
      <c r="C19" s="443" t="s">
        <v>24</v>
      </c>
      <c r="D19" s="443">
        <f>'1'!G107</f>
        <v>0</v>
      </c>
      <c r="E19" s="445">
        <f>'2'!G107</f>
        <v>3</v>
      </c>
      <c r="F19" s="445">
        <f>'3'!G107</f>
        <v>0</v>
      </c>
      <c r="G19" s="445">
        <f>'4'!G107</f>
        <v>6</v>
      </c>
      <c r="H19" s="445">
        <f>'5'!G107</f>
        <v>3</v>
      </c>
      <c r="I19" s="445">
        <f>'6'!G107</f>
        <v>5</v>
      </c>
      <c r="J19" s="445">
        <f>'7'!G107</f>
        <v>4</v>
      </c>
      <c r="K19" s="445">
        <f>'8'!G107</f>
        <v>3</v>
      </c>
      <c r="L19" s="445">
        <f>'9'!G107</f>
        <v>0</v>
      </c>
      <c r="M19" s="445">
        <f>'10'!G107</f>
        <v>7</v>
      </c>
      <c r="N19" s="445">
        <f>'11'!G107</f>
        <v>3</v>
      </c>
      <c r="O19" s="445">
        <f>'12'!G107</f>
        <v>4</v>
      </c>
      <c r="P19" s="445">
        <f>'13'!G107</f>
        <v>5</v>
      </c>
      <c r="Q19" s="445">
        <f>'14'!G107</f>
        <v>-91</v>
      </c>
      <c r="R19" s="445">
        <f>'15'!G107</f>
        <v>3</v>
      </c>
      <c r="S19" s="445">
        <f>'16'!G107</f>
        <v>0</v>
      </c>
      <c r="T19" s="445">
        <f>'17'!G107</f>
        <v>6</v>
      </c>
      <c r="U19" s="445">
        <f>'18'!G107</f>
        <v>2</v>
      </c>
      <c r="V19" s="445">
        <f>'19'!G107</f>
        <v>0</v>
      </c>
      <c r="W19" s="445">
        <f>'20'!G107</f>
        <v>0</v>
      </c>
      <c r="X19" s="445">
        <f>'21'!G107</f>
        <v>5</v>
      </c>
      <c r="Y19" s="445">
        <f>'22'!G107</f>
        <v>4</v>
      </c>
      <c r="Z19" s="445">
        <f>'23'!G107</f>
        <v>2</v>
      </c>
      <c r="AA19" s="445">
        <f>'24'!G107</f>
        <v>3</v>
      </c>
      <c r="AB19" s="445">
        <f>'25'!G107</f>
        <v>0</v>
      </c>
      <c r="AC19" s="445">
        <f>'26'!G107</f>
        <v>7</v>
      </c>
      <c r="AD19" s="445">
        <f>'27'!G107</f>
        <v>2</v>
      </c>
      <c r="AE19" s="445">
        <f>'28'!G107</f>
        <v>5</v>
      </c>
      <c r="AF19" s="445">
        <f>'29'!G107</f>
        <v>0</v>
      </c>
      <c r="AG19" s="445">
        <f>'30'!G107</f>
        <v>3</v>
      </c>
      <c r="AH19" s="445">
        <f>'31'!G107</f>
        <v>6</v>
      </c>
      <c r="AI19" s="443"/>
    </row>
    <row r="20" spans="2:35">
      <c r="B20" s="447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3"/>
      <c r="AA20" s="443"/>
      <c r="AB20" s="443"/>
      <c r="AC20" s="443"/>
      <c r="AD20" s="443"/>
      <c r="AE20" s="443"/>
      <c r="AF20" s="443"/>
      <c r="AG20" s="443"/>
      <c r="AH20" s="443"/>
      <c r="AI20" s="443"/>
    </row>
    <row r="21" spans="2:35">
      <c r="B21" s="1438" t="s">
        <v>120</v>
      </c>
      <c r="C21" s="443" t="s">
        <v>121</v>
      </c>
      <c r="D21" s="443">
        <f>'1'!G110</f>
        <v>63</v>
      </c>
      <c r="E21" s="445">
        <f>'2'!G110</f>
        <v>42</v>
      </c>
      <c r="F21" s="445">
        <f>'3'!G110</f>
        <v>87</v>
      </c>
      <c r="G21" s="445">
        <f>'4'!G110</f>
        <v>65</v>
      </c>
      <c r="H21" s="445">
        <f>'5'!G110</f>
        <v>88</v>
      </c>
      <c r="I21" s="445">
        <f>'6'!G110</f>
        <v>63</v>
      </c>
      <c r="J21" s="445">
        <f>'7'!G110</f>
        <v>63</v>
      </c>
      <c r="K21" s="445">
        <f>'8'!G110</f>
        <v>45</v>
      </c>
      <c r="L21" s="445">
        <f>'9'!G110</f>
        <v>77</v>
      </c>
      <c r="M21" s="445">
        <f>'10'!G110</f>
        <v>62</v>
      </c>
      <c r="N21" s="445">
        <f>'11'!G110</f>
        <v>27</v>
      </c>
      <c r="O21" s="445">
        <f>'12'!G110</f>
        <v>33</v>
      </c>
      <c r="P21" s="445">
        <f>'13'!G110</f>
        <v>63</v>
      </c>
      <c r="Q21" s="445">
        <f>'14'!G110</f>
        <v>-1742</v>
      </c>
      <c r="R21" s="445">
        <f>'15'!G110</f>
        <v>42</v>
      </c>
      <c r="S21" s="445">
        <f>'16'!G110</f>
        <v>107</v>
      </c>
      <c r="T21" s="445">
        <f>'17'!G110</f>
        <v>20</v>
      </c>
      <c r="U21" s="445">
        <f>'18'!G110</f>
        <v>73</v>
      </c>
      <c r="V21" s="445">
        <f>'19'!G110</f>
        <v>40</v>
      </c>
      <c r="W21" s="445">
        <f>'20'!G110</f>
        <v>39</v>
      </c>
      <c r="X21" s="445">
        <f>'21'!G110</f>
        <v>39</v>
      </c>
      <c r="Y21" s="445">
        <f>'22'!G110</f>
        <v>40</v>
      </c>
      <c r="Z21" s="445">
        <f>'23'!G110</f>
        <v>60</v>
      </c>
      <c r="AA21" s="445">
        <f>'24'!G110</f>
        <v>40</v>
      </c>
      <c r="AB21" s="445">
        <f>'25'!G110</f>
        <v>50</v>
      </c>
      <c r="AC21" s="445">
        <f>'26'!G110</f>
        <v>98</v>
      </c>
      <c r="AD21" s="445">
        <f>'27'!G110</f>
        <v>71</v>
      </c>
      <c r="AE21" s="445">
        <f>'28'!G110</f>
        <v>56</v>
      </c>
      <c r="AF21" s="445">
        <f>'29'!G110</f>
        <v>66</v>
      </c>
      <c r="AG21" s="445">
        <f>'30'!G110</f>
        <v>59</v>
      </c>
      <c r="AH21" s="445">
        <f>'31'!G110</f>
        <v>64</v>
      </c>
      <c r="AI21" s="443"/>
    </row>
    <row r="22" spans="2:35">
      <c r="B22" s="1438"/>
      <c r="C22" s="443" t="s">
        <v>122</v>
      </c>
      <c r="D22" s="443">
        <f>'1'!G111</f>
        <v>0</v>
      </c>
      <c r="E22" s="445">
        <f>'2'!G111</f>
        <v>0</v>
      </c>
      <c r="F22" s="445">
        <f>'3'!G111</f>
        <v>0</v>
      </c>
      <c r="G22" s="445">
        <f>'4'!G111</f>
        <v>10</v>
      </c>
      <c r="H22" s="445">
        <f>'5'!G111</f>
        <v>17</v>
      </c>
      <c r="I22" s="445">
        <f>'6'!G111</f>
        <v>10</v>
      </c>
      <c r="J22" s="445">
        <f>'7'!G111</f>
        <v>0</v>
      </c>
      <c r="K22" s="445">
        <f>'8'!G111</f>
        <v>17</v>
      </c>
      <c r="L22" s="445">
        <f>'9'!G111</f>
        <v>0</v>
      </c>
      <c r="M22" s="445">
        <f>'10'!G111</f>
        <v>13</v>
      </c>
      <c r="N22" s="445">
        <f>'11'!G111</f>
        <v>30</v>
      </c>
      <c r="O22" s="445">
        <f>'12'!G111</f>
        <v>22</v>
      </c>
      <c r="P22" s="445">
        <f>'13'!G111</f>
        <v>0</v>
      </c>
      <c r="Q22" s="445">
        <f>'14'!G111</f>
        <v>-326</v>
      </c>
      <c r="R22" s="445">
        <f>'15'!G111</f>
        <v>30</v>
      </c>
      <c r="S22" s="445">
        <f>'16'!G111</f>
        <v>0</v>
      </c>
      <c r="T22" s="445">
        <f>'17'!G111</f>
        <v>0</v>
      </c>
      <c r="U22" s="445">
        <f>'18'!G111</f>
        <v>0</v>
      </c>
      <c r="V22" s="445">
        <f>'19'!G111</f>
        <v>11</v>
      </c>
      <c r="W22" s="445">
        <f>'20'!G111</f>
        <v>18</v>
      </c>
      <c r="X22" s="445">
        <f>'21'!G111</f>
        <v>3</v>
      </c>
      <c r="Y22" s="445">
        <f>'22'!G111</f>
        <v>26</v>
      </c>
      <c r="Z22" s="445">
        <f>'23'!G111</f>
        <v>19</v>
      </c>
      <c r="AA22" s="445">
        <f>'24'!G111</f>
        <v>40</v>
      </c>
      <c r="AB22" s="445">
        <f>'25'!G111</f>
        <v>0</v>
      </c>
      <c r="AC22" s="445">
        <f>'26'!G111</f>
        <v>24</v>
      </c>
      <c r="AD22" s="445">
        <f>'27'!G111</f>
        <v>0</v>
      </c>
      <c r="AE22" s="445">
        <f>'28'!G111</f>
        <v>0</v>
      </c>
      <c r="AF22" s="445">
        <f>'29'!G111</f>
        <v>18</v>
      </c>
      <c r="AG22" s="445">
        <f>'30'!G111</f>
        <v>18</v>
      </c>
      <c r="AH22" s="445">
        <f>'31'!G111</f>
        <v>0</v>
      </c>
      <c r="AI22" s="443"/>
    </row>
    <row r="23" spans="2:35">
      <c r="B23" s="1438"/>
      <c r="C23" s="443" t="s">
        <v>123</v>
      </c>
      <c r="D23" s="443">
        <f>'1'!G112</f>
        <v>16</v>
      </c>
      <c r="E23" s="445">
        <f>'2'!G112</f>
        <v>0</v>
      </c>
      <c r="F23" s="445">
        <f>'3'!G112</f>
        <v>14</v>
      </c>
      <c r="G23" s="445">
        <f>'4'!G112</f>
        <v>0</v>
      </c>
      <c r="H23" s="445">
        <f>'5'!G112</f>
        <v>15</v>
      </c>
      <c r="I23" s="445">
        <f>'6'!G112</f>
        <v>0</v>
      </c>
      <c r="J23" s="445">
        <f>'7'!G112</f>
        <v>0</v>
      </c>
      <c r="K23" s="445">
        <f>'8'!G112</f>
        <v>0</v>
      </c>
      <c r="L23" s="445">
        <f>'9'!G112</f>
        <v>0</v>
      </c>
      <c r="M23" s="445">
        <f>'10'!G112</f>
        <v>0</v>
      </c>
      <c r="N23" s="445">
        <f>'11'!G112</f>
        <v>0</v>
      </c>
      <c r="O23" s="445">
        <f>'12'!G112</f>
        <v>0</v>
      </c>
      <c r="P23" s="445">
        <f>'13'!G112</f>
        <v>0</v>
      </c>
      <c r="Q23" s="445">
        <f>'14'!G112</f>
        <v>-129</v>
      </c>
      <c r="R23" s="445">
        <f>'15'!G112</f>
        <v>17</v>
      </c>
      <c r="S23" s="445">
        <f>'16'!G112</f>
        <v>0</v>
      </c>
      <c r="T23" s="445">
        <f>'17'!G112</f>
        <v>0</v>
      </c>
      <c r="U23" s="445">
        <f>'18'!G112</f>
        <v>4</v>
      </c>
      <c r="V23" s="445">
        <f>'19'!G112</f>
        <v>0</v>
      </c>
      <c r="W23" s="445">
        <f>'20'!G112</f>
        <v>0</v>
      </c>
      <c r="X23" s="445">
        <f>'21'!G112</f>
        <v>0</v>
      </c>
      <c r="Y23" s="445">
        <f>'22'!G112</f>
        <v>14</v>
      </c>
      <c r="Z23" s="445">
        <f>'23'!G112</f>
        <v>0</v>
      </c>
      <c r="AA23" s="445">
        <f>'24'!G112</f>
        <v>0</v>
      </c>
      <c r="AB23" s="445">
        <f>'25'!G112</f>
        <v>16</v>
      </c>
      <c r="AC23" s="445">
        <f>'26'!G112</f>
        <v>0</v>
      </c>
      <c r="AD23" s="445">
        <f>'27'!G112</f>
        <v>16</v>
      </c>
      <c r="AE23" s="445">
        <f>'28'!G112</f>
        <v>0</v>
      </c>
      <c r="AF23" s="445">
        <f>'29'!G112</f>
        <v>17</v>
      </c>
      <c r="AG23" s="445">
        <f>'30'!G112</f>
        <v>0</v>
      </c>
      <c r="AH23" s="445">
        <f>'31'!G112</f>
        <v>0</v>
      </c>
      <c r="AI23" s="443"/>
    </row>
    <row r="24" spans="2:35" ht="30">
      <c r="B24" s="447" t="s">
        <v>124</v>
      </c>
      <c r="C24" s="443"/>
      <c r="D24" s="445">
        <f>SUM(D5:D6)</f>
        <v>80</v>
      </c>
      <c r="E24" s="445">
        <f t="shared" ref="E24:AH24" si="0">SUM(E5:E6)</f>
        <v>112</v>
      </c>
      <c r="F24" s="445">
        <f t="shared" si="0"/>
        <v>143</v>
      </c>
      <c r="G24" s="445">
        <f t="shared" si="0"/>
        <v>101</v>
      </c>
      <c r="H24" s="445">
        <f t="shared" si="0"/>
        <v>102</v>
      </c>
      <c r="I24" s="445">
        <f t="shared" si="0"/>
        <v>175</v>
      </c>
      <c r="J24" s="445">
        <f t="shared" si="0"/>
        <v>122</v>
      </c>
      <c r="K24" s="445">
        <f t="shared" si="0"/>
        <v>159</v>
      </c>
      <c r="L24" s="445">
        <f t="shared" si="0"/>
        <v>78</v>
      </c>
      <c r="M24" s="445">
        <f t="shared" si="0"/>
        <v>86</v>
      </c>
      <c r="N24" s="445">
        <f t="shared" si="0"/>
        <v>103</v>
      </c>
      <c r="O24" s="445">
        <f t="shared" si="0"/>
        <v>125</v>
      </c>
      <c r="P24" s="445">
        <f t="shared" si="0"/>
        <v>194</v>
      </c>
      <c r="Q24" s="445">
        <f t="shared" si="0"/>
        <v>-1837</v>
      </c>
      <c r="R24" s="445">
        <f t="shared" si="0"/>
        <v>116</v>
      </c>
      <c r="S24" s="445">
        <f t="shared" si="0"/>
        <v>117</v>
      </c>
      <c r="T24" s="445">
        <f t="shared" si="0"/>
        <v>76</v>
      </c>
      <c r="U24" s="445">
        <f t="shared" si="0"/>
        <v>105</v>
      </c>
      <c r="V24" s="445">
        <f t="shared" si="0"/>
        <v>60</v>
      </c>
      <c r="W24" s="445">
        <f t="shared" si="0"/>
        <v>57</v>
      </c>
      <c r="X24" s="445">
        <f t="shared" si="0"/>
        <v>96</v>
      </c>
      <c r="Y24" s="445">
        <f t="shared" si="0"/>
        <v>150</v>
      </c>
      <c r="Z24" s="445">
        <f t="shared" si="0"/>
        <v>140</v>
      </c>
      <c r="AA24" s="445">
        <f t="shared" si="0"/>
        <v>110</v>
      </c>
      <c r="AB24" s="445">
        <f t="shared" si="0"/>
        <v>120</v>
      </c>
      <c r="AC24" s="445">
        <f t="shared" si="0"/>
        <v>113</v>
      </c>
      <c r="AD24" s="445">
        <f t="shared" si="0"/>
        <v>121</v>
      </c>
      <c r="AE24" s="445">
        <f t="shared" si="0"/>
        <v>100</v>
      </c>
      <c r="AF24" s="445">
        <f t="shared" si="0"/>
        <v>117</v>
      </c>
      <c r="AG24" s="445">
        <f t="shared" si="0"/>
        <v>138</v>
      </c>
      <c r="AH24" s="445">
        <f t="shared" si="0"/>
        <v>121</v>
      </c>
      <c r="AI24" s="443"/>
    </row>
    <row r="25" spans="2:35" ht="30">
      <c r="B25" s="447" t="s">
        <v>125</v>
      </c>
      <c r="C25" s="443"/>
      <c r="D25" s="445">
        <f>SUM(D9:D11,D14:D15,)</f>
        <v>85</v>
      </c>
      <c r="E25" s="445">
        <f t="shared" ref="E25:AI25" si="1">SUM(E9:E11,E14:E15,)</f>
        <v>95</v>
      </c>
      <c r="F25" s="445">
        <f t="shared" si="1"/>
        <v>118</v>
      </c>
      <c r="G25" s="445">
        <f t="shared" si="1"/>
        <v>65</v>
      </c>
      <c r="H25" s="445">
        <f t="shared" si="1"/>
        <v>113</v>
      </c>
      <c r="I25" s="445">
        <f t="shared" si="1"/>
        <v>149</v>
      </c>
      <c r="J25" s="445">
        <f t="shared" si="1"/>
        <v>114</v>
      </c>
      <c r="K25" s="445">
        <f t="shared" si="1"/>
        <v>95</v>
      </c>
      <c r="L25" s="445">
        <f t="shared" si="1"/>
        <v>57</v>
      </c>
      <c r="M25" s="445">
        <f t="shared" si="1"/>
        <v>101</v>
      </c>
      <c r="N25" s="445">
        <f t="shared" si="1"/>
        <v>91</v>
      </c>
      <c r="O25" s="445">
        <f t="shared" si="1"/>
        <v>121</v>
      </c>
      <c r="P25" s="445">
        <f t="shared" si="1"/>
        <v>176</v>
      </c>
      <c r="Q25" s="445">
        <f t="shared" si="1"/>
        <v>-2932</v>
      </c>
      <c r="R25" s="445">
        <f t="shared" si="1"/>
        <v>93</v>
      </c>
      <c r="S25" s="445">
        <f t="shared" si="1"/>
        <v>95</v>
      </c>
      <c r="T25" s="445">
        <f>SUM(T9:T11,T14:T15,)</f>
        <v>88</v>
      </c>
      <c r="U25" s="445">
        <f t="shared" si="1"/>
        <v>59</v>
      </c>
      <c r="V25" s="445">
        <f t="shared" si="1"/>
        <v>51</v>
      </c>
      <c r="W25" s="445">
        <f t="shared" si="1"/>
        <v>71</v>
      </c>
      <c r="X25" s="445">
        <f t="shared" si="1"/>
        <v>89</v>
      </c>
      <c r="Y25" s="445">
        <f t="shared" si="1"/>
        <v>141</v>
      </c>
      <c r="Z25" s="445">
        <f t="shared" si="1"/>
        <v>99</v>
      </c>
      <c r="AA25" s="445">
        <f t="shared" si="1"/>
        <v>79</v>
      </c>
      <c r="AB25" s="445">
        <f t="shared" si="1"/>
        <v>120</v>
      </c>
      <c r="AC25" s="445">
        <f t="shared" si="1"/>
        <v>81</v>
      </c>
      <c r="AD25" s="445">
        <f t="shared" si="1"/>
        <v>93</v>
      </c>
      <c r="AE25" s="445">
        <f t="shared" si="1"/>
        <v>86</v>
      </c>
      <c r="AF25" s="445">
        <f t="shared" si="1"/>
        <v>103</v>
      </c>
      <c r="AG25" s="445">
        <f t="shared" si="1"/>
        <v>105</v>
      </c>
      <c r="AH25" s="445">
        <f t="shared" si="1"/>
        <v>99</v>
      </c>
      <c r="AI25" s="445">
        <f t="shared" si="1"/>
        <v>0</v>
      </c>
    </row>
    <row r="26" spans="2:35">
      <c r="B26" s="447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443"/>
      <c r="AD26" s="443"/>
      <c r="AE26" s="443"/>
      <c r="AF26" s="443"/>
      <c r="AG26" s="443"/>
      <c r="AH26" s="443"/>
      <c r="AI26" s="443"/>
    </row>
    <row r="27" spans="2:35" ht="30">
      <c r="B27" s="447" t="s">
        <v>126</v>
      </c>
      <c r="C27" s="443"/>
      <c r="D27" s="445">
        <f>SUM(D13,D21,D23)</f>
        <v>86</v>
      </c>
      <c r="E27" s="445">
        <f t="shared" ref="E27:AH27" si="2">SUM(E13,E21,E23)</f>
        <v>46</v>
      </c>
      <c r="F27" s="445">
        <f>SUM(F13,F21,F23)</f>
        <v>108</v>
      </c>
      <c r="G27" s="445">
        <f t="shared" si="2"/>
        <v>75</v>
      </c>
      <c r="H27" s="445">
        <f t="shared" si="2"/>
        <v>108</v>
      </c>
      <c r="I27" s="445">
        <f t="shared" si="2"/>
        <v>81</v>
      </c>
      <c r="J27" s="445">
        <f t="shared" si="2"/>
        <v>65</v>
      </c>
      <c r="K27" s="445">
        <f t="shared" si="2"/>
        <v>50</v>
      </c>
      <c r="L27" s="445">
        <f t="shared" si="2"/>
        <v>81</v>
      </c>
      <c r="M27" s="445">
        <f t="shared" si="2"/>
        <v>66</v>
      </c>
      <c r="N27" s="445">
        <f t="shared" si="2"/>
        <v>46</v>
      </c>
      <c r="O27" s="445">
        <f t="shared" si="2"/>
        <v>53</v>
      </c>
      <c r="P27" s="445">
        <f t="shared" si="2"/>
        <v>71</v>
      </c>
      <c r="Q27" s="445">
        <f t="shared" si="2"/>
        <v>-2141</v>
      </c>
      <c r="R27" s="445">
        <f t="shared" si="2"/>
        <v>82</v>
      </c>
      <c r="S27" s="445">
        <f t="shared" si="2"/>
        <v>112</v>
      </c>
      <c r="T27" s="445">
        <f t="shared" si="2"/>
        <v>22</v>
      </c>
      <c r="U27" s="445">
        <f t="shared" si="2"/>
        <v>81</v>
      </c>
      <c r="V27" s="445">
        <f t="shared" si="2"/>
        <v>51</v>
      </c>
      <c r="W27" s="445">
        <f t="shared" si="2"/>
        <v>49</v>
      </c>
      <c r="X27" s="445">
        <f t="shared" si="2"/>
        <v>45</v>
      </c>
      <c r="Y27" s="445">
        <f t="shared" si="2"/>
        <v>67</v>
      </c>
      <c r="Z27" s="445">
        <f t="shared" si="2"/>
        <v>81</v>
      </c>
      <c r="AA27" s="445">
        <f t="shared" si="2"/>
        <v>68</v>
      </c>
      <c r="AB27" s="445">
        <f t="shared" si="2"/>
        <v>73</v>
      </c>
      <c r="AC27" s="445">
        <f t="shared" si="2"/>
        <v>103</v>
      </c>
      <c r="AD27" s="445">
        <f t="shared" si="2"/>
        <v>95</v>
      </c>
      <c r="AE27" s="445">
        <f t="shared" si="2"/>
        <v>60</v>
      </c>
      <c r="AF27" s="445">
        <f t="shared" si="2"/>
        <v>87</v>
      </c>
      <c r="AG27" s="445">
        <f t="shared" si="2"/>
        <v>61</v>
      </c>
      <c r="AH27" s="445">
        <f t="shared" si="2"/>
        <v>68</v>
      </c>
      <c r="AI27" s="445">
        <f t="shared" ref="AI27" si="3">SUM(AI13)</f>
        <v>0</v>
      </c>
    </row>
    <row r="28" spans="2:35">
      <c r="B28" s="1021"/>
      <c r="C28" s="1022"/>
      <c r="D28" s="1022"/>
      <c r="E28" s="1022"/>
      <c r="F28" s="1022"/>
      <c r="G28" s="1022"/>
      <c r="H28" s="1022"/>
      <c r="I28" s="1022"/>
      <c r="J28" s="1022"/>
      <c r="K28" s="1022"/>
      <c r="L28" s="1022"/>
      <c r="M28" s="1022"/>
      <c r="N28" s="1022"/>
      <c r="O28" s="1022"/>
      <c r="P28" s="1022"/>
      <c r="Q28" s="1022"/>
      <c r="R28" s="1022"/>
      <c r="S28" s="1022"/>
      <c r="T28" s="1022"/>
      <c r="U28" s="1022"/>
      <c r="V28" s="1022"/>
      <c r="W28" s="1022"/>
      <c r="X28" s="1022"/>
      <c r="Y28" s="1022"/>
      <c r="Z28" s="1022"/>
      <c r="AA28" s="1022"/>
      <c r="AB28" s="1022"/>
      <c r="AC28" s="1022"/>
      <c r="AD28" s="1022"/>
      <c r="AE28" s="1022"/>
      <c r="AF28" s="1022"/>
      <c r="AG28" s="1022"/>
      <c r="AH28" s="1022"/>
      <c r="AI28" s="1022"/>
    </row>
    <row r="29" spans="2:35">
      <c r="B29" s="1021" t="s">
        <v>127</v>
      </c>
      <c r="C29" s="1022"/>
      <c r="D29" s="1023">
        <f>D9</f>
        <v>40</v>
      </c>
      <c r="E29" s="1023">
        <f t="shared" ref="E29:AH29" si="4">E9</f>
        <v>36</v>
      </c>
      <c r="F29" s="1023">
        <f t="shared" si="4"/>
        <v>71</v>
      </c>
      <c r="G29" s="1023">
        <f t="shared" si="4"/>
        <v>27</v>
      </c>
      <c r="H29" s="1023">
        <f t="shared" si="4"/>
        <v>50</v>
      </c>
      <c r="I29" s="1023">
        <f t="shared" si="4"/>
        <v>73</v>
      </c>
      <c r="J29" s="1023">
        <f t="shared" si="4"/>
        <v>67</v>
      </c>
      <c r="K29" s="1023">
        <f t="shared" si="4"/>
        <v>34</v>
      </c>
      <c r="L29" s="1023">
        <f t="shared" si="4"/>
        <v>24</v>
      </c>
      <c r="M29" s="1023">
        <f t="shared" si="4"/>
        <v>59</v>
      </c>
      <c r="N29" s="1023">
        <f t="shared" si="4"/>
        <v>46</v>
      </c>
      <c r="O29" s="1023">
        <f t="shared" si="4"/>
        <v>36</v>
      </c>
      <c r="P29" s="1023">
        <f t="shared" si="4"/>
        <v>64</v>
      </c>
      <c r="Q29" s="1023">
        <f t="shared" si="4"/>
        <v>-1385</v>
      </c>
      <c r="R29" s="1023">
        <f t="shared" si="4"/>
        <v>42</v>
      </c>
      <c r="S29" s="1023">
        <f t="shared" si="4"/>
        <v>27</v>
      </c>
      <c r="T29" s="1023">
        <f t="shared" si="4"/>
        <v>45</v>
      </c>
      <c r="U29" s="1023">
        <f t="shared" si="4"/>
        <v>29</v>
      </c>
      <c r="V29" s="1023">
        <f t="shared" si="4"/>
        <v>23</v>
      </c>
      <c r="W29" s="1023">
        <f t="shared" si="4"/>
        <v>27</v>
      </c>
      <c r="X29" s="1023">
        <f t="shared" si="4"/>
        <v>49</v>
      </c>
      <c r="Y29" s="1023">
        <f t="shared" si="4"/>
        <v>80</v>
      </c>
      <c r="Z29" s="1023">
        <f t="shared" si="4"/>
        <v>37</v>
      </c>
      <c r="AA29" s="1023">
        <f t="shared" si="4"/>
        <v>40</v>
      </c>
      <c r="AB29" s="1023">
        <f t="shared" si="4"/>
        <v>78</v>
      </c>
      <c r="AC29" s="1023">
        <f t="shared" si="4"/>
        <v>43</v>
      </c>
      <c r="AD29" s="1023">
        <f t="shared" si="4"/>
        <v>49</v>
      </c>
      <c r="AE29" s="1023">
        <f t="shared" si="4"/>
        <v>51</v>
      </c>
      <c r="AF29" s="1023">
        <f t="shared" si="4"/>
        <v>46</v>
      </c>
      <c r="AG29" s="1023">
        <f t="shared" si="4"/>
        <v>38</v>
      </c>
      <c r="AH29" s="1023">
        <f t="shared" si="4"/>
        <v>54</v>
      </c>
      <c r="AI29" s="1022"/>
    </row>
    <row r="30" spans="2:35">
      <c r="B30" s="1021" t="s">
        <v>128</v>
      </c>
      <c r="C30" s="1022"/>
      <c r="D30" s="1023">
        <f>SUM(D10:D11,D14:D15)</f>
        <v>45</v>
      </c>
      <c r="E30" s="1023">
        <f t="shared" ref="E30:AH30" si="5">SUM(E10:E11,E14:E15)</f>
        <v>59</v>
      </c>
      <c r="F30" s="1023">
        <f t="shared" si="5"/>
        <v>47</v>
      </c>
      <c r="G30" s="1023">
        <f t="shared" si="5"/>
        <v>38</v>
      </c>
      <c r="H30" s="1023">
        <f t="shared" si="5"/>
        <v>63</v>
      </c>
      <c r="I30" s="1023">
        <f t="shared" si="5"/>
        <v>76</v>
      </c>
      <c r="J30" s="1023">
        <f t="shared" si="5"/>
        <v>47</v>
      </c>
      <c r="K30" s="1023">
        <f t="shared" si="5"/>
        <v>61</v>
      </c>
      <c r="L30" s="1023">
        <f t="shared" si="5"/>
        <v>33</v>
      </c>
      <c r="M30" s="1023">
        <f t="shared" si="5"/>
        <v>42</v>
      </c>
      <c r="N30" s="1023">
        <f t="shared" si="5"/>
        <v>45</v>
      </c>
      <c r="O30" s="1023">
        <f t="shared" si="5"/>
        <v>85</v>
      </c>
      <c r="P30" s="1023">
        <f t="shared" si="5"/>
        <v>112</v>
      </c>
      <c r="Q30" s="1023">
        <f t="shared" si="5"/>
        <v>-1547</v>
      </c>
      <c r="R30" s="1023">
        <f t="shared" si="5"/>
        <v>51</v>
      </c>
      <c r="S30" s="1023">
        <f t="shared" si="5"/>
        <v>68</v>
      </c>
      <c r="T30" s="1023">
        <f t="shared" si="5"/>
        <v>43</v>
      </c>
      <c r="U30" s="1023">
        <f t="shared" si="5"/>
        <v>30</v>
      </c>
      <c r="V30" s="1023">
        <f t="shared" si="5"/>
        <v>28</v>
      </c>
      <c r="W30" s="1023">
        <f t="shared" si="5"/>
        <v>44</v>
      </c>
      <c r="X30" s="1023">
        <f t="shared" si="5"/>
        <v>40</v>
      </c>
      <c r="Y30" s="1023">
        <f t="shared" si="5"/>
        <v>61</v>
      </c>
      <c r="Z30" s="1023">
        <f t="shared" si="5"/>
        <v>62</v>
      </c>
      <c r="AA30" s="1023">
        <f t="shared" si="5"/>
        <v>39</v>
      </c>
      <c r="AB30" s="1023">
        <f t="shared" si="5"/>
        <v>42</v>
      </c>
      <c r="AC30" s="1023">
        <f t="shared" si="5"/>
        <v>38</v>
      </c>
      <c r="AD30" s="1023">
        <f t="shared" si="5"/>
        <v>44</v>
      </c>
      <c r="AE30" s="1023">
        <f t="shared" si="5"/>
        <v>35</v>
      </c>
      <c r="AF30" s="1023">
        <f t="shared" si="5"/>
        <v>57</v>
      </c>
      <c r="AG30" s="1023">
        <f t="shared" si="5"/>
        <v>67</v>
      </c>
      <c r="AH30" s="1023">
        <f t="shared" si="5"/>
        <v>45</v>
      </c>
      <c r="AI30" s="1022"/>
    </row>
    <row r="31" spans="2:35">
      <c r="B31" s="1021" t="s">
        <v>129</v>
      </c>
      <c r="C31" s="1022"/>
      <c r="D31" s="1022">
        <f>D30/SUM(D29:D30)%</f>
        <v>52.941176470588239</v>
      </c>
      <c r="E31" s="1022">
        <f t="shared" ref="E31:AH31" si="6">E30/SUM(E29:E30)%</f>
        <v>62.10526315789474</v>
      </c>
      <c r="F31" s="1022">
        <f t="shared" si="6"/>
        <v>39.83050847457627</v>
      </c>
      <c r="G31" s="1022">
        <f t="shared" si="6"/>
        <v>58.46153846153846</v>
      </c>
      <c r="H31" s="1022">
        <f t="shared" si="6"/>
        <v>55.752212389380539</v>
      </c>
      <c r="I31" s="1022">
        <f t="shared" si="6"/>
        <v>51.006711409395976</v>
      </c>
      <c r="J31" s="1022">
        <f t="shared" si="6"/>
        <v>41.228070175438603</v>
      </c>
      <c r="K31" s="1022">
        <f t="shared" si="6"/>
        <v>64.21052631578948</v>
      </c>
      <c r="L31" s="1022">
        <f t="shared" si="6"/>
        <v>57.894736842105267</v>
      </c>
      <c r="M31" s="1022">
        <f t="shared" si="6"/>
        <v>41.584158415841586</v>
      </c>
      <c r="N31" s="1022">
        <f t="shared" si="6"/>
        <v>49.450549450549445</v>
      </c>
      <c r="O31" s="1022">
        <f t="shared" si="6"/>
        <v>70.247933884297524</v>
      </c>
      <c r="P31" s="1022">
        <f t="shared" si="6"/>
        <v>63.636363636363633</v>
      </c>
      <c r="Q31" s="1022">
        <f t="shared" si="6"/>
        <v>52.762619372442018</v>
      </c>
      <c r="R31" s="1022">
        <f t="shared" si="6"/>
        <v>54.838709677419352</v>
      </c>
      <c r="S31" s="1022">
        <f t="shared" si="6"/>
        <v>71.578947368421055</v>
      </c>
      <c r="T31" s="1022">
        <f t="shared" si="6"/>
        <v>48.863636363636367</v>
      </c>
      <c r="U31" s="1022">
        <f t="shared" si="6"/>
        <v>50.847457627118644</v>
      </c>
      <c r="V31" s="1022">
        <f t="shared" si="6"/>
        <v>54.901960784313722</v>
      </c>
      <c r="W31" s="1022">
        <f t="shared" si="6"/>
        <v>61.971830985915496</v>
      </c>
      <c r="X31" s="1022">
        <f t="shared" si="6"/>
        <v>44.943820224719097</v>
      </c>
      <c r="Y31" s="1022">
        <f t="shared" si="6"/>
        <v>43.262411347517734</v>
      </c>
      <c r="Z31" s="1022">
        <f t="shared" si="6"/>
        <v>62.62626262626263</v>
      </c>
      <c r="AA31" s="1022">
        <f t="shared" si="6"/>
        <v>49.367088607594937</v>
      </c>
      <c r="AB31" s="1022">
        <f t="shared" si="6"/>
        <v>35</v>
      </c>
      <c r="AC31" s="1022">
        <f t="shared" si="6"/>
        <v>46.913580246913575</v>
      </c>
      <c r="AD31" s="1022">
        <f t="shared" si="6"/>
        <v>47.311827956989248</v>
      </c>
      <c r="AE31" s="1022">
        <f t="shared" si="6"/>
        <v>40.697674418604649</v>
      </c>
      <c r="AF31" s="1022">
        <f t="shared" si="6"/>
        <v>55.339805825242721</v>
      </c>
      <c r="AG31" s="1022">
        <f t="shared" si="6"/>
        <v>63.80952380952381</v>
      </c>
      <c r="AH31" s="1022">
        <f t="shared" si="6"/>
        <v>45.454545454545453</v>
      </c>
      <c r="AI31" s="1022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zoomScale="85" zoomScaleNormal="85" workbookViewId="0">
      <pane xSplit="1" topLeftCell="B1" activePane="topRight" state="frozen"/>
      <selection activeCell="A3" sqref="A3"/>
      <selection pane="topRight" activeCell="A17" sqref="A17:XFD17"/>
    </sheetView>
  </sheetViews>
  <sheetFormatPr defaultRowHeight="15.75"/>
  <cols>
    <col min="1" max="5" width="8.88671875" style="1032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2" customWidth="1"/>
    <col min="33" max="51" width="7" style="1032" customWidth="1"/>
    <col min="52" max="16384" width="8.88671875" style="1032"/>
  </cols>
  <sheetData>
    <row r="1" spans="1:53" ht="16.5" thickBot="1">
      <c r="F1" s="1032"/>
      <c r="G1" s="1032"/>
      <c r="H1" s="1032"/>
      <c r="I1" s="1032"/>
      <c r="J1" s="1032"/>
      <c r="K1" s="1032"/>
      <c r="L1" s="1032"/>
      <c r="M1" s="1032"/>
    </row>
    <row r="2" spans="1:53">
      <c r="F2" s="1435" t="s">
        <v>130</v>
      </c>
      <c r="G2" s="1436"/>
      <c r="H2" s="1436"/>
      <c r="I2" s="1436"/>
      <c r="J2" s="1436"/>
      <c r="K2" s="1436"/>
      <c r="L2" s="1436"/>
      <c r="M2" s="1437"/>
      <c r="N2" s="1441" t="s">
        <v>131</v>
      </c>
      <c r="O2" s="1441"/>
      <c r="P2" s="1441"/>
      <c r="Q2" s="1441"/>
      <c r="R2" s="1441"/>
      <c r="S2" s="1441"/>
      <c r="T2" s="1441"/>
      <c r="U2" s="1441"/>
      <c r="V2" s="1441"/>
      <c r="W2" s="1441"/>
      <c r="X2" s="1441"/>
      <c r="Y2" s="1441"/>
      <c r="Z2" s="1441"/>
      <c r="AA2" s="1441"/>
      <c r="AB2" s="1441"/>
      <c r="AC2" s="1441"/>
      <c r="AD2" s="1441"/>
      <c r="AE2" s="1441"/>
      <c r="AF2" s="1441"/>
      <c r="AG2" s="1441"/>
      <c r="AH2" s="1441"/>
      <c r="AI2" s="1441"/>
      <c r="AJ2" s="1441"/>
      <c r="AK2" s="1441"/>
      <c r="AL2" s="1441"/>
      <c r="AM2" s="1441"/>
      <c r="AN2" s="1440"/>
      <c r="AO2" s="1440"/>
      <c r="AP2" s="1440"/>
      <c r="AQ2" s="1440"/>
      <c r="AR2" s="1440"/>
      <c r="AS2" s="1440"/>
      <c r="AT2" s="1440"/>
      <c r="AU2" s="1385"/>
      <c r="AV2" s="1439" t="s">
        <v>132</v>
      </c>
      <c r="AW2" s="1439"/>
      <c r="AX2" s="1439"/>
      <c r="AY2" s="1439"/>
    </row>
    <row r="3" spans="1:53">
      <c r="F3" s="1424"/>
      <c r="G3" s="1419"/>
      <c r="H3" s="1419"/>
      <c r="I3" s="1419"/>
      <c r="J3" s="1419"/>
      <c r="K3" s="1419"/>
      <c r="L3" s="1419"/>
      <c r="M3" s="1425"/>
      <c r="N3" s="1386"/>
      <c r="O3" s="1386"/>
      <c r="P3" s="1386"/>
      <c r="Q3" s="1386"/>
      <c r="R3" s="1386"/>
      <c r="S3" s="1386"/>
      <c r="T3" s="1386"/>
      <c r="U3" s="1386"/>
      <c r="V3" s="1386"/>
      <c r="W3" s="1386"/>
      <c r="X3" s="1386"/>
      <c r="Y3" s="1386"/>
      <c r="Z3" s="1386"/>
      <c r="AA3" s="1202"/>
      <c r="AB3" s="1202"/>
      <c r="AC3" s="1202"/>
      <c r="AD3" s="1202"/>
      <c r="AE3" s="1202"/>
      <c r="AF3" s="1202"/>
      <c r="AG3" s="1202"/>
      <c r="AH3" s="1202"/>
      <c r="AI3" s="1202"/>
      <c r="AJ3" s="1202"/>
      <c r="AK3" s="1202"/>
      <c r="AL3" s="1202"/>
      <c r="AM3" s="1386"/>
      <c r="AN3" s="1442" t="s">
        <v>133</v>
      </c>
      <c r="AO3" s="1442"/>
      <c r="AP3" s="1442"/>
      <c r="AQ3" s="1442"/>
      <c r="AR3" s="1442"/>
      <c r="AS3" s="1442"/>
      <c r="AT3" s="1442"/>
      <c r="AU3" s="1443" t="s">
        <v>134</v>
      </c>
      <c r="AV3" s="1443"/>
      <c r="AW3" s="1443"/>
      <c r="AX3" s="1443"/>
      <c r="AY3" s="1443"/>
    </row>
    <row r="4" spans="1:53" ht="34.5" customHeight="1">
      <c r="A4" s="1033"/>
      <c r="B4" s="1260" t="s">
        <v>135</v>
      </c>
      <c r="C4" s="1260" t="s">
        <v>136</v>
      </c>
      <c r="D4" s="1260" t="s">
        <v>137</v>
      </c>
      <c r="E4" s="1260" t="s">
        <v>138</v>
      </c>
      <c r="F4" s="1203" t="s">
        <v>139</v>
      </c>
      <c r="G4" s="1204" t="s">
        <v>140</v>
      </c>
      <c r="H4" s="1204" t="s">
        <v>141</v>
      </c>
      <c r="I4" s="1204" t="s">
        <v>142</v>
      </c>
      <c r="J4" s="1204" t="s">
        <v>143</v>
      </c>
      <c r="K4" s="1204" t="s">
        <v>87</v>
      </c>
      <c r="L4" s="1205" t="s">
        <v>96</v>
      </c>
      <c r="M4" s="1205" t="s">
        <v>89</v>
      </c>
      <c r="N4" s="1033" t="s">
        <v>144</v>
      </c>
      <c r="O4" s="1033" t="s">
        <v>145</v>
      </c>
      <c r="P4" s="1033" t="s">
        <v>146</v>
      </c>
      <c r="Q4" s="1033" t="s">
        <v>147</v>
      </c>
      <c r="R4" s="1033" t="s">
        <v>148</v>
      </c>
      <c r="S4" s="1033" t="s">
        <v>149</v>
      </c>
      <c r="T4" s="1033" t="s">
        <v>150</v>
      </c>
      <c r="U4" s="1033" t="s">
        <v>151</v>
      </c>
      <c r="V4" s="1033" t="s">
        <v>152</v>
      </c>
      <c r="W4" s="1033" t="s">
        <v>153</v>
      </c>
      <c r="X4" s="1033" t="s">
        <v>154</v>
      </c>
      <c r="Y4" s="1033" t="s">
        <v>23</v>
      </c>
      <c r="Z4" s="1033" t="s">
        <v>155</v>
      </c>
      <c r="AA4" s="1034" t="s">
        <v>156</v>
      </c>
      <c r="AB4" s="1034" t="s">
        <v>157</v>
      </c>
      <c r="AC4" s="1034" t="s">
        <v>158</v>
      </c>
      <c r="AD4" s="1034" t="s">
        <v>159</v>
      </c>
      <c r="AE4" s="429" t="s">
        <v>160</v>
      </c>
      <c r="AF4" s="430" t="s">
        <v>161</v>
      </c>
      <c r="AG4" s="430" t="s">
        <v>161</v>
      </c>
      <c r="AH4" s="430" t="s">
        <v>162</v>
      </c>
      <c r="AI4" s="430" t="s">
        <v>163</v>
      </c>
      <c r="AJ4" s="430" t="s">
        <v>157</v>
      </c>
      <c r="AK4" s="430" t="s">
        <v>164</v>
      </c>
      <c r="AL4" s="430" t="s">
        <v>165</v>
      </c>
      <c r="AM4" s="1033" t="s">
        <v>166</v>
      </c>
      <c r="AN4" s="1033" t="s">
        <v>167</v>
      </c>
      <c r="AO4" s="1033" t="s">
        <v>168</v>
      </c>
      <c r="AP4" s="1033" t="s">
        <v>146</v>
      </c>
      <c r="AQ4" s="1033" t="s">
        <v>169</v>
      </c>
      <c r="AR4" s="1033" t="s">
        <v>170</v>
      </c>
      <c r="AS4" s="1033" t="s">
        <v>171</v>
      </c>
      <c r="AT4" s="1033" t="s">
        <v>172</v>
      </c>
      <c r="AU4" s="1033" t="s">
        <v>168</v>
      </c>
      <c r="AV4" s="1033" t="s">
        <v>75</v>
      </c>
      <c r="AW4" s="1033" t="s">
        <v>76</v>
      </c>
      <c r="AX4" s="1033" t="s">
        <v>173</v>
      </c>
      <c r="AY4" s="1033" t="s">
        <v>174</v>
      </c>
    </row>
    <row r="5" spans="1:53">
      <c r="A5" s="1035">
        <v>43983</v>
      </c>
      <c r="B5" s="258">
        <f>'1'!G7</f>
        <v>16562</v>
      </c>
      <c r="C5" s="258">
        <f>'1'!G8</f>
        <v>16655</v>
      </c>
      <c r="D5" s="258">
        <f>'1'!G15</f>
        <v>267</v>
      </c>
      <c r="E5" s="258">
        <f>'1'!G20</f>
        <v>80</v>
      </c>
      <c r="F5" s="258">
        <f>SUM('1'!G35,'1'!G49)</f>
        <v>2344</v>
      </c>
      <c r="G5" s="258">
        <f>SUM('1'!H37,'1'!H51)</f>
        <v>1278</v>
      </c>
      <c r="H5" s="258">
        <f>SUM('1'!G38,'1'!G52)</f>
        <v>1170</v>
      </c>
      <c r="I5" s="258">
        <f>SUM('1'!G39,'1'!G53)</f>
        <v>2546</v>
      </c>
      <c r="J5" s="258">
        <f>SUM('1'!G41,'1'!G42,'1'!G55,'1'!G56)</f>
        <v>5306.5100000000093</v>
      </c>
      <c r="K5" s="258">
        <f>SUM('1'!G43,'1'!G57)</f>
        <v>2272</v>
      </c>
      <c r="L5" s="1036">
        <f>'1'!G50</f>
        <v>814</v>
      </c>
      <c r="M5" s="1036">
        <f>'1'!G36</f>
        <v>446</v>
      </c>
      <c r="N5" s="1036">
        <f>'1'!G72</f>
        <v>14</v>
      </c>
      <c r="O5" s="1036">
        <f>'1'!$G$73</f>
        <v>1</v>
      </c>
      <c r="P5" s="1036">
        <f>'1'!$G$74</f>
        <v>7</v>
      </c>
      <c r="Q5" s="1036">
        <f>'1'!$G$75</f>
        <v>54</v>
      </c>
      <c r="R5" s="1036">
        <f>'1'!$G$76</f>
        <v>57</v>
      </c>
      <c r="S5" s="1036">
        <f>'1'!$G$77</f>
        <v>49</v>
      </c>
      <c r="T5" s="1036">
        <f>'1'!$G$78</f>
        <v>55</v>
      </c>
      <c r="U5" s="1036">
        <f>'1'!$G$79</f>
        <v>155</v>
      </c>
      <c r="V5" s="1036">
        <f>'1'!$G$80</f>
        <v>370</v>
      </c>
      <c r="W5" s="1036">
        <f>'1'!$G$81</f>
        <v>94</v>
      </c>
      <c r="X5" s="1036">
        <f>'1'!$G$82</f>
        <v>11</v>
      </c>
      <c r="Y5" s="1036">
        <f>'1'!$G$58</f>
        <v>0</v>
      </c>
      <c r="Z5" s="1036">
        <f>'1'!$G$83</f>
        <v>152</v>
      </c>
      <c r="AA5" s="1036">
        <f>'1'!G86</f>
        <v>34</v>
      </c>
      <c r="AB5" s="1036">
        <f>'1'!G87</f>
        <v>21</v>
      </c>
      <c r="AC5" s="1036">
        <f>'1'!G88</f>
        <v>27</v>
      </c>
      <c r="AD5" s="1036">
        <f>'1'!G89+'1'!G90</f>
        <v>10.500000000001364</v>
      </c>
      <c r="AE5" s="1036">
        <f>'1'!$G$62</f>
        <v>0</v>
      </c>
      <c r="AF5" s="1036">
        <f>'1'!$G$63</f>
        <v>0</v>
      </c>
      <c r="AG5" s="1036">
        <f>'1'!$G$64</f>
        <v>196</v>
      </c>
      <c r="AH5" s="1036">
        <f>'1'!$G$65</f>
        <v>239</v>
      </c>
      <c r="AI5" s="1036">
        <f>'1'!$G$66</f>
        <v>216</v>
      </c>
      <c r="AJ5" s="1036">
        <f>'1'!$G$67</f>
        <v>310</v>
      </c>
      <c r="AK5" s="1036">
        <f>'1'!$G$68</f>
        <v>0</v>
      </c>
      <c r="AL5" s="1036">
        <f>'1'!$G$69</f>
        <v>104</v>
      </c>
      <c r="AM5" s="1036">
        <f>'1'!$G$84</f>
        <v>827</v>
      </c>
      <c r="AN5" s="1036">
        <f>'1'!$G$15</f>
        <v>267</v>
      </c>
      <c r="AO5" s="1036">
        <f>'1'!$G$124</f>
        <v>175</v>
      </c>
      <c r="AP5" s="1036">
        <f>'1'!$G$125</f>
        <v>0</v>
      </c>
      <c r="AQ5" s="1036">
        <f>'1'!$G$126</f>
        <v>52</v>
      </c>
      <c r="AR5" s="1036">
        <f>'1'!$G$127</f>
        <v>0</v>
      </c>
      <c r="AS5" s="1036">
        <f>'1'!$G$128</f>
        <v>0</v>
      </c>
      <c r="AT5" s="1036">
        <f>AN5-SUM(AO5:AS5)</f>
        <v>40</v>
      </c>
      <c r="AU5" s="1036">
        <f>SUM('1'!G140:G141)</f>
        <v>6.8199999999999363</v>
      </c>
      <c r="AV5" s="1036">
        <f>'1'!$G$137</f>
        <v>0</v>
      </c>
      <c r="AW5" s="1036">
        <f>'1'!$G$138</f>
        <v>0</v>
      </c>
      <c r="AX5" s="1036">
        <f>'1'!$G$139</f>
        <v>0</v>
      </c>
      <c r="AY5" s="1033">
        <f>SUM(AV5:AX5)</f>
        <v>0</v>
      </c>
      <c r="AZ5" s="1032">
        <f>AO5/AU5</f>
        <v>25.659824046921059</v>
      </c>
    </row>
    <row r="6" spans="1:53">
      <c r="A6" s="1035">
        <v>43984</v>
      </c>
      <c r="B6" s="258">
        <f>'2'!G7</f>
        <v>16547.630000000005</v>
      </c>
      <c r="C6" s="258">
        <f>'2'!G8</f>
        <v>16620.270000000019</v>
      </c>
      <c r="D6" s="258">
        <f>'2'!G15</f>
        <v>436.69999999995343</v>
      </c>
      <c r="E6" s="258">
        <f>'2'!G20</f>
        <v>112</v>
      </c>
      <c r="F6" s="258">
        <f>SUM('2'!G35,'2'!G49)</f>
        <v>2408.1199999999953</v>
      </c>
      <c r="G6" s="258">
        <f>SUM('2'!G37,'2'!G51)</f>
        <v>1249.570000000007</v>
      </c>
      <c r="H6" s="258">
        <f>SUM('2'!G38,'2'!G52)</f>
        <v>1246.6900000000023</v>
      </c>
      <c r="I6" s="258">
        <f>SUM('2'!G39,'2'!G53)</f>
        <v>2516.5599999999977</v>
      </c>
      <c r="J6" s="258">
        <f>SUM('2'!G41,'2'!G42,'2'!G55,'2'!G56)</f>
        <v>4924.3699999999371</v>
      </c>
      <c r="K6" s="258">
        <f>SUM('2'!G43,'2'!G57)</f>
        <v>2270.4000000000233</v>
      </c>
      <c r="L6" s="1036">
        <f>'2'!G50</f>
        <v>854.71000000002095</v>
      </c>
      <c r="M6" s="1036">
        <f>'2'!G36</f>
        <v>488.12300000000005</v>
      </c>
      <c r="N6" s="1036">
        <f>'2'!G72</f>
        <v>13</v>
      </c>
      <c r="O6" s="1036">
        <f>'2'!$G$73</f>
        <v>1</v>
      </c>
      <c r="P6" s="1036">
        <f>'2'!$G$74</f>
        <v>6.9600000000000364</v>
      </c>
      <c r="Q6" s="1036">
        <f>'2'!$G$75</f>
        <v>60.059999999999491</v>
      </c>
      <c r="R6" s="1036">
        <f>'2'!$G$76</f>
        <v>55.430000000000291</v>
      </c>
      <c r="S6" s="1036">
        <f>'2'!$G$77</f>
        <v>48</v>
      </c>
      <c r="T6" s="1036">
        <f>'2'!$G$78</f>
        <v>53</v>
      </c>
      <c r="U6" s="1036">
        <f>'2'!$G$79</f>
        <v>166</v>
      </c>
      <c r="V6" s="1036">
        <f>'2'!$G$80</f>
        <v>368.23999999999069</v>
      </c>
      <c r="W6" s="1027">
        <f>'2'!$G$81</f>
        <v>90.040000000037253</v>
      </c>
      <c r="X6" s="1027">
        <f>'2'!$G$82</f>
        <v>23.729999999995925</v>
      </c>
      <c r="Y6" s="1027">
        <f>'2'!$G$58</f>
        <v>104</v>
      </c>
      <c r="Z6" s="1027">
        <f>'2'!$G$83</f>
        <v>147</v>
      </c>
      <c r="AA6" s="1027">
        <f>'2'!G86</f>
        <v>32.799999999988358</v>
      </c>
      <c r="AB6" s="1036">
        <f>'2'!G87</f>
        <v>19.80000000000291</v>
      </c>
      <c r="AC6" s="1036">
        <f>'2'!G88</f>
        <v>23.829999999987194</v>
      </c>
      <c r="AD6" s="1036">
        <f>'2'!G89+'2'!G90</f>
        <v>11.5</v>
      </c>
      <c r="AE6" s="1036">
        <f>'2'!$G$62</f>
        <v>0</v>
      </c>
      <c r="AF6" s="1036">
        <f>'2'!$G$63</f>
        <v>0</v>
      </c>
      <c r="AG6" s="1036">
        <f>'2'!$G$64</f>
        <v>183.88000000000466</v>
      </c>
      <c r="AH6" s="1036">
        <f>'2'!$G$65</f>
        <v>219.67999999999302</v>
      </c>
      <c r="AI6" s="1036">
        <f>'2'!$G$66</f>
        <v>223.12999999999738</v>
      </c>
      <c r="AJ6" s="1036">
        <f>'2'!$G$67</f>
        <v>367.60999999998603</v>
      </c>
      <c r="AK6" s="1036">
        <f>'2'!$G$68</f>
        <v>0</v>
      </c>
      <c r="AL6" s="1036">
        <f>'2'!$G$69</f>
        <v>89.25</v>
      </c>
      <c r="AM6" s="1036">
        <f>'2'!$G$84</f>
        <v>821</v>
      </c>
      <c r="AN6" s="1036">
        <f>'2'!$G$15</f>
        <v>436.69999999995343</v>
      </c>
      <c r="AO6" s="1036">
        <f>'2'!$G$124</f>
        <v>170.84999999997672</v>
      </c>
      <c r="AP6" s="1036">
        <f>'2'!$G$125</f>
        <v>0</v>
      </c>
      <c r="AQ6" s="1036">
        <f>'2'!$G$126</f>
        <v>63.329999999987194</v>
      </c>
      <c r="AR6" s="1036">
        <f>'2'!$G$127</f>
        <v>0.2000000000007276</v>
      </c>
      <c r="AS6" s="1036">
        <f>'2'!$G$128</f>
        <v>-0.2999999999992724</v>
      </c>
      <c r="AT6" s="1036">
        <f t="shared" ref="AT6:AT34" si="0">AN6-SUM(AO6:AS6)</f>
        <v>202.61999999998807</v>
      </c>
      <c r="AU6" s="1036">
        <f>SUM('2'!G140:G141)</f>
        <v>6.5200000000004366</v>
      </c>
      <c r="AV6" s="1036">
        <f>'2'!$G$137</f>
        <v>3.9999999997235136E-2</v>
      </c>
      <c r="AW6" s="1036">
        <f>'2'!$G$138</f>
        <v>0</v>
      </c>
      <c r="AX6" s="1036">
        <f>'2'!$G$139</f>
        <v>10.149999999994179</v>
      </c>
      <c r="AY6" s="1033">
        <f t="shared" ref="AY6:AY34" si="1">SUM(AV6:AX6)</f>
        <v>10.189999999991414</v>
      </c>
      <c r="AZ6" s="1032">
        <f t="shared" ref="AZ6:AZ9" si="2">AO6/AU6</f>
        <v>26.203987730056024</v>
      </c>
    </row>
    <row r="7" spans="1:53" s="1038" customFormat="1">
      <c r="A7" s="1035">
        <v>43985</v>
      </c>
      <c r="B7" s="258">
        <f>'3'!G7</f>
        <v>16075.239999999991</v>
      </c>
      <c r="C7" s="258">
        <f>'3'!G8</f>
        <v>16135.809999999998</v>
      </c>
      <c r="D7" s="258">
        <f>'3'!G15</f>
        <v>615.80400000000373</v>
      </c>
      <c r="E7" s="258">
        <f>'3'!G20</f>
        <v>143</v>
      </c>
      <c r="F7" s="258">
        <f>SUM('3'!G35,'3'!G49)</f>
        <v>2425.1999999999534</v>
      </c>
      <c r="G7" s="258">
        <f>SUM('3'!G37,'3'!G51)</f>
        <v>1251.0499999999884</v>
      </c>
      <c r="H7" s="258">
        <f>SUM('3'!G38,'3'!G52)</f>
        <v>1277.8999999999942</v>
      </c>
      <c r="I7" s="258">
        <f>SUM('3'!G39,'3'!G53)</f>
        <v>2426.5199999999604</v>
      </c>
      <c r="J7" s="258">
        <f>SUM('3'!G41,'3'!G42,'3'!G55,'3'!G56)</f>
        <v>4328.2400000001071</v>
      </c>
      <c r="K7" s="258">
        <f>SUM('3'!G43,'3'!G57)</f>
        <v>2314.2999999999302</v>
      </c>
      <c r="L7" s="1027">
        <f>'3'!G50</f>
        <v>869.23999999999069</v>
      </c>
      <c r="M7" s="1027">
        <f>'3'!G36</f>
        <v>475.35699999999997</v>
      </c>
      <c r="N7" s="1027">
        <f>'3'!G72</f>
        <v>14</v>
      </c>
      <c r="O7" s="1027">
        <f>'3'!$G$73</f>
        <v>2</v>
      </c>
      <c r="P7" s="1027">
        <f>'3'!$G$74</f>
        <v>0</v>
      </c>
      <c r="Q7" s="1027">
        <f>'3'!$G$75</f>
        <v>49.940000000000509</v>
      </c>
      <c r="R7" s="1027">
        <f>'3'!$G$76</f>
        <v>57.199999999999818</v>
      </c>
      <c r="S7" s="1027">
        <f>'3'!$G$77</f>
        <v>46</v>
      </c>
      <c r="T7" s="1027">
        <f>'3'!$G$78</f>
        <v>47</v>
      </c>
      <c r="U7" s="1027">
        <f>'3'!$G$79</f>
        <v>153</v>
      </c>
      <c r="V7" s="1027">
        <f>'3'!$G$80</f>
        <v>401.40000000002328</v>
      </c>
      <c r="W7" s="1027">
        <f>'3'!$G$81</f>
        <v>93.199999999953434</v>
      </c>
      <c r="X7" s="1027">
        <f>'3'!$G$82</f>
        <v>11.120000000009895</v>
      </c>
      <c r="Y7" s="1027">
        <f>'3'!$G$58</f>
        <v>232.05999999999767</v>
      </c>
      <c r="Z7" s="1027">
        <f>'3'!$G$83</f>
        <v>218</v>
      </c>
      <c r="AA7" s="1036">
        <f>'3'!G86</f>
        <v>33.919999999983702</v>
      </c>
      <c r="AB7" s="1036">
        <f>'1'!G87</f>
        <v>21</v>
      </c>
      <c r="AC7" s="1036">
        <f>'3'!G88</f>
        <v>24.660000000003492</v>
      </c>
      <c r="AD7" s="1036">
        <f>'3'!G89+'3'!G90</f>
        <v>11.400000000001455</v>
      </c>
      <c r="AE7" s="1027">
        <f>'3'!$G$62</f>
        <v>0</v>
      </c>
      <c r="AF7" s="1027">
        <f>'3'!$G$63</f>
        <v>0</v>
      </c>
      <c r="AG7" s="1027">
        <f>'3'!$G$64</f>
        <v>181.19000000000233</v>
      </c>
      <c r="AH7" s="1027">
        <f>'3'!$G$65</f>
        <v>177.63000000000466</v>
      </c>
      <c r="AI7" s="1027">
        <f>'3'!$G$66</f>
        <v>246.58000000000175</v>
      </c>
      <c r="AJ7" s="777">
        <f>'3'!$G$67</f>
        <v>308.92000000001281</v>
      </c>
      <c r="AK7" s="777">
        <f>'3'!$G$68</f>
        <v>0</v>
      </c>
      <c r="AL7" s="1027">
        <f>'3'!$G$69</f>
        <v>87.179999999993015</v>
      </c>
      <c r="AM7" s="1027">
        <f>'3'!$G$84</f>
        <v>756</v>
      </c>
      <c r="AN7" s="1027">
        <f>'3'!$G$15</f>
        <v>615.80400000000373</v>
      </c>
      <c r="AO7" s="1027">
        <f>'3'!$G$124</f>
        <v>178.45000000006985</v>
      </c>
      <c r="AP7" s="1027">
        <f>'3'!$G$125</f>
        <v>0</v>
      </c>
      <c r="AQ7" s="1027">
        <f>'3'!$G$126</f>
        <v>62.690000000002328</v>
      </c>
      <c r="AR7" s="1027">
        <f>'3'!$G$127</f>
        <v>0</v>
      </c>
      <c r="AS7" s="1027">
        <f>'3'!$G$128</f>
        <v>0</v>
      </c>
      <c r="AT7" s="1027">
        <f t="shared" si="0"/>
        <v>374.66399999993155</v>
      </c>
      <c r="AU7" s="1036">
        <f>SUM('3'!G140:G141)</f>
        <v>6.8099999999997181</v>
      </c>
      <c r="AV7" s="1027">
        <f>'3'!$G$137</f>
        <v>7</v>
      </c>
      <c r="AW7" s="1027">
        <f>'3'!$G$138</f>
        <v>-0.2999999999992724</v>
      </c>
      <c r="AX7" s="1027">
        <f>'3'!$G$139</f>
        <v>2.3500000000058208</v>
      </c>
      <c r="AY7" s="1037">
        <f t="shared" si="1"/>
        <v>9.0500000000065484</v>
      </c>
      <c r="AZ7" s="1032">
        <f t="shared" si="2"/>
        <v>26.204111600598715</v>
      </c>
    </row>
    <row r="8" spans="1:53">
      <c r="A8" s="1035">
        <v>43986</v>
      </c>
      <c r="B8" s="258">
        <f>'4'!G7</f>
        <v>16418.200000000012</v>
      </c>
      <c r="C8" s="258">
        <f>'4'!G8</f>
        <v>16478.789999999979</v>
      </c>
      <c r="D8" s="258">
        <f>'4'!G15</f>
        <v>302.90400000009686</v>
      </c>
      <c r="E8" s="258">
        <f>'4'!G20</f>
        <v>101</v>
      </c>
      <c r="F8" s="258">
        <f>SUM('4'!G35,'4'!G49)</f>
        <v>2421.5200000000186</v>
      </c>
      <c r="G8" s="258">
        <f>SUM('4'!G37,'4'!G51)</f>
        <v>1305.7000000000116</v>
      </c>
      <c r="H8" s="258">
        <f>SUM('4'!G38,'4'!G52)</f>
        <v>1089.3699999999953</v>
      </c>
      <c r="I8" s="258">
        <f>SUM('4'!G39,'4'!G53)</f>
        <v>2762.9400000000023</v>
      </c>
      <c r="J8" s="258">
        <f>SUM('4'!G41,'4'!G42,'4'!G55,'4'!G56)</f>
        <v>4466.5599999999395</v>
      </c>
      <c r="K8" s="258">
        <f>SUM('4'!G43,'4'!G57)</f>
        <v>2358.8000000000466</v>
      </c>
      <c r="L8" s="1036">
        <f>'4'!G50</f>
        <v>1026.2000000000116</v>
      </c>
      <c r="M8" s="1036">
        <f>'4'!G36</f>
        <v>520.79</v>
      </c>
      <c r="N8" s="1036">
        <f>'4'!G72</f>
        <v>12</v>
      </c>
      <c r="O8" s="1036">
        <f>'4'!$G$73</f>
        <v>0</v>
      </c>
      <c r="P8" s="1036">
        <f>'4'!$G$74</f>
        <v>0</v>
      </c>
      <c r="Q8" s="1036">
        <f>'4'!$G$74</f>
        <v>0</v>
      </c>
      <c r="R8" s="1036">
        <f>'4'!$G$76</f>
        <v>62.019999999999527</v>
      </c>
      <c r="S8" s="1036">
        <f>'4'!$G$77</f>
        <v>49</v>
      </c>
      <c r="T8" s="1036">
        <f>'4'!$G$78</f>
        <v>93</v>
      </c>
      <c r="U8" s="1036">
        <f>'4'!$G$79</f>
        <v>151</v>
      </c>
      <c r="V8" s="1027">
        <f>'4'!$G$80</f>
        <v>343.6600000000326</v>
      </c>
      <c r="W8" s="1027">
        <f>'4'!$G$81</f>
        <v>86.599999999976717</v>
      </c>
      <c r="X8" s="1036">
        <f>'4'!$G$82</f>
        <v>10.059999999997672</v>
      </c>
      <c r="Y8" s="1036">
        <f>'4'!$G$58</f>
        <v>3</v>
      </c>
      <c r="Z8" s="1036">
        <f>'4'!$G$83</f>
        <v>163</v>
      </c>
      <c r="AA8" s="1036">
        <f>'4'!G86</f>
        <v>28.540000000037253</v>
      </c>
      <c r="AB8" s="1036">
        <f>'4'!G87</f>
        <v>17.80000000000291</v>
      </c>
      <c r="AC8" s="1036">
        <f>'4'!G88</f>
        <v>74.770000000018626</v>
      </c>
      <c r="AD8" s="1036">
        <f>'4'!G89+'4'!G90</f>
        <v>10.100000000000364</v>
      </c>
      <c r="AE8" s="1036">
        <f>'4'!$G$62</f>
        <v>0</v>
      </c>
      <c r="AF8" s="1036">
        <f>'4'!$G$63</f>
        <v>0</v>
      </c>
      <c r="AG8" s="1036">
        <f>'4'!$G$64</f>
        <v>197.36999999999534</v>
      </c>
      <c r="AH8" s="1036">
        <f>'4'!$G$65</f>
        <v>184.45999999999185</v>
      </c>
      <c r="AI8" s="1036">
        <f>'4'!$G$66</f>
        <v>319.11000000000058</v>
      </c>
      <c r="AJ8" s="1036">
        <f>'4'!$G$67</f>
        <v>438.05999999999767</v>
      </c>
      <c r="AK8" s="1036">
        <f>'4'!$G$68</f>
        <v>0</v>
      </c>
      <c r="AL8" s="1036">
        <f>'4'!$G$69</f>
        <v>92.5</v>
      </c>
      <c r="AM8" s="1036">
        <f>'4'!$G$84</f>
        <v>790</v>
      </c>
      <c r="AN8" s="1036">
        <f>'4'!$G$15</f>
        <v>302.90400000009686</v>
      </c>
      <c r="AO8" s="1036">
        <f>'4'!$G$124</f>
        <v>179.52999999991152</v>
      </c>
      <c r="AP8" s="1036">
        <f>'4'!$G$125</f>
        <v>-0.39999999999417923</v>
      </c>
      <c r="AQ8" s="1036">
        <f>'4'!$G$126</f>
        <v>68.400000000023283</v>
      </c>
      <c r="AR8" s="1036">
        <f>'4'!$G$127</f>
        <v>0</v>
      </c>
      <c r="AS8" s="1036">
        <f>'4'!$G$128</f>
        <v>0</v>
      </c>
      <c r="AT8" s="1036">
        <f t="shared" si="0"/>
        <v>55.374000000156229</v>
      </c>
      <c r="AU8" s="1036">
        <f>SUM('4'!G140:G141)</f>
        <v>7.0399999999999636</v>
      </c>
      <c r="AV8" s="1036">
        <f>'4'!$G$137</f>
        <v>-7.9999999998108251E-2</v>
      </c>
      <c r="AW8" s="1036">
        <f>'4'!$G$138</f>
        <v>0.2999999999992724</v>
      </c>
      <c r="AX8" s="1036">
        <f>'4'!$G$139</f>
        <v>0</v>
      </c>
      <c r="AY8" s="1033">
        <f t="shared" si="1"/>
        <v>0.22000000000116415</v>
      </c>
      <c r="AZ8" s="1032">
        <f t="shared" si="2"/>
        <v>25.501420454533019</v>
      </c>
    </row>
    <row r="9" spans="1:53">
      <c r="A9" s="1035">
        <v>43987</v>
      </c>
      <c r="B9" s="258">
        <f>'5'!G7</f>
        <v>20003.640000000014</v>
      </c>
      <c r="C9" s="258">
        <f>'5'!G8</f>
        <v>20105.280000000028</v>
      </c>
      <c r="D9" s="258">
        <f>'5'!G15</f>
        <v>453.90200000000186</v>
      </c>
      <c r="E9" s="258">
        <f>'5'!G20</f>
        <v>102</v>
      </c>
      <c r="F9" s="258">
        <f>SUM('5'!G35,'5'!G49)</f>
        <v>2427.4400000000605</v>
      </c>
      <c r="G9" s="258">
        <f>SUM('5'!G37,'5'!G51)</f>
        <v>1382.5499999999884</v>
      </c>
      <c r="H9" s="258">
        <f>SUM('5'!G38,'5'!G52)</f>
        <v>1403.7799999999697</v>
      </c>
      <c r="I9" s="258">
        <f>SUM('5'!G39,'5'!G53)</f>
        <v>3287.4400000000023</v>
      </c>
      <c r="J9" s="258">
        <f>SUM('5'!G41,'5'!G42,'5'!G55,'5'!G56)</f>
        <v>5836.539999999979</v>
      </c>
      <c r="K9" s="258">
        <f>SUM('5'!G43,'5'!G57)</f>
        <v>2676.1999999999534</v>
      </c>
      <c r="L9" s="1036">
        <f>'5'!G50</f>
        <v>1410.5199999999604</v>
      </c>
      <c r="M9" s="1036">
        <f>'5'!G36</f>
        <v>927.5</v>
      </c>
      <c r="N9" s="1036">
        <f>'5'!G72</f>
        <v>13</v>
      </c>
      <c r="O9" s="1036">
        <f>'5'!$G$73</f>
        <v>2</v>
      </c>
      <c r="P9" s="1036">
        <f>'5'!$G$74</f>
        <v>0</v>
      </c>
      <c r="Q9" s="1047">
        <f>'5'!$G$75</f>
        <v>70.729999999999563</v>
      </c>
      <c r="R9" s="1036">
        <f>'5'!$G$76</f>
        <v>66.070000000000618</v>
      </c>
      <c r="S9" s="1027">
        <f>'5'!$G$77</f>
        <v>51</v>
      </c>
      <c r="T9" s="1046">
        <f>'5'!$G$78</f>
        <v>131</v>
      </c>
      <c r="U9" s="1046">
        <f>'5'!$G$79</f>
        <v>145</v>
      </c>
      <c r="V9" s="1039">
        <f>'5'!$G$80</f>
        <v>448.26000000000931</v>
      </c>
      <c r="W9" s="1046">
        <f>'5'!$G$81</f>
        <v>90.400000000023283</v>
      </c>
      <c r="X9" s="1036">
        <f>'5'!$G$82</f>
        <v>27.129999999990105</v>
      </c>
      <c r="Y9" s="1036">
        <f>'5'!$G$58</f>
        <v>107.81000000000495</v>
      </c>
      <c r="Z9" s="1036">
        <f>'5'!$G$83</f>
        <v>270</v>
      </c>
      <c r="AA9" s="1046">
        <f>'5'!G86</f>
        <v>31.459999999962747</v>
      </c>
      <c r="AB9" s="1036">
        <f>'5'!G87</f>
        <v>15</v>
      </c>
      <c r="AC9" s="1036">
        <f>'5'!G88</f>
        <v>27.269999999989523</v>
      </c>
      <c r="AD9" s="1036">
        <f>'5'!G89+'5'!G90</f>
        <v>18</v>
      </c>
      <c r="AE9" s="1036">
        <f>'5'!$G$62</f>
        <v>0</v>
      </c>
      <c r="AF9" s="1036">
        <f>'5'!$G$63</f>
        <v>0</v>
      </c>
      <c r="AG9" s="1036">
        <f>'5'!$G$64</f>
        <v>255.30999999999767</v>
      </c>
      <c r="AH9" s="1036">
        <f>'5'!$G$65</f>
        <v>343.46000000002095</v>
      </c>
      <c r="AI9" s="1036">
        <f>'5'!$G$66</f>
        <v>397.37000000000262</v>
      </c>
      <c r="AJ9" s="1036">
        <f>'5'!$G$67</f>
        <v>487.05999999999767</v>
      </c>
      <c r="AK9" s="1036">
        <f>'5'!$G$68</f>
        <v>0</v>
      </c>
      <c r="AL9" s="1036">
        <f>'5'!$G$69</f>
        <v>128.05000000000291</v>
      </c>
      <c r="AM9" s="1036">
        <f>'5'!$G$84</f>
        <v>877</v>
      </c>
      <c r="AN9" s="1046">
        <f>'5'!$G$15</f>
        <v>453.90200000000186</v>
      </c>
      <c r="AO9" s="1036">
        <f>'5'!$G$124</f>
        <v>181.65000000002328</v>
      </c>
      <c r="AP9" s="1036">
        <f>'5'!$G$125</f>
        <v>0</v>
      </c>
      <c r="AQ9" s="1036">
        <f>'5'!$G$126</f>
        <v>61.129999999975553</v>
      </c>
      <c r="AR9" s="1036">
        <f>'5'!$G$127</f>
        <v>2.8999999999978172</v>
      </c>
      <c r="AS9" s="1036">
        <f>'5'!$G$128</f>
        <v>0.19999999999890861</v>
      </c>
      <c r="AT9" s="1036">
        <f t="shared" si="0"/>
        <v>208.0220000000063</v>
      </c>
      <c r="AU9" s="1036">
        <f>SUM('5'!G140:G141)</f>
        <v>7.0999999999999091</v>
      </c>
      <c r="AV9" s="1036">
        <f>'5'!$G$137</f>
        <v>7.9999999998108251E-2</v>
      </c>
      <c r="AW9" s="1036">
        <f>'5'!$G$138</f>
        <v>0</v>
      </c>
      <c r="AX9" s="1036">
        <f>'5'!$G$139</f>
        <v>11.229999999995925</v>
      </c>
      <c r="AY9" s="1033">
        <f t="shared" si="1"/>
        <v>11.309999999994034</v>
      </c>
      <c r="AZ9" s="1032">
        <f t="shared" si="2"/>
        <v>25.58450704225713</v>
      </c>
    </row>
    <row r="10" spans="1:53">
      <c r="A10" s="1035">
        <v>43988</v>
      </c>
      <c r="B10" s="258">
        <f>'6'!G7</f>
        <v>18334.27999999997</v>
      </c>
      <c r="C10" s="258">
        <f>'6'!G8</f>
        <v>18422.639999999956</v>
      </c>
      <c r="D10" s="258">
        <f>'6'!G15</f>
        <v>556.86999999987893</v>
      </c>
      <c r="E10" s="258">
        <f>'6'!G20</f>
        <v>175</v>
      </c>
      <c r="F10" s="258">
        <f>SUM('6'!G35,'6'!G49)</f>
        <v>2676.4000000000233</v>
      </c>
      <c r="G10" s="258">
        <f>SUM('6'!G37,'6'!G51)</f>
        <v>1373</v>
      </c>
      <c r="H10" s="258">
        <f>SUM('6'!G38,'6'!G52)</f>
        <v>1420.2099999999919</v>
      </c>
      <c r="I10" s="258">
        <f>SUM('6'!G39,'6'!G53)</f>
        <v>3169.640000000014</v>
      </c>
      <c r="J10" s="258">
        <f>SUM('6'!G41,'6'!G42,'6'!G55,'6'!G56)</f>
        <v>5049.8000000000466</v>
      </c>
      <c r="K10" s="258">
        <f>SUM('6'!G43,'6'!G57)</f>
        <v>2410.1000000000931</v>
      </c>
      <c r="L10" s="1036">
        <f>'6'!G50</f>
        <v>1017.0400000000373</v>
      </c>
      <c r="M10" s="1036">
        <f>'6'!G36</f>
        <v>502.36000000000013</v>
      </c>
      <c r="N10" s="1036">
        <f>'6'!G72</f>
        <v>13</v>
      </c>
      <c r="O10" s="1036">
        <f>'6'!$G$73</f>
        <v>1</v>
      </c>
      <c r="P10" s="1036">
        <f>'6'!$G$74</f>
        <v>0</v>
      </c>
      <c r="Q10" s="1036">
        <f>'6'!$G$75</f>
        <v>81.81000000000131</v>
      </c>
      <c r="R10" s="1036">
        <f>'6'!$G$76</f>
        <v>59.739999999999782</v>
      </c>
      <c r="S10" s="1036">
        <f>'6'!$G$77</f>
        <v>54</v>
      </c>
      <c r="T10" s="1027">
        <f>'6'!$G$78</f>
        <v>135</v>
      </c>
      <c r="U10" s="1027">
        <f>'6'!$G$79</f>
        <v>166</v>
      </c>
      <c r="V10" s="1027">
        <f>'6'!$G$80</f>
        <v>421.47999999998137</v>
      </c>
      <c r="W10" s="1027">
        <f>'6'!$G$81</f>
        <v>91.07999999995809</v>
      </c>
      <c r="X10" s="1027">
        <f>'6'!$G$82</f>
        <v>11.840000000011059</v>
      </c>
      <c r="Y10" s="1027">
        <f>'6'!$G$58</f>
        <v>161.5199999999968</v>
      </c>
      <c r="Z10" s="1027">
        <f>'6'!$G$83</f>
        <v>300</v>
      </c>
      <c r="AA10" s="1027">
        <f>'6'!G86</f>
        <v>30.92000000004191</v>
      </c>
      <c r="AB10" s="1027">
        <f>'6'!G87</f>
        <v>11</v>
      </c>
      <c r="AC10" s="1027">
        <f>'6'!G88</f>
        <v>115.45999999999185</v>
      </c>
      <c r="AD10" s="1027">
        <f>'6'!G89+'6'!G90</f>
        <v>16.900000000001455</v>
      </c>
      <c r="AE10" s="1036">
        <f>'6'!$G$62</f>
        <v>0</v>
      </c>
      <c r="AF10" s="1036">
        <f>'6'!$G$63</f>
        <v>0</v>
      </c>
      <c r="AG10" s="1036">
        <f>'6'!$G$64</f>
        <v>290.86999999999534</v>
      </c>
      <c r="AH10" s="1036">
        <f>'6'!$G$65</f>
        <v>292.22999999998137</v>
      </c>
      <c r="AI10" s="1036">
        <f>'6'!$G$66</f>
        <v>388.47000000000116</v>
      </c>
      <c r="AJ10" s="1036">
        <f>'6'!$G$67</f>
        <v>457.67999999999302</v>
      </c>
      <c r="AK10" s="1036">
        <f>'6'!$G$68</f>
        <v>0</v>
      </c>
      <c r="AL10" s="1036">
        <f>'6'!$G$69</f>
        <v>155.15000000000873</v>
      </c>
      <c r="AM10" s="1036">
        <f>'6'!$G$84</f>
        <v>918</v>
      </c>
      <c r="AN10" s="1036">
        <f>'6'!$G$15</f>
        <v>556.86999999987893</v>
      </c>
      <c r="AO10" s="1074">
        <f>'6'!$G$124</f>
        <v>189.30000000004657</v>
      </c>
      <c r="AP10" s="1036">
        <f>'6'!$G$125</f>
        <v>0.39999999999417923</v>
      </c>
      <c r="AQ10" s="1036">
        <f>'6'!$G$126</f>
        <v>71.570000000006985</v>
      </c>
      <c r="AR10" s="1036">
        <f>'6'!$G$127</f>
        <v>0</v>
      </c>
      <c r="AS10" s="1036">
        <f>'6'!$G$128</f>
        <v>0</v>
      </c>
      <c r="AT10" s="1036">
        <f t="shared" si="0"/>
        <v>295.5999999998312</v>
      </c>
      <c r="AU10" s="1036">
        <f>SUM('6'!G140:G141)</f>
        <v>7.3900000000001</v>
      </c>
      <c r="AV10" s="1036">
        <f>'6'!$G$137</f>
        <v>4.9799999999995634</v>
      </c>
      <c r="AW10" s="1036">
        <f>'6'!$G$138</f>
        <v>0</v>
      </c>
      <c r="AX10" s="1036">
        <f>'6'!$G$139</f>
        <v>0</v>
      </c>
      <c r="AY10" s="1033">
        <f t="shared" si="1"/>
        <v>4.9799999999995634</v>
      </c>
    </row>
    <row r="11" spans="1:53">
      <c r="A11" s="1035">
        <v>43989</v>
      </c>
      <c r="B11" s="258">
        <f>'7'!G7</f>
        <v>17237.040000000037</v>
      </c>
      <c r="C11" s="258">
        <f>'7'!G8</f>
        <v>17315.960000000021</v>
      </c>
      <c r="D11" s="258">
        <f>'7'!G15</f>
        <v>563.6500000001397</v>
      </c>
      <c r="E11" s="258">
        <f>'7'!G20</f>
        <v>122</v>
      </c>
      <c r="F11" s="258">
        <f>SUM('7'!G35,'7'!G49)</f>
        <v>2464.9599999999627</v>
      </c>
      <c r="G11" s="258">
        <f>SUM('7'!G37,'7'!G51)</f>
        <v>1289.6199999999953</v>
      </c>
      <c r="H11" s="258">
        <f>SUM('7'!G38,'7'!G52)</f>
        <v>1221.3999999999942</v>
      </c>
      <c r="I11" s="258">
        <f>SUM('7'!G39,'7'!G53)</f>
        <v>2961.6600000000326</v>
      </c>
      <c r="J11" s="258">
        <f>SUM('7'!G41,'7'!G42,'7'!G55,'7'!G56)</f>
        <v>4822.7399999999616</v>
      </c>
      <c r="K11" s="258">
        <f>SUM('7'!G43,'7'!G57)</f>
        <v>2436.8999999999069</v>
      </c>
      <c r="L11" s="1036">
        <f>'7'!G50</f>
        <v>844.47999999998137</v>
      </c>
      <c r="M11" s="1036">
        <f>'7'!G36</f>
        <v>523.92999999999984</v>
      </c>
      <c r="N11" s="1036">
        <f>'7'!G72</f>
        <v>17</v>
      </c>
      <c r="O11" s="1036">
        <f>'7'!$G$73</f>
        <v>1</v>
      </c>
      <c r="P11" s="1036">
        <f>'7'!$G$74</f>
        <v>0</v>
      </c>
      <c r="Q11" s="1036">
        <f>'7'!$G$75</f>
        <v>77.979999999999563</v>
      </c>
      <c r="R11" s="1036">
        <f>'7'!$G$76</f>
        <v>60.539999999999964</v>
      </c>
      <c r="S11" s="1036">
        <f>'7'!$G$77</f>
        <v>46</v>
      </c>
      <c r="T11" s="1027">
        <f>'7'!$G$78</f>
        <v>99</v>
      </c>
      <c r="U11" s="1027">
        <f>'7'!$G$79</f>
        <v>140</v>
      </c>
      <c r="V11" s="1027">
        <f>'7'!$G$80</f>
        <v>333.95999999996275</v>
      </c>
      <c r="W11" s="1027">
        <f>'7'!$G$81</f>
        <v>90.680000000051223</v>
      </c>
      <c r="X11" s="1027">
        <f>'7'!$G$82</f>
        <v>11.119999999995343</v>
      </c>
      <c r="Y11" s="1027">
        <f>'7'!$G$58</f>
        <v>246.15000000000146</v>
      </c>
      <c r="Z11" s="1039">
        <f>'7'!$G$83</f>
        <v>182</v>
      </c>
      <c r="AA11" s="1062">
        <f>'7'!G86</f>
        <v>27.35999999998603</v>
      </c>
      <c r="AB11" s="1027">
        <f>'7'!G87</f>
        <v>22.5</v>
      </c>
      <c r="AC11" s="1027">
        <f>'7'!G88</f>
        <v>23.010000000009313</v>
      </c>
      <c r="AD11" s="1027">
        <f>'7'!G89+'7'!G90</f>
        <v>35.399999999995543</v>
      </c>
      <c r="AE11" s="1036">
        <f>'7'!$G$62</f>
        <v>0</v>
      </c>
      <c r="AF11" s="1036">
        <f>'7'!$G$63</f>
        <v>0</v>
      </c>
      <c r="AG11" s="1036">
        <f>'7'!$G$64</f>
        <v>363.02000000001863</v>
      </c>
      <c r="AH11" s="1036">
        <f>'7'!$G$65</f>
        <v>212.49000000001979</v>
      </c>
      <c r="AI11" s="1036">
        <f>'7'!$G$66</f>
        <v>386.30999999999767</v>
      </c>
      <c r="AJ11" s="1036">
        <f>'7'!$G$67</f>
        <v>374.34000000002561</v>
      </c>
      <c r="AK11" s="1039">
        <f>'7'!$G$68</f>
        <v>0</v>
      </c>
      <c r="AL11" s="1036">
        <f>'7'!$G$69</f>
        <v>122.19999999999709</v>
      </c>
      <c r="AM11" s="1036">
        <f>'7'!$G$84</f>
        <v>763</v>
      </c>
      <c r="AN11" s="1036">
        <f>'7'!$G$15</f>
        <v>563.6500000001397</v>
      </c>
      <c r="AO11" s="1074">
        <f>'7'!$G$124</f>
        <v>182.21999999997206</v>
      </c>
      <c r="AP11" s="1036">
        <f>'7'!$G$125</f>
        <v>-0.39999999999417923</v>
      </c>
      <c r="AQ11" s="1036">
        <f>'7'!$G$126</f>
        <v>49.880000000004657</v>
      </c>
      <c r="AR11" s="1036">
        <f>'7'!$G$127</f>
        <v>-9.9999999998544808E-2</v>
      </c>
      <c r="AS11" s="1036">
        <f>'7'!$G$128</f>
        <v>0</v>
      </c>
      <c r="AT11" s="1036">
        <f t="shared" si="0"/>
        <v>332.05000000015571</v>
      </c>
      <c r="AU11" s="1036">
        <f>SUM('7'!G140:G141)</f>
        <v>6.5899999999999181</v>
      </c>
      <c r="AV11" s="1036">
        <f>'7'!$G$137</f>
        <v>6.4500000000007276</v>
      </c>
      <c r="AW11" s="1036">
        <f>'7'!$G$138</f>
        <v>0</v>
      </c>
      <c r="AX11" s="1036">
        <f>'7'!$G$139</f>
        <v>1.7099999999918509</v>
      </c>
      <c r="AY11" s="1033">
        <f t="shared" si="1"/>
        <v>8.1599999999925785</v>
      </c>
    </row>
    <row r="12" spans="1:53">
      <c r="A12" s="1035">
        <v>43990</v>
      </c>
      <c r="B12" s="258">
        <f>'8'!G7</f>
        <v>17225.719999999972</v>
      </c>
      <c r="C12" s="258">
        <f>'8'!G8</f>
        <v>17288.559999999998</v>
      </c>
      <c r="D12" s="258">
        <f>'8'!G15</f>
        <v>406.11999999987893</v>
      </c>
      <c r="E12" s="258">
        <f>'8'!G20</f>
        <v>159</v>
      </c>
      <c r="F12" s="258">
        <f>SUM('8'!G35,'8'!G49)</f>
        <v>2459.6799999999348</v>
      </c>
      <c r="G12" s="258">
        <f>SUM('8'!G37,'8'!G51)</f>
        <v>1347.640000000014</v>
      </c>
      <c r="H12" s="258">
        <f>SUM('8'!G38,'8'!G52)</f>
        <v>1148.8699999999953</v>
      </c>
      <c r="I12" s="258">
        <f>SUM('8'!G39,'8'!G53)</f>
        <v>2920.1999999999534</v>
      </c>
      <c r="J12" s="258">
        <f>SUM('8'!G41,'8'!G42,'8'!G55,'8'!G56)</f>
        <v>5104.1400000000431</v>
      </c>
      <c r="K12" s="258">
        <f>SUM('8'!G43,'8'!G57)</f>
        <v>2446.8000000000466</v>
      </c>
      <c r="L12" s="1036">
        <f>'8'!G50</f>
        <v>832.40000000002328</v>
      </c>
      <c r="M12" s="1036">
        <f>'8'!G36</f>
        <v>596.12000000000035</v>
      </c>
      <c r="N12" s="1036">
        <f>'8'!G72</f>
        <v>11</v>
      </c>
      <c r="O12" s="1036">
        <f>'8'!$G$73</f>
        <v>1</v>
      </c>
      <c r="P12" s="1036">
        <f>'8'!$G$74</f>
        <v>0</v>
      </c>
      <c r="Q12" s="1036">
        <f>'8'!$G$75</f>
        <v>59.690000000000509</v>
      </c>
      <c r="R12" s="1036">
        <f>'8'!$G$76</f>
        <v>54.649999999999636</v>
      </c>
      <c r="S12" s="1036">
        <f>'8'!$G$77</f>
        <v>51</v>
      </c>
      <c r="T12" s="1027">
        <f>'8'!$G$78</f>
        <v>57</v>
      </c>
      <c r="U12" s="1027">
        <f>'8'!$G$79</f>
        <v>136</v>
      </c>
      <c r="V12" s="1027">
        <f>'8'!$G$80</f>
        <v>332</v>
      </c>
      <c r="W12" s="1027">
        <f>'8'!$G$81</f>
        <v>188</v>
      </c>
      <c r="X12" s="1027">
        <f>'8'!$G$82</f>
        <v>25.600000000005821</v>
      </c>
      <c r="Y12" s="1027">
        <f>'8'!$G$58</f>
        <v>81.25</v>
      </c>
      <c r="Z12" s="1027">
        <f>'8'!$G$83</f>
        <v>165</v>
      </c>
      <c r="AA12" s="1027">
        <f>'8'!G86</f>
        <v>33</v>
      </c>
      <c r="AB12" s="1027">
        <f>'8'!G87</f>
        <v>35</v>
      </c>
      <c r="AC12" s="1027">
        <f>'8'!G88</f>
        <v>26</v>
      </c>
      <c r="AD12" s="1027">
        <f>'8'!G89+'8'!G90</f>
        <v>20.700000000003001</v>
      </c>
      <c r="AE12" s="1036">
        <f>'8'!$G$62</f>
        <v>0</v>
      </c>
      <c r="AF12" s="1036">
        <f>'8'!$G$63</f>
        <v>0</v>
      </c>
      <c r="AG12" s="1036">
        <f>'8'!$G$64</f>
        <v>338.02999999999884</v>
      </c>
      <c r="AH12" s="1036">
        <f>'8'!$G$65</f>
        <v>197.34999999997672</v>
      </c>
      <c r="AI12" s="1036">
        <f>'8'!$G$66</f>
        <v>407.66999999999825</v>
      </c>
      <c r="AJ12" s="1036">
        <f>'8'!$G$67</f>
        <v>365.69999999998254</v>
      </c>
      <c r="AK12" s="1036">
        <f>'8'!$G$68</f>
        <v>0</v>
      </c>
      <c r="AL12" s="1036">
        <f>'8'!$G$69</f>
        <v>102.47000000000116</v>
      </c>
      <c r="AM12" s="1036">
        <f>'8'!$G$84</f>
        <v>696</v>
      </c>
      <c r="AN12" s="1036">
        <f>'8'!$G$15</f>
        <v>406.11999999987893</v>
      </c>
      <c r="AO12" s="1036">
        <f>'8'!$G$124</f>
        <v>178.89000000001397</v>
      </c>
      <c r="AP12" s="1036">
        <f>'8'!$G$125</f>
        <v>0.39999999999417923</v>
      </c>
      <c r="AQ12" s="1036">
        <f>'8'!$G$126</f>
        <v>58</v>
      </c>
      <c r="AR12" s="1036">
        <f>'8'!$G$127</f>
        <v>0</v>
      </c>
      <c r="AS12" s="1036">
        <f>'8'!$G$128</f>
        <v>0.1000000000003638</v>
      </c>
      <c r="AT12" s="1036">
        <f t="shared" si="0"/>
        <v>168.72999999987042</v>
      </c>
      <c r="AU12" s="1036">
        <f>SUM('8'!G140:G141)</f>
        <v>7.3400000000001455</v>
      </c>
      <c r="AV12" s="1036">
        <f>'8'!$G$137</f>
        <v>0</v>
      </c>
      <c r="AW12" s="1036">
        <f>'8'!$G$138</f>
        <v>0</v>
      </c>
      <c r="AX12" s="1036">
        <f>'8'!$G$139</f>
        <v>9.2300000000104774</v>
      </c>
      <c r="AY12" s="1033">
        <f t="shared" si="1"/>
        <v>9.2300000000104774</v>
      </c>
    </row>
    <row r="13" spans="1:53">
      <c r="A13" s="1035">
        <v>43991</v>
      </c>
      <c r="B13" s="258">
        <f>'9'!G7</f>
        <v>16842.25</v>
      </c>
      <c r="C13" s="258">
        <f>'9'!G8</f>
        <v>16891.690000000002</v>
      </c>
      <c r="D13" s="258">
        <f>'9'!G15</f>
        <v>345.05000000004657</v>
      </c>
      <c r="E13" s="258">
        <f>'9'!G20</f>
        <v>78</v>
      </c>
      <c r="F13" s="258">
        <f>SUM('9'!G35,'9'!G49)</f>
        <v>2245.8100000000559</v>
      </c>
      <c r="G13" s="258">
        <f>SUM('9'!G37,'9'!G51)</f>
        <v>1379.7399999999907</v>
      </c>
      <c r="H13" s="258">
        <f>SUM('9'!G38,'9'!G52)</f>
        <v>1004.8500000000058</v>
      </c>
      <c r="I13" s="258">
        <f>SUM('9'!G39,'9'!G53)</f>
        <v>3069.710000000021</v>
      </c>
      <c r="J13" s="258">
        <f>SUM('9'!G41,'9'!G42,'9'!G55,'9'!G56)</f>
        <v>4917.2599999999802</v>
      </c>
      <c r="K13" s="258">
        <f>SUM('9'!G43,'9'!G57)</f>
        <v>2440.5</v>
      </c>
      <c r="L13" s="1036">
        <f>'9'!G50</f>
        <v>877.40999999997439</v>
      </c>
      <c r="M13" s="1036">
        <f>'9'!G36</f>
        <v>614.81999999999971</v>
      </c>
      <c r="N13" s="1036">
        <f>'9'!G72</f>
        <v>12</v>
      </c>
      <c r="O13" s="1036">
        <f>'9'!$G$73</f>
        <v>1</v>
      </c>
      <c r="P13" s="1036">
        <f>'9'!$G$74</f>
        <v>0</v>
      </c>
      <c r="Q13" s="1036">
        <f>'9'!$G$75</f>
        <v>59.6299999999992</v>
      </c>
      <c r="R13" s="1036">
        <f>'9'!$G$76</f>
        <v>59.350000000000364</v>
      </c>
      <c r="S13" s="1036">
        <f>'9'!$G$77</f>
        <v>50</v>
      </c>
      <c r="T13" s="1027">
        <f>'9'!$G$78</f>
        <v>53</v>
      </c>
      <c r="U13" s="1027">
        <f>'9'!$G$79</f>
        <v>147</v>
      </c>
      <c r="V13" s="1027">
        <f>'9'!$G$80</f>
        <v>322</v>
      </c>
      <c r="W13" s="1027">
        <f>'9'!$G$81</f>
        <v>176</v>
      </c>
      <c r="X13" s="1027">
        <f>'9'!$G$82</f>
        <v>10.399999999994179</v>
      </c>
      <c r="Y13" s="1027">
        <f>'9'!$G$58</f>
        <v>0</v>
      </c>
      <c r="Z13" s="1027">
        <f>'9'!$G$83</f>
        <v>175</v>
      </c>
      <c r="AA13" s="1027">
        <f>'9'!G86</f>
        <v>32</v>
      </c>
      <c r="AB13" s="1027">
        <f>'9'!G87</f>
        <v>17.19999999999709</v>
      </c>
      <c r="AC13" s="1027">
        <f>'9'!G88</f>
        <v>33</v>
      </c>
      <c r="AD13" s="1027">
        <f>'9'!G89+'9'!H90</f>
        <v>22.199999999998454</v>
      </c>
      <c r="AE13" s="1036">
        <f>'9'!$G$62</f>
        <v>0</v>
      </c>
      <c r="AF13" s="1036">
        <f>'9'!$G$63</f>
        <v>0</v>
      </c>
      <c r="AG13" s="1036">
        <f>'9'!$G$64</f>
        <v>357.32999999998719</v>
      </c>
      <c r="AH13" s="1046">
        <f>'9'!$G$65</f>
        <v>234.70000000001164</v>
      </c>
      <c r="AI13" s="1046">
        <f>'9'!$G$66</f>
        <v>419.36000000000058</v>
      </c>
      <c r="AJ13" s="1036">
        <f>'9'!$G$67</f>
        <v>394.63000000000466</v>
      </c>
      <c r="AK13" s="1036">
        <f>'9'!$G$68</f>
        <v>0</v>
      </c>
      <c r="AL13" s="1036">
        <f>'9'!$G$69</f>
        <v>125.19999999999709</v>
      </c>
      <c r="AM13" s="1036">
        <f>'9'!$G$84</f>
        <v>558</v>
      </c>
      <c r="AN13" s="1036">
        <f>'9'!$G$15</f>
        <v>345.05000000004657</v>
      </c>
      <c r="AO13" s="1036">
        <f>'9'!$G$124</f>
        <v>206.10999999998603</v>
      </c>
      <c r="AP13" s="1036">
        <f>'9'!$G$125</f>
        <v>0</v>
      </c>
      <c r="AQ13" s="1036">
        <f>'9'!$G$126</f>
        <v>75</v>
      </c>
      <c r="AR13" s="1036">
        <f>'9'!$G$127</f>
        <v>0</v>
      </c>
      <c r="AS13" s="1036">
        <f>'9'!$G$128</f>
        <v>0</v>
      </c>
      <c r="AT13" s="1036">
        <f t="shared" si="0"/>
        <v>63.940000000060536</v>
      </c>
      <c r="AU13" s="1036">
        <f>SUM('9'!G140:G141)</f>
        <v>7.7599999999999909</v>
      </c>
      <c r="AV13" s="1036">
        <f>'9'!$G$137</f>
        <v>0</v>
      </c>
      <c r="AW13" s="1036">
        <f>'9'!$G$138</f>
        <v>0</v>
      </c>
      <c r="AX13" s="1036">
        <f>'9'!$G$139</f>
        <v>2</v>
      </c>
      <c r="AY13" s="1033">
        <f t="shared" si="1"/>
        <v>2</v>
      </c>
    </row>
    <row r="14" spans="1:53">
      <c r="A14" s="1035">
        <v>43992</v>
      </c>
      <c r="B14" s="258">
        <f>'10'!G7</f>
        <v>17057</v>
      </c>
      <c r="C14" s="258">
        <f>'10'!G8</f>
        <v>17110</v>
      </c>
      <c r="D14" s="258">
        <f>'10'!G15</f>
        <v>665</v>
      </c>
      <c r="E14" s="258">
        <f>'10'!G20</f>
        <v>86</v>
      </c>
      <c r="F14" s="258">
        <f>SUM('10'!G35,'10'!G49)</f>
        <v>2172</v>
      </c>
      <c r="G14" s="258">
        <f>SUM('10'!G37,'10'!G51)</f>
        <v>1349</v>
      </c>
      <c r="H14" s="258">
        <f>SUM('10'!G38,'10'!G52)</f>
        <v>1210</v>
      </c>
      <c r="I14" s="258">
        <f>SUM('10'!G39,'10'!G53)</f>
        <v>3175.3300000000163</v>
      </c>
      <c r="J14" s="258">
        <f>SUM('10'!G41,'10'!G42,'10'!G55,'10'!G56)</f>
        <v>4704.3899999999994</v>
      </c>
      <c r="K14" s="258">
        <f>SUM('10'!G43,'10'!G57)</f>
        <v>2439</v>
      </c>
      <c r="L14" s="1036">
        <f>'10'!G50</f>
        <v>890</v>
      </c>
      <c r="M14" s="1036">
        <f>'10'!G36</f>
        <v>564</v>
      </c>
      <c r="N14" s="1036">
        <f>'10'!G72</f>
        <v>13</v>
      </c>
      <c r="O14" s="1036">
        <f>'10'!$G$73</f>
        <v>1</v>
      </c>
      <c r="P14" s="1036">
        <f>'10'!$G$74</f>
        <v>0</v>
      </c>
      <c r="Q14" s="1036">
        <f>'10'!$G$75</f>
        <v>57</v>
      </c>
      <c r="R14" s="1036">
        <f>'10'!$G$76</f>
        <v>55</v>
      </c>
      <c r="S14" s="1036">
        <f>'10'!$G$77</f>
        <v>51</v>
      </c>
      <c r="T14" s="1027">
        <f>'10'!$G$78</f>
        <v>52</v>
      </c>
      <c r="U14" s="1027">
        <f>'10'!$G$79</f>
        <v>132</v>
      </c>
      <c r="V14" s="1040">
        <f>'10'!$G$80</f>
        <v>371</v>
      </c>
      <c r="W14" s="1040">
        <f>'10'!$G$81</f>
        <v>102</v>
      </c>
      <c r="X14" s="1027">
        <f>'10'!$G$82</f>
        <v>11</v>
      </c>
      <c r="Y14" s="1027">
        <f>'10'!$G$58</f>
        <v>239.20999999999913</v>
      </c>
      <c r="Z14" s="1027">
        <f>'10'!$G$83</f>
        <v>232</v>
      </c>
      <c r="AA14" s="1027">
        <f>'10'!G86</f>
        <v>30</v>
      </c>
      <c r="AB14" s="1027">
        <f>'10'!G87</f>
        <v>26</v>
      </c>
      <c r="AC14" s="1027">
        <f>'10'!G88</f>
        <v>29</v>
      </c>
      <c r="AD14" s="1027">
        <f>'10'!G87+'10'!H90</f>
        <v>34.599999999999909</v>
      </c>
      <c r="AE14" s="1036">
        <f>'10'!$G$62</f>
        <v>0</v>
      </c>
      <c r="AF14" s="1036">
        <f>'10'!$G$63</f>
        <v>0</v>
      </c>
      <c r="AG14" s="1036">
        <f>'10'!$G$64</f>
        <v>352</v>
      </c>
      <c r="AH14" s="1036">
        <f>'10'!$G$65</f>
        <v>266</v>
      </c>
      <c r="AI14" s="1036">
        <f>'10'!$G$66</f>
        <v>415</v>
      </c>
      <c r="AJ14" s="1036">
        <f>'10'!$G$67</f>
        <v>377</v>
      </c>
      <c r="AK14" s="1036">
        <f>'10'!$G$68</f>
        <v>0</v>
      </c>
      <c r="AL14" s="1036">
        <f>'10'!$G$69</f>
        <v>170</v>
      </c>
      <c r="AM14" s="1036">
        <f>'10'!$G$84</f>
        <v>592</v>
      </c>
      <c r="AN14" s="1036">
        <f>'10'!$G$15</f>
        <v>665</v>
      </c>
      <c r="AO14" s="1036">
        <f>'10'!$G$124</f>
        <v>211</v>
      </c>
      <c r="AP14" s="1036">
        <f>'10'!$G$125</f>
        <v>0</v>
      </c>
      <c r="AQ14" s="1036">
        <f>'10'!$G$126</f>
        <v>66</v>
      </c>
      <c r="AR14" s="1036">
        <f>'10'!$G$127</f>
        <v>0</v>
      </c>
      <c r="AS14" s="1036">
        <f>'10'!$G$128</f>
        <v>0</v>
      </c>
      <c r="AT14" s="1036">
        <f t="shared" si="0"/>
        <v>388</v>
      </c>
      <c r="AU14" s="1036">
        <f>SUM('10'!G140:G141)</f>
        <v>7.9000000000000909</v>
      </c>
      <c r="AV14" s="1036">
        <f>'10'!$G$137</f>
        <v>7.7999999999992724</v>
      </c>
      <c r="AW14" s="1036">
        <f>'10'!$G$138</f>
        <v>0</v>
      </c>
      <c r="AX14" s="1036">
        <f>'10'!$G$139</f>
        <v>0</v>
      </c>
      <c r="AY14" s="1033">
        <f t="shared" si="1"/>
        <v>7.7999999999992724</v>
      </c>
    </row>
    <row r="15" spans="1:53">
      <c r="A15" s="1035">
        <v>43993</v>
      </c>
      <c r="B15" s="258">
        <f>'11'!G7</f>
        <v>17131</v>
      </c>
      <c r="C15" s="258">
        <f>'11'!G8</f>
        <v>17188</v>
      </c>
      <c r="D15" s="258">
        <f>'11'!G15</f>
        <v>498</v>
      </c>
      <c r="E15" s="258">
        <f>'11'!G20</f>
        <v>103</v>
      </c>
      <c r="F15" s="258">
        <f>SUM('11'!G35,'11'!G49)</f>
        <v>2190</v>
      </c>
      <c r="G15" s="258">
        <f>SUM('11'!G37,'11'!G51)</f>
        <v>1386</v>
      </c>
      <c r="H15" s="258">
        <f>SUM('11'!G38,'11'!G52)</f>
        <v>1184</v>
      </c>
      <c r="I15" s="258">
        <f>SUM('11'!G39,'11'!G53)</f>
        <v>3233</v>
      </c>
      <c r="J15" s="258">
        <f>SUM('11'!G41,'11'!G42,'11'!G55,'11'!G56)</f>
        <v>4819</v>
      </c>
      <c r="K15" s="258">
        <f>SUM('11'!G43,'11'!G57)</f>
        <v>2435</v>
      </c>
      <c r="L15" s="1036">
        <f>'11'!G50</f>
        <v>897</v>
      </c>
      <c r="M15" s="1036">
        <f>'11'!G36</f>
        <v>578</v>
      </c>
      <c r="N15" s="1036">
        <f>'11'!G72</f>
        <v>14</v>
      </c>
      <c r="O15" s="1036">
        <f>'11'!$G$73</f>
        <v>1</v>
      </c>
      <c r="P15" s="1036">
        <f>'11'!$G$74</f>
        <v>0</v>
      </c>
      <c r="Q15" s="1036">
        <f>'11'!$G$75</f>
        <v>76</v>
      </c>
      <c r="R15" s="1036">
        <f>'11'!$G$76</f>
        <v>59</v>
      </c>
      <c r="S15" s="1036">
        <f>'11'!$G$77</f>
        <v>51</v>
      </c>
      <c r="T15" s="1027">
        <f>'11'!$G$78</f>
        <v>47</v>
      </c>
      <c r="U15" s="1027">
        <f>'11'!$G$79</f>
        <v>138</v>
      </c>
      <c r="V15" s="1027">
        <f>'11'!$G$80</f>
        <v>324</v>
      </c>
      <c r="W15" s="1027">
        <f>'11'!$G$81</f>
        <v>108</v>
      </c>
      <c r="X15" s="1027">
        <f>'11'!$G$82</f>
        <v>25</v>
      </c>
      <c r="Y15" s="1027">
        <f>'11'!$G$58</f>
        <v>97</v>
      </c>
      <c r="Z15" s="1027">
        <f>'11'!$G$83</f>
        <v>176</v>
      </c>
      <c r="AA15" s="1027">
        <f>'11'!G86</f>
        <v>28</v>
      </c>
      <c r="AB15" s="1027">
        <f>'11'!G87</f>
        <v>19.600000000005821</v>
      </c>
      <c r="AC15" s="1027">
        <f>'11'!G88</f>
        <v>24</v>
      </c>
      <c r="AD15" s="1027">
        <f>'11'!G87+'11'!H90</f>
        <v>22.600000000005821</v>
      </c>
      <c r="AE15" s="1036">
        <f>'11'!$G$62</f>
        <v>0</v>
      </c>
      <c r="AF15" s="1036">
        <f>'11'!$G$63</f>
        <v>0</v>
      </c>
      <c r="AG15" s="1036">
        <f>'11'!$G$64</f>
        <v>353</v>
      </c>
      <c r="AH15" s="1036">
        <f>'11'!$G$65</f>
        <v>270</v>
      </c>
      <c r="AI15" s="1036">
        <f>'11'!$G$66</f>
        <v>420</v>
      </c>
      <c r="AJ15" s="1036">
        <f>'11'!$G$67</f>
        <v>426</v>
      </c>
      <c r="AK15" s="1036">
        <f>'11'!$G$68</f>
        <v>0</v>
      </c>
      <c r="AL15" s="1036">
        <f>'11'!$G$69</f>
        <v>152</v>
      </c>
      <c r="AM15" s="1036">
        <f>'11'!$G$84</f>
        <v>564</v>
      </c>
      <c r="AN15" s="1036">
        <f>'11'!$G$15</f>
        <v>498</v>
      </c>
      <c r="AO15" s="1036">
        <f>'11'!$G$124</f>
        <v>230</v>
      </c>
      <c r="AP15" s="1036">
        <f>'11'!$G$125</f>
        <v>0</v>
      </c>
      <c r="AQ15" s="1036">
        <f>'11'!$G$126</f>
        <v>66</v>
      </c>
      <c r="AR15" s="1036">
        <f>'11'!$G$127</f>
        <v>0</v>
      </c>
      <c r="AS15" s="1036">
        <f>'11'!$G$128</f>
        <v>0</v>
      </c>
      <c r="AT15" s="1036">
        <f t="shared" si="0"/>
        <v>202</v>
      </c>
      <c r="AU15" s="1036">
        <f>SUM('11'!G140:G141)</f>
        <v>8.5999999999999091</v>
      </c>
      <c r="AV15" s="1036">
        <f>'11'!$G$137</f>
        <v>0</v>
      </c>
      <c r="AW15" s="1036">
        <f>'11'!$G$138</f>
        <v>0</v>
      </c>
      <c r="AX15" s="1036">
        <f>'11'!$G$139</f>
        <v>7.5899999999965075</v>
      </c>
      <c r="AY15" s="1033">
        <f t="shared" si="1"/>
        <v>7.5899999999965075</v>
      </c>
    </row>
    <row r="16" spans="1:53">
      <c r="A16" s="1035">
        <v>43994</v>
      </c>
      <c r="B16" s="258">
        <f>'12'!G7</f>
        <v>18761</v>
      </c>
      <c r="C16" s="258">
        <f>'12'!G8</f>
        <v>18830</v>
      </c>
      <c r="D16" s="258">
        <f>'12'!G15</f>
        <v>460</v>
      </c>
      <c r="E16" s="258">
        <f>'12'!G20</f>
        <v>125</v>
      </c>
      <c r="F16" s="258">
        <f>SUM('12'!G35,'12'!G49)</f>
        <v>2554</v>
      </c>
      <c r="G16" s="258">
        <f>SUM('12'!G37,'12'!G51)</f>
        <v>1461</v>
      </c>
      <c r="H16" s="258">
        <f>SUM('12'!G38,'12'!G52)</f>
        <v>1383</v>
      </c>
      <c r="I16" s="258">
        <f>SUM('12'!G39,'12'!G53)</f>
        <v>3517</v>
      </c>
      <c r="J16" s="258">
        <f>SUM('12'!G41,'12'!G42,'12'!G55,'12'!G56)</f>
        <v>5598</v>
      </c>
      <c r="K16" s="258">
        <f>SUM('12'!G43,'12'!G57)</f>
        <v>2382</v>
      </c>
      <c r="L16" s="1036">
        <f>'12'!G50</f>
        <v>939</v>
      </c>
      <c r="M16" s="1036">
        <f>'12'!G36</f>
        <v>544</v>
      </c>
      <c r="N16" s="1036">
        <f>'12'!G72</f>
        <v>12</v>
      </c>
      <c r="O16" s="1036">
        <f>'12'!$G$73</f>
        <v>2</v>
      </c>
      <c r="P16" s="1036">
        <f>'12'!$G$74</f>
        <v>0</v>
      </c>
      <c r="Q16" s="1036">
        <f>'12'!$G$75</f>
        <v>143</v>
      </c>
      <c r="R16" s="1036">
        <f>'12'!$G$76</f>
        <v>54</v>
      </c>
      <c r="S16" s="1036">
        <f>'12'!$G$77</f>
        <v>47</v>
      </c>
      <c r="T16" s="1027">
        <f>'12'!$G$78</f>
        <v>41</v>
      </c>
      <c r="U16" s="1027">
        <f>'12'!$G$79</f>
        <v>140</v>
      </c>
      <c r="V16" s="1027">
        <f>'12'!$G$80</f>
        <v>376</v>
      </c>
      <c r="W16" s="1027">
        <f>'12'!$G$81</f>
        <v>111</v>
      </c>
      <c r="X16" s="1027">
        <f>'12'!$G$82</f>
        <v>12</v>
      </c>
      <c r="Y16" s="1027">
        <f>'12'!$G$58</f>
        <v>37</v>
      </c>
      <c r="Z16" s="1027">
        <f>'12'!$G$83</f>
        <v>198</v>
      </c>
      <c r="AA16" s="1027">
        <f>'12'!G86</f>
        <v>30</v>
      </c>
      <c r="AB16" s="1027">
        <f>'12'!G87</f>
        <v>12.399999999994179</v>
      </c>
      <c r="AC16" s="1027">
        <f>'12'!G88</f>
        <v>24</v>
      </c>
      <c r="AD16" s="1027">
        <f>'12'!G87+'12'!H90</f>
        <v>13.399999999994179</v>
      </c>
      <c r="AE16" s="1036">
        <f>'12'!$G$62</f>
        <v>0</v>
      </c>
      <c r="AF16" s="1036">
        <f>'12'!$G$63</f>
        <v>0</v>
      </c>
      <c r="AG16" s="1036">
        <f>'12'!$G$64</f>
        <v>334</v>
      </c>
      <c r="AH16" s="1036">
        <f>'12'!$G$65</f>
        <v>366</v>
      </c>
      <c r="AI16" s="1036">
        <f>'12'!$G$66</f>
        <v>427</v>
      </c>
      <c r="AJ16" s="1036">
        <f>'12'!$G$67</f>
        <v>459</v>
      </c>
      <c r="AK16" s="1036">
        <f>'12'!$G$68</f>
        <v>0</v>
      </c>
      <c r="AL16" s="1036">
        <f>'12'!$G$69</f>
        <v>227</v>
      </c>
      <c r="AM16" s="1036">
        <f>'12'!$G$84</f>
        <v>596</v>
      </c>
      <c r="AN16" s="1036">
        <f>'12'!$G$15</f>
        <v>460</v>
      </c>
      <c r="AO16" s="1074">
        <f>'12'!$G$124</f>
        <v>238</v>
      </c>
      <c r="AP16" s="1036">
        <f>'12'!$G$125</f>
        <v>-0.39999999999417923</v>
      </c>
      <c r="AQ16" s="1063">
        <f>'12'!$G$126</f>
        <v>62</v>
      </c>
      <c r="AR16" s="1036">
        <f>'12'!$G$127</f>
        <v>0</v>
      </c>
      <c r="AS16" s="1036">
        <f>'12'!$G$128</f>
        <v>0</v>
      </c>
      <c r="AT16" s="1036">
        <f t="shared" si="0"/>
        <v>160.39999999999418</v>
      </c>
      <c r="AU16" s="1036">
        <f>SUM('12'!G140:G141)</f>
        <v>9.0900000000001455</v>
      </c>
      <c r="AV16" s="1036">
        <f>'12'!$G$137</f>
        <v>0</v>
      </c>
      <c r="AW16" s="1036">
        <f>'12'!$G$138</f>
        <v>0</v>
      </c>
      <c r="AX16" s="1036">
        <f>'12'!$G$139</f>
        <v>4.6499999999941792</v>
      </c>
      <c r="AY16" s="1033">
        <f t="shared" si="1"/>
        <v>4.6499999999941792</v>
      </c>
      <c r="BA16" s="1041">
        <f>AO16-AQ16</f>
        <v>176</v>
      </c>
    </row>
    <row r="17" spans="1:53">
      <c r="A17" s="1035">
        <v>43995</v>
      </c>
      <c r="B17" s="258">
        <f>'13'!G7</f>
        <v>20334</v>
      </c>
      <c r="C17" s="258">
        <f>'13'!G8</f>
        <v>20443</v>
      </c>
      <c r="D17" s="258">
        <f>'13'!G15</f>
        <v>737</v>
      </c>
      <c r="E17" s="258">
        <f>'13'!G20</f>
        <v>194</v>
      </c>
      <c r="F17" s="258">
        <f>SUM('13'!G35,'13'!G49)</f>
        <v>2615</v>
      </c>
      <c r="G17" s="258">
        <f>SUM('13'!G37,'13'!G51)</f>
        <v>1413</v>
      </c>
      <c r="H17" s="258">
        <f>SUM('13'!G38,'13'!G52)</f>
        <v>1494</v>
      </c>
      <c r="I17" s="258">
        <f>SUM('13'!G39,'13'!G53)</f>
        <v>3369</v>
      </c>
      <c r="J17" s="258">
        <f>SUM('13'!G41,'13'!G42,'13'!G55,'13'!G56)</f>
        <v>6701.4799999999959</v>
      </c>
      <c r="K17" s="258">
        <f>SUM('13'!G43,'13'!G57)</f>
        <v>2647.33</v>
      </c>
      <c r="L17" s="1036">
        <f>'13'!G50</f>
        <v>1050</v>
      </c>
      <c r="M17" s="1036">
        <f>'13'!G36</f>
        <v>557</v>
      </c>
      <c r="N17" s="1036">
        <f>'13'!G72</f>
        <v>43</v>
      </c>
      <c r="O17" s="1036">
        <f>'13'!$G$73</f>
        <v>1</v>
      </c>
      <c r="P17" s="1036">
        <f>'13'!$G$74</f>
        <v>0</v>
      </c>
      <c r="Q17" s="1036">
        <f>'13'!$G$75</f>
        <v>129</v>
      </c>
      <c r="R17" s="1036">
        <f>'13'!$G$76</f>
        <v>55</v>
      </c>
      <c r="S17" s="1036">
        <f>'13'!$G$77</f>
        <v>56</v>
      </c>
      <c r="T17" s="1027">
        <f>'13'!$G$78</f>
        <v>30</v>
      </c>
      <c r="U17" s="1027">
        <f>'13'!$G$79</f>
        <v>136</v>
      </c>
      <c r="V17" s="1027">
        <f>'13'!$G$80</f>
        <v>380.52000000001863</v>
      </c>
      <c r="W17" s="1027">
        <f>'13'!$G$81</f>
        <v>124.80000000004657</v>
      </c>
      <c r="X17" s="1027">
        <f>'13'!$G$82</f>
        <v>11</v>
      </c>
      <c r="Y17" s="1027">
        <f>'13'!$G$58</f>
        <v>238</v>
      </c>
      <c r="Z17" s="1027">
        <f>'13'!$G$83</f>
        <v>236</v>
      </c>
      <c r="AA17" s="1027">
        <f>'13'!G86</f>
        <v>29.440000000002328</v>
      </c>
      <c r="AB17" s="1027">
        <f>'13'!G87</f>
        <v>11</v>
      </c>
      <c r="AC17" s="1027">
        <f>'13'!G88</f>
        <v>22.730000000010477</v>
      </c>
      <c r="AD17" s="1027">
        <f>'13'!G87+'13'!H90</f>
        <v>12.900000000000091</v>
      </c>
      <c r="AE17" s="1036">
        <f>'13'!$G$62</f>
        <v>0</v>
      </c>
      <c r="AF17" s="1036">
        <f>'13'!$G$63</f>
        <v>0</v>
      </c>
      <c r="AG17" s="1036">
        <f>'13'!$G$64</f>
        <v>352</v>
      </c>
      <c r="AH17" s="1036">
        <f>'13'!$G$65</f>
        <v>411</v>
      </c>
      <c r="AI17" s="1036">
        <f>'13'!$G$66</f>
        <v>376</v>
      </c>
      <c r="AJ17" s="1036">
        <f>'13'!$G$67</f>
        <v>429</v>
      </c>
      <c r="AK17" s="1036">
        <f>'13'!$G$68</f>
        <v>0</v>
      </c>
      <c r="AL17" s="1036">
        <f>'13'!$G$69</f>
        <v>217</v>
      </c>
      <c r="AM17" s="1036">
        <f>'13'!$G$84</f>
        <v>687</v>
      </c>
      <c r="AN17" s="1036">
        <f>'13'!$G$15</f>
        <v>737</v>
      </c>
      <c r="AO17" s="1074">
        <f>'13'!$G$124</f>
        <v>245</v>
      </c>
      <c r="AP17" s="1036">
        <f>'13'!$G$125</f>
        <v>0</v>
      </c>
      <c r="AQ17" s="1036">
        <f>'13'!$G$126</f>
        <v>60</v>
      </c>
      <c r="AR17" s="1036">
        <f>'13'!$G$127</f>
        <v>68</v>
      </c>
      <c r="AS17" s="1036">
        <f>'13'!$G$128</f>
        <v>2</v>
      </c>
      <c r="AT17" s="1036">
        <f t="shared" si="0"/>
        <v>362</v>
      </c>
      <c r="AU17" s="1036">
        <f>SUM('13'!G140:G141)</f>
        <v>9.2199999999997999</v>
      </c>
      <c r="AV17" s="1036">
        <f>'13'!$G$137</f>
        <v>8</v>
      </c>
      <c r="AW17" s="1036">
        <f>'13'!$G$138</f>
        <v>0</v>
      </c>
      <c r="AX17" s="1036">
        <f>'13'!$G$139</f>
        <v>0</v>
      </c>
      <c r="AY17" s="1033">
        <f t="shared" si="1"/>
        <v>8</v>
      </c>
      <c r="BA17" s="1041">
        <f t="shared" ref="BA17:BA34" si="3">AO17-AT17</f>
        <v>-117</v>
      </c>
    </row>
    <row r="18" spans="1:53">
      <c r="A18" s="1035">
        <v>43996</v>
      </c>
      <c r="B18" s="258">
        <f>'14'!G7</f>
        <v>17000</v>
      </c>
      <c r="C18" s="258">
        <f>'14'!G8</f>
        <v>17150</v>
      </c>
      <c r="D18" s="258">
        <f>'14'!G15</f>
        <v>550</v>
      </c>
      <c r="E18" s="258">
        <f>'14'!G20</f>
        <v>-1837</v>
      </c>
      <c r="F18" s="258">
        <f>SUM('14'!G35,'14'!G49)</f>
        <v>-66853.050000000047</v>
      </c>
      <c r="G18" s="258">
        <f>SUM('14'!G37,'14'!G51)</f>
        <v>-39435.089999999997</v>
      </c>
      <c r="H18" s="258">
        <f>SUM('14'!G38,'14'!G52)</f>
        <v>-36338.03</v>
      </c>
      <c r="I18" s="258">
        <f>SUM('14'!G39,'14'!G53)</f>
        <v>-85160.82</v>
      </c>
      <c r="J18" s="258">
        <f>SUM('14'!G41,'14'!G42,'14'!G55,'14'!G56)</f>
        <v>-154018.67000000004</v>
      </c>
      <c r="K18" s="258">
        <f>SUM('14'!G43,'14'!G57)</f>
        <v>-69214.800000000047</v>
      </c>
      <c r="L18" s="1036">
        <f>'14'!G50</f>
        <v>-27329.010000000009</v>
      </c>
      <c r="M18" s="1036">
        <f>'14'!G36</f>
        <v>339554</v>
      </c>
      <c r="N18" s="1036">
        <f>'14'!G72</f>
        <v>-379</v>
      </c>
      <c r="O18" s="1036">
        <f>'14'!$G$73</f>
        <v>-61</v>
      </c>
      <c r="P18" s="1036">
        <f>'14'!$G$74</f>
        <v>-126.80000000000018</v>
      </c>
      <c r="Q18" s="1036">
        <f>'14'!$G$75</f>
        <v>-1922.4099999999999</v>
      </c>
      <c r="R18" s="1036">
        <f>'14'!$G$76</f>
        <v>-1709.4300000000003</v>
      </c>
      <c r="S18" s="1036">
        <f>'14'!$G$77</f>
        <v>-1277</v>
      </c>
      <c r="T18" s="1027">
        <f>'14'!$G$78</f>
        <v>-2802</v>
      </c>
      <c r="U18" s="1027">
        <f>'14'!$G$79</f>
        <v>-4110</v>
      </c>
      <c r="V18" s="1027">
        <f>'14'!$G$80</f>
        <v>-10737.200000000012</v>
      </c>
      <c r="W18" s="1027">
        <f>'14'!$G$81</f>
        <v>-2824.9600000000792</v>
      </c>
      <c r="X18" s="1027">
        <f>'14'!$G$82</f>
        <v>-487.94999999999709</v>
      </c>
      <c r="Y18" s="1027">
        <f>'14'!$G$58</f>
        <v>-3303.7300000000032</v>
      </c>
      <c r="Z18" s="1027">
        <f>'14'!$G$83</f>
        <v>-5584</v>
      </c>
      <c r="AA18" s="1027">
        <f>'14'!G86</f>
        <v>-1003.039999999979</v>
      </c>
      <c r="AB18" s="1027">
        <f>'14'!G87</f>
        <v>-528.19999999999709</v>
      </c>
      <c r="AC18" s="1027">
        <f>'14'!G88</f>
        <v>-1097.7300000000105</v>
      </c>
      <c r="AD18" s="1027">
        <f>'14'!G87+'14'!H90</f>
        <v>-547.59999999999718</v>
      </c>
      <c r="AE18" s="1036">
        <f>'14'!$G$62</f>
        <v>0</v>
      </c>
      <c r="AF18" s="1036">
        <f>'14'!$G$63</f>
        <v>2412.15</v>
      </c>
      <c r="AG18" s="1036">
        <f>'14'!$G$64</f>
        <v>-7484.9500000000116</v>
      </c>
      <c r="AH18" s="1036">
        <f>'14'!$G$65</f>
        <v>-7310.8299999999872</v>
      </c>
      <c r="AI18" s="1036">
        <f>'14'!$G$66</f>
        <v>-9271.4599999999991</v>
      </c>
      <c r="AJ18" s="1036">
        <f>'14'!$G$67</f>
        <v>-11985.410000000003</v>
      </c>
      <c r="AK18" s="1036">
        <f>'14'!$G$68</f>
        <v>0</v>
      </c>
      <c r="AL18" s="1036">
        <f>'14'!$G$69</f>
        <v>-3520.929999999993</v>
      </c>
      <c r="AM18" s="1036">
        <f>'14'!$G$84</f>
        <v>-19642</v>
      </c>
      <c r="AN18" s="1036">
        <f>'14'!$G$15</f>
        <v>550</v>
      </c>
      <c r="AO18" s="1036">
        <f>'14'!$G$124</f>
        <v>-6003.9100000000326</v>
      </c>
      <c r="AP18" s="1036">
        <f>'14'!$G$125</f>
        <v>0</v>
      </c>
      <c r="AQ18" s="1036">
        <f>'14'!$G$126</f>
        <v>-1816</v>
      </c>
      <c r="AR18" s="1036">
        <f>'14'!$G$127</f>
        <v>-73</v>
      </c>
      <c r="AS18" s="1036">
        <f>'14'!$G$128</f>
        <v>-3</v>
      </c>
      <c r="AT18" s="1036">
        <f t="shared" si="0"/>
        <v>8445.9100000000326</v>
      </c>
      <c r="AU18" s="1036">
        <f>SUM('14'!G140:G141)</f>
        <v>-228.70999999999981</v>
      </c>
      <c r="AV18" s="1036">
        <f>'14'!$G$137</f>
        <v>-74.590000000000146</v>
      </c>
      <c r="AW18" s="1036">
        <f>'14'!$G$138</f>
        <v>-9.9999999998544808E-2</v>
      </c>
      <c r="AX18" s="1036">
        <f>'14'!$G$139</f>
        <v>-108.70999999999185</v>
      </c>
      <c r="AY18" s="1033">
        <f t="shared" si="1"/>
        <v>-183.39999999999054</v>
      </c>
      <c r="BA18" s="1041">
        <f>AO18-AT18</f>
        <v>-14449.820000000065</v>
      </c>
    </row>
    <row r="19" spans="1:53">
      <c r="A19" s="1035">
        <v>43997</v>
      </c>
      <c r="B19" s="258">
        <f>'15'!G7</f>
        <v>17000</v>
      </c>
      <c r="C19" s="258">
        <f>'15'!G8</f>
        <v>17150</v>
      </c>
      <c r="D19" s="1337">
        <f>'15'!G15</f>
        <v>550</v>
      </c>
      <c r="E19" s="258">
        <f>'15'!G20</f>
        <v>116</v>
      </c>
      <c r="F19" s="1337">
        <f>SUM('15'!G35,'15'!G49)</f>
        <v>2006.9200000000419</v>
      </c>
      <c r="G19" s="1337">
        <f>SUM('15'!G37,'15'!G51)</f>
        <v>1297.0899999999965</v>
      </c>
      <c r="H19" s="1337">
        <f>SUM('15'!G38,'15'!G52)</f>
        <v>1315.9600000000501</v>
      </c>
      <c r="I19" s="1337">
        <f>SUM('15'!G39,'15'!G53)</f>
        <v>2647.820000000007</v>
      </c>
      <c r="J19" s="1337">
        <f>SUM('15'!G41,'15'!G42,'15'!G55,'15'!G56)</f>
        <v>5855.1400000000194</v>
      </c>
      <c r="K19" s="258">
        <f>SUM('15'!G43,'15'!G57)</f>
        <v>2074.8000000000466</v>
      </c>
      <c r="L19" s="1338">
        <f>'15'!G50</f>
        <v>895.01000000000931</v>
      </c>
      <c r="M19" s="1036">
        <f>'15'!G36</f>
        <v>0</v>
      </c>
      <c r="N19" s="1036">
        <f>'15'!G72</f>
        <v>10</v>
      </c>
      <c r="O19" s="1036">
        <f>'15'!$G$73</f>
        <v>1</v>
      </c>
      <c r="P19" s="1036">
        <f>'15'!$G$74</f>
        <v>6.8400000000001455</v>
      </c>
      <c r="Q19" s="1036">
        <f>'15'!$G$75</f>
        <v>52.409999999999854</v>
      </c>
      <c r="R19" s="1036">
        <f>'15'!$G$76</f>
        <v>57.430000000000291</v>
      </c>
      <c r="S19" s="1036">
        <f>'15'!$G$77</f>
        <v>25</v>
      </c>
      <c r="T19" s="1027">
        <f>'15'!$G$78</f>
        <v>144</v>
      </c>
      <c r="U19" s="1027">
        <f>'15'!$G$79</f>
        <v>125</v>
      </c>
      <c r="V19" s="1027">
        <f>'15'!$G$80</f>
        <v>373.67999999999302</v>
      </c>
      <c r="W19" s="1027">
        <f>'15'!$G$81</f>
        <v>75.160000000032596</v>
      </c>
      <c r="X19" s="1027">
        <f>'15'!$G$82</f>
        <v>37.94999999999709</v>
      </c>
      <c r="Y19" s="1027">
        <f>'15'!$G$58</f>
        <v>36.730000000003201</v>
      </c>
      <c r="Z19" s="1027">
        <f>'15'!$G$83</f>
        <v>252</v>
      </c>
      <c r="AA19" s="1027">
        <f>'15'!G86</f>
        <v>80.599999999976717</v>
      </c>
      <c r="AB19" s="1027">
        <f>'15'!G87</f>
        <v>7.1999999999970896</v>
      </c>
      <c r="AC19" s="1027">
        <f>'15'!G88</f>
        <v>4</v>
      </c>
      <c r="AD19" s="1027">
        <f>'15'!G87+'15'!H90</f>
        <v>7.1999999999970896</v>
      </c>
      <c r="AE19" s="1036">
        <f>'15'!$G$62</f>
        <v>0.18000000000029104</v>
      </c>
      <c r="AF19" s="1036">
        <f>'15'!$G$63</f>
        <v>2.8499999999999091</v>
      </c>
      <c r="AG19" s="1036">
        <f>'15'!$G$64</f>
        <v>201.95000000001164</v>
      </c>
      <c r="AH19" s="1036">
        <f>'15'!$G$65</f>
        <v>270.82999999998719</v>
      </c>
      <c r="AI19" s="1036">
        <f>'15'!$G$66</f>
        <v>271.45999999999913</v>
      </c>
      <c r="AJ19" s="1036">
        <f>'15'!$G$67</f>
        <v>339.41000000000349</v>
      </c>
      <c r="AK19" s="1036">
        <f>'15'!$G$68</f>
        <v>0</v>
      </c>
      <c r="AL19" s="1036">
        <f>'15'!$G$69</f>
        <v>89.929999999993015</v>
      </c>
      <c r="AM19" s="1036">
        <f>'15'!$G$84</f>
        <v>599</v>
      </c>
      <c r="AN19" s="1036">
        <f>'15'!$G$15</f>
        <v>550</v>
      </c>
      <c r="AO19" s="1036">
        <f>'15'!$G$124</f>
        <v>200.9100000000326</v>
      </c>
      <c r="AP19" s="1036">
        <f>'15'!$G$125</f>
        <v>0.39999999999417923</v>
      </c>
      <c r="AQ19" s="1036">
        <f>'15'!$G$126</f>
        <v>45</v>
      </c>
      <c r="AR19" s="1036">
        <f>'15'!$G$127</f>
        <v>0</v>
      </c>
      <c r="AS19" s="1036">
        <f>'15'!$G$128</f>
        <v>0</v>
      </c>
      <c r="AT19" s="1036">
        <f t="shared" si="0"/>
        <v>303.68999999997322</v>
      </c>
      <c r="AU19" s="1036">
        <f>SUM('15'!G140:G141)</f>
        <v>7.6199999999998909</v>
      </c>
      <c r="AV19" s="1036">
        <f>'15'!$G$137</f>
        <v>0</v>
      </c>
      <c r="AW19" s="1036">
        <f>'15'!$G$138</f>
        <v>0</v>
      </c>
      <c r="AX19" s="1036">
        <f>'15'!$G$139</f>
        <v>9.5299999999988358</v>
      </c>
      <c r="AY19" s="1033">
        <f t="shared" si="1"/>
        <v>9.5299999999988358</v>
      </c>
      <c r="BA19" s="1041">
        <f t="shared" si="3"/>
        <v>-102.77999999994063</v>
      </c>
    </row>
    <row r="20" spans="1:53">
      <c r="A20" s="1035">
        <v>43998</v>
      </c>
      <c r="B20" s="258">
        <f>'16'!G7</f>
        <v>17000</v>
      </c>
      <c r="C20" s="258">
        <f>'16'!G8</f>
        <v>17150</v>
      </c>
      <c r="D20" s="258">
        <f>'16'!G15</f>
        <v>550</v>
      </c>
      <c r="E20" s="258">
        <f>'16'!G20</f>
        <v>117</v>
      </c>
      <c r="F20" s="258">
        <f>SUM('16'!G35,'16'!G49)</f>
        <v>1926.1300000000047</v>
      </c>
      <c r="G20" s="258">
        <f>SUM('16'!G37,'16'!G51)</f>
        <v>1239</v>
      </c>
      <c r="H20" s="258">
        <f>SUM('16'!G38,'16'!G52)</f>
        <v>1097</v>
      </c>
      <c r="I20" s="258">
        <f>SUM('16'!G39,'16'!G53)</f>
        <v>2608</v>
      </c>
      <c r="J20" s="258">
        <f>SUM('16'!G41,'16'!G42,'16'!G55,'16'!G56)</f>
        <v>4448</v>
      </c>
      <c r="K20" s="258">
        <f>SUM('16'!G43,'16'!G57)</f>
        <v>2126</v>
      </c>
      <c r="L20" s="1036">
        <f>'16'!G50</f>
        <v>821</v>
      </c>
      <c r="M20" s="1036">
        <f>'16'!G36</f>
        <v>0</v>
      </c>
      <c r="N20" s="1036">
        <f>'16'!G72</f>
        <v>7</v>
      </c>
      <c r="O20" s="1036">
        <f>'16'!$G$73</f>
        <v>0</v>
      </c>
      <c r="P20" s="1036">
        <f>'16'!$G$74</f>
        <v>9</v>
      </c>
      <c r="Q20" s="1036">
        <f>'16'!$G$75</f>
        <v>54</v>
      </c>
      <c r="R20" s="1036">
        <f>'16'!$G$76</f>
        <v>56</v>
      </c>
      <c r="S20" s="1036">
        <f>'16'!$G$77</f>
        <v>29</v>
      </c>
      <c r="T20" s="1027">
        <f>'16'!$G$78</f>
        <v>118</v>
      </c>
      <c r="U20" s="1027">
        <f>'16'!$G$79</f>
        <v>120</v>
      </c>
      <c r="V20" s="1027">
        <f>'16'!$G$80</f>
        <v>333</v>
      </c>
      <c r="W20" s="1027">
        <f>'16'!$G$81</f>
        <v>82</v>
      </c>
      <c r="X20" s="1027">
        <f>'16'!$G$82</f>
        <v>10</v>
      </c>
      <c r="Y20" s="1027">
        <f>'16'!$G$58</f>
        <v>0</v>
      </c>
      <c r="Z20" s="1027">
        <f>'16'!$G$83</f>
        <v>116</v>
      </c>
      <c r="AA20" s="1027">
        <f>'16'!G86</f>
        <v>28</v>
      </c>
      <c r="AB20" s="1027">
        <f>'16'!G87</f>
        <v>4</v>
      </c>
      <c r="AC20" s="1027">
        <f>'16'!G88</f>
        <v>9</v>
      </c>
      <c r="AD20" s="1027">
        <f>'16'!G87+'16'!H90</f>
        <v>4</v>
      </c>
      <c r="AE20" s="1036">
        <f>'16'!$G$62</f>
        <v>0</v>
      </c>
      <c r="AF20" s="1036">
        <f>'16'!$G$63</f>
        <v>4</v>
      </c>
      <c r="AG20" s="1036">
        <f>'16'!$G$64</f>
        <v>201</v>
      </c>
      <c r="AH20" s="1036">
        <f>'16'!$G$65</f>
        <v>295</v>
      </c>
      <c r="AI20" s="1036">
        <f>'16'!$G$66</f>
        <v>260</v>
      </c>
      <c r="AJ20" s="1036">
        <f>'16'!$G$67</f>
        <v>332</v>
      </c>
      <c r="AK20" s="1036">
        <f>'16'!$G$68</f>
        <v>0</v>
      </c>
      <c r="AL20" s="1036">
        <f>'16'!$G$69</f>
        <v>95</v>
      </c>
      <c r="AM20" s="1036">
        <f>'16'!$G$84</f>
        <v>511</v>
      </c>
      <c r="AN20" s="1036">
        <f>'16'!$G$15</f>
        <v>550</v>
      </c>
      <c r="AO20" s="1074">
        <f>'16'!$G$124</f>
        <v>209</v>
      </c>
      <c r="AP20" s="1036">
        <f>'16'!$G$125</f>
        <v>0</v>
      </c>
      <c r="AQ20" s="1036">
        <f>'16'!$G$126</f>
        <v>57</v>
      </c>
      <c r="AR20" s="1036">
        <f>'16'!$G$127</f>
        <v>0</v>
      </c>
      <c r="AS20" s="1036">
        <f>'16'!$G$128</f>
        <v>0</v>
      </c>
      <c r="AT20" s="1036">
        <f t="shared" si="0"/>
        <v>284</v>
      </c>
      <c r="AU20" s="1036">
        <f>SUM('16'!G140:G141)</f>
        <v>7.9700000000000273</v>
      </c>
      <c r="AV20" s="1036">
        <f>'16'!$G$137</f>
        <v>0</v>
      </c>
      <c r="AW20" s="1036">
        <f>'16'!$G$138</f>
        <v>0</v>
      </c>
      <c r="AX20" s="1036">
        <f>'16'!$G$139</f>
        <v>0</v>
      </c>
      <c r="AY20" s="1033">
        <f t="shared" si="1"/>
        <v>0</v>
      </c>
      <c r="BA20" s="1041">
        <f t="shared" si="3"/>
        <v>-75</v>
      </c>
    </row>
    <row r="21" spans="1:53">
      <c r="A21" s="1035">
        <v>43999</v>
      </c>
      <c r="B21" s="258">
        <f>'17'!G7</f>
        <v>17000</v>
      </c>
      <c r="C21" s="258">
        <f>'17'!G8</f>
        <v>17150</v>
      </c>
      <c r="D21" s="258">
        <f>'17'!G15</f>
        <v>550</v>
      </c>
      <c r="E21" s="258">
        <f>'17'!G20</f>
        <v>76</v>
      </c>
      <c r="F21" s="258">
        <f>SUM('17'!G35,'17'!G49)</f>
        <v>1602</v>
      </c>
      <c r="G21" s="258">
        <f>SUM('17'!G37,'17'!G51)</f>
        <v>1338.1300000000047</v>
      </c>
      <c r="H21" s="258">
        <f>SUM('17'!G38,'17'!G52)</f>
        <v>1050</v>
      </c>
      <c r="I21" s="258">
        <f>SUM('17'!G39,'17'!G53)</f>
        <v>2646</v>
      </c>
      <c r="J21" s="258">
        <f>SUM('17'!G41,'17'!G42,'17'!G55,'17'!G56)</f>
        <v>4494</v>
      </c>
      <c r="K21" s="258">
        <f>SUM('17'!G43,'17'!G57)</f>
        <v>2036</v>
      </c>
      <c r="L21" s="1036">
        <f>'17'!G50</f>
        <v>762</v>
      </c>
      <c r="M21" s="1036">
        <f>'17'!G36</f>
        <v>0</v>
      </c>
      <c r="N21" s="1036">
        <f>'18'!G72</f>
        <v>6</v>
      </c>
      <c r="O21" s="1036">
        <f>'17'!$G$73</f>
        <v>1</v>
      </c>
      <c r="P21" s="1036">
        <f>'17'!$G$74</f>
        <v>6</v>
      </c>
      <c r="Q21" s="1036">
        <f>'17'!$G$75</f>
        <v>59</v>
      </c>
      <c r="R21" s="1036">
        <f>'17'!$G$76</f>
        <v>57</v>
      </c>
      <c r="S21" s="1036">
        <f>'17'!$G$77</f>
        <v>29</v>
      </c>
      <c r="T21" s="1027">
        <f>'17'!$G$78</f>
        <v>89</v>
      </c>
      <c r="U21" s="1027">
        <f>'17'!$G$79</f>
        <v>117</v>
      </c>
      <c r="V21" s="1027">
        <f>'17'!$G$80</f>
        <v>311</v>
      </c>
      <c r="W21" s="1027">
        <f>'17'!$G$81</f>
        <v>76</v>
      </c>
      <c r="X21" s="1027">
        <f>'17'!$G$82</f>
        <v>11</v>
      </c>
      <c r="Y21" s="1027">
        <f>'17'!$G$58</f>
        <v>199</v>
      </c>
      <c r="Z21" s="1027">
        <f>'17'!$G$83</f>
        <v>175</v>
      </c>
      <c r="AA21" s="1027">
        <f>'17'!G86</f>
        <v>36</v>
      </c>
      <c r="AB21" s="1027">
        <f>'17'!G87</f>
        <v>7</v>
      </c>
      <c r="AC21" s="1027">
        <f>'17'!G88</f>
        <v>66</v>
      </c>
      <c r="AD21" s="1027">
        <f>'17'!G87+'17'!H90</f>
        <v>7</v>
      </c>
      <c r="AE21" s="1036">
        <f>'17'!$G$62</f>
        <v>-0.18000000000029104</v>
      </c>
      <c r="AF21" s="1036">
        <f>'17'!$G$63</f>
        <v>4</v>
      </c>
      <c r="AG21" s="1036">
        <f>'17'!$G$64</f>
        <v>266</v>
      </c>
      <c r="AH21" s="1036">
        <f>'17'!$G$65</f>
        <v>284</v>
      </c>
      <c r="AI21" s="1036">
        <f>'17'!$G$66</f>
        <v>272</v>
      </c>
      <c r="AJ21" s="1036">
        <f>'17'!$G$67</f>
        <v>322</v>
      </c>
      <c r="AK21" s="1036">
        <f>'17'!$G$68</f>
        <v>0</v>
      </c>
      <c r="AL21" s="1036">
        <f>'17'!$G$69</f>
        <v>87</v>
      </c>
      <c r="AM21" s="1036">
        <f>'17'!$G$84</f>
        <v>419</v>
      </c>
      <c r="AN21" s="1036">
        <f>'17'!$G$15</f>
        <v>550</v>
      </c>
      <c r="AO21" s="1036">
        <f>'17'!$G$124</f>
        <v>214</v>
      </c>
      <c r="AP21" s="1036">
        <f>'17'!$G$125</f>
        <v>0</v>
      </c>
      <c r="AQ21" s="1036">
        <f>'17'!$G$126</f>
        <v>46</v>
      </c>
      <c r="AR21" s="1036">
        <f>'17'!$G$127</f>
        <v>0</v>
      </c>
      <c r="AS21" s="1036">
        <f>'17'!$G$128</f>
        <v>0</v>
      </c>
      <c r="AT21" s="1036">
        <f t="shared" si="0"/>
        <v>290</v>
      </c>
      <c r="AU21" s="1036">
        <f>SUM('17'!G140:G141)</f>
        <v>8.0499999999999545</v>
      </c>
      <c r="AV21" s="1036">
        <f>'17'!$G$137</f>
        <v>6.2800000000024738</v>
      </c>
      <c r="AW21" s="1036">
        <f>'17'!$G$138</f>
        <v>0</v>
      </c>
      <c r="AX21" s="1036">
        <f>'17'!$G$139</f>
        <v>0</v>
      </c>
      <c r="AY21" s="1033">
        <f t="shared" si="1"/>
        <v>6.2800000000024738</v>
      </c>
      <c r="BA21" s="1041">
        <f t="shared" si="3"/>
        <v>-76</v>
      </c>
    </row>
    <row r="22" spans="1:53">
      <c r="A22" s="1035">
        <v>44000</v>
      </c>
      <c r="B22" s="258">
        <f>'18'!G7</f>
        <v>17000</v>
      </c>
      <c r="C22" s="258">
        <f>'18'!G8</f>
        <v>17150</v>
      </c>
      <c r="D22" s="258">
        <f>'18'!G15</f>
        <v>550</v>
      </c>
      <c r="E22" s="258">
        <f>'18'!G20</f>
        <v>105</v>
      </c>
      <c r="F22" s="258">
        <f>SUM('18'!G35,'18'!G49)</f>
        <v>1530</v>
      </c>
      <c r="G22" s="258">
        <f>SUM('18'!G37,'18'!G51)</f>
        <v>1254</v>
      </c>
      <c r="H22" s="258">
        <f>SUM('18'!G38,'18'!G52)</f>
        <v>1081</v>
      </c>
      <c r="I22" s="258">
        <f>SUM('18'!G39,'18'!G53)</f>
        <v>2625</v>
      </c>
      <c r="J22" s="258">
        <f>SUM('18'!G41,'18'!G42,'18'!G55,'18'!G56)</f>
        <v>5084.5400000000009</v>
      </c>
      <c r="K22" s="258">
        <f>SUM('18'!G43,'18'!G57)</f>
        <v>2115</v>
      </c>
      <c r="L22" s="1036">
        <f>'18'!G50</f>
        <v>802</v>
      </c>
      <c r="M22" s="1036">
        <f>'18'!G36</f>
        <v>0</v>
      </c>
      <c r="N22" s="1036">
        <f>'18'!G72</f>
        <v>6</v>
      </c>
      <c r="O22" s="1036">
        <f>'18'!$G$73</f>
        <v>2</v>
      </c>
      <c r="P22" s="1036">
        <f>'18'!$G$74</f>
        <v>4</v>
      </c>
      <c r="Q22" s="1036">
        <f>'18'!$G$75</f>
        <v>53</v>
      </c>
      <c r="R22" s="1036">
        <f>'18'!$G$76</f>
        <v>56</v>
      </c>
      <c r="S22" s="1036">
        <f>'18'!$G$77</f>
        <v>30</v>
      </c>
      <c r="T22" s="1027">
        <f>'18'!$G$78</f>
        <v>75</v>
      </c>
      <c r="U22" s="1027">
        <f>'18'!$G$79</f>
        <v>128</v>
      </c>
      <c r="V22" s="1039">
        <f>'18'!$G$80</f>
        <v>300</v>
      </c>
      <c r="W22" s="1039">
        <f>'18'!$G$81</f>
        <v>80</v>
      </c>
      <c r="X22" s="1039">
        <f>'18'!$G$82</f>
        <v>26</v>
      </c>
      <c r="Y22" s="1039">
        <f>'18'!$G$58</f>
        <v>63</v>
      </c>
      <c r="Z22" s="1039">
        <f>'18'!$G$83</f>
        <v>240</v>
      </c>
      <c r="AA22" s="1039">
        <f>'18'!G86</f>
        <v>31</v>
      </c>
      <c r="AB22" s="1027">
        <f>'18'!G87</f>
        <v>14</v>
      </c>
      <c r="AC22" s="1027">
        <f>'18'!G88</f>
        <v>68</v>
      </c>
      <c r="AD22" s="1027">
        <f>'18'!G87+'18'!H90</f>
        <v>14.199999999999818</v>
      </c>
      <c r="AE22" s="1036">
        <f>'18'!$G$62</f>
        <v>0.18000000000029104</v>
      </c>
      <c r="AF22" s="1036">
        <f>'18'!$G$63</f>
        <v>4</v>
      </c>
      <c r="AG22" s="1036">
        <f>'18'!$G$64</f>
        <v>337</v>
      </c>
      <c r="AH22" s="1036">
        <f>'18'!$G$65</f>
        <v>268</v>
      </c>
      <c r="AI22" s="1036">
        <f>'18'!$G$66</f>
        <v>270</v>
      </c>
      <c r="AJ22" s="1036">
        <f>'18'!$G$67</f>
        <v>300</v>
      </c>
      <c r="AK22" s="1036">
        <f>'18'!$G$68</f>
        <v>0</v>
      </c>
      <c r="AL22" s="1036">
        <f>'18'!$G$69</f>
        <v>78</v>
      </c>
      <c r="AM22" s="1036">
        <f>'18'!$G$84</f>
        <v>353</v>
      </c>
      <c r="AN22" s="1036">
        <f>'18'!$G$15</f>
        <v>550</v>
      </c>
      <c r="AO22" s="1036">
        <f>'18'!$G$124</f>
        <v>195</v>
      </c>
      <c r="AP22" s="1036">
        <f>'18'!$G$125</f>
        <v>0</v>
      </c>
      <c r="AQ22" s="1036">
        <f>'18'!$G$126</f>
        <v>45</v>
      </c>
      <c r="AR22" s="1036">
        <f>'18'!$G$127</f>
        <v>0</v>
      </c>
      <c r="AS22" s="1036">
        <f>'18'!$G$128</f>
        <v>0</v>
      </c>
      <c r="AT22" s="1036">
        <f t="shared" si="0"/>
        <v>310</v>
      </c>
      <c r="AU22" s="1036">
        <f>SUM('18'!G140:G141)</f>
        <v>7.7400000000000091</v>
      </c>
      <c r="AV22" s="1036">
        <f>'18'!$G$137</f>
        <v>0</v>
      </c>
      <c r="AW22" s="1036">
        <f>'18'!$G$138</f>
        <v>0</v>
      </c>
      <c r="AX22" s="1036">
        <f>'18'!$G$139</f>
        <v>8.5299999999988358</v>
      </c>
      <c r="AY22" s="1033">
        <f t="shared" si="1"/>
        <v>8.5299999999988358</v>
      </c>
      <c r="BA22" s="1041">
        <f t="shared" si="3"/>
        <v>-115</v>
      </c>
    </row>
    <row r="23" spans="1:53" s="1038" customFormat="1">
      <c r="A23" s="1035">
        <v>44001</v>
      </c>
      <c r="B23" s="258">
        <f>'19'!G7</f>
        <v>17000</v>
      </c>
      <c r="C23" s="258">
        <f>'19'!G8</f>
        <v>17150</v>
      </c>
      <c r="D23" s="258">
        <f>'19'!G15</f>
        <v>550</v>
      </c>
      <c r="E23" s="258">
        <f>'19'!G20</f>
        <v>60</v>
      </c>
      <c r="F23" s="258">
        <f>SUM('19'!G35,'19'!G49)</f>
        <v>1650.8699999999953</v>
      </c>
      <c r="G23" s="258">
        <f>SUM('19'!G37,'19'!G51)</f>
        <v>1200</v>
      </c>
      <c r="H23" s="258">
        <f>SUM('19'!G38,'19'!G52)</f>
        <v>999</v>
      </c>
      <c r="I23" s="258">
        <f>SUM('19'!G39,'19'!G53)</f>
        <v>2579</v>
      </c>
      <c r="J23" s="258">
        <f>SUM('19'!G41,'19'!G42,'19'!G55,'19'!G56)</f>
        <v>4451.9900000000271</v>
      </c>
      <c r="K23" s="258">
        <f>SUM('19'!G43,'19'!G57)</f>
        <v>2088.67</v>
      </c>
      <c r="L23" s="1027">
        <f>'19'!G50</f>
        <v>793</v>
      </c>
      <c r="M23" s="1027">
        <f>'19'!G36</f>
        <v>0</v>
      </c>
      <c r="N23" s="1027">
        <f>'19'!G72</f>
        <v>10</v>
      </c>
      <c r="O23" s="1027">
        <f>'19'!$G$73</f>
        <v>1</v>
      </c>
      <c r="P23" s="1027">
        <f>'19'!$G$74</f>
        <v>5</v>
      </c>
      <c r="Q23" s="1027">
        <f>'19'!$G$75</f>
        <v>56</v>
      </c>
      <c r="R23" s="1036">
        <f>'19'!G76</f>
        <v>58</v>
      </c>
      <c r="S23" s="1027">
        <f>'19'!$G$77</f>
        <v>29</v>
      </c>
      <c r="T23" s="1027">
        <f>'19'!$G$78</f>
        <v>82</v>
      </c>
      <c r="U23" s="1027">
        <f>'19'!$G$79</f>
        <v>123</v>
      </c>
      <c r="V23" s="1027">
        <f>'19'!$G$80</f>
        <v>293</v>
      </c>
      <c r="W23" s="1027">
        <f>'19'!$G$81</f>
        <v>77</v>
      </c>
      <c r="X23" s="1027">
        <f>'19'!$G$82</f>
        <v>11</v>
      </c>
      <c r="Y23" s="1027">
        <f>'19'!$G$58</f>
        <v>1</v>
      </c>
      <c r="Z23" s="1027">
        <f>'19'!$G$83</f>
        <v>153</v>
      </c>
      <c r="AA23" s="1027">
        <f>'19'!G86</f>
        <v>23</v>
      </c>
      <c r="AB23" s="1027">
        <f>'19'!G87</f>
        <v>21</v>
      </c>
      <c r="AC23" s="1027">
        <f>'19'!G88</f>
        <v>24</v>
      </c>
      <c r="AD23" s="1027">
        <f>'19'!G87+'19'!H90</f>
        <v>21</v>
      </c>
      <c r="AE23" s="1027">
        <f>'19'!$G$62</f>
        <v>2.0000000000436557E-2</v>
      </c>
      <c r="AF23" s="1027">
        <f>'19'!$G$63</f>
        <v>4</v>
      </c>
      <c r="AG23" s="1027">
        <f>'19'!$G$64</f>
        <v>323</v>
      </c>
      <c r="AH23" s="1027">
        <f>'19'!$G$65</f>
        <v>210</v>
      </c>
      <c r="AI23" s="1027">
        <f>'19'!$G$66</f>
        <v>234</v>
      </c>
      <c r="AJ23" s="1027">
        <f>'19'!$G$67</f>
        <v>236</v>
      </c>
      <c r="AK23" s="1027">
        <f>'19'!$G$68</f>
        <v>0</v>
      </c>
      <c r="AL23" s="1027">
        <f>'19'!$G$69</f>
        <v>104</v>
      </c>
      <c r="AM23" s="1027">
        <f>'19'!$G$84</f>
        <v>355</v>
      </c>
      <c r="AN23" s="1027">
        <f>'19'!$G$15</f>
        <v>550</v>
      </c>
      <c r="AO23" s="1027">
        <f>'19'!$G$124</f>
        <v>173</v>
      </c>
      <c r="AP23" s="1027">
        <f>'19'!$G$125</f>
        <v>0</v>
      </c>
      <c r="AQ23" s="1027">
        <f>'19'!$G$126</f>
        <v>42</v>
      </c>
      <c r="AR23" s="1027">
        <f>'19'!$G$127</f>
        <v>0</v>
      </c>
      <c r="AS23" s="1027">
        <f>'19'!$G$128</f>
        <v>0</v>
      </c>
      <c r="AT23" s="1027">
        <f t="shared" si="0"/>
        <v>335</v>
      </c>
      <c r="AU23" s="1027">
        <f>SUM('19'!G140:G141)</f>
        <v>7.2999999999999545</v>
      </c>
      <c r="AV23" s="1027">
        <f>'19'!$G$137</f>
        <v>0</v>
      </c>
      <c r="AW23" s="1027">
        <f>'19'!$G$138</f>
        <v>0</v>
      </c>
      <c r="AX23" s="1027">
        <f>'19'!$G$139</f>
        <v>2.0000000004074536E-2</v>
      </c>
      <c r="AY23" s="1037">
        <f t="shared" si="1"/>
        <v>2.0000000004074536E-2</v>
      </c>
      <c r="BA23" s="1042">
        <f t="shared" si="3"/>
        <v>-162</v>
      </c>
    </row>
    <row r="24" spans="1:53">
      <c r="A24" s="1035">
        <v>44002</v>
      </c>
      <c r="B24" s="258">
        <f>'20'!G7</f>
        <v>17000</v>
      </c>
      <c r="C24" s="258">
        <f>'20'!G8</f>
        <v>17150</v>
      </c>
      <c r="D24" s="258">
        <f>'20'!G15</f>
        <v>550</v>
      </c>
      <c r="E24" s="258">
        <f>'20'!G20</f>
        <v>57</v>
      </c>
      <c r="F24" s="258">
        <f>SUM('20'!G35,'20'!G49)</f>
        <v>1818</v>
      </c>
      <c r="G24" s="258">
        <f>SUM('20'!G37,'20'!G51)</f>
        <v>1255</v>
      </c>
      <c r="H24" s="258">
        <f>SUM('20'!G38,'20'!G52)</f>
        <v>978</v>
      </c>
      <c r="I24" s="258">
        <f>SUM('20'!G39,'20'!G53)</f>
        <v>2517</v>
      </c>
      <c r="J24" s="258">
        <f>SUM('20'!G41,'20'!G42,'20'!G55,'20'!G56)</f>
        <v>4744</v>
      </c>
      <c r="K24" s="258">
        <f>SUM('20'!G43,'20'!G57)</f>
        <v>2118</v>
      </c>
      <c r="L24" s="1036">
        <f>'20'!G50</f>
        <v>870</v>
      </c>
      <c r="M24" s="1036">
        <f>'20'!G36</f>
        <v>0</v>
      </c>
      <c r="N24" s="1036">
        <f>'20'!G72</f>
        <v>9</v>
      </c>
      <c r="O24" s="1036">
        <f>'20'!$G$73</f>
        <v>0</v>
      </c>
      <c r="P24" s="1036">
        <f>'20'!$G$74</f>
        <v>8</v>
      </c>
      <c r="Q24" s="1036">
        <f>'20'!$G$75</f>
        <v>52</v>
      </c>
      <c r="R24" s="1036">
        <f>'20'!$G$76</f>
        <v>57</v>
      </c>
      <c r="S24" s="1036">
        <f>'20'!$G$77</f>
        <v>33</v>
      </c>
      <c r="T24" s="1027">
        <f>'20'!$G$78</f>
        <v>50</v>
      </c>
      <c r="U24" s="1027">
        <f>'20'!$G$79</f>
        <v>117</v>
      </c>
      <c r="V24" s="1027">
        <f>'20'!$G$80</f>
        <v>357</v>
      </c>
      <c r="W24" s="1027">
        <f>'20'!$G$81</f>
        <v>76</v>
      </c>
      <c r="X24" s="1027">
        <f>'20'!$G$82</f>
        <v>10</v>
      </c>
      <c r="Y24" s="1027">
        <f>'20'!$G$58</f>
        <v>15</v>
      </c>
      <c r="Z24" s="1027">
        <f>'20'!$G$83</f>
        <v>94</v>
      </c>
      <c r="AA24" s="1027">
        <f>'20'!G86</f>
        <v>24</v>
      </c>
      <c r="AB24" s="1027">
        <f>'20'!G87</f>
        <v>27</v>
      </c>
      <c r="AC24" s="1027">
        <f>'20'!G88</f>
        <v>23</v>
      </c>
      <c r="AD24" s="1027">
        <f>'20'!G87+'20'!H90</f>
        <v>27</v>
      </c>
      <c r="AE24" s="1036">
        <f>'20'!$G$62</f>
        <v>0</v>
      </c>
      <c r="AF24" s="1036">
        <f>'20'!$G$63</f>
        <v>4</v>
      </c>
      <c r="AG24" s="1036">
        <f>'20'!$G$64</f>
        <v>267</v>
      </c>
      <c r="AH24" s="1036">
        <f>'20'!$G$65</f>
        <v>205</v>
      </c>
      <c r="AI24" s="1036">
        <f>'20'!$G$66</f>
        <v>256</v>
      </c>
      <c r="AJ24" s="1036">
        <f>'20'!$G$67</f>
        <v>279</v>
      </c>
      <c r="AK24" s="1036">
        <f>'20'!$G$68</f>
        <v>0</v>
      </c>
      <c r="AL24" s="1036">
        <f>'20'!$G$69</f>
        <v>67</v>
      </c>
      <c r="AM24" s="1036">
        <f>'20'!$G$84</f>
        <v>365</v>
      </c>
      <c r="AN24" s="1036">
        <f>'20'!$G$15</f>
        <v>550</v>
      </c>
      <c r="AO24" s="1036">
        <f>'20'!$G$124</f>
        <v>204</v>
      </c>
      <c r="AP24" s="1036">
        <f>'20'!$G$125</f>
        <v>0</v>
      </c>
      <c r="AQ24" s="1036">
        <f>'20'!$G$126</f>
        <v>48</v>
      </c>
      <c r="AR24" s="1036">
        <f>'20'!$G$127</f>
        <v>0</v>
      </c>
      <c r="AS24" s="1036">
        <f>'20'!$G$128</f>
        <v>0</v>
      </c>
      <c r="AT24" s="1036">
        <f t="shared" si="0"/>
        <v>298</v>
      </c>
      <c r="AU24" s="1036">
        <f>SUM('20'!G140:G141)</f>
        <v>8.1900000000000546</v>
      </c>
      <c r="AV24" s="1036">
        <f>'20'!$G$137</f>
        <v>0</v>
      </c>
      <c r="AW24" s="1036">
        <f>'20'!$G$138</f>
        <v>0</v>
      </c>
      <c r="AX24" s="1036">
        <f>'20'!$G$139</f>
        <v>0</v>
      </c>
      <c r="AY24" s="1033">
        <f t="shared" si="1"/>
        <v>0</v>
      </c>
      <c r="BA24" s="1041">
        <f t="shared" si="3"/>
        <v>-94</v>
      </c>
    </row>
    <row r="25" spans="1:53">
      <c r="A25" s="1035">
        <v>44003</v>
      </c>
      <c r="B25" s="258">
        <f>'21'!G7</f>
        <v>17000</v>
      </c>
      <c r="C25" s="258">
        <f>'21'!G8</f>
        <v>17150</v>
      </c>
      <c r="D25" s="258">
        <f>'21'!G15</f>
        <v>550</v>
      </c>
      <c r="E25" s="258">
        <f>'21'!G20</f>
        <v>96</v>
      </c>
      <c r="F25" s="258">
        <f>SUM('21'!G35,'21'!G49)</f>
        <v>1843.1300000000047</v>
      </c>
      <c r="G25" s="258">
        <f>SUM('21'!G37,'21'!G51)</f>
        <v>1333</v>
      </c>
      <c r="H25" s="258">
        <f>SUM('21'!G38,'21'!G52)</f>
        <v>1150.0699999999488</v>
      </c>
      <c r="I25" s="258">
        <f>SUM('21'!G39,'21'!G53)</f>
        <v>2103</v>
      </c>
      <c r="J25" s="258">
        <f>SUM('21'!G41,'21'!G42,'21'!G55,'21'!G56)</f>
        <v>5144</v>
      </c>
      <c r="K25" s="258">
        <f>SUM('21'!G43,'21'!G57)</f>
        <v>2133</v>
      </c>
      <c r="L25" s="1036">
        <f>'21'!G50</f>
        <v>800</v>
      </c>
      <c r="M25" s="1036">
        <f>'21'!G36</f>
        <v>0</v>
      </c>
      <c r="N25" s="1036">
        <f>'21'!G72</f>
        <v>10</v>
      </c>
      <c r="O25" s="1036">
        <f>'21'!$G$73</f>
        <v>2</v>
      </c>
      <c r="P25" s="1036">
        <f>'21'!$G$74</f>
        <v>6</v>
      </c>
      <c r="Q25" s="1036">
        <f>'21'!$G$75</f>
        <v>53</v>
      </c>
      <c r="R25" s="1036">
        <f>'21'!$G$76</f>
        <v>55</v>
      </c>
      <c r="S25" s="1036">
        <f>'21'!$G$77</f>
        <v>34</v>
      </c>
      <c r="T25" s="1027">
        <f>'21'!$G$78</f>
        <v>184</v>
      </c>
      <c r="U25" s="1027">
        <f>'21'!$G$79</f>
        <v>136</v>
      </c>
      <c r="V25" s="1027">
        <f>'21'!$G$80</f>
        <v>331</v>
      </c>
      <c r="W25" s="1027">
        <f>'21'!$G$81</f>
        <v>79</v>
      </c>
      <c r="X25" s="1027">
        <f>'21'!$G$82</f>
        <v>26</v>
      </c>
      <c r="Y25" s="1027">
        <f>'21'!$G$58</f>
        <v>133</v>
      </c>
      <c r="Z25" s="1027">
        <f>'21'!$G$83</f>
        <v>145</v>
      </c>
      <c r="AA25" s="1027">
        <f>'21'!G86</f>
        <v>21</v>
      </c>
      <c r="AB25" s="1027">
        <f>'21'!G87</f>
        <v>22</v>
      </c>
      <c r="AC25" s="1027">
        <f>'21'!G88</f>
        <v>25</v>
      </c>
      <c r="AD25" s="1027">
        <f>'21'!G87+'21'!H90</f>
        <v>22</v>
      </c>
      <c r="AE25" s="1036">
        <f>'21'!$G$62</f>
        <v>0</v>
      </c>
      <c r="AF25" s="1036">
        <f>'21'!$G$63</f>
        <v>3</v>
      </c>
      <c r="AG25" s="1036">
        <f>'21'!$G$64</f>
        <v>175</v>
      </c>
      <c r="AH25" s="1036">
        <f>'21'!$G$65</f>
        <v>206</v>
      </c>
      <c r="AI25" s="1036">
        <f>'21'!$G$66</f>
        <v>261</v>
      </c>
      <c r="AJ25" s="1036">
        <f>'21'!$G$67</f>
        <v>481</v>
      </c>
      <c r="AK25" s="1036">
        <f>'21'!$G$68</f>
        <v>0</v>
      </c>
      <c r="AL25" s="1036">
        <f>'21'!$G$69</f>
        <v>76</v>
      </c>
      <c r="AM25" s="1036">
        <f>'21'!$G$84</f>
        <v>379</v>
      </c>
      <c r="AN25" s="1036">
        <f>'21'!$G$15</f>
        <v>550</v>
      </c>
      <c r="AO25" s="1036">
        <f>'21'!$G$124</f>
        <v>194</v>
      </c>
      <c r="AP25" s="1036">
        <f>'21'!$G$125</f>
        <v>0</v>
      </c>
      <c r="AQ25" s="1036">
        <f>'21'!$G$126</f>
        <v>67</v>
      </c>
      <c r="AR25" s="1036">
        <f>'21'!$G$127</f>
        <v>0</v>
      </c>
      <c r="AS25" s="1036">
        <f>'21'!$G$128</f>
        <v>0</v>
      </c>
      <c r="AT25" s="1036">
        <f t="shared" si="0"/>
        <v>289</v>
      </c>
      <c r="AU25" s="1036">
        <f>SUM('21'!G140:G141)</f>
        <v>7.0199999999999818</v>
      </c>
      <c r="AV25" s="1036">
        <f>'21'!$G$137</f>
        <v>2.7099999999991269</v>
      </c>
      <c r="AW25" s="1036">
        <f>'21'!$G$138</f>
        <v>0</v>
      </c>
      <c r="AX25" s="1036">
        <f>'21'!$G$139</f>
        <v>6.6299999999901047</v>
      </c>
      <c r="AY25" s="1033">
        <f t="shared" si="1"/>
        <v>9.3399999999892316</v>
      </c>
      <c r="BA25" s="1041">
        <f t="shared" si="3"/>
        <v>-95</v>
      </c>
    </row>
    <row r="26" spans="1:53">
      <c r="A26" s="1035">
        <v>44004</v>
      </c>
      <c r="B26" s="258">
        <f>'22'!G7</f>
        <v>17000</v>
      </c>
      <c r="C26" s="258">
        <f>'22'!G8</f>
        <v>17150</v>
      </c>
      <c r="D26" s="258">
        <f>'22'!G15</f>
        <v>550</v>
      </c>
      <c r="E26" s="258">
        <f>'22'!G20</f>
        <v>150</v>
      </c>
      <c r="F26" s="258">
        <f>SUM('22'!G35,'22'!G49)</f>
        <v>1920</v>
      </c>
      <c r="G26" s="258">
        <f>SUM('22'!G37,'22'!G51)</f>
        <v>1372</v>
      </c>
      <c r="H26" s="258">
        <f>SUM('22'!G38,'22'!G52)</f>
        <v>1280</v>
      </c>
      <c r="I26" s="258">
        <f>SUM('22'!G39,'22'!G53)</f>
        <v>3496</v>
      </c>
      <c r="J26" s="258">
        <f>SUM('22'!G41,'22'!G42,'22'!G55,'22'!G56)</f>
        <v>6030</v>
      </c>
      <c r="K26" s="258">
        <f>SUM('22'!G43,'22'!G57)</f>
        <v>2210</v>
      </c>
      <c r="L26" s="1036">
        <f>'22'!G50</f>
        <v>918</v>
      </c>
      <c r="M26" s="1036">
        <f>'22'!G36</f>
        <v>0</v>
      </c>
      <c r="N26" s="1036">
        <f>'22'!G72</f>
        <v>10</v>
      </c>
      <c r="O26" s="1036">
        <f>'22'!$G$73</f>
        <v>1</v>
      </c>
      <c r="P26" s="1036">
        <f>'22'!$G$74</f>
        <v>8</v>
      </c>
      <c r="Q26" s="1036">
        <f>'22'!$G$75</f>
        <v>54</v>
      </c>
      <c r="R26" s="1036">
        <f>'22'!$G$76</f>
        <v>56</v>
      </c>
      <c r="S26" s="1036">
        <f>'22'!$G$77</f>
        <v>42</v>
      </c>
      <c r="T26" s="1027">
        <f>'22'!$G$78</f>
        <v>197</v>
      </c>
      <c r="U26" s="1027">
        <f>'22'!$G$79</f>
        <v>129</v>
      </c>
      <c r="V26" s="1027">
        <f>'22'!$G$80</f>
        <v>377</v>
      </c>
      <c r="W26" s="1027">
        <f>'22'!$G$81</f>
        <v>76</v>
      </c>
      <c r="X26" s="1027">
        <f>'22'!$G$82</f>
        <v>11</v>
      </c>
      <c r="Y26" s="1027">
        <f>'22'!$G$58</f>
        <v>244</v>
      </c>
      <c r="Z26" s="1027">
        <f>'22'!$G$83</f>
        <v>174</v>
      </c>
      <c r="AA26" s="1027">
        <f>'22'!G86</f>
        <v>88</v>
      </c>
      <c r="AB26" s="1027">
        <f>'22'!G87</f>
        <v>13</v>
      </c>
      <c r="AC26" s="1027">
        <f>'22'!G88</f>
        <v>23</v>
      </c>
      <c r="AD26" s="1027">
        <f>'22'!G87+'22'!H90</f>
        <v>13.800000000000182</v>
      </c>
      <c r="AE26" s="1036">
        <f>'22'!$G$62</f>
        <v>0</v>
      </c>
      <c r="AF26" s="1036">
        <f>'22'!$G$63</f>
        <v>4</v>
      </c>
      <c r="AG26" s="1036">
        <f>'22'!$G$64</f>
        <v>209</v>
      </c>
      <c r="AH26" s="1036">
        <f>'22'!$G$65</f>
        <v>203</v>
      </c>
      <c r="AI26" s="1036">
        <f>'22'!$G$66</f>
        <v>311</v>
      </c>
      <c r="AJ26" s="1036">
        <f>'22'!$G$67</f>
        <v>522</v>
      </c>
      <c r="AK26" s="1036">
        <f>'22'!$G$68</f>
        <v>0</v>
      </c>
      <c r="AL26" s="1036">
        <f>'22'!$G$69</f>
        <v>106</v>
      </c>
      <c r="AM26" s="1036">
        <f>'22'!$G$84</f>
        <v>451</v>
      </c>
      <c r="AN26" s="1036">
        <f>'22'!$G$15</f>
        <v>550</v>
      </c>
      <c r="AO26" s="1074">
        <f>'22'!$G$124</f>
        <v>194</v>
      </c>
      <c r="AP26" s="1036">
        <f>'22'!$G$125</f>
        <v>0</v>
      </c>
      <c r="AQ26" s="1036">
        <f>'22'!$G$126</f>
        <v>64</v>
      </c>
      <c r="AR26" s="1036">
        <f>'22'!$G$127</f>
        <v>0</v>
      </c>
      <c r="AS26" s="1036">
        <f>'22'!$G$128</f>
        <v>0</v>
      </c>
      <c r="AT26" s="1036">
        <f t="shared" si="0"/>
        <v>292</v>
      </c>
      <c r="AU26" s="1036">
        <f>SUM('22'!G140:G141)</f>
        <v>7.3600000000001273</v>
      </c>
      <c r="AV26" s="1036">
        <f>'22'!$G$137</f>
        <v>7.5400000000008731</v>
      </c>
      <c r="AW26" s="1036">
        <f>'22'!$G$138</f>
        <v>0</v>
      </c>
      <c r="AX26" s="1036">
        <f>'22'!$G$139</f>
        <v>0</v>
      </c>
      <c r="AY26" s="1033">
        <f t="shared" si="1"/>
        <v>7.5400000000008731</v>
      </c>
      <c r="BA26" s="1041">
        <f t="shared" si="3"/>
        <v>-98</v>
      </c>
    </row>
    <row r="27" spans="1:53">
      <c r="A27" s="1035">
        <v>44005</v>
      </c>
      <c r="B27" s="258">
        <f>'23'!G7</f>
        <v>17000</v>
      </c>
      <c r="C27" s="258">
        <f>'23'!G8</f>
        <v>17150</v>
      </c>
      <c r="D27" s="258">
        <f>'23'!G15</f>
        <v>550</v>
      </c>
      <c r="E27" s="258">
        <f>'23'!G20</f>
        <v>140</v>
      </c>
      <c r="F27" s="258">
        <f>SUM('23'!G35,'23'!G49)</f>
        <v>2173.4300000000512</v>
      </c>
      <c r="G27" s="258">
        <f>SUM('23'!G37,'23'!G51)</f>
        <v>1310.3799999999901</v>
      </c>
      <c r="H27" s="258">
        <f>SUM('23'!G38,'23'!G52)</f>
        <v>1286.429999999993</v>
      </c>
      <c r="I27" s="258">
        <f>SUM('23'!G39,'23'!G53)</f>
        <v>2942.6599999999744</v>
      </c>
      <c r="J27" s="258">
        <f>SUM('23'!G41,'23'!G42,'23'!G55,'23'!G56)</f>
        <v>5435.8999999999505</v>
      </c>
      <c r="K27" s="258">
        <f>SUM('23'!G43,'23'!G57)</f>
        <v>2171.5999999999767</v>
      </c>
      <c r="L27" s="1036">
        <f>'23'!G50</f>
        <v>854.15000000002328</v>
      </c>
      <c r="M27" s="1036">
        <f>'23'!G36</f>
        <v>0</v>
      </c>
      <c r="N27" s="1036">
        <f>'23'!G72</f>
        <v>10</v>
      </c>
      <c r="O27" s="1036">
        <f>'23'!G73</f>
        <v>0</v>
      </c>
      <c r="P27" s="1036">
        <f>'23'!$G$74</f>
        <v>6.6500000000000909</v>
      </c>
      <c r="Q27" s="1036">
        <f>'23'!$G$75</f>
        <v>58.1200000000008</v>
      </c>
      <c r="R27" s="1036">
        <f>'23'!$G$76</f>
        <v>54.300000000000182</v>
      </c>
      <c r="S27" s="1036">
        <f>'23'!$G$77</f>
        <v>38</v>
      </c>
      <c r="T27" s="1027">
        <f>'23'!$G$78</f>
        <v>127</v>
      </c>
      <c r="U27" s="1027">
        <f>'23'!$G$79</f>
        <v>131</v>
      </c>
      <c r="V27" s="1027">
        <f>'23'!$G$80</f>
        <v>357.64000000001397</v>
      </c>
      <c r="W27" s="1027">
        <f>'23'!$G$81</f>
        <v>79.560000000055879</v>
      </c>
      <c r="X27" s="1027">
        <f>'23'!$G$82</f>
        <v>11.070000000006985</v>
      </c>
      <c r="Y27" s="1027">
        <f>'23'!$G$58</f>
        <v>29.150000000001455</v>
      </c>
      <c r="Z27" s="1072">
        <f>'23'!$G$83</f>
        <v>211</v>
      </c>
      <c r="AA27" s="1027">
        <f>'23'!$G$86</f>
        <v>22.559999999997672</v>
      </c>
      <c r="AB27" s="1027">
        <f>'23'!G87</f>
        <v>6.3000000000029104</v>
      </c>
      <c r="AC27" s="1027">
        <f>'23'!G88</f>
        <v>23.730000000010477</v>
      </c>
      <c r="AD27" s="1027">
        <f>'23'!G87+'23'!H90</f>
        <v>6.4000000000028194</v>
      </c>
      <c r="AE27" s="1036">
        <f>'23'!$G$62</f>
        <v>-0.2000000000007276</v>
      </c>
      <c r="AF27" s="1036">
        <f>'23'!$G$63</f>
        <v>3.8699999999998909</v>
      </c>
      <c r="AG27" s="1036">
        <f>'23'!$G$64</f>
        <v>204.73999999999069</v>
      </c>
      <c r="AH27" s="1036">
        <f>'23'!$G$65</f>
        <v>208.10000000000582</v>
      </c>
      <c r="AI27" s="1036">
        <f>'23'!$G$66</f>
        <v>312.41999999999825</v>
      </c>
      <c r="AJ27" s="1036">
        <f>'23'!$G$67</f>
        <v>495.17000000001281</v>
      </c>
      <c r="AK27" s="1036">
        <f>'23'!$G$68</f>
        <v>0</v>
      </c>
      <c r="AL27" s="1036">
        <f>'23'!$G$69</f>
        <v>192.10000000000582</v>
      </c>
      <c r="AM27" s="1036">
        <f>'23'!$G$84</f>
        <v>556</v>
      </c>
      <c r="AN27" s="1036">
        <f>'23'!$G$15</f>
        <v>550</v>
      </c>
      <c r="AO27" s="1036">
        <f>'23'!$G$124</f>
        <v>214.8399999999674</v>
      </c>
      <c r="AP27" s="1036">
        <f>'23'!$G$125</f>
        <v>0</v>
      </c>
      <c r="AQ27" s="1036">
        <f>'23'!$G$126</f>
        <v>60.839999999996508</v>
      </c>
      <c r="AR27" s="1036">
        <f>'23'!$G$127</f>
        <v>0.2000000000007276</v>
      </c>
      <c r="AS27" s="1036">
        <f>'23'!$G$128</f>
        <v>-0.3999999999996362</v>
      </c>
      <c r="AT27" s="1036">
        <f t="shared" si="0"/>
        <v>274.520000000035</v>
      </c>
      <c r="AU27" s="1036">
        <f>SUM('23'!G140:G141)</f>
        <v>8.0499999999999545</v>
      </c>
      <c r="AV27" s="1036">
        <f>'23'!$G$137</f>
        <v>0</v>
      </c>
      <c r="AW27" s="1036">
        <f>'23'!$G$138</f>
        <v>0</v>
      </c>
      <c r="AX27" s="1036">
        <f>'23'!$G$139</f>
        <v>2.4500000000116415</v>
      </c>
      <c r="AY27" s="1033">
        <f t="shared" si="1"/>
        <v>2.4500000000116415</v>
      </c>
      <c r="BA27" s="1041">
        <f t="shared" si="3"/>
        <v>-59.680000000067594</v>
      </c>
    </row>
    <row r="28" spans="1:53" s="1075" customFormat="1">
      <c r="A28" s="1035">
        <v>44006</v>
      </c>
      <c r="B28" s="258">
        <f>'24'!G7</f>
        <v>17000</v>
      </c>
      <c r="C28" s="258">
        <f>'24'!G8</f>
        <v>17150</v>
      </c>
      <c r="D28" s="258">
        <f>'24'!G15</f>
        <v>550</v>
      </c>
      <c r="E28" s="258">
        <f>'24'!G20</f>
        <v>110</v>
      </c>
      <c r="F28" s="258">
        <f>SUM('24'!G35,'24'!G49)</f>
        <v>2126.4799999999814</v>
      </c>
      <c r="G28" s="258">
        <f>SUM('24'!G37,'24'!G51)</f>
        <v>1287.3700000000099</v>
      </c>
      <c r="H28" s="258">
        <f>SUM('24'!G38,'24'!G52)</f>
        <v>1238.2799999999988</v>
      </c>
      <c r="I28" s="258">
        <f>SUM('24'!G39,'24'!G53)</f>
        <v>2764.8800000000629</v>
      </c>
      <c r="J28" s="258">
        <f>SUM('24'!G41,'24'!G42,'24'!G55,'24'!G56)</f>
        <v>5182.0400000000445</v>
      </c>
      <c r="K28" s="258">
        <f>SUM('24'!G43,'24'!G57)</f>
        <v>2226.2000000000698</v>
      </c>
      <c r="L28" s="1036">
        <f>'24'!G50</f>
        <v>864.44000000000233</v>
      </c>
      <c r="M28" s="1027">
        <f>'24'!G36</f>
        <v>0</v>
      </c>
      <c r="N28" s="1027">
        <f>'24'!G72</f>
        <v>9</v>
      </c>
      <c r="O28" s="1027">
        <f>'24'!G73</f>
        <v>2</v>
      </c>
      <c r="P28" s="1027">
        <f>'24'!$G$74</f>
        <v>7.0299999999997453</v>
      </c>
      <c r="Q28" s="1027">
        <f>'24'!$G$75</f>
        <v>58.089999999998327</v>
      </c>
      <c r="R28" s="1027">
        <f>'24'!$G$76</f>
        <v>57.529999999999745</v>
      </c>
      <c r="S28" s="1027">
        <f>'24'!$G$77</f>
        <v>42</v>
      </c>
      <c r="T28" s="1027">
        <f>'24'!$G$78</f>
        <v>92</v>
      </c>
      <c r="U28" s="1027">
        <f>'24'!$G$79</f>
        <v>123</v>
      </c>
      <c r="V28" s="1027">
        <f>'24'!$G$80</f>
        <v>342.40000000002328</v>
      </c>
      <c r="W28" s="1027">
        <f>'24'!$G$81</f>
        <v>80.479999999981374</v>
      </c>
      <c r="X28" s="1027">
        <f>'24'!$G$82</f>
        <v>30.079999999987194</v>
      </c>
      <c r="Y28" s="1027">
        <f>'24'!$G$58</f>
        <v>98.220000000001164</v>
      </c>
      <c r="Z28" s="1027">
        <f>'24'!$G$83</f>
        <v>135</v>
      </c>
      <c r="AA28" s="1027">
        <f>'24'!G86</f>
        <v>25.28000000002794</v>
      </c>
      <c r="AB28" s="1027">
        <f>'24'!G87</f>
        <v>18</v>
      </c>
      <c r="AC28" s="1027">
        <f>'24'!G88</f>
        <v>125.29999999998836</v>
      </c>
      <c r="AD28" s="1027">
        <f>'24'!G87+'24'!H90</f>
        <v>18</v>
      </c>
      <c r="AE28" s="1027">
        <f>'24'!$G$62</f>
        <v>0</v>
      </c>
      <c r="AF28" s="1027">
        <f>'24'!$G$63</f>
        <v>3.8499999999999091</v>
      </c>
      <c r="AG28" s="1027">
        <f>'24'!$G$64</f>
        <v>214.25</v>
      </c>
      <c r="AH28" s="1027">
        <f>'24'!$G$65</f>
        <v>219.75</v>
      </c>
      <c r="AI28" s="1027">
        <f>'24'!$G$66</f>
        <v>302.76000000000204</v>
      </c>
      <c r="AJ28" s="1027">
        <f>'24'!$G$67</f>
        <v>430.22999999998137</v>
      </c>
      <c r="AK28" s="1027">
        <f>'24'!$G$68</f>
        <v>0</v>
      </c>
      <c r="AL28" s="1027">
        <f>'24'!$G$69</f>
        <v>85.279999999998836</v>
      </c>
      <c r="AM28" s="1027">
        <f>'24'!$G$84</f>
        <v>653</v>
      </c>
      <c r="AN28" s="1027">
        <f>'24'!$G$15</f>
        <v>550</v>
      </c>
      <c r="AO28" s="1074">
        <f>'24'!$G$124</f>
        <v>230.1600000000326</v>
      </c>
      <c r="AP28" s="1074">
        <f>'24'!$G$125</f>
        <v>0</v>
      </c>
      <c r="AQ28" s="1074">
        <f>'24'!$G$126</f>
        <v>71.790000000008149</v>
      </c>
      <c r="AR28" s="1027">
        <f>'24'!$G$127</f>
        <v>0</v>
      </c>
      <c r="AS28" s="1027">
        <f>'24'!$G$128</f>
        <v>0</v>
      </c>
      <c r="AT28" s="1074">
        <f>AN28-SUM(AO28:AS28)</f>
        <v>248.04999999995925</v>
      </c>
      <c r="AU28" s="1027">
        <f>SUM('24'!G140:G141)</f>
        <v>8.2199999999997999</v>
      </c>
      <c r="AV28" s="1027">
        <f>'24'!$G$137</f>
        <v>0</v>
      </c>
      <c r="AW28" s="1027">
        <f>'24'!$G$138</f>
        <v>0</v>
      </c>
      <c r="AX28" s="1027">
        <f>'24'!$G$139</f>
        <v>10.25</v>
      </c>
      <c r="AY28" s="1037">
        <f t="shared" si="1"/>
        <v>10.25</v>
      </c>
      <c r="BA28" s="1076">
        <f t="shared" si="3"/>
        <v>-17.889999999926658</v>
      </c>
    </row>
    <row r="29" spans="1:53">
      <c r="A29" s="1035">
        <v>44007</v>
      </c>
      <c r="B29" s="258">
        <f>'25'!G7</f>
        <v>17000</v>
      </c>
      <c r="C29" s="258">
        <f>'25'!G8</f>
        <v>17150</v>
      </c>
      <c r="D29" s="258">
        <f>'25'!G15</f>
        <v>550</v>
      </c>
      <c r="E29" s="258">
        <f>'25'!G20</f>
        <v>120</v>
      </c>
      <c r="F29" s="258">
        <f>SUM('25'!G35,'25'!G49)</f>
        <v>2110.8800000000047</v>
      </c>
      <c r="G29" s="258">
        <f>SUM('25'!G37,'25'!G51)</f>
        <v>1247.8499999999913</v>
      </c>
      <c r="H29" s="258">
        <f>SUM('25'!G38,'25'!G52)</f>
        <v>1212.3300000000163</v>
      </c>
      <c r="I29" s="258">
        <f>SUM('25'!G39,'25'!G53)</f>
        <v>2568.5999999999767</v>
      </c>
      <c r="J29" s="258">
        <f>SUM('25'!G41,'25'!G42,'25'!G55,'25'!G56)</f>
        <v>5004.3399999999747</v>
      </c>
      <c r="K29" s="258">
        <f>SUM('25'!G43,'25'!G57)</f>
        <v>2198.6999999999534</v>
      </c>
      <c r="L29" s="1036">
        <f>'25'!G50</f>
        <v>860.51999999996042</v>
      </c>
      <c r="M29" s="1036">
        <f>'25'!G36</f>
        <v>0</v>
      </c>
      <c r="N29" s="1036">
        <f>'25'!G72</f>
        <v>9</v>
      </c>
      <c r="O29" s="1036">
        <f>'25'!$G$73</f>
        <v>14</v>
      </c>
      <c r="P29" s="1036">
        <f>'25'!$G$74</f>
        <v>6.1100000000001273</v>
      </c>
      <c r="Q29" s="1036">
        <f>'25'!$G$75</f>
        <v>54.400000000001455</v>
      </c>
      <c r="R29" s="1036">
        <f>'25'!$G$76</f>
        <v>57.020000000000437</v>
      </c>
      <c r="S29" s="1036">
        <f>'25'!$G$77</f>
        <v>46</v>
      </c>
      <c r="T29" s="1027">
        <f>'25'!$G$78</f>
        <v>101</v>
      </c>
      <c r="U29" s="1027">
        <f>'25'!$G$79</f>
        <v>121</v>
      </c>
      <c r="V29" s="1027">
        <f>'25'!$G$80</f>
        <v>365.07999999995809</v>
      </c>
      <c r="W29" s="1027">
        <f>'25'!$G$81</f>
        <v>89.119999999995343</v>
      </c>
      <c r="X29" s="1027">
        <f>'25'!$G$82</f>
        <v>10.590000000011059</v>
      </c>
      <c r="Y29" s="1027">
        <f>'25'!$G$58</f>
        <v>244.13999999999942</v>
      </c>
      <c r="Z29" s="1027">
        <f>'25'!$G$83</f>
        <v>183</v>
      </c>
      <c r="AA29" s="1027">
        <f>'25'!G86</f>
        <v>24</v>
      </c>
      <c r="AB29" s="1027">
        <f>'25'!G87</f>
        <v>33.399999999994179</v>
      </c>
      <c r="AC29" s="1027">
        <f>'25'!G88</f>
        <v>23.929999999993015</v>
      </c>
      <c r="AD29" s="1027">
        <f>'25'!G87+'25'!H90</f>
        <v>33.399999999994179</v>
      </c>
      <c r="AE29" s="1036">
        <f>'25'!$G$62</f>
        <v>0</v>
      </c>
      <c r="AF29" s="1036">
        <f>'25'!$G$63</f>
        <v>3.75</v>
      </c>
      <c r="AG29" s="1036">
        <f>'25'!$G$64</f>
        <v>198.07000000000698</v>
      </c>
      <c r="AH29" s="1036">
        <f>'25'!$G$65</f>
        <v>259.14999999999418</v>
      </c>
      <c r="AI29" s="1036">
        <f>'25'!$G$66</f>
        <v>252.61000000000058</v>
      </c>
      <c r="AJ29" s="1036">
        <f>'25'!$G$67</f>
        <v>362.61000000001513</v>
      </c>
      <c r="AK29" s="1036">
        <f>'25'!$G$68</f>
        <v>0</v>
      </c>
      <c r="AL29" s="1036">
        <f>'25'!$G$69</f>
        <v>71.589999999996508</v>
      </c>
      <c r="AM29" s="1036">
        <f>'25'!$G$84</f>
        <v>649</v>
      </c>
      <c r="AN29" s="1036">
        <f>'25'!$G$15</f>
        <v>550</v>
      </c>
      <c r="AO29" s="1036">
        <f>'25'!$G$124</f>
        <v>208.40000000002328</v>
      </c>
      <c r="AP29" s="1036">
        <f>'25'!$G$125</f>
        <v>0</v>
      </c>
      <c r="AQ29" s="1036">
        <f>'25'!$G$126</f>
        <v>74.119999999995343</v>
      </c>
      <c r="AR29" s="1036">
        <f>'25'!$G$127</f>
        <v>0</v>
      </c>
      <c r="AS29" s="1036">
        <f>'25'!$G$128</f>
        <v>0</v>
      </c>
      <c r="AT29" s="1036">
        <f t="shared" si="0"/>
        <v>267.47999999998137</v>
      </c>
      <c r="AU29" s="1036">
        <f>SUM('25'!G140:G141)</f>
        <v>7.9900000000002365</v>
      </c>
      <c r="AV29" s="1036">
        <f>'25'!$G$137</f>
        <v>7.8999999999978172</v>
      </c>
      <c r="AW29" s="1036">
        <f>'25'!$G$138</f>
        <v>9.9999999983992893E-3</v>
      </c>
      <c r="AX29" s="1036">
        <f>'25'!$G$139</f>
        <v>0</v>
      </c>
      <c r="AY29" s="1033">
        <f t="shared" si="1"/>
        <v>7.9099999999962165</v>
      </c>
      <c r="BA29" s="1041">
        <f t="shared" si="3"/>
        <v>-59.07999999995809</v>
      </c>
    </row>
    <row r="30" spans="1:53">
      <c r="A30" s="1035">
        <v>44008</v>
      </c>
      <c r="B30" s="258">
        <f>'26'!G7</f>
        <v>17000</v>
      </c>
      <c r="C30" s="258">
        <f>'26'!G8</f>
        <v>17150</v>
      </c>
      <c r="D30" s="258">
        <f>'26'!G15</f>
        <v>550</v>
      </c>
      <c r="E30" s="258">
        <f>'26'!G20</f>
        <v>113</v>
      </c>
      <c r="F30" s="258">
        <f>SUM('26'!G35,'26'!G49)</f>
        <v>2644.9599999999627</v>
      </c>
      <c r="G30" s="258">
        <f>SUM('26'!G37,'26'!G51)</f>
        <v>1344</v>
      </c>
      <c r="H30" s="258">
        <f>SUM('26'!G38,'26'!G52)</f>
        <v>1226.3500000000058</v>
      </c>
      <c r="I30" s="258">
        <f>SUM('26'!G39,'26'!G53)</f>
        <v>2690.8799999999464</v>
      </c>
      <c r="J30" s="258">
        <f>SUM('26'!G41,'26'!G42,'26'!G55,'26'!G56)</f>
        <v>5995.2500000000291</v>
      </c>
      <c r="K30" s="258">
        <f>SUM('26'!G43,'26'!G57)</f>
        <v>2602.8000000000466</v>
      </c>
      <c r="L30" s="1036">
        <f>'26'!G50</f>
        <v>1413.7200000000303</v>
      </c>
      <c r="M30" s="1036">
        <f>'26'!G36</f>
        <v>0</v>
      </c>
      <c r="N30" s="1036">
        <f>'26'!G72</f>
        <v>13</v>
      </c>
      <c r="O30" s="1036">
        <f>'26'!$G$73</f>
        <v>17</v>
      </c>
      <c r="P30" s="1036">
        <f>'26'!$G$74</f>
        <v>7.2800000000002001</v>
      </c>
      <c r="Q30" s="1036">
        <f>'26'!$G$75</f>
        <v>68.889999999999418</v>
      </c>
      <c r="R30" s="1036">
        <f>'26'!$G$76</f>
        <v>53.149999999999636</v>
      </c>
      <c r="S30" s="1036">
        <f>'26'!$G$77</f>
        <v>41</v>
      </c>
      <c r="T30" s="1027">
        <f>'26'!$G$78</f>
        <v>9</v>
      </c>
      <c r="U30" s="1027">
        <f>'26'!$G$79</f>
        <v>132</v>
      </c>
      <c r="V30" s="1027">
        <f>'26'!$G$80</f>
        <v>383.92000000004191</v>
      </c>
      <c r="W30" s="1027">
        <f>'26'!$G$81</f>
        <v>78.559999999939464</v>
      </c>
      <c r="X30" s="1027">
        <f>'26'!$G$82</f>
        <v>10.679999999993015</v>
      </c>
      <c r="Y30" s="1027">
        <f>'26'!$G$58</f>
        <v>37.169999999998254</v>
      </c>
      <c r="Z30" s="1027">
        <f>'26'!$G$83</f>
        <v>190</v>
      </c>
      <c r="AA30" s="1027">
        <f>'26'!G86</f>
        <v>30.479999999981374</v>
      </c>
      <c r="AB30" s="1027">
        <f>'26'!G87</f>
        <v>18.80000000000291</v>
      </c>
      <c r="AC30" s="1027">
        <f>'26'!G88</f>
        <v>22.050000000017462</v>
      </c>
      <c r="AD30" s="1027">
        <f>'26'!G87+'26'!H90</f>
        <v>18.80000000000291</v>
      </c>
      <c r="AE30" s="1036">
        <f>'26'!$G$62</f>
        <v>0</v>
      </c>
      <c r="AF30" s="1036">
        <f>'26'!$G$63</f>
        <v>3.6300000000001091</v>
      </c>
      <c r="AG30" s="1036">
        <f>'26'!$G$64</f>
        <v>174.64000000001397</v>
      </c>
      <c r="AH30" s="1036">
        <f>'26'!$G$65</f>
        <v>185.88000000000466</v>
      </c>
      <c r="AI30" s="1036">
        <f>'26'!$G$66</f>
        <v>245.62999999999738</v>
      </c>
      <c r="AJ30" s="1036">
        <f>'26'!$G$67</f>
        <v>385.55999999999767</v>
      </c>
      <c r="AK30" s="1036">
        <f>'26'!$G$68</f>
        <v>0</v>
      </c>
      <c r="AL30" s="1036">
        <f>'26'!$G$69</f>
        <v>139.5399999999936</v>
      </c>
      <c r="AM30" s="1036">
        <f>'26'!$G$84</f>
        <v>786</v>
      </c>
      <c r="AN30" s="1036">
        <f>'26'!$G$15</f>
        <v>550</v>
      </c>
      <c r="AO30" s="1036">
        <f>'26'!$G$124</f>
        <v>207.51000000000931</v>
      </c>
      <c r="AP30" s="1036">
        <f>'26'!$G$125</f>
        <v>0</v>
      </c>
      <c r="AQ30" s="1036">
        <f>'26'!$G$126</f>
        <v>71.220000000001164</v>
      </c>
      <c r="AR30" s="1036">
        <f>'26'!$G$127</f>
        <v>0</v>
      </c>
      <c r="AS30" s="1036">
        <f>'26'!$G$128</f>
        <v>0</v>
      </c>
      <c r="AT30" s="1036">
        <f t="shared" si="0"/>
        <v>271.26999999998952</v>
      </c>
      <c r="AU30" s="1036">
        <f>SUM('26'!G140:G141)</f>
        <v>7.7799999999999727</v>
      </c>
      <c r="AV30" s="1036">
        <f>'26'!$G$137</f>
        <v>1.0000000002037268E-2</v>
      </c>
      <c r="AW30" s="1036">
        <f>'26'!$G$138</f>
        <v>-9.9999999983992893E-3</v>
      </c>
      <c r="AX30" s="1036">
        <f>'26'!$G$139</f>
        <v>2.8299999999871943</v>
      </c>
      <c r="AY30" s="1033">
        <f t="shared" si="1"/>
        <v>2.8299999999908323</v>
      </c>
      <c r="BA30" s="1041">
        <f t="shared" si="3"/>
        <v>-63.759999999980209</v>
      </c>
    </row>
    <row r="31" spans="1:53">
      <c r="A31" s="1035">
        <v>44009</v>
      </c>
      <c r="B31" s="258">
        <f>'27'!G7</f>
        <v>17000</v>
      </c>
      <c r="C31" s="258">
        <f>'27'!G8</f>
        <v>17150</v>
      </c>
      <c r="D31" s="258">
        <f>'27'!G15</f>
        <v>550</v>
      </c>
      <c r="E31" s="258">
        <f>'27'!G20</f>
        <v>121</v>
      </c>
      <c r="F31" s="258">
        <f>SUM('27'!G35,'27'!G49)</f>
        <v>2481.25</v>
      </c>
      <c r="G31" s="258">
        <f>SUM('27'!G37,'27'!G51)</f>
        <v>1296.4000000000087</v>
      </c>
      <c r="H31" s="258">
        <f>SUM('27'!G38,'27'!G52)</f>
        <v>1176.5400000000373</v>
      </c>
      <c r="I31" s="258">
        <f>SUM('27'!G39,'27'!G53)</f>
        <v>2773.9800000000396</v>
      </c>
      <c r="J31" s="258">
        <f>SUM('27'!G41,'27'!G42,'27'!G55,'27'!G56)</f>
        <v>4767.4700000000012</v>
      </c>
      <c r="K31" s="258">
        <f>SUM('27'!G43,'27'!G57)</f>
        <v>2345.6999999999534</v>
      </c>
      <c r="L31" s="1036">
        <f>'27'!G50</f>
        <v>845.1699999999837</v>
      </c>
      <c r="M31" s="1036">
        <f>'27'!G36</f>
        <v>0</v>
      </c>
      <c r="N31" s="1036">
        <f>'27'!G72</f>
        <v>10</v>
      </c>
      <c r="O31" s="1036">
        <f>'27'!$G$73</f>
        <v>1</v>
      </c>
      <c r="P31" s="1036">
        <f>'27'!$G$74</f>
        <v>5.9299999999998363</v>
      </c>
      <c r="Q31" s="1036">
        <f>'27'!$G$75</f>
        <v>59.5</v>
      </c>
      <c r="R31" s="1036">
        <f>'27'!$G$76</f>
        <v>54</v>
      </c>
      <c r="S31" s="1036">
        <f>'27'!$G$77</f>
        <v>44</v>
      </c>
      <c r="T31" s="1027">
        <f>'27'!$G$78</f>
        <v>64</v>
      </c>
      <c r="U31" s="1027">
        <f>'27'!$G$79</f>
        <v>112</v>
      </c>
      <c r="V31" s="1027">
        <f>'27'!$G$80</f>
        <v>342.95999999996275</v>
      </c>
      <c r="W31" s="1027">
        <f>'27'!$G$81</f>
        <v>80.28000000002794</v>
      </c>
      <c r="X31" s="1027">
        <f>'27'!$G$82</f>
        <v>24.580000000001746</v>
      </c>
      <c r="Y31" s="1027">
        <f>'27'!$G$58</f>
        <v>82.319999999999709</v>
      </c>
      <c r="Z31" s="1027">
        <f>'27'!$G$83</f>
        <v>167</v>
      </c>
      <c r="AA31" s="1027">
        <f>'27'!G86</f>
        <v>34.679999999993015</v>
      </c>
      <c r="AB31" s="1027">
        <f>'27'!G87</f>
        <v>17.5</v>
      </c>
      <c r="AC31" s="1027">
        <f>'27'!G88</f>
        <v>21.989999999990687</v>
      </c>
      <c r="AD31" s="1027">
        <f>'27'!G87+'27'!H90</f>
        <v>17.900000000000091</v>
      </c>
      <c r="AE31" s="1036">
        <f>'27'!$G$62</f>
        <v>0</v>
      </c>
      <c r="AF31" s="1036">
        <f>'27'!$G$63</f>
        <v>2.9000000000000909</v>
      </c>
      <c r="AG31" s="1036">
        <f>'27'!$G$64</f>
        <v>196.29999999998836</v>
      </c>
      <c r="AH31" s="1036">
        <f>'27'!$G$65</f>
        <v>214.11999999999534</v>
      </c>
      <c r="AI31" s="1036">
        <f>'27'!$G$66</f>
        <v>267.58000000000175</v>
      </c>
      <c r="AJ31" s="1036">
        <f>'27'!$G$67</f>
        <v>446.42999999999302</v>
      </c>
      <c r="AK31" s="1036">
        <f>'27'!$G$68</f>
        <v>0</v>
      </c>
      <c r="AL31" s="1036">
        <f>'27'!$G$69</f>
        <v>100.49000000000524</v>
      </c>
      <c r="AM31" s="1036">
        <f>'27'!$G$84</f>
        <v>763</v>
      </c>
      <c r="AN31" s="1036">
        <f>'27'!$G$15</f>
        <v>550</v>
      </c>
      <c r="AO31" s="1036">
        <f>'27'!$G$124</f>
        <v>205.0899999999674</v>
      </c>
      <c r="AP31" s="1036">
        <f>'27'!$G$125</f>
        <v>0</v>
      </c>
      <c r="AQ31" s="1036">
        <f>'27'!$G$126</f>
        <v>53.029999999998836</v>
      </c>
      <c r="AR31" s="1036">
        <f>'27'!$G$127</f>
        <v>0</v>
      </c>
      <c r="AS31" s="1036">
        <f>'27'!$G$128</f>
        <v>0</v>
      </c>
      <c r="AT31" s="1036">
        <f t="shared" si="0"/>
        <v>291.88000000003376</v>
      </c>
      <c r="AU31" s="1036">
        <f>SUM('27'!G140:G141)</f>
        <v>7.6299999999998818</v>
      </c>
      <c r="AV31" s="1036">
        <f>'27'!$G$137</f>
        <v>0</v>
      </c>
      <c r="AW31" s="1036">
        <f>'27'!$G$138</f>
        <v>0</v>
      </c>
      <c r="AX31" s="1036">
        <f>'27'!$G$139</f>
        <v>9.7800000000133878</v>
      </c>
      <c r="AY31" s="1033">
        <f t="shared" si="1"/>
        <v>9.7800000000133878</v>
      </c>
      <c r="BA31" s="1041">
        <f t="shared" si="3"/>
        <v>-86.790000000066357</v>
      </c>
    </row>
    <row r="32" spans="1:53">
      <c r="A32" s="1035">
        <v>44010</v>
      </c>
      <c r="B32" s="258">
        <f>'28'!G7</f>
        <v>17000</v>
      </c>
      <c r="C32" s="258">
        <f>'28'!G8</f>
        <v>17150</v>
      </c>
      <c r="D32" s="258">
        <f>'28'!G15</f>
        <v>550</v>
      </c>
      <c r="E32" s="258">
        <f>'28'!G20</f>
        <v>100</v>
      </c>
      <c r="F32" s="258">
        <f>SUM('28'!G35,'28'!G49)</f>
        <v>2485</v>
      </c>
      <c r="G32" s="258">
        <f>SUM('28'!G37,'28'!G51)</f>
        <v>1279</v>
      </c>
      <c r="H32" s="258">
        <f>SUM('28'!G38,'28'!G52)</f>
        <v>1195.0699999999488</v>
      </c>
      <c r="I32" s="258">
        <f>SUM('28'!G39,'28'!G53)</f>
        <v>2711</v>
      </c>
      <c r="J32" s="258">
        <f>SUM('28'!G41,'28'!G42,'28'!G55,'28'!G56)</f>
        <v>4796</v>
      </c>
      <c r="K32" s="258">
        <f>SUM('28'!G43,'28'!G57)</f>
        <v>2329.33</v>
      </c>
      <c r="L32" s="1036">
        <f>'28'!G50</f>
        <v>832</v>
      </c>
      <c r="M32" s="1036">
        <f>'28'!G36</f>
        <v>0</v>
      </c>
      <c r="N32" s="1036">
        <f>'28'!G72</f>
        <v>14</v>
      </c>
      <c r="O32" s="1036">
        <f>'28'!$G$73</f>
        <v>1</v>
      </c>
      <c r="P32" s="1036">
        <f>'28'!$G$74</f>
        <v>7</v>
      </c>
      <c r="Q32" s="1036">
        <f>'28'!$G$75</f>
        <v>58</v>
      </c>
      <c r="R32" s="1036">
        <f>'28'!$G$76</f>
        <v>57</v>
      </c>
      <c r="S32" s="1036">
        <f>'28'!$G$77</f>
        <v>39</v>
      </c>
      <c r="T32" s="1027">
        <f>'28'!$G$78</f>
        <v>110</v>
      </c>
      <c r="U32" s="1027">
        <f>'28'!$G$79</f>
        <v>134</v>
      </c>
      <c r="V32" s="1027">
        <f>'28'!$G$80</f>
        <v>345</v>
      </c>
      <c r="W32" s="1027">
        <f>'28'!$G$81</f>
        <v>77</v>
      </c>
      <c r="X32" s="1027">
        <f>'28'!$G$82</f>
        <v>11</v>
      </c>
      <c r="Y32" s="1027">
        <f>'28'!$G$58</f>
        <v>213</v>
      </c>
      <c r="Z32" s="1027">
        <f>'28'!$G$83</f>
        <v>149</v>
      </c>
      <c r="AA32" s="1027">
        <f>'28'!G86</f>
        <v>34</v>
      </c>
      <c r="AB32" s="1027">
        <f>'28'!G87</f>
        <v>18</v>
      </c>
      <c r="AC32" s="1027">
        <f>'28'!G88</f>
        <v>23</v>
      </c>
      <c r="AD32" s="1027">
        <f>'28'!G87+'28'!H90</f>
        <v>18</v>
      </c>
      <c r="AE32" s="1036">
        <f>'28'!$G$62</f>
        <v>0</v>
      </c>
      <c r="AF32" s="1036">
        <f>'28'!$G$63</f>
        <v>4</v>
      </c>
      <c r="AG32" s="1036">
        <f>'28'!$G$64</f>
        <v>191</v>
      </c>
      <c r="AH32" s="1036">
        <f>'28'!$G$65</f>
        <v>218</v>
      </c>
      <c r="AI32" s="1036">
        <f>'28'!$G$66</f>
        <v>248</v>
      </c>
      <c r="AJ32" s="1036">
        <f>'28'!$G$67</f>
        <v>372</v>
      </c>
      <c r="AK32" s="1036">
        <f>'28'!$G$68</f>
        <v>0</v>
      </c>
      <c r="AL32" s="1036">
        <f>'28'!$G$69</f>
        <v>126</v>
      </c>
      <c r="AM32" s="1036">
        <f>'28'!$G$84</f>
        <v>879</v>
      </c>
      <c r="AN32" s="1036">
        <f>'28'!$G$15</f>
        <v>550</v>
      </c>
      <c r="AO32" s="1036">
        <f>'28'!$G$124</f>
        <v>197</v>
      </c>
      <c r="AP32" s="1036">
        <f>'28'!$G$125</f>
        <v>0</v>
      </c>
      <c r="AQ32" s="1036">
        <f>'28'!$G$126</f>
        <v>66</v>
      </c>
      <c r="AR32" s="1036">
        <f>'28'!$G$127</f>
        <v>-0.2000000000007276</v>
      </c>
      <c r="AS32" s="1036">
        <f>'28'!$G$128</f>
        <v>0.3999999999996362</v>
      </c>
      <c r="AT32" s="1036">
        <f t="shared" si="0"/>
        <v>286.80000000000109</v>
      </c>
      <c r="AU32" s="1036">
        <f>SUM('28'!G140:G141)</f>
        <v>7.1900000000000546</v>
      </c>
      <c r="AV32" s="1036">
        <f>'28'!$G$137</f>
        <v>7.6399999999994179</v>
      </c>
      <c r="AW32" s="1036">
        <f>'28'!$G$138</f>
        <v>9.9999999998544808E-2</v>
      </c>
      <c r="AX32" s="1036">
        <f>'28'!$G$139</f>
        <v>3.9999999993597157E-2</v>
      </c>
      <c r="AY32" s="1033">
        <f t="shared" si="1"/>
        <v>7.7799999999915599</v>
      </c>
      <c r="BA32" s="1041">
        <f t="shared" si="3"/>
        <v>-89.800000000001091</v>
      </c>
    </row>
    <row r="33" spans="1:53">
      <c r="A33" s="1035">
        <v>44011</v>
      </c>
      <c r="B33" s="258">
        <f>'29'!G7</f>
        <v>17000</v>
      </c>
      <c r="C33" s="258">
        <f>'29'!G8</f>
        <v>17150</v>
      </c>
      <c r="D33" s="258">
        <f>'29'!G15</f>
        <v>550</v>
      </c>
      <c r="E33" s="258">
        <f>'29'!G20</f>
        <v>117</v>
      </c>
      <c r="F33" s="258">
        <f>SUM('29'!G35,'29'!G49)</f>
        <v>2408</v>
      </c>
      <c r="G33" s="258">
        <f>SUM('29'!G37,'29'!G51)</f>
        <v>1353.8699999999953</v>
      </c>
      <c r="H33" s="258">
        <f>SUM('29'!G38,'29'!G52)</f>
        <v>1218</v>
      </c>
      <c r="I33" s="258">
        <f>SUM('29'!G39,'29'!G53)</f>
        <v>2918</v>
      </c>
      <c r="J33" s="258">
        <f>SUM('29'!G41,'29'!G42,'29'!G55,'29'!G56)</f>
        <v>4832</v>
      </c>
      <c r="K33" s="258">
        <f>SUM('29'!G43,'29'!G57)</f>
        <v>2325.67</v>
      </c>
      <c r="L33" s="1036">
        <f>'29'!G50</f>
        <v>866</v>
      </c>
      <c r="M33" s="1036">
        <f>'29'!G36</f>
        <v>0</v>
      </c>
      <c r="N33" s="1036">
        <f>'29'!G72</f>
        <v>11</v>
      </c>
      <c r="O33" s="1036">
        <f>'29'!$G$73</f>
        <v>1</v>
      </c>
      <c r="P33" s="1036">
        <f>'29'!$G$74</f>
        <v>7</v>
      </c>
      <c r="Q33" s="1036">
        <f>'29'!$G$75</f>
        <v>56</v>
      </c>
      <c r="R33" s="1036">
        <f>'29'!$G$76</f>
        <v>58</v>
      </c>
      <c r="S33" s="1036">
        <f>'29'!$G$77</f>
        <v>38</v>
      </c>
      <c r="T33" s="1036">
        <f>'29'!$G$78</f>
        <v>195</v>
      </c>
      <c r="U33" s="1036">
        <f>'29'!$G$79</f>
        <v>138</v>
      </c>
      <c r="V33" s="1036">
        <f>'29'!$G$80</f>
        <v>392</v>
      </c>
      <c r="W33" s="1036">
        <f>'29'!$G$81</f>
        <v>86</v>
      </c>
      <c r="X33" s="1036">
        <f>'29'!$G$82</f>
        <v>11</v>
      </c>
      <c r="Y33" s="1036">
        <f>'29'!$G$58</f>
        <v>0</v>
      </c>
      <c r="Z33" s="1036">
        <f>'29'!$G$83</f>
        <v>169</v>
      </c>
      <c r="AA33" s="1036">
        <f>'29'!G86</f>
        <v>35</v>
      </c>
      <c r="AB33" s="1036">
        <f>'29'!G87</f>
        <v>15</v>
      </c>
      <c r="AC33" s="1036">
        <f>'29'!G88</f>
        <v>23</v>
      </c>
      <c r="AD33" s="1036">
        <f>'29'!G87+'29'!H90</f>
        <v>15</v>
      </c>
      <c r="AE33" s="1036">
        <f>'29'!$G$62</f>
        <v>0</v>
      </c>
      <c r="AF33" s="1036">
        <f>'29'!$G$63</f>
        <v>4</v>
      </c>
      <c r="AG33" s="1036">
        <f>'29'!$G$64</f>
        <v>193</v>
      </c>
      <c r="AH33" s="1036">
        <f>'29'!$G$65</f>
        <v>213</v>
      </c>
      <c r="AI33" s="1036">
        <f>'29'!$G$66</f>
        <v>281</v>
      </c>
      <c r="AJ33" s="1036">
        <f>'29'!$G$67</f>
        <v>539</v>
      </c>
      <c r="AK33" s="1036">
        <f>'29'!$G$68</f>
        <v>0</v>
      </c>
      <c r="AL33" s="1036">
        <f>'29'!$G$69</f>
        <v>89</v>
      </c>
      <c r="AM33" s="1036">
        <f>'29'!$G$84</f>
        <v>872</v>
      </c>
      <c r="AN33" s="1036">
        <f>'29'!$G$15</f>
        <v>550</v>
      </c>
      <c r="AO33" s="1036">
        <f>'29'!$G$124</f>
        <v>197</v>
      </c>
      <c r="AP33" s="1036">
        <f>'29'!$G$125</f>
        <v>-0.39999999999417923</v>
      </c>
      <c r="AQ33" s="1036">
        <f>'29'!$G$126</f>
        <v>66</v>
      </c>
      <c r="AR33" s="1036">
        <f>'29'!$G$127</f>
        <v>0</v>
      </c>
      <c r="AS33" s="1036">
        <f>'29'!$G$128</f>
        <v>0</v>
      </c>
      <c r="AT33" s="1036">
        <f t="shared" si="0"/>
        <v>287.39999999999418</v>
      </c>
      <c r="AU33" s="1036">
        <f>SUM('29'!G140:G141)</f>
        <v>7.5599999999999454</v>
      </c>
      <c r="AV33" s="1036">
        <f>'29'!$G$137</f>
        <v>0</v>
      </c>
      <c r="AW33" s="1036">
        <f>'29'!$G$138</f>
        <v>0.18000000000029104</v>
      </c>
      <c r="AX33" s="1036">
        <f>'29'!$G$139</f>
        <v>0</v>
      </c>
      <c r="AY33" s="1033">
        <f t="shared" si="1"/>
        <v>0.18000000000029104</v>
      </c>
      <c r="BA33" s="1041">
        <f t="shared" si="3"/>
        <v>-90.399999999994179</v>
      </c>
    </row>
    <row r="34" spans="1:53" s="1038" customFormat="1">
      <c r="A34" s="1035">
        <v>44012</v>
      </c>
      <c r="B34" s="258">
        <f>'30'!G7</f>
        <v>17000</v>
      </c>
      <c r="C34" s="258">
        <f>'30'!G8</f>
        <v>17150</v>
      </c>
      <c r="D34" s="258">
        <f>'30'!G15</f>
        <v>550</v>
      </c>
      <c r="E34" s="258">
        <f>'30'!G20</f>
        <v>138</v>
      </c>
      <c r="F34" s="1345">
        <f>SUM('30'!G35,'30'!G49)</f>
        <v>2377</v>
      </c>
      <c r="G34" s="1345">
        <f>SUM('30'!G37,'30'!G51)</f>
        <v>1302.1300000000047</v>
      </c>
      <c r="H34" s="1345">
        <f>SUM('30'!G38,'30'!G52)</f>
        <v>1330.9300000000512</v>
      </c>
      <c r="I34" s="258">
        <f>SUM('30'!G39,'30'!G53)</f>
        <v>2954</v>
      </c>
      <c r="J34" s="1345">
        <f>SUM('30'!G41,'30'!G42,'30'!G55,'30'!G56)</f>
        <v>5573</v>
      </c>
      <c r="K34" s="1345">
        <f>SUM('30'!G43,'30'!G57)</f>
        <v>2307</v>
      </c>
      <c r="L34" s="777">
        <f>'30'!G50</f>
        <v>926</v>
      </c>
      <c r="M34" s="777">
        <f>'30'!G36</f>
        <v>0</v>
      </c>
      <c r="N34" s="1027">
        <f>'30'!G72</f>
        <v>14</v>
      </c>
      <c r="O34" s="1027">
        <f>'30'!$G$73</f>
        <v>1</v>
      </c>
      <c r="P34" s="1027">
        <f>'30'!$G$74</f>
        <v>6</v>
      </c>
      <c r="Q34" s="1027">
        <f>'30'!$G$75</f>
        <v>54</v>
      </c>
      <c r="R34" s="1027">
        <f>'30'!$G$76</f>
        <v>55</v>
      </c>
      <c r="S34" s="1027">
        <f>'30'!$G$77</f>
        <v>41</v>
      </c>
      <c r="T34" s="1027">
        <f>'30'!$G$78</f>
        <v>194</v>
      </c>
      <c r="U34" s="1027">
        <f>'30'!$G$79</f>
        <v>161</v>
      </c>
      <c r="V34" s="1027">
        <f>'30'!$G$80</f>
        <v>381</v>
      </c>
      <c r="W34" s="1027">
        <f>'30'!$G$81</f>
        <v>98</v>
      </c>
      <c r="X34" s="1027">
        <f>'30'!$G$82</f>
        <v>23</v>
      </c>
      <c r="Y34" s="1027">
        <f>'30'!$G$58</f>
        <v>91</v>
      </c>
      <c r="Z34" s="1027">
        <f>'30'!$G$83</f>
        <v>224</v>
      </c>
      <c r="AA34" s="1027">
        <f>'30'!G86</f>
        <v>36</v>
      </c>
      <c r="AB34" s="1027">
        <f>'30'!G87</f>
        <v>12</v>
      </c>
      <c r="AC34" s="1027">
        <f>'30'!G88</f>
        <v>24</v>
      </c>
      <c r="AD34" s="1027">
        <f>'30'!G87+'30'!H90</f>
        <v>12</v>
      </c>
      <c r="AE34" s="1027">
        <f>'30'!$G$62</f>
        <v>0</v>
      </c>
      <c r="AF34" s="1027">
        <f>'30'!$G$63</f>
        <v>4</v>
      </c>
      <c r="AG34" s="1027">
        <f>'30'!$G$64</f>
        <v>192</v>
      </c>
      <c r="AH34" s="1027">
        <f>'30'!$G$65</f>
        <v>216</v>
      </c>
      <c r="AI34" s="1027">
        <f>'30'!$G$66</f>
        <v>301</v>
      </c>
      <c r="AJ34" s="1027">
        <f>'30'!$G$67</f>
        <v>526</v>
      </c>
      <c r="AK34" s="1027">
        <f>'30'!$G$68</f>
        <v>0</v>
      </c>
      <c r="AL34" s="1027">
        <f>'30'!$G$69</f>
        <v>138</v>
      </c>
      <c r="AM34" s="1027">
        <f>'30'!$G$84</f>
        <v>802</v>
      </c>
      <c r="AN34" s="1027">
        <f>'30'!$G$15</f>
        <v>550</v>
      </c>
      <c r="AO34" s="1027">
        <f>'30'!$G$124</f>
        <v>217</v>
      </c>
      <c r="AP34" s="1027">
        <f>'30'!$G$125</f>
        <v>0.39999999999417923</v>
      </c>
      <c r="AQ34" s="1027">
        <f>'30'!$G$126</f>
        <v>65</v>
      </c>
      <c r="AR34" s="1027">
        <f>'30'!$G$127</f>
        <v>0</v>
      </c>
      <c r="AS34" s="1027">
        <f>'30'!$G$128</f>
        <v>0</v>
      </c>
      <c r="AT34" s="1027">
        <f t="shared" si="0"/>
        <v>267.60000000000582</v>
      </c>
      <c r="AU34" s="1027">
        <f>SUM('30'!G140:G141)</f>
        <v>8.0899999999999181</v>
      </c>
      <c r="AV34" s="1027">
        <f>'30'!$G$137</f>
        <v>0</v>
      </c>
      <c r="AW34" s="1027">
        <f>'30'!$G$138</f>
        <v>-0.18000000000029104</v>
      </c>
      <c r="AX34" s="1027">
        <f>'30'!$G$139</f>
        <v>9.7400000000052387</v>
      </c>
      <c r="AY34" s="1037">
        <f t="shared" si="1"/>
        <v>9.5600000000049477</v>
      </c>
      <c r="BA34" s="1042">
        <f t="shared" si="3"/>
        <v>-50.600000000005821</v>
      </c>
    </row>
    <row r="35" spans="1:53">
      <c r="A35" s="1035">
        <v>44013</v>
      </c>
      <c r="B35" s="258">
        <f>'31'!G7</f>
        <v>17000</v>
      </c>
      <c r="C35" s="258">
        <f>'31'!G8</f>
        <v>17150</v>
      </c>
      <c r="D35" s="258">
        <f>'31'!G116</f>
        <v>6</v>
      </c>
      <c r="E35" s="258">
        <f>'31'!G20</f>
        <v>121</v>
      </c>
      <c r="F35" s="1345">
        <f>SUM('31'!G35,'31'!G49)</f>
        <v>2344.8699999999953</v>
      </c>
      <c r="G35" s="1345">
        <f>SUM('31'!G37,'31'!G51)</f>
        <v>1260</v>
      </c>
      <c r="H35" s="1345">
        <f>SUM('31'!G38,'31'!G52)</f>
        <v>1249</v>
      </c>
      <c r="I35" s="258">
        <f>SUM('31'!G39,'31'!G53)</f>
        <v>2684</v>
      </c>
      <c r="J35" s="1345">
        <f>SUM('31'!G41,'31'!G42,'31'!G55,'31'!G56)</f>
        <v>5603</v>
      </c>
      <c r="K35" s="1345">
        <f>SUM('31'!G43,'31'!G57)</f>
        <v>2277</v>
      </c>
      <c r="L35" s="777">
        <f>'31'!G50</f>
        <v>884</v>
      </c>
      <c r="M35" s="777">
        <f>'31'!G36</f>
        <v>173</v>
      </c>
      <c r="N35" s="1027">
        <f>'31'!G72</f>
        <v>12</v>
      </c>
      <c r="O35" s="1027">
        <f>'31'!$G$73</f>
        <v>1</v>
      </c>
      <c r="P35" s="1027">
        <f>'31'!$G$74</f>
        <v>7</v>
      </c>
      <c r="Q35" s="1027">
        <f>'31'!$G$75</f>
        <v>54</v>
      </c>
      <c r="R35" s="1027">
        <f>'31'!$G$76</f>
        <v>56</v>
      </c>
      <c r="S35" s="1027">
        <f>'31'!$G$77</f>
        <v>48</v>
      </c>
      <c r="T35" s="1027">
        <f>'31'!$G$78</f>
        <v>78</v>
      </c>
      <c r="U35" s="1027">
        <f>'31'!$G$79</f>
        <v>158</v>
      </c>
      <c r="V35" s="1027">
        <f>'31'!$G$80</f>
        <v>359</v>
      </c>
      <c r="W35" s="1027">
        <f>'31'!$G$81</f>
        <v>89</v>
      </c>
      <c r="X35" s="1027">
        <f>'31'!$G$82</f>
        <v>12</v>
      </c>
      <c r="Y35" s="1027">
        <f>'31'!$G$58</f>
        <v>270</v>
      </c>
      <c r="Z35" s="1027">
        <f>'31'!$G$83</f>
        <v>193</v>
      </c>
      <c r="AA35" s="1027">
        <f>'31'!G87</f>
        <v>23</v>
      </c>
      <c r="AB35" s="1027">
        <f>'31'!G88</f>
        <v>94</v>
      </c>
      <c r="AC35" s="1027">
        <f>'31'!G89</f>
        <v>10.599999999998545</v>
      </c>
      <c r="AD35" s="1027">
        <f>'31'!G88+'31'!H92</f>
        <v>94</v>
      </c>
      <c r="AE35" s="1027">
        <f>'31'!$G$62</f>
        <v>0</v>
      </c>
      <c r="AF35" s="1027">
        <f>'31'!$G$63</f>
        <v>0</v>
      </c>
      <c r="AG35" s="1027">
        <f>'31'!$G$64</f>
        <v>187</v>
      </c>
      <c r="AH35" s="1027">
        <f>'31'!$G$65</f>
        <v>221</v>
      </c>
      <c r="AI35" s="1027">
        <f>'31'!$G$66</f>
        <v>283</v>
      </c>
      <c r="AJ35" s="1027">
        <f>'31'!$G$67</f>
        <v>422</v>
      </c>
      <c r="AK35" s="1027">
        <f>'31'!$G$68</f>
        <v>0</v>
      </c>
      <c r="AL35" s="1027">
        <f>'31'!$G$69</f>
        <v>104</v>
      </c>
      <c r="AM35" s="1027">
        <f>'31'!$G$84</f>
        <v>805</v>
      </c>
      <c r="AN35" s="1027">
        <f>'31'!$G$15</f>
        <v>550</v>
      </c>
      <c r="AO35" s="1027">
        <f>'31'!$G$124</f>
        <v>177</v>
      </c>
      <c r="AP35" s="1027">
        <f>'31'!$G$125</f>
        <v>0</v>
      </c>
      <c r="AQ35" s="1027">
        <f>'31'!$G$126</f>
        <v>58</v>
      </c>
      <c r="AR35" s="1027">
        <f>'31'!$G$127</f>
        <v>2</v>
      </c>
      <c r="AS35" s="1027">
        <f>'31'!$G$128</f>
        <v>1</v>
      </c>
      <c r="AT35" s="1027">
        <f t="shared" ref="AT35" si="4">AN35-SUM(AO35:AS35)</f>
        <v>312</v>
      </c>
      <c r="AU35" s="1027">
        <f>SUM('31'!G141:G142)</f>
        <v>0</v>
      </c>
      <c r="AV35" s="1027">
        <f>'31'!$G$137</f>
        <v>8.2400000000016007</v>
      </c>
      <c r="AW35" s="1027">
        <f>'31'!$G$138</f>
        <v>0</v>
      </c>
      <c r="AX35" s="1027">
        <f>'30'!$G$139</f>
        <v>9.7400000000052387</v>
      </c>
      <c r="AY35" s="1037">
        <f t="shared" ref="AY35" si="5">SUM(AV35:AX35)</f>
        <v>17.980000000006839</v>
      </c>
      <c r="BA35" s="1041"/>
    </row>
    <row r="36" spans="1:53" s="1343" customFormat="1">
      <c r="A36" s="1342" t="s">
        <v>175</v>
      </c>
      <c r="B36" s="1344">
        <f>AVERAGE(B5:B35)</f>
        <v>17242.870967741936</v>
      </c>
      <c r="C36" s="1342">
        <f t="shared" ref="C36:AY36" si="6">AVERAGE(C5:C35)</f>
        <v>17360.806451612902</v>
      </c>
      <c r="D36" s="1342">
        <f t="shared" si="6"/>
        <v>505.29032258064518</v>
      </c>
      <c r="E36" s="1342">
        <f t="shared" si="6"/>
        <v>51.612903225806448</v>
      </c>
      <c r="F36" s="1342">
        <f t="shared" si="6"/>
        <v>0</v>
      </c>
      <c r="G36" s="1342">
        <f t="shared" si="6"/>
        <v>0</v>
      </c>
      <c r="H36" s="1342">
        <f t="shared" si="6"/>
        <v>0</v>
      </c>
      <c r="I36" s="1342">
        <f t="shared" si="6"/>
        <v>0.77419354838709675</v>
      </c>
      <c r="J36" s="1342">
        <f t="shared" si="6"/>
        <v>3.3225806451810058E-2</v>
      </c>
      <c r="K36" s="1342">
        <f t="shared" si="6"/>
        <v>0</v>
      </c>
      <c r="L36" s="1342">
        <f t="shared" si="6"/>
        <v>0</v>
      </c>
      <c r="M36" s="1342">
        <f t="shared" si="6"/>
        <v>11195.645161290322</v>
      </c>
      <c r="N36" s="1342">
        <f t="shared" si="6"/>
        <v>-0.25806451612903225</v>
      </c>
      <c r="O36" s="1342">
        <f t="shared" si="6"/>
        <v>0</v>
      </c>
      <c r="P36" s="1342">
        <f t="shared" si="6"/>
        <v>0</v>
      </c>
      <c r="Q36" s="1342">
        <f t="shared" si="6"/>
        <v>-1.5858064516128985</v>
      </c>
      <c r="R36" s="1342">
        <f t="shared" si="6"/>
        <v>0</v>
      </c>
      <c r="S36" s="1342">
        <f t="shared" si="6"/>
        <v>0</v>
      </c>
      <c r="T36" s="1342">
        <f t="shared" si="6"/>
        <v>0</v>
      </c>
      <c r="U36" s="1342">
        <f t="shared" si="6"/>
        <v>0</v>
      </c>
      <c r="V36" s="1342">
        <f t="shared" si="6"/>
        <v>0</v>
      </c>
      <c r="W36" s="1342">
        <f t="shared" si="6"/>
        <v>0</v>
      </c>
      <c r="X36" s="1342">
        <f t="shared" si="6"/>
        <v>0</v>
      </c>
      <c r="Y36" s="1342">
        <f t="shared" si="6"/>
        <v>0</v>
      </c>
      <c r="Z36" s="1342">
        <f t="shared" si="6"/>
        <v>0</v>
      </c>
      <c r="AA36" s="1342">
        <f t="shared" si="6"/>
        <v>-0.16129032258064516</v>
      </c>
      <c r="AB36" s="1342">
        <f t="shared" si="6"/>
        <v>2.235483870967836</v>
      </c>
      <c r="AC36" s="1342">
        <f t="shared" si="6"/>
        <v>-2.690322580645208</v>
      </c>
      <c r="AD36" s="1342">
        <f t="shared" si="6"/>
        <v>1.364516129032308</v>
      </c>
      <c r="AE36" s="1342">
        <f t="shared" si="6"/>
        <v>0</v>
      </c>
      <c r="AF36" s="1342">
        <f t="shared" si="6"/>
        <v>79.741935483870961</v>
      </c>
      <c r="AG36" s="1342">
        <f t="shared" si="6"/>
        <v>0</v>
      </c>
      <c r="AH36" s="1342">
        <f t="shared" si="6"/>
        <v>0</v>
      </c>
      <c r="AI36" s="1342">
        <f t="shared" si="6"/>
        <v>0</v>
      </c>
      <c r="AJ36" s="1342">
        <f t="shared" si="6"/>
        <v>0</v>
      </c>
      <c r="AK36" s="1342">
        <f t="shared" si="6"/>
        <v>0</v>
      </c>
      <c r="AL36" s="1342">
        <f t="shared" si="6"/>
        <v>0</v>
      </c>
      <c r="AM36" s="1342">
        <f t="shared" si="6"/>
        <v>0</v>
      </c>
      <c r="AN36" s="1342">
        <f t="shared" si="6"/>
        <v>522.83870967741939</v>
      </c>
      <c r="AO36" s="1342">
        <f t="shared" si="6"/>
        <v>0</v>
      </c>
      <c r="AP36" s="1342">
        <f t="shared" si="6"/>
        <v>0</v>
      </c>
      <c r="AQ36" s="1342">
        <f t="shared" si="6"/>
        <v>0</v>
      </c>
      <c r="AR36" s="1342">
        <f t="shared" si="6"/>
        <v>0</v>
      </c>
      <c r="AS36" s="1342">
        <f t="shared" si="6"/>
        <v>0</v>
      </c>
      <c r="AT36" s="1342">
        <f t="shared" si="6"/>
        <v>522.83870967741939</v>
      </c>
      <c r="AU36" s="1342">
        <f t="shared" si="6"/>
        <v>-0.21838709677419296</v>
      </c>
      <c r="AV36" s="1342">
        <f t="shared" si="6"/>
        <v>0</v>
      </c>
      <c r="AW36" s="1342">
        <f t="shared" si="6"/>
        <v>0</v>
      </c>
      <c r="AX36" s="1342">
        <f t="shared" si="6"/>
        <v>0.31419354838726576</v>
      </c>
      <c r="AY36" s="1342">
        <f t="shared" si="6"/>
        <v>0.31419354838726576</v>
      </c>
    </row>
    <row r="37" spans="1:53">
      <c r="A37" s="1077"/>
      <c r="B37" s="1077"/>
      <c r="C37" s="1077"/>
      <c r="D37" s="1077"/>
      <c r="E37" s="1077"/>
      <c r="F37" s="1422">
        <f t="shared" ref="F37:K37" si="7">F19-F18</f>
        <v>68859.970000000088</v>
      </c>
      <c r="G37" s="1422">
        <f t="shared" si="7"/>
        <v>40732.179999999993</v>
      </c>
      <c r="H37" s="1422">
        <f t="shared" si="7"/>
        <v>37653.990000000049</v>
      </c>
      <c r="I37" s="1422">
        <f t="shared" si="7"/>
        <v>87808.640000000014</v>
      </c>
      <c r="J37" s="1422">
        <f t="shared" si="7"/>
        <v>159873.81000000006</v>
      </c>
      <c r="K37" s="1422">
        <f t="shared" si="7"/>
        <v>71289.600000000093</v>
      </c>
      <c r="L37" s="1422"/>
      <c r="M37" s="1422"/>
      <c r="AO37" s="1079" t="s">
        <v>176</v>
      </c>
      <c r="AP37" s="1080">
        <v>191</v>
      </c>
      <c r="AQ37" s="1080"/>
      <c r="AR37" s="1080"/>
    </row>
    <row r="38" spans="1:53">
      <c r="A38" s="1077"/>
      <c r="B38" s="1077"/>
      <c r="C38" s="1077"/>
      <c r="D38" s="1077"/>
      <c r="E38" s="1077"/>
      <c r="AO38" s="1080"/>
      <c r="AP38" s="1080">
        <v>88</v>
      </c>
      <c r="AQ38" s="1080"/>
      <c r="AR38" s="1080"/>
    </row>
    <row r="39" spans="1:53">
      <c r="A39" s="1077"/>
      <c r="B39" s="1077"/>
      <c r="C39" s="1077"/>
      <c r="D39" s="1077"/>
      <c r="E39" s="1077"/>
      <c r="AO39" s="1080"/>
      <c r="AP39" s="1081">
        <f>SUM(AP37:AP38)</f>
        <v>279</v>
      </c>
      <c r="AQ39" s="1082" t="s">
        <v>177</v>
      </c>
      <c r="AR39" s="1082">
        <v>335</v>
      </c>
    </row>
    <row r="40" spans="1:53">
      <c r="A40" s="1077"/>
      <c r="B40" s="1077"/>
      <c r="C40" s="1077"/>
      <c r="D40" s="1077"/>
      <c r="E40" s="1077"/>
      <c r="AO40" s="1080"/>
      <c r="AP40" s="1080"/>
      <c r="AQ40" s="1080"/>
      <c r="AR40" s="1080"/>
    </row>
    <row r="41" spans="1:53">
      <c r="A41" s="1077"/>
      <c r="B41" s="1077"/>
      <c r="C41" s="1077"/>
      <c r="D41" s="1077"/>
      <c r="E41" s="1077"/>
      <c r="N41" s="1041"/>
      <c r="O41" s="1041"/>
      <c r="P41" s="1041"/>
      <c r="Q41" s="1041"/>
      <c r="R41" s="1041"/>
      <c r="S41" s="1041"/>
      <c r="T41" s="1041"/>
      <c r="U41" s="1041"/>
      <c r="V41" s="1041"/>
      <c r="W41" s="1041"/>
      <c r="X41" s="1041"/>
      <c r="Y41" s="1041"/>
      <c r="Z41" s="1041"/>
      <c r="AA41" s="1041"/>
      <c r="AB41" s="1041"/>
      <c r="AC41" s="1041"/>
      <c r="AD41" s="1041"/>
      <c r="AE41" s="1041"/>
      <c r="AF41" s="1041"/>
      <c r="AG41" s="1041"/>
      <c r="AH41" s="1041"/>
      <c r="AI41" s="1041"/>
      <c r="AJ41" s="1041"/>
      <c r="AK41" s="1041"/>
      <c r="AL41" s="1041"/>
      <c r="AN41" s="1041"/>
      <c r="AO41" s="1079" t="s">
        <v>178</v>
      </c>
      <c r="AP41" s="1081">
        <v>168</v>
      </c>
      <c r="AQ41" s="1080"/>
      <c r="AR41" s="1080"/>
    </row>
    <row r="42" spans="1:53">
      <c r="A42" s="1077"/>
      <c r="B42" s="1077"/>
      <c r="C42" s="1077"/>
      <c r="D42" s="1077"/>
      <c r="E42" s="1077"/>
      <c r="AO42" s="1080"/>
      <c r="AP42" s="1080"/>
      <c r="AQ42" s="1082" t="s">
        <v>179</v>
      </c>
      <c r="AR42" s="1080"/>
    </row>
    <row r="43" spans="1:53">
      <c r="A43" s="1077"/>
      <c r="B43" s="1077"/>
      <c r="C43" s="1077"/>
      <c r="D43" s="1077"/>
      <c r="E43" s="1077"/>
      <c r="AO43" s="1080" t="s">
        <v>180</v>
      </c>
      <c r="AP43" s="1080">
        <f>20*38.68</f>
        <v>773.6</v>
      </c>
      <c r="AQ43" s="1080" t="s">
        <v>181</v>
      </c>
      <c r="AR43" s="1080"/>
    </row>
    <row r="44" spans="1:53">
      <c r="A44" s="1077"/>
      <c r="B44" s="1077"/>
      <c r="C44" s="1077"/>
      <c r="D44" s="1077"/>
      <c r="E44" s="1077"/>
    </row>
    <row r="45" spans="1:53">
      <c r="A45" s="1077"/>
      <c r="B45" s="1077"/>
      <c r="C45" s="1077"/>
      <c r="D45" s="1077"/>
      <c r="E45" s="1077"/>
    </row>
    <row r="46" spans="1:53">
      <c r="A46" s="1077"/>
      <c r="B46" s="1077"/>
      <c r="C46" s="1077"/>
      <c r="D46" s="1077"/>
      <c r="E46" s="1077"/>
    </row>
    <row r="47" spans="1:53">
      <c r="A47" s="1077"/>
      <c r="B47" s="1077"/>
      <c r="C47" s="1077"/>
      <c r="D47" s="1077"/>
      <c r="E47" s="1077"/>
    </row>
    <row r="48" spans="1:53">
      <c r="A48" s="1077"/>
      <c r="B48" s="1077"/>
      <c r="C48" s="1077"/>
      <c r="D48" s="1077"/>
      <c r="E48" s="1077"/>
    </row>
    <row r="49" spans="1:5">
      <c r="A49" s="1077"/>
      <c r="B49" s="1077"/>
      <c r="C49" s="1077"/>
      <c r="D49" s="1077"/>
      <c r="E49" s="1077"/>
    </row>
    <row r="50" spans="1:5">
      <c r="A50" s="1077"/>
      <c r="B50" s="1077"/>
      <c r="C50" s="1077"/>
      <c r="D50" s="1077"/>
      <c r="E50" s="1077"/>
    </row>
    <row r="51" spans="1:5">
      <c r="A51" s="1077"/>
      <c r="B51" s="1077"/>
      <c r="C51" s="1077"/>
      <c r="D51" s="1077"/>
      <c r="E51" s="1077"/>
    </row>
    <row r="52" spans="1:5">
      <c r="A52" s="1077"/>
      <c r="B52" s="1077"/>
      <c r="C52" s="1077"/>
      <c r="D52" s="1077"/>
      <c r="E52" s="1077"/>
    </row>
    <row r="53" spans="1:5">
      <c r="A53" s="1077"/>
      <c r="B53" s="1077"/>
      <c r="C53" s="1077"/>
      <c r="D53" s="1077"/>
      <c r="E53" s="1077"/>
    </row>
    <row r="54" spans="1:5">
      <c r="A54" s="1077"/>
      <c r="B54" s="1077"/>
      <c r="C54" s="1077"/>
      <c r="D54" s="1077"/>
      <c r="E54" s="1077"/>
    </row>
    <row r="55" spans="1:5">
      <c r="A55" s="1077"/>
      <c r="B55" s="1077"/>
      <c r="C55" s="1077"/>
      <c r="D55" s="1077"/>
      <c r="E55" s="1077"/>
    </row>
    <row r="56" spans="1:5">
      <c r="A56" s="1077"/>
      <c r="B56" s="1077"/>
      <c r="C56" s="1077"/>
      <c r="D56" s="1077"/>
      <c r="E56" s="1077"/>
    </row>
    <row r="57" spans="1:5">
      <c r="A57" s="1077"/>
      <c r="B57" s="1077"/>
      <c r="C57" s="1077"/>
      <c r="D57" s="1077"/>
      <c r="E57" s="1077"/>
    </row>
    <row r="58" spans="1:5">
      <c r="A58" s="1077"/>
      <c r="B58" s="1077"/>
      <c r="C58" s="1077"/>
      <c r="D58" s="1077"/>
      <c r="E58" s="1077"/>
    </row>
    <row r="59" spans="1:5">
      <c r="A59" s="1077"/>
      <c r="B59" s="1077"/>
      <c r="C59" s="1077"/>
      <c r="D59" s="1077"/>
      <c r="E59" s="1077"/>
    </row>
    <row r="60" spans="1:5">
      <c r="A60" s="1077"/>
      <c r="B60" s="1077"/>
      <c r="C60" s="1077"/>
      <c r="D60" s="1077"/>
      <c r="E60" s="1077"/>
    </row>
    <row r="61" spans="1:5">
      <c r="A61" s="1077"/>
      <c r="B61" s="1077"/>
      <c r="C61" s="1077"/>
      <c r="D61" s="1077"/>
      <c r="E61" s="1077"/>
    </row>
    <row r="62" spans="1:5">
      <c r="A62" s="1077"/>
      <c r="B62" s="1077"/>
      <c r="C62" s="1077"/>
      <c r="D62" s="1077"/>
      <c r="E62" s="1077"/>
    </row>
    <row r="63" spans="1:5">
      <c r="A63" s="1077"/>
      <c r="B63" s="1077"/>
      <c r="C63" s="1077"/>
      <c r="D63" s="1077"/>
      <c r="E63" s="1077"/>
    </row>
    <row r="64" spans="1:5">
      <c r="A64" s="1077"/>
      <c r="B64" s="1077"/>
      <c r="C64" s="1077"/>
      <c r="D64" s="1077"/>
      <c r="E64" s="1077"/>
    </row>
    <row r="65" spans="1:5">
      <c r="A65" s="1077"/>
      <c r="B65" s="1077"/>
      <c r="C65" s="1077"/>
      <c r="D65" s="1077"/>
      <c r="E65" s="1077"/>
    </row>
    <row r="66" spans="1:5">
      <c r="A66" s="1077"/>
      <c r="B66" s="1077"/>
      <c r="C66" s="1077"/>
      <c r="D66" s="1077"/>
      <c r="E66" s="1077"/>
    </row>
    <row r="67" spans="1:5">
      <c r="A67" s="1077"/>
      <c r="B67" s="1077"/>
      <c r="C67" s="1077"/>
      <c r="D67" s="1077"/>
      <c r="E67" s="1077"/>
    </row>
    <row r="68" spans="1:5">
      <c r="A68" s="1077"/>
      <c r="B68" s="1077"/>
      <c r="C68" s="1077"/>
      <c r="D68" s="1077"/>
      <c r="E68" s="1077"/>
    </row>
    <row r="69" spans="1:5">
      <c r="A69" s="1077"/>
      <c r="B69" s="1077"/>
      <c r="C69" s="1077"/>
      <c r="D69" s="1077"/>
      <c r="E69" s="1077"/>
    </row>
    <row r="70" spans="1:5">
      <c r="A70" s="1077"/>
      <c r="B70" s="1077"/>
      <c r="C70" s="1077"/>
      <c r="D70" s="1077"/>
      <c r="E70" s="1077"/>
    </row>
    <row r="71" spans="1:5">
      <c r="A71" s="1077"/>
      <c r="B71" s="1077"/>
      <c r="C71" s="1077"/>
      <c r="D71" s="1077"/>
      <c r="E71" s="1077"/>
    </row>
    <row r="72" spans="1:5">
      <c r="A72" s="1077"/>
      <c r="B72" s="1077"/>
      <c r="C72" s="1077"/>
      <c r="D72" s="1077"/>
      <c r="E72" s="1077"/>
    </row>
    <row r="73" spans="1:5">
      <c r="A73" s="1077"/>
      <c r="B73" s="1077"/>
      <c r="C73" s="1077"/>
      <c r="D73" s="1077"/>
      <c r="E73" s="1077"/>
    </row>
    <row r="74" spans="1:5">
      <c r="A74" s="1077"/>
      <c r="B74" s="1077"/>
      <c r="C74" s="1077"/>
      <c r="D74" s="1077"/>
      <c r="E74" s="1077"/>
    </row>
    <row r="75" spans="1:5">
      <c r="A75" s="1077"/>
      <c r="B75" s="1077"/>
      <c r="C75" s="1077"/>
      <c r="D75" s="1077"/>
      <c r="E75" s="1077"/>
    </row>
    <row r="76" spans="1:5">
      <c r="A76" s="1077"/>
      <c r="B76" s="1077"/>
      <c r="C76" s="1077"/>
      <c r="D76" s="1077"/>
      <c r="E76" s="1077"/>
    </row>
    <row r="77" spans="1:5">
      <c r="A77" s="1077"/>
      <c r="B77" s="1077"/>
      <c r="C77" s="1077"/>
      <c r="D77" s="1077"/>
      <c r="E77" s="1077"/>
    </row>
    <row r="78" spans="1:5">
      <c r="A78" s="1077"/>
      <c r="B78" s="1077"/>
      <c r="C78" s="1077"/>
      <c r="D78" s="1077"/>
      <c r="E78" s="1077"/>
    </row>
    <row r="79" spans="1:5">
      <c r="A79" s="1077"/>
      <c r="B79" s="1077"/>
      <c r="C79" s="1077"/>
      <c r="D79" s="1077"/>
      <c r="E79" s="1077"/>
    </row>
    <row r="80" spans="1:5">
      <c r="A80" s="1077"/>
      <c r="B80" s="1077"/>
      <c r="C80" s="1077"/>
      <c r="D80" s="1077"/>
      <c r="E80" s="1077"/>
    </row>
    <row r="81" spans="1:5">
      <c r="A81" s="1077"/>
      <c r="B81" s="1077"/>
      <c r="C81" s="1077"/>
      <c r="D81" s="1077"/>
      <c r="E81" s="1077"/>
    </row>
    <row r="82" spans="1:5">
      <c r="A82" s="1077"/>
      <c r="B82" s="1077"/>
      <c r="C82" s="1077"/>
      <c r="D82" s="1077"/>
      <c r="E82" s="1077"/>
    </row>
    <row r="83" spans="1:5">
      <c r="A83" s="1077"/>
      <c r="B83" s="1077"/>
      <c r="C83" s="1077"/>
      <c r="D83" s="1077"/>
      <c r="E83" s="1077"/>
    </row>
    <row r="84" spans="1:5">
      <c r="A84" s="1077"/>
      <c r="B84" s="1077"/>
      <c r="C84" s="1077"/>
      <c r="D84" s="1077"/>
      <c r="E84" s="1077"/>
    </row>
    <row r="85" spans="1:5">
      <c r="A85" s="1077"/>
      <c r="B85" s="1077"/>
      <c r="C85" s="1077"/>
      <c r="D85" s="1077"/>
      <c r="E85" s="1077"/>
    </row>
    <row r="86" spans="1:5">
      <c r="A86" s="1077"/>
      <c r="B86" s="1077"/>
      <c r="C86" s="1077"/>
      <c r="D86" s="1077"/>
      <c r="E86" s="1077"/>
    </row>
    <row r="87" spans="1:5">
      <c r="A87" s="1078"/>
      <c r="B87" s="1078"/>
      <c r="C87" s="1078"/>
      <c r="D87" s="1078"/>
      <c r="E87" s="1078"/>
    </row>
    <row r="88" spans="1:5">
      <c r="A88" s="1078"/>
      <c r="B88" s="1078"/>
      <c r="C88" s="1078"/>
      <c r="D88" s="1078"/>
      <c r="E88" s="1078"/>
    </row>
    <row r="89" spans="1:5">
      <c r="A89" s="1078"/>
      <c r="B89" s="1078"/>
      <c r="C89" s="1078"/>
      <c r="D89" s="1078"/>
      <c r="E89" s="1078"/>
    </row>
    <row r="90" spans="1:5">
      <c r="A90" s="1078"/>
      <c r="B90" s="1078"/>
      <c r="C90" s="1078"/>
      <c r="D90" s="1078"/>
      <c r="E90" s="1078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9" zoomScale="55" zoomScaleNormal="61" zoomScaleSheetLayoutView="55" zoomScalePageLayoutView="70" workbookViewId="0">
      <selection activeCell="F27" sqref="F27:F31"/>
    </sheetView>
  </sheetViews>
  <sheetFormatPr defaultColWidth="22.33203125" defaultRowHeight="29.25"/>
  <cols>
    <col min="1" max="1" width="48.44140625" style="449" customWidth="1"/>
    <col min="2" max="2" width="30.77734375" style="452" customWidth="1"/>
    <col min="3" max="3" width="15.88671875" style="452" customWidth="1"/>
    <col min="4" max="4" width="13.6640625" style="532" customWidth="1"/>
    <col min="5" max="5" width="30" style="751" customWidth="1"/>
    <col min="6" max="6" width="30" style="532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182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183</v>
      </c>
      <c r="B2" s="1028">
        <v>44348</v>
      </c>
      <c r="C2" s="1394" t="s">
        <v>111</v>
      </c>
      <c r="D2" s="606">
        <v>0.73</v>
      </c>
      <c r="E2" s="732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</v>
      </c>
      <c r="E4" s="458"/>
      <c r="F4" s="459"/>
      <c r="G4" s="459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509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90"/>
      <c r="F6" s="466"/>
      <c r="G6" s="466"/>
      <c r="H6" s="467"/>
      <c r="I6" s="467"/>
      <c r="J6" s="546"/>
      <c r="K6" s="423"/>
      <c r="L6" s="374"/>
    </row>
    <row r="7" spans="1:15" ht="30" thickBot="1">
      <c r="A7" s="573" t="s">
        <v>197</v>
      </c>
      <c r="B7" s="574"/>
      <c r="C7" s="574"/>
      <c r="D7" s="518" t="s">
        <v>198</v>
      </c>
      <c r="E7" s="450">
        <v>344412</v>
      </c>
      <c r="F7" s="450">
        <v>360974</v>
      </c>
      <c r="G7" s="468">
        <f>F7-E7</f>
        <v>16562</v>
      </c>
      <c r="H7" s="455">
        <f>G7</f>
        <v>16562</v>
      </c>
      <c r="I7" s="469">
        <v>12000</v>
      </c>
      <c r="J7" s="547">
        <f>H7/DAY(B2)</f>
        <v>16562</v>
      </c>
      <c r="K7" s="544"/>
      <c r="L7" s="374"/>
      <c r="N7" s="379"/>
      <c r="O7" s="379"/>
    </row>
    <row r="8" spans="1:15" ht="27.75" thickBot="1">
      <c r="A8" s="575" t="s">
        <v>199</v>
      </c>
      <c r="B8" s="576"/>
      <c r="C8" s="577"/>
      <c r="D8" s="612" t="s">
        <v>59</v>
      </c>
      <c r="E8" s="450">
        <v>346510</v>
      </c>
      <c r="F8" s="470">
        <v>363165</v>
      </c>
      <c r="G8" s="471">
        <f>F8-E8</f>
        <v>16655</v>
      </c>
      <c r="H8" s="455">
        <f>G8</f>
        <v>16655</v>
      </c>
      <c r="I8" s="472">
        <v>12000</v>
      </c>
      <c r="J8" s="547">
        <f>H8/DAY(B2)</f>
        <v>16655</v>
      </c>
      <c r="K8" s="544"/>
      <c r="L8" s="421"/>
      <c r="M8" s="435"/>
      <c r="N8" s="379"/>
      <c r="O8" s="379"/>
    </row>
    <row r="9" spans="1:15">
      <c r="A9" s="578" t="s">
        <v>200</v>
      </c>
      <c r="B9" s="579"/>
      <c r="C9" s="579"/>
      <c r="D9" s="518" t="s">
        <v>198</v>
      </c>
      <c r="E9" s="473">
        <v>1473690</v>
      </c>
      <c r="F9" s="473">
        <v>1489833</v>
      </c>
      <c r="G9" s="468">
        <f>F9-E9</f>
        <v>16143</v>
      </c>
      <c r="H9" s="455">
        <f t="shared" ref="H9:H13" si="0">G9</f>
        <v>16143</v>
      </c>
      <c r="I9" s="474">
        <f>I8-J8</f>
        <v>-4655</v>
      </c>
      <c r="J9" s="547">
        <f>H9/DAY(B2)</f>
        <v>16143</v>
      </c>
      <c r="K9" s="424"/>
      <c r="L9" s="374"/>
      <c r="N9" s="379"/>
      <c r="O9" s="379"/>
    </row>
    <row r="10" spans="1:15">
      <c r="A10" s="573" t="s">
        <v>201</v>
      </c>
      <c r="B10" s="574"/>
      <c r="C10" s="574"/>
      <c r="D10" s="518" t="s">
        <v>198</v>
      </c>
      <c r="E10" s="473">
        <v>2322.58</v>
      </c>
      <c r="F10" s="473">
        <v>2323</v>
      </c>
      <c r="G10" s="468">
        <f t="shared" ref="G10:G11" si="1">F10-E10</f>
        <v>0.42000000000007276</v>
      </c>
      <c r="H10" s="455">
        <f t="shared" si="0"/>
        <v>0.42000000000007276</v>
      </c>
      <c r="I10" s="475"/>
      <c r="J10" s="547">
        <f>H10/DAY(B2)</f>
        <v>0.42000000000007276</v>
      </c>
      <c r="K10" s="424"/>
      <c r="L10" s="374"/>
      <c r="N10" s="379"/>
      <c r="O10" s="379"/>
    </row>
    <row r="11" spans="1:15">
      <c r="A11" s="573" t="s">
        <v>202</v>
      </c>
      <c r="B11" s="574"/>
      <c r="C11" s="574"/>
      <c r="D11" s="518" t="s">
        <v>198</v>
      </c>
      <c r="E11" s="450">
        <v>37000</v>
      </c>
      <c r="F11" s="450">
        <v>37000</v>
      </c>
      <c r="G11" s="468">
        <f t="shared" si="1"/>
        <v>0</v>
      </c>
      <c r="H11" s="455">
        <f t="shared" si="0"/>
        <v>0</v>
      </c>
      <c r="I11" s="475"/>
      <c r="J11" s="547">
        <f>H11/DAY(B2)</f>
        <v>0</v>
      </c>
      <c r="K11" s="424"/>
      <c r="L11" s="374"/>
      <c r="N11" s="379"/>
      <c r="O11" s="379"/>
    </row>
    <row r="12" spans="1:15">
      <c r="A12" s="573" t="s">
        <v>203</v>
      </c>
      <c r="B12" s="574"/>
      <c r="C12" s="574"/>
      <c r="D12" s="518" t="s">
        <v>198</v>
      </c>
      <c r="E12" s="473">
        <v>40010</v>
      </c>
      <c r="F12" s="473">
        <v>40010</v>
      </c>
      <c r="G12" s="468">
        <f>F12-E12</f>
        <v>0</v>
      </c>
      <c r="H12" s="455">
        <f t="shared" si="0"/>
        <v>0</v>
      </c>
      <c r="I12" s="475"/>
      <c r="J12" s="547">
        <f>H12/DAY(B2)</f>
        <v>0</v>
      </c>
      <c r="K12" s="424"/>
      <c r="L12" s="374"/>
      <c r="N12" s="379"/>
      <c r="O12" s="379"/>
    </row>
    <row r="13" spans="1:15">
      <c r="A13" s="580" t="s">
        <v>204</v>
      </c>
      <c r="B13" s="581"/>
      <c r="C13" s="581"/>
      <c r="D13" s="518"/>
      <c r="E13" s="450"/>
      <c r="F13" s="450"/>
      <c r="G13" s="476">
        <f>G9+G10+G11+G12</f>
        <v>16143.42</v>
      </c>
      <c r="H13" s="455">
        <f t="shared" si="0"/>
        <v>16143.42</v>
      </c>
      <c r="I13" s="477">
        <f>G7-G13</f>
        <v>418.57999999999993</v>
      </c>
      <c r="J13" s="547">
        <f>H13/DAY(B2)</f>
        <v>16143.42</v>
      </c>
      <c r="K13" s="424"/>
      <c r="L13" s="374"/>
      <c r="N13" s="379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  <c r="O14" s="379"/>
    </row>
    <row r="15" spans="1:15">
      <c r="A15" s="1392" t="s">
        <v>133</v>
      </c>
      <c r="B15" s="584"/>
      <c r="C15" s="584"/>
      <c r="D15" s="518" t="s">
        <v>206</v>
      </c>
      <c r="E15" s="479">
        <v>1684524</v>
      </c>
      <c r="F15" s="479">
        <v>1684791</v>
      </c>
      <c r="G15" s="775">
        <f>(F15-E15)</f>
        <v>267</v>
      </c>
      <c r="H15" s="455">
        <f>G15</f>
        <v>267</v>
      </c>
      <c r="I15" s="469">
        <v>800</v>
      </c>
      <c r="J15" s="547">
        <f>H15/DAY(B2)</f>
        <v>267</v>
      </c>
      <c r="K15" s="424"/>
      <c r="L15" s="374"/>
      <c r="N15" s="379"/>
      <c r="O15" s="717"/>
    </row>
    <row r="16" spans="1:15">
      <c r="A16" s="582"/>
      <c r="B16" s="583"/>
      <c r="C16" s="583"/>
      <c r="D16" s="519"/>
      <c r="E16" s="480"/>
      <c r="F16" s="480"/>
      <c r="G16" s="468"/>
      <c r="H16" s="481"/>
      <c r="I16" s="482">
        <f>I15-J15</f>
        <v>533</v>
      </c>
      <c r="J16" s="548"/>
      <c r="K16" s="424"/>
      <c r="L16" s="374"/>
      <c r="N16" s="379"/>
      <c r="O16" s="379"/>
    </row>
    <row r="17" spans="1:15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79">
        <v>6</v>
      </c>
      <c r="F18" s="479">
        <v>2</v>
      </c>
      <c r="G18" s="476">
        <f>F18*10</f>
        <v>20</v>
      </c>
      <c r="H18" s="455">
        <f>G18</f>
        <v>20</v>
      </c>
      <c r="I18" s="469">
        <v>65</v>
      </c>
      <c r="J18" s="547">
        <f>H18/DAY(B2)</f>
        <v>20</v>
      </c>
      <c r="K18" s="424"/>
      <c r="L18" s="374"/>
      <c r="N18" s="379"/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79">
        <v>139612</v>
      </c>
      <c r="F19" s="479">
        <v>139672</v>
      </c>
      <c r="G19" s="468">
        <f t="shared" ref="G19" si="2">F19-E19</f>
        <v>60</v>
      </c>
      <c r="H19" s="455">
        <f t="shared" ref="H19" si="3">G19</f>
        <v>60</v>
      </c>
      <c r="I19" s="484"/>
      <c r="J19" s="547">
        <f>H19/DAY(B2)</f>
        <v>60</v>
      </c>
      <c r="K19" s="424"/>
      <c r="L19" s="374"/>
      <c r="N19" s="379"/>
      <c r="O19" s="379"/>
    </row>
    <row r="20" spans="1:15">
      <c r="A20" s="580" t="s">
        <v>210</v>
      </c>
      <c r="B20" s="581"/>
      <c r="C20" s="581"/>
      <c r="D20" s="485"/>
      <c r="E20" s="485"/>
      <c r="F20" s="485"/>
      <c r="G20" s="486">
        <f>G18+G19</f>
        <v>80</v>
      </c>
      <c r="H20" s="455">
        <f>G20</f>
        <v>80</v>
      </c>
      <c r="I20" s="487">
        <f>I18-J20</f>
        <v>-15</v>
      </c>
      <c r="J20" s="547">
        <f>H20/DAY(B2)</f>
        <v>80</v>
      </c>
      <c r="K20" s="424"/>
      <c r="L20" s="374"/>
      <c r="N20" s="379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  <c r="O21" s="379"/>
    </row>
    <row r="22" spans="1:15">
      <c r="A22" s="1392" t="s">
        <v>212</v>
      </c>
      <c r="B22" s="584"/>
      <c r="C22" s="584"/>
      <c r="D22" s="518" t="s">
        <v>213</v>
      </c>
      <c r="E22" s="479">
        <v>2970</v>
      </c>
      <c r="F22" s="479">
        <v>2970</v>
      </c>
      <c r="G22" s="476">
        <f>(F22-E22)</f>
        <v>0</v>
      </c>
      <c r="H22" s="455">
        <f>G22</f>
        <v>0</v>
      </c>
      <c r="I22" s="475"/>
      <c r="J22" s="547">
        <f>H22/DAY(B2)</f>
        <v>0</v>
      </c>
      <c r="K22" s="424"/>
      <c r="L22" s="374"/>
      <c r="N22" s="379"/>
      <c r="O22" s="379"/>
    </row>
    <row r="23" spans="1:15">
      <c r="A23" s="1392" t="s">
        <v>214</v>
      </c>
      <c r="B23" s="584"/>
      <c r="C23" s="584"/>
      <c r="D23" s="518" t="s">
        <v>213</v>
      </c>
      <c r="E23" s="479">
        <v>2000</v>
      </c>
      <c r="F23" s="479">
        <v>1880</v>
      </c>
      <c r="G23" s="476">
        <v>120</v>
      </c>
      <c r="H23" s="455">
        <f t="shared" ref="H23:H24" si="4">G23</f>
        <v>120</v>
      </c>
      <c r="I23" s="475"/>
      <c r="J23" s="547">
        <f>H23/DAY(B2)</f>
        <v>120</v>
      </c>
      <c r="K23" s="424"/>
      <c r="L23" s="374"/>
      <c r="N23" s="379"/>
      <c r="O23" s="379"/>
    </row>
    <row r="24" spans="1:15">
      <c r="A24" s="585" t="s">
        <v>215</v>
      </c>
      <c r="B24" s="586"/>
      <c r="C24" s="586"/>
      <c r="D24" s="506" t="s">
        <v>213</v>
      </c>
      <c r="E24" s="488">
        <v>4970</v>
      </c>
      <c r="F24" s="488">
        <v>4850</v>
      </c>
      <c r="G24" s="476">
        <f>SUM(G22:G23)</f>
        <v>120</v>
      </c>
      <c r="H24" s="455">
        <f t="shared" si="4"/>
        <v>120</v>
      </c>
      <c r="I24" s="475"/>
      <c r="J24" s="547">
        <f>H24/DAY(B2)</f>
        <v>120</v>
      </c>
      <c r="K24" s="424"/>
      <c r="L24" s="374"/>
      <c r="N24" s="379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439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493"/>
      <c r="H26" s="455"/>
      <c r="I26" s="494"/>
      <c r="J26" s="547"/>
      <c r="K26" s="371"/>
      <c r="L26" s="438"/>
      <c r="N26" s="439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6">
        <v>16562</v>
      </c>
      <c r="F27" s="496">
        <v>9</v>
      </c>
      <c r="G27" s="497">
        <f>E27*F27</f>
        <v>149058</v>
      </c>
      <c r="H27" s="455">
        <f>G27</f>
        <v>149058</v>
      </c>
      <c r="I27" s="498"/>
      <c r="J27" s="547">
        <f>H27/DAY(B2)</f>
        <v>149058</v>
      </c>
      <c r="K27" s="370"/>
      <c r="L27" s="438"/>
      <c r="N27" s="439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6">
        <v>267</v>
      </c>
      <c r="F28" s="496">
        <v>52</v>
      </c>
      <c r="G28" s="497">
        <f>E28*F28</f>
        <v>13884</v>
      </c>
      <c r="H28" s="455">
        <f>G28</f>
        <v>13884</v>
      </c>
      <c r="I28" s="500"/>
      <c r="J28" s="547">
        <f>H28/DAY(B2)</f>
        <v>13884</v>
      </c>
      <c r="K28" s="370"/>
      <c r="L28" s="438"/>
      <c r="N28" s="439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496">
        <v>120</v>
      </c>
      <c r="F29" s="496">
        <v>69</v>
      </c>
      <c r="G29" s="497">
        <f>E29*F29</f>
        <v>8280</v>
      </c>
      <c r="H29" s="455">
        <f>G29</f>
        <v>8280</v>
      </c>
      <c r="I29" s="500"/>
      <c r="J29" s="547">
        <f>H29/DAY(B2)</f>
        <v>8280</v>
      </c>
      <c r="K29" s="370"/>
      <c r="L29" s="438"/>
      <c r="N29" s="439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496">
        <v>60</v>
      </c>
      <c r="F30" s="496">
        <v>146</v>
      </c>
      <c r="G30" s="497">
        <f>E30*F30</f>
        <v>8760</v>
      </c>
      <c r="H30" s="455">
        <f>G30</f>
        <v>8760</v>
      </c>
      <c r="I30" s="500"/>
      <c r="J30" s="547">
        <f>H30/DAY(B2)</f>
        <v>8760</v>
      </c>
      <c r="K30" s="370"/>
      <c r="L30" s="438"/>
      <c r="N30" s="439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496">
        <v>20</v>
      </c>
      <c r="F31" s="496">
        <v>80</v>
      </c>
      <c r="G31" s="497">
        <f>E31*F31</f>
        <v>1600</v>
      </c>
      <c r="H31" s="455">
        <f>G31</f>
        <v>1600</v>
      </c>
      <c r="I31" s="500"/>
      <c r="J31" s="547">
        <f>H31/DAY(B2)</f>
        <v>1600</v>
      </c>
      <c r="K31" s="370"/>
      <c r="L31" s="438"/>
      <c r="N31" s="439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503">
        <f>G27+G28+G29+G30+G31</f>
        <v>181582</v>
      </c>
      <c r="H32" s="455">
        <f t="shared" ref="H32" si="5">G32</f>
        <v>181582</v>
      </c>
      <c r="I32" s="504"/>
      <c r="J32" s="547">
        <f>H32/DAY(B2)</f>
        <v>181582</v>
      </c>
      <c r="K32" s="370"/>
      <c r="L32" s="438"/>
      <c r="N32" s="439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  <c r="O33" s="379"/>
    </row>
    <row r="34" spans="1:15">
      <c r="A34" s="593" t="s">
        <v>228</v>
      </c>
      <c r="B34" s="1397"/>
      <c r="C34" s="1397"/>
      <c r="D34" s="467"/>
      <c r="E34" s="490"/>
      <c r="F34" s="466"/>
      <c r="G34" s="467"/>
      <c r="H34" s="467"/>
      <c r="I34" s="467"/>
      <c r="J34" s="546"/>
      <c r="K34" s="424"/>
      <c r="L34" s="374"/>
      <c r="N34" s="379"/>
      <c r="O34" s="379"/>
    </row>
    <row r="35" spans="1:15">
      <c r="A35" s="573" t="s">
        <v>229</v>
      </c>
      <c r="B35" s="574"/>
      <c r="C35" s="574"/>
      <c r="D35" s="518" t="s">
        <v>198</v>
      </c>
      <c r="E35" s="505">
        <v>950488</v>
      </c>
      <c r="F35" s="505">
        <v>952832</v>
      </c>
      <c r="G35" s="468">
        <f>F35-E35</f>
        <v>2344</v>
      </c>
      <c r="H35" s="455">
        <f>G35</f>
        <v>2344</v>
      </c>
      <c r="I35" s="450"/>
      <c r="J35" s="547">
        <f>H35/DAY(B2)</f>
        <v>2344</v>
      </c>
      <c r="K35" s="424"/>
      <c r="L35" s="374"/>
      <c r="N35" s="379"/>
      <c r="O35" s="623"/>
    </row>
    <row r="36" spans="1:15">
      <c r="A36" s="573" t="s">
        <v>230</v>
      </c>
      <c r="B36" s="574"/>
      <c r="C36" s="574"/>
      <c r="D36" s="518" t="s">
        <v>198</v>
      </c>
      <c r="E36" s="505">
        <v>173</v>
      </c>
      <c r="F36" s="505">
        <v>619</v>
      </c>
      <c r="G36" s="468">
        <f t="shared" ref="G36:G46" si="6">F36-E36</f>
        <v>446</v>
      </c>
      <c r="H36" s="455">
        <f t="shared" ref="H36:H47" si="7">G36</f>
        <v>446</v>
      </c>
      <c r="I36" s="450"/>
      <c r="J36" s="547">
        <f>H36/DAY(B2)</f>
        <v>446</v>
      </c>
      <c r="K36" s="424"/>
      <c r="L36" s="374"/>
      <c r="N36" s="379"/>
      <c r="O36" s="623"/>
    </row>
    <row r="37" spans="1:15">
      <c r="A37" s="573" t="s">
        <v>231</v>
      </c>
      <c r="B37" s="574"/>
      <c r="C37" s="574"/>
      <c r="D37" s="518" t="s">
        <v>198</v>
      </c>
      <c r="E37" s="505">
        <v>134236</v>
      </c>
      <c r="F37" s="505">
        <v>135514</v>
      </c>
      <c r="G37" s="468">
        <f t="shared" si="6"/>
        <v>1278</v>
      </c>
      <c r="H37" s="455">
        <f t="shared" si="7"/>
        <v>1278</v>
      </c>
      <c r="I37" s="450"/>
      <c r="J37" s="547">
        <f>H37/DAY(B2)</f>
        <v>1278</v>
      </c>
      <c r="K37" s="424"/>
      <c r="L37" s="374"/>
      <c r="N37" s="379"/>
      <c r="O37" s="379"/>
    </row>
    <row r="38" spans="1:15">
      <c r="A38" s="573" t="s">
        <v>232</v>
      </c>
      <c r="B38" s="574"/>
      <c r="C38" s="574"/>
      <c r="D38" s="518" t="s">
        <v>198</v>
      </c>
      <c r="E38" s="464">
        <v>156405</v>
      </c>
      <c r="F38" s="464">
        <v>157575</v>
      </c>
      <c r="G38" s="468">
        <f t="shared" si="6"/>
        <v>1170</v>
      </c>
      <c r="H38" s="455">
        <f t="shared" si="7"/>
        <v>1170</v>
      </c>
      <c r="I38" s="450"/>
      <c r="J38" s="547">
        <f>H38/DAY(B2)</f>
        <v>1170</v>
      </c>
      <c r="K38" s="424"/>
      <c r="L38" s="374"/>
      <c r="N38" s="379"/>
      <c r="O38" s="379"/>
    </row>
    <row r="39" spans="1:15">
      <c r="A39" s="573" t="s">
        <v>233</v>
      </c>
      <c r="B39" s="574"/>
      <c r="C39" s="574"/>
      <c r="D39" s="518" t="s">
        <v>198</v>
      </c>
      <c r="E39" s="505">
        <v>308173</v>
      </c>
      <c r="F39" s="505">
        <v>310175</v>
      </c>
      <c r="G39" s="468">
        <f t="shared" si="6"/>
        <v>2002</v>
      </c>
      <c r="H39" s="455">
        <f t="shared" si="7"/>
        <v>2002</v>
      </c>
      <c r="I39" s="450"/>
      <c r="J39" s="547">
        <f>H39/DAY(B2)</f>
        <v>2002</v>
      </c>
      <c r="K39" s="424"/>
      <c r="L39" s="374"/>
      <c r="N39" s="379"/>
      <c r="O39" s="379"/>
    </row>
    <row r="40" spans="1:15">
      <c r="A40" s="594" t="s">
        <v>234</v>
      </c>
      <c r="B40" s="595"/>
      <c r="C40" s="595"/>
      <c r="D40" s="518" t="s">
        <v>198</v>
      </c>
      <c r="E40" s="505">
        <v>889</v>
      </c>
      <c r="F40" s="505">
        <v>889</v>
      </c>
      <c r="G40" s="468">
        <f t="shared" si="6"/>
        <v>0</v>
      </c>
      <c r="H40" s="455">
        <f t="shared" si="7"/>
        <v>0</v>
      </c>
      <c r="I40" s="450"/>
      <c r="J40" s="547">
        <f>H40/DAY(B2)</f>
        <v>0</v>
      </c>
      <c r="K40" s="425"/>
      <c r="L40" s="374"/>
      <c r="N40" s="379"/>
      <c r="O40" s="379"/>
    </row>
    <row r="41" spans="1:15">
      <c r="A41" s="573" t="s">
        <v>235</v>
      </c>
      <c r="B41" s="574"/>
      <c r="C41" s="574"/>
      <c r="D41" s="518" t="s">
        <v>198</v>
      </c>
      <c r="E41" s="505">
        <v>240478</v>
      </c>
      <c r="F41" s="505">
        <v>240478</v>
      </c>
      <c r="G41" s="468">
        <f t="shared" si="6"/>
        <v>0</v>
      </c>
      <c r="H41" s="455">
        <f t="shared" si="7"/>
        <v>0</v>
      </c>
      <c r="I41" s="450"/>
      <c r="J41" s="547">
        <f>H41/DAY(B2)</f>
        <v>0</v>
      </c>
      <c r="K41" s="424"/>
      <c r="L41" s="374"/>
      <c r="N41" s="379"/>
      <c r="O41" s="717"/>
    </row>
    <row r="42" spans="1:15">
      <c r="A42" s="573" t="s">
        <v>236</v>
      </c>
      <c r="B42" s="574"/>
      <c r="C42" s="574"/>
      <c r="D42" s="518" t="s">
        <v>198</v>
      </c>
      <c r="E42" s="505">
        <v>59200</v>
      </c>
      <c r="F42" s="505">
        <v>59200</v>
      </c>
      <c r="G42" s="468">
        <f t="shared" si="6"/>
        <v>0</v>
      </c>
      <c r="H42" s="455">
        <f t="shared" si="7"/>
        <v>0</v>
      </c>
      <c r="I42" s="450"/>
      <c r="J42" s="547">
        <f>H42/DAY(B2)</f>
        <v>0</v>
      </c>
      <c r="K42" s="424"/>
      <c r="L42" s="374"/>
      <c r="N42" s="379"/>
      <c r="O42" s="379"/>
    </row>
    <row r="43" spans="1:15">
      <c r="A43" s="573" t="s">
        <v>237</v>
      </c>
      <c r="B43" s="574"/>
      <c r="C43" s="574"/>
      <c r="D43" s="518" t="s">
        <v>198</v>
      </c>
      <c r="E43" s="505">
        <v>1042244</v>
      </c>
      <c r="F43" s="505">
        <v>1044516</v>
      </c>
      <c r="G43" s="468">
        <f t="shared" si="6"/>
        <v>2272</v>
      </c>
      <c r="H43" s="455">
        <f t="shared" si="7"/>
        <v>2272</v>
      </c>
      <c r="I43" s="450"/>
      <c r="J43" s="547">
        <f>H43/DAY(B2)</f>
        <v>2272</v>
      </c>
      <c r="K43" s="424"/>
      <c r="L43" s="374"/>
      <c r="N43" s="379"/>
      <c r="O43" s="379"/>
    </row>
    <row r="44" spans="1:15">
      <c r="A44" s="573" t="s">
        <v>238</v>
      </c>
      <c r="B44" s="574"/>
      <c r="C44" s="574"/>
      <c r="D44" s="518" t="s">
        <v>198</v>
      </c>
      <c r="E44" s="505">
        <v>0</v>
      </c>
      <c r="F44" s="505">
        <v>0</v>
      </c>
      <c r="G44" s="468">
        <f t="shared" si="6"/>
        <v>0</v>
      </c>
      <c r="H44" s="455">
        <f t="shared" si="7"/>
        <v>0</v>
      </c>
      <c r="I44" s="450"/>
      <c r="J44" s="547">
        <f>H44/DAY(B2)</f>
        <v>0</v>
      </c>
      <c r="K44" s="424"/>
      <c r="L44" s="374"/>
      <c r="N44" s="379"/>
      <c r="O44" s="379"/>
    </row>
    <row r="45" spans="1:15">
      <c r="A45" s="573" t="s">
        <v>239</v>
      </c>
      <c r="B45" s="574"/>
      <c r="C45" s="574"/>
      <c r="D45" s="518" t="s">
        <v>198</v>
      </c>
      <c r="E45" s="505">
        <v>614</v>
      </c>
      <c r="F45" s="505">
        <v>614</v>
      </c>
      <c r="G45" s="468">
        <f t="shared" si="6"/>
        <v>0</v>
      </c>
      <c r="H45" s="455">
        <f t="shared" si="7"/>
        <v>0</v>
      </c>
      <c r="I45" s="450"/>
      <c r="J45" s="547">
        <f>H45/DAY(B2)</f>
        <v>0</v>
      </c>
      <c r="K45" s="424"/>
      <c r="L45" s="374"/>
      <c r="N45" s="379"/>
      <c r="O45" s="379"/>
    </row>
    <row r="46" spans="1:15">
      <c r="A46" s="573" t="s">
        <v>240</v>
      </c>
      <c r="B46" s="574"/>
      <c r="C46" s="574"/>
      <c r="D46" s="518" t="s">
        <v>198</v>
      </c>
      <c r="E46" s="505">
        <v>187</v>
      </c>
      <c r="F46" s="505">
        <v>187</v>
      </c>
      <c r="G46" s="468">
        <f t="shared" si="6"/>
        <v>0</v>
      </c>
      <c r="H46" s="455">
        <f t="shared" si="7"/>
        <v>0</v>
      </c>
      <c r="I46" s="450"/>
      <c r="J46" s="547">
        <f>H46/DAY(B2)</f>
        <v>0</v>
      </c>
      <c r="K46" s="424"/>
      <c r="L46" s="374"/>
      <c r="N46" s="379"/>
      <c r="O46" s="379"/>
    </row>
    <row r="47" spans="1:15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9512</v>
      </c>
      <c r="H47" s="455">
        <f t="shared" si="7"/>
        <v>9512</v>
      </c>
      <c r="I47" s="450"/>
      <c r="J47" s="547">
        <f>H47/DAY(B2)</f>
        <v>9512</v>
      </c>
      <c r="K47" s="424"/>
      <c r="L47" s="374"/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  <c r="O48" s="379"/>
    </row>
    <row r="49" spans="1:15">
      <c r="A49" s="573" t="s">
        <v>229</v>
      </c>
      <c r="B49" s="596"/>
      <c r="C49" s="596"/>
      <c r="D49" s="518" t="s">
        <v>198</v>
      </c>
      <c r="E49" s="505">
        <v>260732</v>
      </c>
      <c r="F49" s="505">
        <v>260732</v>
      </c>
      <c r="G49" s="468">
        <f t="shared" ref="G49:G58" si="8">F49-E49</f>
        <v>0</v>
      </c>
      <c r="H49" s="455">
        <f>G49</f>
        <v>0</v>
      </c>
      <c r="I49" s="450"/>
      <c r="J49" s="547">
        <f>H49/DAY(B2)</f>
        <v>0</v>
      </c>
      <c r="K49" s="424"/>
      <c r="L49" s="374"/>
      <c r="N49" s="379"/>
      <c r="O49" s="379"/>
    </row>
    <row r="50" spans="1:15">
      <c r="A50" s="573" t="s">
        <v>243</v>
      </c>
      <c r="B50" s="596"/>
      <c r="C50" s="596"/>
      <c r="D50" s="518" t="s">
        <v>198</v>
      </c>
      <c r="E50" s="505">
        <v>502536</v>
      </c>
      <c r="F50" s="505">
        <v>503350</v>
      </c>
      <c r="G50" s="468">
        <f t="shared" si="8"/>
        <v>814</v>
      </c>
      <c r="H50" s="455">
        <f t="shared" ref="H50:H60" si="9">G50</f>
        <v>814</v>
      </c>
      <c r="I50" s="450"/>
      <c r="J50" s="547">
        <f>H50/DAY(B2)</f>
        <v>814</v>
      </c>
      <c r="K50" s="424"/>
      <c r="L50" s="374"/>
      <c r="N50" s="379"/>
      <c r="O50" s="379"/>
    </row>
    <row r="51" spans="1:15">
      <c r="A51" s="573" t="s">
        <v>231</v>
      </c>
      <c r="B51" s="596"/>
      <c r="C51" s="596"/>
      <c r="D51" s="518" t="s">
        <v>198</v>
      </c>
      <c r="E51" s="505">
        <v>144640</v>
      </c>
      <c r="F51" s="505">
        <v>144640</v>
      </c>
      <c r="G51" s="468">
        <f t="shared" si="8"/>
        <v>0</v>
      </c>
      <c r="H51" s="455">
        <f t="shared" si="9"/>
        <v>0</v>
      </c>
      <c r="I51" s="450"/>
      <c r="J51" s="547">
        <f>H51/DAY(B2)</f>
        <v>0</v>
      </c>
      <c r="K51" s="424"/>
      <c r="L51" s="374"/>
      <c r="N51" s="379"/>
      <c r="O51" s="379"/>
    </row>
    <row r="52" spans="1:15">
      <c r="A52" s="573" t="s">
        <v>244</v>
      </c>
      <c r="B52" s="596"/>
      <c r="C52" s="596"/>
      <c r="D52" s="518" t="s">
        <v>198</v>
      </c>
      <c r="E52" s="505">
        <v>539606</v>
      </c>
      <c r="F52" s="505">
        <v>539606</v>
      </c>
      <c r="G52" s="468">
        <f t="shared" si="8"/>
        <v>0</v>
      </c>
      <c r="H52" s="455">
        <f t="shared" si="9"/>
        <v>0</v>
      </c>
      <c r="I52" s="450"/>
      <c r="J52" s="547">
        <f>H52/DAY(B2)</f>
        <v>0</v>
      </c>
      <c r="K52" s="424"/>
      <c r="L52" s="374"/>
      <c r="N52" s="379"/>
      <c r="O52" s="717"/>
    </row>
    <row r="53" spans="1:15">
      <c r="A53" s="573" t="s">
        <v>233</v>
      </c>
      <c r="B53" s="596"/>
      <c r="C53" s="596"/>
      <c r="D53" s="518" t="s">
        <v>198</v>
      </c>
      <c r="E53" s="505">
        <v>432568</v>
      </c>
      <c r="F53" s="505">
        <v>433112</v>
      </c>
      <c r="G53" s="468">
        <f t="shared" si="8"/>
        <v>544</v>
      </c>
      <c r="H53" s="455">
        <f t="shared" si="9"/>
        <v>544</v>
      </c>
      <c r="I53" s="450"/>
      <c r="J53" s="547">
        <f>H53/DAY(B2)</f>
        <v>544</v>
      </c>
      <c r="K53" s="424"/>
      <c r="L53" s="374"/>
      <c r="N53" s="379"/>
      <c r="O53" s="379"/>
    </row>
    <row r="54" spans="1:15">
      <c r="A54" s="573" t="s">
        <v>245</v>
      </c>
      <c r="B54" s="596"/>
      <c r="C54" s="596"/>
      <c r="D54" s="518" t="s">
        <v>198</v>
      </c>
      <c r="E54" s="505">
        <v>13750</v>
      </c>
      <c r="F54" s="505">
        <v>13840</v>
      </c>
      <c r="G54" s="468">
        <f t="shared" si="8"/>
        <v>90</v>
      </c>
      <c r="H54" s="455">
        <f t="shared" si="9"/>
        <v>90</v>
      </c>
      <c r="I54" s="450"/>
      <c r="J54" s="547">
        <f>H54/DAY(B2)</f>
        <v>90</v>
      </c>
      <c r="K54" s="424"/>
      <c r="L54" s="374"/>
      <c r="N54" s="379"/>
      <c r="O54" s="379"/>
    </row>
    <row r="55" spans="1:15">
      <c r="A55" s="573" t="s">
        <v>246</v>
      </c>
      <c r="B55" s="596"/>
      <c r="C55" s="596"/>
      <c r="D55" s="518" t="s">
        <v>198</v>
      </c>
      <c r="E55" s="505">
        <v>68111</v>
      </c>
      <c r="F55" s="505">
        <v>68111</v>
      </c>
      <c r="G55" s="468">
        <f t="shared" si="8"/>
        <v>0</v>
      </c>
      <c r="H55" s="455">
        <f t="shared" si="9"/>
        <v>0</v>
      </c>
      <c r="I55" s="450"/>
      <c r="J55" s="547">
        <f>H55/DAY(B2)</f>
        <v>0</v>
      </c>
      <c r="K55" s="424"/>
      <c r="L55" s="374"/>
      <c r="N55" s="379"/>
      <c r="O55" s="379"/>
    </row>
    <row r="56" spans="1:15">
      <c r="A56" s="573" t="s">
        <v>247</v>
      </c>
      <c r="B56" s="596"/>
      <c r="C56" s="596"/>
      <c r="D56" s="518" t="s">
        <v>248</v>
      </c>
      <c r="E56" s="505">
        <v>617198</v>
      </c>
      <c r="F56" s="505">
        <v>622504.51</v>
      </c>
      <c r="G56" s="468">
        <f t="shared" si="8"/>
        <v>5306.5100000000093</v>
      </c>
      <c r="H56" s="455">
        <f t="shared" si="9"/>
        <v>5306.5100000000093</v>
      </c>
      <c r="I56" s="450"/>
      <c r="J56" s="547">
        <f>H56/DAY(B2)</f>
        <v>5306.5100000000093</v>
      </c>
      <c r="K56" s="423"/>
      <c r="L56" s="374"/>
      <c r="N56" s="379"/>
      <c r="O56" s="379"/>
    </row>
    <row r="57" spans="1:15">
      <c r="A57" s="573" t="s">
        <v>237</v>
      </c>
      <c r="B57" s="596"/>
      <c r="C57" s="596"/>
      <c r="D57" s="518" t="s">
        <v>198</v>
      </c>
      <c r="E57" s="505">
        <v>7711</v>
      </c>
      <c r="F57" s="505">
        <v>7711</v>
      </c>
      <c r="G57" s="468">
        <f t="shared" si="8"/>
        <v>0</v>
      </c>
      <c r="H57" s="455">
        <f t="shared" si="9"/>
        <v>0</v>
      </c>
      <c r="I57" s="450"/>
      <c r="J57" s="547">
        <f>H57/DAY(B2)</f>
        <v>0</v>
      </c>
      <c r="K57" s="424"/>
      <c r="L57" s="374"/>
      <c r="N57" s="379"/>
      <c r="O57" s="379"/>
    </row>
    <row r="58" spans="1:15">
      <c r="A58" s="573" t="s">
        <v>249</v>
      </c>
      <c r="B58" s="596"/>
      <c r="C58" s="596"/>
      <c r="D58" s="518" t="s">
        <v>198</v>
      </c>
      <c r="E58" s="505">
        <v>49625</v>
      </c>
      <c r="F58" s="505">
        <v>49625</v>
      </c>
      <c r="G58" s="468">
        <f t="shared" si="8"/>
        <v>0</v>
      </c>
      <c r="H58" s="455">
        <f t="shared" si="9"/>
        <v>0</v>
      </c>
      <c r="I58" s="450"/>
      <c r="J58" s="547">
        <f>H58/DAY(B2)</f>
        <v>0</v>
      </c>
      <c r="K58" s="424"/>
      <c r="L58" s="374"/>
      <c r="N58" s="379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6754.5100000000093</v>
      </c>
      <c r="H59" s="455">
        <f t="shared" si="9"/>
        <v>6754.5100000000093</v>
      </c>
      <c r="I59" s="450">
        <f>G7-G60</f>
        <v>295.48999999999069</v>
      </c>
      <c r="J59" s="547">
        <f>H59/DAY(B2)</f>
        <v>6754.5100000000093</v>
      </c>
      <c r="K59" s="424"/>
      <c r="L59" s="374"/>
      <c r="N59" s="379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476">
        <f>G47+G59</f>
        <v>16266.510000000009</v>
      </c>
      <c r="H60" s="455">
        <f t="shared" si="9"/>
        <v>16266.510000000009</v>
      </c>
      <c r="I60" s="450">
        <f>G13-G60</f>
        <v>-123.09000000000924</v>
      </c>
      <c r="J60" s="547">
        <f>H60/DAY(B2)</f>
        <v>16266.510000000009</v>
      </c>
      <c r="K60" s="424"/>
      <c r="L60" s="374"/>
      <c r="N60" s="379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v>20419</v>
      </c>
      <c r="F62" s="509">
        <v>20419</v>
      </c>
      <c r="G62" s="468">
        <f t="shared" ref="G62:G69" si="10">F62-E62</f>
        <v>0</v>
      </c>
      <c r="H62" s="455">
        <f>G62</f>
        <v>0</v>
      </c>
      <c r="I62" s="510"/>
      <c r="J62" s="547">
        <f>H62/DAY(B2)</f>
        <v>0</v>
      </c>
      <c r="K62" s="424"/>
      <c r="L62" s="374"/>
      <c r="N62" s="379"/>
      <c r="O62" s="379"/>
    </row>
    <row r="63" spans="1:15">
      <c r="A63" s="598" t="s">
        <v>254</v>
      </c>
      <c r="B63" s="599"/>
      <c r="C63" s="599"/>
      <c r="D63" s="506" t="s">
        <v>253</v>
      </c>
      <c r="E63" s="509">
        <v>0</v>
      </c>
      <c r="F63" s="509">
        <v>0</v>
      </c>
      <c r="G63" s="468">
        <f t="shared" si="10"/>
        <v>0</v>
      </c>
      <c r="H63" s="455">
        <f t="shared" ref="H63:H70" si="11">G63</f>
        <v>0</v>
      </c>
      <c r="I63" s="510"/>
      <c r="J63" s="547">
        <f>H63/DAY(B2)</f>
        <v>0</v>
      </c>
      <c r="K63" s="424"/>
      <c r="L63" s="374"/>
      <c r="N63" s="379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79">
        <v>159932</v>
      </c>
      <c r="F64" s="479">
        <v>160128</v>
      </c>
      <c r="G64" s="468">
        <f t="shared" si="10"/>
        <v>196</v>
      </c>
      <c r="H64" s="455">
        <f t="shared" si="11"/>
        <v>196</v>
      </c>
      <c r="I64" s="475"/>
      <c r="J64" s="547">
        <f>H64/DAY(B2)</f>
        <v>196</v>
      </c>
      <c r="K64" s="424"/>
      <c r="L64" s="374"/>
      <c r="N64" s="379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79">
        <v>160998</v>
      </c>
      <c r="F65" s="479">
        <v>161237</v>
      </c>
      <c r="G65" s="468">
        <f t="shared" si="10"/>
        <v>239</v>
      </c>
      <c r="H65" s="455">
        <f t="shared" si="11"/>
        <v>239</v>
      </c>
      <c r="I65" s="484"/>
      <c r="J65" s="547">
        <f>H65/DAY(B2)</f>
        <v>239</v>
      </c>
      <c r="K65" s="424"/>
      <c r="L65" s="374"/>
      <c r="N65" s="379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79">
        <v>56805</v>
      </c>
      <c r="F66" s="479">
        <v>57021</v>
      </c>
      <c r="G66" s="468">
        <f t="shared" si="10"/>
        <v>216</v>
      </c>
      <c r="H66" s="455">
        <f t="shared" si="11"/>
        <v>216</v>
      </c>
      <c r="I66" s="475"/>
      <c r="J66" s="547">
        <f>H66/DAY(B2)</f>
        <v>216</v>
      </c>
      <c r="K66" s="424"/>
      <c r="L66" s="374"/>
      <c r="N66" s="379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79">
        <v>252192</v>
      </c>
      <c r="F67" s="479">
        <v>252502</v>
      </c>
      <c r="G67" s="468">
        <f t="shared" si="10"/>
        <v>310</v>
      </c>
      <c r="H67" s="455">
        <f t="shared" si="11"/>
        <v>310</v>
      </c>
      <c r="I67" s="484"/>
      <c r="J67" s="547">
        <f>H67/DAY(B2)</f>
        <v>310</v>
      </c>
      <c r="K67" s="425"/>
      <c r="L67" s="374"/>
      <c r="N67" s="379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79">
        <v>85321</v>
      </c>
      <c r="F68" s="479">
        <v>85321</v>
      </c>
      <c r="G68" s="468">
        <f t="shared" si="10"/>
        <v>0</v>
      </c>
      <c r="H68" s="455">
        <f t="shared" si="11"/>
        <v>0</v>
      </c>
      <c r="I68" s="511"/>
      <c r="J68" s="547">
        <f>H68/DAY(B2)</f>
        <v>0</v>
      </c>
      <c r="K68" s="426"/>
      <c r="L68" s="374"/>
      <c r="N68" s="379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79">
        <v>81749</v>
      </c>
      <c r="F69" s="479">
        <v>81853</v>
      </c>
      <c r="G69" s="468">
        <f t="shared" si="10"/>
        <v>104</v>
      </c>
      <c r="H69" s="455">
        <f t="shared" si="11"/>
        <v>104</v>
      </c>
      <c r="I69" s="511"/>
      <c r="J69" s="547">
        <f>H69/DAY(B2)</f>
        <v>104</v>
      </c>
      <c r="K69" s="427"/>
      <c r="L69" s="374"/>
      <c r="N69" s="379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 t="shared" si="11"/>
        <v>0</v>
      </c>
      <c r="I70" s="513"/>
      <c r="J70" s="551">
        <f>H70/DAY(B2)</f>
        <v>0</v>
      </c>
      <c r="K70" s="427"/>
      <c r="L70" s="374"/>
      <c r="N70" s="379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514">
        <v>855843</v>
      </c>
      <c r="F72" s="514">
        <v>855857</v>
      </c>
      <c r="G72" s="468">
        <f t="shared" ref="G72:G84" si="12">F72-E72</f>
        <v>14</v>
      </c>
      <c r="H72" s="455">
        <f>G72</f>
        <v>14</v>
      </c>
      <c r="I72" s="475"/>
      <c r="J72" s="547">
        <f>H72/DAY(B2)</f>
        <v>14</v>
      </c>
      <c r="K72" s="427"/>
      <c r="L72" s="374"/>
      <c r="N72" s="379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515">
        <v>885937</v>
      </c>
      <c r="F73" s="515">
        <v>885938</v>
      </c>
      <c r="G73" s="468">
        <f t="shared" si="12"/>
        <v>1</v>
      </c>
      <c r="H73" s="455">
        <f t="shared" ref="H73:H88" si="13">G73</f>
        <v>1</v>
      </c>
      <c r="I73" s="475"/>
      <c r="J73" s="547">
        <f>H73/DAY(B2)</f>
        <v>1</v>
      </c>
      <c r="K73" s="426"/>
      <c r="L73" s="374"/>
      <c r="N73" s="379"/>
      <c r="O73" s="379"/>
    </row>
    <row r="74" spans="1:15" ht="27.75">
      <c r="A74" s="1482" t="s">
        <v>260</v>
      </c>
      <c r="B74" s="1483"/>
      <c r="C74" s="1484"/>
      <c r="D74" s="518" t="s">
        <v>253</v>
      </c>
      <c r="E74" s="516">
        <v>2586</v>
      </c>
      <c r="F74" s="516">
        <v>2593</v>
      </c>
      <c r="G74" s="468">
        <f t="shared" si="12"/>
        <v>7</v>
      </c>
      <c r="H74" s="455">
        <f t="shared" si="13"/>
        <v>7</v>
      </c>
      <c r="I74" s="475"/>
      <c r="J74" s="547">
        <f>H74/DAY(B2)</f>
        <v>7</v>
      </c>
      <c r="K74" s="427"/>
      <c r="L74" s="374"/>
      <c r="N74" s="379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516">
        <v>12669</v>
      </c>
      <c r="F75" s="516">
        <v>12723</v>
      </c>
      <c r="G75" s="468">
        <f t="shared" si="12"/>
        <v>54</v>
      </c>
      <c r="H75" s="455">
        <f t="shared" si="13"/>
        <v>54</v>
      </c>
      <c r="I75" s="475"/>
      <c r="J75" s="547">
        <f>H75/DAY(B2)</f>
        <v>54</v>
      </c>
      <c r="K75" s="426"/>
      <c r="L75" s="374"/>
      <c r="N75" s="379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515">
        <v>7419</v>
      </c>
      <c r="F76" s="515">
        <v>7476</v>
      </c>
      <c r="G76" s="468">
        <f t="shared" si="12"/>
        <v>57</v>
      </c>
      <c r="H76" s="455">
        <f t="shared" si="13"/>
        <v>57</v>
      </c>
      <c r="I76" s="500"/>
      <c r="J76" s="547">
        <f>H76/DAY(B2)</f>
        <v>57</v>
      </c>
      <c r="K76" s="426"/>
      <c r="L76" s="374"/>
      <c r="N76" s="379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516">
        <v>702839</v>
      </c>
      <c r="F77" s="516">
        <v>702888</v>
      </c>
      <c r="G77" s="468">
        <f t="shared" si="12"/>
        <v>49</v>
      </c>
      <c r="H77" s="455">
        <f t="shared" si="13"/>
        <v>49</v>
      </c>
      <c r="I77" s="500"/>
      <c r="J77" s="547">
        <f>H77/DAY(B2)</f>
        <v>49</v>
      </c>
      <c r="K77" s="426"/>
      <c r="L77" s="374"/>
      <c r="N77" s="379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516">
        <v>673032</v>
      </c>
      <c r="F78" s="516">
        <v>673087</v>
      </c>
      <c r="G78" s="468">
        <f t="shared" si="12"/>
        <v>55</v>
      </c>
      <c r="H78" s="455">
        <f t="shared" si="13"/>
        <v>55</v>
      </c>
      <c r="I78" s="500"/>
      <c r="J78" s="547">
        <f>H78/DAY(B2)</f>
        <v>55</v>
      </c>
      <c r="K78" s="426"/>
      <c r="L78" s="374"/>
      <c r="N78" s="379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516">
        <v>831010</v>
      </c>
      <c r="F79" s="778">
        <v>831165</v>
      </c>
      <c r="G79" s="468">
        <f t="shared" si="12"/>
        <v>155</v>
      </c>
      <c r="H79" s="455">
        <f t="shared" si="13"/>
        <v>155</v>
      </c>
      <c r="I79" s="500"/>
      <c r="J79" s="547">
        <f>H79/DAY(B2)</f>
        <v>155</v>
      </c>
      <c r="K79" s="426"/>
      <c r="L79" s="374"/>
      <c r="N79" s="379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515">
        <v>527658</v>
      </c>
      <c r="F80" s="515">
        <v>528028</v>
      </c>
      <c r="G80" s="468">
        <f t="shared" si="12"/>
        <v>370</v>
      </c>
      <c r="H80" s="455">
        <f t="shared" si="13"/>
        <v>370</v>
      </c>
      <c r="I80" s="500"/>
      <c r="J80" s="547">
        <f>H80/DAY(B2)</f>
        <v>370</v>
      </c>
      <c r="K80" s="426"/>
      <c r="L80" s="374"/>
      <c r="N80" s="379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v>638898</v>
      </c>
      <c r="F81" s="515">
        <v>638992</v>
      </c>
      <c r="G81" s="468">
        <f t="shared" si="12"/>
        <v>94</v>
      </c>
      <c r="H81" s="455">
        <f t="shared" si="13"/>
        <v>94</v>
      </c>
      <c r="I81" s="500"/>
      <c r="J81" s="547">
        <f>H81/DAY(B2)</f>
        <v>94</v>
      </c>
      <c r="K81" s="426"/>
      <c r="L81" s="374"/>
      <c r="N81" s="379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v>108158</v>
      </c>
      <c r="F82" s="517">
        <v>108169</v>
      </c>
      <c r="G82" s="468">
        <f t="shared" si="12"/>
        <v>11</v>
      </c>
      <c r="H82" s="455">
        <f t="shared" si="13"/>
        <v>11</v>
      </c>
      <c r="I82" s="481"/>
      <c r="J82" s="547">
        <f>H82/DAY(B2)</f>
        <v>11</v>
      </c>
      <c r="K82" s="426"/>
      <c r="L82" s="374"/>
      <c r="N82" s="379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v>20506</v>
      </c>
      <c r="F83" s="1216">
        <v>20658</v>
      </c>
      <c r="G83" s="468">
        <f t="shared" si="12"/>
        <v>152</v>
      </c>
      <c r="H83" s="455">
        <f t="shared" si="13"/>
        <v>152</v>
      </c>
      <c r="I83" s="476"/>
      <c r="J83" s="547">
        <f>H83/DAY(B2)</f>
        <v>152</v>
      </c>
      <c r="K83" s="425"/>
      <c r="L83" s="374"/>
      <c r="N83" s="379"/>
      <c r="O83" s="717"/>
    </row>
    <row r="84" spans="1:15">
      <c r="A84" s="1396" t="s">
        <v>166</v>
      </c>
      <c r="B84" s="566"/>
      <c r="C84" s="566"/>
      <c r="D84" s="473" t="s">
        <v>198</v>
      </c>
      <c r="E84" s="622">
        <v>500294</v>
      </c>
      <c r="F84" s="622">
        <v>501121</v>
      </c>
      <c r="G84" s="468">
        <f t="shared" si="12"/>
        <v>827</v>
      </c>
      <c r="H84" s="455">
        <f t="shared" si="13"/>
        <v>827</v>
      </c>
      <c r="I84" s="476"/>
      <c r="J84" s="547">
        <f>H84/DAY(B2)</f>
        <v>827</v>
      </c>
      <c r="K84" s="377"/>
      <c r="L84" s="374"/>
      <c r="N84" s="379"/>
      <c r="O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1846</v>
      </c>
      <c r="H85" s="455">
        <f t="shared" si="13"/>
        <v>1846</v>
      </c>
      <c r="I85" s="476"/>
      <c r="J85" s="547">
        <f>H85/DAY(B2)</f>
        <v>1846</v>
      </c>
      <c r="K85" s="377"/>
      <c r="L85" s="375"/>
      <c r="N85" s="772"/>
      <c r="O85" s="717"/>
    </row>
    <row r="86" spans="1:15" s="731" customFormat="1">
      <c r="A86" s="726" t="s">
        <v>269</v>
      </c>
      <c r="B86" s="727"/>
      <c r="C86" s="727"/>
      <c r="D86" s="728" t="s">
        <v>248</v>
      </c>
      <c r="E86" s="643">
        <v>460935</v>
      </c>
      <c r="F86" s="643">
        <v>460969</v>
      </c>
      <c r="G86" s="701">
        <f t="shared" ref="G86:G91" si="14">F86-E86</f>
        <v>34</v>
      </c>
      <c r="H86" s="701">
        <f t="shared" si="13"/>
        <v>34</v>
      </c>
      <c r="I86" s="648"/>
      <c r="J86" s="703">
        <f>H86/DAY(B2)</f>
        <v>34</v>
      </c>
      <c r="K86" s="729"/>
      <c r="L86" s="730"/>
      <c r="N86" s="773"/>
      <c r="O86" s="379"/>
    </row>
    <row r="87" spans="1:15" s="731" customFormat="1">
      <c r="A87" s="726" t="s">
        <v>270</v>
      </c>
      <c r="B87" s="727"/>
      <c r="C87" s="727"/>
      <c r="D87" s="728" t="s">
        <v>248</v>
      </c>
      <c r="E87" s="643">
        <v>81375</v>
      </c>
      <c r="F87" s="643">
        <v>81396</v>
      </c>
      <c r="G87" s="701">
        <f t="shared" si="14"/>
        <v>21</v>
      </c>
      <c r="H87" s="701">
        <f t="shared" si="13"/>
        <v>21</v>
      </c>
      <c r="I87" s="648"/>
      <c r="J87" s="703">
        <f>H87/DAY(B2)</f>
        <v>21</v>
      </c>
      <c r="K87" s="729"/>
      <c r="L87" s="730"/>
      <c r="N87" s="773"/>
      <c r="O87" s="379"/>
    </row>
    <row r="88" spans="1:15" s="731" customFormat="1">
      <c r="A88" s="726" t="s">
        <v>158</v>
      </c>
      <c r="B88" s="727"/>
      <c r="C88" s="727"/>
      <c r="D88" s="728" t="s">
        <v>248</v>
      </c>
      <c r="E88" s="643">
        <v>153064</v>
      </c>
      <c r="F88" s="643">
        <v>153091</v>
      </c>
      <c r="G88" s="701">
        <f t="shared" si="14"/>
        <v>27</v>
      </c>
      <c r="H88" s="701">
        <f t="shared" si="13"/>
        <v>27</v>
      </c>
      <c r="I88" s="648"/>
      <c r="J88" s="703">
        <f>H88/DAY(B2)</f>
        <v>27</v>
      </c>
      <c r="K88" s="729"/>
      <c r="L88" s="730"/>
      <c r="N88" s="773"/>
      <c r="O88" s="379"/>
    </row>
    <row r="89" spans="1:15" s="731" customFormat="1">
      <c r="A89" s="726" t="s">
        <v>271</v>
      </c>
      <c r="B89" s="727"/>
      <c r="C89" s="727"/>
      <c r="D89" s="728" t="s">
        <v>248</v>
      </c>
      <c r="E89" s="643">
        <v>65174.6</v>
      </c>
      <c r="F89" s="643">
        <v>65185</v>
      </c>
      <c r="G89" s="701">
        <f t="shared" si="14"/>
        <v>10.400000000001455</v>
      </c>
      <c r="H89" s="701">
        <f>G89</f>
        <v>10.400000000001455</v>
      </c>
      <c r="I89" s="648"/>
      <c r="J89" s="703">
        <f>H89/DAY(B2)</f>
        <v>10.400000000001455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43">
        <v>3273.6</v>
      </c>
      <c r="F90" s="643">
        <v>3273.7</v>
      </c>
      <c r="G90" s="701">
        <f t="shared" si="14"/>
        <v>9.9999999999909051E-2</v>
      </c>
      <c r="H90" s="701">
        <f>G90</f>
        <v>9.9999999999909051E-2</v>
      </c>
      <c r="I90" s="648"/>
      <c r="J90" s="703">
        <f>H90/DAY(B2)</f>
        <v>9.9999999999909051E-2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43">
        <v>28022</v>
      </c>
      <c r="F91" s="643">
        <v>28026</v>
      </c>
      <c r="G91" s="701">
        <f t="shared" si="14"/>
        <v>4</v>
      </c>
      <c r="H91" s="701">
        <f>G91</f>
        <v>4</v>
      </c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72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v>245488</v>
      </c>
      <c r="F93" s="479">
        <v>245506</v>
      </c>
      <c r="G93" s="468">
        <f t="shared" ref="G93:G94" si="15">F93-E93</f>
        <v>18</v>
      </c>
      <c r="H93" s="455">
        <f t="shared" ref="H93" si="16">G93</f>
        <v>18</v>
      </c>
      <c r="I93" s="475"/>
      <c r="J93" s="547">
        <f>H93/DAY(B2)</f>
        <v>18</v>
      </c>
      <c r="K93" s="425"/>
      <c r="L93" s="374"/>
      <c r="N93" s="379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v>186121</v>
      </c>
      <c r="F94" s="697">
        <v>186179</v>
      </c>
      <c r="G94" s="468">
        <f t="shared" si="15"/>
        <v>58</v>
      </c>
      <c r="H94" s="455">
        <f>G94</f>
        <v>58</v>
      </c>
      <c r="I94" s="475"/>
      <c r="J94" s="547">
        <f>H94/DAY(B2)</f>
        <v>58</v>
      </c>
      <c r="K94" s="377"/>
      <c r="L94" s="374"/>
      <c r="N94" s="379"/>
      <c r="O94" s="379"/>
    </row>
    <row r="95" spans="1:15">
      <c r="A95" s="1447" t="s">
        <v>276</v>
      </c>
      <c r="B95" s="1448"/>
      <c r="C95" s="1449"/>
      <c r="D95" s="518"/>
      <c r="E95" s="479"/>
      <c r="F95" s="479"/>
      <c r="G95" s="468">
        <f>G93+G94</f>
        <v>76</v>
      </c>
      <c r="H95" s="455"/>
      <c r="I95" s="475"/>
      <c r="J95" s="547"/>
      <c r="K95" s="377"/>
      <c r="L95" s="374"/>
      <c r="N95" s="379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v>414283</v>
      </c>
      <c r="F96" s="479">
        <v>414323</v>
      </c>
      <c r="G96" s="468">
        <f t="shared" ref="G96:G101" si="17">F96-E96</f>
        <v>40</v>
      </c>
      <c r="H96" s="455">
        <f t="shared" ref="H96:H102" si="18">G96</f>
        <v>40</v>
      </c>
      <c r="I96" s="475"/>
      <c r="J96" s="547">
        <f>H96/DAY(B2)</f>
        <v>40</v>
      </c>
      <c r="K96" s="377"/>
      <c r="L96" s="374"/>
      <c r="N96" s="379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79">
        <v>102648</v>
      </c>
      <c r="F97" s="479">
        <v>102661</v>
      </c>
      <c r="G97" s="468">
        <f t="shared" si="17"/>
        <v>13</v>
      </c>
      <c r="H97" s="455">
        <f t="shared" si="18"/>
        <v>13</v>
      </c>
      <c r="I97" s="475"/>
      <c r="J97" s="547">
        <f>H97/DAY(B2)</f>
        <v>13</v>
      </c>
      <c r="K97" s="423"/>
      <c r="L97" s="374"/>
      <c r="N97" s="379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79">
        <v>97950</v>
      </c>
      <c r="F98" s="479">
        <v>97965</v>
      </c>
      <c r="G98" s="468">
        <f t="shared" si="17"/>
        <v>15</v>
      </c>
      <c r="H98" s="455">
        <f t="shared" si="18"/>
        <v>15</v>
      </c>
      <c r="I98" s="475"/>
      <c r="J98" s="547">
        <f>H98/DAY(B2)</f>
        <v>15</v>
      </c>
      <c r="K98" s="428"/>
      <c r="L98" s="374"/>
      <c r="N98" s="379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79">
        <v>149852</v>
      </c>
      <c r="F99" s="479">
        <v>149859</v>
      </c>
      <c r="G99" s="468">
        <f t="shared" si="17"/>
        <v>7</v>
      </c>
      <c r="H99" s="455">
        <f t="shared" si="18"/>
        <v>7</v>
      </c>
      <c r="I99" s="475"/>
      <c r="J99" s="547">
        <f>H99/DAY(B2)</f>
        <v>7</v>
      </c>
      <c r="K99" s="377"/>
      <c r="L99" s="374"/>
      <c r="N99" s="379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79">
        <v>7369</v>
      </c>
      <c r="F100" s="479">
        <v>7378</v>
      </c>
      <c r="G100" s="468">
        <f t="shared" si="17"/>
        <v>9</v>
      </c>
      <c r="H100" s="455">
        <f t="shared" si="18"/>
        <v>9</v>
      </c>
      <c r="I100" s="475"/>
      <c r="J100" s="547">
        <f>H100/DAY(B2)</f>
        <v>9</v>
      </c>
      <c r="K100" s="377"/>
      <c r="L100" s="374"/>
      <c r="N100" s="379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79">
        <v>5391</v>
      </c>
      <c r="F101" s="479">
        <v>5395</v>
      </c>
      <c r="G101" s="468">
        <f t="shared" si="17"/>
        <v>4</v>
      </c>
      <c r="H101" s="455">
        <f t="shared" si="18"/>
        <v>4</v>
      </c>
      <c r="I101" s="475" t="s">
        <v>182</v>
      </c>
      <c r="J101" s="547">
        <f>H101/DAY(B2)</f>
        <v>4</v>
      </c>
      <c r="K101" s="377"/>
      <c r="L101" s="374"/>
      <c r="N101" s="379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520">
        <f>SUM(G96:G101)</f>
        <v>88</v>
      </c>
      <c r="H102" s="455">
        <f t="shared" si="18"/>
        <v>88</v>
      </c>
      <c r="I102" s="521"/>
      <c r="J102" s="547">
        <f>H102/DAY(B2)</f>
        <v>88</v>
      </c>
      <c r="K102" s="377"/>
      <c r="L102" s="374"/>
      <c r="N102" s="379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523"/>
      <c r="G103" s="524"/>
      <c r="H103" s="525"/>
      <c r="I103" s="526"/>
      <c r="J103" s="552"/>
      <c r="N103" s="439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527"/>
      <c r="G104" s="527"/>
      <c r="H104" s="528"/>
      <c r="I104" s="527"/>
      <c r="J104" s="553"/>
      <c r="N104" s="439"/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527">
        <v>7484</v>
      </c>
      <c r="F105" s="527">
        <v>7484</v>
      </c>
      <c r="G105" s="527">
        <f>F105-E105</f>
        <v>0</v>
      </c>
      <c r="H105" s="528">
        <f>G105</f>
        <v>0</v>
      </c>
      <c r="I105" s="527"/>
      <c r="J105" s="553">
        <f>H105/DAY(B2)</f>
        <v>0</v>
      </c>
      <c r="N105" s="439"/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529">
        <v>35953</v>
      </c>
      <c r="F106" s="1346">
        <v>35953</v>
      </c>
      <c r="G106" s="527">
        <f t="shared" ref="G106:G107" si="19">F106-E106</f>
        <v>0</v>
      </c>
      <c r="H106" s="528">
        <f t="shared" ref="H106:H121" si="20">G106</f>
        <v>0</v>
      </c>
      <c r="I106" s="527"/>
      <c r="J106" s="553">
        <f>H106/DAY(B2)</f>
        <v>0</v>
      </c>
      <c r="N106" s="439"/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527">
        <v>19708</v>
      </c>
      <c r="F107" s="527">
        <v>19708</v>
      </c>
      <c r="G107" s="527">
        <f t="shared" si="19"/>
        <v>0</v>
      </c>
      <c r="H107" s="528">
        <f t="shared" si="20"/>
        <v>0</v>
      </c>
      <c r="I107" s="527"/>
      <c r="J107" s="553">
        <f>G110/DAY(B2)</f>
        <v>63</v>
      </c>
      <c r="N107" s="439"/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/>
      <c r="F108" s="527"/>
      <c r="G108" s="527">
        <f>SUM(G105:G107)</f>
        <v>0</v>
      </c>
      <c r="H108" s="528">
        <f t="shared" si="20"/>
        <v>0</v>
      </c>
      <c r="I108" s="527"/>
      <c r="J108" s="553">
        <f>H108/DAY(B2)</f>
        <v>0</v>
      </c>
      <c r="N108" s="439"/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/>
      <c r="F109" s="527"/>
      <c r="G109" s="527"/>
      <c r="H109" s="528">
        <f t="shared" si="20"/>
        <v>0</v>
      </c>
      <c r="I109" s="527"/>
      <c r="J109" s="553"/>
      <c r="N109" s="439"/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527">
        <v>62834</v>
      </c>
      <c r="F110" s="527">
        <v>62897</v>
      </c>
      <c r="G110" s="527">
        <f>F110-E110</f>
        <v>63</v>
      </c>
      <c r="H110" s="528">
        <f t="shared" si="20"/>
        <v>63</v>
      </c>
      <c r="I110" s="527"/>
      <c r="J110" s="553">
        <f>H110/DAY(B2)</f>
        <v>63</v>
      </c>
      <c r="N110" s="439"/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527">
        <v>32578</v>
      </c>
      <c r="F111" s="1346">
        <v>32578</v>
      </c>
      <c r="G111" s="527">
        <f>F111-E111</f>
        <v>0</v>
      </c>
      <c r="H111" s="528">
        <f t="shared" si="20"/>
        <v>0</v>
      </c>
      <c r="I111" s="527"/>
      <c r="J111" s="553">
        <f>H111/DAY(B2)</f>
        <v>0</v>
      </c>
      <c r="N111" s="439"/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527">
        <v>4576</v>
      </c>
      <c r="F112" s="1346">
        <v>4592</v>
      </c>
      <c r="G112" s="527">
        <f>F112-E112</f>
        <v>16</v>
      </c>
      <c r="H112" s="528">
        <f t="shared" si="20"/>
        <v>16</v>
      </c>
      <c r="I112" s="527"/>
      <c r="J112" s="553">
        <f>H112/DAY(B2)</f>
        <v>16</v>
      </c>
      <c r="N112" s="439"/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/>
      <c r="F113" s="527"/>
      <c r="G113" s="527">
        <f>SUM(G110:G112)</f>
        <v>79</v>
      </c>
      <c r="H113" s="528">
        <f t="shared" si="20"/>
        <v>79</v>
      </c>
      <c r="I113" s="527"/>
      <c r="J113" s="553">
        <f>H113/DAY(B2)</f>
        <v>79</v>
      </c>
      <c r="N113" s="439"/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/>
      <c r="F114" s="527"/>
      <c r="G114" s="527"/>
      <c r="H114" s="528">
        <f t="shared" si="20"/>
        <v>0</v>
      </c>
      <c r="I114" s="527"/>
      <c r="J114" s="553">
        <f>H114/DAY(B2)</f>
        <v>0</v>
      </c>
      <c r="N114" s="439"/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529">
        <v>11497</v>
      </c>
      <c r="F115" s="529">
        <v>11509</v>
      </c>
      <c r="G115" s="529">
        <f>F115-E115</f>
        <v>12</v>
      </c>
      <c r="H115" s="528">
        <f t="shared" si="20"/>
        <v>12</v>
      </c>
      <c r="I115" s="527"/>
      <c r="J115" s="553">
        <f>H115/DAY(B2)</f>
        <v>12</v>
      </c>
      <c r="N115" s="439"/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529">
        <v>8312</v>
      </c>
      <c r="F116" s="529">
        <v>8317</v>
      </c>
      <c r="G116" s="529">
        <f t="shared" ref="G116:G117" si="21">F116-E116</f>
        <v>5</v>
      </c>
      <c r="H116" s="528">
        <f t="shared" si="20"/>
        <v>5</v>
      </c>
      <c r="I116" s="527"/>
      <c r="J116" s="553">
        <f>H116/DAY(B2)</f>
        <v>5</v>
      </c>
      <c r="N116" s="439"/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529">
        <f t="shared" si="21"/>
        <v>0</v>
      </c>
      <c r="H117" s="528">
        <f t="shared" si="20"/>
        <v>0</v>
      </c>
      <c r="I117" s="527"/>
      <c r="J117" s="553">
        <f>H117/DAY(B2)</f>
        <v>0</v>
      </c>
      <c r="N117" s="439"/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529"/>
      <c r="G118" s="529">
        <f>SUM(G115:G117)</f>
        <v>17</v>
      </c>
      <c r="H118" s="528">
        <f t="shared" si="20"/>
        <v>17</v>
      </c>
      <c r="I118" s="529"/>
      <c r="J118" s="553">
        <f>H118/DAY(B2)</f>
        <v>17</v>
      </c>
      <c r="N118" s="442"/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531">
        <f>SUM(G19+G93)</f>
        <v>78</v>
      </c>
      <c r="G119" s="531">
        <f>SUM(G19+G93)</f>
        <v>78</v>
      </c>
      <c r="H119" s="528">
        <f t="shared" si="20"/>
        <v>78</v>
      </c>
      <c r="I119" s="530"/>
      <c r="J119" s="554">
        <f>H119/DAY(B2)</f>
        <v>78</v>
      </c>
      <c r="N119" s="774"/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531">
        <f>SUM(G96,G97,G98,G100,G101)</f>
        <v>81</v>
      </c>
      <c r="G120" s="531">
        <f>SUM(G96,G97,G98,G100,G101)</f>
        <v>81</v>
      </c>
      <c r="H120" s="528">
        <f t="shared" si="20"/>
        <v>81</v>
      </c>
      <c r="I120" s="530"/>
      <c r="J120" s="554">
        <f>H120/DAY(B2)</f>
        <v>81</v>
      </c>
      <c r="N120" s="774"/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529">
        <f>SUM(G113)</f>
        <v>79</v>
      </c>
      <c r="G121" s="529">
        <f>SUM(G113)</f>
        <v>79</v>
      </c>
      <c r="H121" s="528">
        <f t="shared" si="20"/>
        <v>79</v>
      </c>
      <c r="I121" s="530"/>
      <c r="J121" s="554">
        <f>H121/DAY(B2)</f>
        <v>79</v>
      </c>
      <c r="N121" s="774"/>
      <c r="O121" s="379"/>
    </row>
    <row r="122" spans="1:15" s="437" customFormat="1" ht="27.75">
      <c r="A122" s="1494"/>
      <c r="B122" s="1495"/>
      <c r="C122" s="1390"/>
      <c r="D122" s="555"/>
      <c r="E122" s="555" t="s">
        <v>182</v>
      </c>
      <c r="F122" s="555" t="s">
        <v>182</v>
      </c>
      <c r="G122" s="555"/>
      <c r="H122" s="556"/>
      <c r="I122" s="555"/>
      <c r="J122" s="557"/>
      <c r="N122" s="439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73">
        <v>832366</v>
      </c>
      <c r="F124" s="473">
        <v>832541</v>
      </c>
      <c r="G124" s="468">
        <f>F124-E124</f>
        <v>175</v>
      </c>
      <c r="H124" s="455">
        <f>G124</f>
        <v>175</v>
      </c>
      <c r="I124" s="521"/>
      <c r="J124" s="547">
        <f>H124/DAY(B2)</f>
        <v>175</v>
      </c>
      <c r="K124" s="377"/>
      <c r="L124" s="374"/>
      <c r="N124" s="379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621">
        <v>73583.399999999994</v>
      </c>
      <c r="F125" s="621">
        <v>73583.399999999994</v>
      </c>
      <c r="G125" s="468">
        <f t="shared" ref="G125:G128" si="22">F125-E125</f>
        <v>0</v>
      </c>
      <c r="H125" s="455">
        <f t="shared" ref="H125:H129" si="23">G125</f>
        <v>0</v>
      </c>
      <c r="I125" s="521"/>
      <c r="J125" s="547">
        <f>H125/DAY(B2)</f>
        <v>0</v>
      </c>
      <c r="K125" s="377"/>
      <c r="L125" s="374"/>
      <c r="N125" s="379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73">
        <v>146491</v>
      </c>
      <c r="F126" s="621">
        <v>146543</v>
      </c>
      <c r="G126" s="468">
        <f t="shared" si="22"/>
        <v>52</v>
      </c>
      <c r="H126" s="455">
        <f t="shared" si="23"/>
        <v>52</v>
      </c>
      <c r="I126" s="521"/>
      <c r="J126" s="547">
        <f>H126/DAY(B2)</f>
        <v>52</v>
      </c>
      <c r="K126" s="377"/>
      <c r="L126" s="374"/>
      <c r="N126" s="379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621">
        <v>31406</v>
      </c>
      <c r="F127" s="621">
        <v>31406</v>
      </c>
      <c r="G127" s="468">
        <f t="shared" si="22"/>
        <v>0</v>
      </c>
      <c r="H127" s="455">
        <f t="shared" si="23"/>
        <v>0</v>
      </c>
      <c r="I127" s="521"/>
      <c r="J127" s="547">
        <f>H127/DAY(B2)</f>
        <v>0</v>
      </c>
      <c r="K127" s="377"/>
      <c r="L127" s="374"/>
      <c r="N127" s="379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621">
        <v>8972</v>
      </c>
      <c r="F128" s="621">
        <v>8972</v>
      </c>
      <c r="G128" s="468">
        <f t="shared" si="22"/>
        <v>0</v>
      </c>
      <c r="H128" s="455">
        <f t="shared" si="23"/>
        <v>0</v>
      </c>
      <c r="I128" s="475"/>
      <c r="J128" s="547">
        <f>H128/DAY(B2)</f>
        <v>0</v>
      </c>
      <c r="K128" s="377"/>
      <c r="L128" s="374"/>
      <c r="N128" s="379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40</v>
      </c>
      <c r="H129" s="455">
        <f t="shared" si="23"/>
        <v>40</v>
      </c>
      <c r="I129" s="475"/>
      <c r="J129" s="547">
        <f>H129/DAY(B2)</f>
        <v>40</v>
      </c>
      <c r="K129" s="361"/>
      <c r="L129" s="289"/>
      <c r="N129" s="362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73">
        <v>0</v>
      </c>
      <c r="F131" s="479">
        <v>0</v>
      </c>
      <c r="G131" s="468">
        <f t="shared" ref="G131:G141" si="24">F131-E131</f>
        <v>0</v>
      </c>
      <c r="H131" s="455">
        <f>G131</f>
        <v>0</v>
      </c>
      <c r="I131" s="475"/>
      <c r="J131" s="547">
        <f>H131/DAY(B2)</f>
        <v>0</v>
      </c>
      <c r="N131" s="379"/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621">
        <v>0</v>
      </c>
      <c r="F132" s="479">
        <v>0</v>
      </c>
      <c r="G132" s="468">
        <f t="shared" si="24"/>
        <v>0</v>
      </c>
      <c r="H132" s="455">
        <f t="shared" ref="H132:H141" si="25">G132</f>
        <v>0</v>
      </c>
      <c r="I132" s="475"/>
      <c r="J132" s="547">
        <f>H132/DAY(B2)</f>
        <v>0</v>
      </c>
      <c r="N132" s="379"/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473">
        <v>40059</v>
      </c>
      <c r="F133" s="536">
        <v>40059</v>
      </c>
      <c r="G133" s="468">
        <f t="shared" si="24"/>
        <v>0</v>
      </c>
      <c r="H133" s="455">
        <f t="shared" si="25"/>
        <v>0</v>
      </c>
      <c r="I133" s="475"/>
      <c r="J133" s="547">
        <f>H133/DAY(B2)</f>
        <v>0</v>
      </c>
      <c r="N133" s="379"/>
      <c r="O133" s="379"/>
    </row>
    <row r="134" spans="1:15" s="771" customFormat="1" ht="27.75">
      <c r="A134" s="788" t="s">
        <v>297</v>
      </c>
      <c r="B134" s="1154"/>
      <c r="C134" s="1154"/>
      <c r="D134" s="519" t="s">
        <v>294</v>
      </c>
      <c r="E134" s="621">
        <v>300</v>
      </c>
      <c r="F134" s="517">
        <v>300</v>
      </c>
      <c r="G134" s="468">
        <f t="shared" si="24"/>
        <v>0</v>
      </c>
      <c r="H134" s="481">
        <f t="shared" si="25"/>
        <v>0</v>
      </c>
      <c r="I134" s="1155"/>
      <c r="J134" s="548">
        <f>H134/DAY(B2)</f>
        <v>0</v>
      </c>
      <c r="N134" s="717"/>
      <c r="O134" s="379"/>
    </row>
    <row r="135" spans="1:15" ht="27.75">
      <c r="A135" s="1392" t="s">
        <v>298</v>
      </c>
      <c r="B135" s="1393"/>
      <c r="C135" s="1393"/>
      <c r="D135" s="518" t="s">
        <v>294</v>
      </c>
      <c r="E135" s="621">
        <v>41730</v>
      </c>
      <c r="F135" s="536">
        <v>41730</v>
      </c>
      <c r="G135" s="468">
        <f t="shared" si="24"/>
        <v>0</v>
      </c>
      <c r="H135" s="455">
        <f t="shared" si="25"/>
        <v>0</v>
      </c>
      <c r="I135" s="475"/>
      <c r="J135" s="547">
        <f>H135/DAY(B2)</f>
        <v>0</v>
      </c>
      <c r="N135" s="379"/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536">
        <v>32715</v>
      </c>
      <c r="F136" s="536">
        <v>32739</v>
      </c>
      <c r="G136" s="468">
        <f t="shared" si="24"/>
        <v>24</v>
      </c>
      <c r="H136" s="455">
        <f t="shared" si="25"/>
        <v>24</v>
      </c>
      <c r="I136" s="475">
        <f>G133+G134+G135+G136</f>
        <v>24</v>
      </c>
      <c r="J136" s="547">
        <f>H136/DAY(B2)</f>
        <v>24</v>
      </c>
      <c r="N136" s="379"/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536">
        <v>22807.24</v>
      </c>
      <c r="F137" s="536">
        <v>22807.24</v>
      </c>
      <c r="G137" s="468">
        <f t="shared" si="24"/>
        <v>0</v>
      </c>
      <c r="H137" s="455">
        <f t="shared" si="25"/>
        <v>0</v>
      </c>
      <c r="I137" s="475"/>
      <c r="J137" s="547">
        <f>H137/DAY(B2)</f>
        <v>0</v>
      </c>
      <c r="N137" s="379"/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536">
        <v>25051.82</v>
      </c>
      <c r="F138" s="536">
        <v>25051.82</v>
      </c>
      <c r="G138" s="468">
        <f t="shared" si="24"/>
        <v>0</v>
      </c>
      <c r="H138" s="455">
        <f t="shared" si="25"/>
        <v>0</v>
      </c>
      <c r="I138" s="475"/>
      <c r="J138" s="547">
        <f>H138/DAY(B2)</f>
        <v>0</v>
      </c>
      <c r="N138" s="379"/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536">
        <v>70411.740000000005</v>
      </c>
      <c r="F139" s="536">
        <v>70411.740000000005</v>
      </c>
      <c r="G139" s="468">
        <f t="shared" si="24"/>
        <v>0</v>
      </c>
      <c r="H139" s="455">
        <f t="shared" si="25"/>
        <v>0</v>
      </c>
      <c r="I139" s="475">
        <f>G137+G138+G139</f>
        <v>0</v>
      </c>
      <c r="J139" s="547">
        <f>H139/DAY(B2)</f>
        <v>0</v>
      </c>
      <c r="N139" s="379"/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79">
        <v>1854.3</v>
      </c>
      <c r="F140" s="479">
        <v>1861.12</v>
      </c>
      <c r="G140" s="468">
        <f t="shared" si="24"/>
        <v>6.8199999999999363</v>
      </c>
      <c r="H140" s="455">
        <f t="shared" si="25"/>
        <v>6.8199999999999363</v>
      </c>
      <c r="I140" s="537"/>
      <c r="J140" s="547">
        <f>H140/DAY(B2)</f>
        <v>6.8199999999999363</v>
      </c>
      <c r="N140" s="379"/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79">
        <v>4637</v>
      </c>
      <c r="F141" s="479">
        <v>4637</v>
      </c>
      <c r="G141" s="468">
        <f t="shared" si="24"/>
        <v>0</v>
      </c>
      <c r="H141" s="455">
        <f t="shared" si="25"/>
        <v>0</v>
      </c>
      <c r="I141" s="537">
        <f>G140+G141</f>
        <v>6.8199999999999363</v>
      </c>
      <c r="J141" s="547">
        <f>H141/DAY(B2)</f>
        <v>0</v>
      </c>
      <c r="N141" s="379"/>
      <c r="O141" s="379"/>
    </row>
    <row r="142" spans="1:15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379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4616</v>
      </c>
      <c r="H143" s="455">
        <f>G143</f>
        <v>4616</v>
      </c>
      <c r="I143" s="475"/>
      <c r="J143" s="547">
        <f>H143/DAY(B2)</f>
        <v>4616</v>
      </c>
      <c r="K143" s="377"/>
      <c r="L143" s="374"/>
      <c r="N143" s="379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0.27871030068832264</v>
      </c>
      <c r="H144" s="455">
        <f t="shared" ref="H144:H154" si="26">G144</f>
        <v>0.27871030068832264</v>
      </c>
      <c r="I144" s="539"/>
      <c r="J144" s="547">
        <f>H144/DAY(B2)</f>
        <v>0.27871030068832264</v>
      </c>
      <c r="K144" s="377"/>
      <c r="L144" s="374"/>
      <c r="N144" s="379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5306.5100000000093</v>
      </c>
      <c r="H145" s="455">
        <f t="shared" si="26"/>
        <v>5306.5100000000093</v>
      </c>
      <c r="I145" s="475"/>
      <c r="J145" s="547">
        <f>H145/DAY(B2)</f>
        <v>5306.5100000000093</v>
      </c>
      <c r="K145" s="377"/>
      <c r="L145" s="374"/>
      <c r="N145" s="379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0.32040272913899343</v>
      </c>
      <c r="H146" s="455">
        <f t="shared" si="26"/>
        <v>0.32040272913899343</v>
      </c>
      <c r="I146" s="539"/>
      <c r="J146" s="547">
        <f>H146/DAY(B2)</f>
        <v>0.32040272913899343</v>
      </c>
      <c r="K146" s="377"/>
      <c r="L146" s="374"/>
      <c r="N146" s="379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2546</v>
      </c>
      <c r="H147" s="455">
        <f t="shared" si="26"/>
        <v>2546</v>
      </c>
      <c r="I147" s="540"/>
      <c r="J147" s="547">
        <f>H147/DAY(B2)</f>
        <v>2546</v>
      </c>
      <c r="K147" s="377"/>
      <c r="L147" s="374"/>
      <c r="N147" s="379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0.15372539548363723</v>
      </c>
      <c r="H148" s="455">
        <f t="shared" si="26"/>
        <v>0.15372539548363723</v>
      </c>
      <c r="I148" s="540"/>
      <c r="J148" s="547">
        <f>H148/DAY(B2)</f>
        <v>0.15372539548363723</v>
      </c>
      <c r="N148" s="379"/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1170</v>
      </c>
      <c r="H149" s="455">
        <f t="shared" si="26"/>
        <v>1170</v>
      </c>
      <c r="I149" s="475"/>
      <c r="J149" s="547">
        <f>H149/DAY(B2)</f>
        <v>1170</v>
      </c>
      <c r="K149" s="378"/>
      <c r="N149" s="379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7.0643642072213506E-2</v>
      </c>
      <c r="H150" s="455">
        <f t="shared" si="26"/>
        <v>7.0643642072213506E-2</v>
      </c>
      <c r="I150" s="540"/>
      <c r="J150" s="547">
        <f>H150/DAY(B2)</f>
        <v>7.0643642072213506E-2</v>
      </c>
      <c r="N150" s="379"/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1260</v>
      </c>
      <c r="H151" s="455">
        <f t="shared" si="26"/>
        <v>1260</v>
      </c>
      <c r="I151" s="540"/>
      <c r="J151" s="547">
        <f>H151/DAY(B2)</f>
        <v>1260</v>
      </c>
      <c r="N151" s="379"/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7.6077768385460695E-2</v>
      </c>
      <c r="H152" s="455">
        <f t="shared" si="26"/>
        <v>7.6077768385460695E-2</v>
      </c>
      <c r="I152" s="475"/>
      <c r="J152" s="547">
        <f>H152/DAY(B2)</f>
        <v>7.6077768385460695E-2</v>
      </c>
      <c r="N152" s="379"/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1278</v>
      </c>
      <c r="H153" s="455">
        <f t="shared" si="26"/>
        <v>1278</v>
      </c>
      <c r="I153" s="475"/>
      <c r="J153" s="547">
        <f>H153/DAY(B2)</f>
        <v>1278</v>
      </c>
      <c r="N153" s="379"/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7.7164593648110139E-2</v>
      </c>
      <c r="H154" s="455">
        <f t="shared" si="26"/>
        <v>7.7164593648110139E-2</v>
      </c>
      <c r="I154" s="563"/>
      <c r="J154" s="564">
        <f>H154/DAY(B2)</f>
        <v>7.7164593648110139E-2</v>
      </c>
      <c r="N154" s="379"/>
      <c r="O154" s="379"/>
    </row>
    <row r="155" spans="1:15">
      <c r="A155" s="461"/>
      <c r="B155" s="451"/>
      <c r="C155" s="451"/>
      <c r="D155" s="541"/>
      <c r="E155" s="541"/>
      <c r="F155" s="541"/>
      <c r="G155" s="541"/>
      <c r="H155" s="542"/>
      <c r="I155" s="541"/>
      <c r="J155" s="543"/>
      <c r="O155" s="379"/>
    </row>
    <row r="156" spans="1:15">
      <c r="E156" s="532"/>
    </row>
    <row r="157" spans="1:15">
      <c r="E157" s="532"/>
    </row>
    <row r="158" spans="1:15">
      <c r="E158" s="532"/>
    </row>
    <row r="159" spans="1:15">
      <c r="E159" s="532"/>
    </row>
    <row r="160" spans="1:15">
      <c r="E160" s="532"/>
    </row>
    <row r="161" spans="1:7">
      <c r="A161" s="780" t="s">
        <v>318</v>
      </c>
      <c r="B161" s="781"/>
      <c r="C161" s="781"/>
      <c r="D161" s="506" t="s">
        <v>253</v>
      </c>
      <c r="E161" s="654">
        <v>38434</v>
      </c>
      <c r="F161" s="654">
        <v>38514</v>
      </c>
      <c r="G161" s="468">
        <f t="shared" ref="G161:G172" si="27">F161-E161</f>
        <v>80</v>
      </c>
    </row>
    <row r="162" spans="1:7">
      <c r="A162" s="780" t="s">
        <v>319</v>
      </c>
      <c r="B162" s="781"/>
      <c r="C162" s="781"/>
      <c r="D162" s="506" t="s">
        <v>253</v>
      </c>
      <c r="E162" s="654">
        <v>94790</v>
      </c>
      <c r="F162" s="654">
        <v>95181</v>
      </c>
      <c r="G162" s="468">
        <f t="shared" si="27"/>
        <v>391</v>
      </c>
    </row>
    <row r="163" spans="1:7">
      <c r="A163" s="780" t="s">
        <v>320</v>
      </c>
      <c r="B163" s="781"/>
      <c r="C163" s="781"/>
      <c r="D163" s="506" t="s">
        <v>253</v>
      </c>
      <c r="E163" s="654">
        <v>44933</v>
      </c>
      <c r="F163" s="654">
        <v>45344</v>
      </c>
      <c r="G163" s="468">
        <f>F163-E163</f>
        <v>411</v>
      </c>
    </row>
    <row r="164" spans="1:7">
      <c r="A164" s="780" t="s">
        <v>321</v>
      </c>
      <c r="B164" s="781"/>
      <c r="C164" s="781"/>
      <c r="D164" s="506" t="s">
        <v>253</v>
      </c>
      <c r="E164" s="654">
        <v>6560</v>
      </c>
      <c r="F164" s="654">
        <v>6566</v>
      </c>
      <c r="G164" s="468">
        <f t="shared" si="27"/>
        <v>6</v>
      </c>
    </row>
    <row r="165" spans="1:7">
      <c r="A165" s="782" t="s">
        <v>252</v>
      </c>
      <c r="B165" s="599"/>
      <c r="C165" s="599"/>
      <c r="D165" s="506" t="s">
        <v>253</v>
      </c>
      <c r="E165" s="509">
        <f>E62</f>
        <v>20419</v>
      </c>
      <c r="F165" s="509">
        <v>20419</v>
      </c>
      <c r="G165" s="468">
        <f>F165-E165</f>
        <v>0</v>
      </c>
    </row>
    <row r="166" spans="1:7">
      <c r="A166" s="782" t="s">
        <v>254</v>
      </c>
      <c r="B166" s="599"/>
      <c r="C166" s="599"/>
      <c r="D166" s="506" t="s">
        <v>253</v>
      </c>
      <c r="E166" s="509">
        <v>2472</v>
      </c>
      <c r="F166" s="509">
        <v>2472</v>
      </c>
      <c r="G166" s="468">
        <f t="shared" si="27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509">
        <f t="shared" ref="E167:E172" si="28">E64</f>
        <v>159932</v>
      </c>
      <c r="F167" s="509">
        <f t="shared" ref="F167:F172" si="29">F64</f>
        <v>160128</v>
      </c>
      <c r="G167" s="468">
        <f t="shared" si="27"/>
        <v>196</v>
      </c>
    </row>
    <row r="168" spans="1:7" ht="27.75">
      <c r="A168" s="1502" t="s">
        <v>162</v>
      </c>
      <c r="B168" s="1502"/>
      <c r="C168" s="1502"/>
      <c r="D168" s="518" t="s">
        <v>253</v>
      </c>
      <c r="E168" s="509">
        <f t="shared" si="28"/>
        <v>160998</v>
      </c>
      <c r="F168" s="509">
        <f t="shared" si="29"/>
        <v>161237</v>
      </c>
      <c r="G168" s="468">
        <f t="shared" si="27"/>
        <v>239</v>
      </c>
    </row>
    <row r="169" spans="1:7" ht="27.75">
      <c r="A169" s="1502" t="s">
        <v>255</v>
      </c>
      <c r="B169" s="1502"/>
      <c r="C169" s="1502"/>
      <c r="D169" s="518" t="s">
        <v>253</v>
      </c>
      <c r="E169" s="509">
        <f t="shared" si="28"/>
        <v>56805</v>
      </c>
      <c r="F169" s="509">
        <f t="shared" si="29"/>
        <v>57021</v>
      </c>
      <c r="G169" s="468">
        <f t="shared" si="27"/>
        <v>216</v>
      </c>
    </row>
    <row r="170" spans="1:7" ht="27.75">
      <c r="A170" s="1502" t="s">
        <v>157</v>
      </c>
      <c r="B170" s="1502"/>
      <c r="C170" s="1502"/>
      <c r="D170" s="518" t="s">
        <v>253</v>
      </c>
      <c r="E170" s="509">
        <f t="shared" si="28"/>
        <v>252192</v>
      </c>
      <c r="F170" s="509">
        <f t="shared" si="29"/>
        <v>252502</v>
      </c>
      <c r="G170" s="468">
        <f t="shared" si="27"/>
        <v>310</v>
      </c>
    </row>
    <row r="171" spans="1:7" ht="27.75">
      <c r="A171" s="1502" t="s">
        <v>164</v>
      </c>
      <c r="B171" s="1502"/>
      <c r="C171" s="1502"/>
      <c r="D171" s="518" t="s">
        <v>253</v>
      </c>
      <c r="E171" s="509">
        <f t="shared" si="28"/>
        <v>85321</v>
      </c>
      <c r="F171" s="509">
        <f t="shared" si="29"/>
        <v>85321</v>
      </c>
      <c r="G171" s="468">
        <f t="shared" si="27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509">
        <f t="shared" si="28"/>
        <v>81749</v>
      </c>
      <c r="F172" s="509">
        <f t="shared" si="29"/>
        <v>81853</v>
      </c>
      <c r="G172" s="468">
        <f t="shared" si="27"/>
        <v>104</v>
      </c>
    </row>
    <row r="173" spans="1:7">
      <c r="G173" s="534">
        <f>SUM(G161:G172)</f>
        <v>1953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9" zoomScale="55" zoomScaleSheetLayoutView="55" workbookViewId="0">
      <selection activeCell="A33" sqref="A33:J33"/>
    </sheetView>
  </sheetViews>
  <sheetFormatPr defaultColWidth="22.33203125" defaultRowHeight="29.25"/>
  <cols>
    <col min="1" max="1" width="41.88671875" style="449" customWidth="1"/>
    <col min="2" max="2" width="28.664062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5" width="3.88671875" style="373" customWidth="1"/>
    <col min="16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323</v>
      </c>
      <c r="B2" s="1028">
        <v>44349</v>
      </c>
      <c r="C2" s="1394" t="s">
        <v>111</v>
      </c>
      <c r="D2" s="606">
        <v>0.6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</v>
      </c>
      <c r="E4" s="459"/>
      <c r="F4" s="459"/>
      <c r="G4" s="459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5" ht="30" thickBot="1">
      <c r="A7" s="573" t="s">
        <v>197</v>
      </c>
      <c r="B7" s="574"/>
      <c r="C7" s="574"/>
      <c r="D7" s="518" t="s">
        <v>198</v>
      </c>
      <c r="E7" s="450">
        <f>'1'!F7</f>
        <v>360974</v>
      </c>
      <c r="F7" s="450">
        <v>377521.63</v>
      </c>
      <c r="G7" s="468">
        <f>F7-E7</f>
        <v>16547.630000000005</v>
      </c>
      <c r="H7" s="455">
        <f>G7+'1'!H7</f>
        <v>33109.630000000005</v>
      </c>
      <c r="I7" s="469">
        <f>'[2]1'!I7</f>
        <v>12000</v>
      </c>
      <c r="J7" s="547">
        <f>H7/DAY(B2)</f>
        <v>16554.815000000002</v>
      </c>
      <c r="K7" s="544"/>
      <c r="L7" s="374"/>
      <c r="O7" s="379"/>
    </row>
    <row r="8" spans="1:15" ht="27.75" thickBot="1">
      <c r="A8" s="575" t="s">
        <v>199</v>
      </c>
      <c r="B8" s="576"/>
      <c r="C8" s="577"/>
      <c r="D8" s="612" t="s">
        <v>59</v>
      </c>
      <c r="E8" s="450">
        <f>'1'!F8</f>
        <v>363165</v>
      </c>
      <c r="F8" s="470">
        <v>379785.27</v>
      </c>
      <c r="G8" s="471">
        <f>F8-E8</f>
        <v>16620.270000000019</v>
      </c>
      <c r="H8" s="455">
        <f>G8+'1'!H8</f>
        <v>33275.270000000019</v>
      </c>
      <c r="I8" s="472">
        <v>12000</v>
      </c>
      <c r="J8" s="547">
        <f>H8/DAY(B2)</f>
        <v>16637.635000000009</v>
      </c>
      <c r="K8" s="544"/>
      <c r="L8" s="421"/>
      <c r="M8" s="435"/>
      <c r="O8" s="379"/>
    </row>
    <row r="9" spans="1:15">
      <c r="A9" s="578" t="s">
        <v>200</v>
      </c>
      <c r="B9" s="579"/>
      <c r="C9" s="579"/>
      <c r="D9" s="518" t="s">
        <v>198</v>
      </c>
      <c r="E9" s="450">
        <f>'1'!F9</f>
        <v>1489833</v>
      </c>
      <c r="F9" s="473">
        <v>1505845.9</v>
      </c>
      <c r="G9" s="468">
        <f t="shared" ref="G9:G11" si="0">F9-E9</f>
        <v>16012.899999999907</v>
      </c>
      <c r="H9" s="455">
        <f>G9+'1'!H9</f>
        <v>32155.899999999907</v>
      </c>
      <c r="I9" s="474">
        <f>I8-J8</f>
        <v>-4637.6350000000093</v>
      </c>
      <c r="J9" s="547">
        <f>H9/DAY(B2)</f>
        <v>16077.949999999953</v>
      </c>
      <c r="K9" s="424"/>
      <c r="L9" s="374"/>
      <c r="O9" s="379"/>
    </row>
    <row r="10" spans="1:15">
      <c r="A10" s="573" t="s">
        <v>201</v>
      </c>
      <c r="B10" s="574"/>
      <c r="C10" s="574"/>
      <c r="D10" s="518" t="s">
        <v>198</v>
      </c>
      <c r="E10" s="450">
        <f>'1'!F10</f>
        <v>2323</v>
      </c>
      <c r="F10" s="473">
        <v>2323</v>
      </c>
      <c r="G10" s="468">
        <f t="shared" si="0"/>
        <v>0</v>
      </c>
      <c r="H10" s="455">
        <f>G10+'1'!H10</f>
        <v>0.42000000000007276</v>
      </c>
      <c r="I10" s="475"/>
      <c r="J10" s="547">
        <f>H10/DAY(B2)</f>
        <v>0.21000000000003638</v>
      </c>
      <c r="K10" s="424"/>
      <c r="L10" s="374"/>
      <c r="O10" s="379"/>
    </row>
    <row r="11" spans="1:15">
      <c r="A11" s="573" t="s">
        <v>202</v>
      </c>
      <c r="B11" s="574"/>
      <c r="C11" s="574"/>
      <c r="D11" s="518" t="s">
        <v>198</v>
      </c>
      <c r="E11" s="450">
        <f>'1'!F11</f>
        <v>37000</v>
      </c>
      <c r="F11" s="450">
        <v>37000</v>
      </c>
      <c r="G11" s="468">
        <f t="shared" si="0"/>
        <v>0</v>
      </c>
      <c r="H11" s="455">
        <f>G11+'[2]1'!H11</f>
        <v>0</v>
      </c>
      <c r="I11" s="475"/>
      <c r="J11" s="547">
        <f>H11/DAY(B2)</f>
        <v>0</v>
      </c>
      <c r="K11" s="424"/>
      <c r="L11" s="374"/>
      <c r="O11" s="379"/>
    </row>
    <row r="12" spans="1:15">
      <c r="A12" s="573" t="s">
        <v>203</v>
      </c>
      <c r="B12" s="574"/>
      <c r="C12" s="574"/>
      <c r="D12" s="518" t="s">
        <v>198</v>
      </c>
      <c r="E12" s="450">
        <f>'1'!F11</f>
        <v>37000</v>
      </c>
      <c r="F12" s="473">
        <v>40010</v>
      </c>
      <c r="G12" s="468">
        <v>0</v>
      </c>
      <c r="H12" s="455">
        <f>G12+'[2]1'!H12</f>
        <v>0</v>
      </c>
      <c r="I12" s="475"/>
      <c r="J12" s="547">
        <f>H12/DAY(B2)</f>
        <v>0</v>
      </c>
      <c r="K12" s="424"/>
      <c r="L12" s="374"/>
      <c r="O12" s="379"/>
    </row>
    <row r="13" spans="1:15">
      <c r="A13" s="580" t="s">
        <v>204</v>
      </c>
      <c r="B13" s="581"/>
      <c r="C13" s="581"/>
      <c r="D13" s="518"/>
      <c r="E13" s="450"/>
      <c r="F13" s="450"/>
      <c r="G13" s="476">
        <f>G9+G10+G11+G12</f>
        <v>16012.899999999907</v>
      </c>
      <c r="H13" s="455">
        <f>G13+'1'!H13</f>
        <v>32156.319999999905</v>
      </c>
      <c r="I13" s="477">
        <f>G7-G13</f>
        <v>534.73000000009779</v>
      </c>
      <c r="J13" s="547">
        <f>H13/DAY(B2)</f>
        <v>16078.159999999953</v>
      </c>
      <c r="K13" s="424"/>
      <c r="L13" s="374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O14" s="379"/>
    </row>
    <row r="15" spans="1:15">
      <c r="A15" s="1392" t="s">
        <v>133</v>
      </c>
      <c r="B15" s="584"/>
      <c r="C15" s="584"/>
      <c r="D15" s="518" t="s">
        <v>206</v>
      </c>
      <c r="E15" s="450">
        <f>'1'!F15</f>
        <v>1684791</v>
      </c>
      <c r="F15" s="647">
        <v>1685227.7</v>
      </c>
      <c r="G15" s="775">
        <f>(F15-E15)</f>
        <v>436.69999999995343</v>
      </c>
      <c r="H15" s="455">
        <f>G15+'1'!H15</f>
        <v>703.69999999995343</v>
      </c>
      <c r="I15" s="469">
        <v>800</v>
      </c>
      <c r="J15" s="547">
        <f>H15/DAY(B2)</f>
        <v>351.84999999997672</v>
      </c>
      <c r="K15" s="424"/>
      <c r="L15" s="374"/>
      <c r="O15" s="379"/>
    </row>
    <row r="16" spans="1:15">
      <c r="A16" s="582"/>
      <c r="B16" s="583"/>
      <c r="C16" s="583"/>
      <c r="D16" s="519"/>
      <c r="E16" s="480"/>
      <c r="F16" s="480"/>
      <c r="G16" s="468"/>
      <c r="H16" s="481"/>
      <c r="I16" s="482">
        <f>I15-J15</f>
        <v>448.15000000002328</v>
      </c>
      <c r="J16" s="548"/>
      <c r="K16" s="424"/>
      <c r="L16" s="374"/>
      <c r="O16" s="379">
        <f>G15-150</f>
        <v>286.69999999995343</v>
      </c>
    </row>
    <row r="17" spans="1:15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79">
        <v>8</v>
      </c>
      <c r="F18" s="473">
        <v>6</v>
      </c>
      <c r="G18" s="476">
        <f>F18*10</f>
        <v>60</v>
      </c>
      <c r="H18" s="455">
        <f>G18+'1'!H18</f>
        <v>80</v>
      </c>
      <c r="I18" s="469">
        <f>'[2]1'!I18</f>
        <v>65</v>
      </c>
      <c r="J18" s="547">
        <f>H18/DAY(B2)</f>
        <v>40</v>
      </c>
      <c r="K18" s="424"/>
      <c r="L18" s="374"/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50">
        <f>'1'!F19</f>
        <v>139672</v>
      </c>
      <c r="F19" s="473">
        <v>139724</v>
      </c>
      <c r="G19" s="468">
        <f>F19-E19</f>
        <v>52</v>
      </c>
      <c r="H19" s="455">
        <f>G19+'1'!H19</f>
        <v>112</v>
      </c>
      <c r="I19" s="484"/>
      <c r="J19" s="547">
        <f>H19/DAY(B2)</f>
        <v>56</v>
      </c>
      <c r="K19" s="424"/>
      <c r="L19" s="374"/>
      <c r="O19" s="379"/>
    </row>
    <row r="20" spans="1:15">
      <c r="A20" s="580" t="s">
        <v>210</v>
      </c>
      <c r="B20" s="581"/>
      <c r="C20" s="581"/>
      <c r="D20" s="485"/>
      <c r="E20" s="485"/>
      <c r="F20" s="518"/>
      <c r="G20" s="1030">
        <f>G18+G19</f>
        <v>112</v>
      </c>
      <c r="H20" s="455">
        <f>G20+'1'!H20</f>
        <v>192</v>
      </c>
      <c r="I20" s="487">
        <f>I18-J20</f>
        <v>-31</v>
      </c>
      <c r="J20" s="547">
        <f>H20/DAY(B2)</f>
        <v>96</v>
      </c>
      <c r="K20" s="424"/>
      <c r="L20" s="374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O21" s="379"/>
    </row>
    <row r="22" spans="1:15">
      <c r="A22" s="1392" t="s">
        <v>212</v>
      </c>
      <c r="B22" s="584"/>
      <c r="C22" s="584"/>
      <c r="D22" s="518" t="s">
        <v>213</v>
      </c>
      <c r="E22" s="479">
        <f>'1'!F22</f>
        <v>2970</v>
      </c>
      <c r="F22" s="473">
        <v>2970</v>
      </c>
      <c r="G22" s="476">
        <f t="shared" ref="G22" si="1">(F22-E22)</f>
        <v>0</v>
      </c>
      <c r="H22" s="455">
        <f>G22+'1'!H22</f>
        <v>0</v>
      </c>
      <c r="I22" s="475"/>
      <c r="J22" s="547">
        <f>H22/DAY(B2)</f>
        <v>0</v>
      </c>
      <c r="K22" s="424"/>
      <c r="L22" s="374"/>
      <c r="O22" s="379"/>
    </row>
    <row r="23" spans="1:15">
      <c r="A23" s="1392" t="s">
        <v>214</v>
      </c>
      <c r="B23" s="584"/>
      <c r="C23" s="584"/>
      <c r="D23" s="518" t="s">
        <v>213</v>
      </c>
      <c r="E23" s="479">
        <f>'1'!F23</f>
        <v>1880</v>
      </c>
      <c r="F23" s="473">
        <v>1880</v>
      </c>
      <c r="G23" s="476">
        <v>0</v>
      </c>
      <c r="H23" s="455">
        <f>G23+'1'!H23</f>
        <v>120</v>
      </c>
      <c r="I23" s="475"/>
      <c r="J23" s="547">
        <f>H23/DAY(B2)</f>
        <v>60</v>
      </c>
      <c r="K23" s="424"/>
      <c r="L23" s="374"/>
      <c r="O23" s="379"/>
    </row>
    <row r="24" spans="1:15">
      <c r="A24" s="585" t="s">
        <v>215</v>
      </c>
      <c r="B24" s="586"/>
      <c r="C24" s="586"/>
      <c r="D24" s="506" t="s">
        <v>213</v>
      </c>
      <c r="E24" s="479">
        <v>4850</v>
      </c>
      <c r="F24" s="480">
        <v>4850</v>
      </c>
      <c r="G24" s="476">
        <v>0</v>
      </c>
      <c r="H24" s="455">
        <f>G24+'1'!H24</f>
        <v>120</v>
      </c>
      <c r="I24" s="475"/>
      <c r="J24" s="547">
        <f>H24/DAY(B2)</f>
        <v>60</v>
      </c>
      <c r="K24" s="424"/>
      <c r="L24" s="374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6">
        <f>G8</f>
        <v>16620.270000000019</v>
      </c>
      <c r="F27" s="496">
        <v>9</v>
      </c>
      <c r="G27" s="497">
        <f>E27*F27</f>
        <v>149582.43000000017</v>
      </c>
      <c r="H27" s="455">
        <f>G27+'1'!H27</f>
        <v>298640.43000000017</v>
      </c>
      <c r="I27" s="498"/>
      <c r="J27" s="547">
        <f>H27/DAY(B2)</f>
        <v>149320.21500000008</v>
      </c>
      <c r="K27" s="370"/>
      <c r="L27" s="438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6">
        <f>G15</f>
        <v>436.69999999995343</v>
      </c>
      <c r="F28" s="496">
        <v>52</v>
      </c>
      <c r="G28" s="497">
        <f>E28*F28</f>
        <v>22708.399999997579</v>
      </c>
      <c r="H28" s="455">
        <f>G28+'1'!H28</f>
        <v>36592.399999997579</v>
      </c>
      <c r="I28" s="500"/>
      <c r="J28" s="547">
        <f>H28/DAY(B2)</f>
        <v>18296.199999998789</v>
      </c>
      <c r="K28" s="370"/>
      <c r="L28" s="438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496">
        <f>G24</f>
        <v>0</v>
      </c>
      <c r="F29" s="496">
        <v>69</v>
      </c>
      <c r="G29" s="497">
        <f>E29*F29</f>
        <v>0</v>
      </c>
      <c r="H29" s="455">
        <f>G29+'1'!H29</f>
        <v>8280</v>
      </c>
      <c r="I29" s="500"/>
      <c r="J29" s="547">
        <f>H29/DAY(B2)</f>
        <v>4140</v>
      </c>
      <c r="K29" s="370"/>
      <c r="L29" s="438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496">
        <f>G19</f>
        <v>52</v>
      </c>
      <c r="F30" s="496">
        <v>146</v>
      </c>
      <c r="G30" s="497">
        <f>E30*F30</f>
        <v>7592</v>
      </c>
      <c r="H30" s="455">
        <f>G30+'1'!H30</f>
        <v>16352</v>
      </c>
      <c r="I30" s="500"/>
      <c r="J30" s="547">
        <f>H30/DAY(B2)</f>
        <v>8176</v>
      </c>
      <c r="K30" s="370"/>
      <c r="L30" s="438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496">
        <f>G18</f>
        <v>60</v>
      </c>
      <c r="F31" s="496">
        <v>80</v>
      </c>
      <c r="G31" s="497">
        <f>E31*F31</f>
        <v>4800</v>
      </c>
      <c r="H31" s="455">
        <f>G31+'1'!H31</f>
        <v>6400</v>
      </c>
      <c r="I31" s="500"/>
      <c r="J31" s="547">
        <f>H31/DAY(B2)</f>
        <v>3200</v>
      </c>
      <c r="K31" s="370"/>
      <c r="L31" s="438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184682.82999999775</v>
      </c>
      <c r="H32" s="455">
        <f>G32+'1'!H32</f>
        <v>366264.82999999775</v>
      </c>
      <c r="I32" s="504"/>
      <c r="J32" s="547">
        <f>H32/DAY(B2)</f>
        <v>183132.41499999887</v>
      </c>
      <c r="K32" s="370"/>
      <c r="L32" s="438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O33" s="379"/>
    </row>
    <row r="34" spans="1:15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O34" s="379"/>
    </row>
    <row r="35" spans="1:15">
      <c r="A35" s="573" t="s">
        <v>229</v>
      </c>
      <c r="B35" s="574"/>
      <c r="C35" s="574"/>
      <c r="D35" s="518" t="s">
        <v>198</v>
      </c>
      <c r="E35" s="450">
        <f>'1'!F35</f>
        <v>952832</v>
      </c>
      <c r="F35" s="505">
        <v>955239.99</v>
      </c>
      <c r="G35" s="468">
        <f t="shared" ref="G35:G46" si="2">F35-E35</f>
        <v>2407.9899999999907</v>
      </c>
      <c r="H35" s="455">
        <f>G35+'1'!H35</f>
        <v>4751.9899999999907</v>
      </c>
      <c r="I35" s="450"/>
      <c r="J35" s="547">
        <f>H35/DAY(B2)</f>
        <v>2375.9949999999953</v>
      </c>
      <c r="K35" s="424"/>
      <c r="L35" s="374"/>
      <c r="O35" s="379"/>
    </row>
    <row r="36" spans="1:15">
      <c r="A36" s="573" t="s">
        <v>230</v>
      </c>
      <c r="B36" s="574"/>
      <c r="C36" s="574"/>
      <c r="D36" s="518" t="s">
        <v>198</v>
      </c>
      <c r="E36" s="450">
        <f>'1'!F36</f>
        <v>619</v>
      </c>
      <c r="F36" s="505">
        <v>1107.123</v>
      </c>
      <c r="G36" s="468">
        <f t="shared" si="2"/>
        <v>488.12300000000005</v>
      </c>
      <c r="H36" s="455">
        <f>G36+'1'!H36</f>
        <v>934.12300000000005</v>
      </c>
      <c r="I36" s="450"/>
      <c r="J36" s="547">
        <f>H36/DAY(B2)</f>
        <v>467.06150000000002</v>
      </c>
      <c r="K36" s="424"/>
      <c r="L36" s="374"/>
      <c r="O36" s="623"/>
    </row>
    <row r="37" spans="1:15">
      <c r="A37" s="573" t="s">
        <v>231</v>
      </c>
      <c r="B37" s="574"/>
      <c r="C37" s="574"/>
      <c r="D37" s="518" t="s">
        <v>198</v>
      </c>
      <c r="E37" s="450">
        <f>'1'!F37</f>
        <v>135514</v>
      </c>
      <c r="F37" s="505">
        <v>136763.70000000001</v>
      </c>
      <c r="G37" s="468">
        <f t="shared" si="2"/>
        <v>1249.7000000000116</v>
      </c>
      <c r="H37" s="455">
        <f>G37+'1'!H37</f>
        <v>2527.7000000000116</v>
      </c>
      <c r="I37" s="450"/>
      <c r="J37" s="547">
        <f>H37/DAY(B2)</f>
        <v>1263.8500000000058</v>
      </c>
      <c r="K37" s="424"/>
      <c r="L37" s="374"/>
      <c r="O37" s="624"/>
    </row>
    <row r="38" spans="1:15">
      <c r="A38" s="573" t="s">
        <v>232</v>
      </c>
      <c r="B38" s="574"/>
      <c r="C38" s="574"/>
      <c r="D38" s="518" t="s">
        <v>198</v>
      </c>
      <c r="E38" s="450">
        <f>'1'!F38</f>
        <v>157575</v>
      </c>
      <c r="F38" s="464">
        <v>158821.69</v>
      </c>
      <c r="G38" s="468">
        <f t="shared" si="2"/>
        <v>1246.6900000000023</v>
      </c>
      <c r="H38" s="455">
        <f>G38+'1'!H38</f>
        <v>2416.6900000000023</v>
      </c>
      <c r="I38" s="450"/>
      <c r="J38" s="547">
        <f>H38/DAY(B2)</f>
        <v>1208.3450000000012</v>
      </c>
      <c r="K38" s="424"/>
      <c r="L38" s="374"/>
      <c r="O38" s="379"/>
    </row>
    <row r="39" spans="1:15">
      <c r="A39" s="573" t="s">
        <v>233</v>
      </c>
      <c r="B39" s="574"/>
      <c r="C39" s="574"/>
      <c r="D39" s="518" t="s">
        <v>198</v>
      </c>
      <c r="E39" s="450">
        <f>'1'!F39</f>
        <v>310175</v>
      </c>
      <c r="F39" s="505">
        <v>312177.25</v>
      </c>
      <c r="G39" s="468">
        <f t="shared" si="2"/>
        <v>2002.25</v>
      </c>
      <c r="H39" s="455">
        <f>G39+'1'!H39</f>
        <v>4004.25</v>
      </c>
      <c r="I39" s="450"/>
      <c r="J39" s="547">
        <f>H39/DAY(B2)</f>
        <v>2002.125</v>
      </c>
      <c r="K39" s="424"/>
      <c r="L39" s="374"/>
      <c r="O39" s="379"/>
    </row>
    <row r="40" spans="1:15">
      <c r="A40" s="594" t="s">
        <v>234</v>
      </c>
      <c r="B40" s="595"/>
      <c r="C40" s="595"/>
      <c r="D40" s="518" t="s">
        <v>198</v>
      </c>
      <c r="E40" s="450">
        <f>'1'!F40</f>
        <v>889</v>
      </c>
      <c r="F40" s="505">
        <v>888.99</v>
      </c>
      <c r="G40" s="468">
        <f t="shared" si="2"/>
        <v>-9.9999999999909051E-3</v>
      </c>
      <c r="H40" s="455">
        <f>G40+'1'!H40</f>
        <v>-9.9999999999909051E-3</v>
      </c>
      <c r="I40" s="450"/>
      <c r="J40" s="547">
        <f>H40/DAY(B2)</f>
        <v>-4.9999999999954525E-3</v>
      </c>
      <c r="K40" s="425"/>
      <c r="L40" s="374"/>
      <c r="O40" s="379"/>
    </row>
    <row r="41" spans="1:15">
      <c r="A41" s="573" t="s">
        <v>235</v>
      </c>
      <c r="B41" s="574"/>
      <c r="C41" s="574"/>
      <c r="D41" s="518" t="s">
        <v>198</v>
      </c>
      <c r="E41" s="450">
        <f>'1'!F41</f>
        <v>240478</v>
      </c>
      <c r="F41" s="505">
        <v>240478.13</v>
      </c>
      <c r="G41" s="468">
        <f t="shared" si="2"/>
        <v>0.13000000000465661</v>
      </c>
      <c r="H41" s="455">
        <f>G41+'1'!H41</f>
        <v>0.13000000000465661</v>
      </c>
      <c r="I41" s="450"/>
      <c r="J41" s="547">
        <f>H41/DAY(B2)</f>
        <v>6.5000000002328306E-2</v>
      </c>
      <c r="K41" s="424"/>
      <c r="L41" s="374"/>
      <c r="O41" s="379"/>
    </row>
    <row r="42" spans="1:15">
      <c r="A42" s="573" t="s">
        <v>236</v>
      </c>
      <c r="B42" s="574"/>
      <c r="C42" s="574"/>
      <c r="D42" s="518" t="s">
        <v>198</v>
      </c>
      <c r="E42" s="450">
        <v>59198.97</v>
      </c>
      <c r="F42" s="505">
        <v>59198.97</v>
      </c>
      <c r="G42" s="468">
        <f t="shared" si="2"/>
        <v>0</v>
      </c>
      <c r="H42" s="455">
        <f>G42+'1'!H42</f>
        <v>0</v>
      </c>
      <c r="I42" s="450"/>
      <c r="J42" s="547">
        <f>H42/DAY(B2)</f>
        <v>0</v>
      </c>
      <c r="K42" s="424"/>
      <c r="L42" s="374"/>
      <c r="O42" s="379"/>
    </row>
    <row r="43" spans="1:15">
      <c r="A43" s="573" t="s">
        <v>237</v>
      </c>
      <c r="B43" s="574"/>
      <c r="C43" s="574"/>
      <c r="D43" s="518" t="s">
        <v>198</v>
      </c>
      <c r="E43" s="450">
        <f>'1'!F43</f>
        <v>1044516</v>
      </c>
      <c r="F43" s="505">
        <v>1046786.4</v>
      </c>
      <c r="G43" s="468">
        <f t="shared" si="2"/>
        <v>2270.4000000000233</v>
      </c>
      <c r="H43" s="455">
        <f>G43+'1'!H43</f>
        <v>4542.4000000000233</v>
      </c>
      <c r="I43" s="450"/>
      <c r="J43" s="547">
        <f>H43/DAY(B2)</f>
        <v>2271.2000000000116</v>
      </c>
      <c r="K43" s="424"/>
      <c r="L43" s="374"/>
      <c r="O43" s="379"/>
    </row>
    <row r="44" spans="1:15">
      <c r="A44" s="573" t="s">
        <v>238</v>
      </c>
      <c r="B44" s="574"/>
      <c r="C44" s="574"/>
      <c r="D44" s="518" t="s">
        <v>198</v>
      </c>
      <c r="E44" s="450">
        <f>'1'!F44</f>
        <v>0</v>
      </c>
      <c r="F44" s="505">
        <v>0</v>
      </c>
      <c r="G44" s="468">
        <f t="shared" si="2"/>
        <v>0</v>
      </c>
      <c r="H44" s="455">
        <f>G44+'1'!H44</f>
        <v>0</v>
      </c>
      <c r="I44" s="450"/>
      <c r="J44" s="547">
        <f>H44/DAY(B2)</f>
        <v>0</v>
      </c>
      <c r="K44" s="424"/>
      <c r="L44" s="374"/>
      <c r="O44" s="379"/>
    </row>
    <row r="45" spans="1:15">
      <c r="A45" s="573" t="s">
        <v>239</v>
      </c>
      <c r="B45" s="574"/>
      <c r="C45" s="574"/>
      <c r="D45" s="518" t="s">
        <v>198</v>
      </c>
      <c r="E45" s="450">
        <f>'1'!F45</f>
        <v>614</v>
      </c>
      <c r="F45" s="505">
        <v>614</v>
      </c>
      <c r="G45" s="468">
        <f t="shared" si="2"/>
        <v>0</v>
      </c>
      <c r="H45" s="455">
        <f>G45+'1'!H45</f>
        <v>0</v>
      </c>
      <c r="I45" s="450"/>
      <c r="J45" s="547">
        <f>H45/DAY(B2)</f>
        <v>0</v>
      </c>
      <c r="K45" s="424"/>
      <c r="L45" s="374"/>
      <c r="O45" s="379"/>
    </row>
    <row r="46" spans="1:15">
      <c r="A46" s="573" t="s">
        <v>240</v>
      </c>
      <c r="B46" s="574"/>
      <c r="C46" s="574"/>
      <c r="D46" s="518" t="s">
        <v>198</v>
      </c>
      <c r="E46" s="450">
        <f>'1'!F46</f>
        <v>187</v>
      </c>
      <c r="F46" s="505">
        <v>187</v>
      </c>
      <c r="G46" s="468">
        <f t="shared" si="2"/>
        <v>0</v>
      </c>
      <c r="H46" s="455">
        <f>G46+'1'!H46</f>
        <v>0</v>
      </c>
      <c r="I46" s="450"/>
      <c r="J46" s="547">
        <f>H46/DAY(B2)</f>
        <v>0</v>
      </c>
      <c r="K46" s="424"/>
      <c r="L46" s="374"/>
      <c r="O46" s="379"/>
    </row>
    <row r="47" spans="1:15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9665.273000000032</v>
      </c>
      <c r="H47" s="455">
        <f>G47+'1'!H47</f>
        <v>19177.27300000003</v>
      </c>
      <c r="I47" s="450"/>
      <c r="J47" s="547">
        <f>H47/DAY(B2)</f>
        <v>9588.6365000000151</v>
      </c>
      <c r="K47" s="424"/>
      <c r="L47" s="374"/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O48" s="379"/>
    </row>
    <row r="49" spans="1:15">
      <c r="A49" s="573" t="s">
        <v>229</v>
      </c>
      <c r="B49" s="596"/>
      <c r="C49" s="596"/>
      <c r="D49" s="518" t="s">
        <v>198</v>
      </c>
      <c r="E49" s="450">
        <f>'1'!F49</f>
        <v>260732</v>
      </c>
      <c r="F49" s="505">
        <v>260732.13</v>
      </c>
      <c r="G49" s="468">
        <f t="shared" ref="G49:G58" si="3">F49-E49</f>
        <v>0.13000000000465661</v>
      </c>
      <c r="H49" s="455">
        <f>G49+'1'!H49</f>
        <v>0.13000000000465661</v>
      </c>
      <c r="I49" s="450"/>
      <c r="J49" s="547">
        <f>H49/DAY(B2)</f>
        <v>6.5000000002328306E-2</v>
      </c>
      <c r="K49" s="424"/>
      <c r="L49" s="374"/>
      <c r="O49" s="379"/>
    </row>
    <row r="50" spans="1:15">
      <c r="A50" s="573" t="s">
        <v>243</v>
      </c>
      <c r="B50" s="596"/>
      <c r="C50" s="596"/>
      <c r="D50" s="518" t="s">
        <v>198</v>
      </c>
      <c r="E50" s="450">
        <f>'1'!F50</f>
        <v>503350</v>
      </c>
      <c r="F50" s="505">
        <v>504204.71</v>
      </c>
      <c r="G50" s="468">
        <f t="shared" si="3"/>
        <v>854.71000000002095</v>
      </c>
      <c r="H50" s="455">
        <f>G50+'1'!H50</f>
        <v>1668.710000000021</v>
      </c>
      <c r="I50" s="450"/>
      <c r="J50" s="547">
        <f>H50/DAY(B2)</f>
        <v>834.35500000001048</v>
      </c>
      <c r="K50" s="424"/>
      <c r="L50" s="374"/>
      <c r="O50" s="379"/>
    </row>
    <row r="51" spans="1:15">
      <c r="A51" s="573" t="s">
        <v>231</v>
      </c>
      <c r="B51" s="596"/>
      <c r="C51" s="596"/>
      <c r="D51" s="518" t="s">
        <v>198</v>
      </c>
      <c r="E51" s="450">
        <f>'1'!F51</f>
        <v>144640</v>
      </c>
      <c r="F51" s="505">
        <v>144639.87</v>
      </c>
      <c r="G51" s="468">
        <f t="shared" si="3"/>
        <v>-0.13000000000465661</v>
      </c>
      <c r="H51" s="455">
        <f>G51+'1'!H51</f>
        <v>-0.13000000000465661</v>
      </c>
      <c r="I51" s="450"/>
      <c r="J51" s="547">
        <f>H51/DAY(B2)</f>
        <v>-6.5000000002328306E-2</v>
      </c>
      <c r="K51" s="424"/>
      <c r="L51" s="374"/>
      <c r="O51" s="379"/>
    </row>
    <row r="52" spans="1:15">
      <c r="A52" s="573" t="s">
        <v>244</v>
      </c>
      <c r="B52" s="596"/>
      <c r="C52" s="596"/>
      <c r="D52" s="518" t="s">
        <v>198</v>
      </c>
      <c r="E52" s="450">
        <f>'1'!F52</f>
        <v>539606</v>
      </c>
      <c r="F52" s="505">
        <v>539606</v>
      </c>
      <c r="G52" s="468">
        <f t="shared" si="3"/>
        <v>0</v>
      </c>
      <c r="H52" s="455">
        <f>G52+'1'!H52</f>
        <v>0</v>
      </c>
      <c r="I52" s="450"/>
      <c r="J52" s="547">
        <f>H52/DAY(B2)</f>
        <v>0</v>
      </c>
      <c r="K52" s="424"/>
      <c r="L52" s="374"/>
      <c r="O52" s="379"/>
    </row>
    <row r="53" spans="1:15">
      <c r="A53" s="573" t="s">
        <v>233</v>
      </c>
      <c r="B53" s="596"/>
      <c r="C53" s="596"/>
      <c r="D53" s="518" t="s">
        <v>198</v>
      </c>
      <c r="E53" s="450">
        <f>'1'!F53</f>
        <v>433112</v>
      </c>
      <c r="F53" s="505">
        <v>433626.31</v>
      </c>
      <c r="G53" s="468">
        <f t="shared" si="3"/>
        <v>514.30999999999767</v>
      </c>
      <c r="H53" s="455">
        <f>G53+'1'!H53</f>
        <v>1058.3099999999977</v>
      </c>
      <c r="I53" s="450"/>
      <c r="J53" s="547">
        <f>H53/DAY(B2)</f>
        <v>529.15499999999884</v>
      </c>
      <c r="K53" s="424"/>
      <c r="L53" s="374"/>
      <c r="O53" s="379"/>
    </row>
    <row r="54" spans="1:15">
      <c r="A54" s="573" t="s">
        <v>245</v>
      </c>
      <c r="B54" s="596"/>
      <c r="C54" s="596"/>
      <c r="D54" s="518" t="s">
        <v>198</v>
      </c>
      <c r="E54" s="450">
        <f>'1'!F54</f>
        <v>13840</v>
      </c>
      <c r="F54" s="505">
        <v>13923.83</v>
      </c>
      <c r="G54" s="468">
        <f t="shared" si="3"/>
        <v>83.829999999999927</v>
      </c>
      <c r="H54" s="455">
        <f>G54+'1'!H54</f>
        <v>173.82999999999993</v>
      </c>
      <c r="I54" s="450"/>
      <c r="J54" s="547">
        <f>H54/DAY(B2)</f>
        <v>86.914999999999964</v>
      </c>
      <c r="K54" s="424"/>
      <c r="L54" s="374"/>
      <c r="O54" s="379"/>
    </row>
    <row r="55" spans="1:15">
      <c r="A55" s="573" t="s">
        <v>246</v>
      </c>
      <c r="B55" s="596"/>
      <c r="C55" s="596"/>
      <c r="D55" s="518" t="s">
        <v>198</v>
      </c>
      <c r="E55" s="450">
        <f>'1'!F55</f>
        <v>68111</v>
      </c>
      <c r="F55" s="1029">
        <v>68110.679999999993</v>
      </c>
      <c r="G55" s="468">
        <f t="shared" si="3"/>
        <v>-0.32000000000698492</v>
      </c>
      <c r="H55" s="455">
        <f>G55+'1'!H55</f>
        <v>-0.32000000000698492</v>
      </c>
      <c r="I55" s="450"/>
      <c r="J55" s="547">
        <f>H55/DAY(B2)</f>
        <v>-0.16000000000349246</v>
      </c>
      <c r="K55" s="424"/>
      <c r="L55" s="374"/>
      <c r="O55" s="379"/>
    </row>
    <row r="56" spans="1:15">
      <c r="A56" s="573" t="s">
        <v>247</v>
      </c>
      <c r="B56" s="596"/>
      <c r="C56" s="596"/>
      <c r="D56" s="518" t="s">
        <v>248</v>
      </c>
      <c r="E56" s="450">
        <f>'1'!F56</f>
        <v>622504.51</v>
      </c>
      <c r="F56" s="1029">
        <v>627429.06999999995</v>
      </c>
      <c r="G56" s="468">
        <f t="shared" si="3"/>
        <v>4924.5599999999395</v>
      </c>
      <c r="H56" s="455">
        <f>G56+'1'!H56</f>
        <v>10231.069999999949</v>
      </c>
      <c r="I56" s="450"/>
      <c r="J56" s="547">
        <f>H56/DAY(B2)</f>
        <v>5115.5349999999744</v>
      </c>
      <c r="K56" s="423"/>
      <c r="L56" s="374"/>
      <c r="O56" s="379"/>
    </row>
    <row r="57" spans="1:15">
      <c r="A57" s="573" t="s">
        <v>237</v>
      </c>
      <c r="B57" s="596"/>
      <c r="C57" s="596"/>
      <c r="D57" s="518" t="s">
        <v>198</v>
      </c>
      <c r="E57" s="450">
        <f>'1'!F57</f>
        <v>7711</v>
      </c>
      <c r="F57" s="505">
        <v>7711</v>
      </c>
      <c r="G57" s="468">
        <f t="shared" si="3"/>
        <v>0</v>
      </c>
      <c r="H57" s="455">
        <f>G57+'1'!H57</f>
        <v>0</v>
      </c>
      <c r="I57" s="450"/>
      <c r="J57" s="547">
        <f>H57/DAY(B2)</f>
        <v>0</v>
      </c>
      <c r="K57" s="424"/>
      <c r="L57" s="374"/>
      <c r="O57" s="379"/>
    </row>
    <row r="58" spans="1:15">
      <c r="A58" s="573" t="s">
        <v>249</v>
      </c>
      <c r="B58" s="596"/>
      <c r="C58" s="596"/>
      <c r="D58" s="518" t="s">
        <v>198</v>
      </c>
      <c r="E58" s="450">
        <f>'1'!F58</f>
        <v>49625</v>
      </c>
      <c r="F58" s="649">
        <v>49729</v>
      </c>
      <c r="G58" s="468">
        <f t="shared" si="3"/>
        <v>104</v>
      </c>
      <c r="H58" s="455">
        <f>G58+'1'!H58</f>
        <v>104</v>
      </c>
      <c r="I58" s="450"/>
      <c r="J58" s="547">
        <f>H58/DAY(B2)</f>
        <v>52</v>
      </c>
      <c r="K58" s="424"/>
      <c r="L58" s="374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6481.089999999951</v>
      </c>
      <c r="H59" s="455">
        <f>G59+'1'!H59</f>
        <v>13235.59999999996</v>
      </c>
      <c r="I59" s="450">
        <f>G7-G60</f>
        <v>401.26700000002165</v>
      </c>
      <c r="J59" s="547">
        <f>H59/DAY(B2)</f>
        <v>6617.7999999999802</v>
      </c>
      <c r="K59" s="424"/>
      <c r="L59" s="374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476">
        <f>G47+G59</f>
        <v>16146.362999999983</v>
      </c>
      <c r="H60" s="455">
        <f>G60+'1'!H60</f>
        <v>32412.872999999992</v>
      </c>
      <c r="I60" s="450">
        <f>G13-G60</f>
        <v>-133.46300000007614</v>
      </c>
      <c r="J60" s="547">
        <f>H60/DAY(B2)</f>
        <v>16206.436499999996</v>
      </c>
      <c r="K60" s="424"/>
      <c r="L60" s="374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O61" s="379"/>
    </row>
    <row r="62" spans="1:15">
      <c r="A62" s="598" t="s">
        <v>252</v>
      </c>
      <c r="B62" s="599"/>
      <c r="C62" s="599"/>
      <c r="D62" s="506" t="s">
        <v>253</v>
      </c>
      <c r="E62" s="450">
        <f>'1'!F62</f>
        <v>20419</v>
      </c>
      <c r="F62" s="509">
        <v>20419</v>
      </c>
      <c r="G62" s="468">
        <f t="shared" ref="G62:G69" si="4">F62-E62</f>
        <v>0</v>
      </c>
      <c r="H62" s="455">
        <f>G62+'1'!H62</f>
        <v>0</v>
      </c>
      <c r="I62" s="510"/>
      <c r="J62" s="547">
        <f>H62/DAY(B2)</f>
        <v>0</v>
      </c>
      <c r="K62" s="424"/>
      <c r="L62" s="374"/>
      <c r="O62" s="379"/>
    </row>
    <row r="63" spans="1:15">
      <c r="A63" s="598" t="s">
        <v>254</v>
      </c>
      <c r="B63" s="599"/>
      <c r="C63" s="599"/>
      <c r="D63" s="506" t="s">
        <v>253</v>
      </c>
      <c r="E63" s="450">
        <f>'1'!F63</f>
        <v>0</v>
      </c>
      <c r="F63" s="509">
        <v>0</v>
      </c>
      <c r="G63" s="468">
        <f t="shared" si="4"/>
        <v>0</v>
      </c>
      <c r="H63" s="455">
        <f>G63+'1'!H63</f>
        <v>0</v>
      </c>
      <c r="I63" s="510"/>
      <c r="J63" s="547">
        <f>H63/DAY(B2)</f>
        <v>0</v>
      </c>
      <c r="K63" s="424"/>
      <c r="L63" s="374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50">
        <f>'1'!F64</f>
        <v>160128</v>
      </c>
      <c r="F64" s="473">
        <v>160311.88</v>
      </c>
      <c r="G64" s="468">
        <f t="shared" si="4"/>
        <v>183.88000000000466</v>
      </c>
      <c r="H64" s="455">
        <f>G64+'1'!H64</f>
        <v>379.88000000000466</v>
      </c>
      <c r="I64" s="475"/>
      <c r="J64" s="547">
        <f>H64/DAY(B2)</f>
        <v>189.94000000000233</v>
      </c>
      <c r="K64" s="424"/>
      <c r="L64" s="374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50">
        <f>'1'!F65</f>
        <v>161237</v>
      </c>
      <c r="F65" s="647">
        <v>161456.68</v>
      </c>
      <c r="G65" s="468">
        <f t="shared" si="4"/>
        <v>219.67999999999302</v>
      </c>
      <c r="H65" s="455">
        <f>G65+'1'!H65</f>
        <v>458.67999999999302</v>
      </c>
      <c r="I65" s="484"/>
      <c r="J65" s="547">
        <f>H65/DAY(B2)</f>
        <v>229.33999999999651</v>
      </c>
      <c r="K65" s="424"/>
      <c r="L65" s="374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50">
        <f>'1'!F66</f>
        <v>57021</v>
      </c>
      <c r="F66" s="473">
        <v>57244.13</v>
      </c>
      <c r="G66" s="468">
        <f t="shared" si="4"/>
        <v>223.12999999999738</v>
      </c>
      <c r="H66" s="455">
        <f>G66+'1'!H66</f>
        <v>439.12999999999738</v>
      </c>
      <c r="I66" s="475"/>
      <c r="J66" s="547">
        <f>H66/DAY(B2)</f>
        <v>219.56499999999869</v>
      </c>
      <c r="K66" s="424"/>
      <c r="L66" s="374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50">
        <f>'1'!F67</f>
        <v>252502</v>
      </c>
      <c r="F67" s="473">
        <v>252869.61</v>
      </c>
      <c r="G67" s="468">
        <f t="shared" si="4"/>
        <v>367.60999999998603</v>
      </c>
      <c r="H67" s="455">
        <f>G67+'1'!H67</f>
        <v>677.60999999998603</v>
      </c>
      <c r="I67" s="484"/>
      <c r="J67" s="547">
        <f>H67/DAY(B2)</f>
        <v>338.80499999999302</v>
      </c>
      <c r="K67" s="425"/>
      <c r="L67" s="374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50">
        <f>'1'!F68</f>
        <v>85321</v>
      </c>
      <c r="F68" s="473">
        <v>85321</v>
      </c>
      <c r="G68" s="468">
        <f t="shared" si="4"/>
        <v>0</v>
      </c>
      <c r="H68" s="455">
        <f>G68+'1'!H68</f>
        <v>0</v>
      </c>
      <c r="I68" s="511"/>
      <c r="J68" s="547">
        <f>H68/DAY(B2)</f>
        <v>0</v>
      </c>
      <c r="K68" s="426"/>
      <c r="L68" s="374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50">
        <f>'1'!F69</f>
        <v>81853</v>
      </c>
      <c r="F69" s="473">
        <v>81942.25</v>
      </c>
      <c r="G69" s="468">
        <f t="shared" si="4"/>
        <v>89.25</v>
      </c>
      <c r="H69" s="455">
        <f>G69+'1'!H69</f>
        <v>193.25</v>
      </c>
      <c r="I69" s="511"/>
      <c r="J69" s="547">
        <f>H69/DAY(B2)</f>
        <v>96.625</v>
      </c>
      <c r="K69" s="427"/>
      <c r="L69" s="374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450">
        <f>'1'!F72</f>
        <v>855857</v>
      </c>
      <c r="F72" s="650">
        <v>855870</v>
      </c>
      <c r="G72" s="468">
        <f t="shared" ref="G72:G84" si="5">F72-E72</f>
        <v>13</v>
      </c>
      <c r="H72" s="455">
        <f>G72+'1'!H72</f>
        <v>27</v>
      </c>
      <c r="I72" s="475"/>
      <c r="J72" s="547">
        <f>H72/DAY(B2)</f>
        <v>13.5</v>
      </c>
      <c r="K72" s="427"/>
      <c r="L72" s="374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450">
        <f>'1'!F73</f>
        <v>885938</v>
      </c>
      <c r="F73" s="651">
        <v>885939</v>
      </c>
      <c r="G73" s="648">
        <f t="shared" si="5"/>
        <v>1</v>
      </c>
      <c r="H73" s="455">
        <f>G73+'1'!H73</f>
        <v>2</v>
      </c>
      <c r="I73" s="475"/>
      <c r="J73" s="547">
        <f>H73/DAY(B2)</f>
        <v>1</v>
      </c>
      <c r="K73" s="426"/>
      <c r="L73" s="374"/>
      <c r="O73" s="379"/>
    </row>
    <row r="74" spans="1:15" ht="27.75">
      <c r="A74" s="1450" t="s">
        <v>260</v>
      </c>
      <c r="B74" s="1451"/>
      <c r="C74" s="1452"/>
      <c r="D74" s="518" t="s">
        <v>253</v>
      </c>
      <c r="E74" s="450">
        <f>'1'!F74</f>
        <v>2593</v>
      </c>
      <c r="F74" s="650">
        <v>2599.96</v>
      </c>
      <c r="G74" s="468">
        <f t="shared" si="5"/>
        <v>6.9600000000000364</v>
      </c>
      <c r="H74" s="455">
        <f>G74+'1'!H74</f>
        <v>13.960000000000036</v>
      </c>
      <c r="I74" s="475"/>
      <c r="J74" s="547">
        <f>H74/DAY(B2)</f>
        <v>6.9800000000000182</v>
      </c>
      <c r="K74" s="427"/>
      <c r="L74" s="374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450">
        <f>'1'!F75</f>
        <v>12723</v>
      </c>
      <c r="F75" s="652">
        <v>12783.06</v>
      </c>
      <c r="G75" s="468">
        <f t="shared" si="5"/>
        <v>60.059999999999491</v>
      </c>
      <c r="H75" s="455">
        <f>G75+'1'!H75</f>
        <v>114.05999999999949</v>
      </c>
      <c r="I75" s="475"/>
      <c r="J75" s="547">
        <f>H75/DAY(B2)</f>
        <v>57.029999999999745</v>
      </c>
      <c r="K75" s="426"/>
      <c r="L75" s="374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450">
        <f>'1'!F76</f>
        <v>7476</v>
      </c>
      <c r="F76" s="651">
        <v>7531.43</v>
      </c>
      <c r="G76" s="468">
        <f t="shared" si="5"/>
        <v>55.430000000000291</v>
      </c>
      <c r="H76" s="455">
        <f>G76+'1'!H76</f>
        <v>112.43000000000029</v>
      </c>
      <c r="I76" s="500"/>
      <c r="J76" s="547">
        <f>H76/DAY(B2)</f>
        <v>56.215000000000146</v>
      </c>
      <c r="K76" s="426"/>
      <c r="L76" s="374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450">
        <f>'1'!F77</f>
        <v>702888</v>
      </c>
      <c r="F77" s="651">
        <v>702936</v>
      </c>
      <c r="G77" s="648">
        <f t="shared" si="5"/>
        <v>48</v>
      </c>
      <c r="H77" s="455">
        <f>G77+'1'!H77</f>
        <v>97</v>
      </c>
      <c r="I77" s="500"/>
      <c r="J77" s="547">
        <f>H77/DAY(B2)</f>
        <v>48.5</v>
      </c>
      <c r="K77" s="426"/>
      <c r="L77" s="374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450">
        <f>'1'!F78</f>
        <v>673087</v>
      </c>
      <c r="F78" s="652">
        <v>673140</v>
      </c>
      <c r="G78" s="468">
        <f t="shared" si="5"/>
        <v>53</v>
      </c>
      <c r="H78" s="455">
        <f>G78+'1'!H78</f>
        <v>108</v>
      </c>
      <c r="I78" s="500"/>
      <c r="J78" s="547">
        <f>H78/DAY(B2)</f>
        <v>54</v>
      </c>
      <c r="K78" s="426"/>
      <c r="L78" s="374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450">
        <f>'1'!F79</f>
        <v>831165</v>
      </c>
      <c r="F79" s="652">
        <v>831331</v>
      </c>
      <c r="G79" s="468">
        <f t="shared" si="5"/>
        <v>166</v>
      </c>
      <c r="H79" s="455">
        <f>G79+'1'!H79</f>
        <v>321</v>
      </c>
      <c r="I79" s="500"/>
      <c r="J79" s="547">
        <f>H79/DAY(B2)</f>
        <v>160.5</v>
      </c>
      <c r="K79" s="426"/>
      <c r="L79" s="374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450">
        <f>'1'!F80</f>
        <v>528028</v>
      </c>
      <c r="F80" s="651">
        <v>528396.24</v>
      </c>
      <c r="G80" s="468">
        <f t="shared" si="5"/>
        <v>368.23999999999069</v>
      </c>
      <c r="H80" s="455">
        <f>G80+'1'!H80</f>
        <v>738.23999999999069</v>
      </c>
      <c r="I80" s="500"/>
      <c r="J80" s="547">
        <f>H80/DAY(B2)</f>
        <v>369.11999999999534</v>
      </c>
      <c r="K80" s="426"/>
      <c r="L80" s="374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450">
        <f>'1'!F81</f>
        <v>638992</v>
      </c>
      <c r="F81" s="651">
        <v>639082.04</v>
      </c>
      <c r="G81" s="468">
        <f t="shared" si="5"/>
        <v>90.040000000037253</v>
      </c>
      <c r="H81" s="455">
        <f>G81+'1'!H81</f>
        <v>184.04000000003725</v>
      </c>
      <c r="I81" s="500"/>
      <c r="J81" s="547">
        <f>H81/DAY(B2)</f>
        <v>92.020000000018626</v>
      </c>
      <c r="K81" s="426"/>
      <c r="L81" s="374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450">
        <f>'1'!F82</f>
        <v>108169</v>
      </c>
      <c r="F82" s="647">
        <v>108192.73</v>
      </c>
      <c r="G82" s="468">
        <f t="shared" si="5"/>
        <v>23.729999999995925</v>
      </c>
      <c r="H82" s="455">
        <f>G82+'1'!H82</f>
        <v>34.729999999995925</v>
      </c>
      <c r="I82" s="481"/>
      <c r="J82" s="547">
        <f>H82/DAY(B2)</f>
        <v>17.364999999997963</v>
      </c>
      <c r="K82" s="426"/>
      <c r="L82" s="374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450">
        <f>'1'!F83</f>
        <v>20658</v>
      </c>
      <c r="F83" s="506">
        <v>20805</v>
      </c>
      <c r="G83" s="468">
        <f t="shared" si="5"/>
        <v>147</v>
      </c>
      <c r="H83" s="455">
        <f>G83+'1'!H83</f>
        <v>299</v>
      </c>
      <c r="I83" s="476"/>
      <c r="J83" s="547">
        <f>H83/DAY(B2)</f>
        <v>149.5</v>
      </c>
      <c r="K83" s="425"/>
      <c r="L83" s="374"/>
      <c r="O83" s="379"/>
    </row>
    <row r="84" spans="1:15">
      <c r="A84" s="1396" t="s">
        <v>166</v>
      </c>
      <c r="B84" s="566"/>
      <c r="C84" s="566"/>
      <c r="D84" s="473" t="s">
        <v>198</v>
      </c>
      <c r="E84" s="450">
        <f>'1'!F84</f>
        <v>501121</v>
      </c>
      <c r="F84" s="622">
        <v>501942</v>
      </c>
      <c r="G84" s="468">
        <f t="shared" si="5"/>
        <v>821</v>
      </c>
      <c r="H84" s="455">
        <f>G84+'1'!H84</f>
        <v>1648</v>
      </c>
      <c r="I84" s="476"/>
      <c r="J84" s="547">
        <f>H84/DAY(B2)</f>
        <v>824</v>
      </c>
      <c r="K84" s="377"/>
      <c r="L84" s="374"/>
      <c r="O84" s="379"/>
    </row>
    <row r="85" spans="1:15" s="376" customFormat="1">
      <c r="A85" s="600" t="s">
        <v>102</v>
      </c>
      <c r="B85" s="567"/>
      <c r="C85" s="567"/>
      <c r="D85" s="484"/>
      <c r="E85" s="450">
        <f>'1'!F85</f>
        <v>0</v>
      </c>
      <c r="F85" s="518"/>
      <c r="G85" s="455">
        <f xml:space="preserve"> SUM(G71:G84)</f>
        <v>1853.4600000000237</v>
      </c>
      <c r="H85" s="455">
        <f>G85+'1'!H85</f>
        <v>3699.4600000000237</v>
      </c>
      <c r="I85" s="476"/>
      <c r="J85" s="547">
        <f>H85/DAY(B2)</f>
        <v>1849.7300000000118</v>
      </c>
      <c r="K85" s="377"/>
      <c r="L85" s="375"/>
      <c r="O85" s="379"/>
    </row>
    <row r="86" spans="1:15" s="731" customFormat="1">
      <c r="A86" s="726" t="s">
        <v>269</v>
      </c>
      <c r="B86" s="727"/>
      <c r="C86" s="727"/>
      <c r="D86" s="728" t="s">
        <v>248</v>
      </c>
      <c r="E86" s="450">
        <f>'1'!F86</f>
        <v>460969</v>
      </c>
      <c r="F86" s="643">
        <v>461001.8</v>
      </c>
      <c r="G86" s="701">
        <f t="shared" ref="G86:G91" si="6">F86-E86</f>
        <v>32.799999999988358</v>
      </c>
      <c r="H86" s="455">
        <f>G86+'1'!H86</f>
        <v>66.799999999988358</v>
      </c>
      <c r="I86" s="648"/>
      <c r="J86" s="703">
        <f>H86/DAY(B2)</f>
        <v>33.399999999994179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450">
        <f>'1'!F87</f>
        <v>81396</v>
      </c>
      <c r="F87" s="643">
        <v>81415.8</v>
      </c>
      <c r="G87" s="701">
        <f t="shared" si="6"/>
        <v>19.80000000000291</v>
      </c>
      <c r="H87" s="455">
        <f>G87+'1'!H87</f>
        <v>40.80000000000291</v>
      </c>
      <c r="I87" s="648"/>
      <c r="J87" s="703">
        <f>H87/DAY(B2)</f>
        <v>20.400000000001455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450">
        <f>'1'!F88</f>
        <v>153091</v>
      </c>
      <c r="F88" s="643">
        <v>153114.82999999999</v>
      </c>
      <c r="G88" s="701">
        <f t="shared" si="6"/>
        <v>23.829999999987194</v>
      </c>
      <c r="H88" s="455">
        <f>G88+'1'!H88</f>
        <v>50.829999999987194</v>
      </c>
      <c r="I88" s="648"/>
      <c r="J88" s="703">
        <f>H88/DAY(B2)</f>
        <v>25.414999999993597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450">
        <f>'1'!F89</f>
        <v>65185</v>
      </c>
      <c r="F89" s="643">
        <v>65196.5</v>
      </c>
      <c r="G89" s="701">
        <f t="shared" si="6"/>
        <v>11.5</v>
      </c>
      <c r="H89" s="455">
        <f>G89+'1'!H89</f>
        <v>21.900000000001455</v>
      </c>
      <c r="I89" s="648"/>
      <c r="J89" s="703">
        <f>H89/DAY(B2)</f>
        <v>10.950000000000728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450">
        <f>'1'!F90</f>
        <v>3273.7</v>
      </c>
      <c r="F90" s="643">
        <v>3273.7</v>
      </c>
      <c r="G90" s="701">
        <f t="shared" si="6"/>
        <v>0</v>
      </c>
      <c r="H90" s="455">
        <f>G90+'1'!H90</f>
        <v>9.9999999999909051E-2</v>
      </c>
      <c r="I90" s="648"/>
      <c r="J90" s="703">
        <f>H90/DAY(B2)</f>
        <v>4.9999999999954525E-2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450">
        <f>'1'!F91</f>
        <v>28026</v>
      </c>
      <c r="F91" s="643">
        <v>28038.6</v>
      </c>
      <c r="G91" s="701">
        <f t="shared" si="6"/>
        <v>12.599999999998545</v>
      </c>
      <c r="H91" s="701"/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50">
        <f>'1'!F93</f>
        <v>245506</v>
      </c>
      <c r="F93" s="473">
        <v>245548</v>
      </c>
      <c r="G93" s="468">
        <f t="shared" ref="G93:G94" si="7">F93-E93</f>
        <v>42</v>
      </c>
      <c r="H93" s="455">
        <f>G93+'1'!H93</f>
        <v>60</v>
      </c>
      <c r="I93" s="475"/>
      <c r="J93" s="547">
        <f>H93/DAY(B2)</f>
        <v>30</v>
      </c>
      <c r="K93" s="425"/>
      <c r="L93" s="374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50">
        <f>'1'!F94</f>
        <v>186179</v>
      </c>
      <c r="F94" s="473">
        <v>186240</v>
      </c>
      <c r="G94" s="468">
        <f t="shared" si="7"/>
        <v>61</v>
      </c>
      <c r="H94" s="455">
        <f>G94+'1'!H94</f>
        <v>119</v>
      </c>
      <c r="I94" s="475"/>
      <c r="J94" s="547">
        <f>H94/DAY(B2)</f>
        <v>59.5</v>
      </c>
      <c r="K94" s="377"/>
      <c r="L94" s="374"/>
      <c r="O94" s="379"/>
    </row>
    <row r="95" spans="1:15">
      <c r="A95" s="1447" t="s">
        <v>276</v>
      </c>
      <c r="B95" s="1448"/>
      <c r="C95" s="1449"/>
      <c r="D95" s="518"/>
      <c r="E95" s="450">
        <f>'1'!F95</f>
        <v>0</v>
      </c>
      <c r="F95" s="473"/>
      <c r="G95" s="468">
        <f>G93+G94</f>
        <v>103</v>
      </c>
      <c r="H95" s="455">
        <f>G95+'1'!H95</f>
        <v>103</v>
      </c>
      <c r="I95" s="475"/>
      <c r="J95" s="547">
        <f>H95/DAY(B2)</f>
        <v>51.5</v>
      </c>
      <c r="K95" s="377"/>
      <c r="L95" s="374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50">
        <f>'1'!F96</f>
        <v>414323</v>
      </c>
      <c r="F96" s="473">
        <v>414359</v>
      </c>
      <c r="G96" s="468">
        <f t="shared" ref="G96:G101" si="8">F96-E96</f>
        <v>36</v>
      </c>
      <c r="H96" s="455">
        <f>G96+'1'!H96</f>
        <v>76</v>
      </c>
      <c r="I96" s="475"/>
      <c r="J96" s="547">
        <f>H96/DAY(B2)</f>
        <v>38</v>
      </c>
      <c r="K96" s="377"/>
      <c r="L96" s="374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50">
        <f>'1'!F97</f>
        <v>102661</v>
      </c>
      <c r="F97" s="473">
        <v>102670</v>
      </c>
      <c r="G97" s="468">
        <f t="shared" si="8"/>
        <v>9</v>
      </c>
      <c r="H97" s="455">
        <f>G97+'1'!H97</f>
        <v>22</v>
      </c>
      <c r="I97" s="475"/>
      <c r="J97" s="547">
        <f>H97/DAY(B2)</f>
        <v>11</v>
      </c>
      <c r="K97" s="423"/>
      <c r="L97" s="374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50">
        <f>'1'!F98</f>
        <v>97965</v>
      </c>
      <c r="F98" s="473">
        <v>97975</v>
      </c>
      <c r="G98" s="468">
        <f t="shared" si="8"/>
        <v>10</v>
      </c>
      <c r="H98" s="455">
        <f>G98+'1'!H98</f>
        <v>25</v>
      </c>
      <c r="I98" s="475"/>
      <c r="J98" s="547">
        <f>H98/DAY(B2)</f>
        <v>12.5</v>
      </c>
      <c r="K98" s="428"/>
      <c r="L98" s="374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50">
        <f>'1'!F99</f>
        <v>149859</v>
      </c>
      <c r="F99" s="473">
        <v>149863</v>
      </c>
      <c r="G99" s="468">
        <f t="shared" si="8"/>
        <v>4</v>
      </c>
      <c r="H99" s="455">
        <f>G99+'1'!H99</f>
        <v>11</v>
      </c>
      <c r="I99" s="475"/>
      <c r="J99" s="547">
        <f>H99/DAY(B2)</f>
        <v>5.5</v>
      </c>
      <c r="K99" s="377"/>
      <c r="L99" s="374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50">
        <f>'1'!F100</f>
        <v>7378</v>
      </c>
      <c r="F100" s="473">
        <v>7410</v>
      </c>
      <c r="G100" s="468">
        <f t="shared" si="8"/>
        <v>32</v>
      </c>
      <c r="H100" s="455">
        <f>G100+'1'!H100</f>
        <v>41</v>
      </c>
      <c r="I100" s="475"/>
      <c r="J100" s="547">
        <f>H100/DAY(B2)</f>
        <v>20.5</v>
      </c>
      <c r="K100" s="377"/>
      <c r="L100" s="374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50">
        <f>'1'!F101</f>
        <v>5395</v>
      </c>
      <c r="F101" s="473">
        <v>5399</v>
      </c>
      <c r="G101" s="468">
        <f t="shared" si="8"/>
        <v>4</v>
      </c>
      <c r="H101" s="455">
        <f>G101+'1'!H101</f>
        <v>8</v>
      </c>
      <c r="I101" s="475"/>
      <c r="J101" s="547">
        <f>H101/DAY(B2)</f>
        <v>4</v>
      </c>
      <c r="K101" s="377"/>
      <c r="L101" s="374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520">
        <f>SUM(G96:G101)</f>
        <v>95</v>
      </c>
      <c r="H102" s="455">
        <f>G102+'1'!H102</f>
        <v>183</v>
      </c>
      <c r="I102" s="521"/>
      <c r="J102" s="547">
        <f>H102/DAY(B2)</f>
        <v>91.5</v>
      </c>
      <c r="K102" s="377"/>
      <c r="L102" s="374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653"/>
      <c r="G103" s="524"/>
      <c r="H103" s="525"/>
      <c r="I103" s="526"/>
      <c r="J103" s="552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654"/>
      <c r="G104" s="527"/>
      <c r="H104" s="528"/>
      <c r="I104" s="527"/>
      <c r="J104" s="553"/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450">
        <f>'1'!F105</f>
        <v>7484</v>
      </c>
      <c r="F105" s="654">
        <v>7484</v>
      </c>
      <c r="G105" s="527">
        <f>F105-E105</f>
        <v>0</v>
      </c>
      <c r="H105" s="455">
        <f>G105+'1'!H105</f>
        <v>0</v>
      </c>
      <c r="I105" s="527"/>
      <c r="J105" s="553">
        <f>H105/DAY(B2)</f>
        <v>0</v>
      </c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450">
        <f>'1'!F106</f>
        <v>35953</v>
      </c>
      <c r="F106" s="655">
        <v>35953</v>
      </c>
      <c r="G106" s="527">
        <f t="shared" ref="G106:G107" si="9">F106-E106</f>
        <v>0</v>
      </c>
      <c r="H106" s="455">
        <f>G106+'1'!H106</f>
        <v>0</v>
      </c>
      <c r="I106" s="527"/>
      <c r="J106" s="553">
        <f>H106/DAY(B2)</f>
        <v>0</v>
      </c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450">
        <f>'1'!F107</f>
        <v>19708</v>
      </c>
      <c r="F107" s="654">
        <v>19711</v>
      </c>
      <c r="G107" s="527">
        <f t="shared" si="9"/>
        <v>3</v>
      </c>
      <c r="H107" s="455">
        <f>G107+'1'!H107</f>
        <v>3</v>
      </c>
      <c r="I107" s="527"/>
      <c r="J107" s="553">
        <f>H107/DAY(B2)</f>
        <v>1.5</v>
      </c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/>
      <c r="F108" s="654"/>
      <c r="G108" s="527">
        <f>SUM(G105:G107)</f>
        <v>3</v>
      </c>
      <c r="H108" s="455">
        <f>G108+'1'!H108</f>
        <v>3</v>
      </c>
      <c r="I108" s="527"/>
      <c r="J108" s="553">
        <f>H108/DAY(B2)</f>
        <v>1.5</v>
      </c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/>
      <c r="F109" s="654"/>
      <c r="G109" s="527"/>
      <c r="H109" s="455">
        <f>G109+'1'!H109</f>
        <v>0</v>
      </c>
      <c r="I109" s="527"/>
      <c r="J109" s="553"/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450">
        <f>'1'!F110</f>
        <v>62897</v>
      </c>
      <c r="F110" s="654">
        <v>62939</v>
      </c>
      <c r="G110" s="527">
        <f>F110-E110</f>
        <v>42</v>
      </c>
      <c r="H110" s="455">
        <f>G110+'1'!H110</f>
        <v>105</v>
      </c>
      <c r="I110" s="527"/>
      <c r="J110" s="553">
        <f>H110/DAY(B2)</f>
        <v>52.5</v>
      </c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450">
        <f>'1'!F111</f>
        <v>32578</v>
      </c>
      <c r="F111" s="654">
        <v>32578</v>
      </c>
      <c r="G111" s="527">
        <f t="shared" ref="G111:G112" si="10">F111-E111</f>
        <v>0</v>
      </c>
      <c r="H111" s="455">
        <f>G111+'1'!H111</f>
        <v>0</v>
      </c>
      <c r="I111" s="527"/>
      <c r="J111" s="553">
        <f>H111/DAY(B2)</f>
        <v>0</v>
      </c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450">
        <f>'1'!F112</f>
        <v>4592</v>
      </c>
      <c r="F112" s="654">
        <v>4592</v>
      </c>
      <c r="G112" s="527">
        <f t="shared" si="10"/>
        <v>0</v>
      </c>
      <c r="H112" s="455">
        <f>G112+'1'!H112</f>
        <v>16</v>
      </c>
      <c r="I112" s="527"/>
      <c r="J112" s="553">
        <f>H112/DAY(B2)</f>
        <v>8</v>
      </c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/>
      <c r="F113" s="654"/>
      <c r="G113" s="527">
        <f>SUM(G110:G112)</f>
        <v>42</v>
      </c>
      <c r="H113" s="455">
        <f>G113+'1'!H113</f>
        <v>121</v>
      </c>
      <c r="I113" s="527"/>
      <c r="J113" s="553">
        <f>H113/DAY(B2)</f>
        <v>60.5</v>
      </c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/>
      <c r="F114" s="654"/>
      <c r="G114" s="527"/>
      <c r="H114" s="455">
        <f>G114+'1'!H114</f>
        <v>0</v>
      </c>
      <c r="I114" s="527"/>
      <c r="J114" s="553">
        <f>H114/DAY(B2)</f>
        <v>0</v>
      </c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450">
        <f>'1'!F115</f>
        <v>11509</v>
      </c>
      <c r="F115" s="655">
        <v>11546</v>
      </c>
      <c r="G115" s="529">
        <f>F115-E115</f>
        <v>37</v>
      </c>
      <c r="H115" s="455">
        <f>G115+'1'!H115</f>
        <v>49</v>
      </c>
      <c r="I115" s="527"/>
      <c r="J115" s="553">
        <f>H115/DAY(B2)</f>
        <v>24.5</v>
      </c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450">
        <f>'1'!F116</f>
        <v>8317</v>
      </c>
      <c r="F116" s="655">
        <v>8320</v>
      </c>
      <c r="G116" s="529">
        <f t="shared" ref="G116:G117" si="11">F116-E116</f>
        <v>3</v>
      </c>
      <c r="H116" s="455">
        <f>G116+'1'!H116</f>
        <v>8</v>
      </c>
      <c r="I116" s="527"/>
      <c r="J116" s="553">
        <f>H116/DAY(B2)</f>
        <v>4</v>
      </c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1"/>
        <v>0</v>
      </c>
      <c r="H117" s="455">
        <f>G117+'1'!H117</f>
        <v>0</v>
      </c>
      <c r="I117" s="527"/>
      <c r="J117" s="553">
        <f>H117/DAY(B2)</f>
        <v>0</v>
      </c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40</v>
      </c>
      <c r="H118" s="455">
        <f>G118+'1'!H118</f>
        <v>57</v>
      </c>
      <c r="I118" s="529"/>
      <c r="J118" s="553">
        <f>H118/DAY(B2)</f>
        <v>28.5</v>
      </c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94</v>
      </c>
      <c r="G119" s="531">
        <f>SUM(G19+G93)</f>
        <v>94</v>
      </c>
      <c r="H119" s="455">
        <f>G119+'1'!H119</f>
        <v>172</v>
      </c>
      <c r="I119" s="530"/>
      <c r="J119" s="554">
        <f>H119/DAY(B2)</f>
        <v>86</v>
      </c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91</v>
      </c>
      <c r="G120" s="531">
        <f>SUM(G96,G97,G98,G100,G101)</f>
        <v>91</v>
      </c>
      <c r="H120" s="455">
        <f>G120+'1'!H120</f>
        <v>172</v>
      </c>
      <c r="I120" s="530"/>
      <c r="J120" s="554">
        <f>H120/DAY(B2)</f>
        <v>86</v>
      </c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42</v>
      </c>
      <c r="G121" s="529">
        <f>SUM(G113)</f>
        <v>42</v>
      </c>
      <c r="H121" s="455">
        <f>G121+'1'!H121</f>
        <v>121</v>
      </c>
      <c r="I121" s="530"/>
      <c r="J121" s="554">
        <f>H121/DAY(B2)</f>
        <v>60.5</v>
      </c>
      <c r="O121" s="379"/>
    </row>
    <row r="122" spans="1:15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50">
        <f>'1'!F124</f>
        <v>832541</v>
      </c>
      <c r="F124" s="473">
        <v>832711.85</v>
      </c>
      <c r="G124" s="468">
        <f t="shared" ref="G124:G128" si="12">F124-E124</f>
        <v>170.84999999997672</v>
      </c>
      <c r="H124" s="455">
        <f>G124+'1'!H124</f>
        <v>345.84999999997672</v>
      </c>
      <c r="I124" s="521"/>
      <c r="J124" s="547">
        <f>H124/DAY(B2)</f>
        <v>172.92499999998836</v>
      </c>
      <c r="K124" s="377"/>
      <c r="L124" s="374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450">
        <f>'1'!F125</f>
        <v>73583.399999999994</v>
      </c>
      <c r="F125" s="621">
        <v>73583.399999999994</v>
      </c>
      <c r="G125" s="468">
        <f t="shared" si="12"/>
        <v>0</v>
      </c>
      <c r="H125" s="455">
        <f>G125+'1'!H125</f>
        <v>0</v>
      </c>
      <c r="I125" s="521"/>
      <c r="J125" s="547">
        <f>H125/DAY(B2)</f>
        <v>0</v>
      </c>
      <c r="K125" s="377"/>
      <c r="L125" s="374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50">
        <f>'1'!F126</f>
        <v>146543</v>
      </c>
      <c r="F126" s="473">
        <v>146606.32999999999</v>
      </c>
      <c r="G126" s="468">
        <f t="shared" si="12"/>
        <v>63.329999999987194</v>
      </c>
      <c r="H126" s="455">
        <f>G126+'1'!H126</f>
        <v>115.32999999998719</v>
      </c>
      <c r="I126" s="521"/>
      <c r="J126" s="547">
        <f>H126/DAY(B2)</f>
        <v>57.664999999993597</v>
      </c>
      <c r="K126" s="377"/>
      <c r="L126" s="374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450">
        <f>'1'!F127</f>
        <v>31406</v>
      </c>
      <c r="F127" s="621">
        <v>31406.2</v>
      </c>
      <c r="G127" s="468">
        <f t="shared" si="12"/>
        <v>0.2000000000007276</v>
      </c>
      <c r="H127" s="455">
        <f>G127+'1'!H127</f>
        <v>0.2000000000007276</v>
      </c>
      <c r="I127" s="521"/>
      <c r="J127" s="547">
        <f>H127/DAY(B2)</f>
        <v>0.1000000000003638</v>
      </c>
      <c r="K127" s="377"/>
      <c r="L127" s="374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450">
        <f>'1'!F128</f>
        <v>8972</v>
      </c>
      <c r="F128" s="621">
        <v>8971.7000000000007</v>
      </c>
      <c r="G128" s="468">
        <f t="shared" si="12"/>
        <v>-0.2999999999992724</v>
      </c>
      <c r="H128" s="455">
        <f>G128+'1'!H128</f>
        <v>-0.2999999999992724</v>
      </c>
      <c r="I128" s="475"/>
      <c r="J128" s="547">
        <f>H128/DAY(B2)</f>
        <v>-0.1499999999996362</v>
      </c>
      <c r="K128" s="377"/>
      <c r="L128" s="374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202.61999999998807</v>
      </c>
      <c r="H129" s="455">
        <f>G129+'1'!H129</f>
        <v>242.61999999998807</v>
      </c>
      <c r="I129" s="475"/>
      <c r="J129" s="547">
        <f>H129/DAY(B2)</f>
        <v>121.30999999999403</v>
      </c>
      <c r="K129" s="361"/>
      <c r="L129" s="289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50">
        <f>'1'!F131</f>
        <v>0</v>
      </c>
      <c r="F131" s="473">
        <v>0</v>
      </c>
      <c r="G131" s="468">
        <f t="shared" ref="G131:G141" si="13">F131-E131</f>
        <v>0</v>
      </c>
      <c r="H131" s="455">
        <f>G131+'1'!H131</f>
        <v>0</v>
      </c>
      <c r="I131" s="475"/>
      <c r="J131" s="547">
        <f>H131/DAY(B2)</f>
        <v>0</v>
      </c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50">
        <f>'1'!F132</f>
        <v>0</v>
      </c>
      <c r="F132" s="473">
        <v>0</v>
      </c>
      <c r="G132" s="468">
        <f t="shared" si="13"/>
        <v>0</v>
      </c>
      <c r="H132" s="455">
        <f>G132+'1'!H132</f>
        <v>0</v>
      </c>
      <c r="I132" s="475"/>
      <c r="J132" s="547">
        <f>H132/DAY(B2)</f>
        <v>0</v>
      </c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450">
        <f>'1'!F133</f>
        <v>40059</v>
      </c>
      <c r="F133" s="647">
        <v>40059</v>
      </c>
      <c r="G133" s="468">
        <f t="shared" si="13"/>
        <v>0</v>
      </c>
      <c r="H133" s="455">
        <f>G133+'1'!H133</f>
        <v>0</v>
      </c>
      <c r="I133" s="475"/>
      <c r="J133" s="547">
        <f>H133/DAY(B2)</f>
        <v>0</v>
      </c>
      <c r="O133" s="379"/>
    </row>
    <row r="134" spans="1:15" ht="27.75">
      <c r="A134" s="1392" t="s">
        <v>297</v>
      </c>
      <c r="B134" s="1393"/>
      <c r="C134" s="1393"/>
      <c r="D134" s="518" t="s">
        <v>294</v>
      </c>
      <c r="E134" s="450">
        <f>'1'!F134</f>
        <v>300</v>
      </c>
      <c r="F134" s="647">
        <v>300</v>
      </c>
      <c r="G134" s="468">
        <f t="shared" si="13"/>
        <v>0</v>
      </c>
      <c r="H134" s="455">
        <f>G134+'1'!H134</f>
        <v>0</v>
      </c>
      <c r="I134" s="475">
        <f>G133+G134+G135+G136</f>
        <v>24</v>
      </c>
      <c r="J134" s="547">
        <f>H134/DAY(B2)</f>
        <v>0</v>
      </c>
      <c r="O134" s="379"/>
    </row>
    <row r="135" spans="1:15" ht="27.75">
      <c r="A135" s="1392" t="s">
        <v>298</v>
      </c>
      <c r="B135" s="1393"/>
      <c r="C135" s="1393"/>
      <c r="D135" s="518" t="s">
        <v>294</v>
      </c>
      <c r="E135" s="450">
        <f>'1'!F135</f>
        <v>41730</v>
      </c>
      <c r="F135" s="647">
        <v>41730</v>
      </c>
      <c r="G135" s="468">
        <f t="shared" si="13"/>
        <v>0</v>
      </c>
      <c r="H135" s="455">
        <f>G135+'1'!H135</f>
        <v>0</v>
      </c>
      <c r="I135" s="475"/>
      <c r="J135" s="547">
        <f>H135/DAY(B2)</f>
        <v>0</v>
      </c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450">
        <f>'1'!F136</f>
        <v>32739</v>
      </c>
      <c r="F136" s="647">
        <v>32763</v>
      </c>
      <c r="G136" s="468">
        <f t="shared" si="13"/>
        <v>24</v>
      </c>
      <c r="H136" s="455">
        <f>G136+'1'!H136</f>
        <v>48</v>
      </c>
      <c r="I136" s="475"/>
      <c r="J136" s="547">
        <f>H136/DAY(B2)</f>
        <v>24</v>
      </c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450">
        <f>'1'!F137</f>
        <v>22807.24</v>
      </c>
      <c r="F137" s="647">
        <v>22807.279999999999</v>
      </c>
      <c r="G137" s="468">
        <f t="shared" si="13"/>
        <v>3.9999999997235136E-2</v>
      </c>
      <c r="H137" s="455">
        <f>G137+'1'!H137</f>
        <v>3.9999999997235136E-2</v>
      </c>
      <c r="I137" s="475"/>
      <c r="J137" s="547">
        <f>H137/DAY(B2)</f>
        <v>1.9999999998617568E-2</v>
      </c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450">
        <f>'1'!F138</f>
        <v>25051.82</v>
      </c>
      <c r="F138" s="647">
        <v>25051.82</v>
      </c>
      <c r="G138" s="468">
        <f t="shared" si="13"/>
        <v>0</v>
      </c>
      <c r="H138" s="455">
        <f>G138+'1'!H138</f>
        <v>0</v>
      </c>
      <c r="I138" s="475"/>
      <c r="J138" s="547">
        <f>H138/DAY(B2)</f>
        <v>0</v>
      </c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450">
        <f>'1'!F139</f>
        <v>70411.740000000005</v>
      </c>
      <c r="F139" s="647">
        <v>70421.89</v>
      </c>
      <c r="G139" s="468">
        <f t="shared" si="13"/>
        <v>10.149999999994179</v>
      </c>
      <c r="H139" s="455">
        <f>G139+'1'!H139</f>
        <v>10.149999999994179</v>
      </c>
      <c r="I139" s="475">
        <f>G137+G138+G139</f>
        <v>10.189999999991414</v>
      </c>
      <c r="J139" s="547">
        <f>H139/DAY(B2)</f>
        <v>5.0749999999970896</v>
      </c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50">
        <f>'1'!F140</f>
        <v>1861.12</v>
      </c>
      <c r="F140" s="473">
        <v>1867.67</v>
      </c>
      <c r="G140" s="468">
        <f t="shared" si="13"/>
        <v>6.5500000000001819</v>
      </c>
      <c r="H140" s="455">
        <f>G140+'1'!H140</f>
        <v>13.370000000000118</v>
      </c>
      <c r="I140" s="537"/>
      <c r="J140" s="547">
        <f>H140/DAY(B2)</f>
        <v>6.6850000000000591</v>
      </c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50">
        <f>'1'!F141</f>
        <v>4637</v>
      </c>
      <c r="F141" s="473">
        <v>4636.97</v>
      </c>
      <c r="G141" s="468">
        <f t="shared" si="13"/>
        <v>-2.9999999999745341E-2</v>
      </c>
      <c r="H141" s="455">
        <f>G141+'1'!H141</f>
        <v>-2.9999999999745341E-2</v>
      </c>
      <c r="I141" s="537">
        <f>G140+G141</f>
        <v>6.5200000000004366</v>
      </c>
      <c r="J141" s="547">
        <f>H141/DAY(B2)</f>
        <v>-1.4999999999872671E-2</v>
      </c>
      <c r="O141" s="379"/>
    </row>
    <row r="142" spans="1:15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4678.5200000000186</v>
      </c>
      <c r="H143" s="455">
        <f>G143+'1'!H143</f>
        <v>9294.5200000000186</v>
      </c>
      <c r="I143" s="475"/>
      <c r="J143" s="547">
        <f>H143/DAY(B2)</f>
        <v>4647.2600000000093</v>
      </c>
      <c r="K143" s="377"/>
      <c r="L143" s="374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0.28273051790498199</v>
      </c>
      <c r="H144" s="455">
        <f>G144+'1'!H144</f>
        <v>0.56144081859330464</v>
      </c>
      <c r="I144" s="539"/>
      <c r="J144" s="547">
        <f>H144/DAY(B2)</f>
        <v>0.28072040929665232</v>
      </c>
      <c r="K144" s="377"/>
      <c r="L144" s="374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4924.3699999999371</v>
      </c>
      <c r="H145" s="455">
        <f>G145+'1'!H145</f>
        <v>10230.879999999946</v>
      </c>
      <c r="I145" s="475"/>
      <c r="J145" s="547">
        <f>H145/DAY(B2)</f>
        <v>5115.4399999999732</v>
      </c>
      <c r="K145" s="377"/>
      <c r="L145" s="374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0.29758763037365082</v>
      </c>
      <c r="H146" s="455">
        <f>G146+'1'!H146</f>
        <v>0.61799035951264425</v>
      </c>
      <c r="I146" s="539"/>
      <c r="J146" s="547">
        <f>H146/DAY(B2)</f>
        <v>0.30899517975632212</v>
      </c>
      <c r="K146" s="377"/>
      <c r="L146" s="374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2516.5599999999977</v>
      </c>
      <c r="H147" s="455">
        <f>G147+'1'!H147</f>
        <v>5062.5599999999977</v>
      </c>
      <c r="I147" s="540"/>
      <c r="J147" s="547">
        <f>H147/DAY(B2)</f>
        <v>2531.2799999999988</v>
      </c>
      <c r="K147" s="377"/>
      <c r="L147" s="374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0.15207978423496277</v>
      </c>
      <c r="H148" s="455">
        <f>G148+'1'!H148</f>
        <v>0.3058051797186</v>
      </c>
      <c r="I148" s="540"/>
      <c r="J148" s="547">
        <f>H148/DAY(B2)</f>
        <v>0.1529025898593</v>
      </c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1246.6900000000023</v>
      </c>
      <c r="H149" s="455">
        <f>G149+'1'!H149</f>
        <v>2416.6900000000023</v>
      </c>
      <c r="I149" s="475"/>
      <c r="J149" s="547">
        <f>H149/DAY(B2)</f>
        <v>1208.3450000000012</v>
      </c>
      <c r="K149" s="378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7.533948970335945E-2</v>
      </c>
      <c r="H150" s="455">
        <f>G150+'1'!H150</f>
        <v>0.14598313177557296</v>
      </c>
      <c r="I150" s="540"/>
      <c r="J150" s="547">
        <f>H150/DAY(B2)</f>
        <v>7.2991565887786478E-2</v>
      </c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1342.833000000021</v>
      </c>
      <c r="H151" s="455">
        <f>G151+'1'!H151</f>
        <v>2602.833000000021</v>
      </c>
      <c r="I151" s="540"/>
      <c r="J151" s="547">
        <f>H151/DAY(B2)</f>
        <v>1301.4165000000105</v>
      </c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8.114956643338174E-2</v>
      </c>
      <c r="H152" s="455">
        <f>G152+'1'!H152</f>
        <v>0.15722733481884243</v>
      </c>
      <c r="I152" s="475"/>
      <c r="J152" s="547">
        <f>H152/DAY(B2)</f>
        <v>7.8613667409421217E-2</v>
      </c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1249.570000000007</v>
      </c>
      <c r="H153" s="455">
        <f>G153+'1'!H153</f>
        <v>2527.570000000007</v>
      </c>
      <c r="I153" s="475"/>
      <c r="J153" s="547">
        <f>H153/DAY(B2)</f>
        <v>1263.7850000000035</v>
      </c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7.55135327536334E-2</v>
      </c>
      <c r="H154" s="455">
        <f>G154+'1'!H154</f>
        <v>0.15267812640174355</v>
      </c>
      <c r="I154" s="563"/>
      <c r="J154" s="564">
        <f>H154/DAY(B2)</f>
        <v>7.6339063200871776E-2</v>
      </c>
      <c r="O154" s="379"/>
    </row>
    <row r="155" spans="1:15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O155" s="379"/>
    </row>
    <row r="158" spans="1:15" ht="29.25" customHeight="1">
      <c r="A158" s="1503" t="s">
        <v>324</v>
      </c>
      <c r="B158" s="1504"/>
      <c r="C158" s="1504"/>
      <c r="D158" s="1504"/>
      <c r="E158" s="1504"/>
      <c r="F158" s="1504"/>
      <c r="G158" s="1505"/>
    </row>
    <row r="159" spans="1:15">
      <c r="A159" s="780"/>
      <c r="B159" s="781"/>
      <c r="C159" s="781"/>
      <c r="D159" s="506"/>
      <c r="E159" s="450"/>
      <c r="F159" s="654"/>
      <c r="G159" s="468"/>
    </row>
    <row r="160" spans="1:15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450">
        <f>'1'!F161</f>
        <v>38514</v>
      </c>
      <c r="F161" s="654">
        <v>38595.54</v>
      </c>
      <c r="G161" s="468">
        <f t="shared" ref="G161:G172" si="14">F161-E161</f>
        <v>81.540000000000873</v>
      </c>
    </row>
    <row r="162" spans="1:7">
      <c r="A162" s="780" t="s">
        <v>319</v>
      </c>
      <c r="B162" s="781"/>
      <c r="C162" s="781"/>
      <c r="D162" s="506" t="s">
        <v>253</v>
      </c>
      <c r="E162" s="450">
        <f>'1'!F162</f>
        <v>95181</v>
      </c>
      <c r="F162" s="654">
        <v>95576.09</v>
      </c>
      <c r="G162" s="468">
        <f t="shared" si="14"/>
        <v>395.08999999999651</v>
      </c>
    </row>
    <row r="163" spans="1:7">
      <c r="A163" s="780" t="s">
        <v>320</v>
      </c>
      <c r="B163" s="781"/>
      <c r="C163" s="781"/>
      <c r="D163" s="506" t="s">
        <v>253</v>
      </c>
      <c r="E163" s="450">
        <f>'1'!F163</f>
        <v>45344</v>
      </c>
      <c r="F163" s="654">
        <v>45353.65</v>
      </c>
      <c r="G163" s="468">
        <f t="shared" si="14"/>
        <v>9.6500000000014552</v>
      </c>
    </row>
    <row r="164" spans="1:7">
      <c r="A164" s="780" t="s">
        <v>321</v>
      </c>
      <c r="B164" s="781"/>
      <c r="C164" s="781"/>
      <c r="D164" s="506" t="s">
        <v>253</v>
      </c>
      <c r="E164" s="450">
        <f>'1'!F164</f>
        <v>6566</v>
      </c>
      <c r="F164" s="654">
        <v>6574.4</v>
      </c>
      <c r="G164" s="468">
        <f t="shared" si="14"/>
        <v>8.3999999999996362</v>
      </c>
    </row>
    <row r="165" spans="1:7">
      <c r="A165" s="782" t="s">
        <v>252</v>
      </c>
      <c r="B165" s="599"/>
      <c r="C165" s="599"/>
      <c r="D165" s="506" t="s">
        <v>253</v>
      </c>
      <c r="E165" s="450">
        <f>'1'!F165</f>
        <v>20419</v>
      </c>
      <c r="F165" s="509">
        <f>F62</f>
        <v>20419</v>
      </c>
      <c r="G165" s="468">
        <f t="shared" si="14"/>
        <v>0</v>
      </c>
    </row>
    <row r="166" spans="1:7">
      <c r="A166" s="782" t="s">
        <v>254</v>
      </c>
      <c r="B166" s="599"/>
      <c r="C166" s="599"/>
      <c r="D166" s="506" t="s">
        <v>253</v>
      </c>
      <c r="E166" s="450">
        <v>0</v>
      </c>
      <c r="F166" s="509">
        <f t="shared" ref="F166:F172" si="15">F63</f>
        <v>0</v>
      </c>
      <c r="G166" s="468">
        <f t="shared" si="14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450">
        <f>'1'!F167</f>
        <v>160128</v>
      </c>
      <c r="F167" s="509">
        <f t="shared" si="15"/>
        <v>160311.88</v>
      </c>
      <c r="G167" s="468">
        <f t="shared" si="14"/>
        <v>183.88000000000466</v>
      </c>
    </row>
    <row r="168" spans="1:7" ht="27.75">
      <c r="A168" s="1502" t="s">
        <v>162</v>
      </c>
      <c r="B168" s="1502"/>
      <c r="C168" s="1502"/>
      <c r="D168" s="518" t="s">
        <v>253</v>
      </c>
      <c r="E168" s="450">
        <f>'1'!F168</f>
        <v>161237</v>
      </c>
      <c r="F168" s="509">
        <f t="shared" si="15"/>
        <v>161456.68</v>
      </c>
      <c r="G168" s="468">
        <f t="shared" si="14"/>
        <v>219.67999999999302</v>
      </c>
    </row>
    <row r="169" spans="1:7" ht="27.75">
      <c r="A169" s="1502" t="s">
        <v>255</v>
      </c>
      <c r="B169" s="1502"/>
      <c r="C169" s="1502"/>
      <c r="D169" s="518" t="s">
        <v>253</v>
      </c>
      <c r="E169" s="450">
        <f>'1'!F169</f>
        <v>57021</v>
      </c>
      <c r="F169" s="509">
        <f t="shared" si="15"/>
        <v>57244.13</v>
      </c>
      <c r="G169" s="468">
        <f t="shared" si="14"/>
        <v>223.12999999999738</v>
      </c>
    </row>
    <row r="170" spans="1:7" ht="27.75">
      <c r="A170" s="1502" t="s">
        <v>157</v>
      </c>
      <c r="B170" s="1502"/>
      <c r="C170" s="1502"/>
      <c r="D170" s="518" t="s">
        <v>253</v>
      </c>
      <c r="E170" s="450">
        <f>'1'!F170</f>
        <v>252502</v>
      </c>
      <c r="F170" s="509">
        <f t="shared" si="15"/>
        <v>252869.61</v>
      </c>
      <c r="G170" s="468">
        <f t="shared" si="14"/>
        <v>367.60999999998603</v>
      </c>
    </row>
    <row r="171" spans="1:7" ht="27.75">
      <c r="A171" s="1502" t="s">
        <v>164</v>
      </c>
      <c r="B171" s="1502"/>
      <c r="C171" s="1502"/>
      <c r="D171" s="518" t="s">
        <v>253</v>
      </c>
      <c r="E171" s="450">
        <f>'1'!F171</f>
        <v>85321</v>
      </c>
      <c r="F171" s="509">
        <f t="shared" si="15"/>
        <v>85321</v>
      </c>
      <c r="G171" s="468">
        <f t="shared" si="14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450">
        <f>'1'!F172</f>
        <v>81853</v>
      </c>
      <c r="F172" s="509">
        <f t="shared" si="15"/>
        <v>81942.25</v>
      </c>
      <c r="G172" s="468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58:G158"/>
    <mergeCell ref="A149:C149"/>
    <mergeCell ref="A153:C153"/>
    <mergeCell ref="A154:C154"/>
    <mergeCell ref="A150:C150"/>
    <mergeCell ref="A151:C151"/>
    <mergeCell ref="A152:C15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SheetLayoutView="55" workbookViewId="0">
      <selection activeCell="A33" sqref="A33:J33"/>
    </sheetView>
  </sheetViews>
  <sheetFormatPr defaultColWidth="22.33203125" defaultRowHeight="29.25"/>
  <cols>
    <col min="1" max="1" width="40.109375" style="449" customWidth="1"/>
    <col min="2" max="2" width="29.777343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325</v>
      </c>
      <c r="B2" s="1028">
        <v>44350</v>
      </c>
      <c r="C2" s="1394" t="s">
        <v>111</v>
      </c>
      <c r="D2" s="606">
        <v>0.56999999999999995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29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5" ht="30" thickBot="1">
      <c r="A7" s="672" t="s">
        <v>197</v>
      </c>
      <c r="B7" s="673"/>
      <c r="C7" s="673"/>
      <c r="D7" s="633" t="s">
        <v>198</v>
      </c>
      <c r="E7" s="450">
        <f>'2'!F7</f>
        <v>377521.63</v>
      </c>
      <c r="F7" s="450">
        <v>393596.87</v>
      </c>
      <c r="G7" s="685">
        <f>F7-E7</f>
        <v>16075.239999999991</v>
      </c>
      <c r="H7" s="675">
        <f>G7+'2'!H7</f>
        <v>49184.869999999995</v>
      </c>
      <c r="I7" s="676">
        <f>'[2]1'!I7</f>
        <v>12000</v>
      </c>
      <c r="J7" s="677">
        <f>H7/DAY(B2)</f>
        <v>16394.956666666665</v>
      </c>
      <c r="K7" s="544"/>
      <c r="L7" s="374"/>
      <c r="O7" s="379"/>
    </row>
    <row r="8" spans="1:15" ht="27.75" thickBot="1">
      <c r="A8" s="678" t="s">
        <v>199</v>
      </c>
      <c r="B8" s="679"/>
      <c r="C8" s="680"/>
      <c r="D8" s="681" t="s">
        <v>59</v>
      </c>
      <c r="E8" s="450">
        <f>'2'!F8</f>
        <v>379785.27</v>
      </c>
      <c r="F8" s="470">
        <v>395921.08</v>
      </c>
      <c r="G8" s="685">
        <f>F8-E8</f>
        <v>16135.809999999998</v>
      </c>
      <c r="H8" s="675">
        <f>G8+'2'!H8</f>
        <v>49411.080000000016</v>
      </c>
      <c r="I8" s="682">
        <v>12000</v>
      </c>
      <c r="J8" s="677">
        <f>H8/DAY(B2)</f>
        <v>16470.360000000004</v>
      </c>
      <c r="K8" s="544"/>
      <c r="L8" s="421"/>
      <c r="M8" s="435"/>
      <c r="O8" s="379"/>
    </row>
    <row r="9" spans="1:15">
      <c r="A9" s="683" t="s">
        <v>200</v>
      </c>
      <c r="B9" s="684"/>
      <c r="C9" s="684"/>
      <c r="D9" s="633" t="s">
        <v>198</v>
      </c>
      <c r="E9" s="450">
        <f>'2'!F9</f>
        <v>1505845.9</v>
      </c>
      <c r="F9" s="473">
        <v>1521396.2</v>
      </c>
      <c r="G9" s="698">
        <f t="shared" ref="G9:G12" si="0">F9-E9</f>
        <v>15550.300000000047</v>
      </c>
      <c r="H9" s="675">
        <f>G9+'2'!H9</f>
        <v>47706.199999999953</v>
      </c>
      <c r="I9" s="686">
        <f>I8-J8</f>
        <v>-4470.3600000000042</v>
      </c>
      <c r="J9" s="677">
        <f>H9/DAY(B2)</f>
        <v>15902.066666666651</v>
      </c>
      <c r="K9" s="424"/>
      <c r="L9" s="374"/>
      <c r="O9" s="379"/>
    </row>
    <row r="10" spans="1:15">
      <c r="A10" s="672" t="s">
        <v>201</v>
      </c>
      <c r="B10" s="673"/>
      <c r="C10" s="673"/>
      <c r="D10" s="633" t="s">
        <v>198</v>
      </c>
      <c r="E10" s="450">
        <f>'2'!F10</f>
        <v>2323</v>
      </c>
      <c r="F10" s="473">
        <v>2323</v>
      </c>
      <c r="G10" s="685">
        <f t="shared" si="0"/>
        <v>0</v>
      </c>
      <c r="H10" s="675">
        <f>G10+'2'!H10</f>
        <v>0.42000000000007276</v>
      </c>
      <c r="I10" s="687"/>
      <c r="J10" s="677">
        <f>H10/DAY(B2)</f>
        <v>0.14000000000002424</v>
      </c>
      <c r="K10" s="424"/>
      <c r="L10" s="374"/>
      <c r="N10" s="379">
        <f>G7-G13</f>
        <v>524.93999999994412</v>
      </c>
      <c r="O10" s="379"/>
    </row>
    <row r="11" spans="1:15">
      <c r="A11" s="672" t="s">
        <v>202</v>
      </c>
      <c r="B11" s="673"/>
      <c r="C11" s="673"/>
      <c r="D11" s="633" t="s">
        <v>198</v>
      </c>
      <c r="E11" s="450">
        <f>'2'!F11</f>
        <v>37000</v>
      </c>
      <c r="F11" s="450">
        <v>37000</v>
      </c>
      <c r="G11" s="685">
        <f t="shared" si="0"/>
        <v>0</v>
      </c>
      <c r="H11" s="675">
        <f>G11+'2'!H11</f>
        <v>0</v>
      </c>
      <c r="I11" s="687"/>
      <c r="J11" s="677">
        <f>H11/DAY(B2)</f>
        <v>0</v>
      </c>
      <c r="K11" s="424"/>
      <c r="L11" s="374"/>
      <c r="O11" s="379"/>
    </row>
    <row r="12" spans="1:15">
      <c r="A12" s="672" t="s">
        <v>203</v>
      </c>
      <c r="B12" s="673"/>
      <c r="C12" s="673"/>
      <c r="D12" s="633" t="s">
        <v>198</v>
      </c>
      <c r="E12" s="450">
        <f>'2'!F12</f>
        <v>40010</v>
      </c>
      <c r="F12" s="473">
        <v>40010</v>
      </c>
      <c r="G12" s="685">
        <f t="shared" si="0"/>
        <v>0</v>
      </c>
      <c r="H12" s="675">
        <f>G12+'2'!H12</f>
        <v>0</v>
      </c>
      <c r="I12" s="687"/>
      <c r="J12" s="677">
        <f>H12/DAY(B2)</f>
        <v>0</v>
      </c>
      <c r="K12" s="424"/>
      <c r="L12" s="374"/>
      <c r="O12" s="379"/>
    </row>
    <row r="13" spans="1:15">
      <c r="A13" s="688" t="s">
        <v>204</v>
      </c>
      <c r="B13" s="689"/>
      <c r="C13" s="689"/>
      <c r="D13" s="633"/>
      <c r="E13" s="628"/>
      <c r="F13" s="450"/>
      <c r="G13" s="690">
        <f>G9+G10+G11+G12</f>
        <v>15550.300000000047</v>
      </c>
      <c r="H13" s="675">
        <f>G13+'2'!H13</f>
        <v>47706.619999999952</v>
      </c>
      <c r="I13" s="691">
        <f>G7-G13</f>
        <v>524.93999999994412</v>
      </c>
      <c r="J13" s="677">
        <f>H13/DAY(B2)</f>
        <v>15902.206666666651</v>
      </c>
      <c r="K13" s="424"/>
      <c r="L13" s="374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O14" s="379"/>
    </row>
    <row r="15" spans="1:15">
      <c r="A15" s="788" t="s">
        <v>133</v>
      </c>
      <c r="B15" s="783"/>
      <c r="C15" s="783"/>
      <c r="D15" s="519" t="s">
        <v>206</v>
      </c>
      <c r="E15" s="450">
        <f>'2'!F15</f>
        <v>1685227.7</v>
      </c>
      <c r="F15" s="480">
        <v>1685843.504</v>
      </c>
      <c r="G15" s="775">
        <f>F15-E15</f>
        <v>615.80400000000373</v>
      </c>
      <c r="H15" s="675">
        <f>G15+'2'!H15</f>
        <v>1319.5039999999572</v>
      </c>
      <c r="I15" s="469">
        <v>800</v>
      </c>
      <c r="J15" s="548">
        <f>H15/DAY(B2)</f>
        <v>439.83466666665237</v>
      </c>
      <c r="K15" s="424"/>
      <c r="L15" s="374"/>
      <c r="O15" s="379"/>
    </row>
    <row r="16" spans="1:15">
      <c r="A16" s="786"/>
      <c r="B16" s="787"/>
      <c r="C16" s="787"/>
      <c r="D16" s="784"/>
      <c r="E16" s="785"/>
      <c r="F16" s="480"/>
      <c r="G16" s="1031"/>
      <c r="H16" s="481"/>
      <c r="I16" s="482">
        <f>I15-J15</f>
        <v>360.16533333334763</v>
      </c>
      <c r="J16" s="548"/>
      <c r="K16" s="424"/>
      <c r="L16" s="374"/>
      <c r="O16" s="379"/>
    </row>
    <row r="17" spans="1:15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O17" s="379"/>
    </row>
    <row r="18" spans="1:15" ht="27.75">
      <c r="A18" s="1506" t="s">
        <v>208</v>
      </c>
      <c r="B18" s="1507"/>
      <c r="C18" s="1508"/>
      <c r="D18" s="633" t="s">
        <v>209</v>
      </c>
      <c r="E18" s="473">
        <v>6</v>
      </c>
      <c r="F18" s="473">
        <v>8</v>
      </c>
      <c r="G18" s="690">
        <f>F18*10</f>
        <v>80</v>
      </c>
      <c r="H18" s="675">
        <f>G18+'2'!H18</f>
        <v>160</v>
      </c>
      <c r="I18" s="676">
        <f>'[2]1'!I18</f>
        <v>65</v>
      </c>
      <c r="J18" s="677">
        <f>H18/DAY(B2)</f>
        <v>53.333333333333336</v>
      </c>
      <c r="K18" s="424"/>
      <c r="L18" s="374"/>
      <c r="O18" s="379"/>
    </row>
    <row r="19" spans="1:15" ht="27.75">
      <c r="A19" s="1506" t="s">
        <v>113</v>
      </c>
      <c r="B19" s="1507"/>
      <c r="C19" s="1508"/>
      <c r="D19" s="633" t="s">
        <v>209</v>
      </c>
      <c r="E19" s="450">
        <f>'2'!F19</f>
        <v>139724</v>
      </c>
      <c r="F19" s="473">
        <v>139787</v>
      </c>
      <c r="G19" s="685">
        <f t="shared" ref="G19" si="1">F19-E19</f>
        <v>63</v>
      </c>
      <c r="H19" s="675">
        <f>G19+'2'!H19</f>
        <v>175</v>
      </c>
      <c r="I19" s="692"/>
      <c r="J19" s="677">
        <f>H19/DAY(B2)</f>
        <v>58.333333333333336</v>
      </c>
      <c r="K19" s="424"/>
      <c r="L19" s="374"/>
      <c r="O19" s="379"/>
    </row>
    <row r="20" spans="1:15">
      <c r="A20" s="688" t="s">
        <v>210</v>
      </c>
      <c r="B20" s="689"/>
      <c r="C20" s="689"/>
      <c r="D20" s="633"/>
      <c r="E20" s="633"/>
      <c r="F20" s="518"/>
      <c r="G20" s="1030">
        <f>G18+G19</f>
        <v>143</v>
      </c>
      <c r="H20" s="675">
        <f>G20+'2'!H20</f>
        <v>335</v>
      </c>
      <c r="I20" s="694">
        <f>I18-J20</f>
        <v>-46.666666666666671</v>
      </c>
      <c r="J20" s="677">
        <f>H20/DAY(B2)</f>
        <v>111.66666666666667</v>
      </c>
      <c r="K20" s="424"/>
      <c r="L20" s="374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O21" s="379"/>
    </row>
    <row r="22" spans="1:15">
      <c r="A22" s="1392" t="s">
        <v>212</v>
      </c>
      <c r="B22" s="584"/>
      <c r="C22" s="584"/>
      <c r="D22" s="518" t="s">
        <v>213</v>
      </c>
      <c r="E22" s="479">
        <f>'1'!F22</f>
        <v>2970</v>
      </c>
      <c r="F22" s="473">
        <v>2970</v>
      </c>
      <c r="G22" s="476">
        <f t="shared" ref="G22" si="2">(F22-E22)</f>
        <v>0</v>
      </c>
      <c r="H22" s="675">
        <f>G22+'2'!H22</f>
        <v>0</v>
      </c>
      <c r="I22" s="475"/>
      <c r="J22" s="547">
        <f>H22/DAY(B2)</f>
        <v>0</v>
      </c>
      <c r="K22" s="424"/>
      <c r="L22" s="374"/>
      <c r="O22" s="379"/>
    </row>
    <row r="23" spans="1:15">
      <c r="A23" s="1392" t="s">
        <v>214</v>
      </c>
      <c r="B23" s="584"/>
      <c r="C23" s="584"/>
      <c r="D23" s="518" t="s">
        <v>213</v>
      </c>
      <c r="E23" s="479">
        <f>'1'!F23</f>
        <v>1880</v>
      </c>
      <c r="F23" s="473">
        <v>1880</v>
      </c>
      <c r="G23" s="476">
        <v>0</v>
      </c>
      <c r="H23" s="675">
        <f>G23+'2'!H23</f>
        <v>120</v>
      </c>
      <c r="I23" s="475"/>
      <c r="J23" s="547">
        <f>H23/DAY(B2)</f>
        <v>40</v>
      </c>
      <c r="K23" s="424"/>
      <c r="L23" s="374"/>
      <c r="O23" s="379"/>
    </row>
    <row r="24" spans="1:15">
      <c r="A24" s="585" t="s">
        <v>215</v>
      </c>
      <c r="B24" s="586"/>
      <c r="C24" s="586"/>
      <c r="D24" s="506" t="s">
        <v>213</v>
      </c>
      <c r="E24" s="479">
        <v>4850</v>
      </c>
      <c r="F24" s="480">
        <v>4850</v>
      </c>
      <c r="G24" s="476">
        <v>0</v>
      </c>
      <c r="H24" s="675">
        <f>G24+'2'!H24</f>
        <v>120</v>
      </c>
      <c r="I24" s="475"/>
      <c r="J24" s="547">
        <f>H24/DAY(B2)</f>
        <v>40</v>
      </c>
      <c r="K24" s="424"/>
      <c r="L24" s="374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695">
        <f>G8</f>
        <v>16135.809999999998</v>
      </c>
      <c r="F27" s="496">
        <v>9</v>
      </c>
      <c r="G27" s="497">
        <f>E27*F27</f>
        <v>145222.28999999998</v>
      </c>
      <c r="H27" s="675">
        <f>G27+'2'!H27</f>
        <v>443862.72000000015</v>
      </c>
      <c r="I27" s="498"/>
      <c r="J27" s="547">
        <f>H27/DAY(B2)</f>
        <v>147954.24000000005</v>
      </c>
      <c r="K27" s="370"/>
      <c r="L27" s="438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695">
        <f>G15</f>
        <v>615.80400000000373</v>
      </c>
      <c r="F28" s="496">
        <v>52</v>
      </c>
      <c r="G28" s="497">
        <f>E28*F28</f>
        <v>32021.808000000194</v>
      </c>
      <c r="H28" s="675">
        <f>G28+'2'!H28</f>
        <v>68614.207999997772</v>
      </c>
      <c r="I28" s="500"/>
      <c r="J28" s="547">
        <f>H28/DAY(B2)</f>
        <v>22871.402666665923</v>
      </c>
      <c r="K28" s="370"/>
      <c r="L28" s="438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675">
        <f>G29+'2'!H29</f>
        <v>8280</v>
      </c>
      <c r="I29" s="500"/>
      <c r="J29" s="547">
        <f>H29/DAY(B2)</f>
        <v>2760</v>
      </c>
      <c r="K29" s="370"/>
      <c r="L29" s="438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695">
        <f>G19</f>
        <v>63</v>
      </c>
      <c r="F30" s="496">
        <v>146</v>
      </c>
      <c r="G30" s="497">
        <f>E30*F30</f>
        <v>9198</v>
      </c>
      <c r="H30" s="675">
        <f>G30+'2'!H30</f>
        <v>25550</v>
      </c>
      <c r="I30" s="500"/>
      <c r="J30" s="547">
        <f>H30/DAY(B2)</f>
        <v>8516.6666666666661</v>
      </c>
      <c r="K30" s="370"/>
      <c r="L30" s="438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695">
        <f>G18</f>
        <v>80</v>
      </c>
      <c r="F31" s="496">
        <v>80</v>
      </c>
      <c r="G31" s="497">
        <f>E31*F31</f>
        <v>6400</v>
      </c>
      <c r="H31" s="675">
        <f>G31+'2'!H31</f>
        <v>12800</v>
      </c>
      <c r="I31" s="500"/>
      <c r="J31" s="547">
        <f>H31/DAY(B2)</f>
        <v>4266.666666666667</v>
      </c>
      <c r="K31" s="370"/>
      <c r="L31" s="438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192842.09800000017</v>
      </c>
      <c r="H32" s="675">
        <f>G32+'2'!H32</f>
        <v>559106.92799999798</v>
      </c>
      <c r="I32" s="504"/>
      <c r="J32" s="547">
        <f>H32/DAY(B2)</f>
        <v>186368.97599999933</v>
      </c>
      <c r="K32" s="370"/>
      <c r="L32" s="438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O33" s="379"/>
    </row>
    <row r="34" spans="1:15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O34" s="379"/>
    </row>
    <row r="35" spans="1:15">
      <c r="A35" s="573" t="s">
        <v>229</v>
      </c>
      <c r="B35" s="574"/>
      <c r="C35" s="574"/>
      <c r="D35" s="518" t="s">
        <v>198</v>
      </c>
      <c r="E35" s="450">
        <f>'2'!F35</f>
        <v>955239.99</v>
      </c>
      <c r="F35" s="505">
        <v>957665.19</v>
      </c>
      <c r="G35" s="468">
        <f t="shared" ref="G35:G46" si="3">F35-E35</f>
        <v>2425.1999999999534</v>
      </c>
      <c r="H35" s="675">
        <f>G35+'2'!H35</f>
        <v>7177.1899999999441</v>
      </c>
      <c r="I35" s="450"/>
      <c r="J35" s="547">
        <f>H35/DAY(B2)</f>
        <v>2392.3966666666479</v>
      </c>
      <c r="K35" s="424"/>
      <c r="L35" s="374"/>
      <c r="O35" s="379"/>
    </row>
    <row r="36" spans="1:15">
      <c r="A36" s="573" t="s">
        <v>230</v>
      </c>
      <c r="B36" s="574"/>
      <c r="C36" s="574"/>
      <c r="D36" s="518" t="s">
        <v>198</v>
      </c>
      <c r="E36" s="450">
        <f>'2'!F36</f>
        <v>1107.123</v>
      </c>
      <c r="F36" s="505">
        <v>1582.48</v>
      </c>
      <c r="G36" s="468">
        <f t="shared" si="3"/>
        <v>475.35699999999997</v>
      </c>
      <c r="H36" s="675">
        <f>G36+'2'!H36</f>
        <v>1409.48</v>
      </c>
      <c r="I36" s="450"/>
      <c r="J36" s="547">
        <f>H36/DAY(B2)</f>
        <v>469.82666666666665</v>
      </c>
      <c r="K36" s="424"/>
      <c r="L36" s="374"/>
      <c r="O36" s="623"/>
    </row>
    <row r="37" spans="1:15">
      <c r="A37" s="573" t="s">
        <v>231</v>
      </c>
      <c r="B37" s="574"/>
      <c r="C37" s="574"/>
      <c r="D37" s="518" t="s">
        <v>198</v>
      </c>
      <c r="E37" s="450">
        <f>'2'!F37</f>
        <v>136763.70000000001</v>
      </c>
      <c r="F37" s="505">
        <v>138014.75</v>
      </c>
      <c r="G37" s="468">
        <f t="shared" si="3"/>
        <v>1251.0499999999884</v>
      </c>
      <c r="H37" s="675">
        <f>G37+'2'!H37</f>
        <v>3778.75</v>
      </c>
      <c r="I37" s="450"/>
      <c r="J37" s="547">
        <f>H37/DAY(B2)</f>
        <v>1259.5833333333333</v>
      </c>
      <c r="K37" s="424"/>
      <c r="L37" s="374"/>
      <c r="O37" s="624"/>
    </row>
    <row r="38" spans="1:15">
      <c r="A38" s="573" t="s">
        <v>232</v>
      </c>
      <c r="B38" s="574"/>
      <c r="C38" s="574"/>
      <c r="D38" s="518" t="s">
        <v>198</v>
      </c>
      <c r="E38" s="450">
        <f>'2'!F38</f>
        <v>158821.69</v>
      </c>
      <c r="F38" s="464">
        <v>160099.59</v>
      </c>
      <c r="G38" s="468">
        <f t="shared" si="3"/>
        <v>1277.8999999999942</v>
      </c>
      <c r="H38" s="675">
        <f>G38+'2'!H38</f>
        <v>3694.5899999999965</v>
      </c>
      <c r="I38" s="450"/>
      <c r="J38" s="547">
        <f>H38/DAY(B2)</f>
        <v>1231.5299999999988</v>
      </c>
      <c r="K38" s="424"/>
      <c r="L38" s="374"/>
      <c r="O38" s="379"/>
    </row>
    <row r="39" spans="1:15">
      <c r="A39" s="573" t="s">
        <v>233</v>
      </c>
      <c r="B39" s="574"/>
      <c r="C39" s="574"/>
      <c r="D39" s="518" t="s">
        <v>198</v>
      </c>
      <c r="E39" s="450">
        <f>'2'!F39</f>
        <v>312177.25</v>
      </c>
      <c r="F39" s="505">
        <v>314081.17</v>
      </c>
      <c r="G39" s="468">
        <f t="shared" si="3"/>
        <v>1903.9199999999837</v>
      </c>
      <c r="H39" s="675">
        <f>G39+'2'!H39</f>
        <v>5908.1699999999837</v>
      </c>
      <c r="I39" s="450"/>
      <c r="J39" s="547">
        <f>H39/DAY(B2)</f>
        <v>1969.3899999999946</v>
      </c>
      <c r="K39" s="424"/>
      <c r="L39" s="374"/>
      <c r="O39" s="379"/>
    </row>
    <row r="40" spans="1:15">
      <c r="A40" s="594" t="s">
        <v>234</v>
      </c>
      <c r="B40" s="595"/>
      <c r="C40" s="595"/>
      <c r="D40" s="518" t="s">
        <v>198</v>
      </c>
      <c r="E40" s="450">
        <f>'2'!F40</f>
        <v>888.99</v>
      </c>
      <c r="F40" s="505">
        <v>888.99</v>
      </c>
      <c r="G40" s="468">
        <f t="shared" si="3"/>
        <v>0</v>
      </c>
      <c r="H40" s="675">
        <f>G40+'2'!H40</f>
        <v>-9.9999999999909051E-3</v>
      </c>
      <c r="I40" s="450"/>
      <c r="J40" s="547">
        <f>H40/DAY(B2)</f>
        <v>-3.3333333333303017E-3</v>
      </c>
      <c r="K40" s="425"/>
      <c r="L40" s="374"/>
      <c r="O40" s="379"/>
    </row>
    <row r="41" spans="1:15">
      <c r="A41" s="573" t="s">
        <v>235</v>
      </c>
      <c r="B41" s="574"/>
      <c r="C41" s="574"/>
      <c r="D41" s="518" t="s">
        <v>198</v>
      </c>
      <c r="E41" s="450">
        <f>'2'!F41</f>
        <v>240478.13</v>
      </c>
      <c r="F41" s="505">
        <v>240478.13</v>
      </c>
      <c r="G41" s="468">
        <f t="shared" si="3"/>
        <v>0</v>
      </c>
      <c r="H41" s="675">
        <f>G41+'2'!H41</f>
        <v>0.13000000000465661</v>
      </c>
      <c r="I41" s="450"/>
      <c r="J41" s="547">
        <f>H41/DAY(B2)</f>
        <v>4.3333333334885538E-2</v>
      </c>
      <c r="K41" s="424"/>
      <c r="L41" s="374"/>
      <c r="O41" s="379"/>
    </row>
    <row r="42" spans="1:15">
      <c r="A42" s="573" t="s">
        <v>236</v>
      </c>
      <c r="B42" s="574"/>
      <c r="C42" s="574"/>
      <c r="D42" s="518" t="s">
        <v>198</v>
      </c>
      <c r="E42" s="450">
        <f>'2'!F42</f>
        <v>59198.97</v>
      </c>
      <c r="F42" s="505">
        <v>59198.97</v>
      </c>
      <c r="G42" s="468">
        <f>F42-E42</f>
        <v>0</v>
      </c>
      <c r="H42" s="675">
        <f>G42+'2'!H42</f>
        <v>0</v>
      </c>
      <c r="I42" s="450"/>
      <c r="J42" s="547">
        <f>H42/DAY(B2)</f>
        <v>0</v>
      </c>
      <c r="K42" s="424"/>
      <c r="L42" s="374"/>
      <c r="O42" s="379"/>
    </row>
    <row r="43" spans="1:15">
      <c r="A43" s="573" t="s">
        <v>237</v>
      </c>
      <c r="B43" s="574"/>
      <c r="C43" s="574"/>
      <c r="D43" s="518" t="s">
        <v>198</v>
      </c>
      <c r="E43" s="450">
        <f>'2'!F43</f>
        <v>1046786.4</v>
      </c>
      <c r="F43" s="505">
        <v>1049100.7</v>
      </c>
      <c r="G43" s="468">
        <f t="shared" si="3"/>
        <v>2314.2999999999302</v>
      </c>
      <c r="H43" s="675">
        <f>G43+'2'!H43</f>
        <v>6856.6999999999534</v>
      </c>
      <c r="I43" s="450"/>
      <c r="J43" s="547">
        <f>H43/DAY(B2)</f>
        <v>2285.5666666666511</v>
      </c>
      <c r="K43" s="424"/>
      <c r="L43" s="374"/>
      <c r="O43" s="379"/>
    </row>
    <row r="44" spans="1:15">
      <c r="A44" s="573" t="s">
        <v>238</v>
      </c>
      <c r="B44" s="574"/>
      <c r="C44" s="574"/>
      <c r="D44" s="518" t="s">
        <v>198</v>
      </c>
      <c r="E44" s="450">
        <f>'2'!F44</f>
        <v>0</v>
      </c>
      <c r="F44" s="505">
        <v>0</v>
      </c>
      <c r="G44" s="468">
        <f t="shared" si="3"/>
        <v>0</v>
      </c>
      <c r="H44" s="675">
        <f>G44+'2'!H44</f>
        <v>0</v>
      </c>
      <c r="I44" s="450"/>
      <c r="J44" s="547">
        <f>H44/DAY(B2)</f>
        <v>0</v>
      </c>
      <c r="K44" s="424"/>
      <c r="L44" s="374"/>
      <c r="O44" s="379"/>
    </row>
    <row r="45" spans="1:15">
      <c r="A45" s="573" t="s">
        <v>239</v>
      </c>
      <c r="B45" s="574"/>
      <c r="C45" s="574"/>
      <c r="D45" s="518" t="s">
        <v>198</v>
      </c>
      <c r="E45" s="450">
        <f>'2'!F45</f>
        <v>614</v>
      </c>
      <c r="F45" s="505">
        <v>614</v>
      </c>
      <c r="G45" s="468">
        <f t="shared" si="3"/>
        <v>0</v>
      </c>
      <c r="H45" s="675">
        <f>G45+'2'!H45</f>
        <v>0</v>
      </c>
      <c r="I45" s="450"/>
      <c r="J45" s="547">
        <f>H45/DAY(B2)</f>
        <v>0</v>
      </c>
      <c r="K45" s="424"/>
      <c r="L45" s="374"/>
      <c r="O45" s="379"/>
    </row>
    <row r="46" spans="1:15">
      <c r="A46" s="573" t="s">
        <v>240</v>
      </c>
      <c r="B46" s="574"/>
      <c r="C46" s="574"/>
      <c r="D46" s="518" t="s">
        <v>198</v>
      </c>
      <c r="E46" s="450">
        <f>'2'!F46</f>
        <v>187</v>
      </c>
      <c r="F46" s="505">
        <v>187</v>
      </c>
      <c r="G46" s="468">
        <f t="shared" si="3"/>
        <v>0</v>
      </c>
      <c r="H46" s="675">
        <f>G46+'2'!H46</f>
        <v>0</v>
      </c>
      <c r="I46" s="450"/>
      <c r="J46" s="547">
        <f>H46/DAY(B2)</f>
        <v>0</v>
      </c>
      <c r="K46" s="424"/>
      <c r="L46" s="374"/>
      <c r="O46" s="379"/>
    </row>
    <row r="47" spans="1:15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9647.7269999998498</v>
      </c>
      <c r="H47" s="675">
        <f>G47+'2'!H47</f>
        <v>28824.99999999988</v>
      </c>
      <c r="I47" s="450"/>
      <c r="J47" s="547">
        <f>H47/DAY(B2)</f>
        <v>9608.3333333332939</v>
      </c>
      <c r="K47" s="424"/>
      <c r="L47" s="374"/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O48" s="379"/>
    </row>
    <row r="49" spans="1:15">
      <c r="A49" s="573" t="s">
        <v>229</v>
      </c>
      <c r="B49" s="596"/>
      <c r="C49" s="596"/>
      <c r="D49" s="518" t="s">
        <v>198</v>
      </c>
      <c r="E49" s="450">
        <f>'2'!F49</f>
        <v>260732.13</v>
      </c>
      <c r="F49" s="505">
        <v>260732.13</v>
      </c>
      <c r="G49" s="468">
        <f t="shared" ref="G49:G58" si="4">F49-E49</f>
        <v>0</v>
      </c>
      <c r="H49" s="675">
        <f>G49+'2'!H49</f>
        <v>0.13000000000465661</v>
      </c>
      <c r="I49" s="450"/>
      <c r="J49" s="547">
        <f>H49/DAY(B2)</f>
        <v>4.3333333334885538E-2</v>
      </c>
      <c r="K49" s="424"/>
      <c r="L49" s="374"/>
      <c r="O49" s="379"/>
    </row>
    <row r="50" spans="1:15">
      <c r="A50" s="573" t="s">
        <v>243</v>
      </c>
      <c r="B50" s="596"/>
      <c r="C50" s="596"/>
      <c r="D50" s="518" t="s">
        <v>198</v>
      </c>
      <c r="E50" s="450">
        <f>'2'!F50</f>
        <v>504204.71</v>
      </c>
      <c r="F50" s="505">
        <v>505073.95</v>
      </c>
      <c r="G50" s="468">
        <f t="shared" si="4"/>
        <v>869.23999999999069</v>
      </c>
      <c r="H50" s="675">
        <f>G50+'2'!H50</f>
        <v>2537.9500000000116</v>
      </c>
      <c r="I50" s="450"/>
      <c r="J50" s="547">
        <f>H50/DAY(B2)</f>
        <v>845.98333333333721</v>
      </c>
      <c r="K50" s="424"/>
      <c r="L50" s="374"/>
      <c r="O50" s="379"/>
    </row>
    <row r="51" spans="1:15">
      <c r="A51" s="573" t="s">
        <v>231</v>
      </c>
      <c r="B51" s="596"/>
      <c r="C51" s="596"/>
      <c r="D51" s="518" t="s">
        <v>198</v>
      </c>
      <c r="E51" s="450">
        <f>'2'!F51</f>
        <v>144639.87</v>
      </c>
      <c r="F51" s="505">
        <v>144639.87</v>
      </c>
      <c r="G51" s="468">
        <f t="shared" si="4"/>
        <v>0</v>
      </c>
      <c r="H51" s="675">
        <f>G51+'2'!H51</f>
        <v>-0.13000000000465661</v>
      </c>
      <c r="I51" s="450"/>
      <c r="J51" s="547">
        <f>H51/DAY(B2)</f>
        <v>-4.3333333334885538E-2</v>
      </c>
      <c r="K51" s="424"/>
      <c r="L51" s="374"/>
      <c r="O51" s="379"/>
    </row>
    <row r="52" spans="1:15">
      <c r="A52" s="573" t="s">
        <v>244</v>
      </c>
      <c r="B52" s="596"/>
      <c r="C52" s="596"/>
      <c r="D52" s="518" t="s">
        <v>198</v>
      </c>
      <c r="E52" s="450">
        <f>'2'!F52</f>
        <v>539606</v>
      </c>
      <c r="F52" s="505">
        <v>539606</v>
      </c>
      <c r="G52" s="468">
        <f>F52-E52</f>
        <v>0</v>
      </c>
      <c r="H52" s="675">
        <f>G52+'2'!H52</f>
        <v>0</v>
      </c>
      <c r="I52" s="450"/>
      <c r="J52" s="547">
        <f>H52/DAY(B2)</f>
        <v>0</v>
      </c>
      <c r="K52" s="424"/>
      <c r="L52" s="374"/>
      <c r="O52" s="379"/>
    </row>
    <row r="53" spans="1:15">
      <c r="A53" s="573" t="s">
        <v>233</v>
      </c>
      <c r="B53" s="596"/>
      <c r="C53" s="596"/>
      <c r="D53" s="518" t="s">
        <v>198</v>
      </c>
      <c r="E53" s="450">
        <f>'2'!F53</f>
        <v>433626.31</v>
      </c>
      <c r="F53" s="505">
        <v>434148.91</v>
      </c>
      <c r="G53" s="468">
        <f t="shared" si="4"/>
        <v>522.59999999997672</v>
      </c>
      <c r="H53" s="675">
        <f>G53+'2'!H53</f>
        <v>1580.9099999999744</v>
      </c>
      <c r="I53" s="450"/>
      <c r="J53" s="547">
        <f>H53/DAY(B2)</f>
        <v>526.9699999999915</v>
      </c>
      <c r="K53" s="424"/>
      <c r="L53" s="374"/>
      <c r="O53" s="379"/>
    </row>
    <row r="54" spans="1:15">
      <c r="A54" s="573" t="s">
        <v>245</v>
      </c>
      <c r="B54" s="596"/>
      <c r="C54" s="596"/>
      <c r="D54" s="518" t="s">
        <v>198</v>
      </c>
      <c r="E54" s="450">
        <f>'2'!F54</f>
        <v>13923.83</v>
      </c>
      <c r="F54" s="649">
        <v>14003.02</v>
      </c>
      <c r="G54" s="468">
        <f t="shared" si="4"/>
        <v>79.190000000000509</v>
      </c>
      <c r="H54" s="675">
        <f>G54+'2'!H54</f>
        <v>253.02000000000044</v>
      </c>
      <c r="I54" s="450"/>
      <c r="J54" s="547">
        <f>H54/DAY(B2)</f>
        <v>84.340000000000146</v>
      </c>
      <c r="K54" s="424"/>
      <c r="L54" s="374"/>
      <c r="O54" s="379"/>
    </row>
    <row r="55" spans="1:15">
      <c r="A55" s="573" t="s">
        <v>246</v>
      </c>
      <c r="B55" s="596"/>
      <c r="C55" s="596"/>
      <c r="D55" s="518" t="s">
        <v>198</v>
      </c>
      <c r="E55" s="450">
        <f>'2'!F55</f>
        <v>68110.679999999993</v>
      </c>
      <c r="F55" s="649">
        <v>68110.679999999993</v>
      </c>
      <c r="G55" s="468">
        <f t="shared" si="4"/>
        <v>0</v>
      </c>
      <c r="H55" s="675">
        <f>G55+'2'!H55</f>
        <v>-0.32000000000698492</v>
      </c>
      <c r="I55" s="450"/>
      <c r="J55" s="547">
        <f>H55/DAY(B2)</f>
        <v>-0.10666666666899498</v>
      </c>
      <c r="K55" s="424"/>
      <c r="L55" s="374"/>
      <c r="O55" s="379"/>
    </row>
    <row r="56" spans="1:15">
      <c r="A56" s="573" t="s">
        <v>247</v>
      </c>
      <c r="B56" s="596"/>
      <c r="C56" s="596"/>
      <c r="D56" s="518" t="s">
        <v>248</v>
      </c>
      <c r="E56" s="450">
        <f>'2'!F56</f>
        <v>627429.06999999995</v>
      </c>
      <c r="F56" s="649">
        <v>631757.31000000006</v>
      </c>
      <c r="G56" s="468">
        <f t="shared" si="4"/>
        <v>4328.2400000001071</v>
      </c>
      <c r="H56" s="675">
        <f>G56+'2'!H56</f>
        <v>14559.310000000056</v>
      </c>
      <c r="I56" s="450"/>
      <c r="J56" s="547">
        <f>H56/DAY(B2)</f>
        <v>4853.1033333333517</v>
      </c>
      <c r="K56" s="423"/>
      <c r="L56" s="374"/>
      <c r="O56" s="379"/>
    </row>
    <row r="57" spans="1:15">
      <c r="A57" s="573" t="s">
        <v>237</v>
      </c>
      <c r="B57" s="596"/>
      <c r="C57" s="596"/>
      <c r="D57" s="518" t="s">
        <v>198</v>
      </c>
      <c r="E57" s="450">
        <f>'2'!F57</f>
        <v>7711</v>
      </c>
      <c r="F57" s="649">
        <v>7711</v>
      </c>
      <c r="G57" s="468">
        <f t="shared" si="4"/>
        <v>0</v>
      </c>
      <c r="H57" s="675">
        <f>G57+'2'!H57</f>
        <v>0</v>
      </c>
      <c r="I57" s="450"/>
      <c r="J57" s="547">
        <f>H57/DAY(B2)</f>
        <v>0</v>
      </c>
      <c r="K57" s="424"/>
      <c r="L57" s="374"/>
      <c r="O57" s="379"/>
    </row>
    <row r="58" spans="1:15">
      <c r="A58" s="573" t="s">
        <v>249</v>
      </c>
      <c r="B58" s="596"/>
      <c r="C58" s="596"/>
      <c r="D58" s="518" t="s">
        <v>198</v>
      </c>
      <c r="E58" s="450">
        <f>'2'!F58</f>
        <v>49729</v>
      </c>
      <c r="F58" s="649">
        <v>49961.06</v>
      </c>
      <c r="G58" s="468">
        <f t="shared" si="4"/>
        <v>232.05999999999767</v>
      </c>
      <c r="H58" s="675">
        <f>G58+'2'!H58</f>
        <v>336.05999999999767</v>
      </c>
      <c r="I58" s="450"/>
      <c r="J58" s="547">
        <f>H58/DAY(B2)</f>
        <v>112.01999999999923</v>
      </c>
      <c r="K58" s="424"/>
      <c r="L58" s="374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6031.3300000000727</v>
      </c>
      <c r="H59" s="675">
        <f>G59+'2'!H59</f>
        <v>19266.930000000033</v>
      </c>
      <c r="I59" s="450">
        <f>G7-G60</f>
        <v>396.1830000000682</v>
      </c>
      <c r="J59" s="547">
        <f>H59/DAY(B2)</f>
        <v>6422.3100000000113</v>
      </c>
      <c r="K59" s="424"/>
      <c r="L59" s="374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476">
        <f>G47+G59</f>
        <v>15679.056999999922</v>
      </c>
      <c r="H60" s="675">
        <f>G60+'2'!H60</f>
        <v>48091.929999999913</v>
      </c>
      <c r="I60" s="450">
        <f>G13-G60</f>
        <v>-128.75699999987592</v>
      </c>
      <c r="J60" s="547">
        <f>H60/DAY(B2)</f>
        <v>16030.643333333304</v>
      </c>
      <c r="K60" s="424"/>
      <c r="L60" s="374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v>20419</v>
      </c>
      <c r="F62" s="509">
        <v>20419</v>
      </c>
      <c r="G62" s="468">
        <f t="shared" ref="G62:G69" si="5">F62-E62</f>
        <v>0</v>
      </c>
      <c r="H62" s="675">
        <f>G62+'2'!H62</f>
        <v>0</v>
      </c>
      <c r="I62" s="510"/>
      <c r="J62" s="547">
        <f>H62/DAY(B2)</f>
        <v>0</v>
      </c>
      <c r="K62" s="424"/>
      <c r="L62" s="374"/>
      <c r="O62" s="379"/>
    </row>
    <row r="63" spans="1:15">
      <c r="A63" s="598" t="s">
        <v>254</v>
      </c>
      <c r="B63" s="599"/>
      <c r="C63" s="599"/>
      <c r="D63" s="506" t="s">
        <v>253</v>
      </c>
      <c r="E63" s="450">
        <f>'2'!F63</f>
        <v>0</v>
      </c>
      <c r="F63" s="509">
        <v>0</v>
      </c>
      <c r="G63" s="468">
        <f t="shared" si="5"/>
        <v>0</v>
      </c>
      <c r="H63" s="675">
        <f>G63+'2'!H63</f>
        <v>0</v>
      </c>
      <c r="I63" s="510"/>
      <c r="J63" s="547">
        <f>H63/DAY(B2)</f>
        <v>0</v>
      </c>
      <c r="K63" s="424"/>
      <c r="L63" s="374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50">
        <f>'2'!F64</f>
        <v>160311.88</v>
      </c>
      <c r="F64" s="473">
        <v>160493.07</v>
      </c>
      <c r="G64" s="468">
        <f t="shared" si="5"/>
        <v>181.19000000000233</v>
      </c>
      <c r="H64" s="675">
        <f>G64+'2'!H64</f>
        <v>561.07000000000698</v>
      </c>
      <c r="I64" s="475"/>
      <c r="J64" s="547">
        <f>H64/DAY(B2)</f>
        <v>187.02333333333567</v>
      </c>
      <c r="K64" s="424"/>
      <c r="L64" s="374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50">
        <f>'2'!F65</f>
        <v>161456.68</v>
      </c>
      <c r="F65" s="647">
        <v>161634.31</v>
      </c>
      <c r="G65" s="468">
        <f t="shared" si="5"/>
        <v>177.63000000000466</v>
      </c>
      <c r="H65" s="675">
        <f>G65+'2'!H65</f>
        <v>636.30999999999767</v>
      </c>
      <c r="I65" s="484"/>
      <c r="J65" s="547">
        <f>H65/DAY(B2)</f>
        <v>212.10333333333256</v>
      </c>
      <c r="K65" s="424"/>
      <c r="L65" s="374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50">
        <f>'2'!F66</f>
        <v>57244.13</v>
      </c>
      <c r="F66" s="473">
        <v>57490.71</v>
      </c>
      <c r="G66" s="468">
        <f t="shared" si="5"/>
        <v>246.58000000000175</v>
      </c>
      <c r="H66" s="675">
        <f>G66+'2'!H66</f>
        <v>685.70999999999913</v>
      </c>
      <c r="I66" s="475"/>
      <c r="J66" s="547">
        <f>H66/DAY(B2)</f>
        <v>228.56999999999971</v>
      </c>
      <c r="K66" s="424"/>
      <c r="L66" s="374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50">
        <f>'2'!F67</f>
        <v>252869.61</v>
      </c>
      <c r="F67" s="473">
        <v>253178.53</v>
      </c>
      <c r="G67" s="468">
        <f t="shared" si="5"/>
        <v>308.92000000001281</v>
      </c>
      <c r="H67" s="675">
        <f>G67+'2'!H67</f>
        <v>986.52999999999884</v>
      </c>
      <c r="I67" s="484"/>
      <c r="J67" s="547">
        <f>H67/DAY(B2)</f>
        <v>328.84333333333296</v>
      </c>
      <c r="K67" s="425"/>
      <c r="L67" s="374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50">
        <f>'2'!F68</f>
        <v>85321</v>
      </c>
      <c r="F68" s="473">
        <v>85321</v>
      </c>
      <c r="G68" s="468">
        <f t="shared" si="5"/>
        <v>0</v>
      </c>
      <c r="H68" s="675">
        <f>G68+'2'!H68</f>
        <v>0</v>
      </c>
      <c r="I68" s="511"/>
      <c r="J68" s="547">
        <f>H68/DAY(B2)</f>
        <v>0</v>
      </c>
      <c r="K68" s="426"/>
      <c r="L68" s="374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50">
        <f>'2'!F69</f>
        <v>81942.25</v>
      </c>
      <c r="F69" s="473">
        <v>82029.429999999993</v>
      </c>
      <c r="G69" s="468">
        <f t="shared" si="5"/>
        <v>87.179999999993015</v>
      </c>
      <c r="H69" s="675">
        <f>G69+'2'!H69</f>
        <v>280.42999999999302</v>
      </c>
      <c r="I69" s="511"/>
      <c r="J69" s="547">
        <f>H69/DAY(B2)</f>
        <v>93.476666666664343</v>
      </c>
      <c r="K69" s="427"/>
      <c r="L69" s="374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450">
        <f>'2'!F72</f>
        <v>855870</v>
      </c>
      <c r="F72" s="650">
        <v>855884</v>
      </c>
      <c r="G72" s="468">
        <f t="shared" ref="G72:G84" si="6">F72-E72</f>
        <v>14</v>
      </c>
      <c r="H72" s="675">
        <f>G72+'2'!H72</f>
        <v>41</v>
      </c>
      <c r="I72" s="475"/>
      <c r="J72" s="547">
        <f>H72/DAY(B2)</f>
        <v>13.666666666666666</v>
      </c>
      <c r="K72" s="427"/>
      <c r="L72" s="374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450">
        <f>'2'!F73</f>
        <v>885939</v>
      </c>
      <c r="F73" s="651">
        <v>885941</v>
      </c>
      <c r="G73" s="648">
        <f t="shared" si="6"/>
        <v>2</v>
      </c>
      <c r="H73" s="675">
        <f>G73+'2'!H73</f>
        <v>4</v>
      </c>
      <c r="I73" s="475"/>
      <c r="J73" s="547">
        <f>H73/DAY(B2)</f>
        <v>1.3333333333333333</v>
      </c>
      <c r="K73" s="426"/>
      <c r="L73" s="374"/>
      <c r="O73" s="379"/>
    </row>
    <row r="74" spans="1:15" ht="27.75">
      <c r="A74" s="1450" t="s">
        <v>260</v>
      </c>
      <c r="B74" s="1451"/>
      <c r="C74" s="1452"/>
      <c r="D74" s="518" t="s">
        <v>253</v>
      </c>
      <c r="E74" s="450">
        <f>'2'!F74</f>
        <v>2599.96</v>
      </c>
      <c r="F74" s="652">
        <v>2599.96</v>
      </c>
      <c r="G74" s="468">
        <f t="shared" si="6"/>
        <v>0</v>
      </c>
      <c r="H74" s="675">
        <f>G74+'2'!H74</f>
        <v>13.960000000000036</v>
      </c>
      <c r="I74" s="475"/>
      <c r="J74" s="547">
        <f>H74/DAY(B2)</f>
        <v>4.6533333333333458</v>
      </c>
      <c r="K74" s="427"/>
      <c r="L74" s="374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450">
        <f>'2'!F75</f>
        <v>12783.06</v>
      </c>
      <c r="F75" s="652">
        <v>12833</v>
      </c>
      <c r="G75" s="468">
        <f t="shared" si="6"/>
        <v>49.940000000000509</v>
      </c>
      <c r="H75" s="675">
        <f>G75+'2'!H75</f>
        <v>164</v>
      </c>
      <c r="I75" s="475"/>
      <c r="J75" s="547">
        <f>H75/DAY(B2)</f>
        <v>54.666666666666664</v>
      </c>
      <c r="K75" s="426"/>
      <c r="L75" s="374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450">
        <f>'2'!F76</f>
        <v>7531.43</v>
      </c>
      <c r="F76" s="651">
        <v>7588.63</v>
      </c>
      <c r="G76" s="468">
        <f t="shared" si="6"/>
        <v>57.199999999999818</v>
      </c>
      <c r="H76" s="675">
        <f>G76+'2'!H76</f>
        <v>169.63000000000011</v>
      </c>
      <c r="I76" s="500"/>
      <c r="J76" s="547">
        <f>H76/DAY(B2)</f>
        <v>56.543333333333372</v>
      </c>
      <c r="K76" s="426"/>
      <c r="L76" s="374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450">
        <f>'2'!F77</f>
        <v>702936</v>
      </c>
      <c r="F77" s="651">
        <v>702982</v>
      </c>
      <c r="G77" s="648">
        <f t="shared" si="6"/>
        <v>46</v>
      </c>
      <c r="H77" s="675">
        <f>G77+'2'!H77</f>
        <v>143</v>
      </c>
      <c r="I77" s="500"/>
      <c r="J77" s="547">
        <f>H77/DAY(B2)</f>
        <v>47.666666666666664</v>
      </c>
      <c r="K77" s="426"/>
      <c r="L77" s="374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450">
        <f>'2'!F78</f>
        <v>673140</v>
      </c>
      <c r="F78" s="652">
        <v>673187</v>
      </c>
      <c r="G78" s="468">
        <f t="shared" si="6"/>
        <v>47</v>
      </c>
      <c r="H78" s="675">
        <f>G78+'2'!H78</f>
        <v>155</v>
      </c>
      <c r="I78" s="500"/>
      <c r="J78" s="547">
        <f>H78/DAY(B2)</f>
        <v>51.666666666666664</v>
      </c>
      <c r="K78" s="426"/>
      <c r="L78" s="374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450">
        <f>'2'!F79</f>
        <v>831331</v>
      </c>
      <c r="F79" s="652">
        <v>831484</v>
      </c>
      <c r="G79" s="468">
        <f t="shared" si="6"/>
        <v>153</v>
      </c>
      <c r="H79" s="675">
        <f>G79+'2'!H79</f>
        <v>474</v>
      </c>
      <c r="I79" s="500"/>
      <c r="J79" s="547">
        <f>H79/DAY(B2)</f>
        <v>158</v>
      </c>
      <c r="K79" s="426"/>
      <c r="L79" s="374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450">
        <f>'2'!F80</f>
        <v>528396.24</v>
      </c>
      <c r="F80" s="651">
        <v>528797.64</v>
      </c>
      <c r="G80" s="468">
        <f t="shared" si="6"/>
        <v>401.40000000002328</v>
      </c>
      <c r="H80" s="675">
        <f>G80+'2'!H80</f>
        <v>1139.640000000014</v>
      </c>
      <c r="I80" s="500"/>
      <c r="J80" s="547">
        <f>H80/DAY(B2)</f>
        <v>379.88000000000466</v>
      </c>
      <c r="K80" s="426"/>
      <c r="L80" s="374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450">
        <f>'2'!F81</f>
        <v>639082.04</v>
      </c>
      <c r="F81" s="651">
        <v>639175.24</v>
      </c>
      <c r="G81" s="468">
        <f t="shared" si="6"/>
        <v>93.199999999953434</v>
      </c>
      <c r="H81" s="675">
        <f>G81+'2'!H81</f>
        <v>277.23999999999069</v>
      </c>
      <c r="I81" s="500"/>
      <c r="J81" s="547">
        <f>H81/DAY(B2)</f>
        <v>92.413333333330229</v>
      </c>
      <c r="K81" s="426"/>
      <c r="L81" s="374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450">
        <f>'2'!F82</f>
        <v>108192.73</v>
      </c>
      <c r="F82" s="647">
        <v>108203.85</v>
      </c>
      <c r="G82" s="468">
        <f t="shared" si="6"/>
        <v>11.120000000009895</v>
      </c>
      <c r="H82" s="675">
        <f>G82+'2'!H82</f>
        <v>45.850000000005821</v>
      </c>
      <c r="I82" s="481"/>
      <c r="J82" s="547">
        <f>H82/DAY(B2)</f>
        <v>15.283333333335273</v>
      </c>
      <c r="K82" s="426"/>
      <c r="L82" s="374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450">
        <f>'2'!F83</f>
        <v>20805</v>
      </c>
      <c r="F83" s="506">
        <v>21023</v>
      </c>
      <c r="G83" s="468">
        <f t="shared" si="6"/>
        <v>218</v>
      </c>
      <c r="H83" s="675">
        <f>G83+'2'!H83</f>
        <v>517</v>
      </c>
      <c r="I83" s="476"/>
      <c r="J83" s="547">
        <f>H83/DAY(B2)</f>
        <v>172.33333333333334</v>
      </c>
      <c r="K83" s="425"/>
      <c r="L83" s="374"/>
      <c r="O83" s="379"/>
    </row>
    <row r="84" spans="1:15">
      <c r="A84" s="1396" t="s">
        <v>166</v>
      </c>
      <c r="B84" s="566"/>
      <c r="C84" s="566"/>
      <c r="D84" s="473" t="s">
        <v>198</v>
      </c>
      <c r="E84" s="450">
        <f>'2'!F84</f>
        <v>501942</v>
      </c>
      <c r="F84" s="622">
        <v>502698</v>
      </c>
      <c r="G84" s="468">
        <f t="shared" si="6"/>
        <v>756</v>
      </c>
      <c r="H84" s="675">
        <f>G84+'2'!H84</f>
        <v>2404</v>
      </c>
      <c r="I84" s="476"/>
      <c r="J84" s="547">
        <f>H84/DAY(B2)</f>
        <v>801.33333333333337</v>
      </c>
      <c r="K84" s="377"/>
      <c r="L84" s="374"/>
      <c r="O84" s="379"/>
    </row>
    <row r="85" spans="1:15" s="376" customFormat="1">
      <c r="A85" s="600" t="s">
        <v>102</v>
      </c>
      <c r="B85" s="567"/>
      <c r="C85" s="567"/>
      <c r="D85" s="484"/>
      <c r="E85" s="450">
        <f>'2'!F85</f>
        <v>0</v>
      </c>
      <c r="F85" s="518"/>
      <c r="G85" s="455">
        <f xml:space="preserve"> SUM(G71:G84)</f>
        <v>1848.8599999999869</v>
      </c>
      <c r="H85" s="675">
        <f>G85+'2'!H85</f>
        <v>5548.3200000000106</v>
      </c>
      <c r="I85" s="476"/>
      <c r="J85" s="547">
        <f>H85/DAY(B2)</f>
        <v>1849.4400000000035</v>
      </c>
      <c r="K85" s="377"/>
      <c r="L85" s="375"/>
      <c r="O85" s="379"/>
    </row>
    <row r="86" spans="1:15" s="731" customFormat="1">
      <c r="A86" s="726" t="s">
        <v>269</v>
      </c>
      <c r="B86" s="727"/>
      <c r="C86" s="727"/>
      <c r="D86" s="728" t="s">
        <v>248</v>
      </c>
      <c r="E86" s="450">
        <f>'2'!F86</f>
        <v>461001.8</v>
      </c>
      <c r="F86" s="643">
        <v>461035.72</v>
      </c>
      <c r="G86" s="701">
        <f t="shared" ref="G86:G91" si="7">F86-E86</f>
        <v>33.919999999983702</v>
      </c>
      <c r="H86" s="675">
        <f>G86+'2'!H86</f>
        <v>100.71999999997206</v>
      </c>
      <c r="I86" s="648"/>
      <c r="J86" s="703">
        <f>H86/DAY(B2)</f>
        <v>33.573333333324022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450">
        <f>'2'!F87</f>
        <v>81415.8</v>
      </c>
      <c r="F87" s="643">
        <v>81438.5</v>
      </c>
      <c r="G87" s="701">
        <f t="shared" si="7"/>
        <v>22.69999999999709</v>
      </c>
      <c r="H87" s="675">
        <f>G87+'2'!H87</f>
        <v>63.5</v>
      </c>
      <c r="I87" s="648"/>
      <c r="J87" s="703">
        <f>H87/DAY(B2)</f>
        <v>21.166666666666668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450">
        <f>'2'!F88</f>
        <v>153114.82999999999</v>
      </c>
      <c r="F88" s="643">
        <v>153139.49</v>
      </c>
      <c r="G88" s="701">
        <f t="shared" si="7"/>
        <v>24.660000000003492</v>
      </c>
      <c r="H88" s="675">
        <f>G88+'2'!H88</f>
        <v>75.489999999990687</v>
      </c>
      <c r="I88" s="648"/>
      <c r="J88" s="703">
        <f>H88/DAY(B2)</f>
        <v>25.163333333330229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450">
        <f>'2'!F89</f>
        <v>65196.5</v>
      </c>
      <c r="F89" s="643">
        <v>65207.9</v>
      </c>
      <c r="G89" s="701">
        <f t="shared" si="7"/>
        <v>11.400000000001455</v>
      </c>
      <c r="H89" s="675">
        <f>G89+'2'!H89</f>
        <v>33.30000000000291</v>
      </c>
      <c r="I89" s="648"/>
      <c r="J89" s="703">
        <f>H89/DAY(B2)</f>
        <v>11.10000000000097</v>
      </c>
      <c r="K89" s="729" t="e">
        <f t="shared" ref="K89:K90" si="8">I89/DAY(C3)</f>
        <v>#VALUE!</v>
      </c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450">
        <f>'2'!F90</f>
        <v>3273.7</v>
      </c>
      <c r="F90" s="643">
        <v>3273.7</v>
      </c>
      <c r="G90" s="701">
        <f t="shared" si="7"/>
        <v>0</v>
      </c>
      <c r="H90" s="675">
        <f>G90+'2'!H90</f>
        <v>9.9999999999909051E-2</v>
      </c>
      <c r="I90" s="648"/>
      <c r="J90" s="703">
        <f>H90/DAY(B2)</f>
        <v>3.3333333333303017E-2</v>
      </c>
      <c r="K90" s="729" t="e">
        <f t="shared" si="8"/>
        <v>#VALUE!</v>
      </c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450">
        <f>'2'!F91</f>
        <v>28038.6</v>
      </c>
      <c r="F91" s="643">
        <v>28044</v>
      </c>
      <c r="G91" s="701">
        <f t="shared" si="7"/>
        <v>5.4000000000014552</v>
      </c>
      <c r="H91" s="701"/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50">
        <f>'2'!F93</f>
        <v>245548</v>
      </c>
      <c r="F93" s="473">
        <v>245604</v>
      </c>
      <c r="G93" s="468">
        <f t="shared" ref="G93:G94" si="9">F93-E93</f>
        <v>56</v>
      </c>
      <c r="H93" s="675">
        <f>G93+'2'!H93</f>
        <v>116</v>
      </c>
      <c r="I93" s="475"/>
      <c r="J93" s="547">
        <f>H93/DAY(B2)</f>
        <v>38.666666666666664</v>
      </c>
      <c r="K93" s="425"/>
      <c r="L93" s="374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50">
        <f>'2'!F94</f>
        <v>186240</v>
      </c>
      <c r="F94" s="473">
        <v>186339</v>
      </c>
      <c r="G94" s="468">
        <f t="shared" si="9"/>
        <v>99</v>
      </c>
      <c r="H94" s="675">
        <f>G94+'2'!H94</f>
        <v>218</v>
      </c>
      <c r="I94" s="475"/>
      <c r="J94" s="547">
        <f>H94/DAY(B2)</f>
        <v>72.666666666666671</v>
      </c>
      <c r="K94" s="377"/>
      <c r="L94" s="374"/>
      <c r="O94" s="379"/>
    </row>
    <row r="95" spans="1:15">
      <c r="A95" s="1447" t="s">
        <v>276</v>
      </c>
      <c r="B95" s="1448"/>
      <c r="C95" s="1449"/>
      <c r="D95" s="518"/>
      <c r="E95" s="450">
        <f>'2'!F95</f>
        <v>0</v>
      </c>
      <c r="F95" s="473"/>
      <c r="G95" s="468">
        <f>G93+G94</f>
        <v>155</v>
      </c>
      <c r="H95" s="675">
        <f>G95+'2'!H95</f>
        <v>258</v>
      </c>
      <c r="I95" s="475"/>
      <c r="J95" s="547">
        <f>H95/DAY(B2)</f>
        <v>86</v>
      </c>
      <c r="K95" s="377"/>
      <c r="L95" s="374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50">
        <f>'2'!F96</f>
        <v>414359</v>
      </c>
      <c r="F96" s="473">
        <v>414430</v>
      </c>
      <c r="G96" s="468">
        <f t="shared" ref="G96:G101" si="10">F96-E96</f>
        <v>71</v>
      </c>
      <c r="H96" s="675">
        <f>G96+'2'!H96</f>
        <v>147</v>
      </c>
      <c r="I96" s="475"/>
      <c r="J96" s="547">
        <f>H96/DAY(B2)</f>
        <v>49</v>
      </c>
      <c r="K96" s="377"/>
      <c r="L96" s="374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50">
        <f>'2'!F97</f>
        <v>102670</v>
      </c>
      <c r="F97" s="473">
        <v>102680</v>
      </c>
      <c r="G97" s="468">
        <f t="shared" si="10"/>
        <v>10</v>
      </c>
      <c r="H97" s="675">
        <f>G97+'2'!H97</f>
        <v>32</v>
      </c>
      <c r="I97" s="475"/>
      <c r="J97" s="547">
        <f>H97/DAY(B2)</f>
        <v>10.666666666666666</v>
      </c>
      <c r="K97" s="423"/>
      <c r="L97" s="374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50">
        <f>'2'!F98</f>
        <v>97975</v>
      </c>
      <c r="F98" s="473">
        <v>97986</v>
      </c>
      <c r="G98" s="468">
        <f t="shared" si="10"/>
        <v>11</v>
      </c>
      <c r="H98" s="675">
        <f>G98+'2'!H98</f>
        <v>36</v>
      </c>
      <c r="I98" s="475"/>
      <c r="J98" s="547">
        <f>H98/DAY(B2)</f>
        <v>12</v>
      </c>
      <c r="K98" s="428"/>
      <c r="L98" s="374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50">
        <f>'2'!F99</f>
        <v>149863</v>
      </c>
      <c r="F99" s="473">
        <v>149870</v>
      </c>
      <c r="G99" s="468">
        <f t="shared" si="10"/>
        <v>7</v>
      </c>
      <c r="H99" s="675">
        <f>G99+'2'!H99</f>
        <v>18</v>
      </c>
      <c r="I99" s="475"/>
      <c r="J99" s="547">
        <f>H99/DAY(B2)</f>
        <v>6</v>
      </c>
      <c r="K99" s="377"/>
      <c r="L99" s="374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50">
        <f>'2'!F100</f>
        <v>7410</v>
      </c>
      <c r="F100" s="473">
        <v>7429</v>
      </c>
      <c r="G100" s="468">
        <f t="shared" si="10"/>
        <v>19</v>
      </c>
      <c r="H100" s="675">
        <f>G100+'2'!H100</f>
        <v>60</v>
      </c>
      <c r="I100" s="475"/>
      <c r="J100" s="547">
        <f>H100/DAY(B2)</f>
        <v>20</v>
      </c>
      <c r="K100" s="377"/>
      <c r="L100" s="374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50">
        <f>'2'!F101</f>
        <v>5399</v>
      </c>
      <c r="F101" s="473">
        <v>5404</v>
      </c>
      <c r="G101" s="468">
        <f t="shared" si="10"/>
        <v>5</v>
      </c>
      <c r="H101" s="675">
        <f>G101+'2'!H101</f>
        <v>13</v>
      </c>
      <c r="I101" s="475"/>
      <c r="J101" s="547">
        <f>H101/DAY(B2)</f>
        <v>4.333333333333333</v>
      </c>
      <c r="K101" s="377"/>
      <c r="L101" s="374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520">
        <f>SUM(G96:G101)</f>
        <v>123</v>
      </c>
      <c r="H102" s="675">
        <f>G102+'2'!H102</f>
        <v>306</v>
      </c>
      <c r="I102" s="521"/>
      <c r="J102" s="547">
        <f>H102/DAY(B2)</f>
        <v>102</v>
      </c>
      <c r="K102" s="377"/>
      <c r="L102" s="374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653"/>
      <c r="G103" s="524"/>
      <c r="H103" s="525"/>
      <c r="I103" s="526"/>
      <c r="J103" s="552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450"/>
      <c r="F104" s="654"/>
      <c r="G104" s="527"/>
      <c r="H104" s="528"/>
      <c r="I104" s="527"/>
      <c r="J104" s="553"/>
      <c r="O104" s="379"/>
    </row>
    <row r="105" spans="1:15" s="437" customFormat="1" ht="27.75">
      <c r="A105" s="1494" t="s">
        <v>22</v>
      </c>
      <c r="B105" s="1495"/>
      <c r="C105" s="1390"/>
      <c r="D105" s="617" t="s">
        <v>209</v>
      </c>
      <c r="E105" s="450">
        <f>'2'!F105</f>
        <v>7484</v>
      </c>
      <c r="F105" s="654">
        <v>7484</v>
      </c>
      <c r="G105" s="527">
        <f>F105-E105</f>
        <v>0</v>
      </c>
      <c r="H105" s="675">
        <f>G105+'2'!H105</f>
        <v>0</v>
      </c>
      <c r="I105" s="527"/>
      <c r="J105" s="553">
        <f>H109/DAY(B2)</f>
        <v>0</v>
      </c>
      <c r="O105" s="379"/>
    </row>
    <row r="106" spans="1:15" s="437" customFormat="1" ht="27.75">
      <c r="A106" s="1494" t="s">
        <v>23</v>
      </c>
      <c r="B106" s="1495"/>
      <c r="C106" s="1390"/>
      <c r="D106" s="617" t="s">
        <v>209</v>
      </c>
      <c r="E106" s="450">
        <f>'2'!F106</f>
        <v>35953</v>
      </c>
      <c r="F106" s="655">
        <v>35966</v>
      </c>
      <c r="G106" s="527">
        <f t="shared" ref="G106:G107" si="11">F106-E106</f>
        <v>13</v>
      </c>
      <c r="H106" s="675">
        <f>G106+'2'!H106</f>
        <v>13</v>
      </c>
      <c r="I106" s="527"/>
      <c r="J106" s="553">
        <f>H106/DAY(B2)</f>
        <v>4.333333333333333</v>
      </c>
      <c r="O106" s="379"/>
    </row>
    <row r="107" spans="1:15" s="437" customFormat="1" ht="27.75">
      <c r="A107" s="1494" t="s">
        <v>24</v>
      </c>
      <c r="B107" s="1511"/>
      <c r="C107" s="1495"/>
      <c r="D107" s="617" t="s">
        <v>209</v>
      </c>
      <c r="E107" s="450">
        <f>'2'!F107</f>
        <v>19711</v>
      </c>
      <c r="F107" s="654">
        <v>19711</v>
      </c>
      <c r="G107" s="527">
        <f t="shared" si="11"/>
        <v>0</v>
      </c>
      <c r="H107" s="675">
        <f>G107+'2'!H107</f>
        <v>3</v>
      </c>
      <c r="I107" s="527"/>
      <c r="J107" s="553">
        <f>H107/DAY(B2)</f>
        <v>1</v>
      </c>
      <c r="O107" s="379"/>
    </row>
    <row r="108" spans="1:15" s="437" customFormat="1" ht="27.75">
      <c r="A108" s="1490" t="s">
        <v>102</v>
      </c>
      <c r="B108" s="1491"/>
      <c r="C108" s="1390"/>
      <c r="D108" s="617"/>
      <c r="E108" s="450"/>
      <c r="F108" s="654" t="s">
        <v>326</v>
      </c>
      <c r="G108" s="527">
        <f>SUM(G105:G107)</f>
        <v>13</v>
      </c>
      <c r="H108" s="675">
        <f>G108+'2'!H108</f>
        <v>16</v>
      </c>
      <c r="I108" s="527"/>
      <c r="J108" s="553">
        <f>H108/DAY(B2)</f>
        <v>5.333333333333333</v>
      </c>
      <c r="O108" s="379"/>
    </row>
    <row r="109" spans="1:15" s="437" customFormat="1" ht="27.75">
      <c r="A109" s="1509" t="s">
        <v>120</v>
      </c>
      <c r="B109" s="1510"/>
      <c r="C109" s="1390"/>
      <c r="D109" s="617" t="s">
        <v>209</v>
      </c>
      <c r="E109" s="450"/>
      <c r="F109" s="654"/>
      <c r="G109" s="527"/>
      <c r="H109" s="675">
        <f>G109+'2'!H109</f>
        <v>0</v>
      </c>
      <c r="I109" s="527"/>
      <c r="J109" s="553"/>
      <c r="O109" s="379"/>
    </row>
    <row r="110" spans="1:15" s="437" customFormat="1" ht="27.75">
      <c r="A110" s="1494" t="s">
        <v>25</v>
      </c>
      <c r="B110" s="1495"/>
      <c r="C110" s="1390"/>
      <c r="D110" s="617" t="s">
        <v>209</v>
      </c>
      <c r="E110" s="450">
        <f>'2'!F110</f>
        <v>62939</v>
      </c>
      <c r="F110" s="779">
        <v>63026</v>
      </c>
      <c r="G110" s="527">
        <f>F110-E110</f>
        <v>87</v>
      </c>
      <c r="H110" s="675">
        <f>G110+'2'!H110</f>
        <v>192</v>
      </c>
      <c r="I110" s="527"/>
      <c r="J110" s="553">
        <f>H110/DAY(B2)</f>
        <v>64</v>
      </c>
      <c r="O110" s="379"/>
    </row>
    <row r="111" spans="1:15" s="437" customFormat="1" ht="27.75">
      <c r="A111" s="1494" t="s">
        <v>26</v>
      </c>
      <c r="B111" s="1495"/>
      <c r="C111" s="1390"/>
      <c r="D111" s="617" t="s">
        <v>209</v>
      </c>
      <c r="E111" s="450">
        <f>'2'!F111</f>
        <v>32578</v>
      </c>
      <c r="F111" s="654">
        <v>32578</v>
      </c>
      <c r="G111" s="527">
        <f t="shared" ref="G111:G112" si="12">F111-E111</f>
        <v>0</v>
      </c>
      <c r="H111" s="675">
        <f>G111+'2'!H111</f>
        <v>0</v>
      </c>
      <c r="I111" s="527"/>
      <c r="J111" s="553">
        <f>H111/DAY(B2)</f>
        <v>0</v>
      </c>
      <c r="O111" s="379"/>
    </row>
    <row r="112" spans="1:15" s="437" customFormat="1" ht="27.75">
      <c r="A112" s="1494" t="s">
        <v>27</v>
      </c>
      <c r="B112" s="1495"/>
      <c r="C112" s="1390"/>
      <c r="D112" s="617" t="s">
        <v>209</v>
      </c>
      <c r="E112" s="450">
        <f>'2'!F112</f>
        <v>4592</v>
      </c>
      <c r="F112" s="654">
        <v>4606</v>
      </c>
      <c r="G112" s="527">
        <f t="shared" si="12"/>
        <v>14</v>
      </c>
      <c r="H112" s="675">
        <f>G112+'2'!H112</f>
        <v>30</v>
      </c>
      <c r="I112" s="527"/>
      <c r="J112" s="553">
        <f>H112/DAY(B2)</f>
        <v>10</v>
      </c>
      <c r="O112" s="379"/>
    </row>
    <row r="113" spans="1:15" s="437" customFormat="1" ht="27.75">
      <c r="A113" s="1490" t="s">
        <v>174</v>
      </c>
      <c r="B113" s="1491"/>
      <c r="C113" s="1390"/>
      <c r="D113" s="617"/>
      <c r="E113" s="450"/>
      <c r="F113" s="654"/>
      <c r="G113" s="527">
        <f>SUM(G110:G112)</f>
        <v>101</v>
      </c>
      <c r="H113" s="675">
        <f>G113+'2'!H113</f>
        <v>222</v>
      </c>
      <c r="I113" s="527"/>
      <c r="J113" s="553">
        <f>H113/DAY(B2)</f>
        <v>74</v>
      </c>
      <c r="O113" s="379"/>
    </row>
    <row r="114" spans="1:15" s="437" customFormat="1" ht="27.75">
      <c r="A114" s="1509" t="s">
        <v>280</v>
      </c>
      <c r="B114" s="1510"/>
      <c r="C114" s="1390"/>
      <c r="D114" s="617"/>
      <c r="E114" s="450"/>
      <c r="F114" s="654"/>
      <c r="G114" s="527"/>
      <c r="H114" s="675">
        <f>G114+'2'!H114</f>
        <v>0</v>
      </c>
      <c r="I114" s="527"/>
      <c r="J114" s="553">
        <f>H114/DAY(B2)</f>
        <v>0</v>
      </c>
      <c r="O114" s="379"/>
    </row>
    <row r="115" spans="1:15" s="437" customFormat="1" ht="27.75">
      <c r="A115" s="1494" t="s">
        <v>28</v>
      </c>
      <c r="B115" s="1495"/>
      <c r="C115" s="1389"/>
      <c r="D115" s="617" t="s">
        <v>209</v>
      </c>
      <c r="E115" s="450">
        <f>'2'!F115</f>
        <v>11546</v>
      </c>
      <c r="F115" s="655">
        <v>11569</v>
      </c>
      <c r="G115" s="529">
        <f>F115-E115</f>
        <v>23</v>
      </c>
      <c r="H115" s="675">
        <f>G115+'2'!H115</f>
        <v>72</v>
      </c>
      <c r="I115" s="527"/>
      <c r="J115" s="553">
        <f>H115/DAY(B2)</f>
        <v>24</v>
      </c>
      <c r="O115" s="379"/>
    </row>
    <row r="116" spans="1:15" s="437" customFormat="1" ht="27.75">
      <c r="A116" s="1494" t="s">
        <v>29</v>
      </c>
      <c r="B116" s="1495"/>
      <c r="C116" s="1389"/>
      <c r="D116" s="617" t="s">
        <v>209</v>
      </c>
      <c r="E116" s="450">
        <f>'2'!F116</f>
        <v>8320</v>
      </c>
      <c r="F116" s="655">
        <v>8323</v>
      </c>
      <c r="G116" s="529">
        <f t="shared" ref="G116:G117" si="13">F116-E116</f>
        <v>3</v>
      </c>
      <c r="H116" s="675">
        <f>G116+'2'!H116</f>
        <v>11</v>
      </c>
      <c r="I116" s="527"/>
      <c r="J116" s="553">
        <f>H116/DAY(B2)</f>
        <v>3.6666666666666665</v>
      </c>
      <c r="O116" s="379"/>
    </row>
    <row r="117" spans="1:15" s="437" customFormat="1" ht="27.75">
      <c r="A117" s="1494" t="s">
        <v>281</v>
      </c>
      <c r="B117" s="1495"/>
      <c r="C117" s="1389"/>
      <c r="D117" s="617" t="s">
        <v>209</v>
      </c>
      <c r="E117" s="450"/>
      <c r="F117" s="655"/>
      <c r="G117" s="529">
        <f t="shared" si="13"/>
        <v>0</v>
      </c>
      <c r="H117" s="675">
        <f>G117+'2'!H117</f>
        <v>0</v>
      </c>
      <c r="I117" s="527"/>
      <c r="J117" s="553">
        <f>H117/DAY(B2)</f>
        <v>0</v>
      </c>
      <c r="O117" s="379"/>
    </row>
    <row r="118" spans="1:15" s="440" customFormat="1" ht="27.75">
      <c r="A118" s="1490" t="s">
        <v>102</v>
      </c>
      <c r="B118" s="1491"/>
      <c r="C118" s="1389"/>
      <c r="D118" s="776"/>
      <c r="E118" s="450"/>
      <c r="F118" s="655"/>
      <c r="G118" s="529">
        <f>SUM(G115:G117)</f>
        <v>26</v>
      </c>
      <c r="H118" s="675">
        <f>G118+'2'!H118</f>
        <v>83</v>
      </c>
      <c r="I118" s="529"/>
      <c r="J118" s="553">
        <f>H118/DAY(B2)</f>
        <v>27.666666666666668</v>
      </c>
      <c r="O118" s="379"/>
    </row>
    <row r="119" spans="1:15" s="440" customFormat="1" ht="27.75">
      <c r="A119" s="1492" t="s">
        <v>282</v>
      </c>
      <c r="B119" s="1493"/>
      <c r="C119" s="1389"/>
      <c r="D119" s="619" t="s">
        <v>209</v>
      </c>
      <c r="E119" s="450"/>
      <c r="F119" s="656">
        <f>SUM(G19+G93)</f>
        <v>119</v>
      </c>
      <c r="G119" s="531">
        <f>SUM(G19+G93)</f>
        <v>119</v>
      </c>
      <c r="H119" s="675">
        <f>G119+'2'!H119</f>
        <v>291</v>
      </c>
      <c r="I119" s="530"/>
      <c r="J119" s="554">
        <f>H119/DAY(B2)</f>
        <v>97</v>
      </c>
      <c r="O119" s="379"/>
    </row>
    <row r="120" spans="1:15" s="440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116</v>
      </c>
      <c r="G120" s="531">
        <f>SUM(G96,G97,G98,G100,G101)</f>
        <v>116</v>
      </c>
      <c r="H120" s="675">
        <f>G120+'2'!H120</f>
        <v>288</v>
      </c>
      <c r="I120" s="530"/>
      <c r="J120" s="554">
        <f>H120/DAY(B2)</f>
        <v>96</v>
      </c>
      <c r="O120" s="379"/>
    </row>
    <row r="121" spans="1:15" s="440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101</v>
      </c>
      <c r="G121" s="529">
        <f>SUM(G113)</f>
        <v>101</v>
      </c>
      <c r="H121" s="675">
        <f>G121+'2'!H121</f>
        <v>222</v>
      </c>
      <c r="I121" s="530"/>
      <c r="J121" s="554">
        <f>H121/DAY(B2)</f>
        <v>74</v>
      </c>
      <c r="O121" s="379"/>
    </row>
    <row r="122" spans="1:15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50">
        <f>'2'!F124</f>
        <v>832711.85</v>
      </c>
      <c r="F124" s="473">
        <v>832890.3</v>
      </c>
      <c r="G124" s="468">
        <f t="shared" ref="G124:G128" si="14">F124-E124</f>
        <v>178.45000000006985</v>
      </c>
      <c r="H124" s="675">
        <f>G124+'2'!H124</f>
        <v>524.30000000004657</v>
      </c>
      <c r="I124" s="521"/>
      <c r="J124" s="547">
        <f>H124/DAY(B2)</f>
        <v>174.7666666666822</v>
      </c>
      <c r="K124" s="377"/>
      <c r="L124" s="374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450">
        <f>'2'!F125</f>
        <v>73583.399999999994</v>
      </c>
      <c r="F125" s="621">
        <v>73583.399999999994</v>
      </c>
      <c r="G125" s="468">
        <f t="shared" si="14"/>
        <v>0</v>
      </c>
      <c r="H125" s="675">
        <f>G125+'2'!H125</f>
        <v>0</v>
      </c>
      <c r="I125" s="521"/>
      <c r="J125" s="547">
        <f>H125/DAY(B2)</f>
        <v>0</v>
      </c>
      <c r="K125" s="377"/>
      <c r="L125" s="374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50">
        <f>'2'!F126</f>
        <v>146606.32999999999</v>
      </c>
      <c r="F126" s="473">
        <v>146669.01999999999</v>
      </c>
      <c r="G126" s="468">
        <f t="shared" si="14"/>
        <v>62.690000000002328</v>
      </c>
      <c r="H126" s="675">
        <f>G126+'2'!H126</f>
        <v>178.01999999998952</v>
      </c>
      <c r="I126" s="521"/>
      <c r="J126" s="547">
        <f>H126/DAY(B2)</f>
        <v>59.339999999996508</v>
      </c>
      <c r="K126" s="377"/>
      <c r="L126" s="374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450">
        <f>'2'!F127</f>
        <v>31406.2</v>
      </c>
      <c r="F127" s="1259">
        <v>31406.2</v>
      </c>
      <c r="G127" s="468">
        <f t="shared" si="14"/>
        <v>0</v>
      </c>
      <c r="H127" s="675">
        <f>G127+'2'!H127</f>
        <v>0.2000000000007276</v>
      </c>
      <c r="I127" s="521"/>
      <c r="J127" s="547">
        <f>H127/DAY(B2)</f>
        <v>6.6666666666909194E-2</v>
      </c>
      <c r="K127" s="377"/>
      <c r="L127" s="374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450">
        <f>'2'!F128</f>
        <v>8971.7000000000007</v>
      </c>
      <c r="F128" s="621">
        <v>8971.7000000000007</v>
      </c>
      <c r="G128" s="468">
        <f t="shared" si="14"/>
        <v>0</v>
      </c>
      <c r="H128" s="675">
        <f>G128+'2'!H128</f>
        <v>-0.2999999999992724</v>
      </c>
      <c r="I128" s="475"/>
      <c r="J128" s="547">
        <f>H128/DAY(B2)</f>
        <v>-9.9999999999757463E-2</v>
      </c>
      <c r="K128" s="377"/>
      <c r="L128" s="374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50">
        <f>'2'!F129</f>
        <v>0</v>
      </c>
      <c r="F129" s="473"/>
      <c r="G129" s="468">
        <f>G15-SUM(G124:G128)</f>
        <v>374.66399999993155</v>
      </c>
      <c r="H129" s="675">
        <f>G129+'2'!H129</f>
        <v>617.28399999991962</v>
      </c>
      <c r="I129" s="475"/>
      <c r="J129" s="547">
        <f>H129/DAY(B2)</f>
        <v>205.76133333330654</v>
      </c>
      <c r="K129" s="361"/>
      <c r="L129" s="289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50">
        <f>'2'!F131</f>
        <v>0</v>
      </c>
      <c r="F131" s="473">
        <v>0</v>
      </c>
      <c r="G131" s="468">
        <f t="shared" ref="G131:G141" si="15">F131-E131</f>
        <v>0</v>
      </c>
      <c r="H131" s="675">
        <f>G131+'2'!H131</f>
        <v>0</v>
      </c>
      <c r="I131" s="475"/>
      <c r="J131" s="547">
        <f>H131/DAY(B2)</f>
        <v>0</v>
      </c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50">
        <f>'2'!F132</f>
        <v>0</v>
      </c>
      <c r="F132" s="473">
        <v>0</v>
      </c>
      <c r="G132" s="468">
        <f t="shared" si="15"/>
        <v>0</v>
      </c>
      <c r="H132" s="675">
        <f>G132+'2'!H132</f>
        <v>0</v>
      </c>
      <c r="I132" s="475"/>
      <c r="J132" s="547">
        <f>H132/DAY(B2)</f>
        <v>0</v>
      </c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450">
        <f>'2'!F133</f>
        <v>40059</v>
      </c>
      <c r="F133" s="647">
        <v>40059</v>
      </c>
      <c r="G133" s="468">
        <f t="shared" si="15"/>
        <v>0</v>
      </c>
      <c r="H133" s="675">
        <f>G133+'2'!H133</f>
        <v>0</v>
      </c>
      <c r="I133" s="475"/>
      <c r="J133" s="547">
        <f>H133/DAY(B2)</f>
        <v>0</v>
      </c>
      <c r="O133" s="379"/>
    </row>
    <row r="134" spans="1:15" ht="27.75">
      <c r="A134" s="1392" t="s">
        <v>297</v>
      </c>
      <c r="B134" s="1393"/>
      <c r="C134" s="1393"/>
      <c r="D134" s="518" t="s">
        <v>294</v>
      </c>
      <c r="E134" s="450">
        <f>'2'!F134</f>
        <v>300</v>
      </c>
      <c r="F134" s="621">
        <v>300</v>
      </c>
      <c r="G134" s="468">
        <f t="shared" si="15"/>
        <v>0</v>
      </c>
      <c r="H134" s="675">
        <f>G134+'2'!H134</f>
        <v>0</v>
      </c>
      <c r="I134" s="475"/>
      <c r="J134" s="547">
        <f>H134/DAY(B2)</f>
        <v>0</v>
      </c>
      <c r="O134" s="379"/>
    </row>
    <row r="135" spans="1:15" ht="27.75">
      <c r="A135" s="1392" t="s">
        <v>298</v>
      </c>
      <c r="B135" s="1393"/>
      <c r="C135" s="1393"/>
      <c r="D135" s="518" t="s">
        <v>294</v>
      </c>
      <c r="E135" s="450">
        <f>'2'!F135</f>
        <v>41730</v>
      </c>
      <c r="F135" s="621">
        <v>41730</v>
      </c>
      <c r="G135" s="468">
        <f t="shared" si="15"/>
        <v>0</v>
      </c>
      <c r="H135" s="675">
        <f>G135+'2'!H135</f>
        <v>0</v>
      </c>
      <c r="I135" s="475"/>
      <c r="J135" s="547">
        <f>H135/DAY(B2)</f>
        <v>0</v>
      </c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450">
        <f>'2'!F136</f>
        <v>32763</v>
      </c>
      <c r="F136" s="621">
        <v>32787</v>
      </c>
      <c r="G136" s="468">
        <f t="shared" si="15"/>
        <v>24</v>
      </c>
      <c r="H136" s="675">
        <f>G136+'2'!H136</f>
        <v>72</v>
      </c>
      <c r="I136" s="475">
        <f t="shared" ref="I136" si="16">G133+G134+G135+G136</f>
        <v>24</v>
      </c>
      <c r="J136" s="547">
        <f>H136/DAY(B2)</f>
        <v>24</v>
      </c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450">
        <f>'2'!F137</f>
        <v>22807.279999999999</v>
      </c>
      <c r="F137" s="647">
        <v>22814.28</v>
      </c>
      <c r="G137" s="468">
        <f t="shared" si="15"/>
        <v>7</v>
      </c>
      <c r="H137" s="675">
        <f>G137+'2'!H137</f>
        <v>7.0399999999972351</v>
      </c>
      <c r="I137" s="475"/>
      <c r="J137" s="547">
        <f>H137/DAY(B2)</f>
        <v>2.3466666666657452</v>
      </c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450">
        <f>'2'!F138</f>
        <v>25051.82</v>
      </c>
      <c r="F138" s="647">
        <v>25051.52</v>
      </c>
      <c r="G138" s="468">
        <f t="shared" si="15"/>
        <v>-0.2999999999992724</v>
      </c>
      <c r="H138" s="675">
        <f>G138+'2'!H138</f>
        <v>-0.2999999999992724</v>
      </c>
      <c r="I138" s="475"/>
      <c r="J138" s="547">
        <f>H138/DAY(B2)</f>
        <v>-9.9999999999757463E-2</v>
      </c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450">
        <f>'2'!F139</f>
        <v>70421.89</v>
      </c>
      <c r="F139" s="647">
        <v>70424.240000000005</v>
      </c>
      <c r="G139" s="468">
        <f t="shared" si="15"/>
        <v>2.3500000000058208</v>
      </c>
      <c r="H139" s="675">
        <f>G139+'2'!H139</f>
        <v>12.5</v>
      </c>
      <c r="I139" s="475">
        <f>G137+G138+G139</f>
        <v>9.0500000000065484</v>
      </c>
      <c r="J139" s="547">
        <f>H139/DAY(B2)</f>
        <v>4.166666666666667</v>
      </c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50">
        <f>'2'!F140</f>
        <v>1867.67</v>
      </c>
      <c r="F140" s="621">
        <v>1874.45</v>
      </c>
      <c r="G140" s="468">
        <f t="shared" si="15"/>
        <v>6.7799999999999727</v>
      </c>
      <c r="H140" s="675">
        <f>G140+'2'!H140</f>
        <v>20.150000000000091</v>
      </c>
      <c r="I140" s="537"/>
      <c r="J140" s="547">
        <f>H140/DAY(B2)</f>
        <v>6.716666666666697</v>
      </c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50">
        <f>'2'!F141</f>
        <v>4636.97</v>
      </c>
      <c r="F141" s="473">
        <v>4637</v>
      </c>
      <c r="G141" s="468">
        <f t="shared" si="15"/>
        <v>2.9999999999745341E-2</v>
      </c>
      <c r="H141" s="675">
        <f>G141+'2'!H141</f>
        <v>0</v>
      </c>
      <c r="I141" s="537">
        <f>G141+G178</f>
        <v>2.9999999999745341E-2</v>
      </c>
      <c r="J141" s="547">
        <f>H141/DAY(B2)</f>
        <v>0</v>
      </c>
      <c r="O141" s="379"/>
    </row>
    <row r="142" spans="1:15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4739.4999999998836</v>
      </c>
      <c r="H143" s="675">
        <f>G143+'2'!H143</f>
        <v>14034.019999999902</v>
      </c>
      <c r="I143" s="475"/>
      <c r="J143" s="547">
        <f>H143/DAY(B2)</f>
        <v>4678.0066666666344</v>
      </c>
      <c r="K143" s="377"/>
      <c r="L143" s="374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0.29483230110405112</v>
      </c>
      <c r="H144" s="675">
        <f>G144+'2'!H144</f>
        <v>0.85627311969735576</v>
      </c>
      <c r="I144" s="539"/>
      <c r="J144" s="547">
        <f>H144/DAY(B2)</f>
        <v>0.2854243732324519</v>
      </c>
      <c r="K144" s="377"/>
      <c r="L144" s="374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4328.2400000001071</v>
      </c>
      <c r="H145" s="675">
        <f>G145+'2'!H145</f>
        <v>14559.120000000054</v>
      </c>
      <c r="I145" s="475"/>
      <c r="J145" s="547">
        <f>H145/DAY(B2)</f>
        <v>4853.0400000000182</v>
      </c>
      <c r="K145" s="377"/>
      <c r="L145" s="374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0.26924885724879438</v>
      </c>
      <c r="H146" s="675">
        <f>G146+'2'!H146</f>
        <v>0.88723921676143869</v>
      </c>
      <c r="I146" s="539"/>
      <c r="J146" s="547">
        <f>H146/DAY(B2)</f>
        <v>0.29574640558714621</v>
      </c>
      <c r="K146" s="377"/>
      <c r="L146" s="374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2426.5199999999604</v>
      </c>
      <c r="H147" s="675">
        <f>G147+'2'!H147</f>
        <v>7489.0799999999581</v>
      </c>
      <c r="I147" s="540"/>
      <c r="J147" s="547">
        <f>H147/DAY(B2)</f>
        <v>2496.359999999986</v>
      </c>
      <c r="K147" s="377"/>
      <c r="L147" s="374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0.15094766858846037</v>
      </c>
      <c r="H148" s="675">
        <f>G148+'2'!H148</f>
        <v>0.45675284830706037</v>
      </c>
      <c r="I148" s="540"/>
      <c r="J148" s="547">
        <f>H148/DAY(B2)</f>
        <v>0.15225094943568679</v>
      </c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1277.8999999999942</v>
      </c>
      <c r="H149" s="675">
        <f>G149+'2'!H149</f>
        <v>3694.5899999999965</v>
      </c>
      <c r="I149" s="475"/>
      <c r="J149" s="547">
        <f>H149/DAY(B2)</f>
        <v>1231.5299999999988</v>
      </c>
      <c r="K149" s="378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7.9494925114648049E-2</v>
      </c>
      <c r="H150" s="675">
        <f>G150+'2'!H150</f>
        <v>0.22547805689022099</v>
      </c>
      <c r="I150" s="540"/>
      <c r="J150" s="547">
        <f>H150/DAY(B2)</f>
        <v>7.5159352296740325E-2</v>
      </c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1344.5969999999907</v>
      </c>
      <c r="H151" s="675">
        <f>G151+'2'!H151</f>
        <v>3947.4300000000117</v>
      </c>
      <c r="I151" s="540"/>
      <c r="J151" s="547">
        <f>H151/DAY(B2)</f>
        <v>1315.8100000000038</v>
      </c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8.3643976699569744E-2</v>
      </c>
      <c r="H152" s="675">
        <f>G152+'2'!H152</f>
        <v>0.24087131151841218</v>
      </c>
      <c r="I152" s="475"/>
      <c r="J152" s="547">
        <f>H152/DAY(B2)</f>
        <v>8.0290437172804055E-2</v>
      </c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1251.0499999999884</v>
      </c>
      <c r="H153" s="675">
        <f>G153+'2'!H153</f>
        <v>3778.6199999999953</v>
      </c>
      <c r="I153" s="475"/>
      <c r="J153" s="547">
        <f>H153/DAY(B2)</f>
        <v>1259.5399999999984</v>
      </c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7.7824654561921877E-2</v>
      </c>
      <c r="H154" s="675">
        <f>G154+'2'!H154</f>
        <v>0.23050278096366544</v>
      </c>
      <c r="I154" s="563"/>
      <c r="J154" s="564">
        <f>H154/DAY(B2)</f>
        <v>7.6834260321221814E-2</v>
      </c>
      <c r="O154" s="379"/>
    </row>
    <row r="155" spans="1:15">
      <c r="O155" s="379"/>
    </row>
    <row r="158" spans="1:15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5">
      <c r="A159" s="780"/>
      <c r="B159" s="781"/>
      <c r="C159" s="781"/>
      <c r="D159" s="506"/>
      <c r="E159" s="450"/>
      <c r="F159" s="654"/>
      <c r="G159" s="468"/>
    </row>
    <row r="160" spans="1:15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450">
        <f>'2'!F161</f>
        <v>38595.54</v>
      </c>
      <c r="F161" s="654">
        <v>38676.51</v>
      </c>
      <c r="G161" s="468">
        <f t="shared" ref="G161:G172" si="17">F161-E161</f>
        <v>80.970000000001164</v>
      </c>
    </row>
    <row r="162" spans="1:7">
      <c r="A162" s="780" t="s">
        <v>319</v>
      </c>
      <c r="B162" s="781"/>
      <c r="C162" s="781"/>
      <c r="D162" s="506" t="s">
        <v>253</v>
      </c>
      <c r="E162" s="450">
        <f>'2'!F162</f>
        <v>95576.09</v>
      </c>
      <c r="F162" s="654">
        <v>95991.27</v>
      </c>
      <c r="G162" s="468">
        <f t="shared" si="17"/>
        <v>415.18000000000757</v>
      </c>
    </row>
    <row r="163" spans="1:7">
      <c r="A163" s="780" t="s">
        <v>320</v>
      </c>
      <c r="B163" s="781"/>
      <c r="C163" s="781"/>
      <c r="D163" s="506" t="s">
        <v>253</v>
      </c>
      <c r="E163" s="450">
        <f>'2'!F163</f>
        <v>45353.65</v>
      </c>
      <c r="F163" s="654">
        <v>45561.39</v>
      </c>
      <c r="G163" s="468">
        <f t="shared" si="17"/>
        <v>207.73999999999796</v>
      </c>
    </row>
    <row r="164" spans="1:7">
      <c r="A164" s="780" t="s">
        <v>321</v>
      </c>
      <c r="B164" s="781"/>
      <c r="C164" s="781"/>
      <c r="D164" s="506" t="s">
        <v>253</v>
      </c>
      <c r="E164" s="450">
        <f>'2'!F164</f>
        <v>6574.4</v>
      </c>
      <c r="F164" s="654">
        <v>6582.43</v>
      </c>
      <c r="G164" s="468">
        <f t="shared" si="17"/>
        <v>8.0300000000006548</v>
      </c>
    </row>
    <row r="165" spans="1:7">
      <c r="A165" s="782" t="s">
        <v>252</v>
      </c>
      <c r="B165" s="599"/>
      <c r="C165" s="599"/>
      <c r="D165" s="506" t="s">
        <v>253</v>
      </c>
      <c r="E165" s="450">
        <f>'2'!F165</f>
        <v>20419</v>
      </c>
      <c r="F165" s="509">
        <f>F62</f>
        <v>20419</v>
      </c>
      <c r="G165" s="468">
        <f t="shared" si="17"/>
        <v>0</v>
      </c>
    </row>
    <row r="166" spans="1:7">
      <c r="A166" s="782" t="s">
        <v>254</v>
      </c>
      <c r="B166" s="599"/>
      <c r="C166" s="599"/>
      <c r="D166" s="506" t="s">
        <v>253</v>
      </c>
      <c r="E166" s="450">
        <f>'2'!F166</f>
        <v>0</v>
      </c>
      <c r="F166" s="509">
        <v>2370</v>
      </c>
      <c r="G166" s="468">
        <f t="shared" si="17"/>
        <v>2370</v>
      </c>
    </row>
    <row r="167" spans="1:7" ht="21.75" customHeight="1">
      <c r="A167" s="1502" t="s">
        <v>161</v>
      </c>
      <c r="B167" s="1502"/>
      <c r="C167" s="1502"/>
      <c r="D167" s="518" t="s">
        <v>253</v>
      </c>
      <c r="E167" s="450">
        <f>'2'!F167</f>
        <v>160311.88</v>
      </c>
      <c r="F167" s="509">
        <f t="shared" ref="F167:F172" si="18">F64</f>
        <v>160493.07</v>
      </c>
      <c r="G167" s="468">
        <f t="shared" si="17"/>
        <v>181.19000000000233</v>
      </c>
    </row>
    <row r="168" spans="1:7" ht="21.75" customHeight="1">
      <c r="A168" s="1502" t="s">
        <v>162</v>
      </c>
      <c r="B168" s="1502"/>
      <c r="C168" s="1502"/>
      <c r="D168" s="518" t="s">
        <v>253</v>
      </c>
      <c r="E168" s="450">
        <f>'2'!F168</f>
        <v>161456.68</v>
      </c>
      <c r="F168" s="509">
        <v>0</v>
      </c>
      <c r="G168" s="468">
        <f t="shared" si="17"/>
        <v>-161456.68</v>
      </c>
    </row>
    <row r="169" spans="1:7" ht="21.75" customHeight="1">
      <c r="A169" s="1502" t="s">
        <v>255</v>
      </c>
      <c r="B169" s="1502"/>
      <c r="C169" s="1502"/>
      <c r="D169" s="518" t="s">
        <v>253</v>
      </c>
      <c r="E169" s="450">
        <f>'2'!F169</f>
        <v>57244.13</v>
      </c>
      <c r="F169" s="509">
        <f t="shared" si="18"/>
        <v>57490.71</v>
      </c>
      <c r="G169" s="468">
        <f t="shared" si="17"/>
        <v>246.58000000000175</v>
      </c>
    </row>
    <row r="170" spans="1:7" ht="27.75" customHeight="1">
      <c r="A170" s="1502" t="s">
        <v>157</v>
      </c>
      <c r="B170" s="1502"/>
      <c r="C170" s="1502"/>
      <c r="D170" s="518" t="s">
        <v>253</v>
      </c>
      <c r="E170" s="450">
        <f>'2'!F170</f>
        <v>252869.61</v>
      </c>
      <c r="F170" s="509">
        <f t="shared" si="18"/>
        <v>253178.53</v>
      </c>
      <c r="G170" s="468">
        <f t="shared" si="17"/>
        <v>308.92000000001281</v>
      </c>
    </row>
    <row r="171" spans="1:7" ht="24" customHeight="1">
      <c r="A171" s="1502" t="s">
        <v>164</v>
      </c>
      <c r="B171" s="1502"/>
      <c r="C171" s="1502"/>
      <c r="D171" s="518" t="s">
        <v>253</v>
      </c>
      <c r="E171" s="450">
        <f>'2'!F171</f>
        <v>85321</v>
      </c>
      <c r="F171" s="509">
        <f t="shared" si="18"/>
        <v>85321</v>
      </c>
      <c r="G171" s="468">
        <f t="shared" si="17"/>
        <v>0</v>
      </c>
    </row>
    <row r="172" spans="1:7" ht="22.5" customHeight="1">
      <c r="A172" s="1502" t="s">
        <v>165</v>
      </c>
      <c r="B172" s="1502"/>
      <c r="C172" s="1502"/>
      <c r="D172" s="518" t="s">
        <v>253</v>
      </c>
      <c r="E172" s="450">
        <f>'2'!F172</f>
        <v>81942.25</v>
      </c>
      <c r="F172" s="509">
        <f t="shared" si="18"/>
        <v>82029.429999999993</v>
      </c>
      <c r="G172" s="468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2.109375" style="449" customWidth="1"/>
    <col min="2" max="2" width="28.1093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373" customWidth="1"/>
    <col min="15" max="16384" width="22.33203125" style="373"/>
  </cols>
  <sheetData>
    <row r="1" spans="1:14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4" s="278" customFormat="1" ht="27">
      <c r="A2" s="570" t="s">
        <v>327</v>
      </c>
      <c r="B2" s="1028">
        <v>44320</v>
      </c>
      <c r="C2" s="1394" t="s">
        <v>111</v>
      </c>
      <c r="D2" s="606">
        <v>0.1</v>
      </c>
      <c r="E2" s="456"/>
      <c r="F2" s="625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4" s="278" customFormat="1" ht="27">
      <c r="A3" s="565"/>
      <c r="B3" s="609"/>
      <c r="C3" s="1394" t="s">
        <v>186</v>
      </c>
      <c r="D3" s="607">
        <v>34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4" s="278" customFormat="1" ht="27">
      <c r="A4" s="571"/>
      <c r="B4" s="611"/>
      <c r="C4" s="1394" t="s">
        <v>188</v>
      </c>
      <c r="D4" s="606">
        <v>0.84</v>
      </c>
      <c r="E4" s="459"/>
      <c r="F4" s="626"/>
      <c r="G4" s="459"/>
      <c r="H4" s="459"/>
      <c r="I4" s="460"/>
      <c r="J4" s="610"/>
      <c r="K4" s="369"/>
      <c r="L4" s="289"/>
    </row>
    <row r="5" spans="1:14">
      <c r="A5" s="572" t="s">
        <v>189</v>
      </c>
      <c r="B5" s="454"/>
      <c r="C5" s="454"/>
      <c r="D5" s="506" t="s">
        <v>190</v>
      </c>
      <c r="E5" s="462" t="s">
        <v>191</v>
      </c>
      <c r="F5" s="627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4">
      <c r="A6" s="1468" t="s">
        <v>196</v>
      </c>
      <c r="B6" s="1469"/>
      <c r="C6" s="1470"/>
      <c r="D6" s="466"/>
      <c r="E6" s="466"/>
      <c r="F6" s="489"/>
      <c r="G6" s="466"/>
      <c r="H6" s="467"/>
      <c r="I6" s="467"/>
      <c r="J6" s="546"/>
      <c r="K6" s="423"/>
      <c r="L6" s="374"/>
    </row>
    <row r="7" spans="1:14" ht="30" thickBot="1">
      <c r="A7" s="672" t="s">
        <v>197</v>
      </c>
      <c r="B7" s="673"/>
      <c r="C7" s="673"/>
      <c r="D7" s="633" t="s">
        <v>198</v>
      </c>
      <c r="E7" s="628">
        <f>'3'!F7</f>
        <v>393596.87</v>
      </c>
      <c r="F7" s="628">
        <v>410015.07</v>
      </c>
      <c r="G7" s="685">
        <f>F7-E7</f>
        <v>16418.200000000012</v>
      </c>
      <c r="H7" s="675">
        <f>G7+'3'!H7</f>
        <v>65603.070000000007</v>
      </c>
      <c r="I7" s="676">
        <f>'[2]1'!I7</f>
        <v>12000</v>
      </c>
      <c r="J7" s="677">
        <f>H7/DAY(B2)</f>
        <v>16400.767500000002</v>
      </c>
      <c r="K7" s="544"/>
      <c r="L7" s="374"/>
      <c r="N7" s="379"/>
    </row>
    <row r="8" spans="1:14" ht="27.75" thickBot="1">
      <c r="A8" s="678" t="s">
        <v>199</v>
      </c>
      <c r="B8" s="679"/>
      <c r="C8" s="680"/>
      <c r="D8" s="681" t="s">
        <v>59</v>
      </c>
      <c r="E8" s="628">
        <f>'3'!F8</f>
        <v>395921.08</v>
      </c>
      <c r="F8" s="629">
        <v>412399.87</v>
      </c>
      <c r="G8" s="1045">
        <f>F8-E8</f>
        <v>16478.789999999979</v>
      </c>
      <c r="H8" s="675">
        <f>G8+'3'!H8</f>
        <v>65889.87</v>
      </c>
      <c r="I8" s="682">
        <v>12000</v>
      </c>
      <c r="J8" s="677">
        <f>H8/DAY(B2)</f>
        <v>16472.467499999999</v>
      </c>
      <c r="K8" s="544"/>
      <c r="L8" s="421"/>
      <c r="M8" s="435"/>
      <c r="N8" s="699">
        <f>G7/G8</f>
        <v>0.99632315236737845</v>
      </c>
    </row>
    <row r="9" spans="1:14">
      <c r="A9" s="683" t="s">
        <v>200</v>
      </c>
      <c r="B9" s="684"/>
      <c r="C9" s="684"/>
      <c r="D9" s="633" t="s">
        <v>198</v>
      </c>
      <c r="E9" s="628">
        <f>'3'!F9</f>
        <v>1521396.2</v>
      </c>
      <c r="F9" s="630">
        <f>E9+16950</f>
        <v>1538346.2</v>
      </c>
      <c r="G9" s="698">
        <f t="shared" ref="G9:G12" si="0">F9-E9</f>
        <v>16950</v>
      </c>
      <c r="H9" s="675">
        <f>G9+'3'!H9</f>
        <v>64656.199999999953</v>
      </c>
      <c r="I9" s="686">
        <f>I8-J8</f>
        <v>-4472.4674999999988</v>
      </c>
      <c r="J9" s="677">
        <f>H9/DAY(B2)</f>
        <v>16164.049999999988</v>
      </c>
      <c r="K9" s="424"/>
      <c r="L9" s="374"/>
      <c r="N9" s="379"/>
    </row>
    <row r="10" spans="1:14">
      <c r="A10" s="672" t="s">
        <v>201</v>
      </c>
      <c r="B10" s="673"/>
      <c r="C10" s="673"/>
      <c r="D10" s="633" t="s">
        <v>198</v>
      </c>
      <c r="E10" s="628">
        <v>2606.5500000000002</v>
      </c>
      <c r="F10" s="630">
        <v>2606.5500000000002</v>
      </c>
      <c r="G10" s="685">
        <f t="shared" si="0"/>
        <v>0</v>
      </c>
      <c r="H10" s="675">
        <f>G10+'3'!H10</f>
        <v>0.42000000000007276</v>
      </c>
      <c r="I10" s="687"/>
      <c r="J10" s="677">
        <f>H10/DAY(B2)</f>
        <v>0.10500000000001819</v>
      </c>
      <c r="K10" s="424"/>
      <c r="L10" s="374"/>
      <c r="N10" s="379"/>
    </row>
    <row r="11" spans="1:14">
      <c r="A11" s="672" t="s">
        <v>202</v>
      </c>
      <c r="B11" s="673"/>
      <c r="C11" s="673"/>
      <c r="D11" s="633" t="s">
        <v>198</v>
      </c>
      <c r="E11" s="628">
        <f>'3'!F11</f>
        <v>37000</v>
      </c>
      <c r="F11" s="628">
        <v>37000</v>
      </c>
      <c r="G11" s="685">
        <f t="shared" si="0"/>
        <v>0</v>
      </c>
      <c r="H11" s="675">
        <f>G11+'[2]3'!H11</f>
        <v>0</v>
      </c>
      <c r="I11" s="687"/>
      <c r="J11" s="677">
        <f>H11/DAY(B2)</f>
        <v>0</v>
      </c>
      <c r="K11" s="424"/>
      <c r="L11" s="374"/>
      <c r="N11" s="379"/>
    </row>
    <row r="12" spans="1:14">
      <c r="A12" s="672" t="s">
        <v>203</v>
      </c>
      <c r="B12" s="673"/>
      <c r="C12" s="673"/>
      <c r="D12" s="633" t="s">
        <v>198</v>
      </c>
      <c r="E12" s="628">
        <f>'3'!F12</f>
        <v>40010</v>
      </c>
      <c r="F12" s="630">
        <v>40010</v>
      </c>
      <c r="G12" s="685">
        <f t="shared" si="0"/>
        <v>0</v>
      </c>
      <c r="H12" s="675">
        <f>G12+'[2]3'!H12</f>
        <v>0</v>
      </c>
      <c r="I12" s="687"/>
      <c r="J12" s="677">
        <f>H12/DAY(B2)</f>
        <v>0</v>
      </c>
      <c r="K12" s="424"/>
      <c r="L12" s="374"/>
      <c r="N12" s="379"/>
    </row>
    <row r="13" spans="1:14">
      <c r="A13" s="688" t="s">
        <v>204</v>
      </c>
      <c r="B13" s="689"/>
      <c r="C13" s="689"/>
      <c r="D13" s="633"/>
      <c r="E13" s="628"/>
      <c r="F13" s="628"/>
      <c r="G13" s="690">
        <f>G9+G10+G11+G12</f>
        <v>16950</v>
      </c>
      <c r="H13" s="675">
        <f>G13+'3'!H13</f>
        <v>64656.619999999952</v>
      </c>
      <c r="I13" s="691">
        <f>G7-G13</f>
        <v>-531.79999999998836</v>
      </c>
      <c r="J13" s="677">
        <f>H13/DAY(B2)</f>
        <v>16164.154999999988</v>
      </c>
      <c r="K13" s="424"/>
      <c r="L13" s="374"/>
      <c r="N13" s="379"/>
    </row>
    <row r="14" spans="1:14">
      <c r="A14" s="1471" t="s">
        <v>205</v>
      </c>
      <c r="B14" s="1472"/>
      <c r="C14" s="1473"/>
      <c r="D14" s="467"/>
      <c r="E14" s="467"/>
      <c r="F14" s="478"/>
      <c r="G14" s="478"/>
      <c r="H14" s="467"/>
      <c r="I14" s="467"/>
      <c r="J14" s="546"/>
      <c r="K14" s="425"/>
      <c r="L14" s="374"/>
      <c r="N14" s="379"/>
    </row>
    <row r="15" spans="1:14">
      <c r="A15" s="788" t="s">
        <v>133</v>
      </c>
      <c r="B15" s="783"/>
      <c r="C15" s="783"/>
      <c r="D15" s="519" t="s">
        <v>206</v>
      </c>
      <c r="E15" s="480">
        <f>'3'!F15</f>
        <v>1685843.504</v>
      </c>
      <c r="F15" s="621">
        <v>1686146.4080000001</v>
      </c>
      <c r="G15" s="769">
        <f>(F15-E15)</f>
        <v>302.90400000009686</v>
      </c>
      <c r="H15" s="675">
        <f>G15+'3'!H15</f>
        <v>1622.408000000054</v>
      </c>
      <c r="I15" s="469">
        <v>800</v>
      </c>
      <c r="J15" s="548">
        <f>H15/DAY(B2)</f>
        <v>405.6020000000135</v>
      </c>
      <c r="K15" s="424"/>
      <c r="L15" s="374"/>
      <c r="N15" s="379"/>
    </row>
    <row r="16" spans="1:14">
      <c r="A16" s="786"/>
      <c r="B16" s="787"/>
      <c r="C16" s="787"/>
      <c r="D16" s="519"/>
      <c r="E16" s="480"/>
      <c r="F16" s="480"/>
      <c r="G16" s="468"/>
      <c r="H16" s="481"/>
      <c r="I16" s="482">
        <f>I15-J15</f>
        <v>394.3979999999865</v>
      </c>
      <c r="J16" s="548"/>
      <c r="K16" s="424"/>
      <c r="L16" s="374"/>
      <c r="N16" s="379"/>
    </row>
    <row r="17" spans="1:14">
      <c r="A17" s="1471" t="s">
        <v>207</v>
      </c>
      <c r="B17" s="1472"/>
      <c r="C17" s="1473"/>
      <c r="D17" s="467"/>
      <c r="E17" s="467"/>
      <c r="F17" s="478"/>
      <c r="G17" s="483" t="s">
        <v>182</v>
      </c>
      <c r="H17" s="467"/>
      <c r="I17" s="467"/>
      <c r="J17" s="546"/>
      <c r="K17" s="424"/>
      <c r="L17" s="374"/>
      <c r="N17" s="379"/>
    </row>
    <row r="18" spans="1:14" ht="27.75">
      <c r="A18" s="1506" t="s">
        <v>208</v>
      </c>
      <c r="B18" s="1507"/>
      <c r="C18" s="1508"/>
      <c r="D18" s="633" t="s">
        <v>209</v>
      </c>
      <c r="E18" s="630">
        <f>'3'!F18</f>
        <v>8</v>
      </c>
      <c r="F18" s="630">
        <v>4</v>
      </c>
      <c r="G18" s="690">
        <f>F18*10</f>
        <v>40</v>
      </c>
      <c r="H18" s="675">
        <f>G18+'3'!H18</f>
        <v>200</v>
      </c>
      <c r="I18" s="676">
        <f>'[2]1'!I18</f>
        <v>65</v>
      </c>
      <c r="J18" s="677">
        <f>H18/DAY(B2)</f>
        <v>50</v>
      </c>
      <c r="K18" s="424"/>
      <c r="L18" s="374"/>
      <c r="N18" s="379"/>
    </row>
    <row r="19" spans="1:14" ht="27.75">
      <c r="A19" s="1506" t="s">
        <v>113</v>
      </c>
      <c r="B19" s="1507"/>
      <c r="C19" s="1508"/>
      <c r="D19" s="633" t="s">
        <v>209</v>
      </c>
      <c r="E19" s="630">
        <f>'3'!F19</f>
        <v>139787</v>
      </c>
      <c r="F19" s="630">
        <v>139848</v>
      </c>
      <c r="G19" s="685">
        <f t="shared" ref="G19" si="1">F19-E19</f>
        <v>61</v>
      </c>
      <c r="H19" s="675">
        <f>G19+'3'!H19</f>
        <v>236</v>
      </c>
      <c r="I19" s="692"/>
      <c r="J19" s="677">
        <f>H19/DAY(B2)</f>
        <v>59</v>
      </c>
      <c r="K19" s="424"/>
      <c r="L19" s="374"/>
      <c r="N19" s="379"/>
    </row>
    <row r="20" spans="1:14">
      <c r="A20" s="688" t="s">
        <v>210</v>
      </c>
      <c r="B20" s="689"/>
      <c r="C20" s="689"/>
      <c r="D20" s="633"/>
      <c r="E20" s="630">
        <f>'3'!F20</f>
        <v>0</v>
      </c>
      <c r="F20" s="633"/>
      <c r="G20" s="1044">
        <f>G18+G19</f>
        <v>101</v>
      </c>
      <c r="H20" s="675">
        <f>G20+'3'!H20</f>
        <v>436</v>
      </c>
      <c r="I20" s="694">
        <f>I18-J20</f>
        <v>-44</v>
      </c>
      <c r="J20" s="677">
        <f>H20/DAY(B2)</f>
        <v>109</v>
      </c>
      <c r="K20" s="424"/>
      <c r="L20" s="374"/>
      <c r="N20" s="379"/>
    </row>
    <row r="21" spans="1:14">
      <c r="A21" s="1471" t="s">
        <v>211</v>
      </c>
      <c r="B21" s="1472"/>
      <c r="C21" s="1473"/>
      <c r="D21" s="467"/>
      <c r="E21" s="467"/>
      <c r="F21" s="478"/>
      <c r="G21" s="478"/>
      <c r="H21" s="467"/>
      <c r="I21" s="467"/>
      <c r="J21" s="546"/>
      <c r="K21" s="424"/>
      <c r="L21" s="374"/>
      <c r="N21" s="379"/>
    </row>
    <row r="22" spans="1:14">
      <c r="A22" s="1392" t="s">
        <v>212</v>
      </c>
      <c r="B22" s="584"/>
      <c r="C22" s="584"/>
      <c r="D22" s="518" t="s">
        <v>213</v>
      </c>
      <c r="E22" s="473">
        <v>2970</v>
      </c>
      <c r="F22" s="630">
        <v>2970</v>
      </c>
      <c r="G22" s="685">
        <f t="shared" ref="G22" si="2">F22-E22</f>
        <v>0</v>
      </c>
      <c r="H22" s="675">
        <f>G22+'3'!H22</f>
        <v>0</v>
      </c>
      <c r="I22" s="475"/>
      <c r="J22" s="547">
        <f>H22/DAY(B2)</f>
        <v>0</v>
      </c>
      <c r="K22" s="424"/>
      <c r="L22" s="374"/>
      <c r="M22" s="373" t="s">
        <v>328</v>
      </c>
      <c r="N22" s="379"/>
    </row>
    <row r="23" spans="1:14">
      <c r="A23" s="1392" t="s">
        <v>214</v>
      </c>
      <c r="B23" s="584"/>
      <c r="C23" s="584"/>
      <c r="D23" s="518" t="s">
        <v>213</v>
      </c>
      <c r="E23" s="473">
        <v>2000</v>
      </c>
      <c r="F23" s="630">
        <v>2000</v>
      </c>
      <c r="G23" s="685">
        <v>0</v>
      </c>
      <c r="H23" s="675">
        <f>G23+'3'!H23</f>
        <v>120</v>
      </c>
      <c r="I23" s="475"/>
      <c r="J23" s="547">
        <f>H23/DAY(B2)</f>
        <v>30</v>
      </c>
      <c r="K23" s="424"/>
      <c r="L23" s="374"/>
      <c r="N23" s="379"/>
    </row>
    <row r="24" spans="1:14">
      <c r="A24" s="585" t="s">
        <v>215</v>
      </c>
      <c r="B24" s="586"/>
      <c r="C24" s="586"/>
      <c r="D24" s="506" t="s">
        <v>213</v>
      </c>
      <c r="E24" s="480">
        <v>4970</v>
      </c>
      <c r="F24" s="632">
        <v>4970</v>
      </c>
      <c r="G24" s="685">
        <v>0</v>
      </c>
      <c r="H24" s="675">
        <f>G24+'3'!H24</f>
        <v>120</v>
      </c>
      <c r="I24" s="475"/>
      <c r="J24" s="547">
        <f>H24/DAY(B2)</f>
        <v>30</v>
      </c>
      <c r="K24" s="424"/>
      <c r="L24" s="374"/>
      <c r="N24" s="379"/>
    </row>
    <row r="25" spans="1:14" s="437" customFormat="1" ht="27">
      <c r="A25" s="1476" t="s">
        <v>216</v>
      </c>
      <c r="B25" s="1477"/>
      <c r="C25" s="1478"/>
      <c r="D25" s="466"/>
      <c r="E25" s="466"/>
      <c r="F25" s="489"/>
      <c r="G25" s="489"/>
      <c r="H25" s="490"/>
      <c r="I25" s="491"/>
      <c r="J25" s="549"/>
      <c r="K25" s="370"/>
      <c r="L25" s="438"/>
      <c r="N25" s="37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628"/>
      <c r="G26" s="493"/>
      <c r="H26" s="455"/>
      <c r="I26" s="494"/>
      <c r="J26" s="547"/>
      <c r="K26" s="371"/>
      <c r="L26" s="438"/>
      <c r="N26" s="37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16478.789999999979</v>
      </c>
      <c r="F27" s="496">
        <v>9</v>
      </c>
      <c r="G27" s="497">
        <f>E27*F27</f>
        <v>148309.10999999981</v>
      </c>
      <c r="H27" s="675">
        <f>G27+'3'!H27</f>
        <v>592171.82999999996</v>
      </c>
      <c r="I27" s="498"/>
      <c r="J27" s="547">
        <f>H27/DAY(B2)</f>
        <v>148042.95749999999</v>
      </c>
      <c r="K27" s="370"/>
      <c r="L27" s="438"/>
      <c r="N27" s="379"/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302.90400000009686</v>
      </c>
      <c r="F28" s="496">
        <v>52</v>
      </c>
      <c r="G28" s="497">
        <f>E28*F28</f>
        <v>15751.008000005037</v>
      </c>
      <c r="H28" s="675">
        <f>G28+'3'!H28</f>
        <v>84365.216000002809</v>
      </c>
      <c r="I28" s="500"/>
      <c r="J28" s="547">
        <f>H28/DAY(B2)</f>
        <v>21091.304000000702</v>
      </c>
      <c r="K28" s="370"/>
      <c r="L28" s="438"/>
      <c r="N28" s="379"/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675">
        <f>G29+'3'!H29</f>
        <v>8280</v>
      </c>
      <c r="I29" s="500"/>
      <c r="J29" s="547">
        <f>H29/DAY(B2)</f>
        <v>2070</v>
      </c>
      <c r="K29" s="370"/>
      <c r="L29" s="438"/>
      <c r="N29" s="379"/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61</v>
      </c>
      <c r="F30" s="496">
        <v>146</v>
      </c>
      <c r="G30" s="497">
        <f>E30*F30</f>
        <v>8906</v>
      </c>
      <c r="H30" s="675">
        <f>G30+'3'!H30</f>
        <v>34456</v>
      </c>
      <c r="I30" s="500"/>
      <c r="J30" s="547">
        <f>H30/DAY(B2)</f>
        <v>8614</v>
      </c>
      <c r="K30" s="370"/>
      <c r="L30" s="438"/>
      <c r="N30" s="379"/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40</v>
      </c>
      <c r="F31" s="496">
        <v>80</v>
      </c>
      <c r="G31" s="497">
        <f>E31*F31</f>
        <v>3200</v>
      </c>
      <c r="H31" s="675">
        <f>G31+'3'!H31</f>
        <v>16000</v>
      </c>
      <c r="I31" s="500"/>
      <c r="J31" s="547">
        <f>H31/DAY(B2)</f>
        <v>4000</v>
      </c>
      <c r="K31" s="370"/>
      <c r="L31" s="438"/>
      <c r="N31" s="379"/>
    </row>
    <row r="32" spans="1:14" s="437" customFormat="1" ht="27.75">
      <c r="A32" s="590" t="s">
        <v>226</v>
      </c>
      <c r="B32" s="591"/>
      <c r="C32" s="592"/>
      <c r="D32" s="502"/>
      <c r="E32" s="502"/>
      <c r="F32" s="634"/>
      <c r="G32" s="503">
        <f>G27+G28+G29+G30+G31</f>
        <v>176166.11800000485</v>
      </c>
      <c r="H32" s="675">
        <f>G32+'3'!H32</f>
        <v>735273.04600000288</v>
      </c>
      <c r="I32" s="504"/>
      <c r="J32" s="547">
        <f>H32/DAY(B2)</f>
        <v>183818.26150000072</v>
      </c>
      <c r="K32" s="370"/>
      <c r="L32" s="438"/>
      <c r="N32" s="379"/>
    </row>
    <row r="33" spans="1:14" ht="25.5" customHeight="1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</row>
    <row r="34" spans="1:14">
      <c r="A34" s="593" t="s">
        <v>228</v>
      </c>
      <c r="B34" s="1397"/>
      <c r="C34" s="1397"/>
      <c r="D34" s="467"/>
      <c r="E34" s="466"/>
      <c r="F34" s="489"/>
      <c r="G34" s="467"/>
      <c r="H34" s="467"/>
      <c r="I34" s="467"/>
      <c r="J34" s="546"/>
      <c r="K34" s="424"/>
      <c r="L34" s="374"/>
      <c r="N34" s="379"/>
    </row>
    <row r="35" spans="1:14">
      <c r="A35" s="573" t="s">
        <v>229</v>
      </c>
      <c r="B35" s="574"/>
      <c r="C35" s="574"/>
      <c r="D35" s="518" t="s">
        <v>198</v>
      </c>
      <c r="E35" s="505">
        <f>'3'!F35</f>
        <v>957665.19</v>
      </c>
      <c r="F35" s="635">
        <v>960086.71</v>
      </c>
      <c r="G35" s="468">
        <f t="shared" ref="G35:G46" si="3">F35-E35</f>
        <v>2421.5200000000186</v>
      </c>
      <c r="H35" s="675">
        <f>G35+'3'!H35</f>
        <v>9598.7099999999627</v>
      </c>
      <c r="I35" s="450"/>
      <c r="J35" s="547">
        <f>H35/DAY(B2)</f>
        <v>2399.6774999999907</v>
      </c>
      <c r="K35" s="424"/>
      <c r="L35" s="374"/>
      <c r="N35" s="379"/>
    </row>
    <row r="36" spans="1:14">
      <c r="A36" s="573" t="s">
        <v>230</v>
      </c>
      <c r="B36" s="574"/>
      <c r="C36" s="574"/>
      <c r="D36" s="518" t="s">
        <v>198</v>
      </c>
      <c r="E36" s="505">
        <f>'3'!F36</f>
        <v>1582.48</v>
      </c>
      <c r="F36" s="635">
        <v>2103.27</v>
      </c>
      <c r="G36" s="468">
        <f t="shared" si="3"/>
        <v>520.79</v>
      </c>
      <c r="H36" s="675">
        <f>G36+'3'!H36</f>
        <v>1930.27</v>
      </c>
      <c r="I36" s="450"/>
      <c r="J36" s="547">
        <f>H36/DAY(B2)</f>
        <v>482.5675</v>
      </c>
      <c r="K36" s="424"/>
      <c r="L36" s="374"/>
      <c r="N36" s="623"/>
    </row>
    <row r="37" spans="1:14">
      <c r="A37" s="573" t="s">
        <v>231</v>
      </c>
      <c r="B37" s="574"/>
      <c r="C37" s="574"/>
      <c r="D37" s="518" t="s">
        <v>198</v>
      </c>
      <c r="E37" s="505">
        <f>'3'!F37</f>
        <v>138014.75</v>
      </c>
      <c r="F37" s="635">
        <v>139320.32000000001</v>
      </c>
      <c r="G37" s="468">
        <f t="shared" si="3"/>
        <v>1305.570000000007</v>
      </c>
      <c r="H37" s="675">
        <f>G37+'3'!H37</f>
        <v>5084.320000000007</v>
      </c>
      <c r="I37" s="450"/>
      <c r="J37" s="547">
        <f>H37/DAY(B2)</f>
        <v>1271.0800000000017</v>
      </c>
      <c r="K37" s="424"/>
      <c r="L37" s="374"/>
      <c r="N37" s="624"/>
    </row>
    <row r="38" spans="1:14">
      <c r="A38" s="573" t="s">
        <v>232</v>
      </c>
      <c r="B38" s="574"/>
      <c r="C38" s="574"/>
      <c r="D38" s="518" t="s">
        <v>198</v>
      </c>
      <c r="E38" s="505">
        <f>'3'!F38</f>
        <v>160099.59</v>
      </c>
      <c r="F38" s="636">
        <v>161188.96</v>
      </c>
      <c r="G38" s="468">
        <f t="shared" si="3"/>
        <v>1089.3699999999953</v>
      </c>
      <c r="H38" s="675">
        <f>G38+'3'!H38</f>
        <v>4783.9599999999919</v>
      </c>
      <c r="I38" s="450"/>
      <c r="J38" s="547">
        <f>H38/DAY(B2)</f>
        <v>1195.989999999998</v>
      </c>
      <c r="K38" s="424"/>
      <c r="L38" s="374"/>
      <c r="N38" s="379"/>
    </row>
    <row r="39" spans="1:14">
      <c r="A39" s="573" t="s">
        <v>233</v>
      </c>
      <c r="B39" s="574"/>
      <c r="C39" s="574"/>
      <c r="D39" s="518" t="s">
        <v>198</v>
      </c>
      <c r="E39" s="505">
        <f>'3'!F39</f>
        <v>314081.17</v>
      </c>
      <c r="F39" s="635">
        <v>316761.34999999998</v>
      </c>
      <c r="G39" s="468">
        <f t="shared" si="3"/>
        <v>2680.179999999993</v>
      </c>
      <c r="H39" s="675">
        <f>G39+'3'!H39</f>
        <v>8588.3499999999767</v>
      </c>
      <c r="I39" s="450"/>
      <c r="J39" s="547">
        <f>H39/DAY(B2)</f>
        <v>2147.0874999999942</v>
      </c>
      <c r="K39" s="424"/>
      <c r="L39" s="374"/>
      <c r="N39" s="379"/>
    </row>
    <row r="40" spans="1:14">
      <c r="A40" s="594" t="s">
        <v>234</v>
      </c>
      <c r="B40" s="595"/>
      <c r="C40" s="595"/>
      <c r="D40" s="518" t="s">
        <v>198</v>
      </c>
      <c r="E40" s="505">
        <f>'3'!F40</f>
        <v>888.99</v>
      </c>
      <c r="F40" s="635">
        <v>888.99</v>
      </c>
      <c r="G40" s="468">
        <f t="shared" si="3"/>
        <v>0</v>
      </c>
      <c r="H40" s="675">
        <f>G40+'3'!H40</f>
        <v>-9.9999999999909051E-3</v>
      </c>
      <c r="I40" s="450"/>
      <c r="J40" s="547">
        <f>H40/DAY(B2)</f>
        <v>-2.4999999999977263E-3</v>
      </c>
      <c r="K40" s="425"/>
      <c r="L40" s="374"/>
      <c r="N40" s="379"/>
    </row>
    <row r="41" spans="1:14">
      <c r="A41" s="573" t="s">
        <v>235</v>
      </c>
      <c r="B41" s="574"/>
      <c r="C41" s="574"/>
      <c r="D41" s="518" t="s">
        <v>198</v>
      </c>
      <c r="E41" s="505">
        <f>'3'!F41</f>
        <v>240478.13</v>
      </c>
      <c r="F41" s="635">
        <v>240478.13</v>
      </c>
      <c r="G41" s="468">
        <f t="shared" si="3"/>
        <v>0</v>
      </c>
      <c r="H41" s="675">
        <f>G41+'3'!H41</f>
        <v>0.13000000000465661</v>
      </c>
      <c r="I41" s="450"/>
      <c r="J41" s="547">
        <f>H41/DAY(B2)</f>
        <v>3.2500000001164153E-2</v>
      </c>
      <c r="K41" s="424"/>
      <c r="L41" s="374"/>
      <c r="N41" s="379"/>
    </row>
    <row r="42" spans="1:14">
      <c r="A42" s="573" t="s">
        <v>236</v>
      </c>
      <c r="B42" s="574"/>
      <c r="C42" s="574"/>
      <c r="D42" s="518" t="s">
        <v>198</v>
      </c>
      <c r="E42" s="505">
        <f>'3'!F42</f>
        <v>59198.97</v>
      </c>
      <c r="F42" s="635">
        <v>59198.97</v>
      </c>
      <c r="G42" s="468">
        <f t="shared" si="3"/>
        <v>0</v>
      </c>
      <c r="H42" s="675">
        <f>G42+'3'!H42</f>
        <v>0</v>
      </c>
      <c r="I42" s="450"/>
      <c r="J42" s="547">
        <f>H42/DAY(B2)</f>
        <v>0</v>
      </c>
      <c r="K42" s="424"/>
      <c r="L42" s="374"/>
      <c r="N42" s="379"/>
    </row>
    <row r="43" spans="1:14">
      <c r="A43" s="573" t="s">
        <v>237</v>
      </c>
      <c r="B43" s="574"/>
      <c r="C43" s="574"/>
      <c r="D43" s="518" t="s">
        <v>198</v>
      </c>
      <c r="E43" s="505">
        <f>'3'!F43</f>
        <v>1049100.7</v>
      </c>
      <c r="F43" s="635">
        <v>1051459.5</v>
      </c>
      <c r="G43" s="468">
        <f t="shared" si="3"/>
        <v>2358.8000000000466</v>
      </c>
      <c r="H43" s="675">
        <f>G43+'3'!H43</f>
        <v>9215.5</v>
      </c>
      <c r="I43" s="450"/>
      <c r="J43" s="547">
        <f>H43/DAY(B2)</f>
        <v>2303.875</v>
      </c>
      <c r="K43" s="424"/>
      <c r="L43" s="374"/>
      <c r="N43" s="379"/>
    </row>
    <row r="44" spans="1:14">
      <c r="A44" s="573" t="s">
        <v>238</v>
      </c>
      <c r="B44" s="574"/>
      <c r="C44" s="574"/>
      <c r="D44" s="518" t="s">
        <v>198</v>
      </c>
      <c r="E44" s="505">
        <f>'3'!F44</f>
        <v>0</v>
      </c>
      <c r="F44" s="635">
        <v>0</v>
      </c>
      <c r="G44" s="468">
        <f t="shared" si="3"/>
        <v>0</v>
      </c>
      <c r="H44" s="675">
        <f>G44+'3'!H44</f>
        <v>0</v>
      </c>
      <c r="I44" s="450"/>
      <c r="J44" s="547">
        <f>H44/DAY(B2)</f>
        <v>0</v>
      </c>
      <c r="K44" s="424"/>
      <c r="L44" s="374"/>
      <c r="N44" s="379"/>
    </row>
    <row r="45" spans="1:14">
      <c r="A45" s="573" t="s">
        <v>239</v>
      </c>
      <c r="B45" s="574"/>
      <c r="C45" s="574"/>
      <c r="D45" s="518" t="s">
        <v>198</v>
      </c>
      <c r="E45" s="505">
        <f>'3'!F45</f>
        <v>614</v>
      </c>
      <c r="F45" s="635">
        <v>614</v>
      </c>
      <c r="G45" s="468">
        <f t="shared" si="3"/>
        <v>0</v>
      </c>
      <c r="H45" s="675">
        <f>G45+'3'!H45</f>
        <v>0</v>
      </c>
      <c r="I45" s="450"/>
      <c r="J45" s="547">
        <f>H45/DAY(B2)</f>
        <v>0</v>
      </c>
      <c r="K45" s="424"/>
      <c r="L45" s="374"/>
      <c r="N45" s="379"/>
    </row>
    <row r="46" spans="1:14">
      <c r="A46" s="573" t="s">
        <v>240</v>
      </c>
      <c r="B46" s="574"/>
      <c r="C46" s="574"/>
      <c r="D46" s="518" t="s">
        <v>198</v>
      </c>
      <c r="E46" s="505">
        <f>'3'!F46</f>
        <v>187</v>
      </c>
      <c r="F46" s="635">
        <v>187</v>
      </c>
      <c r="G46" s="468">
        <f t="shared" si="3"/>
        <v>0</v>
      </c>
      <c r="H46" s="675">
        <f>G46+'3'!H46</f>
        <v>0</v>
      </c>
      <c r="I46" s="450"/>
      <c r="J46" s="547">
        <f>H46/DAY(B2)</f>
        <v>0</v>
      </c>
      <c r="K46" s="424"/>
      <c r="L46" s="374"/>
      <c r="N46" s="379"/>
    </row>
    <row r="47" spans="1:14">
      <c r="A47" s="580" t="s">
        <v>241</v>
      </c>
      <c r="B47" s="581"/>
      <c r="C47" s="581"/>
      <c r="D47" s="465"/>
      <c r="E47" s="506"/>
      <c r="F47" s="637"/>
      <c r="G47" s="476">
        <f>G35+G36+G37+G38+G39+G40+G41+G42+G43+G44+G45+G46</f>
        <v>10376.230000000061</v>
      </c>
      <c r="H47" s="675">
        <f>G47+'3'!H47</f>
        <v>39201.229999999938</v>
      </c>
      <c r="I47" s="450"/>
      <c r="J47" s="547">
        <f>H47/DAY(B2)</f>
        <v>9800.3074999999844</v>
      </c>
      <c r="K47" s="424"/>
      <c r="L47" s="374"/>
      <c r="N47" s="379"/>
    </row>
    <row r="48" spans="1:14">
      <c r="A48" s="593" t="s">
        <v>242</v>
      </c>
      <c r="B48" s="1397"/>
      <c r="C48" s="1397"/>
      <c r="D48" s="467"/>
      <c r="E48" s="466"/>
      <c r="F48" s="489"/>
      <c r="G48" s="467"/>
      <c r="H48" s="467"/>
      <c r="I48" s="467"/>
      <c r="J48" s="546"/>
      <c r="K48" s="424"/>
      <c r="L48" s="374"/>
      <c r="N48" s="379"/>
    </row>
    <row r="49" spans="1:14">
      <c r="A49" s="573" t="s">
        <v>229</v>
      </c>
      <c r="B49" s="596"/>
      <c r="C49" s="596"/>
      <c r="D49" s="518" t="s">
        <v>198</v>
      </c>
      <c r="E49" s="505">
        <f>'3'!F49</f>
        <v>260732.13</v>
      </c>
      <c r="F49" s="635">
        <v>260732.13</v>
      </c>
      <c r="G49" s="468">
        <f t="shared" ref="G49:G58" si="4">F49-E49</f>
        <v>0</v>
      </c>
      <c r="H49" s="675">
        <f>G49+'3'!H49</f>
        <v>0.13000000000465661</v>
      </c>
      <c r="I49" s="450"/>
      <c r="J49" s="547">
        <f>H49/DAY(B2)</f>
        <v>3.2500000001164153E-2</v>
      </c>
      <c r="K49" s="424"/>
      <c r="L49" s="374"/>
      <c r="N49" s="379"/>
    </row>
    <row r="50" spans="1:14">
      <c r="A50" s="573" t="s">
        <v>243</v>
      </c>
      <c r="B50" s="596"/>
      <c r="C50" s="596"/>
      <c r="D50" s="518" t="s">
        <v>198</v>
      </c>
      <c r="E50" s="505">
        <f>'3'!F50</f>
        <v>505073.95</v>
      </c>
      <c r="F50" s="635">
        <v>506100.15</v>
      </c>
      <c r="G50" s="468">
        <f t="shared" si="4"/>
        <v>1026.2000000000116</v>
      </c>
      <c r="H50" s="675">
        <f>G50+'3'!H50</f>
        <v>3564.1500000000233</v>
      </c>
      <c r="I50" s="450"/>
      <c r="J50" s="547">
        <f>H50/DAY(B2)</f>
        <v>891.03750000000582</v>
      </c>
      <c r="K50" s="424"/>
      <c r="L50" s="374"/>
      <c r="N50" s="379"/>
    </row>
    <row r="51" spans="1:14">
      <c r="A51" s="573" t="s">
        <v>231</v>
      </c>
      <c r="B51" s="596"/>
      <c r="C51" s="596"/>
      <c r="D51" s="518" t="s">
        <v>198</v>
      </c>
      <c r="E51" s="505">
        <f>'3'!F51</f>
        <v>144639.87</v>
      </c>
      <c r="F51" s="635">
        <v>144640</v>
      </c>
      <c r="G51" s="468">
        <f t="shared" si="4"/>
        <v>0.13000000000465661</v>
      </c>
      <c r="H51" s="675">
        <f>G51+'3'!H51</f>
        <v>0</v>
      </c>
      <c r="I51" s="450"/>
      <c r="J51" s="547">
        <f>H51/DAY(B2)</f>
        <v>0</v>
      </c>
      <c r="K51" s="424"/>
      <c r="L51" s="374"/>
      <c r="N51" s="379"/>
    </row>
    <row r="52" spans="1:14">
      <c r="A52" s="573" t="s">
        <v>244</v>
      </c>
      <c r="B52" s="596"/>
      <c r="C52" s="596"/>
      <c r="D52" s="518" t="s">
        <v>198</v>
      </c>
      <c r="E52" s="505">
        <f>'3'!F52</f>
        <v>539606</v>
      </c>
      <c r="F52" s="635">
        <v>539606</v>
      </c>
      <c r="G52" s="468">
        <f t="shared" si="4"/>
        <v>0</v>
      </c>
      <c r="H52" s="675">
        <f>G52+'3'!H52</f>
        <v>0</v>
      </c>
      <c r="I52" s="450"/>
      <c r="J52" s="547">
        <f>H52/DAY(B2)</f>
        <v>0</v>
      </c>
      <c r="K52" s="424"/>
      <c r="L52" s="374"/>
      <c r="N52" s="379"/>
    </row>
    <row r="53" spans="1:14">
      <c r="A53" s="573" t="s">
        <v>233</v>
      </c>
      <c r="B53" s="596"/>
      <c r="C53" s="596"/>
      <c r="D53" s="518" t="s">
        <v>198</v>
      </c>
      <c r="E53" s="505">
        <f>'3'!F53</f>
        <v>434148.91</v>
      </c>
      <c r="F53" s="635">
        <v>434231.67</v>
      </c>
      <c r="G53" s="468">
        <f t="shared" si="4"/>
        <v>82.760000000009313</v>
      </c>
      <c r="H53" s="675">
        <f>G53+'3'!H53</f>
        <v>1663.6699999999837</v>
      </c>
      <c r="I53" s="450"/>
      <c r="J53" s="547">
        <f>H53/DAY(B2)</f>
        <v>415.91749999999593</v>
      </c>
      <c r="K53" s="424"/>
      <c r="L53" s="374"/>
      <c r="N53" s="379"/>
    </row>
    <row r="54" spans="1:14">
      <c r="A54" s="573" t="s">
        <v>245</v>
      </c>
      <c r="B54" s="596"/>
      <c r="C54" s="596"/>
      <c r="D54" s="518" t="s">
        <v>198</v>
      </c>
      <c r="E54" s="505">
        <f>'3'!F54</f>
        <v>14003.02</v>
      </c>
      <c r="F54" s="635">
        <v>14087.84</v>
      </c>
      <c r="G54" s="468">
        <f t="shared" si="4"/>
        <v>84.819999999999709</v>
      </c>
      <c r="H54" s="675">
        <f>G54+'3'!H54</f>
        <v>337.84000000000015</v>
      </c>
      <c r="I54" s="450"/>
      <c r="J54" s="547">
        <f>H54/DAY(B2)</f>
        <v>84.460000000000036</v>
      </c>
      <c r="K54" s="424"/>
      <c r="L54" s="374"/>
      <c r="N54" s="379"/>
    </row>
    <row r="55" spans="1:14">
      <c r="A55" s="573" t="s">
        <v>246</v>
      </c>
      <c r="B55" s="596"/>
      <c r="C55" s="596"/>
      <c r="D55" s="518" t="s">
        <v>198</v>
      </c>
      <c r="E55" s="505">
        <f>'3'!F55</f>
        <v>68110.679999999993</v>
      </c>
      <c r="F55" s="638">
        <v>68110.679999999993</v>
      </c>
      <c r="G55" s="468">
        <f t="shared" si="4"/>
        <v>0</v>
      </c>
      <c r="H55" s="675">
        <f>G55+'3'!H55</f>
        <v>-0.32000000000698492</v>
      </c>
      <c r="I55" s="450"/>
      <c r="J55" s="547">
        <f>H55/DAY(B2)</f>
        <v>-8.000000000174623E-2</v>
      </c>
      <c r="K55" s="424"/>
      <c r="L55" s="374"/>
      <c r="N55" s="379"/>
    </row>
    <row r="56" spans="1:14">
      <c r="A56" s="573" t="s">
        <v>247</v>
      </c>
      <c r="B56" s="596"/>
      <c r="C56" s="596"/>
      <c r="D56" s="518" t="s">
        <v>248</v>
      </c>
      <c r="E56" s="505">
        <f>'3'!F56</f>
        <v>631757.31000000006</v>
      </c>
      <c r="F56" s="638">
        <v>636223.87</v>
      </c>
      <c r="G56" s="468">
        <f t="shared" si="4"/>
        <v>4466.5599999999395</v>
      </c>
      <c r="H56" s="675">
        <f>G56+'3'!H56</f>
        <v>19025.869999999995</v>
      </c>
      <c r="I56" s="450"/>
      <c r="J56" s="547">
        <f>H56/DAY(B2)</f>
        <v>4756.4674999999988</v>
      </c>
      <c r="K56" s="423"/>
      <c r="L56" s="374"/>
      <c r="N56" s="379"/>
    </row>
    <row r="57" spans="1:14">
      <c r="A57" s="573" t="s">
        <v>237</v>
      </c>
      <c r="B57" s="596"/>
      <c r="C57" s="596"/>
      <c r="D57" s="518" t="s">
        <v>198</v>
      </c>
      <c r="E57" s="505">
        <f>'3'!F57</f>
        <v>7711</v>
      </c>
      <c r="F57" s="638">
        <v>7711</v>
      </c>
      <c r="G57" s="468">
        <f t="shared" si="4"/>
        <v>0</v>
      </c>
      <c r="H57" s="675">
        <f>G57+'3'!H57</f>
        <v>0</v>
      </c>
      <c r="I57" s="450"/>
      <c r="J57" s="547">
        <f>H57/DAY(B2)</f>
        <v>0</v>
      </c>
      <c r="K57" s="424"/>
      <c r="L57" s="374"/>
      <c r="N57" s="379"/>
    </row>
    <row r="58" spans="1:14">
      <c r="A58" s="573" t="s">
        <v>249</v>
      </c>
      <c r="B58" s="596"/>
      <c r="C58" s="596"/>
      <c r="D58" s="518" t="s">
        <v>198</v>
      </c>
      <c r="E58" s="505">
        <f>'3'!F58</f>
        <v>49961.06</v>
      </c>
      <c r="F58" s="638">
        <v>49964.06</v>
      </c>
      <c r="G58" s="468">
        <f t="shared" si="4"/>
        <v>3</v>
      </c>
      <c r="H58" s="675">
        <f>G58+'3'!H58</f>
        <v>339.05999999999767</v>
      </c>
      <c r="I58" s="450"/>
      <c r="J58" s="547">
        <f>H58/DAY(B2)</f>
        <v>84.764999999999418</v>
      </c>
      <c r="K58" s="424"/>
      <c r="L58" s="374"/>
      <c r="N58" s="379"/>
    </row>
    <row r="59" spans="1:14">
      <c r="A59" s="580" t="s">
        <v>241</v>
      </c>
      <c r="B59" s="581"/>
      <c r="C59" s="581"/>
      <c r="D59" s="506"/>
      <c r="E59" s="506"/>
      <c r="F59" s="637"/>
      <c r="G59" s="476">
        <f>G49+G50+G51+G52+G53+G54+G55+G56+G57+G58</f>
        <v>5663.4699999999648</v>
      </c>
      <c r="H59" s="675">
        <f>G59+'3'!H59</f>
        <v>24930.399999999998</v>
      </c>
      <c r="I59" s="450">
        <f>G7-G60</f>
        <v>378.49999999998545</v>
      </c>
      <c r="J59" s="547">
        <f>H59/DAY(B2)</f>
        <v>6232.5999999999995</v>
      </c>
      <c r="K59" s="424"/>
      <c r="L59" s="374"/>
      <c r="N59" s="379"/>
    </row>
    <row r="60" spans="1:14">
      <c r="A60" s="573"/>
      <c r="B60" s="574"/>
      <c r="C60" s="574"/>
      <c r="D60" s="506" t="s">
        <v>250</v>
      </c>
      <c r="E60" s="506"/>
      <c r="F60" s="637"/>
      <c r="G60" s="476">
        <f>G47+G59</f>
        <v>16039.700000000026</v>
      </c>
      <c r="H60" s="675">
        <f>G60+'3'!H60</f>
        <v>64131.629999999939</v>
      </c>
      <c r="I60" s="450">
        <f>G13-G60</f>
        <v>910.29999999997381</v>
      </c>
      <c r="J60" s="547">
        <f>H60/DAY(B2)</f>
        <v>16032.907499999985</v>
      </c>
      <c r="K60" s="424"/>
      <c r="L60" s="374"/>
      <c r="N60" s="379"/>
    </row>
    <row r="61" spans="1:14">
      <c r="A61" s="597" t="s">
        <v>251</v>
      </c>
      <c r="B61" s="448"/>
      <c r="C61" s="448"/>
      <c r="D61" s="508"/>
      <c r="E61" s="507"/>
      <c r="F61" s="639"/>
      <c r="G61" s="508"/>
      <c r="H61" s="508"/>
      <c r="I61" s="508"/>
      <c r="J61" s="550"/>
      <c r="K61" s="424"/>
      <c r="L61" s="374"/>
      <c r="N61" s="379"/>
    </row>
    <row r="62" spans="1:14">
      <c r="A62" s="598" t="s">
        <v>252</v>
      </c>
      <c r="B62" s="599"/>
      <c r="C62" s="599"/>
      <c r="D62" s="506" t="s">
        <v>253</v>
      </c>
      <c r="E62" s="509">
        <v>0</v>
      </c>
      <c r="F62" s="640">
        <v>0</v>
      </c>
      <c r="G62" s="468">
        <f t="shared" ref="G62:G69" si="5">F62-E62</f>
        <v>0</v>
      </c>
      <c r="H62" s="455">
        <f>G62+'[2]3'!H62</f>
        <v>1.9999999967694748E-3</v>
      </c>
      <c r="I62" s="510"/>
      <c r="J62" s="547">
        <f>H62/DAY(B2)</f>
        <v>4.999999991923687E-4</v>
      </c>
      <c r="K62" s="424"/>
      <c r="L62" s="374"/>
      <c r="N62" s="379"/>
    </row>
    <row r="63" spans="1:14">
      <c r="A63" s="598" t="s">
        <v>254</v>
      </c>
      <c r="B63" s="599"/>
      <c r="C63" s="599"/>
      <c r="D63" s="506" t="s">
        <v>253</v>
      </c>
      <c r="E63" s="509">
        <f>'3'!F63</f>
        <v>0</v>
      </c>
      <c r="F63" s="640">
        <v>0</v>
      </c>
      <c r="G63" s="468">
        <f t="shared" si="5"/>
        <v>0</v>
      </c>
      <c r="H63" s="675">
        <f>G63+'3'!H63</f>
        <v>0</v>
      </c>
      <c r="I63" s="510"/>
      <c r="J63" s="547">
        <f>H63/DAY(B2)</f>
        <v>0</v>
      </c>
      <c r="K63" s="424"/>
      <c r="L63" s="374"/>
      <c r="N63" s="379"/>
    </row>
    <row r="64" spans="1:14" ht="27.75">
      <c r="A64" s="1450" t="s">
        <v>161</v>
      </c>
      <c r="B64" s="1451"/>
      <c r="C64" s="1452"/>
      <c r="D64" s="518" t="s">
        <v>253</v>
      </c>
      <c r="E64" s="509">
        <f>'3'!F64</f>
        <v>160493.07</v>
      </c>
      <c r="F64" s="630">
        <v>160690.44</v>
      </c>
      <c r="G64" s="468">
        <f t="shared" si="5"/>
        <v>197.36999999999534</v>
      </c>
      <c r="H64" s="675">
        <f>G64+'3'!H64</f>
        <v>758.44000000000233</v>
      </c>
      <c r="I64" s="475"/>
      <c r="J64" s="547">
        <f>H64/DAY(B2)</f>
        <v>189.61000000000058</v>
      </c>
      <c r="K64" s="424"/>
      <c r="L64" s="374"/>
      <c r="N64" s="379"/>
    </row>
    <row r="65" spans="1:14" ht="27.75">
      <c r="A65" s="1450" t="s">
        <v>162</v>
      </c>
      <c r="B65" s="1451"/>
      <c r="C65" s="1452"/>
      <c r="D65" s="518" t="s">
        <v>253</v>
      </c>
      <c r="E65" s="509">
        <f>'3'!F65</f>
        <v>161634.31</v>
      </c>
      <c r="F65" s="631">
        <v>161818.76999999999</v>
      </c>
      <c r="G65" s="468">
        <f t="shared" si="5"/>
        <v>184.45999999999185</v>
      </c>
      <c r="H65" s="675">
        <f>G65+'3'!H65</f>
        <v>820.76999999998952</v>
      </c>
      <c r="I65" s="484"/>
      <c r="J65" s="547">
        <f>H65/DAY(B2)</f>
        <v>205.19249999999738</v>
      </c>
      <c r="K65" s="424"/>
      <c r="L65" s="374"/>
      <c r="N65" s="379"/>
    </row>
    <row r="66" spans="1:14" ht="27.75">
      <c r="A66" s="1450" t="s">
        <v>255</v>
      </c>
      <c r="B66" s="1451"/>
      <c r="C66" s="1452"/>
      <c r="D66" s="518" t="s">
        <v>253</v>
      </c>
      <c r="E66" s="509">
        <f>'3'!F66</f>
        <v>57490.71</v>
      </c>
      <c r="F66" s="630">
        <v>57809.82</v>
      </c>
      <c r="G66" s="468">
        <f t="shared" si="5"/>
        <v>319.11000000000058</v>
      </c>
      <c r="H66" s="675">
        <f>G66+'3'!H66</f>
        <v>1004.8199999999997</v>
      </c>
      <c r="I66" s="475"/>
      <c r="J66" s="547">
        <f>H66/DAY(B2)</f>
        <v>251.20499999999993</v>
      </c>
      <c r="K66" s="424"/>
      <c r="L66" s="374"/>
      <c r="N66" s="379"/>
    </row>
    <row r="67" spans="1:14" ht="27.75">
      <c r="A67" s="1450" t="s">
        <v>157</v>
      </c>
      <c r="B67" s="1451"/>
      <c r="C67" s="1452"/>
      <c r="D67" s="518" t="s">
        <v>253</v>
      </c>
      <c r="E67" s="509">
        <f>'3'!F67</f>
        <v>253178.53</v>
      </c>
      <c r="F67" s="630">
        <v>253616.59</v>
      </c>
      <c r="G67" s="468">
        <f t="shared" si="5"/>
        <v>438.05999999999767</v>
      </c>
      <c r="H67" s="675">
        <f>G67+'3'!H67</f>
        <v>1424.5899999999965</v>
      </c>
      <c r="I67" s="484"/>
      <c r="J67" s="547">
        <f>H67/DAY(B2)</f>
        <v>356.14749999999913</v>
      </c>
      <c r="K67" s="425"/>
      <c r="L67" s="374"/>
      <c r="N67" s="379"/>
    </row>
    <row r="68" spans="1:14" ht="27.75">
      <c r="A68" s="1450" t="s">
        <v>164</v>
      </c>
      <c r="B68" s="1451"/>
      <c r="C68" s="1452"/>
      <c r="D68" s="518" t="s">
        <v>253</v>
      </c>
      <c r="E68" s="509">
        <f>'3'!F68</f>
        <v>85321</v>
      </c>
      <c r="F68" s="630">
        <v>85321</v>
      </c>
      <c r="G68" s="468">
        <f t="shared" si="5"/>
        <v>0</v>
      </c>
      <c r="H68" s="675">
        <f>G68+'3'!H68</f>
        <v>0</v>
      </c>
      <c r="I68" s="511"/>
      <c r="J68" s="547">
        <f>H68/DAY(B2)</f>
        <v>0</v>
      </c>
      <c r="K68" s="426"/>
      <c r="L68" s="374"/>
      <c r="N68" s="379"/>
    </row>
    <row r="69" spans="1:14" ht="27.75">
      <c r="A69" s="1450" t="s">
        <v>165</v>
      </c>
      <c r="B69" s="1451"/>
      <c r="C69" s="1452"/>
      <c r="D69" s="518" t="s">
        <v>253</v>
      </c>
      <c r="E69" s="509">
        <f>'3'!F69</f>
        <v>82029.429999999993</v>
      </c>
      <c r="F69" s="630">
        <v>82121.929999999993</v>
      </c>
      <c r="G69" s="468">
        <f t="shared" si="5"/>
        <v>92.5</v>
      </c>
      <c r="H69" s="675">
        <f>G69+'3'!H69</f>
        <v>372.92999999999302</v>
      </c>
      <c r="I69" s="511"/>
      <c r="J69" s="547">
        <f>H69/DAY(B2)</f>
        <v>93.232499999998254</v>
      </c>
      <c r="K69" s="427"/>
      <c r="L69" s="374"/>
      <c r="N69" s="379"/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641"/>
      <c r="G70" s="513"/>
      <c r="H70" s="455">
        <f>G70+'[2]3'!H70</f>
        <v>0</v>
      </c>
      <c r="I70" s="513"/>
      <c r="J70" s="551">
        <f>H70/DAY(B2)</f>
        <v>0</v>
      </c>
      <c r="K70" s="427"/>
      <c r="L70" s="374"/>
      <c r="N70" s="379"/>
    </row>
    <row r="71" spans="1:14" ht="31.5">
      <c r="A71" s="1496"/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</row>
    <row r="72" spans="1:14" ht="27.75">
      <c r="A72" s="1450" t="s">
        <v>258</v>
      </c>
      <c r="B72" s="1451"/>
      <c r="C72" s="1452"/>
      <c r="D72" s="518" t="s">
        <v>253</v>
      </c>
      <c r="E72" s="650">
        <f>'3'!F72</f>
        <v>855884</v>
      </c>
      <c r="F72" s="642">
        <v>855896</v>
      </c>
      <c r="G72" s="468">
        <f t="shared" ref="G72:G84" si="6">F72-E72</f>
        <v>12</v>
      </c>
      <c r="H72" s="675">
        <f>G72+'3'!H72</f>
        <v>53</v>
      </c>
      <c r="I72" s="475"/>
      <c r="J72" s="547">
        <f>H72/DAY(B2)</f>
        <v>13.25</v>
      </c>
      <c r="K72" s="427"/>
      <c r="L72" s="374"/>
      <c r="N72" s="379"/>
    </row>
    <row r="73" spans="1:14" ht="27.75">
      <c r="A73" s="1450" t="s">
        <v>259</v>
      </c>
      <c r="B73" s="1451"/>
      <c r="C73" s="1452"/>
      <c r="D73" s="518" t="s">
        <v>253</v>
      </c>
      <c r="E73" s="650">
        <f>'3'!F73</f>
        <v>885941</v>
      </c>
      <c r="F73" s="642">
        <v>885941</v>
      </c>
      <c r="G73" s="648">
        <f t="shared" si="6"/>
        <v>0</v>
      </c>
      <c r="H73" s="675">
        <f>G73+'3'!H73</f>
        <v>4</v>
      </c>
      <c r="I73" s="475"/>
      <c r="J73" s="547">
        <f>H73/DAY(B2)</f>
        <v>1</v>
      </c>
      <c r="K73" s="426"/>
      <c r="L73" s="374"/>
      <c r="N73" s="379"/>
    </row>
    <row r="74" spans="1:14" ht="27.75">
      <c r="A74" s="1450" t="s">
        <v>260</v>
      </c>
      <c r="B74" s="1451"/>
      <c r="C74" s="1452"/>
      <c r="D74" s="518" t="s">
        <v>253</v>
      </c>
      <c r="E74" s="650">
        <f>'3'!F74</f>
        <v>2599.96</v>
      </c>
      <c r="F74" s="642">
        <v>2599.96</v>
      </c>
      <c r="G74" s="468">
        <f>F74-E74</f>
        <v>0</v>
      </c>
      <c r="H74" s="675">
        <f>G74+'3'!H74</f>
        <v>13.960000000000036</v>
      </c>
      <c r="I74" s="475"/>
      <c r="J74" s="547">
        <f>H74/DAY(B2)</f>
        <v>3.4900000000000091</v>
      </c>
      <c r="K74" s="427"/>
      <c r="L74" s="374"/>
      <c r="N74" s="379"/>
    </row>
    <row r="75" spans="1:14" ht="27.75">
      <c r="A75" s="1499" t="s">
        <v>261</v>
      </c>
      <c r="B75" s="1500"/>
      <c r="C75" s="1501"/>
      <c r="D75" s="518" t="s">
        <v>253</v>
      </c>
      <c r="E75" s="650">
        <f>'3'!F75</f>
        <v>12833</v>
      </c>
      <c r="F75" s="642">
        <v>12882.16</v>
      </c>
      <c r="G75" s="468">
        <f t="shared" si="6"/>
        <v>49.159999999999854</v>
      </c>
      <c r="H75" s="675">
        <f>G75+'3'!H75</f>
        <v>213.15999999999985</v>
      </c>
      <c r="I75" s="475"/>
      <c r="J75" s="547">
        <f>H75/DAY(B2)</f>
        <v>53.289999999999964</v>
      </c>
      <c r="K75" s="426"/>
      <c r="L75" s="374"/>
      <c r="N75" s="379"/>
    </row>
    <row r="76" spans="1:14" ht="27.75">
      <c r="A76" s="1499" t="s">
        <v>262</v>
      </c>
      <c r="B76" s="1500"/>
      <c r="C76" s="1501"/>
      <c r="D76" s="518" t="s">
        <v>253</v>
      </c>
      <c r="E76" s="650">
        <f>'3'!F76</f>
        <v>7588.63</v>
      </c>
      <c r="F76" s="642">
        <v>7650.65</v>
      </c>
      <c r="G76" s="468">
        <f t="shared" si="6"/>
        <v>62.019999999999527</v>
      </c>
      <c r="H76" s="675">
        <f>G76+'3'!H76</f>
        <v>231.64999999999964</v>
      </c>
      <c r="I76" s="500"/>
      <c r="J76" s="547">
        <f>H76/DAY(B2)</f>
        <v>57.912499999999909</v>
      </c>
      <c r="K76" s="426"/>
      <c r="L76" s="374"/>
      <c r="N76" s="379"/>
    </row>
    <row r="77" spans="1:14" ht="27.75">
      <c r="A77" s="1450" t="s">
        <v>263</v>
      </c>
      <c r="B77" s="1451"/>
      <c r="C77" s="1452"/>
      <c r="D77" s="518" t="s">
        <v>253</v>
      </c>
      <c r="E77" s="650">
        <f>'3'!F77</f>
        <v>702982</v>
      </c>
      <c r="F77" s="642">
        <v>703031</v>
      </c>
      <c r="G77" s="648">
        <f t="shared" si="6"/>
        <v>49</v>
      </c>
      <c r="H77" s="675">
        <f>G77+'3'!H77</f>
        <v>192</v>
      </c>
      <c r="I77" s="500"/>
      <c r="J77" s="547">
        <f>H77/DAY(B2)</f>
        <v>48</v>
      </c>
      <c r="K77" s="426"/>
      <c r="L77" s="374"/>
      <c r="N77" s="379"/>
    </row>
    <row r="78" spans="1:14" ht="27.75">
      <c r="A78" s="1395" t="s">
        <v>264</v>
      </c>
      <c r="B78" s="1387"/>
      <c r="C78" s="1387"/>
      <c r="D78" s="518" t="s">
        <v>253</v>
      </c>
      <c r="E78" s="650">
        <f>'3'!F78</f>
        <v>673187</v>
      </c>
      <c r="F78" s="642">
        <v>673280</v>
      </c>
      <c r="G78" s="468">
        <f t="shared" si="6"/>
        <v>93</v>
      </c>
      <c r="H78" s="675">
        <f>G78+'3'!H78</f>
        <v>248</v>
      </c>
      <c r="I78" s="500"/>
      <c r="J78" s="547">
        <f>H78/DAY(B2)</f>
        <v>62</v>
      </c>
      <c r="K78" s="426"/>
      <c r="L78" s="374"/>
      <c r="N78" s="379"/>
    </row>
    <row r="79" spans="1:14" ht="27.75">
      <c r="A79" s="1499" t="s">
        <v>151</v>
      </c>
      <c r="B79" s="1500"/>
      <c r="C79" s="1501"/>
      <c r="D79" s="519" t="s">
        <v>253</v>
      </c>
      <c r="E79" s="650">
        <f>'3'!F79</f>
        <v>831484</v>
      </c>
      <c r="F79" s="642">
        <v>831635</v>
      </c>
      <c r="G79" s="468">
        <f t="shared" si="6"/>
        <v>151</v>
      </c>
      <c r="H79" s="675">
        <f>G79+'3'!H79</f>
        <v>625</v>
      </c>
      <c r="I79" s="500"/>
      <c r="J79" s="547">
        <f>H79/DAY(B2)</f>
        <v>156.25</v>
      </c>
      <c r="K79" s="426"/>
      <c r="L79" s="374"/>
      <c r="N79" s="379"/>
    </row>
    <row r="80" spans="1:14" ht="27.75">
      <c r="A80" s="1499" t="s">
        <v>265</v>
      </c>
      <c r="B80" s="1500"/>
      <c r="C80" s="1501"/>
      <c r="D80" s="519" t="s">
        <v>253</v>
      </c>
      <c r="E80" s="650">
        <f>'3'!F80</f>
        <v>528797.64</v>
      </c>
      <c r="F80" s="642">
        <v>529141.30000000005</v>
      </c>
      <c r="G80" s="468">
        <f t="shared" si="6"/>
        <v>343.6600000000326</v>
      </c>
      <c r="H80" s="675">
        <f>G80+'3'!H80</f>
        <v>1483.3000000000466</v>
      </c>
      <c r="I80" s="500"/>
      <c r="J80" s="547">
        <f>H80/DAY(B2)</f>
        <v>370.82500000001164</v>
      </c>
      <c r="K80" s="426"/>
      <c r="L80" s="374"/>
      <c r="N80" s="379"/>
    </row>
    <row r="81" spans="1:15" ht="27.75">
      <c r="A81" s="1499" t="s">
        <v>266</v>
      </c>
      <c r="B81" s="1500"/>
      <c r="C81" s="1501"/>
      <c r="D81" s="519" t="s">
        <v>253</v>
      </c>
      <c r="E81" s="650">
        <f>'3'!F81</f>
        <v>639175.24</v>
      </c>
      <c r="F81" s="642">
        <v>639261.84</v>
      </c>
      <c r="G81" s="468">
        <f t="shared" si="6"/>
        <v>86.599999999976717</v>
      </c>
      <c r="H81" s="675">
        <f>G81+'3'!H81</f>
        <v>363.8399999999674</v>
      </c>
      <c r="I81" s="500"/>
      <c r="J81" s="547">
        <f>H81/DAY(B2)</f>
        <v>90.959999999991851</v>
      </c>
      <c r="K81" s="426"/>
      <c r="L81" s="374"/>
      <c r="N81" s="379"/>
    </row>
    <row r="82" spans="1:15" ht="27.75">
      <c r="A82" s="1499" t="s">
        <v>267</v>
      </c>
      <c r="B82" s="1500"/>
      <c r="C82" s="1501"/>
      <c r="D82" s="480" t="s">
        <v>198</v>
      </c>
      <c r="E82" s="650">
        <f>'3'!F82</f>
        <v>108203.85</v>
      </c>
      <c r="F82" s="631">
        <v>108213.91</v>
      </c>
      <c r="G82" s="468">
        <f t="shared" si="6"/>
        <v>10.059999999997672</v>
      </c>
      <c r="H82" s="675">
        <f>G82+'3'!H82</f>
        <v>55.910000000003492</v>
      </c>
      <c r="I82" s="481"/>
      <c r="J82" s="547">
        <f>H82/DAY(B2)</f>
        <v>13.977500000000873</v>
      </c>
      <c r="K82" s="426"/>
      <c r="L82" s="374"/>
      <c r="N82" s="379"/>
    </row>
    <row r="83" spans="1:15" ht="27.75">
      <c r="A83" s="1499" t="s">
        <v>268</v>
      </c>
      <c r="B83" s="1500"/>
      <c r="C83" s="1501"/>
      <c r="D83" s="615" t="s">
        <v>198</v>
      </c>
      <c r="E83" s="650">
        <f>'3'!F83</f>
        <v>21023</v>
      </c>
      <c r="F83" s="1289">
        <v>21186</v>
      </c>
      <c r="G83" s="468">
        <f t="shared" si="6"/>
        <v>163</v>
      </c>
      <c r="H83" s="675">
        <f>G83+'3'!H83</f>
        <v>680</v>
      </c>
      <c r="I83" s="476"/>
      <c r="J83" s="547">
        <f>H83/DAY(B2)</f>
        <v>170</v>
      </c>
      <c r="K83" s="425"/>
      <c r="L83" s="374"/>
      <c r="N83" s="379"/>
    </row>
    <row r="84" spans="1:15">
      <c r="A84" s="1396" t="s">
        <v>166</v>
      </c>
      <c r="B84" s="566"/>
      <c r="C84" s="566"/>
      <c r="D84" s="473" t="s">
        <v>198</v>
      </c>
      <c r="E84" s="650">
        <f>'3'!F84</f>
        <v>502698</v>
      </c>
      <c r="F84" s="643">
        <v>503488</v>
      </c>
      <c r="G84" s="468">
        <f t="shared" si="6"/>
        <v>790</v>
      </c>
      <c r="H84" s="675">
        <f>G84+'3'!H84</f>
        <v>3194</v>
      </c>
      <c r="I84" s="476"/>
      <c r="J84" s="547">
        <f>H84/DAY(B2)</f>
        <v>798.5</v>
      </c>
      <c r="K84" s="377"/>
      <c r="L84" s="374"/>
      <c r="N84" s="379"/>
    </row>
    <row r="85" spans="1:15" s="376" customFormat="1">
      <c r="A85" s="600" t="s">
        <v>102</v>
      </c>
      <c r="B85" s="567"/>
      <c r="C85" s="567"/>
      <c r="D85" s="484"/>
      <c r="E85" s="518"/>
      <c r="F85" s="633"/>
      <c r="G85" s="455">
        <f xml:space="preserve"> SUM(G71:G84)</f>
        <v>1809.5000000000064</v>
      </c>
      <c r="H85" s="675">
        <f>G85+'3'!H85</f>
        <v>7357.820000000017</v>
      </c>
      <c r="I85" s="476"/>
      <c r="J85" s="547">
        <f>H85/DAY(B2)</f>
        <v>1839.4550000000042</v>
      </c>
      <c r="K85" s="377"/>
      <c r="L85" s="375"/>
      <c r="N85" s="379"/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'3'!F86</f>
        <v>461035.72</v>
      </c>
      <c r="F86" s="643">
        <v>461064.26</v>
      </c>
      <c r="G86" s="701">
        <f t="shared" ref="G86:G87" si="7">F86-E86</f>
        <v>28.540000000037253</v>
      </c>
      <c r="H86" s="675">
        <f>G86+'3'!H86</f>
        <v>129.26000000000931</v>
      </c>
      <c r="I86" s="648"/>
      <c r="J86" s="703">
        <f>H86/DAY(B2)</f>
        <v>32.315000000002328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'3'!F87</f>
        <v>81438.5</v>
      </c>
      <c r="F87" s="643">
        <v>81456.3</v>
      </c>
      <c r="G87" s="701">
        <f t="shared" si="7"/>
        <v>17.80000000000291</v>
      </c>
      <c r="H87" s="675">
        <f>G87+'3'!H87</f>
        <v>81.30000000000291</v>
      </c>
      <c r="I87" s="648"/>
      <c r="J87" s="703">
        <f>H87/DAY(B2)</f>
        <v>20.325000000000728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'3'!F88</f>
        <v>153139.49</v>
      </c>
      <c r="F88" s="643">
        <v>153214.26</v>
      </c>
      <c r="G88" s="701">
        <f>F88-E88</f>
        <v>74.770000000018626</v>
      </c>
      <c r="H88" s="675">
        <f>G88+'3'!H88</f>
        <v>150.26000000000931</v>
      </c>
      <c r="I88" s="648"/>
      <c r="J88" s="703">
        <f>H88/DAY(B2)</f>
        <v>37.565000000002328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622">
        <f>'3'!F89</f>
        <v>65207.9</v>
      </c>
      <c r="F89" s="643">
        <v>65217.9</v>
      </c>
      <c r="G89" s="701">
        <f>F89-E89</f>
        <v>10</v>
      </c>
      <c r="H89" s="675">
        <f>G89+'3'!H89</f>
        <v>43.30000000000291</v>
      </c>
      <c r="I89" s="648"/>
      <c r="J89" s="703">
        <f>H89/DAY(B2)</f>
        <v>10.825000000000728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'3'!F90</f>
        <v>3273.7</v>
      </c>
      <c r="F90" s="643">
        <v>3273.8</v>
      </c>
      <c r="G90" s="701">
        <f t="shared" ref="G90:G91" si="8">F90-E90</f>
        <v>0.1000000000003638</v>
      </c>
      <c r="H90" s="675">
        <f>G90+'3'!H90</f>
        <v>0.20000000000027285</v>
      </c>
      <c r="I90" s="648"/>
      <c r="J90" s="703">
        <f>H90/DAY(B2)</f>
        <v>5.0000000000068212E-2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22">
        <f>'3'!F91</f>
        <v>28044</v>
      </c>
      <c r="F91" s="643">
        <v>28055.254400000002</v>
      </c>
      <c r="G91" s="701">
        <f t="shared" si="8"/>
        <v>11.254400000001624</v>
      </c>
      <c r="H91" s="675">
        <f>G91+'3'!H91</f>
        <v>11.254400000001624</v>
      </c>
      <c r="I91" s="648"/>
      <c r="J91" s="703">
        <f>H91/DAY(B2)</f>
        <v>2.813600000000406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78"/>
      <c r="G92" s="483"/>
      <c r="H92" s="467"/>
      <c r="I92" s="467"/>
      <c r="J92" s="546"/>
      <c r="K92" s="377"/>
      <c r="L92" s="375"/>
      <c r="N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'3'!F93</f>
        <v>245604</v>
      </c>
      <c r="F93" s="630">
        <v>245609</v>
      </c>
      <c r="G93" s="468">
        <f t="shared" ref="G93:G94" si="9">F93-E93</f>
        <v>5</v>
      </c>
      <c r="H93" s="675">
        <f>G93+'3'!H93</f>
        <v>121</v>
      </c>
      <c r="I93" s="475"/>
      <c r="J93" s="547">
        <f>H93/DAY(B2)</f>
        <v>30.25</v>
      </c>
      <c r="K93" s="425"/>
      <c r="L93" s="374"/>
      <c r="N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'3'!F94</f>
        <v>186339</v>
      </c>
      <c r="F94" s="630">
        <v>186420</v>
      </c>
      <c r="G94" s="468">
        <f t="shared" si="9"/>
        <v>81</v>
      </c>
      <c r="H94" s="675">
        <f>G94+'3'!H94</f>
        <v>299</v>
      </c>
      <c r="I94" s="475"/>
      <c r="J94" s="547">
        <f>H94/DAY(B2)</f>
        <v>74.75</v>
      </c>
      <c r="K94" s="377"/>
      <c r="L94" s="374"/>
      <c r="N94" s="379"/>
    </row>
    <row r="95" spans="1:15">
      <c r="A95" s="1447" t="s">
        <v>276</v>
      </c>
      <c r="B95" s="1448"/>
      <c r="C95" s="1449"/>
      <c r="D95" s="518"/>
      <c r="E95" s="479"/>
      <c r="F95" s="630"/>
      <c r="G95" s="468">
        <f>G93+G94</f>
        <v>86</v>
      </c>
      <c r="H95" s="675">
        <f>G95+'3'!H95</f>
        <v>344</v>
      </c>
      <c r="I95" s="475"/>
      <c r="J95" s="547">
        <f>H95/DAY(B2)</f>
        <v>86</v>
      </c>
      <c r="K95" s="377"/>
      <c r="L95" s="374"/>
      <c r="N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'3'!F96</f>
        <v>414430</v>
      </c>
      <c r="F96" s="630">
        <v>414457</v>
      </c>
      <c r="G96" s="468">
        <f t="shared" ref="G96:G101" si="10">F96-E96</f>
        <v>27</v>
      </c>
      <c r="H96" s="675">
        <f>G96+'3'!H96</f>
        <v>174</v>
      </c>
      <c r="I96" s="475"/>
      <c r="J96" s="547">
        <f>H96/DAY(B2)</f>
        <v>43.5</v>
      </c>
      <c r="K96" s="377"/>
      <c r="L96" s="374"/>
      <c r="N96" s="379"/>
    </row>
    <row r="97" spans="1:14" ht="27.75">
      <c r="A97" s="1392" t="s">
        <v>17</v>
      </c>
      <c r="B97" s="1393"/>
      <c r="C97" s="1393"/>
      <c r="D97" s="518" t="s">
        <v>209</v>
      </c>
      <c r="E97" s="479">
        <f>'3'!F97</f>
        <v>102680</v>
      </c>
      <c r="F97" s="630">
        <v>102689</v>
      </c>
      <c r="G97" s="468">
        <f t="shared" si="10"/>
        <v>9</v>
      </c>
      <c r="H97" s="675">
        <f>G97+'3'!H97</f>
        <v>41</v>
      </c>
      <c r="I97" s="475"/>
      <c r="J97" s="547">
        <f>H97/DAY(B2)</f>
        <v>10.25</v>
      </c>
      <c r="K97" s="423"/>
      <c r="L97" s="374"/>
      <c r="N97" s="379"/>
    </row>
    <row r="98" spans="1:14" ht="27.75">
      <c r="A98" s="1392" t="s">
        <v>18</v>
      </c>
      <c r="B98" s="1393"/>
      <c r="C98" s="1393"/>
      <c r="D98" s="518" t="s">
        <v>209</v>
      </c>
      <c r="E98" s="479">
        <f>'3'!F98</f>
        <v>97986</v>
      </c>
      <c r="F98" s="630">
        <v>98001</v>
      </c>
      <c r="G98" s="468">
        <f t="shared" si="10"/>
        <v>15</v>
      </c>
      <c r="H98" s="675">
        <f>G98+'3'!H98</f>
        <v>51</v>
      </c>
      <c r="I98" s="475"/>
      <c r="J98" s="547">
        <f>H98/DAY(B2)</f>
        <v>12.75</v>
      </c>
      <c r="K98" s="428"/>
      <c r="L98" s="374"/>
      <c r="N98" s="379"/>
    </row>
    <row r="99" spans="1:14" ht="27.75">
      <c r="A99" s="1392" t="s">
        <v>19</v>
      </c>
      <c r="B99" s="1393"/>
      <c r="C99" s="1393"/>
      <c r="D99" s="518" t="s">
        <v>209</v>
      </c>
      <c r="E99" s="479">
        <f>'3'!F99</f>
        <v>149870</v>
      </c>
      <c r="F99" s="630">
        <v>149880</v>
      </c>
      <c r="G99" s="468">
        <f t="shared" si="10"/>
        <v>10</v>
      </c>
      <c r="H99" s="675">
        <f>G99+'3'!H99</f>
        <v>28</v>
      </c>
      <c r="I99" s="475"/>
      <c r="J99" s="547">
        <f>H99/DAY(B2)</f>
        <v>7</v>
      </c>
      <c r="K99" s="377"/>
      <c r="L99" s="374"/>
      <c r="N99" s="379"/>
    </row>
    <row r="100" spans="1:14" ht="27.75">
      <c r="A100" s="1392" t="s">
        <v>20</v>
      </c>
      <c r="B100" s="1393"/>
      <c r="C100" s="1393"/>
      <c r="D100" s="518" t="s">
        <v>209</v>
      </c>
      <c r="E100" s="479">
        <f>'3'!F100</f>
        <v>7429</v>
      </c>
      <c r="F100" s="630">
        <v>7436</v>
      </c>
      <c r="G100" s="468">
        <f t="shared" si="10"/>
        <v>7</v>
      </c>
      <c r="H100" s="675">
        <f>G100+'3'!H100</f>
        <v>67</v>
      </c>
      <c r="I100" s="475"/>
      <c r="J100" s="547">
        <f>H100/DAY(B2)</f>
        <v>16.75</v>
      </c>
      <c r="K100" s="377"/>
      <c r="L100" s="374"/>
      <c r="N100" s="379"/>
    </row>
    <row r="101" spans="1:14" ht="27.75">
      <c r="A101" s="1392" t="s">
        <v>21</v>
      </c>
      <c r="B101" s="1393"/>
      <c r="C101" s="1393"/>
      <c r="D101" s="518" t="s">
        <v>209</v>
      </c>
      <c r="E101" s="479">
        <f>'3'!F101</f>
        <v>5404</v>
      </c>
      <c r="F101" s="630">
        <v>5411</v>
      </c>
      <c r="G101" s="468">
        <f t="shared" si="10"/>
        <v>7</v>
      </c>
      <c r="H101" s="675">
        <f>G101+'3'!H101</f>
        <v>20</v>
      </c>
      <c r="I101" s="475"/>
      <c r="J101" s="547">
        <f>H101/DAY(B2)</f>
        <v>5</v>
      </c>
      <c r="K101" s="377"/>
      <c r="L101" s="374"/>
      <c r="N101" s="379"/>
    </row>
    <row r="102" spans="1:14">
      <c r="A102" s="1447" t="s">
        <v>277</v>
      </c>
      <c r="B102" s="1448"/>
      <c r="C102" s="1449"/>
      <c r="D102" s="519"/>
      <c r="E102" s="519"/>
      <c r="F102" s="634"/>
      <c r="G102" s="520">
        <f>SUM(G96:G101)</f>
        <v>75</v>
      </c>
      <c r="H102" s="675">
        <f>G102+'3'!H102</f>
        <v>381</v>
      </c>
      <c r="I102" s="521"/>
      <c r="J102" s="547">
        <f>H102/DAY(B2)</f>
        <v>95.25</v>
      </c>
      <c r="K102" s="377"/>
      <c r="L102" s="374"/>
      <c r="N102" s="379"/>
    </row>
    <row r="103" spans="1:14" s="437" customFormat="1" ht="27">
      <c r="A103" s="602" t="s">
        <v>278</v>
      </c>
      <c r="B103" s="603"/>
      <c r="C103" s="603"/>
      <c r="D103" s="616"/>
      <c r="E103" s="523"/>
      <c r="F103" s="644"/>
      <c r="G103" s="524"/>
      <c r="H103" s="525"/>
      <c r="I103" s="526"/>
      <c r="J103" s="552"/>
      <c r="N103" s="379"/>
    </row>
    <row r="104" spans="1:14" s="437" customFormat="1" ht="27.75">
      <c r="A104" s="1456" t="s">
        <v>279</v>
      </c>
      <c r="B104" s="1457"/>
      <c r="C104" s="568"/>
      <c r="D104" s="617"/>
      <c r="E104" s="527"/>
      <c r="F104" s="527"/>
      <c r="G104" s="527"/>
      <c r="H104" s="528"/>
      <c r="I104" s="527"/>
      <c r="J104" s="553"/>
      <c r="N104" s="37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527">
        <f>'3'!F105</f>
        <v>7484</v>
      </c>
      <c r="F105" s="527">
        <v>7484</v>
      </c>
      <c r="G105" s="527">
        <f>F105-E105</f>
        <v>0</v>
      </c>
      <c r="H105" s="675">
        <f>G105+'3'!H105</f>
        <v>0</v>
      </c>
      <c r="I105" s="527"/>
      <c r="J105" s="553">
        <f>H105/DAY(B2)</f>
        <v>0</v>
      </c>
      <c r="N105" s="379"/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527">
        <f>'3'!F106</f>
        <v>35966</v>
      </c>
      <c r="F106" s="529">
        <v>35966</v>
      </c>
      <c r="G106" s="527">
        <f t="shared" ref="G106:G107" si="11">F106-E106</f>
        <v>0</v>
      </c>
      <c r="H106" s="675">
        <f>G106+'3'!H106</f>
        <v>13</v>
      </c>
      <c r="I106" s="527"/>
      <c r="J106" s="553">
        <f>H106/DAY(B2)</f>
        <v>3.25</v>
      </c>
      <c r="N106" s="379"/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527">
        <f>'3'!F107</f>
        <v>19711</v>
      </c>
      <c r="F107" s="1043">
        <v>19717</v>
      </c>
      <c r="G107" s="527">
        <f t="shared" si="11"/>
        <v>6</v>
      </c>
      <c r="H107" s="675">
        <f>G107+'3'!H107</f>
        <v>9</v>
      </c>
      <c r="I107" s="527"/>
      <c r="J107" s="553">
        <f>H107/DAY(B2)</f>
        <v>2.25</v>
      </c>
      <c r="N107" s="379"/>
    </row>
    <row r="108" spans="1:14" s="437" customFormat="1" ht="27.75">
      <c r="A108" s="1461" t="s">
        <v>102</v>
      </c>
      <c r="B108" s="1462"/>
      <c r="C108" s="1391"/>
      <c r="D108" s="617"/>
      <c r="E108" s="527" t="str">
        <f>'3'!F108</f>
        <v>.</v>
      </c>
      <c r="F108" s="527"/>
      <c r="G108" s="527">
        <f>SUM(G105:G107)</f>
        <v>6</v>
      </c>
      <c r="H108" s="675">
        <f>G108+'3'!H108</f>
        <v>22</v>
      </c>
      <c r="I108" s="527"/>
      <c r="J108" s="553">
        <f>H108/DAY(B2)</f>
        <v>5.5</v>
      </c>
      <c r="N108" s="379"/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527">
        <f>'3'!F109</f>
        <v>0</v>
      </c>
      <c r="F109" s="527"/>
      <c r="G109" s="527"/>
      <c r="H109" s="675">
        <f>G109+'3'!H109</f>
        <v>0</v>
      </c>
      <c r="I109" s="527"/>
      <c r="J109" s="553"/>
      <c r="N109" s="37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527">
        <f>'3'!F110</f>
        <v>63026</v>
      </c>
      <c r="F110" s="527">
        <v>63091</v>
      </c>
      <c r="G110" s="527">
        <f>F110-E110</f>
        <v>65</v>
      </c>
      <c r="H110" s="675">
        <f>G110+'3'!H110</f>
        <v>257</v>
      </c>
      <c r="I110" s="527"/>
      <c r="J110" s="553">
        <f>H110/DAY(B2)</f>
        <v>64.25</v>
      </c>
      <c r="N110" s="379"/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527">
        <f>'3'!F111</f>
        <v>32578</v>
      </c>
      <c r="F111" s="527">
        <v>32588</v>
      </c>
      <c r="G111" s="527">
        <f t="shared" ref="G111:G112" si="12">F111-E111</f>
        <v>10</v>
      </c>
      <c r="H111" s="675">
        <f>G111+'3'!H111</f>
        <v>10</v>
      </c>
      <c r="I111" s="527"/>
      <c r="J111" s="553">
        <f>H111/DAY(B2)</f>
        <v>2.5</v>
      </c>
      <c r="N111" s="379"/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527">
        <f>'3'!F112</f>
        <v>4606</v>
      </c>
      <c r="F112" s="527">
        <v>4606</v>
      </c>
      <c r="G112" s="527">
        <f t="shared" si="12"/>
        <v>0</v>
      </c>
      <c r="H112" s="675">
        <f>G112+'3'!H112</f>
        <v>30</v>
      </c>
      <c r="I112" s="527"/>
      <c r="J112" s="553">
        <f>H112/DAY(B2)</f>
        <v>7.5</v>
      </c>
      <c r="N112" s="379"/>
    </row>
    <row r="113" spans="1:14" s="437" customFormat="1" ht="27.75">
      <c r="A113" s="1461" t="s">
        <v>174</v>
      </c>
      <c r="B113" s="1462"/>
      <c r="C113" s="1391"/>
      <c r="D113" s="617"/>
      <c r="E113" s="527">
        <f>'3'!F113</f>
        <v>0</v>
      </c>
      <c r="F113" s="527"/>
      <c r="G113" s="527">
        <f>SUM(G110:G112)</f>
        <v>75</v>
      </c>
      <c r="H113" s="675">
        <f>G113+'3'!H113</f>
        <v>297</v>
      </c>
      <c r="I113" s="527"/>
      <c r="J113" s="553">
        <f>H113/DAY(B2)</f>
        <v>74.25</v>
      </c>
      <c r="N113" s="379"/>
    </row>
    <row r="114" spans="1:14" s="437" customFormat="1" ht="27.75">
      <c r="A114" s="1463" t="s">
        <v>280</v>
      </c>
      <c r="B114" s="1464"/>
      <c r="C114" s="1391"/>
      <c r="D114" s="617"/>
      <c r="E114" s="527">
        <f>'3'!F114</f>
        <v>0</v>
      </c>
      <c r="F114" s="527"/>
      <c r="G114" s="527"/>
      <c r="H114" s="675">
        <f>G114+'3'!H114</f>
        <v>0</v>
      </c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527">
        <f>'3'!F115</f>
        <v>11569</v>
      </c>
      <c r="F115" s="529">
        <v>11578</v>
      </c>
      <c r="G115" s="529">
        <f>F115-E115</f>
        <v>9</v>
      </c>
      <c r="H115" s="675">
        <f>G115+'3'!H115</f>
        <v>81</v>
      </c>
      <c r="I115" s="527"/>
      <c r="J115" s="553">
        <f>H115/DAY(B2)</f>
        <v>20.25</v>
      </c>
      <c r="N115" s="37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527">
        <f>'3'!F116</f>
        <v>8323</v>
      </c>
      <c r="F116" s="529">
        <v>8328</v>
      </c>
      <c r="G116" s="529">
        <f t="shared" ref="G116:G117" si="13">F116-E116</f>
        <v>5</v>
      </c>
      <c r="H116" s="675">
        <f>G116+'3'!H116</f>
        <v>16</v>
      </c>
      <c r="I116" s="527"/>
      <c r="J116" s="553">
        <f>H116/DAY(B2)</f>
        <v>4</v>
      </c>
      <c r="N116" s="37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529">
        <f t="shared" si="13"/>
        <v>0</v>
      </c>
      <c r="H117" s="675">
        <f>G117+'3'!H117</f>
        <v>0</v>
      </c>
      <c r="I117" s="527"/>
      <c r="J117" s="553">
        <f>H117/DAY(B2)</f>
        <v>0</v>
      </c>
      <c r="N117" s="379"/>
    </row>
    <row r="118" spans="1:14" s="440" customFormat="1" ht="27.75">
      <c r="A118" s="1461" t="s">
        <v>102</v>
      </c>
      <c r="B118" s="1462"/>
      <c r="C118" s="569"/>
      <c r="D118" s="618"/>
      <c r="E118" s="529"/>
      <c r="F118" s="529"/>
      <c r="G118" s="529">
        <f>SUM(G115:G117)</f>
        <v>14</v>
      </c>
      <c r="H118" s="675">
        <f>G118+'3'!H118</f>
        <v>97</v>
      </c>
      <c r="I118" s="529"/>
      <c r="J118" s="553">
        <f>H118/DAY(B2)</f>
        <v>24.25</v>
      </c>
      <c r="N118" s="37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531">
        <f>SUM(G19+G93)</f>
        <v>66</v>
      </c>
      <c r="G119" s="531">
        <f>SUM(G19+G93)</f>
        <v>66</v>
      </c>
      <c r="H119" s="675">
        <f>G119+'3'!H119</f>
        <v>357</v>
      </c>
      <c r="I119" s="530"/>
      <c r="J119" s="554">
        <f>H119/DAY(B2)</f>
        <v>89.25</v>
      </c>
      <c r="N119" s="37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531">
        <f>SUM(G96,G97,G98,G100,G101)</f>
        <v>65</v>
      </c>
      <c r="G120" s="531">
        <f>SUM(G96,G97,G98,G100,G101)</f>
        <v>65</v>
      </c>
      <c r="H120" s="675">
        <f>G120+'3'!H120</f>
        <v>353</v>
      </c>
      <c r="I120" s="530"/>
      <c r="J120" s="554">
        <f>H120/DAY(B2)</f>
        <v>88.25</v>
      </c>
      <c r="N120" s="37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529">
        <f>SUM(G113)</f>
        <v>75</v>
      </c>
      <c r="G121" s="529">
        <f>SUM(G113)</f>
        <v>75</v>
      </c>
      <c r="H121" s="675">
        <f>G121+'3'!H121</f>
        <v>297</v>
      </c>
      <c r="I121" s="530"/>
      <c r="J121" s="554">
        <f>H121/DAY(B2)</f>
        <v>74.25</v>
      </c>
      <c r="N121" s="379"/>
    </row>
    <row r="122" spans="1:14" s="437" customFormat="1" ht="27.75">
      <c r="A122" s="1494"/>
      <c r="B122" s="1495"/>
      <c r="C122" s="1390"/>
      <c r="D122" s="555"/>
      <c r="E122" s="555"/>
      <c r="F122" s="555" t="s">
        <v>182</v>
      </c>
      <c r="G122" s="555"/>
      <c r="H122" s="556"/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478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'3'!F124</f>
        <v>832890.3</v>
      </c>
      <c r="F124" s="630">
        <v>833069.83</v>
      </c>
      <c r="G124" s="468">
        <f t="shared" ref="G124:G128" si="14">F124-E124</f>
        <v>179.52999999991152</v>
      </c>
      <c r="H124" s="675">
        <f>G124+'3'!H124</f>
        <v>703.82999999995809</v>
      </c>
      <c r="I124" s="521"/>
      <c r="J124" s="547">
        <f>H124/DAY(B2)</f>
        <v>175.95749999998952</v>
      </c>
      <c r="K124" s="377"/>
      <c r="L124" s="374"/>
      <c r="N124" s="379"/>
    </row>
    <row r="125" spans="1:14" ht="27.75">
      <c r="A125" s="1392" t="s">
        <v>287</v>
      </c>
      <c r="B125" s="1393"/>
      <c r="C125" s="1393"/>
      <c r="D125" s="518" t="s">
        <v>206</v>
      </c>
      <c r="E125" s="473">
        <f>'3'!F125</f>
        <v>73583.399999999994</v>
      </c>
      <c r="F125" s="645">
        <v>73583</v>
      </c>
      <c r="G125" s="468">
        <f t="shared" si="14"/>
        <v>-0.39999999999417923</v>
      </c>
      <c r="H125" s="675">
        <f>G125+'3'!H125</f>
        <v>-0.39999999999417923</v>
      </c>
      <c r="I125" s="521"/>
      <c r="J125" s="547">
        <f>H125/DAY(B2)</f>
        <v>-9.9999999998544808E-2</v>
      </c>
      <c r="K125" s="377"/>
      <c r="L125" s="374"/>
      <c r="N125" s="379"/>
    </row>
    <row r="126" spans="1:14" ht="27.75">
      <c r="A126" s="1450" t="s">
        <v>288</v>
      </c>
      <c r="B126" s="1451"/>
      <c r="C126" s="1452"/>
      <c r="D126" s="518" t="s">
        <v>206</v>
      </c>
      <c r="E126" s="473">
        <f>'3'!F126</f>
        <v>146669.01999999999</v>
      </c>
      <c r="F126" s="630">
        <v>146737.42000000001</v>
      </c>
      <c r="G126" s="468">
        <f t="shared" si="14"/>
        <v>68.400000000023283</v>
      </c>
      <c r="H126" s="675">
        <f>G126+'3'!H126</f>
        <v>246.42000000001281</v>
      </c>
      <c r="I126" s="521"/>
      <c r="J126" s="547">
        <f>H126/DAY(B2)</f>
        <v>61.605000000003201</v>
      </c>
      <c r="K126" s="377"/>
      <c r="L126" s="374"/>
      <c r="N126" s="379"/>
    </row>
    <row r="127" spans="1:14" ht="27.75">
      <c r="A127" s="604" t="s">
        <v>289</v>
      </c>
      <c r="B127" s="1393"/>
      <c r="C127" s="1393"/>
      <c r="D127" s="518" t="s">
        <v>206</v>
      </c>
      <c r="E127" s="473">
        <f>'3'!F127</f>
        <v>31406.2</v>
      </c>
      <c r="F127" s="645">
        <v>31406.2</v>
      </c>
      <c r="G127" s="468">
        <f t="shared" si="14"/>
        <v>0</v>
      </c>
      <c r="H127" s="675">
        <f>G127+'3'!H127</f>
        <v>0.2000000000007276</v>
      </c>
      <c r="I127" s="521"/>
      <c r="J127" s="547">
        <f>H127/DAY(B2)</f>
        <v>5.0000000000181899E-2</v>
      </c>
      <c r="K127" s="377"/>
      <c r="L127" s="374"/>
      <c r="N127" s="379"/>
    </row>
    <row r="128" spans="1:14" ht="27.75">
      <c r="A128" s="604" t="s">
        <v>290</v>
      </c>
      <c r="B128" s="1393"/>
      <c r="C128" s="1393"/>
      <c r="D128" s="518" t="s">
        <v>206</v>
      </c>
      <c r="E128" s="473">
        <f>'3'!F128</f>
        <v>8971.7000000000007</v>
      </c>
      <c r="F128" s="645">
        <v>8971.7000000000007</v>
      </c>
      <c r="G128" s="468">
        <f t="shared" si="14"/>
        <v>0</v>
      </c>
      <c r="H128" s="675">
        <f>G128+'3'!H128</f>
        <v>-0.2999999999992724</v>
      </c>
      <c r="I128" s="475"/>
      <c r="J128" s="547">
        <f>H128/DAY(B2)</f>
        <v>-7.4999999999818101E-2</v>
      </c>
      <c r="K128" s="377"/>
      <c r="L128" s="374"/>
      <c r="N128" s="37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630"/>
      <c r="G129" s="468">
        <f>G15-SUM(G124:G128)</f>
        <v>55.374000000156229</v>
      </c>
      <c r="H129" s="675">
        <f>G129+'3'!H129</f>
        <v>672.65800000007584</v>
      </c>
      <c r="I129" s="475"/>
      <c r="J129" s="547">
        <f>H129/DAY(B2)</f>
        <v>168.16450000001896</v>
      </c>
      <c r="K129" s="361"/>
      <c r="L129" s="289"/>
      <c r="N129" s="379"/>
    </row>
    <row r="130" spans="1:14">
      <c r="A130" s="605" t="s">
        <v>292</v>
      </c>
      <c r="B130" s="453"/>
      <c r="C130" s="453"/>
      <c r="D130" s="466"/>
      <c r="E130" s="466"/>
      <c r="F130" s="489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'3'!F131</f>
        <v>0</v>
      </c>
      <c r="F131" s="630">
        <v>0</v>
      </c>
      <c r="G131" s="468">
        <f t="shared" ref="G131:G141" si="15">F131-E131</f>
        <v>0</v>
      </c>
      <c r="H131" s="675">
        <f>G131+'3'!H131</f>
        <v>0</v>
      </c>
      <c r="I131" s="475"/>
      <c r="J131" s="547">
        <f>H131/DAY(B2)</f>
        <v>0</v>
      </c>
      <c r="N131" s="37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'3'!F132</f>
        <v>0</v>
      </c>
      <c r="F132" s="630">
        <v>0</v>
      </c>
      <c r="G132" s="468">
        <f t="shared" si="15"/>
        <v>0</v>
      </c>
      <c r="H132" s="675">
        <f>G132+'3'!H132</f>
        <v>0</v>
      </c>
      <c r="I132" s="475"/>
      <c r="J132" s="547">
        <f>H132/DAY(B2)</f>
        <v>0</v>
      </c>
      <c r="N132" s="379"/>
    </row>
    <row r="133" spans="1:14" ht="27.75">
      <c r="A133" s="1392" t="s">
        <v>296</v>
      </c>
      <c r="B133" s="1393"/>
      <c r="C133" s="1393"/>
      <c r="D133" s="518" t="s">
        <v>294</v>
      </c>
      <c r="E133" s="479">
        <f>'3'!F133</f>
        <v>40059</v>
      </c>
      <c r="F133" s="631">
        <v>40059</v>
      </c>
      <c r="G133" s="468">
        <f t="shared" si="15"/>
        <v>0</v>
      </c>
      <c r="H133" s="675">
        <f>G133+'3'!H133</f>
        <v>0</v>
      </c>
      <c r="I133" s="475"/>
      <c r="J133" s="547">
        <f>H133/DAY(B2)</f>
        <v>0</v>
      </c>
      <c r="N133" s="379"/>
    </row>
    <row r="134" spans="1:14" ht="27.75">
      <c r="A134" s="1392" t="s">
        <v>297</v>
      </c>
      <c r="B134" s="1393"/>
      <c r="C134" s="1393"/>
      <c r="D134" s="518" t="s">
        <v>294</v>
      </c>
      <c r="E134" s="479">
        <f>'3'!F134</f>
        <v>300</v>
      </c>
      <c r="F134" s="645">
        <v>300</v>
      </c>
      <c r="G134" s="468">
        <f t="shared" si="15"/>
        <v>0</v>
      </c>
      <c r="H134" s="675">
        <f>G134+'3'!H134</f>
        <v>0</v>
      </c>
      <c r="I134" s="475">
        <f>G133+G134+G135+G136</f>
        <v>24</v>
      </c>
      <c r="J134" s="547">
        <f>H134/DAY(B2)</f>
        <v>0</v>
      </c>
      <c r="N134" s="379"/>
    </row>
    <row r="135" spans="1:14" ht="27.75">
      <c r="A135" s="1392" t="s">
        <v>298</v>
      </c>
      <c r="B135" s="1393"/>
      <c r="C135" s="1393"/>
      <c r="D135" s="518" t="s">
        <v>294</v>
      </c>
      <c r="E135" s="479">
        <f>'3'!F135</f>
        <v>41730</v>
      </c>
      <c r="F135" s="645">
        <v>41730</v>
      </c>
      <c r="G135" s="468">
        <f t="shared" si="15"/>
        <v>0</v>
      </c>
      <c r="H135" s="675">
        <f>G135+'3'!H135</f>
        <v>0</v>
      </c>
      <c r="I135" s="475"/>
      <c r="J135" s="547">
        <f>H135/DAY(B2)</f>
        <v>0</v>
      </c>
      <c r="N135" s="379"/>
    </row>
    <row r="136" spans="1:14" ht="27.75">
      <c r="A136" s="1392" t="s">
        <v>299</v>
      </c>
      <c r="B136" s="1393"/>
      <c r="C136" s="1393"/>
      <c r="D136" s="518" t="s">
        <v>294</v>
      </c>
      <c r="E136" s="479">
        <f>'3'!F136</f>
        <v>32787</v>
      </c>
      <c r="F136" s="645">
        <v>32811</v>
      </c>
      <c r="G136" s="468">
        <f t="shared" si="15"/>
        <v>24</v>
      </c>
      <c r="H136" s="675">
        <f>G136+'3'!H136</f>
        <v>96</v>
      </c>
      <c r="I136" s="475"/>
      <c r="J136" s="547">
        <f>H136/DAY(B2)</f>
        <v>24</v>
      </c>
      <c r="N136" s="379"/>
    </row>
    <row r="137" spans="1:14" ht="27.75">
      <c r="A137" s="1392" t="s">
        <v>300</v>
      </c>
      <c r="B137" s="1393"/>
      <c r="C137" s="1393"/>
      <c r="D137" s="518" t="s">
        <v>294</v>
      </c>
      <c r="E137" s="479">
        <f>'3'!F137</f>
        <v>22814.28</v>
      </c>
      <c r="F137" s="631">
        <v>22814.2</v>
      </c>
      <c r="G137" s="468">
        <f t="shared" si="15"/>
        <v>-7.9999999998108251E-2</v>
      </c>
      <c r="H137" s="675">
        <f>G137+'3'!H137</f>
        <v>6.9599999999991269</v>
      </c>
      <c r="I137" s="475">
        <f>G137+G138+G139</f>
        <v>0.22000000000116415</v>
      </c>
      <c r="J137" s="547">
        <f>H137/DAY(B2)</f>
        <v>1.7399999999997817</v>
      </c>
      <c r="N137" s="379"/>
    </row>
    <row r="138" spans="1:14" ht="27.75">
      <c r="A138" s="1392" t="s">
        <v>301</v>
      </c>
      <c r="B138" s="1393"/>
      <c r="C138" s="1393"/>
      <c r="D138" s="518" t="s">
        <v>294</v>
      </c>
      <c r="E138" s="479">
        <f>'3'!F138</f>
        <v>25051.52</v>
      </c>
      <c r="F138" s="631">
        <v>25051.82</v>
      </c>
      <c r="G138" s="468">
        <f t="shared" si="15"/>
        <v>0.2999999999992724</v>
      </c>
      <c r="H138" s="675">
        <f>G138+'3'!H138</f>
        <v>0</v>
      </c>
      <c r="I138" s="475"/>
      <c r="J138" s="547">
        <f>H138/DAY(B2)</f>
        <v>0</v>
      </c>
      <c r="N138" s="379"/>
    </row>
    <row r="139" spans="1:14" ht="27.75">
      <c r="A139" s="1392" t="s">
        <v>302</v>
      </c>
      <c r="B139" s="1393"/>
      <c r="C139" s="1393"/>
      <c r="D139" s="518" t="s">
        <v>294</v>
      </c>
      <c r="E139" s="479">
        <f>'3'!F139</f>
        <v>70424.240000000005</v>
      </c>
      <c r="F139" s="631">
        <v>70424.240000000005</v>
      </c>
      <c r="G139" s="468">
        <f t="shared" si="15"/>
        <v>0</v>
      </c>
      <c r="H139" s="675">
        <f>G139+'3'!H139</f>
        <v>12.5</v>
      </c>
      <c r="I139" s="475"/>
      <c r="J139" s="547">
        <f>H139/DAY(B2)</f>
        <v>3.125</v>
      </c>
      <c r="N139" s="379"/>
    </row>
    <row r="140" spans="1:14" ht="27.75">
      <c r="A140" s="1392" t="s">
        <v>303</v>
      </c>
      <c r="B140" s="1393"/>
      <c r="C140" s="1393"/>
      <c r="D140" s="518" t="s">
        <v>294</v>
      </c>
      <c r="E140" s="479">
        <f>'3'!F140</f>
        <v>1874.45</v>
      </c>
      <c r="F140" s="645">
        <v>1881.49</v>
      </c>
      <c r="G140" s="468">
        <f t="shared" si="15"/>
        <v>7.0399999999999636</v>
      </c>
      <c r="H140" s="675">
        <f>G140+'3'!H140</f>
        <v>27.190000000000055</v>
      </c>
      <c r="I140" s="537">
        <f>G140+G141</f>
        <v>7.0399999999999636</v>
      </c>
      <c r="J140" s="547">
        <f>H140/DAY(B2)</f>
        <v>6.7975000000000136</v>
      </c>
      <c r="N140" s="379"/>
    </row>
    <row r="141" spans="1:14" ht="27.75">
      <c r="A141" s="1392" t="s">
        <v>304</v>
      </c>
      <c r="B141" s="1393"/>
      <c r="C141" s="1393"/>
      <c r="D141" s="518" t="s">
        <v>294</v>
      </c>
      <c r="E141" s="479">
        <f>'3'!F141</f>
        <v>4637</v>
      </c>
      <c r="F141" s="630">
        <v>4637</v>
      </c>
      <c r="G141" s="468">
        <f t="shared" si="15"/>
        <v>0</v>
      </c>
      <c r="H141" s="675">
        <f>G141+'3'!H141</f>
        <v>0</v>
      </c>
      <c r="I141" s="537"/>
      <c r="J141" s="547">
        <f>H141/DAY(B2)</f>
        <v>0</v>
      </c>
      <c r="N141" s="379"/>
    </row>
    <row r="142" spans="1:14">
      <c r="A142" s="1488" t="s">
        <v>305</v>
      </c>
      <c r="B142" s="1489"/>
      <c r="C142" s="1398"/>
      <c r="D142" s="467"/>
      <c r="E142" s="467"/>
      <c r="F142" s="478"/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633"/>
      <c r="G143" s="455">
        <f>G35+G43+G49+G57</f>
        <v>4780.3200000000652</v>
      </c>
      <c r="H143" s="675">
        <f>G143+'3'!H143</f>
        <v>18814.339999999967</v>
      </c>
      <c r="I143" s="475"/>
      <c r="J143" s="547">
        <f>H143/DAY(B2)</f>
        <v>4703.5849999999919</v>
      </c>
      <c r="K143" s="377"/>
      <c r="L143" s="374"/>
      <c r="N143" s="37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637"/>
      <c r="G144" s="538">
        <f>G143/G7</f>
        <v>0.29115981045425576</v>
      </c>
      <c r="H144" s="675">
        <f>G144+'3'!H144</f>
        <v>1.1474329301516115</v>
      </c>
      <c r="I144" s="539"/>
      <c r="J144" s="547">
        <f>H144/DAY(B2)</f>
        <v>0.28685823253790288</v>
      </c>
      <c r="K144" s="377"/>
      <c r="L144" s="374"/>
      <c r="N144" s="37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628"/>
      <c r="G145" s="455">
        <f>G41+G42+G55+G56</f>
        <v>4466.5599999999395</v>
      </c>
      <c r="H145" s="675">
        <f>G145+'3'!H145</f>
        <v>19025.679999999993</v>
      </c>
      <c r="I145" s="475"/>
      <c r="J145" s="547">
        <f>H145/DAY(B2)</f>
        <v>4756.4199999999983</v>
      </c>
      <c r="K145" s="377"/>
      <c r="L145" s="374"/>
      <c r="N145" s="37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628"/>
      <c r="G146" s="538">
        <f>G145/G7</f>
        <v>0.2720493111303271</v>
      </c>
      <c r="H146" s="675">
        <f>G146+'3'!H146</f>
        <v>1.1592885278917657</v>
      </c>
      <c r="I146" s="539"/>
      <c r="J146" s="547">
        <f>H146/DAY(B2)</f>
        <v>0.28982213197294143</v>
      </c>
      <c r="K146" s="377"/>
      <c r="L146" s="374"/>
      <c r="N146" s="37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628"/>
      <c r="G147" s="455">
        <f>G39+G53</f>
        <v>2762.9400000000023</v>
      </c>
      <c r="H147" s="675">
        <f>G147+'3'!H147</f>
        <v>10252.01999999996</v>
      </c>
      <c r="I147" s="540"/>
      <c r="J147" s="547">
        <f>H147/DAY(B2)</f>
        <v>2563.0049999999901</v>
      </c>
      <c r="K147" s="377"/>
      <c r="L147" s="374"/>
      <c r="N147" s="37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628"/>
      <c r="G148" s="538">
        <f>G147/G7</f>
        <v>0.16828519569745773</v>
      </c>
      <c r="H148" s="675">
        <f>G148+'3'!H148</f>
        <v>0.62503804400451812</v>
      </c>
      <c r="I148" s="540"/>
      <c r="J148" s="547">
        <f>H148/DAY(B2)</f>
        <v>0.15625951100112953</v>
      </c>
      <c r="N148" s="37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628"/>
      <c r="G149" s="455">
        <f>G38+G52</f>
        <v>1089.3699999999953</v>
      </c>
      <c r="H149" s="675">
        <f>G149+'3'!H149</f>
        <v>4783.9599999999919</v>
      </c>
      <c r="I149" s="475"/>
      <c r="J149" s="547">
        <f>H149/DAY(B2)</f>
        <v>1195.989999999998</v>
      </c>
      <c r="K149" s="378"/>
      <c r="N149" s="37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628"/>
      <c r="G150" s="538">
        <f>G149/G7</f>
        <v>6.6351366166814543E-2</v>
      </c>
      <c r="H150" s="675">
        <f>G150+'3'!H150</f>
        <v>0.29182942305703552</v>
      </c>
      <c r="I150" s="540"/>
      <c r="J150" s="547">
        <f>H150/DAY(B2)</f>
        <v>7.295735576425888E-2</v>
      </c>
      <c r="N150" s="37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628"/>
      <c r="G151" s="455">
        <f>G36+G50</f>
        <v>1546.9900000000116</v>
      </c>
      <c r="H151" s="675">
        <f>G151+'3'!H151</f>
        <v>5494.4200000000237</v>
      </c>
      <c r="I151" s="540"/>
      <c r="J151" s="547">
        <f>H151/DAY(B2)</f>
        <v>1373.6050000000059</v>
      </c>
      <c r="N151" s="37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628"/>
      <c r="G152" s="538">
        <f>G151/G7</f>
        <v>9.4224092775091695E-2</v>
      </c>
      <c r="H152" s="675">
        <f>G152+'3'!H152</f>
        <v>0.33509540429350387</v>
      </c>
      <c r="I152" s="475"/>
      <c r="J152" s="547">
        <f>H152/DAY(B2)</f>
        <v>8.3773851073375968E-2</v>
      </c>
      <c r="N152" s="37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628"/>
      <c r="G153" s="455">
        <f>G37+G51</f>
        <v>1305.7000000000116</v>
      </c>
      <c r="H153" s="675">
        <f>G153+'3'!H153</f>
        <v>5084.320000000007</v>
      </c>
      <c r="I153" s="475"/>
      <c r="J153" s="547">
        <f>H153/DAY(B2)</f>
        <v>1271.0800000000017</v>
      </c>
      <c r="N153" s="37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646"/>
      <c r="G154" s="561">
        <f>G153/G7</f>
        <v>7.9527597422373392E-2</v>
      </c>
      <c r="H154" s="675">
        <f>G154+'3'!H154</f>
        <v>0.31003037838603886</v>
      </c>
      <c r="I154" s="563"/>
      <c r="J154" s="564">
        <f>H154/DAY(B2)</f>
        <v>7.7507594596509716E-2</v>
      </c>
      <c r="N154" s="379"/>
    </row>
    <row r="155" spans="1:14">
      <c r="A155" s="461"/>
      <c r="B155" s="451"/>
      <c r="C155" s="451"/>
      <c r="D155" s="541"/>
      <c r="E155" s="541"/>
      <c r="F155" s="541"/>
      <c r="G155" s="541"/>
      <c r="H155" s="542"/>
      <c r="I155" s="541"/>
      <c r="J155" s="543"/>
      <c r="N155" s="379"/>
    </row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654">
        <f>'3'!F161</f>
        <v>38676.51</v>
      </c>
      <c r="F161" s="654">
        <v>38758.07</v>
      </c>
      <c r="G161" s="468">
        <f t="shared" ref="G161:G172" si="16">F161-E161</f>
        <v>81.559999999997672</v>
      </c>
    </row>
    <row r="162" spans="1:7">
      <c r="A162" s="780" t="s">
        <v>319</v>
      </c>
      <c r="B162" s="781"/>
      <c r="C162" s="781"/>
      <c r="D162" s="506" t="s">
        <v>253</v>
      </c>
      <c r="E162" s="654">
        <f>'3'!F162</f>
        <v>95991.27</v>
      </c>
      <c r="F162" s="654">
        <v>96413.95</v>
      </c>
      <c r="G162" s="468">
        <f t="shared" si="16"/>
        <v>422.67999999999302</v>
      </c>
    </row>
    <row r="163" spans="1:7">
      <c r="A163" s="780" t="s">
        <v>320</v>
      </c>
      <c r="B163" s="781"/>
      <c r="C163" s="781"/>
      <c r="D163" s="506" t="s">
        <v>253</v>
      </c>
      <c r="E163" s="654">
        <f>'3'!F163</f>
        <v>45561.39</v>
      </c>
      <c r="F163" s="654">
        <v>45775.49</v>
      </c>
      <c r="G163" s="468">
        <f t="shared" si="16"/>
        <v>214.09999999999854</v>
      </c>
    </row>
    <row r="164" spans="1:7">
      <c r="A164" s="780" t="s">
        <v>321</v>
      </c>
      <c r="B164" s="781"/>
      <c r="C164" s="781"/>
      <c r="D164" s="506" t="s">
        <v>253</v>
      </c>
      <c r="E164" s="654">
        <f>'3'!F164</f>
        <v>6582.43</v>
      </c>
      <c r="F164" s="654">
        <v>6591.02</v>
      </c>
      <c r="G164" s="468">
        <f t="shared" si="16"/>
        <v>8.5900000000001455</v>
      </c>
    </row>
    <row r="165" spans="1:7">
      <c r="A165" s="782" t="s">
        <v>252</v>
      </c>
      <c r="B165" s="599"/>
      <c r="C165" s="599"/>
      <c r="D165" s="506" t="s">
        <v>253</v>
      </c>
      <c r="E165" s="654">
        <v>0</v>
      </c>
      <c r="F165" s="509">
        <f>F62</f>
        <v>0</v>
      </c>
      <c r="G165" s="468">
        <f t="shared" si="16"/>
        <v>0</v>
      </c>
    </row>
    <row r="166" spans="1:7">
      <c r="A166" s="782" t="s">
        <v>254</v>
      </c>
      <c r="B166" s="599"/>
      <c r="C166" s="599"/>
      <c r="D166" s="506" t="s">
        <v>253</v>
      </c>
      <c r="E166" s="747">
        <f>'3'!F63</f>
        <v>0</v>
      </c>
      <c r="F166" s="509">
        <f>F63</f>
        <v>0</v>
      </c>
      <c r="G166" s="468">
        <f t="shared" si="16"/>
        <v>0</v>
      </c>
    </row>
    <row r="167" spans="1:7" ht="25.5" customHeight="1">
      <c r="A167" s="1502" t="s">
        <v>161</v>
      </c>
      <c r="B167" s="1502"/>
      <c r="C167" s="1502"/>
      <c r="D167" s="518" t="s">
        <v>253</v>
      </c>
      <c r="E167" s="747">
        <f>'3'!F64</f>
        <v>160493.07</v>
      </c>
      <c r="F167" s="509">
        <f t="shared" ref="F167:F172" si="17">F64</f>
        <v>160690.44</v>
      </c>
      <c r="G167" s="468">
        <f>F167-E167</f>
        <v>197.36999999999534</v>
      </c>
    </row>
    <row r="168" spans="1:7" ht="24.75" customHeight="1">
      <c r="A168" s="1502" t="s">
        <v>162</v>
      </c>
      <c r="B168" s="1502"/>
      <c r="C168" s="1502"/>
      <c r="D168" s="518" t="s">
        <v>253</v>
      </c>
      <c r="E168" s="747">
        <f>'3'!F65</f>
        <v>161634.31</v>
      </c>
      <c r="F168" s="509">
        <f t="shared" si="17"/>
        <v>161818.76999999999</v>
      </c>
      <c r="G168" s="468">
        <f t="shared" si="16"/>
        <v>184.45999999999185</v>
      </c>
    </row>
    <row r="169" spans="1:7" ht="28.5" customHeight="1">
      <c r="A169" s="1502" t="s">
        <v>255</v>
      </c>
      <c r="B169" s="1502"/>
      <c r="C169" s="1502"/>
      <c r="D169" s="518" t="s">
        <v>253</v>
      </c>
      <c r="E169" s="747">
        <f>'3'!F66</f>
        <v>57490.71</v>
      </c>
      <c r="F169" s="509">
        <f t="shared" si="17"/>
        <v>57809.82</v>
      </c>
      <c r="G169" s="468">
        <f t="shared" si="16"/>
        <v>319.11000000000058</v>
      </c>
    </row>
    <row r="170" spans="1:7" ht="24.75" customHeight="1">
      <c r="A170" s="1502" t="s">
        <v>157</v>
      </c>
      <c r="B170" s="1502"/>
      <c r="C170" s="1502"/>
      <c r="D170" s="518" t="s">
        <v>253</v>
      </c>
      <c r="E170" s="747">
        <f>'3'!F67</f>
        <v>253178.53</v>
      </c>
      <c r="F170" s="509">
        <f t="shared" si="17"/>
        <v>253616.59</v>
      </c>
      <c r="G170" s="468">
        <f t="shared" si="16"/>
        <v>438.05999999999767</v>
      </c>
    </row>
    <row r="171" spans="1:7" ht="24" customHeight="1">
      <c r="A171" s="1502" t="s">
        <v>164</v>
      </c>
      <c r="B171" s="1502"/>
      <c r="C171" s="1502"/>
      <c r="D171" s="518" t="s">
        <v>253</v>
      </c>
      <c r="E171" s="747">
        <f>'3'!F68</f>
        <v>85321</v>
      </c>
      <c r="F171" s="509">
        <f t="shared" si="17"/>
        <v>85321</v>
      </c>
      <c r="G171" s="468">
        <f t="shared" si="16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747">
        <f>'3'!F69</f>
        <v>82029.429999999993</v>
      </c>
      <c r="F172" s="509">
        <f t="shared" si="17"/>
        <v>82121.929999999993</v>
      </c>
      <c r="G172" s="468">
        <f t="shared" si="16"/>
        <v>92.5</v>
      </c>
    </row>
    <row r="173" spans="1:7">
      <c r="A173" s="1512" t="s">
        <v>329</v>
      </c>
      <c r="B173" s="1495"/>
      <c r="C173" s="781"/>
      <c r="D173" s="537"/>
      <c r="E173" s="537"/>
      <c r="F173" s="537"/>
      <c r="G173" s="537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1.33203125" style="449" customWidth="1"/>
    <col min="2" max="2" width="27.1093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330</v>
      </c>
      <c r="B2" s="1028">
        <v>44352</v>
      </c>
      <c r="C2" s="1394" t="s">
        <v>111</v>
      </c>
      <c r="D2" s="606">
        <v>0.98</v>
      </c>
      <c r="E2" s="456"/>
      <c r="F2" s="625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34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0.84</v>
      </c>
      <c r="E4" s="459"/>
      <c r="F4" s="626"/>
      <c r="G4" s="459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627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89"/>
      <c r="G6" s="466"/>
      <c r="H6" s="467"/>
      <c r="I6" s="467"/>
      <c r="J6" s="546"/>
      <c r="K6" s="423"/>
      <c r="L6" s="374"/>
    </row>
    <row r="7" spans="1:15" ht="30" thickBot="1">
      <c r="A7" s="672" t="s">
        <v>197</v>
      </c>
      <c r="B7" s="673"/>
      <c r="C7" s="673"/>
      <c r="D7" s="633" t="s">
        <v>331</v>
      </c>
      <c r="E7" s="628">
        <f>'4'!F7</f>
        <v>410015.07</v>
      </c>
      <c r="F7" s="1166">
        <v>430018.71</v>
      </c>
      <c r="G7" s="1171">
        <f>F7-E7</f>
        <v>20003.640000000014</v>
      </c>
      <c r="H7" s="675">
        <f>G7+'4'!H7</f>
        <v>85606.710000000021</v>
      </c>
      <c r="I7" s="676">
        <f>'1'!I7</f>
        <v>12000</v>
      </c>
      <c r="J7" s="677">
        <f>H7/DAY(B2)</f>
        <v>17121.342000000004</v>
      </c>
      <c r="K7" s="544"/>
      <c r="L7" s="374"/>
      <c r="N7" s="379"/>
      <c r="O7" s="379"/>
    </row>
    <row r="8" spans="1:15" ht="27.75" thickBot="1">
      <c r="A8" s="678" t="s">
        <v>199</v>
      </c>
      <c r="B8" s="679"/>
      <c r="C8" s="680"/>
      <c r="D8" s="681" t="s">
        <v>59</v>
      </c>
      <c r="E8" s="628">
        <f>'4'!F8</f>
        <v>412399.87</v>
      </c>
      <c r="F8" s="1167">
        <v>432505.15</v>
      </c>
      <c r="G8" s="1171">
        <f t="shared" ref="G8:G9" si="0">F8-E8</f>
        <v>20105.280000000028</v>
      </c>
      <c r="H8" s="675">
        <f>G8+'4'!H8</f>
        <v>85995.150000000023</v>
      </c>
      <c r="I8" s="682">
        <v>12000</v>
      </c>
      <c r="J8" s="677">
        <f>H8/DAY(B2)</f>
        <v>17199.030000000006</v>
      </c>
      <c r="K8" s="544"/>
      <c r="L8" s="421"/>
      <c r="M8" s="435"/>
      <c r="N8" s="699"/>
      <c r="O8" s="379"/>
    </row>
    <row r="9" spans="1:15">
      <c r="A9" s="683" t="s">
        <v>200</v>
      </c>
      <c r="B9" s="684"/>
      <c r="C9" s="684"/>
      <c r="D9" s="633" t="s">
        <v>198</v>
      </c>
      <c r="E9" s="630">
        <f>'4'!F9</f>
        <v>1538346.2</v>
      </c>
      <c r="F9" s="1163">
        <v>1556655.6</v>
      </c>
      <c r="G9" s="1171">
        <f t="shared" si="0"/>
        <v>18309.40000000014</v>
      </c>
      <c r="H9" s="675">
        <f>G9+'4'!H9</f>
        <v>82965.600000000093</v>
      </c>
      <c r="I9" s="686">
        <f>I8-J8</f>
        <v>-5199.0300000000061</v>
      </c>
      <c r="J9" s="677">
        <f>H9/DAY(B2)</f>
        <v>16593.120000000017</v>
      </c>
      <c r="K9" s="424"/>
      <c r="L9" s="374"/>
      <c r="N9" s="379"/>
      <c r="O9" s="379"/>
    </row>
    <row r="10" spans="1:15">
      <c r="A10" s="672" t="s">
        <v>201</v>
      </c>
      <c r="B10" s="673"/>
      <c r="C10" s="673"/>
      <c r="D10" s="633" t="s">
        <v>198</v>
      </c>
      <c r="E10" s="630">
        <f>'4'!F10</f>
        <v>2606.5500000000002</v>
      </c>
      <c r="F10" s="1163">
        <v>2606.5500000000002</v>
      </c>
      <c r="G10" s="1171">
        <f>F10-E10</f>
        <v>0</v>
      </c>
      <c r="H10" s="675">
        <f>G10+'4'!H10</f>
        <v>0.42000000000007276</v>
      </c>
      <c r="I10" s="687"/>
      <c r="J10" s="677">
        <f>H10/DAY(B2)</f>
        <v>8.4000000000014549E-2</v>
      </c>
      <c r="K10" s="424"/>
      <c r="L10" s="374"/>
      <c r="N10" s="379">
        <v>108</v>
      </c>
      <c r="O10" s="379"/>
    </row>
    <row r="11" spans="1:15">
      <c r="A11" s="672" t="s">
        <v>202</v>
      </c>
      <c r="B11" s="673"/>
      <c r="C11" s="673"/>
      <c r="D11" s="633" t="s">
        <v>198</v>
      </c>
      <c r="E11" s="628">
        <f>'4'!F11</f>
        <v>37000</v>
      </c>
      <c r="F11" s="1166">
        <v>37000</v>
      </c>
      <c r="G11" s="1171">
        <f>F11-E11</f>
        <v>0</v>
      </c>
      <c r="H11" s="675">
        <f>G11+'4'!H11</f>
        <v>0</v>
      </c>
      <c r="I11" s="687"/>
      <c r="J11" s="677">
        <f>H11/DAY(B2)</f>
        <v>0</v>
      </c>
      <c r="K11" s="424"/>
      <c r="L11" s="374"/>
      <c r="N11" s="379">
        <v>28</v>
      </c>
      <c r="O11" s="379"/>
    </row>
    <row r="12" spans="1:15">
      <c r="A12" s="672" t="s">
        <v>203</v>
      </c>
      <c r="B12" s="673"/>
      <c r="C12" s="673"/>
      <c r="D12" s="633" t="s">
        <v>198</v>
      </c>
      <c r="E12" s="630">
        <f>'4'!F12</f>
        <v>40010</v>
      </c>
      <c r="F12" s="1163">
        <v>40010</v>
      </c>
      <c r="G12" s="1171">
        <f t="shared" ref="G12" si="1">F12-E12</f>
        <v>0</v>
      </c>
      <c r="H12" s="675">
        <f>G12+'4'!H12</f>
        <v>0</v>
      </c>
      <c r="I12" s="687"/>
      <c r="J12" s="677">
        <f>H12/DAY(B2)</f>
        <v>0</v>
      </c>
      <c r="K12" s="424"/>
      <c r="L12" s="374"/>
      <c r="N12" s="379">
        <v>342</v>
      </c>
      <c r="O12" s="379"/>
    </row>
    <row r="13" spans="1:15">
      <c r="A13" s="688" t="s">
        <v>204</v>
      </c>
      <c r="B13" s="689"/>
      <c r="C13" s="689"/>
      <c r="D13" s="633"/>
      <c r="E13" s="628"/>
      <c r="F13" s="1166"/>
      <c r="G13" s="1171">
        <f>G9+G10+G11+G12</f>
        <v>18309.40000000014</v>
      </c>
      <c r="H13" s="675">
        <f>G13+'4'!H13</f>
        <v>82966.020000000091</v>
      </c>
      <c r="I13" s="691">
        <f>G7-G13</f>
        <v>1694.2399999998743</v>
      </c>
      <c r="J13" s="677">
        <f>H13/DAY(B2)</f>
        <v>16593.20400000002</v>
      </c>
      <c r="K13" s="424"/>
      <c r="L13" s="374"/>
      <c r="N13" s="379">
        <v>349</v>
      </c>
      <c r="O13" s="379"/>
    </row>
    <row r="14" spans="1:15">
      <c r="A14" s="1471" t="s">
        <v>205</v>
      </c>
      <c r="B14" s="1472"/>
      <c r="C14" s="1473"/>
      <c r="D14" s="467"/>
      <c r="E14" s="467"/>
      <c r="F14" s="1090"/>
      <c r="G14" s="1174"/>
      <c r="H14" s="467"/>
      <c r="I14" s="467"/>
      <c r="J14" s="546"/>
      <c r="K14" s="425"/>
      <c r="L14" s="374"/>
      <c r="N14" s="379">
        <v>432</v>
      </c>
      <c r="O14" s="379"/>
    </row>
    <row r="15" spans="1:15">
      <c r="A15" s="1169" t="s">
        <v>133</v>
      </c>
      <c r="B15" s="783"/>
      <c r="C15" s="783"/>
      <c r="D15" s="784" t="s">
        <v>206</v>
      </c>
      <c r="E15" s="1170">
        <f>'4'!F15</f>
        <v>1686146.4080000001</v>
      </c>
      <c r="F15" s="1170">
        <v>1686600.31</v>
      </c>
      <c r="G15" s="1171">
        <f t="shared" ref="G15" si="2">F15-E15</f>
        <v>453.90200000000186</v>
      </c>
      <c r="H15" s="1172">
        <f>G15+'4'!H15</f>
        <v>2076.3100000000559</v>
      </c>
      <c r="I15" s="1092">
        <v>800</v>
      </c>
      <c r="J15" s="1173">
        <f>H15/DAY(B2)</f>
        <v>415.2620000000112</v>
      </c>
      <c r="K15" s="424"/>
      <c r="L15" s="374"/>
      <c r="N15" s="379"/>
      <c r="O15" s="379"/>
    </row>
    <row r="16" spans="1:15">
      <c r="A16" s="786"/>
      <c r="B16" s="787"/>
      <c r="C16" s="787"/>
      <c r="D16" s="784"/>
      <c r="E16" s="1170"/>
      <c r="F16" s="1170"/>
      <c r="G16" s="1171"/>
      <c r="H16" s="1172"/>
      <c r="I16" s="1088">
        <f>I15-J15</f>
        <v>384.7379999999888</v>
      </c>
      <c r="J16" s="1173"/>
      <c r="K16" s="424"/>
      <c r="L16" s="374"/>
      <c r="N16" s="379"/>
      <c r="O16" s="379"/>
    </row>
    <row r="17" spans="1:15">
      <c r="A17" s="1471" t="s">
        <v>207</v>
      </c>
      <c r="B17" s="1472"/>
      <c r="C17" s="1473"/>
      <c r="D17" s="467"/>
      <c r="E17" s="467"/>
      <c r="F17" s="1090"/>
      <c r="G17" s="1172"/>
      <c r="H17" s="467"/>
      <c r="I17" s="467"/>
      <c r="J17" s="546"/>
      <c r="K17" s="424"/>
      <c r="L17" s="374"/>
      <c r="N17" s="379"/>
      <c r="O17" s="379"/>
    </row>
    <row r="18" spans="1:15" ht="27.75">
      <c r="A18" s="1506" t="s">
        <v>208</v>
      </c>
      <c r="B18" s="1507"/>
      <c r="C18" s="1508"/>
      <c r="D18" s="633" t="s">
        <v>209</v>
      </c>
      <c r="E18" s="1170">
        <f>'4'!F18</f>
        <v>4</v>
      </c>
      <c r="F18" s="1163">
        <v>4</v>
      </c>
      <c r="G18" s="1171">
        <f>F18*10</f>
        <v>40</v>
      </c>
      <c r="H18" s="675">
        <f>G18+'4'!H18</f>
        <v>240</v>
      </c>
      <c r="I18" s="676">
        <f>'1'!I18</f>
        <v>65</v>
      </c>
      <c r="J18" s="677">
        <f>H18/DAY(B2)</f>
        <v>48</v>
      </c>
      <c r="K18" s="424"/>
      <c r="L18" s="374"/>
      <c r="N18" s="379"/>
      <c r="O18" s="379"/>
    </row>
    <row r="19" spans="1:15" ht="27.75">
      <c r="A19" s="1506" t="s">
        <v>113</v>
      </c>
      <c r="B19" s="1507"/>
      <c r="C19" s="1508"/>
      <c r="D19" s="633" t="s">
        <v>209</v>
      </c>
      <c r="E19" s="630">
        <f>'4'!F19</f>
        <v>139848</v>
      </c>
      <c r="F19" s="1163">
        <v>139910</v>
      </c>
      <c r="G19" s="1171">
        <f t="shared" ref="G19" si="3">F19-E19</f>
        <v>62</v>
      </c>
      <c r="H19" s="675">
        <f>G19+'4'!H19</f>
        <v>298</v>
      </c>
      <c r="I19" s="692"/>
      <c r="J19" s="677">
        <f>H19/DAY(B2)</f>
        <v>59.6</v>
      </c>
      <c r="K19" s="424"/>
      <c r="L19" s="374"/>
      <c r="N19" s="379"/>
      <c r="O19" s="379"/>
    </row>
    <row r="20" spans="1:15">
      <c r="A20" s="688" t="s">
        <v>210</v>
      </c>
      <c r="B20" s="689"/>
      <c r="C20" s="689"/>
      <c r="D20" s="633"/>
      <c r="E20" s="633"/>
      <c r="F20" s="633"/>
      <c r="G20" s="1175">
        <f>G18+G19</f>
        <v>102</v>
      </c>
      <c r="H20" s="675">
        <f>G20+'4'!H20</f>
        <v>538</v>
      </c>
      <c r="I20" s="694">
        <f>I18-J20</f>
        <v>-42.599999999999994</v>
      </c>
      <c r="J20" s="677">
        <f>H20/DAY(B2)</f>
        <v>107.6</v>
      </c>
      <c r="K20" s="424"/>
      <c r="L20" s="374"/>
      <c r="N20" s="379"/>
      <c r="O20" s="379"/>
    </row>
    <row r="21" spans="1:15">
      <c r="A21" s="1471" t="s">
        <v>211</v>
      </c>
      <c r="B21" s="1472"/>
      <c r="C21" s="1473"/>
      <c r="D21" s="467"/>
      <c r="E21" s="467"/>
      <c r="F21" s="478"/>
      <c r="G21" s="478"/>
      <c r="H21" s="467"/>
      <c r="I21" s="467"/>
      <c r="J21" s="546"/>
      <c r="K21" s="424"/>
      <c r="L21" s="374"/>
      <c r="N21" s="379"/>
      <c r="O21" s="379"/>
    </row>
    <row r="22" spans="1:15">
      <c r="A22" s="1392" t="s">
        <v>212</v>
      </c>
      <c r="B22" s="584"/>
      <c r="C22" s="584"/>
      <c r="D22" s="518" t="s">
        <v>213</v>
      </c>
      <c r="E22" s="630">
        <f>'4'!F22</f>
        <v>2970</v>
      </c>
      <c r="F22" s="630">
        <v>2970</v>
      </c>
      <c r="G22" s="476">
        <f t="shared" ref="G22" si="4">(F22-E22)</f>
        <v>0</v>
      </c>
      <c r="H22" s="455">
        <f>G22+'4'!H22</f>
        <v>0</v>
      </c>
      <c r="I22" s="475"/>
      <c r="J22" s="547">
        <f>H22/DAY(B2)</f>
        <v>0</v>
      </c>
      <c r="K22" s="424"/>
      <c r="L22" s="374"/>
      <c r="N22" s="379"/>
      <c r="O22" s="379"/>
    </row>
    <row r="23" spans="1:15">
      <c r="A23" s="1392" t="s">
        <v>214</v>
      </c>
      <c r="B23" s="584"/>
      <c r="C23" s="584"/>
      <c r="D23" s="518" t="s">
        <v>213</v>
      </c>
      <c r="E23" s="630">
        <f>'4'!F23</f>
        <v>2000</v>
      </c>
      <c r="F23" s="630">
        <v>2000</v>
      </c>
      <c r="G23" s="476">
        <v>0</v>
      </c>
      <c r="H23" s="455">
        <f>G23+'4'!H23</f>
        <v>120</v>
      </c>
      <c r="I23" s="475"/>
      <c r="J23" s="547">
        <f>H23/DAY(B2)</f>
        <v>24</v>
      </c>
      <c r="K23" s="424"/>
      <c r="L23" s="374"/>
      <c r="N23" s="379"/>
      <c r="O23" s="379"/>
    </row>
    <row r="24" spans="1:15">
      <c r="A24" s="585" t="s">
        <v>215</v>
      </c>
      <c r="B24" s="586"/>
      <c r="C24" s="586"/>
      <c r="D24" s="506" t="s">
        <v>213</v>
      </c>
      <c r="E24" s="630">
        <f>'4'!F24</f>
        <v>4970</v>
      </c>
      <c r="F24" s="632">
        <v>4970</v>
      </c>
      <c r="G24" s="476">
        <v>0</v>
      </c>
      <c r="H24" s="455">
        <f>G24+'4'!H24</f>
        <v>120</v>
      </c>
      <c r="I24" s="475"/>
      <c r="J24" s="547">
        <f>H24/DAY(B2)</f>
        <v>24</v>
      </c>
      <c r="K24" s="424"/>
      <c r="L24" s="374"/>
      <c r="N24" s="379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89"/>
      <c r="G25" s="489"/>
      <c r="H25" s="490"/>
      <c r="I25" s="491"/>
      <c r="J25" s="549"/>
      <c r="K25" s="370"/>
      <c r="L25" s="438"/>
      <c r="N25" s="379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628"/>
      <c r="G26" s="493"/>
      <c r="H26" s="455"/>
      <c r="I26" s="494"/>
      <c r="J26" s="547"/>
      <c r="K26" s="371"/>
      <c r="L26" s="438"/>
      <c r="N26" s="379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695">
        <f>G8</f>
        <v>20105.280000000028</v>
      </c>
      <c r="F27" s="496">
        <v>9</v>
      </c>
      <c r="G27" s="497">
        <f>E27*F27</f>
        <v>180947.52000000025</v>
      </c>
      <c r="H27" s="455">
        <f>G27+'4'!H27</f>
        <v>773119.35000000021</v>
      </c>
      <c r="I27" s="498"/>
      <c r="J27" s="547">
        <f>H27/DAY(B2)</f>
        <v>154623.87000000005</v>
      </c>
      <c r="K27" s="370"/>
      <c r="L27" s="438"/>
      <c r="N27" s="379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695">
        <f>G15</f>
        <v>453.90200000000186</v>
      </c>
      <c r="F28" s="496">
        <v>52</v>
      </c>
      <c r="G28" s="497">
        <f>E28*F28</f>
        <v>23602.904000000097</v>
      </c>
      <c r="H28" s="455">
        <f>G28+'4'!H28</f>
        <v>107968.12000000291</v>
      </c>
      <c r="I28" s="500"/>
      <c r="J28" s="547">
        <f>H28/DAY(B2)</f>
        <v>21593.624000000582</v>
      </c>
      <c r="K28" s="370"/>
      <c r="L28" s="438"/>
      <c r="N28" s="379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G29+'4'!H29</f>
        <v>8280</v>
      </c>
      <c r="I29" s="500"/>
      <c r="J29" s="547">
        <f>H29/DAY(B2)</f>
        <v>1656</v>
      </c>
      <c r="K29" s="370"/>
      <c r="L29" s="438"/>
      <c r="N29" s="379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695">
        <f>G19</f>
        <v>62</v>
      </c>
      <c r="F30" s="496">
        <v>146</v>
      </c>
      <c r="G30" s="497">
        <f>E30*F30</f>
        <v>9052</v>
      </c>
      <c r="H30" s="455">
        <f>G30+'4'!H30</f>
        <v>43508</v>
      </c>
      <c r="I30" s="500"/>
      <c r="J30" s="547">
        <f>H30/DAY(B2)</f>
        <v>8701.6</v>
      </c>
      <c r="K30" s="370"/>
      <c r="L30" s="438"/>
      <c r="N30" s="379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695">
        <f>G18</f>
        <v>40</v>
      </c>
      <c r="F31" s="496">
        <v>80</v>
      </c>
      <c r="G31" s="497">
        <f>E31*F31</f>
        <v>3200</v>
      </c>
      <c r="H31" s="455">
        <f>G31+'4'!H31</f>
        <v>19200</v>
      </c>
      <c r="I31" s="500"/>
      <c r="J31" s="547">
        <f>H31/DAY(B2)</f>
        <v>3840</v>
      </c>
      <c r="K31" s="370"/>
      <c r="L31" s="438"/>
      <c r="N31" s="379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634"/>
      <c r="G32" s="503">
        <f>G27+G28+G29+G30+G31</f>
        <v>216802.42400000035</v>
      </c>
      <c r="H32" s="455">
        <f>G32+'4'!H32</f>
        <v>952075.47000000323</v>
      </c>
      <c r="I32" s="504"/>
      <c r="J32" s="547">
        <f>H32/DAY(B2)</f>
        <v>190415.09400000065</v>
      </c>
      <c r="K32" s="370"/>
      <c r="L32" s="438"/>
      <c r="N32" s="379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  <c r="O33" s="379"/>
    </row>
    <row r="34" spans="1:15">
      <c r="A34" s="593" t="s">
        <v>228</v>
      </c>
      <c r="B34" s="1397"/>
      <c r="C34" s="1397"/>
      <c r="D34" s="467"/>
      <c r="E34" s="466"/>
      <c r="F34" s="489"/>
      <c r="G34" s="467"/>
      <c r="H34" s="467"/>
      <c r="I34" s="467"/>
      <c r="J34" s="546"/>
      <c r="K34" s="424"/>
      <c r="L34" s="374"/>
      <c r="N34" s="379"/>
      <c r="O34" s="379"/>
    </row>
    <row r="35" spans="1:15">
      <c r="A35" s="573" t="s">
        <v>229</v>
      </c>
      <c r="B35" s="574"/>
      <c r="C35" s="574"/>
      <c r="D35" s="518" t="s">
        <v>198</v>
      </c>
      <c r="E35" s="505">
        <f>'4'!F35</f>
        <v>960086.71</v>
      </c>
      <c r="F35" s="1156">
        <v>962514.15</v>
      </c>
      <c r="G35" s="468">
        <f t="shared" ref="G35:G46" si="5">F35-E35</f>
        <v>2427.4400000000605</v>
      </c>
      <c r="H35" s="455">
        <f>G35+'4'!H35</f>
        <v>12026.150000000023</v>
      </c>
      <c r="I35" s="450"/>
      <c r="J35" s="547">
        <f>H35/DAY(B2)</f>
        <v>2405.2300000000046</v>
      </c>
      <c r="K35" s="424"/>
      <c r="L35" s="374"/>
      <c r="N35" s="379"/>
      <c r="O35" s="379"/>
    </row>
    <row r="36" spans="1:15">
      <c r="A36" s="573" t="s">
        <v>230</v>
      </c>
      <c r="B36" s="574"/>
      <c r="C36" s="574"/>
      <c r="D36" s="518" t="s">
        <v>198</v>
      </c>
      <c r="E36" s="505">
        <f>'4'!F36</f>
        <v>2103.27</v>
      </c>
      <c r="F36" s="1156">
        <v>3030.77</v>
      </c>
      <c r="G36" s="468">
        <f t="shared" si="5"/>
        <v>927.5</v>
      </c>
      <c r="H36" s="455">
        <f>G36+'4'!H36</f>
        <v>2857.77</v>
      </c>
      <c r="I36" s="450"/>
      <c r="J36" s="547">
        <f>H36/DAY(B2)</f>
        <v>571.55399999999997</v>
      </c>
      <c r="K36" s="424"/>
      <c r="L36" s="374"/>
      <c r="N36" s="623"/>
      <c r="O36" s="379"/>
    </row>
    <row r="37" spans="1:15">
      <c r="A37" s="573" t="s">
        <v>231</v>
      </c>
      <c r="B37" s="574"/>
      <c r="C37" s="574"/>
      <c r="D37" s="518" t="s">
        <v>198</v>
      </c>
      <c r="E37" s="505">
        <f>'4'!F37</f>
        <v>139320.32000000001</v>
      </c>
      <c r="F37" s="1156">
        <v>140703</v>
      </c>
      <c r="G37" s="468">
        <f t="shared" si="5"/>
        <v>1382.679999999993</v>
      </c>
      <c r="H37" s="455">
        <f>G37+'4'!H37</f>
        <v>6467</v>
      </c>
      <c r="I37" s="450"/>
      <c r="J37" s="547">
        <f>H37/DAY(B2)</f>
        <v>1293.4000000000001</v>
      </c>
      <c r="K37" s="424"/>
      <c r="L37" s="374"/>
      <c r="N37" s="624"/>
      <c r="O37" s="379"/>
    </row>
    <row r="38" spans="1:15">
      <c r="A38" s="573" t="s">
        <v>232</v>
      </c>
      <c r="B38" s="574"/>
      <c r="C38" s="574"/>
      <c r="D38" s="518" t="s">
        <v>198</v>
      </c>
      <c r="E38" s="505">
        <f>'4'!F38</f>
        <v>161188.96</v>
      </c>
      <c r="F38" s="1157">
        <v>162592.67000000001</v>
      </c>
      <c r="G38" s="468">
        <f t="shared" si="5"/>
        <v>1403.710000000021</v>
      </c>
      <c r="H38" s="455">
        <f>G38+'4'!H38</f>
        <v>6187.6700000000128</v>
      </c>
      <c r="I38" s="450"/>
      <c r="J38" s="547">
        <f>H38/DAY(B2)</f>
        <v>1237.5340000000026</v>
      </c>
      <c r="K38" s="424"/>
      <c r="L38" s="374"/>
      <c r="N38" s="379"/>
      <c r="O38" s="379"/>
    </row>
    <row r="39" spans="1:15">
      <c r="A39" s="573" t="s">
        <v>233</v>
      </c>
      <c r="B39" s="574"/>
      <c r="C39" s="574"/>
      <c r="D39" s="518" t="s">
        <v>198</v>
      </c>
      <c r="E39" s="505">
        <f>'4'!F39</f>
        <v>316761.34999999998</v>
      </c>
      <c r="F39" s="1156">
        <v>320048.78999999998</v>
      </c>
      <c r="G39" s="468">
        <f t="shared" si="5"/>
        <v>3287.4400000000023</v>
      </c>
      <c r="H39" s="455">
        <f>G39+'4'!H39</f>
        <v>11875.789999999979</v>
      </c>
      <c r="I39" s="450"/>
      <c r="J39" s="547">
        <f>H39/DAY(B2)</f>
        <v>2375.1579999999958</v>
      </c>
      <c r="K39" s="424"/>
      <c r="L39" s="374"/>
      <c r="N39" s="379"/>
      <c r="O39" s="379"/>
    </row>
    <row r="40" spans="1:15">
      <c r="A40" s="594" t="s">
        <v>234</v>
      </c>
      <c r="B40" s="595"/>
      <c r="C40" s="595"/>
      <c r="D40" s="518" t="s">
        <v>198</v>
      </c>
      <c r="E40" s="505">
        <f>'4'!F40</f>
        <v>888.99</v>
      </c>
      <c r="F40" s="1156">
        <v>1057.0899999999999</v>
      </c>
      <c r="G40" s="468">
        <f t="shared" si="5"/>
        <v>168.09999999999991</v>
      </c>
      <c r="H40" s="455">
        <f>G40+'4'!H40</f>
        <v>168.08999999999992</v>
      </c>
      <c r="I40" s="450"/>
      <c r="J40" s="547">
        <f>H40/DAY(B2)</f>
        <v>33.617999999999981</v>
      </c>
      <c r="K40" s="425"/>
      <c r="L40" s="374"/>
      <c r="N40" s="379"/>
      <c r="O40" s="379"/>
    </row>
    <row r="41" spans="1:15">
      <c r="A41" s="573" t="s">
        <v>235</v>
      </c>
      <c r="B41" s="574"/>
      <c r="C41" s="574"/>
      <c r="D41" s="518" t="s">
        <v>198</v>
      </c>
      <c r="E41" s="505">
        <f>'4'!F41</f>
        <v>240478.13</v>
      </c>
      <c r="F41" s="1156">
        <v>241404.07</v>
      </c>
      <c r="G41" s="468">
        <f t="shared" si="5"/>
        <v>925.94000000000233</v>
      </c>
      <c r="H41" s="455">
        <f>G41+'4'!H41</f>
        <v>926.07000000000698</v>
      </c>
      <c r="I41" s="450"/>
      <c r="J41" s="547">
        <f>H41/DAY(B2)</f>
        <v>185.21400000000139</v>
      </c>
      <c r="K41" s="424"/>
      <c r="L41" s="374"/>
      <c r="N41" s="379"/>
      <c r="O41" s="379"/>
    </row>
    <row r="42" spans="1:15">
      <c r="A42" s="573" t="s">
        <v>236</v>
      </c>
      <c r="B42" s="574"/>
      <c r="C42" s="574"/>
      <c r="D42" s="518" t="s">
        <v>198</v>
      </c>
      <c r="E42" s="505">
        <f>'4'!F42</f>
        <v>59198.97</v>
      </c>
      <c r="F42" s="1156">
        <v>59198.97</v>
      </c>
      <c r="G42" s="468">
        <f t="shared" si="5"/>
        <v>0</v>
      </c>
      <c r="H42" s="455">
        <f>G42+'4'!H42</f>
        <v>0</v>
      </c>
      <c r="I42" s="450"/>
      <c r="J42" s="547">
        <f>H42/DAY(B2)</f>
        <v>0</v>
      </c>
      <c r="K42" s="424"/>
      <c r="L42" s="374"/>
      <c r="N42" s="379"/>
      <c r="O42" s="379"/>
    </row>
    <row r="43" spans="1:15">
      <c r="A43" s="573" t="s">
        <v>237</v>
      </c>
      <c r="B43" s="574"/>
      <c r="C43" s="574"/>
      <c r="D43" s="518" t="s">
        <v>198</v>
      </c>
      <c r="E43" s="505">
        <f>'4'!F43</f>
        <v>1051459.5</v>
      </c>
      <c r="F43" s="1156">
        <v>1054135.7</v>
      </c>
      <c r="G43" s="468">
        <f t="shared" si="5"/>
        <v>2676.1999999999534</v>
      </c>
      <c r="H43" s="455">
        <f>G43+'4'!H43</f>
        <v>11891.699999999953</v>
      </c>
      <c r="I43" s="450"/>
      <c r="J43" s="547">
        <f>H43/DAY(B2)</f>
        <v>2378.3399999999906</v>
      </c>
      <c r="K43" s="424"/>
      <c r="L43" s="374"/>
      <c r="N43" s="379"/>
      <c r="O43" s="379"/>
    </row>
    <row r="44" spans="1:15">
      <c r="A44" s="573" t="s">
        <v>238</v>
      </c>
      <c r="B44" s="574"/>
      <c r="C44" s="574"/>
      <c r="D44" s="518" t="s">
        <v>198</v>
      </c>
      <c r="E44" s="505">
        <f>'4'!F44</f>
        <v>0</v>
      </c>
      <c r="F44" s="1156">
        <v>0</v>
      </c>
      <c r="G44" s="468">
        <f t="shared" si="5"/>
        <v>0</v>
      </c>
      <c r="H44" s="455">
        <f>G44+'4'!H44</f>
        <v>0</v>
      </c>
      <c r="I44" s="450"/>
      <c r="J44" s="547">
        <f>H44/DAY(B2)</f>
        <v>0</v>
      </c>
      <c r="K44" s="424"/>
      <c r="L44" s="374"/>
      <c r="N44" s="379"/>
      <c r="O44" s="379"/>
    </row>
    <row r="45" spans="1:15">
      <c r="A45" s="573" t="s">
        <v>239</v>
      </c>
      <c r="B45" s="574"/>
      <c r="C45" s="574"/>
      <c r="D45" s="518" t="s">
        <v>198</v>
      </c>
      <c r="E45" s="505">
        <f>'4'!F45</f>
        <v>614</v>
      </c>
      <c r="F45" s="1156">
        <v>614</v>
      </c>
      <c r="G45" s="468">
        <f t="shared" si="5"/>
        <v>0</v>
      </c>
      <c r="H45" s="455">
        <f>G45+'4'!H45</f>
        <v>0</v>
      </c>
      <c r="I45" s="450"/>
      <c r="J45" s="547">
        <f>H45/DAY(B2)</f>
        <v>0</v>
      </c>
      <c r="K45" s="424"/>
      <c r="L45" s="374"/>
      <c r="N45" s="379"/>
      <c r="O45" s="379"/>
    </row>
    <row r="46" spans="1:15">
      <c r="A46" s="573" t="s">
        <v>240</v>
      </c>
      <c r="B46" s="574"/>
      <c r="C46" s="574"/>
      <c r="D46" s="518" t="s">
        <v>198</v>
      </c>
      <c r="E46" s="505">
        <f>'4'!F46</f>
        <v>187</v>
      </c>
      <c r="F46" s="1156">
        <v>187</v>
      </c>
      <c r="G46" s="468">
        <f t="shared" si="5"/>
        <v>0</v>
      </c>
      <c r="H46" s="455">
        <f>G46+'4'!H46</f>
        <v>0</v>
      </c>
      <c r="I46" s="450"/>
      <c r="J46" s="547">
        <f>H46/DAY(B2)</f>
        <v>0</v>
      </c>
      <c r="K46" s="424"/>
      <c r="L46" s="374"/>
      <c r="N46" s="379"/>
      <c r="O46" s="379"/>
    </row>
    <row r="47" spans="1:15">
      <c r="A47" s="580" t="s">
        <v>241</v>
      </c>
      <c r="B47" s="581"/>
      <c r="C47" s="581"/>
      <c r="D47" s="465"/>
      <c r="E47" s="506"/>
      <c r="F47" s="1158"/>
      <c r="G47" s="476">
        <f>G35+G36+G37+G38+G39+G40+G41+G42+G43+G44+G45+G46</f>
        <v>13199.010000000033</v>
      </c>
      <c r="H47" s="455">
        <f>G47+'4'!H47</f>
        <v>52400.239999999969</v>
      </c>
      <c r="I47" s="450"/>
      <c r="J47" s="547">
        <f>H47/DAY(B2)</f>
        <v>10480.047999999993</v>
      </c>
      <c r="K47" s="424"/>
      <c r="L47" s="374"/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1159"/>
      <c r="G48" s="467"/>
      <c r="H48" s="467"/>
      <c r="I48" s="467"/>
      <c r="J48" s="546"/>
      <c r="K48" s="424"/>
      <c r="L48" s="374"/>
      <c r="N48" s="379"/>
      <c r="O48" s="379"/>
    </row>
    <row r="49" spans="1:15">
      <c r="A49" s="573" t="s">
        <v>229</v>
      </c>
      <c r="B49" s="596"/>
      <c r="C49" s="596"/>
      <c r="D49" s="518" t="s">
        <v>198</v>
      </c>
      <c r="E49" s="505">
        <f>'4'!F49</f>
        <v>260732.13</v>
      </c>
      <c r="F49" s="1156">
        <v>260732.13</v>
      </c>
      <c r="G49" s="468">
        <f t="shared" ref="G49:G58" si="6">F49-E49</f>
        <v>0</v>
      </c>
      <c r="H49" s="455">
        <f>G49+'4'!H49</f>
        <v>0.13000000000465661</v>
      </c>
      <c r="I49" s="450"/>
      <c r="J49" s="547">
        <f>H49/DAY(B2)</f>
        <v>2.6000000000931323E-2</v>
      </c>
      <c r="K49" s="424"/>
      <c r="L49" s="374"/>
      <c r="N49" s="379"/>
      <c r="O49" s="379"/>
    </row>
    <row r="50" spans="1:15">
      <c r="A50" s="573" t="s">
        <v>243</v>
      </c>
      <c r="B50" s="596"/>
      <c r="C50" s="596"/>
      <c r="D50" s="518" t="s">
        <v>198</v>
      </c>
      <c r="E50" s="505">
        <f>'4'!F50</f>
        <v>506100.15</v>
      </c>
      <c r="F50" s="1156">
        <v>507510.67</v>
      </c>
      <c r="G50" s="468">
        <f t="shared" si="6"/>
        <v>1410.5199999999604</v>
      </c>
      <c r="H50" s="455">
        <f>G50+'4'!H50</f>
        <v>4974.6699999999837</v>
      </c>
      <c r="I50" s="450"/>
      <c r="J50" s="547">
        <f>H50/DAY(B2)</f>
        <v>994.93399999999679</v>
      </c>
      <c r="K50" s="424"/>
      <c r="L50" s="374"/>
      <c r="N50" s="379"/>
      <c r="O50" s="379"/>
    </row>
    <row r="51" spans="1:15">
      <c r="A51" s="573" t="s">
        <v>231</v>
      </c>
      <c r="B51" s="596"/>
      <c r="C51" s="596"/>
      <c r="D51" s="518" t="s">
        <v>198</v>
      </c>
      <c r="E51" s="505">
        <f>'4'!F51</f>
        <v>144640</v>
      </c>
      <c r="F51" s="1156">
        <v>144639.87</v>
      </c>
      <c r="G51" s="468">
        <f t="shared" si="6"/>
        <v>-0.13000000000465661</v>
      </c>
      <c r="H51" s="455">
        <f>G51+'4'!H51</f>
        <v>-0.13000000000465661</v>
      </c>
      <c r="I51" s="450"/>
      <c r="J51" s="547">
        <f>H51/DAY(B2)</f>
        <v>-2.6000000000931323E-2</v>
      </c>
      <c r="K51" s="424"/>
      <c r="L51" s="374"/>
      <c r="N51" s="379"/>
      <c r="O51" s="379"/>
    </row>
    <row r="52" spans="1:15">
      <c r="A52" s="573" t="s">
        <v>244</v>
      </c>
      <c r="B52" s="596"/>
      <c r="C52" s="596"/>
      <c r="D52" s="518" t="s">
        <v>198</v>
      </c>
      <c r="E52" s="505">
        <f>'4'!F52</f>
        <v>539606</v>
      </c>
      <c r="F52" s="1156">
        <v>539606.06999999995</v>
      </c>
      <c r="G52" s="468">
        <f t="shared" si="6"/>
        <v>6.9999999948777258E-2</v>
      </c>
      <c r="H52" s="455">
        <f>G52+'4'!H52</f>
        <v>6.9999999948777258E-2</v>
      </c>
      <c r="I52" s="450"/>
      <c r="J52" s="547">
        <f>H52/DAY(B2)</f>
        <v>1.3999999989755452E-2</v>
      </c>
      <c r="K52" s="424"/>
      <c r="L52" s="374"/>
      <c r="N52" s="379"/>
      <c r="O52" s="379"/>
    </row>
    <row r="53" spans="1:15">
      <c r="A53" s="573" t="s">
        <v>233</v>
      </c>
      <c r="B53" s="596"/>
      <c r="C53" s="596"/>
      <c r="D53" s="518" t="s">
        <v>198</v>
      </c>
      <c r="E53" s="505">
        <f>'4'!F53</f>
        <v>434231.67</v>
      </c>
      <c r="F53" s="1156">
        <v>434231.67</v>
      </c>
      <c r="G53" s="468">
        <f t="shared" si="6"/>
        <v>0</v>
      </c>
      <c r="H53" s="455">
        <f>G53+'4'!H53</f>
        <v>1663.6699999999837</v>
      </c>
      <c r="I53" s="450"/>
      <c r="J53" s="547">
        <f>H53/DAY(B2)</f>
        <v>332.73399999999674</v>
      </c>
      <c r="K53" s="424"/>
      <c r="L53" s="374"/>
      <c r="N53" s="379"/>
      <c r="O53" s="379"/>
    </row>
    <row r="54" spans="1:15">
      <c r="A54" s="573" t="s">
        <v>245</v>
      </c>
      <c r="B54" s="596"/>
      <c r="C54" s="596"/>
      <c r="D54" s="518" t="s">
        <v>198</v>
      </c>
      <c r="E54" s="505">
        <f>'4'!F54</f>
        <v>14087.84</v>
      </c>
      <c r="F54" s="1156">
        <v>14171.66</v>
      </c>
      <c r="G54" s="468">
        <f t="shared" si="6"/>
        <v>83.819999999999709</v>
      </c>
      <c r="H54" s="455">
        <f>G54+'4'!H54</f>
        <v>421.65999999999985</v>
      </c>
      <c r="I54" s="450"/>
      <c r="J54" s="547">
        <f>H54/DAY(B2)</f>
        <v>84.331999999999965</v>
      </c>
      <c r="K54" s="424"/>
      <c r="L54" s="374"/>
      <c r="N54" s="379"/>
      <c r="O54" s="379"/>
    </row>
    <row r="55" spans="1:15">
      <c r="A55" s="573" t="s">
        <v>246</v>
      </c>
      <c r="B55" s="596"/>
      <c r="C55" s="596"/>
      <c r="D55" s="518" t="s">
        <v>198</v>
      </c>
      <c r="E55" s="505">
        <f>'4'!F55</f>
        <v>68110.679999999993</v>
      </c>
      <c r="F55" s="1168">
        <v>68110.679999999993</v>
      </c>
      <c r="G55" s="468">
        <f t="shared" si="6"/>
        <v>0</v>
      </c>
      <c r="H55" s="455">
        <f>G55+'4'!H55</f>
        <v>-0.32000000000698492</v>
      </c>
      <c r="I55" s="450"/>
      <c r="J55" s="547">
        <f>H55/DAY(B2)</f>
        <v>-6.4000000001396981E-2</v>
      </c>
      <c r="K55" s="424"/>
      <c r="L55" s="374"/>
      <c r="N55" s="379"/>
      <c r="O55" s="379"/>
    </row>
    <row r="56" spans="1:15">
      <c r="A56" s="573" t="s">
        <v>247</v>
      </c>
      <c r="B56" s="596"/>
      <c r="C56" s="596"/>
      <c r="D56" s="518" t="s">
        <v>248</v>
      </c>
      <c r="E56" s="505">
        <f>'4'!F56</f>
        <v>636223.87</v>
      </c>
      <c r="F56" s="1168">
        <v>641134.47</v>
      </c>
      <c r="G56" s="468">
        <f t="shared" si="6"/>
        <v>4910.5999999999767</v>
      </c>
      <c r="H56" s="455">
        <f>G56+'4'!H56</f>
        <v>23936.469999999972</v>
      </c>
      <c r="I56" s="450"/>
      <c r="J56" s="547">
        <f>H56/DAY(B2)</f>
        <v>4787.2939999999944</v>
      </c>
      <c r="K56" s="423"/>
      <c r="L56" s="374"/>
      <c r="N56" s="379"/>
      <c r="O56" s="379"/>
    </row>
    <row r="57" spans="1:15">
      <c r="A57" s="573" t="s">
        <v>237</v>
      </c>
      <c r="B57" s="596"/>
      <c r="C57" s="596"/>
      <c r="D57" s="518" t="s">
        <v>198</v>
      </c>
      <c r="E57" s="505">
        <f>'4'!F57</f>
        <v>7711</v>
      </c>
      <c r="F57" s="1156">
        <v>7711</v>
      </c>
      <c r="G57" s="468">
        <f t="shared" si="6"/>
        <v>0</v>
      </c>
      <c r="H57" s="455">
        <f>G57+'4'!H57</f>
        <v>0</v>
      </c>
      <c r="I57" s="450"/>
      <c r="J57" s="547">
        <f>H57/DAY(B2)</f>
        <v>0</v>
      </c>
      <c r="K57" s="424"/>
      <c r="L57" s="374"/>
      <c r="N57" s="379"/>
      <c r="O57" s="379"/>
    </row>
    <row r="58" spans="1:15">
      <c r="A58" s="573" t="s">
        <v>249</v>
      </c>
      <c r="B58" s="596"/>
      <c r="C58" s="596"/>
      <c r="D58" s="518" t="s">
        <v>198</v>
      </c>
      <c r="E58" s="505">
        <f>'4'!F58</f>
        <v>49964.06</v>
      </c>
      <c r="F58" s="1160">
        <v>50071.87</v>
      </c>
      <c r="G58" s="468">
        <f t="shared" si="6"/>
        <v>107.81000000000495</v>
      </c>
      <c r="H58" s="455">
        <f>G58+'4'!H58</f>
        <v>446.87000000000262</v>
      </c>
      <c r="I58" s="450"/>
      <c r="J58" s="547">
        <f>H58/DAY(B2)</f>
        <v>89.374000000000521</v>
      </c>
      <c r="K58" s="424"/>
      <c r="L58" s="374"/>
      <c r="N58" s="379"/>
      <c r="O58" s="379"/>
    </row>
    <row r="59" spans="1:15">
      <c r="A59" s="580" t="s">
        <v>241</v>
      </c>
      <c r="B59" s="581"/>
      <c r="C59" s="581"/>
      <c r="D59" s="506"/>
      <c r="E59" s="506"/>
      <c r="F59" s="1158"/>
      <c r="G59" s="476">
        <f>G49+G50+G51+G52+G53+G54+G55+G56+G57+G58</f>
        <v>6512.6899999998859</v>
      </c>
      <c r="H59" s="455">
        <f>G59+'4'!H59</f>
        <v>31443.089999999884</v>
      </c>
      <c r="I59" s="450">
        <f>G7-G60</f>
        <v>291.94000000009692</v>
      </c>
      <c r="J59" s="547">
        <f>H59/DAY(B2)</f>
        <v>6288.6179999999767</v>
      </c>
      <c r="K59" s="424"/>
      <c r="L59" s="374"/>
      <c r="N59" s="379"/>
      <c r="O59" s="379"/>
    </row>
    <row r="60" spans="1:15">
      <c r="A60" s="573"/>
      <c r="B60" s="574"/>
      <c r="C60" s="574"/>
      <c r="D60" s="506" t="s">
        <v>250</v>
      </c>
      <c r="E60" s="506"/>
      <c r="F60" s="1158"/>
      <c r="G60" s="476">
        <f>G47+G59</f>
        <v>19711.699999999917</v>
      </c>
      <c r="H60" s="455">
        <f>G60+'4'!H60</f>
        <v>83843.329999999856</v>
      </c>
      <c r="I60" s="450">
        <f>G13-G60</f>
        <v>-1402.2999999997774</v>
      </c>
      <c r="J60" s="547">
        <f>H60/DAY(B2)</f>
        <v>16768.665999999972</v>
      </c>
      <c r="K60" s="424"/>
      <c r="L60" s="374"/>
      <c r="N60" s="379"/>
      <c r="O60" s="379"/>
    </row>
    <row r="61" spans="1:15">
      <c r="A61" s="597" t="s">
        <v>251</v>
      </c>
      <c r="B61" s="448"/>
      <c r="C61" s="448"/>
      <c r="D61" s="508"/>
      <c r="E61" s="507"/>
      <c r="F61" s="1161"/>
      <c r="G61" s="508"/>
      <c r="H61" s="508"/>
      <c r="I61" s="508"/>
      <c r="J61" s="550"/>
      <c r="K61" s="424"/>
      <c r="L61" s="374"/>
      <c r="N61" s="379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f>'4'!F62</f>
        <v>0</v>
      </c>
      <c r="F62" s="1162">
        <v>0</v>
      </c>
      <c r="G62" s="468">
        <f t="shared" ref="G62:G69" si="7">F62-E62</f>
        <v>0</v>
      </c>
      <c r="H62" s="455">
        <f>G62+'4'!H62</f>
        <v>1.9999999967694748E-3</v>
      </c>
      <c r="I62" s="510"/>
      <c r="J62" s="547">
        <f>H62/DAY(B2)</f>
        <v>3.9999999935389494E-4</v>
      </c>
      <c r="K62" s="424"/>
      <c r="L62" s="374"/>
      <c r="N62" s="379"/>
      <c r="O62" s="379"/>
    </row>
    <row r="63" spans="1:15">
      <c r="A63" s="598" t="s">
        <v>254</v>
      </c>
      <c r="B63" s="599"/>
      <c r="C63" s="599"/>
      <c r="D63" s="506" t="s">
        <v>253</v>
      </c>
      <c r="E63" s="509">
        <f>'4'!F63</f>
        <v>0</v>
      </c>
      <c r="F63" s="1162">
        <v>0</v>
      </c>
      <c r="G63" s="468">
        <f t="shared" si="7"/>
        <v>0</v>
      </c>
      <c r="H63" s="455">
        <f>G63+'4'!H63</f>
        <v>0</v>
      </c>
      <c r="I63" s="510"/>
      <c r="J63" s="547">
        <f>H63/DAY(B2)</f>
        <v>0</v>
      </c>
      <c r="K63" s="424"/>
      <c r="L63" s="374"/>
      <c r="N63" s="379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79">
        <f>'4'!F64</f>
        <v>160690.44</v>
      </c>
      <c r="F64" s="1163">
        <v>160945.75</v>
      </c>
      <c r="G64" s="468">
        <f t="shared" si="7"/>
        <v>255.30999999999767</v>
      </c>
      <c r="H64" s="455">
        <f>G64+'4'!H64</f>
        <v>1013.75</v>
      </c>
      <c r="I64" s="475"/>
      <c r="J64" s="547">
        <f>H64/DAY(B2)</f>
        <v>202.75</v>
      </c>
      <c r="K64" s="424"/>
      <c r="L64" s="374"/>
      <c r="N64" s="379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79">
        <f>'4'!F65</f>
        <v>161818.76999999999</v>
      </c>
      <c r="F65" s="1164">
        <v>162162.23000000001</v>
      </c>
      <c r="G65" s="468">
        <f t="shared" si="7"/>
        <v>343.46000000002095</v>
      </c>
      <c r="H65" s="455">
        <f>G65+'4'!H65</f>
        <v>1164.2300000000105</v>
      </c>
      <c r="I65" s="484"/>
      <c r="J65" s="547">
        <f>H65/DAY(B2)</f>
        <v>232.84600000000211</v>
      </c>
      <c r="K65" s="424"/>
      <c r="L65" s="374"/>
      <c r="N65" s="379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79">
        <f>'4'!F66</f>
        <v>57809.82</v>
      </c>
      <c r="F66" s="1163">
        <v>58207.19</v>
      </c>
      <c r="G66" s="468">
        <f t="shared" si="7"/>
        <v>397.37000000000262</v>
      </c>
      <c r="H66" s="455">
        <f>G66+'4'!H66</f>
        <v>1402.1900000000023</v>
      </c>
      <c r="I66" s="475"/>
      <c r="J66" s="547">
        <f>H66/DAY(B2)</f>
        <v>280.43800000000044</v>
      </c>
      <c r="K66" s="424"/>
      <c r="L66" s="374"/>
      <c r="N66" s="379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79">
        <f>'4'!F67</f>
        <v>253616.59</v>
      </c>
      <c r="F67" s="1163">
        <v>254103.65</v>
      </c>
      <c r="G67" s="468">
        <f t="shared" si="7"/>
        <v>487.05999999999767</v>
      </c>
      <c r="H67" s="455">
        <f>G67+'4'!H67</f>
        <v>1911.6499999999942</v>
      </c>
      <c r="I67" s="484"/>
      <c r="J67" s="547">
        <f>H67/DAY(B2)</f>
        <v>382.32999999999885</v>
      </c>
      <c r="K67" s="425"/>
      <c r="L67" s="374"/>
      <c r="N67" s="379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79">
        <f>'4'!F68</f>
        <v>85321</v>
      </c>
      <c r="F68" s="1163">
        <v>85321</v>
      </c>
      <c r="G68" s="468">
        <f t="shared" si="7"/>
        <v>0</v>
      </c>
      <c r="H68" s="455">
        <f>G68+'4'!H68</f>
        <v>0</v>
      </c>
      <c r="I68" s="511"/>
      <c r="J68" s="547">
        <f>H68/DAY(B2)</f>
        <v>0</v>
      </c>
      <c r="K68" s="426"/>
      <c r="L68" s="374"/>
      <c r="N68" s="379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79">
        <f>'4'!F69</f>
        <v>82121.929999999993</v>
      </c>
      <c r="F69" s="1163">
        <v>82249.98</v>
      </c>
      <c r="G69" s="468">
        <f t="shared" si="7"/>
        <v>128.05000000000291</v>
      </c>
      <c r="H69" s="455">
        <f>G69+'4'!H69</f>
        <v>500.97999999999593</v>
      </c>
      <c r="I69" s="511"/>
      <c r="J69" s="547">
        <f>H69/DAY(B2)</f>
        <v>100.19599999999919</v>
      </c>
      <c r="K69" s="427"/>
      <c r="L69" s="374"/>
      <c r="N69" s="379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1165"/>
      <c r="G70" s="513"/>
      <c r="H70" s="455"/>
      <c r="I70" s="513"/>
      <c r="J70" s="551"/>
      <c r="K70" s="427"/>
      <c r="L70" s="374"/>
      <c r="N70" s="379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514">
        <f>'4'!F72</f>
        <v>855896</v>
      </c>
      <c r="F72" s="1176">
        <v>855909</v>
      </c>
      <c r="G72" s="468">
        <f t="shared" ref="G72:G84" si="8">F72-E72</f>
        <v>13</v>
      </c>
      <c r="H72" s="455">
        <f>G72+'4'!H72</f>
        <v>66</v>
      </c>
      <c r="I72" s="475"/>
      <c r="J72" s="547">
        <f>H72/DAY(B2)</f>
        <v>13.2</v>
      </c>
      <c r="K72" s="427"/>
      <c r="L72" s="374"/>
      <c r="N72" s="379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515">
        <f>'4'!F73</f>
        <v>885941</v>
      </c>
      <c r="F73" s="1177">
        <v>885943</v>
      </c>
      <c r="G73" s="648">
        <f t="shared" si="8"/>
        <v>2</v>
      </c>
      <c r="H73" s="455">
        <f>G73+'4'!H73</f>
        <v>6</v>
      </c>
      <c r="I73" s="475"/>
      <c r="J73" s="547">
        <f>H73/DAY(B2)</f>
        <v>1.2</v>
      </c>
      <c r="K73" s="426"/>
      <c r="L73" s="374"/>
      <c r="N73" s="379"/>
      <c r="O73" s="379"/>
    </row>
    <row r="74" spans="1:15" ht="27.75">
      <c r="A74" s="1450" t="s">
        <v>260</v>
      </c>
      <c r="B74" s="1451"/>
      <c r="C74" s="1452"/>
      <c r="D74" s="518" t="s">
        <v>253</v>
      </c>
      <c r="E74" s="516">
        <f>'4'!F74</f>
        <v>2599.96</v>
      </c>
      <c r="F74" s="1176">
        <v>2599.96</v>
      </c>
      <c r="G74" s="468">
        <f t="shared" si="8"/>
        <v>0</v>
      </c>
      <c r="H74" s="455">
        <f>G74+'4'!H74</f>
        <v>13.960000000000036</v>
      </c>
      <c r="I74" s="475"/>
      <c r="J74" s="547">
        <f>H74/DAY(B2)</f>
        <v>2.7920000000000074</v>
      </c>
      <c r="K74" s="427"/>
      <c r="L74" s="374"/>
      <c r="N74" s="379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516">
        <f>'4'!F75</f>
        <v>12882.16</v>
      </c>
      <c r="F75" s="1178">
        <v>12952.89</v>
      </c>
      <c r="G75" s="468">
        <f t="shared" si="8"/>
        <v>70.729999999999563</v>
      </c>
      <c r="H75" s="455">
        <f>G75+'4'!H75</f>
        <v>283.88999999999942</v>
      </c>
      <c r="I75" s="475"/>
      <c r="J75" s="547">
        <f>H75/DAY(B2)</f>
        <v>56.777999999999885</v>
      </c>
      <c r="K75" s="426"/>
      <c r="L75" s="374"/>
      <c r="N75" s="379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515">
        <f>'4'!F76</f>
        <v>7650.65</v>
      </c>
      <c r="F76" s="1177">
        <v>7716.72</v>
      </c>
      <c r="G76" s="468">
        <f t="shared" si="8"/>
        <v>66.070000000000618</v>
      </c>
      <c r="H76" s="455">
        <f>G76+'4'!H76</f>
        <v>297.72000000000025</v>
      </c>
      <c r="I76" s="500"/>
      <c r="J76" s="547">
        <f>H76/DAY(B2)</f>
        <v>59.544000000000054</v>
      </c>
      <c r="K76" s="426"/>
      <c r="L76" s="374"/>
      <c r="N76" s="379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515">
        <f>'4'!F77</f>
        <v>703031</v>
      </c>
      <c r="F77" s="1177">
        <v>703082</v>
      </c>
      <c r="G77" s="648">
        <f t="shared" si="8"/>
        <v>51</v>
      </c>
      <c r="H77" s="455">
        <f>G77+'4'!H77</f>
        <v>243</v>
      </c>
      <c r="I77" s="500"/>
      <c r="J77" s="547">
        <f>H77/DAY(B2)</f>
        <v>48.6</v>
      </c>
      <c r="K77" s="426"/>
      <c r="L77" s="374"/>
      <c r="N77" s="379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516">
        <f>'4'!F78</f>
        <v>673280</v>
      </c>
      <c r="F78" s="1178">
        <v>673411</v>
      </c>
      <c r="G78" s="468">
        <f t="shared" si="8"/>
        <v>131</v>
      </c>
      <c r="H78" s="455">
        <f>G78+'4'!H78</f>
        <v>379</v>
      </c>
      <c r="I78" s="500"/>
      <c r="J78" s="547">
        <f>H78/DAY(B2)</f>
        <v>75.8</v>
      </c>
      <c r="K78" s="426"/>
      <c r="L78" s="374"/>
      <c r="N78" s="379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516">
        <f>'4'!F79</f>
        <v>831635</v>
      </c>
      <c r="F79" s="1178">
        <v>831780</v>
      </c>
      <c r="G79" s="468">
        <f t="shared" si="8"/>
        <v>145</v>
      </c>
      <c r="H79" s="455">
        <f>G79+'4'!H79</f>
        <v>770</v>
      </c>
      <c r="I79" s="500"/>
      <c r="J79" s="547">
        <f>H79/DAY(B2)</f>
        <v>154</v>
      </c>
      <c r="K79" s="426"/>
      <c r="L79" s="374"/>
      <c r="N79" s="379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515">
        <f>'4'!F80</f>
        <v>529141.30000000005</v>
      </c>
      <c r="F80" s="1177">
        <v>529589.56000000006</v>
      </c>
      <c r="G80" s="468">
        <f t="shared" si="8"/>
        <v>448.26000000000931</v>
      </c>
      <c r="H80" s="455">
        <f>G80+'4'!H80</f>
        <v>1931.5600000000559</v>
      </c>
      <c r="I80" s="500"/>
      <c r="J80" s="547">
        <f>H80/DAY(B2)</f>
        <v>386.31200000001115</v>
      </c>
      <c r="K80" s="426"/>
      <c r="L80" s="374"/>
      <c r="N80" s="379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f>'4'!F81</f>
        <v>639261.84</v>
      </c>
      <c r="F81" s="1177">
        <v>639352.24</v>
      </c>
      <c r="G81" s="468">
        <f t="shared" si="8"/>
        <v>90.400000000023283</v>
      </c>
      <c r="H81" s="455">
        <f>G81+'4'!H81</f>
        <v>454.23999999999069</v>
      </c>
      <c r="I81" s="500"/>
      <c r="J81" s="547">
        <f>H81/DAY(B2)</f>
        <v>90.847999999998137</v>
      </c>
      <c r="K81" s="426"/>
      <c r="L81" s="374"/>
      <c r="N81" s="379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f>'4'!F82</f>
        <v>108213.91</v>
      </c>
      <c r="F82" s="1164">
        <v>108241.04</v>
      </c>
      <c r="G82" s="468">
        <f t="shared" si="8"/>
        <v>27.129999999990105</v>
      </c>
      <c r="H82" s="455">
        <f>G82+'4'!H82</f>
        <v>83.039999999993597</v>
      </c>
      <c r="I82" s="481"/>
      <c r="J82" s="547">
        <f>H82/DAY(B2)</f>
        <v>16.607999999998718</v>
      </c>
      <c r="K82" s="426"/>
      <c r="L82" s="374"/>
      <c r="N82" s="379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f>'4'!F83</f>
        <v>21186</v>
      </c>
      <c r="F83" s="1158">
        <v>21456</v>
      </c>
      <c r="G83" s="468">
        <f t="shared" si="8"/>
        <v>270</v>
      </c>
      <c r="H83" s="455">
        <f>G83+'4'!H83</f>
        <v>950</v>
      </c>
      <c r="I83" s="476"/>
      <c r="J83" s="547">
        <f>H83/DAY(B2)</f>
        <v>190</v>
      </c>
      <c r="K83" s="425"/>
      <c r="L83" s="374"/>
      <c r="N83" s="379"/>
      <c r="O83" s="379"/>
    </row>
    <row r="84" spans="1:15">
      <c r="A84" s="1396" t="s">
        <v>166</v>
      </c>
      <c r="B84" s="566"/>
      <c r="C84" s="566"/>
      <c r="D84" s="473" t="s">
        <v>198</v>
      </c>
      <c r="E84" s="622">
        <f>'4'!F84</f>
        <v>503488</v>
      </c>
      <c r="F84" s="1179">
        <v>504365</v>
      </c>
      <c r="G84" s="468">
        <f t="shared" si="8"/>
        <v>877</v>
      </c>
      <c r="H84" s="455">
        <f>G84+'4'!H84</f>
        <v>4071</v>
      </c>
      <c r="I84" s="476"/>
      <c r="J84" s="547">
        <f>H84/DAY(B2)</f>
        <v>814.2</v>
      </c>
      <c r="K84" s="377"/>
      <c r="L84" s="374"/>
      <c r="N84" s="379"/>
      <c r="O84" s="379"/>
    </row>
    <row r="85" spans="1:15" s="376" customFormat="1">
      <c r="A85" s="600" t="s">
        <v>102</v>
      </c>
      <c r="B85" s="567"/>
      <c r="C85" s="567"/>
      <c r="D85" s="484"/>
      <c r="E85" s="622">
        <f>'4'!F85</f>
        <v>0</v>
      </c>
      <c r="F85" s="1093"/>
      <c r="G85" s="455">
        <f xml:space="preserve"> SUM(G71:G84)</f>
        <v>2191.5900000000229</v>
      </c>
      <c r="H85" s="455">
        <f>G85+'4'!H85</f>
        <v>9549.4100000000399</v>
      </c>
      <c r="I85" s="476"/>
      <c r="J85" s="547">
        <f>H85/DAY(B2)</f>
        <v>1909.882000000008</v>
      </c>
      <c r="K85" s="377"/>
      <c r="L85" s="375"/>
      <c r="N85" s="379"/>
      <c r="O85" s="379"/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'4'!F86</f>
        <v>461064.26</v>
      </c>
      <c r="F86" s="1179">
        <v>461095.72</v>
      </c>
      <c r="G86" s="701">
        <f t="shared" ref="G86:G91" si="9">F86-E86</f>
        <v>31.459999999962747</v>
      </c>
      <c r="H86" s="455">
        <f>G86+'4'!H86</f>
        <v>160.71999999997206</v>
      </c>
      <c r="I86" s="648"/>
      <c r="J86" s="703">
        <f>H86/DAY(B2)</f>
        <v>32.143999999994413</v>
      </c>
      <c r="K86" s="729"/>
      <c r="L86" s="730"/>
      <c r="N86" s="773">
        <f>G86-173</f>
        <v>-141.54000000003725</v>
      </c>
      <c r="O86" s="37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'4'!F87</f>
        <v>81456.3</v>
      </c>
      <c r="F87" s="1179">
        <v>81471.3</v>
      </c>
      <c r="G87" s="701">
        <f t="shared" si="9"/>
        <v>15</v>
      </c>
      <c r="H87" s="455">
        <f>G87+'4'!H87</f>
        <v>96.30000000000291</v>
      </c>
      <c r="I87" s="648"/>
      <c r="J87" s="703">
        <f>H87/DAY(B2)</f>
        <v>19.260000000000581</v>
      </c>
      <c r="K87" s="729"/>
      <c r="L87" s="730"/>
      <c r="N87" s="731">
        <v>108</v>
      </c>
      <c r="O87" s="37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'4'!F88</f>
        <v>153214.26</v>
      </c>
      <c r="F88" s="1179">
        <v>153241.53</v>
      </c>
      <c r="G88" s="701">
        <f t="shared" si="9"/>
        <v>27.269999999989523</v>
      </c>
      <c r="H88" s="455">
        <f>G88+'4'!H88</f>
        <v>177.52999999999884</v>
      </c>
      <c r="I88" s="648"/>
      <c r="J88" s="703">
        <f>H88/DAY(B2)</f>
        <v>35.505999999999766</v>
      </c>
      <c r="K88" s="729"/>
      <c r="L88" s="730"/>
      <c r="N88" s="731">
        <v>28</v>
      </c>
      <c r="O88" s="379"/>
    </row>
    <row r="89" spans="1:15" s="731" customFormat="1">
      <c r="A89" s="726" t="s">
        <v>271</v>
      </c>
      <c r="B89" s="727"/>
      <c r="C89" s="727"/>
      <c r="D89" s="728" t="s">
        <v>248</v>
      </c>
      <c r="E89" s="622">
        <f>'4'!F89</f>
        <v>65217.9</v>
      </c>
      <c r="F89" s="1179">
        <v>65234.9</v>
      </c>
      <c r="G89" s="701">
        <f t="shared" si="9"/>
        <v>17</v>
      </c>
      <c r="H89" s="455">
        <f>G89+'4'!H89</f>
        <v>60.30000000000291</v>
      </c>
      <c r="I89" s="648"/>
      <c r="J89" s="703">
        <f>H89/DAY(B2)</f>
        <v>12.060000000000581</v>
      </c>
      <c r="K89" s="729"/>
      <c r="L89" s="730"/>
      <c r="N89" s="773">
        <v>342</v>
      </c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'4'!F90</f>
        <v>3273.8</v>
      </c>
      <c r="F90" s="1179">
        <v>3274.8</v>
      </c>
      <c r="G90" s="701">
        <f t="shared" si="9"/>
        <v>1</v>
      </c>
      <c r="H90" s="455">
        <f>G90+'4'!H90</f>
        <v>1.2000000000002728</v>
      </c>
      <c r="I90" s="648"/>
      <c r="J90" s="703">
        <f>H90/DAY(B2)</f>
        <v>0.24000000000005456</v>
      </c>
      <c r="K90" s="729"/>
      <c r="L90" s="730"/>
      <c r="N90" s="773">
        <v>349</v>
      </c>
      <c r="O90" s="379"/>
    </row>
    <row r="91" spans="1:15" s="731" customFormat="1">
      <c r="A91" s="726" t="s">
        <v>273</v>
      </c>
      <c r="B91" s="727"/>
      <c r="C91" s="727"/>
      <c r="D91" s="728"/>
      <c r="E91" s="622">
        <f>'4'!F91</f>
        <v>28055.254400000002</v>
      </c>
      <c r="F91" s="643">
        <v>28061.3056</v>
      </c>
      <c r="G91" s="701">
        <f t="shared" si="9"/>
        <v>6.0511999999980617</v>
      </c>
      <c r="H91" s="701"/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1090"/>
      <c r="G92" s="483"/>
      <c r="H92" s="467"/>
      <c r="I92" s="467"/>
      <c r="J92" s="546"/>
      <c r="K92" s="377"/>
      <c r="L92" s="375"/>
      <c r="N92" s="379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'4'!F93</f>
        <v>245609</v>
      </c>
      <c r="F93" s="1163">
        <v>245660</v>
      </c>
      <c r="G93" s="468">
        <f t="shared" ref="G93:G94" si="10">F93-E93</f>
        <v>51</v>
      </c>
      <c r="H93" s="455">
        <f>G93+'4'!H93</f>
        <v>172</v>
      </c>
      <c r="I93" s="475"/>
      <c r="J93" s="547">
        <f>H93/DAY(B2)</f>
        <v>34.4</v>
      </c>
      <c r="K93" s="425"/>
      <c r="L93" s="374"/>
      <c r="N93" s="379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'4'!F94</f>
        <v>186420</v>
      </c>
      <c r="F94" s="1163">
        <v>186528</v>
      </c>
      <c r="G94" s="468">
        <f t="shared" si="10"/>
        <v>108</v>
      </c>
      <c r="H94" s="455">
        <f>G94+'4'!H94</f>
        <v>407</v>
      </c>
      <c r="I94" s="475"/>
      <c r="J94" s="547">
        <f>H94/DAY(B2)</f>
        <v>81.400000000000006</v>
      </c>
      <c r="K94" s="377"/>
      <c r="L94" s="374"/>
      <c r="N94" s="379"/>
      <c r="O94" s="379"/>
    </row>
    <row r="95" spans="1:15">
      <c r="A95" s="1447" t="s">
        <v>276</v>
      </c>
      <c r="B95" s="1448"/>
      <c r="C95" s="1449"/>
      <c r="D95" s="518"/>
      <c r="E95" s="479"/>
      <c r="F95" s="1163"/>
      <c r="G95" s="468">
        <f>G93+G94</f>
        <v>159</v>
      </c>
      <c r="H95" s="455">
        <f>G95+'4'!H95</f>
        <v>503</v>
      </c>
      <c r="I95" s="475"/>
      <c r="J95" s="547">
        <f>H95/DAY(B2)</f>
        <v>100.6</v>
      </c>
      <c r="K95" s="377"/>
      <c r="L95" s="374"/>
      <c r="N95" s="379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'4'!F96</f>
        <v>414457</v>
      </c>
      <c r="F96" s="1163">
        <v>414507</v>
      </c>
      <c r="G96" s="468">
        <f t="shared" ref="G96:G101" si="11">F96-E96</f>
        <v>50</v>
      </c>
      <c r="H96" s="455">
        <f>G96+'4'!H96</f>
        <v>224</v>
      </c>
      <c r="I96" s="475"/>
      <c r="J96" s="547">
        <f>H96/DAY(B2)</f>
        <v>44.8</v>
      </c>
      <c r="K96" s="377"/>
      <c r="L96" s="374"/>
      <c r="N96" s="379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79">
        <f>'4'!F97</f>
        <v>102689</v>
      </c>
      <c r="F97" s="1163">
        <v>102703</v>
      </c>
      <c r="G97" s="468">
        <f t="shared" si="11"/>
        <v>14</v>
      </c>
      <c r="H97" s="455">
        <f>G97+'4'!H97</f>
        <v>55</v>
      </c>
      <c r="I97" s="475"/>
      <c r="J97" s="547">
        <f>H97/DAY(B2)</f>
        <v>11</v>
      </c>
      <c r="K97" s="423"/>
      <c r="L97" s="374"/>
      <c r="N97" s="379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79">
        <f>'4'!F98</f>
        <v>98001</v>
      </c>
      <c r="F98" s="1163">
        <v>98030</v>
      </c>
      <c r="G98" s="468">
        <f t="shared" si="11"/>
        <v>29</v>
      </c>
      <c r="H98" s="455">
        <f>G98+'4'!H98</f>
        <v>80</v>
      </c>
      <c r="I98" s="475"/>
      <c r="J98" s="547">
        <f>H98/DAY(B2)</f>
        <v>16</v>
      </c>
      <c r="K98" s="428"/>
      <c r="L98" s="374"/>
      <c r="N98" s="379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79">
        <f>'4'!F99</f>
        <v>149880</v>
      </c>
      <c r="F99" s="1163">
        <v>149885</v>
      </c>
      <c r="G99" s="468">
        <f t="shared" si="11"/>
        <v>5</v>
      </c>
      <c r="H99" s="455">
        <f>G99+'4'!H99</f>
        <v>33</v>
      </c>
      <c r="I99" s="475"/>
      <c r="J99" s="547">
        <f>H99/DAY(B2)</f>
        <v>6.6</v>
      </c>
      <c r="K99" s="377"/>
      <c r="L99" s="374"/>
      <c r="N99" s="700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79">
        <f>'4'!F100</f>
        <v>7436</v>
      </c>
      <c r="F100" s="1163">
        <v>7444</v>
      </c>
      <c r="G100" s="468">
        <f t="shared" si="11"/>
        <v>8</v>
      </c>
      <c r="H100" s="455">
        <f>G100+'4'!H100</f>
        <v>75</v>
      </c>
      <c r="I100" s="475"/>
      <c r="J100" s="547">
        <f>H100/DAY(B2)</f>
        <v>15</v>
      </c>
      <c r="K100" s="377"/>
      <c r="L100" s="374"/>
      <c r="N100" s="379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79">
        <f>'4'!F101</f>
        <v>5411</v>
      </c>
      <c r="F101" s="1163">
        <v>5422</v>
      </c>
      <c r="G101" s="468">
        <f t="shared" si="11"/>
        <v>11</v>
      </c>
      <c r="H101" s="455">
        <f>G101+'4'!H101</f>
        <v>31</v>
      </c>
      <c r="I101" s="475"/>
      <c r="J101" s="547">
        <f>H101/DAY(B2)</f>
        <v>6.2</v>
      </c>
      <c r="K101" s="377"/>
      <c r="L101" s="374"/>
      <c r="N101" s="379"/>
      <c r="O101" s="379"/>
    </row>
    <row r="102" spans="1:15">
      <c r="A102" s="1447" t="s">
        <v>277</v>
      </c>
      <c r="B102" s="1448"/>
      <c r="C102" s="1449"/>
      <c r="D102" s="519"/>
      <c r="E102" s="519"/>
      <c r="F102" s="1174"/>
      <c r="G102" s="520">
        <f>SUM(G96:G101)</f>
        <v>117</v>
      </c>
      <c r="H102" s="455">
        <f>G102+'4'!H102</f>
        <v>498</v>
      </c>
      <c r="I102" s="521"/>
      <c r="J102" s="547">
        <f>H102/DAY(B2)</f>
        <v>99.6</v>
      </c>
      <c r="K102" s="377"/>
      <c r="L102" s="374"/>
      <c r="N102" s="379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1180"/>
      <c r="G103" s="524"/>
      <c r="H103" s="525"/>
      <c r="I103" s="526"/>
      <c r="J103" s="552"/>
      <c r="N103" s="379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1181"/>
      <c r="G104" s="527"/>
      <c r="H104" s="528"/>
      <c r="I104" s="527"/>
      <c r="J104" s="553"/>
      <c r="N104" s="379"/>
      <c r="O104" s="379"/>
    </row>
    <row r="105" spans="1:15" s="437" customFormat="1" ht="27.75">
      <c r="A105" s="1458" t="s">
        <v>22</v>
      </c>
      <c r="B105" s="1459"/>
      <c r="C105" s="1391"/>
      <c r="D105" s="617" t="s">
        <v>209</v>
      </c>
      <c r="E105" s="479">
        <f>'4'!F105</f>
        <v>7484</v>
      </c>
      <c r="F105" s="1181">
        <v>7484</v>
      </c>
      <c r="G105" s="527">
        <f>F105-E105</f>
        <v>0</v>
      </c>
      <c r="H105" s="455">
        <f>G105+'4'!H105</f>
        <v>0</v>
      </c>
      <c r="I105" s="527"/>
      <c r="J105" s="553">
        <f>H105/DAY(B2)</f>
        <v>0</v>
      </c>
      <c r="N105" s="379"/>
      <c r="O105" s="379"/>
    </row>
    <row r="106" spans="1:15" s="437" customFormat="1" ht="27.75">
      <c r="A106" s="1458" t="s">
        <v>23</v>
      </c>
      <c r="B106" s="1459"/>
      <c r="C106" s="1391"/>
      <c r="D106" s="617" t="s">
        <v>209</v>
      </c>
      <c r="E106" s="479">
        <f>'4'!F106</f>
        <v>35966</v>
      </c>
      <c r="F106" s="1187">
        <v>35967</v>
      </c>
      <c r="G106" s="527">
        <f t="shared" ref="G106:G107" si="12">F106-E106</f>
        <v>1</v>
      </c>
      <c r="H106" s="455">
        <f>G106+'4'!H106</f>
        <v>14</v>
      </c>
      <c r="I106" s="527"/>
      <c r="J106" s="553">
        <f>H106/DAY(B2)</f>
        <v>2.8</v>
      </c>
      <c r="N106" s="379"/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479">
        <f>'4'!F107</f>
        <v>19717</v>
      </c>
      <c r="F107" s="1181">
        <v>19720</v>
      </c>
      <c r="G107" s="527">
        <f t="shared" si="12"/>
        <v>3</v>
      </c>
      <c r="H107" s="455">
        <f>G107+'4'!H107</f>
        <v>12</v>
      </c>
      <c r="I107" s="527"/>
      <c r="J107" s="553">
        <f>H107/DAY(B2)</f>
        <v>2.4</v>
      </c>
      <c r="N107" s="379"/>
      <c r="O107" s="379"/>
    </row>
    <row r="108" spans="1:15" s="437" customFormat="1" ht="27.75">
      <c r="A108" s="1461" t="s">
        <v>102</v>
      </c>
      <c r="B108" s="1462"/>
      <c r="C108" s="1391"/>
      <c r="D108" s="617"/>
      <c r="E108" s="479"/>
      <c r="F108" s="1181"/>
      <c r="G108" s="527">
        <f>SUM(G105:G107)</f>
        <v>4</v>
      </c>
      <c r="H108" s="455">
        <f>G108+'4'!H108</f>
        <v>26</v>
      </c>
      <c r="I108" s="527"/>
      <c r="J108" s="553">
        <f>H108/DAY(B2)</f>
        <v>5.2</v>
      </c>
      <c r="N108" s="379"/>
      <c r="O108" s="379"/>
    </row>
    <row r="109" spans="1:15" s="437" customFormat="1" ht="27.75">
      <c r="A109" s="1463" t="s">
        <v>120</v>
      </c>
      <c r="B109" s="1464"/>
      <c r="C109" s="1391"/>
      <c r="D109" s="617" t="s">
        <v>209</v>
      </c>
      <c r="E109" s="479">
        <f>'4'!F109</f>
        <v>0</v>
      </c>
      <c r="F109" s="1181"/>
      <c r="G109" s="527"/>
      <c r="H109" s="455">
        <f>G109+'4'!H109</f>
        <v>0</v>
      </c>
      <c r="I109" s="527"/>
      <c r="J109" s="553"/>
      <c r="N109" s="379"/>
      <c r="O109" s="379"/>
    </row>
    <row r="110" spans="1:15" s="437" customFormat="1" ht="27.75">
      <c r="A110" s="1458" t="s">
        <v>25</v>
      </c>
      <c r="B110" s="1459"/>
      <c r="C110" s="1391"/>
      <c r="D110" s="617" t="s">
        <v>209</v>
      </c>
      <c r="E110" s="479">
        <f>'4'!F110</f>
        <v>63091</v>
      </c>
      <c r="F110" s="1181">
        <v>63179</v>
      </c>
      <c r="G110" s="527">
        <f>F110-E110</f>
        <v>88</v>
      </c>
      <c r="H110" s="455">
        <f>G110+'4'!H110</f>
        <v>345</v>
      </c>
      <c r="I110" s="527"/>
      <c r="J110" s="553">
        <f>H110/DAY(B2)</f>
        <v>69</v>
      </c>
      <c r="N110" s="379"/>
    </row>
    <row r="111" spans="1:15" s="437" customFormat="1" ht="27.75">
      <c r="A111" s="1458" t="s">
        <v>26</v>
      </c>
      <c r="B111" s="1459"/>
      <c r="C111" s="1391"/>
      <c r="D111" s="617" t="s">
        <v>209</v>
      </c>
      <c r="E111" s="479">
        <f>'4'!F111</f>
        <v>32588</v>
      </c>
      <c r="F111" s="1181">
        <v>32605</v>
      </c>
      <c r="G111" s="527">
        <f t="shared" ref="G111:G112" si="13">F111-E111</f>
        <v>17</v>
      </c>
      <c r="H111" s="455">
        <f>G111+'4'!H111</f>
        <v>27</v>
      </c>
      <c r="I111" s="527"/>
      <c r="J111" s="553">
        <f>H111/DAY(B2)</f>
        <v>5.4</v>
      </c>
      <c r="N111" s="379"/>
    </row>
    <row r="112" spans="1:15" s="437" customFormat="1" ht="27.75">
      <c r="A112" s="1458" t="s">
        <v>27</v>
      </c>
      <c r="B112" s="1459"/>
      <c r="C112" s="1391"/>
      <c r="D112" s="617" t="s">
        <v>209</v>
      </c>
      <c r="E112" s="479">
        <f>'4'!F112</f>
        <v>4606</v>
      </c>
      <c r="F112" s="1181">
        <v>4621</v>
      </c>
      <c r="G112" s="527">
        <f t="shared" si="13"/>
        <v>15</v>
      </c>
      <c r="H112" s="455">
        <f>G112+'4'!H112</f>
        <v>45</v>
      </c>
      <c r="I112" s="527"/>
      <c r="J112" s="553">
        <f>H112/DAY(B2)</f>
        <v>9</v>
      </c>
      <c r="N112" s="379"/>
    </row>
    <row r="113" spans="1:14" s="437" customFormat="1" ht="27.75">
      <c r="A113" s="1461" t="s">
        <v>174</v>
      </c>
      <c r="B113" s="1462"/>
      <c r="C113" s="1391"/>
      <c r="D113" s="617"/>
      <c r="E113" s="479"/>
      <c r="F113" s="1181"/>
      <c r="G113" s="527">
        <f>SUM(G110:G112)</f>
        <v>120</v>
      </c>
      <c r="H113" s="455">
        <f>G113+'4'!H113</f>
        <v>417</v>
      </c>
      <c r="I113" s="527"/>
      <c r="J113" s="553">
        <f>H113/DAY(B2)</f>
        <v>83.4</v>
      </c>
      <c r="N113" s="379"/>
    </row>
    <row r="114" spans="1:14" s="437" customFormat="1" ht="27.75">
      <c r="A114" s="1463" t="s">
        <v>280</v>
      </c>
      <c r="B114" s="1464"/>
      <c r="C114" s="1391"/>
      <c r="D114" s="617"/>
      <c r="E114" s="479"/>
      <c r="F114" s="1181"/>
      <c r="G114" s="527"/>
      <c r="H114" s="455">
        <f>G114+'4'!H114</f>
        <v>0</v>
      </c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479">
        <f>'4'!F115</f>
        <v>11578</v>
      </c>
      <c r="F115" s="1182">
        <v>11590</v>
      </c>
      <c r="G115" s="529">
        <f>F115-E115</f>
        <v>12</v>
      </c>
      <c r="H115" s="455">
        <f>G115+'4'!H115</f>
        <v>93</v>
      </c>
      <c r="I115" s="527"/>
      <c r="J115" s="553">
        <f>H115/DAY(B2)</f>
        <v>18.600000000000001</v>
      </c>
      <c r="N115" s="37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479">
        <f>'4'!F116</f>
        <v>8328</v>
      </c>
      <c r="F116" s="1182">
        <v>8336</v>
      </c>
      <c r="G116" s="529">
        <f t="shared" ref="G116:G117" si="14">F116-E116</f>
        <v>8</v>
      </c>
      <c r="H116" s="455">
        <f>G116+'4'!H116</f>
        <v>24</v>
      </c>
      <c r="I116" s="527"/>
      <c r="J116" s="553">
        <f>H116/DAY(B2)</f>
        <v>4.8</v>
      </c>
      <c r="N116" s="37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479">
        <f>'4'!F117</f>
        <v>0</v>
      </c>
      <c r="F117" s="1182"/>
      <c r="G117" s="529">
        <f t="shared" si="14"/>
        <v>0</v>
      </c>
      <c r="H117" s="455">
        <f>G117+'4'!H117</f>
        <v>0</v>
      </c>
      <c r="I117" s="527"/>
      <c r="J117" s="553">
        <f>H117/DAY(B2)</f>
        <v>0</v>
      </c>
      <c r="N117" s="379"/>
    </row>
    <row r="118" spans="1:14" s="440" customFormat="1" ht="27.75">
      <c r="A118" s="1461" t="s">
        <v>102</v>
      </c>
      <c r="B118" s="1462"/>
      <c r="C118" s="569"/>
      <c r="D118" s="618"/>
      <c r="E118" s="479"/>
      <c r="F118" s="1182"/>
      <c r="G118" s="529">
        <f>SUM(G115:G117)</f>
        <v>20</v>
      </c>
      <c r="H118" s="455">
        <f>G118+'4'!H118</f>
        <v>117</v>
      </c>
      <c r="I118" s="529"/>
      <c r="J118" s="553">
        <f>H118/DAY(B2)</f>
        <v>23.4</v>
      </c>
      <c r="N118" s="37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479">
        <f>'4'!F119</f>
        <v>66</v>
      </c>
      <c r="F119" s="1183">
        <f>SUM(G19+G93)</f>
        <v>113</v>
      </c>
      <c r="G119" s="531">
        <f>SUM(G19+G93)</f>
        <v>113</v>
      </c>
      <c r="H119" s="455">
        <f>G119+'4'!H119</f>
        <v>470</v>
      </c>
      <c r="I119" s="530"/>
      <c r="J119" s="554">
        <f>H119/DAY(B2)</f>
        <v>94</v>
      </c>
      <c r="N119" s="37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479">
        <f>'4'!F120</f>
        <v>65</v>
      </c>
      <c r="F120" s="1183">
        <f>SUM(G96,G97,G98,G100,G101)</f>
        <v>112</v>
      </c>
      <c r="G120" s="531">
        <f>SUM(G96,G97,G98,G100,G101)</f>
        <v>112</v>
      </c>
      <c r="H120" s="455">
        <f>G120+'4'!H120</f>
        <v>465</v>
      </c>
      <c r="I120" s="530"/>
      <c r="J120" s="554">
        <f>H120/DAY(B2)</f>
        <v>93</v>
      </c>
      <c r="N120" s="37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479">
        <f>'4'!F121</f>
        <v>75</v>
      </c>
      <c r="F121" s="1182">
        <f>SUM(G113)</f>
        <v>120</v>
      </c>
      <c r="G121" s="529">
        <f>SUM(G113)</f>
        <v>120</v>
      </c>
      <c r="H121" s="455">
        <f>G121+'4'!H121</f>
        <v>417</v>
      </c>
      <c r="I121" s="530"/>
      <c r="J121" s="554">
        <f>H121/DAY(B2)</f>
        <v>83.4</v>
      </c>
      <c r="N121" s="379"/>
    </row>
    <row r="122" spans="1:14" s="437" customFormat="1" ht="27.75">
      <c r="A122" s="1494"/>
      <c r="B122" s="1495"/>
      <c r="C122" s="1390"/>
      <c r="D122" s="555"/>
      <c r="E122" s="555"/>
      <c r="F122" s="1184" t="s">
        <v>182</v>
      </c>
      <c r="G122" s="555"/>
      <c r="H122" s="455">
        <f>G122+'4'!H122</f>
        <v>0</v>
      </c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1090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'4'!F124</f>
        <v>833069.83</v>
      </c>
      <c r="F124" s="1163">
        <v>833251.48</v>
      </c>
      <c r="G124" s="468">
        <f t="shared" ref="G124:G128" si="15">F124-E124</f>
        <v>181.65000000002328</v>
      </c>
      <c r="H124" s="455">
        <f>G124+'4'!H124</f>
        <v>885.47999999998137</v>
      </c>
      <c r="I124" s="521"/>
      <c r="J124" s="547">
        <f>H124/DAY(B2)</f>
        <v>177.09599999999628</v>
      </c>
      <c r="K124" s="377"/>
      <c r="L124" s="374"/>
      <c r="N124" s="379"/>
    </row>
    <row r="125" spans="1:14" ht="27.75">
      <c r="A125" s="1392" t="s">
        <v>287</v>
      </c>
      <c r="B125" s="1393"/>
      <c r="C125" s="1393"/>
      <c r="D125" s="518" t="s">
        <v>206</v>
      </c>
      <c r="E125" s="621">
        <f>'4'!F125</f>
        <v>73583</v>
      </c>
      <c r="F125" s="1185">
        <v>73583</v>
      </c>
      <c r="G125" s="468">
        <f t="shared" si="15"/>
        <v>0</v>
      </c>
      <c r="H125" s="455">
        <f>G125+'4'!H125</f>
        <v>-0.39999999999417923</v>
      </c>
      <c r="I125" s="521"/>
      <c r="J125" s="547">
        <f>H125/DAY(B2)</f>
        <v>-7.999999999883585E-2</v>
      </c>
      <c r="K125" s="377"/>
      <c r="L125" s="374"/>
      <c r="N125" s="379"/>
    </row>
    <row r="126" spans="1:14" ht="27.75">
      <c r="A126" s="1450" t="s">
        <v>288</v>
      </c>
      <c r="B126" s="1451"/>
      <c r="C126" s="1452"/>
      <c r="D126" s="518" t="s">
        <v>206</v>
      </c>
      <c r="E126" s="473">
        <f>'4'!F126</f>
        <v>146737.42000000001</v>
      </c>
      <c r="F126" s="1163">
        <v>146798.54999999999</v>
      </c>
      <c r="G126" s="468">
        <f t="shared" si="15"/>
        <v>61.129999999975553</v>
      </c>
      <c r="H126" s="455">
        <f>G126+'4'!H126</f>
        <v>307.54999999998836</v>
      </c>
      <c r="I126" s="521"/>
      <c r="J126" s="547">
        <f>H126/DAY(B2)</f>
        <v>61.509999999997675</v>
      </c>
      <c r="K126" s="377"/>
      <c r="L126" s="374"/>
      <c r="N126" s="379"/>
    </row>
    <row r="127" spans="1:14" ht="27.75">
      <c r="A127" s="604" t="s">
        <v>289</v>
      </c>
      <c r="B127" s="1393"/>
      <c r="C127" s="1393"/>
      <c r="D127" s="518" t="s">
        <v>206</v>
      </c>
      <c r="E127" s="621">
        <f>'4'!F127</f>
        <v>31406.2</v>
      </c>
      <c r="F127" s="1185">
        <v>31409.1</v>
      </c>
      <c r="G127" s="468">
        <f t="shared" si="15"/>
        <v>2.8999999999978172</v>
      </c>
      <c r="H127" s="455">
        <f>G127+'4'!H127</f>
        <v>3.0999999999985448</v>
      </c>
      <c r="I127" s="521"/>
      <c r="J127" s="547">
        <f>H127/DAY(B2)</f>
        <v>0.61999999999970901</v>
      </c>
      <c r="K127" s="377"/>
      <c r="L127" s="374"/>
      <c r="N127" s="379"/>
    </row>
    <row r="128" spans="1:14" ht="27.75">
      <c r="A128" s="604" t="s">
        <v>290</v>
      </c>
      <c r="B128" s="1393"/>
      <c r="C128" s="1393"/>
      <c r="D128" s="518" t="s">
        <v>206</v>
      </c>
      <c r="E128" s="621">
        <f>'4'!F128</f>
        <v>8971.7000000000007</v>
      </c>
      <c r="F128" s="1185">
        <v>8971.9</v>
      </c>
      <c r="G128" s="468">
        <f t="shared" si="15"/>
        <v>0.19999999999890861</v>
      </c>
      <c r="H128" s="455">
        <f>G128+'4'!H128</f>
        <v>-0.1000000000003638</v>
      </c>
      <c r="I128" s="475"/>
      <c r="J128" s="547">
        <f>H128/DAY(B2)</f>
        <v>-2.0000000000072758E-2</v>
      </c>
      <c r="K128" s="377"/>
      <c r="L128" s="374"/>
      <c r="N128" s="37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1163"/>
      <c r="G129" s="468">
        <f>G15-SUM(G124:G128)</f>
        <v>208.0220000000063</v>
      </c>
      <c r="H129" s="455">
        <f>G129+'4'!H129</f>
        <v>880.68000000008215</v>
      </c>
      <c r="I129" s="475"/>
      <c r="J129" s="547">
        <f>H129/DAY(B2)</f>
        <v>176.13600000001642</v>
      </c>
      <c r="K129" s="361"/>
      <c r="L129" s="289"/>
      <c r="N129" s="379"/>
    </row>
    <row r="130" spans="1:14">
      <c r="A130" s="605" t="s">
        <v>292</v>
      </c>
      <c r="B130" s="453"/>
      <c r="C130" s="453"/>
      <c r="D130" s="466"/>
      <c r="E130" s="466"/>
      <c r="F130" s="1159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'4'!F131</f>
        <v>0</v>
      </c>
      <c r="F131" s="1163">
        <v>0</v>
      </c>
      <c r="G131" s="468">
        <f t="shared" ref="G131:G141" si="16">F131-E131</f>
        <v>0</v>
      </c>
      <c r="H131" s="455">
        <f>G131+'4'!H131</f>
        <v>0</v>
      </c>
      <c r="I131" s="475"/>
      <c r="J131" s="547">
        <f>H131/DAY(B2)</f>
        <v>0</v>
      </c>
      <c r="N131" s="37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'4'!F132</f>
        <v>0</v>
      </c>
      <c r="F132" s="1163">
        <v>0</v>
      </c>
      <c r="G132" s="468">
        <f t="shared" si="16"/>
        <v>0</v>
      </c>
      <c r="H132" s="455">
        <f>G132+'4'!H132</f>
        <v>0</v>
      </c>
      <c r="I132" s="475"/>
      <c r="J132" s="547">
        <f>H132/DAY(B2)</f>
        <v>0</v>
      </c>
      <c r="N132" s="379"/>
    </row>
    <row r="133" spans="1:14" ht="27.75">
      <c r="A133" s="1392" t="s">
        <v>296</v>
      </c>
      <c r="B133" s="1393"/>
      <c r="C133" s="1393"/>
      <c r="D133" s="518" t="s">
        <v>294</v>
      </c>
      <c r="E133" s="536">
        <v>40035.1</v>
      </c>
      <c r="F133" s="1164">
        <v>40040.269999999997</v>
      </c>
      <c r="G133" s="468">
        <f t="shared" si="16"/>
        <v>5.1699999999982538</v>
      </c>
      <c r="H133" s="455">
        <f>G133+'4'!H133</f>
        <v>5.1699999999982538</v>
      </c>
      <c r="I133" s="475"/>
      <c r="J133" s="547">
        <f>H133/DAY(B2)</f>
        <v>1.0339999999996508</v>
      </c>
      <c r="N133" s="379"/>
    </row>
    <row r="134" spans="1:14" ht="27.75">
      <c r="A134" s="1392" t="s">
        <v>297</v>
      </c>
      <c r="B134" s="1393"/>
      <c r="C134" s="1393"/>
      <c r="D134" s="518" t="s">
        <v>294</v>
      </c>
      <c r="E134" s="697">
        <f>'4'!F134</f>
        <v>300</v>
      </c>
      <c r="F134" s="1185">
        <v>300</v>
      </c>
      <c r="G134" s="468">
        <f t="shared" si="16"/>
        <v>0</v>
      </c>
      <c r="H134" s="455">
        <f>G134+'4'!H134</f>
        <v>0</v>
      </c>
      <c r="I134" s="475">
        <f>G131+G132+G133+G134</f>
        <v>5.1699999999982538</v>
      </c>
      <c r="J134" s="547">
        <f>H134/DAY(B2)</f>
        <v>0</v>
      </c>
      <c r="N134" s="379"/>
    </row>
    <row r="135" spans="1:14" ht="27.75">
      <c r="A135" s="1392" t="s">
        <v>298</v>
      </c>
      <c r="B135" s="1393"/>
      <c r="C135" s="1393"/>
      <c r="D135" s="518" t="s">
        <v>294</v>
      </c>
      <c r="E135" s="697">
        <f>'4'!F135</f>
        <v>41730</v>
      </c>
      <c r="F135" s="1185">
        <v>41730.339999999997</v>
      </c>
      <c r="G135" s="468">
        <f t="shared" si="16"/>
        <v>0.33999999999650754</v>
      </c>
      <c r="H135" s="455">
        <f>G135+'4'!H135</f>
        <v>0.33999999999650754</v>
      </c>
      <c r="I135" s="475"/>
      <c r="J135" s="547">
        <f>H135/DAY(B2)</f>
        <v>6.7999999999301508E-2</v>
      </c>
      <c r="N135" s="379"/>
    </row>
    <row r="136" spans="1:14" ht="27.75">
      <c r="A136" s="1392" t="s">
        <v>299</v>
      </c>
      <c r="B136" s="1393"/>
      <c r="C136" s="1393"/>
      <c r="D136" s="518" t="s">
        <v>294</v>
      </c>
      <c r="E136" s="697">
        <f>'4'!F136</f>
        <v>32811</v>
      </c>
      <c r="F136" s="1185">
        <v>32835.49</v>
      </c>
      <c r="G136" s="468">
        <f t="shared" si="16"/>
        <v>24.489999999997963</v>
      </c>
      <c r="H136" s="455">
        <f>G136+'4'!H136</f>
        <v>120.48999999999796</v>
      </c>
      <c r="I136" s="475"/>
      <c r="J136" s="547">
        <f>H136/DAY(B2)</f>
        <v>24.097999999999594</v>
      </c>
      <c r="N136" s="379"/>
    </row>
    <row r="137" spans="1:14" ht="27.75">
      <c r="A137" s="1392" t="s">
        <v>300</v>
      </c>
      <c r="B137" s="1393"/>
      <c r="C137" s="1393"/>
      <c r="D137" s="518" t="s">
        <v>294</v>
      </c>
      <c r="E137" s="536">
        <f>'4'!F137</f>
        <v>22814.2</v>
      </c>
      <c r="F137" s="1164">
        <v>22814.28</v>
      </c>
      <c r="G137" s="468">
        <f t="shared" si="16"/>
        <v>7.9999999998108251E-2</v>
      </c>
      <c r="H137" s="455">
        <f>G137+'4'!H137</f>
        <v>7.0399999999972351</v>
      </c>
      <c r="I137" s="475">
        <f>G137+G138+G139</f>
        <v>11.309999999994034</v>
      </c>
      <c r="J137" s="547">
        <f>H137/DAY(B2)</f>
        <v>1.407999999999447</v>
      </c>
      <c r="N137" s="379"/>
    </row>
    <row r="138" spans="1:14" ht="27.75">
      <c r="A138" s="1392" t="s">
        <v>301</v>
      </c>
      <c r="B138" s="1393"/>
      <c r="C138" s="1393"/>
      <c r="D138" s="518" t="s">
        <v>294</v>
      </c>
      <c r="E138" s="536">
        <f>'4'!F138</f>
        <v>25051.82</v>
      </c>
      <c r="F138" s="1164">
        <v>25051.82</v>
      </c>
      <c r="G138" s="468">
        <f t="shared" si="16"/>
        <v>0</v>
      </c>
      <c r="H138" s="455">
        <f>G138+'4'!H138</f>
        <v>0</v>
      </c>
      <c r="I138" s="475"/>
      <c r="J138" s="547">
        <f>H138/DAY(B2)</f>
        <v>0</v>
      </c>
      <c r="N138" s="379"/>
    </row>
    <row r="139" spans="1:14" ht="27.75">
      <c r="A139" s="1392" t="s">
        <v>302</v>
      </c>
      <c r="B139" s="1393"/>
      <c r="C139" s="1393"/>
      <c r="D139" s="518" t="s">
        <v>294</v>
      </c>
      <c r="E139" s="536">
        <f>'4'!F139</f>
        <v>70424.240000000005</v>
      </c>
      <c r="F139" s="1164">
        <v>70435.47</v>
      </c>
      <c r="G139" s="468">
        <f t="shared" si="16"/>
        <v>11.229999999995925</v>
      </c>
      <c r="H139" s="455">
        <f>G139+'4'!H139</f>
        <v>23.729999999995925</v>
      </c>
      <c r="I139" s="475"/>
      <c r="J139" s="547">
        <f>H139/DAY(B2)</f>
        <v>4.7459999999991851</v>
      </c>
      <c r="N139" s="379"/>
    </row>
    <row r="140" spans="1:14" ht="27.75">
      <c r="A140" s="1392" t="s">
        <v>303</v>
      </c>
      <c r="B140" s="1393"/>
      <c r="C140" s="1393"/>
      <c r="D140" s="518" t="s">
        <v>294</v>
      </c>
      <c r="E140" s="697">
        <f>'4'!F140</f>
        <v>1881.49</v>
      </c>
      <c r="F140" s="1185">
        <v>1888.59</v>
      </c>
      <c r="G140" s="468">
        <f t="shared" si="16"/>
        <v>7.0999999999999091</v>
      </c>
      <c r="H140" s="455">
        <f>G140+'4'!H140</f>
        <v>34.289999999999964</v>
      </c>
      <c r="I140" s="537">
        <f>G140+G141</f>
        <v>7.0999999999999091</v>
      </c>
      <c r="J140" s="547">
        <f>H140/DAY(B2)</f>
        <v>6.8579999999999925</v>
      </c>
      <c r="N140" s="379"/>
    </row>
    <row r="141" spans="1:14" ht="27.75">
      <c r="A141" s="1392" t="s">
        <v>304</v>
      </c>
      <c r="B141" s="1393"/>
      <c r="C141" s="1393"/>
      <c r="D141" s="518" t="s">
        <v>294</v>
      </c>
      <c r="E141" s="479">
        <f>'4'!F141</f>
        <v>4637</v>
      </c>
      <c r="F141" s="1163">
        <v>4637</v>
      </c>
      <c r="G141" s="468">
        <f t="shared" si="16"/>
        <v>0</v>
      </c>
      <c r="H141" s="455">
        <f>G141+'4'!H141</f>
        <v>0</v>
      </c>
      <c r="I141" s="537"/>
      <c r="J141" s="547">
        <f>H141/DAY(B2)</f>
        <v>0</v>
      </c>
      <c r="N141" s="379"/>
    </row>
    <row r="142" spans="1:14">
      <c r="A142" s="1488" t="s">
        <v>305</v>
      </c>
      <c r="B142" s="1489"/>
      <c r="C142" s="1398"/>
      <c r="D142" s="467"/>
      <c r="E142" s="467"/>
      <c r="F142" s="1090"/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1093"/>
      <c r="G143" s="455">
        <f>G35+G43+G49+G57</f>
        <v>5103.640000000014</v>
      </c>
      <c r="H143" s="455">
        <f>G143+'4'!H143</f>
        <v>23917.979999999981</v>
      </c>
      <c r="I143" s="475" t="s">
        <v>326</v>
      </c>
      <c r="J143" s="547">
        <f>H143/DAY(B2)</f>
        <v>4783.5959999999959</v>
      </c>
      <c r="K143" s="377"/>
      <c r="L143" s="374"/>
      <c r="N143" s="37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1158"/>
      <c r="G144" s="538">
        <f>G143/G7</f>
        <v>0.25513556532711101</v>
      </c>
      <c r="H144" s="455">
        <f>G144+'4'!H144</f>
        <v>1.4025684954787225</v>
      </c>
      <c r="I144" s="539"/>
      <c r="J144" s="547">
        <f>H144/DAY(B2)</f>
        <v>0.28051369909574453</v>
      </c>
      <c r="K144" s="377"/>
      <c r="L144" s="374"/>
      <c r="N144" s="37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1166"/>
      <c r="G145" s="455">
        <f>G41+G42+G55+G56</f>
        <v>5836.539999999979</v>
      </c>
      <c r="H145" s="455">
        <f>G145+'4'!H145</f>
        <v>24862.219999999972</v>
      </c>
      <c r="I145" s="475"/>
      <c r="J145" s="547">
        <f>H145/DAY(B2)</f>
        <v>4972.443999999994</v>
      </c>
      <c r="K145" s="377"/>
      <c r="L145" s="374"/>
      <c r="N145" s="37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1166"/>
      <c r="G146" s="538">
        <f>G145/G7</f>
        <v>0.29177389715071733</v>
      </c>
      <c r="H146" s="455">
        <f>G146+'4'!H146</f>
        <v>1.4510624250424831</v>
      </c>
      <c r="I146" s="539"/>
      <c r="J146" s="547">
        <f>H146/DAY(B2)</f>
        <v>0.29021248500849661</v>
      </c>
      <c r="K146" s="377"/>
      <c r="L146" s="374"/>
      <c r="N146" s="37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1166"/>
      <c r="G147" s="455">
        <f>G39+G53</f>
        <v>3287.4400000000023</v>
      </c>
      <c r="H147" s="455">
        <f>G147+'4'!H147</f>
        <v>13539.459999999963</v>
      </c>
      <c r="I147" s="540"/>
      <c r="J147" s="547">
        <f>H147/DAY(B2)</f>
        <v>2707.8919999999925</v>
      </c>
      <c r="K147" s="377"/>
      <c r="L147" s="374"/>
      <c r="N147" s="37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1166"/>
      <c r="G148" s="538">
        <f>G147/G7</f>
        <v>0.16434208973966738</v>
      </c>
      <c r="H148" s="455">
        <f>G148+'4'!H148</f>
        <v>0.78938013374418547</v>
      </c>
      <c r="I148" s="540"/>
      <c r="J148" s="547">
        <f>H148/DAY(B2)</f>
        <v>0.15787602674883711</v>
      </c>
      <c r="N148" s="37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1166"/>
      <c r="G149" s="455">
        <f>G38+G52</f>
        <v>1403.7799999999697</v>
      </c>
      <c r="H149" s="455">
        <f>G149+'4'!H149</f>
        <v>6187.7399999999616</v>
      </c>
      <c r="I149" s="475"/>
      <c r="J149" s="547">
        <f>H149/DAY(B2)</f>
        <v>1237.5479999999923</v>
      </c>
      <c r="K149" s="378"/>
      <c r="N149" s="37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1166"/>
      <c r="G150" s="538">
        <f>G149/G7</f>
        <v>7.0176227926515816E-2</v>
      </c>
      <c r="H150" s="455">
        <f>G150+'4'!H150</f>
        <v>0.36200565098355131</v>
      </c>
      <c r="I150" s="540"/>
      <c r="J150" s="547">
        <f>H150/DAY(B2)</f>
        <v>7.2401130196710267E-2</v>
      </c>
      <c r="N150" s="37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1166"/>
      <c r="G151" s="455">
        <f>G36+G50</f>
        <v>2338.0199999999604</v>
      </c>
      <c r="H151" s="455">
        <f>G151+'4'!H151</f>
        <v>7832.4399999999841</v>
      </c>
      <c r="I151" s="540"/>
      <c r="J151" s="547">
        <f>H151/DAY(B2)</f>
        <v>1566.4879999999969</v>
      </c>
      <c r="N151" s="37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1166"/>
      <c r="G152" s="538">
        <f>G151/G7</f>
        <v>0.11687972788952204</v>
      </c>
      <c r="H152" s="455">
        <f>G152+'4'!H152</f>
        <v>0.45197513218302593</v>
      </c>
      <c r="I152" s="475"/>
      <c r="J152" s="547">
        <f>H152/DAY(B2)</f>
        <v>9.0395026436605186E-2</v>
      </c>
      <c r="N152" s="37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1166"/>
      <c r="G153" s="455">
        <f>G37+G51</f>
        <v>1382.5499999999884</v>
      </c>
      <c r="H153" s="455">
        <f>G153+'4'!H153</f>
        <v>6466.8699999999953</v>
      </c>
      <c r="I153" s="475"/>
      <c r="J153" s="547">
        <f>H153/DAY(B2)</f>
        <v>1293.3739999999991</v>
      </c>
      <c r="N153" s="37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1186"/>
      <c r="G154" s="561">
        <f>G153/G7</f>
        <v>6.9114921084362013E-2</v>
      </c>
      <c r="H154" s="455">
        <f>G154+'4'!H154</f>
        <v>0.37914529947040088</v>
      </c>
      <c r="I154" s="563"/>
      <c r="J154" s="564">
        <f>H154/DAY(B2)</f>
        <v>7.5829059894080175E-2</v>
      </c>
      <c r="N154" s="379"/>
    </row>
    <row r="155" spans="1:14">
      <c r="A155" s="461"/>
      <c r="B155" s="451"/>
      <c r="C155" s="451"/>
      <c r="D155" s="541"/>
      <c r="E155" s="541"/>
      <c r="F155" s="541"/>
      <c r="G155" s="541"/>
      <c r="H155" s="542"/>
      <c r="I155" s="541"/>
      <c r="J155" s="543"/>
      <c r="N155" s="379"/>
    </row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9">
      <c r="A161" s="780" t="s">
        <v>318</v>
      </c>
      <c r="B161" s="781"/>
      <c r="C161" s="781"/>
      <c r="D161" s="506" t="s">
        <v>253</v>
      </c>
      <c r="E161" s="479">
        <f>'4'!F161</f>
        <v>38758.07</v>
      </c>
      <c r="F161" s="654">
        <v>38839.69</v>
      </c>
      <c r="G161" s="468">
        <f t="shared" ref="G161:G172" si="17">F161-E161</f>
        <v>81.620000000002619</v>
      </c>
    </row>
    <row r="162" spans="1:9">
      <c r="A162" s="780" t="s">
        <v>319</v>
      </c>
      <c r="B162" s="781"/>
      <c r="C162" s="781"/>
      <c r="D162" s="506" t="s">
        <v>253</v>
      </c>
      <c r="E162" s="479">
        <f>'4'!F162</f>
        <v>96413.95</v>
      </c>
      <c r="F162" s="654">
        <v>96830.3</v>
      </c>
      <c r="G162" s="468">
        <f t="shared" si="17"/>
        <v>416.35000000000582</v>
      </c>
    </row>
    <row r="163" spans="1:9">
      <c r="A163" s="780" t="s">
        <v>320</v>
      </c>
      <c r="B163" s="781"/>
      <c r="C163" s="781"/>
      <c r="D163" s="506" t="s">
        <v>253</v>
      </c>
      <c r="E163" s="479">
        <f>'4'!F163</f>
        <v>45775.49</v>
      </c>
      <c r="F163" s="654">
        <v>45984.19</v>
      </c>
      <c r="G163" s="468">
        <f t="shared" si="17"/>
        <v>208.70000000000437</v>
      </c>
    </row>
    <row r="164" spans="1:9">
      <c r="A164" s="780" t="s">
        <v>321</v>
      </c>
      <c r="B164" s="781"/>
      <c r="C164" s="781"/>
      <c r="D164" s="506" t="s">
        <v>253</v>
      </c>
      <c r="E164" s="479">
        <f>'4'!F164</f>
        <v>6591.02</v>
      </c>
      <c r="F164" s="654">
        <v>6601</v>
      </c>
      <c r="G164" s="468">
        <f t="shared" si="17"/>
        <v>9.9799999999995634</v>
      </c>
    </row>
    <row r="165" spans="1:9">
      <c r="A165" s="782" t="s">
        <v>252</v>
      </c>
      <c r="B165" s="599"/>
      <c r="C165" s="599"/>
      <c r="D165" s="506" t="s">
        <v>253</v>
      </c>
      <c r="E165" s="509">
        <f>E62</f>
        <v>0</v>
      </c>
      <c r="F165" s="509">
        <f>F62</f>
        <v>0</v>
      </c>
      <c r="G165" s="468">
        <f t="shared" si="17"/>
        <v>0</v>
      </c>
    </row>
    <row r="166" spans="1:9">
      <c r="A166" s="782" t="s">
        <v>254</v>
      </c>
      <c r="B166" s="599"/>
      <c r="C166" s="599"/>
      <c r="D166" s="506" t="s">
        <v>253</v>
      </c>
      <c r="E166" s="509">
        <f t="shared" ref="E166" si="18">E63</f>
        <v>0</v>
      </c>
      <c r="F166" s="509">
        <f t="shared" ref="F166:F172" si="19">F63</f>
        <v>0</v>
      </c>
      <c r="G166" s="468">
        <f t="shared" si="17"/>
        <v>0</v>
      </c>
    </row>
    <row r="167" spans="1:9" ht="27.75">
      <c r="A167" s="1502" t="s">
        <v>161</v>
      </c>
      <c r="B167" s="1502"/>
      <c r="C167" s="1502"/>
      <c r="D167" s="518" t="s">
        <v>253</v>
      </c>
      <c r="E167" s="509">
        <f t="shared" ref="E167" si="20">E64</f>
        <v>160690.44</v>
      </c>
      <c r="F167" s="509">
        <f t="shared" si="19"/>
        <v>160945.75</v>
      </c>
      <c r="G167" s="468">
        <f t="shared" si="17"/>
        <v>255.30999999999767</v>
      </c>
    </row>
    <row r="168" spans="1:9" ht="27.75">
      <c r="A168" s="1502" t="s">
        <v>162</v>
      </c>
      <c r="B168" s="1502"/>
      <c r="C168" s="1502"/>
      <c r="D168" s="518" t="s">
        <v>253</v>
      </c>
      <c r="E168" s="509">
        <f t="shared" ref="E168" si="21">E65</f>
        <v>161818.76999999999</v>
      </c>
      <c r="F168" s="509">
        <f t="shared" si="19"/>
        <v>162162.23000000001</v>
      </c>
      <c r="G168" s="468">
        <f t="shared" si="17"/>
        <v>343.46000000002095</v>
      </c>
    </row>
    <row r="169" spans="1:9" ht="27.75">
      <c r="A169" s="1502" t="s">
        <v>255</v>
      </c>
      <c r="B169" s="1502"/>
      <c r="C169" s="1502"/>
      <c r="D169" s="518" t="s">
        <v>253</v>
      </c>
      <c r="E169" s="509">
        <f t="shared" ref="E169" si="22">E66</f>
        <v>57809.82</v>
      </c>
      <c r="F169" s="509">
        <f t="shared" si="19"/>
        <v>58207.19</v>
      </c>
      <c r="G169" s="468">
        <f t="shared" si="17"/>
        <v>397.37000000000262</v>
      </c>
    </row>
    <row r="170" spans="1:9" ht="27.75">
      <c r="A170" s="1502" t="s">
        <v>157</v>
      </c>
      <c r="B170" s="1502"/>
      <c r="C170" s="1502"/>
      <c r="D170" s="518" t="s">
        <v>253</v>
      </c>
      <c r="E170" s="509">
        <f t="shared" ref="E170" si="23">E67</f>
        <v>253616.59</v>
      </c>
      <c r="F170" s="509">
        <f t="shared" si="19"/>
        <v>254103.65</v>
      </c>
      <c r="G170" s="468">
        <f t="shared" si="17"/>
        <v>487.05999999999767</v>
      </c>
    </row>
    <row r="171" spans="1:9" ht="27.75">
      <c r="A171" s="1502" t="s">
        <v>164</v>
      </c>
      <c r="B171" s="1502"/>
      <c r="C171" s="1502"/>
      <c r="D171" s="518" t="s">
        <v>253</v>
      </c>
      <c r="E171" s="509">
        <f t="shared" ref="E171" si="24">E68</f>
        <v>85321</v>
      </c>
      <c r="F171" s="509">
        <f t="shared" si="19"/>
        <v>85321</v>
      </c>
      <c r="G171" s="468">
        <f t="shared" si="17"/>
        <v>0</v>
      </c>
    </row>
    <row r="172" spans="1:9" ht="27.75">
      <c r="A172" s="1502" t="s">
        <v>165</v>
      </c>
      <c r="B172" s="1502"/>
      <c r="C172" s="1502"/>
      <c r="D172" s="518" t="s">
        <v>253</v>
      </c>
      <c r="E172" s="509">
        <f t="shared" ref="E172" si="25">E69</f>
        <v>82121.929999999993</v>
      </c>
      <c r="F172" s="509">
        <f t="shared" si="19"/>
        <v>82249.98</v>
      </c>
      <c r="G172" s="468">
        <f t="shared" si="17"/>
        <v>128.05000000000291</v>
      </c>
    </row>
    <row r="173" spans="1:9">
      <c r="A173" s="1512" t="s">
        <v>329</v>
      </c>
      <c r="B173" s="1495"/>
      <c r="C173" s="781"/>
      <c r="D173" s="518" t="s">
        <v>253</v>
      </c>
      <c r="E173" s="537"/>
      <c r="F173" s="537"/>
      <c r="G173" s="537"/>
    </row>
    <row r="174" spans="1:9">
      <c r="A174" s="1512" t="s">
        <v>332</v>
      </c>
      <c r="B174" s="1495"/>
      <c r="C174" s="781"/>
      <c r="D174" s="518" t="s">
        <v>253</v>
      </c>
      <c r="E174" s="537"/>
      <c r="F174" s="537"/>
      <c r="G174" s="537"/>
    </row>
    <row r="176" spans="1:9">
      <c r="I176" s="532" t="s">
        <v>182</v>
      </c>
    </row>
  </sheetData>
  <mergeCells count="77"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449" customWidth="1"/>
    <col min="2" max="2" width="31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373" customWidth="1"/>
    <col min="15" max="16384" width="22.33203125" style="373"/>
  </cols>
  <sheetData>
    <row r="1" spans="1:17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7" s="278" customFormat="1" ht="27">
      <c r="A2" s="570" t="s">
        <v>330</v>
      </c>
      <c r="B2" s="1028">
        <v>44353</v>
      </c>
      <c r="C2" s="1394" t="s">
        <v>111</v>
      </c>
      <c r="D2" s="606">
        <v>0.75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7" s="278" customFormat="1" ht="27">
      <c r="A3" s="565"/>
      <c r="B3" s="609"/>
      <c r="C3" s="1394" t="s">
        <v>186</v>
      </c>
      <c r="D3" s="607">
        <v>34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7" s="278" customFormat="1" ht="27">
      <c r="A4" s="571"/>
      <c r="B4" s="611"/>
      <c r="C4" s="1394" t="s">
        <v>188</v>
      </c>
      <c r="D4" s="606">
        <v>0.84</v>
      </c>
      <c r="E4" s="459"/>
      <c r="F4" s="459"/>
      <c r="G4" s="459"/>
      <c r="H4" s="459"/>
      <c r="I4" s="460"/>
      <c r="J4" s="610"/>
      <c r="K4" s="369"/>
      <c r="L4" s="289"/>
    </row>
    <row r="5" spans="1:17">
      <c r="A5" s="572" t="s">
        <v>189</v>
      </c>
      <c r="B5" s="454"/>
      <c r="C5" s="454"/>
      <c r="D5" s="506"/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7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7" ht="30" thickBot="1">
      <c r="A7" s="672" t="s">
        <v>197</v>
      </c>
      <c r="B7" s="673"/>
      <c r="C7" s="673"/>
      <c r="D7" s="633" t="s">
        <v>198</v>
      </c>
      <c r="E7" s="628">
        <f>'5'!F7</f>
        <v>430018.71</v>
      </c>
      <c r="F7" s="450">
        <v>448352.99</v>
      </c>
      <c r="G7" s="685">
        <f>F7-E7</f>
        <v>18334.27999999997</v>
      </c>
      <c r="H7" s="675">
        <f>G7+'5'!H7</f>
        <v>103940.98999999999</v>
      </c>
      <c r="I7" s="676">
        <f>'1'!I7</f>
        <v>12000</v>
      </c>
      <c r="J7" s="677">
        <f>H7/DAY(B2)</f>
        <v>17323.498333333333</v>
      </c>
      <c r="K7" s="544"/>
      <c r="L7" s="374"/>
      <c r="N7" s="704"/>
    </row>
    <row r="8" spans="1:17" ht="27.75" thickBot="1">
      <c r="A8" s="678" t="s">
        <v>199</v>
      </c>
      <c r="B8" s="679"/>
      <c r="C8" s="680"/>
      <c r="D8" s="681" t="s">
        <v>59</v>
      </c>
      <c r="E8" s="628">
        <f>'5'!F8</f>
        <v>432505.15</v>
      </c>
      <c r="F8" s="470">
        <v>450927.79</v>
      </c>
      <c r="G8" s="685">
        <f t="shared" ref="G8:G12" si="0">F8-E8</f>
        <v>18422.639999999956</v>
      </c>
      <c r="H8" s="675">
        <f>G8+'5'!H8</f>
        <v>104417.78999999998</v>
      </c>
      <c r="I8" s="682">
        <v>12000</v>
      </c>
      <c r="J8" s="677">
        <f>H8/DAY(B2)</f>
        <v>17402.964999999997</v>
      </c>
      <c r="K8" s="544"/>
      <c r="L8" s="421"/>
      <c r="M8" s="435"/>
      <c r="N8" s="699"/>
      <c r="O8" s="379"/>
    </row>
    <row r="9" spans="1:17">
      <c r="A9" s="683" t="s">
        <v>200</v>
      </c>
      <c r="B9" s="684"/>
      <c r="C9" s="684"/>
      <c r="D9" s="633" t="s">
        <v>198</v>
      </c>
      <c r="E9" s="628">
        <f>'5'!F9</f>
        <v>1556655.6</v>
      </c>
      <c r="F9" s="473">
        <v>1574403.7</v>
      </c>
      <c r="G9" s="685">
        <f t="shared" si="0"/>
        <v>17748.09999999986</v>
      </c>
      <c r="H9" s="675">
        <f>G9+'5'!H9</f>
        <v>100713.69999999995</v>
      </c>
      <c r="I9" s="686">
        <f>I8-J8</f>
        <v>-5402.9649999999965</v>
      </c>
      <c r="J9" s="677">
        <f>H9/DAY(B2)</f>
        <v>16785.616666666658</v>
      </c>
      <c r="K9" s="424"/>
      <c r="L9" s="374"/>
      <c r="N9" s="379"/>
      <c r="O9" s="435"/>
    </row>
    <row r="10" spans="1:17">
      <c r="A10" s="672" t="s">
        <v>201</v>
      </c>
      <c r="B10" s="673"/>
      <c r="C10" s="673"/>
      <c r="D10" s="633" t="s">
        <v>198</v>
      </c>
      <c r="E10" s="628">
        <f>'5'!F10</f>
        <v>2606.5500000000002</v>
      </c>
      <c r="F10" s="473">
        <v>2606.5500000000002</v>
      </c>
      <c r="G10" s="685">
        <f t="shared" si="0"/>
        <v>0</v>
      </c>
      <c r="H10" s="675">
        <f>G10+'5'!H10</f>
        <v>0.42000000000007276</v>
      </c>
      <c r="I10" s="687"/>
      <c r="J10" s="677">
        <f>H10/DAY(B2)</f>
        <v>7.0000000000012122E-2</v>
      </c>
      <c r="K10" s="424"/>
      <c r="L10" s="374"/>
      <c r="N10" s="379"/>
      <c r="O10" s="435"/>
      <c r="Q10" s="435"/>
    </row>
    <row r="11" spans="1:17">
      <c r="A11" s="672" t="s">
        <v>202</v>
      </c>
      <c r="B11" s="673"/>
      <c r="C11" s="673"/>
      <c r="D11" s="633" t="s">
        <v>198</v>
      </c>
      <c r="E11" s="628">
        <f>'5'!F11</f>
        <v>37000</v>
      </c>
      <c r="F11" s="450">
        <v>37000</v>
      </c>
      <c r="G11" s="685">
        <f t="shared" si="0"/>
        <v>0</v>
      </c>
      <c r="H11" s="675">
        <f>G11+'5'!H11</f>
        <v>0</v>
      </c>
      <c r="I11" s="687"/>
      <c r="J11" s="677">
        <f>H11/DAY(B2)</f>
        <v>0</v>
      </c>
      <c r="K11" s="424"/>
      <c r="L11" s="374"/>
      <c r="N11" s="379"/>
      <c r="O11" s="435"/>
      <c r="Q11" s="435"/>
    </row>
    <row r="12" spans="1:17">
      <c r="A12" s="672" t="s">
        <v>203</v>
      </c>
      <c r="B12" s="673"/>
      <c r="C12" s="673"/>
      <c r="D12" s="633" t="s">
        <v>198</v>
      </c>
      <c r="E12" s="628">
        <f>'5'!F12</f>
        <v>40010</v>
      </c>
      <c r="F12" s="473">
        <v>40010</v>
      </c>
      <c r="G12" s="685">
        <f t="shared" si="0"/>
        <v>0</v>
      </c>
      <c r="H12" s="675">
        <f>G12+'5'!H12</f>
        <v>0</v>
      </c>
      <c r="I12" s="687"/>
      <c r="J12" s="677">
        <f>H12/DAY(B2)</f>
        <v>0</v>
      </c>
      <c r="K12" s="424"/>
      <c r="L12" s="374"/>
      <c r="N12" s="379"/>
      <c r="O12" s="435"/>
      <c r="Q12" s="435"/>
    </row>
    <row r="13" spans="1:17">
      <c r="A13" s="688" t="s">
        <v>204</v>
      </c>
      <c r="B13" s="689"/>
      <c r="C13" s="689"/>
      <c r="D13" s="633"/>
      <c r="E13" s="628"/>
      <c r="F13" s="450"/>
      <c r="G13" s="690">
        <f>G9+G10+G11+G12</f>
        <v>17748.09999999986</v>
      </c>
      <c r="H13" s="675">
        <f>G13+'5'!H13</f>
        <v>100714.11999999995</v>
      </c>
      <c r="I13" s="691">
        <f>G7-G13</f>
        <v>586.18000000010943</v>
      </c>
      <c r="J13" s="677">
        <f>H13/DAY(B2)</f>
        <v>16785.686666666657</v>
      </c>
      <c r="K13" s="424"/>
      <c r="L13" s="374"/>
      <c r="N13" s="379"/>
      <c r="O13" s="435"/>
      <c r="Q13" s="435"/>
    </row>
    <row r="14" spans="1:17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</row>
    <row r="15" spans="1:17">
      <c r="A15" s="788" t="s">
        <v>133</v>
      </c>
      <c r="B15" s="783"/>
      <c r="C15" s="783"/>
      <c r="D15" s="519" t="s">
        <v>206</v>
      </c>
      <c r="E15" s="480">
        <f>'5'!F15</f>
        <v>1686600.31</v>
      </c>
      <c r="F15" s="480">
        <v>1687157.18</v>
      </c>
      <c r="G15" s="468">
        <f>(F15-E15)</f>
        <v>556.86999999987893</v>
      </c>
      <c r="H15" s="481">
        <f>G15+'5'!H15</f>
        <v>2633.1799999999348</v>
      </c>
      <c r="I15" s="469">
        <v>800</v>
      </c>
      <c r="J15" s="548">
        <f>H15/DAY(B2)</f>
        <v>438.86333333332249</v>
      </c>
      <c r="K15" s="424"/>
      <c r="L15" s="374"/>
      <c r="N15" s="379"/>
    </row>
    <row r="16" spans="1:17">
      <c r="A16" s="786"/>
      <c r="B16" s="787"/>
      <c r="C16" s="787"/>
      <c r="D16" s="784"/>
      <c r="E16" s="785"/>
      <c r="F16" s="480"/>
      <c r="G16" s="1031"/>
      <c r="H16" s="1048"/>
      <c r="I16" s="482">
        <f>I15-J15</f>
        <v>361.13666666667751</v>
      </c>
      <c r="J16" s="1049"/>
      <c r="K16" s="424"/>
      <c r="L16" s="374"/>
      <c r="N16" s="379"/>
    </row>
    <row r="17" spans="1:14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</row>
    <row r="18" spans="1:14" ht="27.75">
      <c r="A18" s="1506" t="s">
        <v>208</v>
      </c>
      <c r="B18" s="1507"/>
      <c r="C18" s="1508"/>
      <c r="D18" s="634" t="s">
        <v>209</v>
      </c>
      <c r="E18" s="632">
        <f>'5'!F18</f>
        <v>4</v>
      </c>
      <c r="F18" s="480">
        <v>11</v>
      </c>
      <c r="G18" s="685">
        <f>F18*10</f>
        <v>110</v>
      </c>
      <c r="H18" s="675">
        <f>G18+'5'!H18</f>
        <v>350</v>
      </c>
      <c r="I18" s="676">
        <f>'1'!I18</f>
        <v>65</v>
      </c>
      <c r="J18" s="677">
        <f>H18/DAY(B2)</f>
        <v>58.333333333333336</v>
      </c>
      <c r="K18" s="424"/>
      <c r="L18" s="374"/>
      <c r="N18" s="379"/>
    </row>
    <row r="19" spans="1:14" ht="27.75">
      <c r="A19" s="1506" t="s">
        <v>113</v>
      </c>
      <c r="B19" s="1507"/>
      <c r="C19" s="1508"/>
      <c r="D19" s="633" t="s">
        <v>209</v>
      </c>
      <c r="E19" s="630">
        <f>'5'!F19</f>
        <v>139910</v>
      </c>
      <c r="F19" s="473">
        <v>139975</v>
      </c>
      <c r="G19" s="685">
        <f t="shared" ref="G19" si="1">F19-E19</f>
        <v>65</v>
      </c>
      <c r="H19" s="675">
        <f>G19+'5'!H19</f>
        <v>363</v>
      </c>
      <c r="I19" s="692"/>
      <c r="J19" s="677">
        <f>H19/DAY(B2)</f>
        <v>60.5</v>
      </c>
      <c r="K19" s="424"/>
      <c r="L19" s="374"/>
      <c r="N19" s="379"/>
    </row>
    <row r="20" spans="1:14">
      <c r="A20" s="688" t="s">
        <v>210</v>
      </c>
      <c r="B20" s="689"/>
      <c r="C20" s="689"/>
      <c r="D20" s="633"/>
      <c r="E20" s="633"/>
      <c r="F20" s="518"/>
      <c r="G20" s="693">
        <f>G18+G19</f>
        <v>175</v>
      </c>
      <c r="H20" s="675">
        <f>G20+'5'!H20</f>
        <v>713</v>
      </c>
      <c r="I20" s="694">
        <f>I18-J20</f>
        <v>-53.833333333333329</v>
      </c>
      <c r="J20" s="677">
        <f>H20/DAY(B2)</f>
        <v>118.83333333333333</v>
      </c>
      <c r="K20" s="424"/>
      <c r="L20" s="374"/>
      <c r="N20" s="379"/>
    </row>
    <row r="21" spans="1:14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</row>
    <row r="22" spans="1:14">
      <c r="A22" s="1392" t="s">
        <v>212</v>
      </c>
      <c r="B22" s="584"/>
      <c r="C22" s="584"/>
      <c r="D22" s="518" t="s">
        <v>213</v>
      </c>
      <c r="E22" s="630">
        <f>'5'!F22</f>
        <v>2970</v>
      </c>
      <c r="F22" s="473">
        <v>2970</v>
      </c>
      <c r="G22" s="476">
        <f t="shared" ref="G22" si="2">(F22-E22)</f>
        <v>0</v>
      </c>
      <c r="H22" s="455">
        <f>G22+'5'!H22</f>
        <v>0</v>
      </c>
      <c r="I22" s="475"/>
      <c r="J22" s="547">
        <f>H22/DAY(B2)</f>
        <v>0</v>
      </c>
      <c r="K22" s="424"/>
      <c r="L22" s="374"/>
      <c r="N22" s="379"/>
    </row>
    <row r="23" spans="1:14">
      <c r="A23" s="1392" t="s">
        <v>214</v>
      </c>
      <c r="B23" s="584"/>
      <c r="C23" s="584"/>
      <c r="D23" s="518" t="s">
        <v>213</v>
      </c>
      <c r="E23" s="630">
        <f>'5'!F23</f>
        <v>2000</v>
      </c>
      <c r="F23" s="473">
        <v>2000</v>
      </c>
      <c r="G23" s="476">
        <v>0</v>
      </c>
      <c r="H23" s="455">
        <f>G23+'5'!H23</f>
        <v>120</v>
      </c>
      <c r="I23" s="475"/>
      <c r="J23" s="547">
        <f>H23/DAY(B2)</f>
        <v>20</v>
      </c>
      <c r="K23" s="424"/>
      <c r="L23" s="374"/>
      <c r="N23" s="379"/>
    </row>
    <row r="24" spans="1:14">
      <c r="A24" s="585" t="s">
        <v>215</v>
      </c>
      <c r="B24" s="586"/>
      <c r="C24" s="586"/>
      <c r="D24" s="506" t="s">
        <v>213</v>
      </c>
      <c r="E24" s="630">
        <f>'5'!F24</f>
        <v>4970</v>
      </c>
      <c r="F24" s="480">
        <v>4970</v>
      </c>
      <c r="G24" s="476">
        <v>0</v>
      </c>
      <c r="H24" s="455">
        <f>G24+'5'!H24</f>
        <v>120</v>
      </c>
      <c r="I24" s="475"/>
      <c r="J24" s="547">
        <f>H24/DAY(B2)</f>
        <v>20</v>
      </c>
      <c r="K24" s="424"/>
      <c r="L24" s="374"/>
      <c r="N24" s="379"/>
    </row>
    <row r="25" spans="1:14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37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37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18422.639999999956</v>
      </c>
      <c r="F27" s="496">
        <v>9</v>
      </c>
      <c r="G27" s="497">
        <f>E27*F27</f>
        <v>165803.7599999996</v>
      </c>
      <c r="H27" s="455">
        <f>G27+'5'!H27</f>
        <v>938923.10999999987</v>
      </c>
      <c r="I27" s="498"/>
      <c r="J27" s="547">
        <f>H27/DAY(B2)</f>
        <v>156487.18499999997</v>
      </c>
      <c r="K27" s="370"/>
      <c r="L27" s="438"/>
      <c r="N27" s="379"/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556.86999999987893</v>
      </c>
      <c r="F28" s="496">
        <v>52</v>
      </c>
      <c r="G28" s="497">
        <f t="shared" ref="G28:G31" si="3">E28*F28</f>
        <v>28957.239999993704</v>
      </c>
      <c r="H28" s="455">
        <f>G28+'5'!H28</f>
        <v>136925.35999999661</v>
      </c>
      <c r="I28" s="500"/>
      <c r="J28" s="547">
        <f>H28/DAY(B2)</f>
        <v>22820.89333333277</v>
      </c>
      <c r="K28" s="370"/>
      <c r="L28" s="438"/>
      <c r="N28" s="379"/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 t="shared" si="3"/>
        <v>0</v>
      </c>
      <c r="H29" s="455">
        <f>G29+'5'!H29</f>
        <v>8280</v>
      </c>
      <c r="I29" s="500"/>
      <c r="J29" s="547">
        <f>H29/DAY(B2)</f>
        <v>1380</v>
      </c>
      <c r="K29" s="370"/>
      <c r="L29" s="438"/>
      <c r="N29" s="379"/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65</v>
      </c>
      <c r="F30" s="496">
        <v>146</v>
      </c>
      <c r="G30" s="497">
        <f t="shared" si="3"/>
        <v>9490</v>
      </c>
      <c r="H30" s="455">
        <f>G30+'5'!H30</f>
        <v>52998</v>
      </c>
      <c r="I30" s="500"/>
      <c r="J30" s="547">
        <f>H30/DAY(B2)</f>
        <v>8833</v>
      </c>
      <c r="K30" s="370"/>
      <c r="L30" s="438"/>
      <c r="N30" s="379"/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110</v>
      </c>
      <c r="F31" s="496">
        <v>80</v>
      </c>
      <c r="G31" s="497">
        <f t="shared" si="3"/>
        <v>8800</v>
      </c>
      <c r="H31" s="455">
        <f>G31+'5'!H31</f>
        <v>28000</v>
      </c>
      <c r="I31" s="500"/>
      <c r="J31" s="547">
        <f>H31/DAY(B2)</f>
        <v>4666.666666666667</v>
      </c>
      <c r="K31" s="370"/>
      <c r="L31" s="438"/>
      <c r="N31" s="379"/>
    </row>
    <row r="32" spans="1:14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213050.99999999331</v>
      </c>
      <c r="H32" s="455">
        <f>G32+'5'!H32</f>
        <v>1165126.4699999965</v>
      </c>
      <c r="I32" s="504"/>
      <c r="J32" s="547">
        <f>H32/DAY(B2)</f>
        <v>194187.74499999941</v>
      </c>
      <c r="K32" s="370"/>
      <c r="L32" s="438"/>
      <c r="N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</row>
    <row r="34" spans="1:15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379"/>
    </row>
    <row r="35" spans="1:15">
      <c r="A35" s="573" t="s">
        <v>229</v>
      </c>
      <c r="B35" s="574"/>
      <c r="C35" s="574"/>
      <c r="D35" s="518" t="s">
        <v>198</v>
      </c>
      <c r="E35" s="505">
        <f>'5'!F35</f>
        <v>962514.15</v>
      </c>
      <c r="F35" s="505">
        <v>965190.55</v>
      </c>
      <c r="G35" s="468">
        <f t="shared" ref="G35:G46" si="4">F35-E35</f>
        <v>2676.4000000000233</v>
      </c>
      <c r="H35" s="455">
        <f>G35+'5'!H35</f>
        <v>14702.550000000047</v>
      </c>
      <c r="I35" s="450"/>
      <c r="J35" s="547">
        <f>H35/DAY(B2)</f>
        <v>2450.4250000000079</v>
      </c>
      <c r="K35" s="424"/>
      <c r="L35" s="374"/>
      <c r="N35" s="379"/>
    </row>
    <row r="36" spans="1:15">
      <c r="A36" s="573" t="s">
        <v>230</v>
      </c>
      <c r="B36" s="574"/>
      <c r="C36" s="574"/>
      <c r="D36" s="518" t="s">
        <v>198</v>
      </c>
      <c r="E36" s="505">
        <f>'5'!F36</f>
        <v>3030.77</v>
      </c>
      <c r="F36" s="505">
        <v>3533.13</v>
      </c>
      <c r="G36" s="468">
        <f t="shared" si="4"/>
        <v>502.36000000000013</v>
      </c>
      <c r="H36" s="455">
        <f>G36+'5'!H36</f>
        <v>3360.13</v>
      </c>
      <c r="I36" s="450"/>
      <c r="J36" s="547">
        <f>H36/DAY(B2)</f>
        <v>560.02166666666665</v>
      </c>
      <c r="K36" s="424"/>
      <c r="L36" s="374"/>
      <c r="N36" s="623"/>
      <c r="O36" s="496"/>
    </row>
    <row r="37" spans="1:15">
      <c r="A37" s="573" t="s">
        <v>231</v>
      </c>
      <c r="B37" s="574"/>
      <c r="C37" s="574"/>
      <c r="D37" s="518" t="s">
        <v>198</v>
      </c>
      <c r="E37" s="505">
        <f>'5'!F37</f>
        <v>140703</v>
      </c>
      <c r="F37" s="505">
        <v>142076</v>
      </c>
      <c r="G37" s="468">
        <f t="shared" si="4"/>
        <v>1373</v>
      </c>
      <c r="H37" s="455">
        <f>G37+'5'!H37</f>
        <v>7840</v>
      </c>
      <c r="I37" s="450"/>
      <c r="J37" s="547">
        <f>H37/DAY(B2)</f>
        <v>1306.6666666666667</v>
      </c>
      <c r="K37" s="424"/>
      <c r="L37" s="374"/>
      <c r="N37" s="624"/>
      <c r="O37" s="496"/>
    </row>
    <row r="38" spans="1:15">
      <c r="A38" s="573" t="s">
        <v>232</v>
      </c>
      <c r="B38" s="574"/>
      <c r="C38" s="574"/>
      <c r="D38" s="518" t="s">
        <v>198</v>
      </c>
      <c r="E38" s="464">
        <f>'5'!F38</f>
        <v>162592.67000000001</v>
      </c>
      <c r="F38" s="464">
        <v>164012.88</v>
      </c>
      <c r="G38" s="468">
        <f t="shared" si="4"/>
        <v>1420.2099999999919</v>
      </c>
      <c r="H38" s="455">
        <f>G38+'5'!H38</f>
        <v>7607.8800000000047</v>
      </c>
      <c r="I38" s="450"/>
      <c r="J38" s="547">
        <f>H38/DAY(B2)</f>
        <v>1267.9800000000007</v>
      </c>
      <c r="K38" s="424"/>
      <c r="L38" s="374"/>
      <c r="N38" s="379"/>
      <c r="O38" s="496"/>
    </row>
    <row r="39" spans="1:15">
      <c r="A39" s="573" t="s">
        <v>233</v>
      </c>
      <c r="B39" s="574"/>
      <c r="C39" s="574"/>
      <c r="D39" s="518" t="s">
        <v>198</v>
      </c>
      <c r="E39" s="505">
        <f>'5'!F39</f>
        <v>320048.78999999998</v>
      </c>
      <c r="F39" s="505">
        <v>323218.43</v>
      </c>
      <c r="G39" s="468">
        <f t="shared" si="4"/>
        <v>3169.640000000014</v>
      </c>
      <c r="H39" s="455">
        <f>G39+'5'!H39</f>
        <v>15045.429999999993</v>
      </c>
      <c r="I39" s="450"/>
      <c r="J39" s="547">
        <f>H39/DAY(B2)</f>
        <v>2507.5716666666654</v>
      </c>
      <c r="K39" s="424"/>
      <c r="L39" s="374"/>
      <c r="N39" s="379"/>
      <c r="O39" s="496"/>
    </row>
    <row r="40" spans="1:15">
      <c r="A40" s="594" t="s">
        <v>234</v>
      </c>
      <c r="B40" s="595"/>
      <c r="C40" s="595"/>
      <c r="D40" s="518" t="s">
        <v>198</v>
      </c>
      <c r="E40" s="505">
        <f>'5'!F40</f>
        <v>1057.0899999999999</v>
      </c>
      <c r="F40" s="505">
        <v>1057.0899999999999</v>
      </c>
      <c r="G40" s="468">
        <f t="shared" si="4"/>
        <v>0</v>
      </c>
      <c r="H40" s="455">
        <f>G40+'5'!H40</f>
        <v>168.08999999999992</v>
      </c>
      <c r="I40" s="450"/>
      <c r="J40" s="547">
        <f>H40/DAY(B2)</f>
        <v>28.014999999999986</v>
      </c>
      <c r="K40" s="425"/>
      <c r="L40" s="374"/>
      <c r="N40" s="379"/>
      <c r="O40" s="496"/>
    </row>
    <row r="41" spans="1:15">
      <c r="A41" s="573" t="s">
        <v>235</v>
      </c>
      <c r="B41" s="574"/>
      <c r="C41" s="574"/>
      <c r="D41" s="518" t="s">
        <v>198</v>
      </c>
      <c r="E41" s="505">
        <f>'5'!F41</f>
        <v>241404.07</v>
      </c>
      <c r="F41" s="505">
        <v>241404.07</v>
      </c>
      <c r="G41" s="468">
        <f>F41-E41</f>
        <v>0</v>
      </c>
      <c r="H41" s="455">
        <f>G41+'5'!H41</f>
        <v>926.07000000000698</v>
      </c>
      <c r="I41" s="450"/>
      <c r="J41" s="547">
        <f>H41/DAY(B2)</f>
        <v>154.34500000000116</v>
      </c>
      <c r="K41" s="424"/>
      <c r="L41" s="374"/>
      <c r="N41" s="379"/>
    </row>
    <row r="42" spans="1:15">
      <c r="A42" s="573" t="s">
        <v>236</v>
      </c>
      <c r="B42" s="574"/>
      <c r="C42" s="574"/>
      <c r="D42" s="518" t="s">
        <v>198</v>
      </c>
      <c r="E42" s="505">
        <f>'5'!F42</f>
        <v>59198.97</v>
      </c>
      <c r="F42" s="505">
        <v>59198.97</v>
      </c>
      <c r="G42" s="468">
        <f t="shared" si="4"/>
        <v>0</v>
      </c>
      <c r="H42" s="455">
        <f>G42+'5'!H42</f>
        <v>0</v>
      </c>
      <c r="I42" s="450"/>
      <c r="J42" s="547">
        <f>H42/DAY(B2)</f>
        <v>0</v>
      </c>
      <c r="K42" s="424"/>
      <c r="L42" s="374"/>
      <c r="N42" s="379"/>
    </row>
    <row r="43" spans="1:15">
      <c r="A43" s="573" t="s">
        <v>237</v>
      </c>
      <c r="B43" s="574"/>
      <c r="C43" s="574"/>
      <c r="D43" s="518" t="s">
        <v>198</v>
      </c>
      <c r="E43" s="505">
        <f>'5'!F43</f>
        <v>1054135.7</v>
      </c>
      <c r="F43" s="505">
        <v>1056545.8</v>
      </c>
      <c r="G43" s="468">
        <f t="shared" si="4"/>
        <v>2410.1000000000931</v>
      </c>
      <c r="H43" s="455">
        <f>G43+'5'!H43</f>
        <v>14301.800000000047</v>
      </c>
      <c r="I43" s="450"/>
      <c r="J43" s="547">
        <f>H43/DAY(B2)</f>
        <v>2383.6333333333409</v>
      </c>
      <c r="K43" s="424"/>
      <c r="L43" s="374"/>
      <c r="N43" s="379"/>
    </row>
    <row r="44" spans="1:15">
      <c r="A44" s="573" t="s">
        <v>238</v>
      </c>
      <c r="B44" s="574"/>
      <c r="C44" s="574"/>
      <c r="D44" s="518" t="s">
        <v>198</v>
      </c>
      <c r="E44" s="505">
        <f>'5'!F44</f>
        <v>0</v>
      </c>
      <c r="F44" s="505">
        <v>0</v>
      </c>
      <c r="G44" s="468">
        <f t="shared" si="4"/>
        <v>0</v>
      </c>
      <c r="H44" s="455">
        <f>G44+'5'!H44</f>
        <v>0</v>
      </c>
      <c r="I44" s="450"/>
      <c r="J44" s="547">
        <f>H44/DAY(B2)</f>
        <v>0</v>
      </c>
      <c r="K44" s="424"/>
      <c r="L44" s="374"/>
      <c r="N44" s="379"/>
    </row>
    <row r="45" spans="1:15">
      <c r="A45" s="573" t="s">
        <v>239</v>
      </c>
      <c r="B45" s="574"/>
      <c r="C45" s="574"/>
      <c r="D45" s="518" t="s">
        <v>198</v>
      </c>
      <c r="E45" s="505">
        <f>'5'!F45</f>
        <v>614</v>
      </c>
      <c r="F45" s="505">
        <v>614</v>
      </c>
      <c r="G45" s="468">
        <f t="shared" si="4"/>
        <v>0</v>
      </c>
      <c r="H45" s="455">
        <f>G45+'5'!H45</f>
        <v>0</v>
      </c>
      <c r="I45" s="450"/>
      <c r="J45" s="547">
        <f>H45/DAY(B2)</f>
        <v>0</v>
      </c>
      <c r="K45" s="424"/>
      <c r="L45" s="374"/>
      <c r="N45" s="379"/>
    </row>
    <row r="46" spans="1:15">
      <c r="A46" s="573" t="s">
        <v>240</v>
      </c>
      <c r="B46" s="574"/>
      <c r="C46" s="574"/>
      <c r="D46" s="518" t="s">
        <v>198</v>
      </c>
      <c r="E46" s="505">
        <f>'5'!F46</f>
        <v>187</v>
      </c>
      <c r="F46" s="505">
        <v>187</v>
      </c>
      <c r="G46" s="468">
        <f t="shared" si="4"/>
        <v>0</v>
      </c>
      <c r="H46" s="455">
        <f>G46+'5'!H46</f>
        <v>0</v>
      </c>
      <c r="I46" s="450"/>
      <c r="J46" s="547">
        <f>H46/DAY(B2)</f>
        <v>0</v>
      </c>
      <c r="K46" s="424"/>
      <c r="L46" s="374"/>
      <c r="N46" s="379"/>
    </row>
    <row r="47" spans="1:15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11551.710000000123</v>
      </c>
      <c r="H47" s="455">
        <f>G47+'5'!H47</f>
        <v>63951.950000000092</v>
      </c>
      <c r="I47" s="450"/>
      <c r="J47" s="547">
        <f>H47/DAY(B2)</f>
        <v>10658.658333333349</v>
      </c>
      <c r="K47" s="424"/>
      <c r="L47" s="374"/>
      <c r="N47" s="379"/>
    </row>
    <row r="48" spans="1:1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</row>
    <row r="49" spans="1:14">
      <c r="A49" s="573" t="s">
        <v>229</v>
      </c>
      <c r="B49" s="596"/>
      <c r="C49" s="596"/>
      <c r="D49" s="518" t="s">
        <v>198</v>
      </c>
      <c r="E49" s="505">
        <f>'5'!F49</f>
        <v>260732.13</v>
      </c>
      <c r="F49" s="1029">
        <v>260732.13</v>
      </c>
      <c r="G49" s="468">
        <f t="shared" ref="G49:G58" si="5">F49-E49</f>
        <v>0</v>
      </c>
      <c r="H49" s="455">
        <f>G49+'5'!H49</f>
        <v>0.13000000000465661</v>
      </c>
      <c r="I49" s="450"/>
      <c r="J49" s="547">
        <f>H49/DAY(B2)</f>
        <v>2.1666666667442769E-2</v>
      </c>
      <c r="K49" s="424"/>
      <c r="L49" s="374"/>
      <c r="N49" s="379"/>
    </row>
    <row r="50" spans="1:14">
      <c r="A50" s="573" t="s">
        <v>243</v>
      </c>
      <c r="B50" s="596"/>
      <c r="C50" s="596"/>
      <c r="D50" s="518" t="s">
        <v>198</v>
      </c>
      <c r="E50" s="505">
        <f>'5'!F50</f>
        <v>507510.67</v>
      </c>
      <c r="F50" s="505">
        <v>508527.71</v>
      </c>
      <c r="G50" s="468">
        <f t="shared" si="5"/>
        <v>1017.0400000000373</v>
      </c>
      <c r="H50" s="455">
        <f>G50+'5'!H50</f>
        <v>5991.710000000021</v>
      </c>
      <c r="I50" s="450"/>
      <c r="J50" s="547">
        <f>H50/DAY(B2)</f>
        <v>998.61833333333686</v>
      </c>
      <c r="K50" s="424"/>
      <c r="L50" s="374"/>
      <c r="N50" s="379"/>
    </row>
    <row r="51" spans="1:14">
      <c r="A51" s="573" t="s">
        <v>231</v>
      </c>
      <c r="B51" s="596"/>
      <c r="C51" s="596"/>
      <c r="D51" s="518" t="s">
        <v>198</v>
      </c>
      <c r="E51" s="505">
        <f>'5'!F51</f>
        <v>144639.87</v>
      </c>
      <c r="F51" s="505">
        <v>144639.87</v>
      </c>
      <c r="G51" s="468">
        <f t="shared" si="5"/>
        <v>0</v>
      </c>
      <c r="H51" s="455">
        <f>G51+'5'!H51</f>
        <v>-0.13000000000465661</v>
      </c>
      <c r="I51" s="450"/>
      <c r="J51" s="547">
        <f>H51/DAY(B2)</f>
        <v>-2.1666666667442769E-2</v>
      </c>
      <c r="K51" s="424"/>
      <c r="L51" s="374"/>
      <c r="N51" s="379"/>
    </row>
    <row r="52" spans="1:14">
      <c r="A52" s="573" t="s">
        <v>244</v>
      </c>
      <c r="B52" s="596"/>
      <c r="C52" s="596"/>
      <c r="D52" s="518" t="s">
        <v>198</v>
      </c>
      <c r="E52" s="505">
        <f>'5'!F52</f>
        <v>539606.06999999995</v>
      </c>
      <c r="F52" s="505">
        <v>539606.06999999995</v>
      </c>
      <c r="G52" s="468">
        <f t="shared" si="5"/>
        <v>0</v>
      </c>
      <c r="H52" s="455">
        <f>G52+'5'!H52</f>
        <v>6.9999999948777258E-2</v>
      </c>
      <c r="I52" s="450"/>
      <c r="J52" s="547">
        <f>H52/DAY(B2)</f>
        <v>1.1666666658129543E-2</v>
      </c>
      <c r="K52" s="424"/>
      <c r="L52" s="374"/>
      <c r="N52" s="379"/>
    </row>
    <row r="53" spans="1:14">
      <c r="A53" s="573" t="s">
        <v>233</v>
      </c>
      <c r="B53" s="596"/>
      <c r="C53" s="596"/>
      <c r="D53" s="518" t="s">
        <v>198</v>
      </c>
      <c r="E53" s="505">
        <f>'5'!F53</f>
        <v>434231.67</v>
      </c>
      <c r="F53" s="505">
        <v>434231.67</v>
      </c>
      <c r="G53" s="468">
        <f t="shared" si="5"/>
        <v>0</v>
      </c>
      <c r="H53" s="455">
        <f>G53+'5'!H53</f>
        <v>1663.6699999999837</v>
      </c>
      <c r="I53" s="450"/>
      <c r="J53" s="547">
        <f>H53/DAY(B2)</f>
        <v>277.27833333333064</v>
      </c>
      <c r="K53" s="424"/>
      <c r="L53" s="374"/>
      <c r="N53" s="379"/>
    </row>
    <row r="54" spans="1:14">
      <c r="A54" s="573" t="s">
        <v>245</v>
      </c>
      <c r="B54" s="596"/>
      <c r="C54" s="596"/>
      <c r="D54" s="518" t="s">
        <v>198</v>
      </c>
      <c r="E54" s="505">
        <f>'5'!F54</f>
        <v>14171.66</v>
      </c>
      <c r="F54" s="505">
        <v>14253.88</v>
      </c>
      <c r="G54" s="468">
        <f t="shared" si="5"/>
        <v>82.219999999999345</v>
      </c>
      <c r="H54" s="455">
        <f>G54+'5'!H54</f>
        <v>503.8799999999992</v>
      </c>
      <c r="I54" s="450"/>
      <c r="J54" s="547">
        <f>H54/DAY(B2)</f>
        <v>83.979999999999862</v>
      </c>
      <c r="K54" s="424"/>
      <c r="L54" s="374"/>
      <c r="N54" s="379"/>
    </row>
    <row r="55" spans="1:14">
      <c r="A55" s="573" t="s">
        <v>246</v>
      </c>
      <c r="B55" s="596"/>
      <c r="C55" s="596"/>
      <c r="D55" s="518" t="s">
        <v>198</v>
      </c>
      <c r="E55" s="505">
        <f>'5'!F55</f>
        <v>68110.679999999993</v>
      </c>
      <c r="F55" s="649">
        <v>68110.679999999993</v>
      </c>
      <c r="G55" s="648">
        <f t="shared" si="5"/>
        <v>0</v>
      </c>
      <c r="H55" s="701">
        <f>G55+'5'!H55</f>
        <v>-0.32000000000698492</v>
      </c>
      <c r="I55" s="702"/>
      <c r="J55" s="703">
        <f>H55/DAY(B2)</f>
        <v>-5.3333333334497489E-2</v>
      </c>
      <c r="K55" s="424"/>
      <c r="L55" s="374"/>
      <c r="N55" s="379"/>
    </row>
    <row r="56" spans="1:14">
      <c r="A56" s="573" t="s">
        <v>247</v>
      </c>
      <c r="B56" s="596"/>
      <c r="C56" s="596"/>
      <c r="D56" s="518" t="s">
        <v>248</v>
      </c>
      <c r="E56" s="505">
        <f>'5'!F56</f>
        <v>641134.47</v>
      </c>
      <c r="F56" s="1052">
        <v>646184.27</v>
      </c>
      <c r="G56" s="468">
        <f t="shared" si="5"/>
        <v>5049.8000000000466</v>
      </c>
      <c r="H56" s="455">
        <f>G56+'5'!H56</f>
        <v>28986.270000000019</v>
      </c>
      <c r="I56" s="450"/>
      <c r="J56" s="547">
        <f>H56/DAY(B2)</f>
        <v>4831.0450000000028</v>
      </c>
      <c r="K56" s="423"/>
      <c r="L56" s="374"/>
      <c r="N56" s="379"/>
    </row>
    <row r="57" spans="1:14">
      <c r="A57" s="573" t="s">
        <v>237</v>
      </c>
      <c r="B57" s="596"/>
      <c r="C57" s="596"/>
      <c r="D57" s="518" t="s">
        <v>198</v>
      </c>
      <c r="E57" s="505">
        <f>'5'!F57</f>
        <v>7711</v>
      </c>
      <c r="F57" s="1029">
        <v>7711</v>
      </c>
      <c r="G57" s="468">
        <f t="shared" si="5"/>
        <v>0</v>
      </c>
      <c r="H57" s="455">
        <f>G57+'5'!H57</f>
        <v>0</v>
      </c>
      <c r="I57" s="450"/>
      <c r="J57" s="547">
        <f>H57/DAY(B2)</f>
        <v>0</v>
      </c>
      <c r="K57" s="424"/>
      <c r="L57" s="374"/>
      <c r="N57" s="379"/>
    </row>
    <row r="58" spans="1:14">
      <c r="A58" s="573" t="s">
        <v>249</v>
      </c>
      <c r="B58" s="596"/>
      <c r="C58" s="596"/>
      <c r="D58" s="518" t="s">
        <v>198</v>
      </c>
      <c r="E58" s="505">
        <f>'5'!F58</f>
        <v>50071.87</v>
      </c>
      <c r="F58" s="649">
        <v>50233.39</v>
      </c>
      <c r="G58" s="468">
        <f t="shared" si="5"/>
        <v>161.5199999999968</v>
      </c>
      <c r="H58" s="455">
        <f>G58+'5'!H58</f>
        <v>608.38999999999942</v>
      </c>
      <c r="I58" s="450"/>
      <c r="J58" s="547">
        <f>H58/DAY(B2)</f>
        <v>101.39833333333324</v>
      </c>
      <c r="K58" s="424"/>
      <c r="L58" s="374"/>
      <c r="N58" s="379"/>
    </row>
    <row r="59" spans="1:14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6310.58000000008</v>
      </c>
      <c r="H59" s="455">
        <f>G59+'5'!H59</f>
        <v>37753.669999999962</v>
      </c>
      <c r="I59" s="450">
        <f>G7-G60</f>
        <v>471.98999999976513</v>
      </c>
      <c r="J59" s="547">
        <f>H59/DAY(B2)</f>
        <v>6292.2783333333273</v>
      </c>
      <c r="K59" s="424"/>
      <c r="L59" s="374"/>
      <c r="N59" s="379"/>
    </row>
    <row r="60" spans="1:14">
      <c r="A60" s="573"/>
      <c r="B60" s="574"/>
      <c r="C60" s="574"/>
      <c r="D60" s="506" t="s">
        <v>250</v>
      </c>
      <c r="E60" s="506"/>
      <c r="F60" s="506"/>
      <c r="G60" s="476">
        <f>G47+G59</f>
        <v>17862.290000000205</v>
      </c>
      <c r="H60" s="455">
        <f>G60+'5'!H60</f>
        <v>101705.62000000005</v>
      </c>
      <c r="I60" s="450">
        <f>G13-G60</f>
        <v>-114.1900000003443</v>
      </c>
      <c r="J60" s="547">
        <f>H60/DAY(B2)</f>
        <v>16950.936666666676</v>
      </c>
      <c r="K60" s="424"/>
      <c r="L60" s="374"/>
      <c r="N60" s="379"/>
    </row>
    <row r="61" spans="1:14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</row>
    <row r="62" spans="1:14">
      <c r="A62" s="598" t="s">
        <v>252</v>
      </c>
      <c r="B62" s="599"/>
      <c r="C62" s="599"/>
      <c r="D62" s="506" t="s">
        <v>253</v>
      </c>
      <c r="E62" s="509">
        <f>'5'!F62</f>
        <v>0</v>
      </c>
      <c r="F62" s="509">
        <v>0</v>
      </c>
      <c r="G62" s="468">
        <f t="shared" ref="G62:G69" si="6">F62-E62</f>
        <v>0</v>
      </c>
      <c r="H62" s="455">
        <f>G62+'5'!H62</f>
        <v>1.9999999967694748E-3</v>
      </c>
      <c r="I62" s="510"/>
      <c r="J62" s="547">
        <f>H62/DAY(B2)</f>
        <v>3.3333333279491245E-4</v>
      </c>
      <c r="K62" s="424"/>
      <c r="L62" s="374"/>
      <c r="N62" s="379"/>
    </row>
    <row r="63" spans="1:14">
      <c r="A63" s="598" t="s">
        <v>254</v>
      </c>
      <c r="B63" s="599"/>
      <c r="C63" s="599"/>
      <c r="D63" s="506" t="s">
        <v>253</v>
      </c>
      <c r="E63" s="509">
        <f>'5'!F63</f>
        <v>0</v>
      </c>
      <c r="F63" s="509">
        <v>0</v>
      </c>
      <c r="G63" s="468">
        <f t="shared" si="6"/>
        <v>0</v>
      </c>
      <c r="H63" s="455">
        <f>G63+'5'!H63</f>
        <v>0</v>
      </c>
      <c r="I63" s="510"/>
      <c r="J63" s="547">
        <f>H63/DAY(B2)</f>
        <v>0</v>
      </c>
      <c r="K63" s="424"/>
      <c r="L63" s="374"/>
      <c r="N63" s="379"/>
    </row>
    <row r="64" spans="1:14" ht="27.75">
      <c r="A64" s="1450" t="s">
        <v>161</v>
      </c>
      <c r="B64" s="1451"/>
      <c r="C64" s="1452"/>
      <c r="D64" s="518" t="s">
        <v>253</v>
      </c>
      <c r="E64" s="479">
        <f>'5'!F64</f>
        <v>160945.75</v>
      </c>
      <c r="F64" s="473">
        <v>161236.62</v>
      </c>
      <c r="G64" s="468">
        <f t="shared" si="6"/>
        <v>290.86999999999534</v>
      </c>
      <c r="H64" s="455">
        <f>G64+'5'!H64</f>
        <v>1304.6199999999953</v>
      </c>
      <c r="I64" s="475"/>
      <c r="J64" s="547">
        <f>H64/DAY(B2)</f>
        <v>217.4366666666659</v>
      </c>
      <c r="K64" s="424"/>
      <c r="L64" s="374"/>
      <c r="N64" s="379"/>
    </row>
    <row r="65" spans="1:14" ht="27.75">
      <c r="A65" s="1450" t="s">
        <v>162</v>
      </c>
      <c r="B65" s="1451"/>
      <c r="C65" s="1452"/>
      <c r="D65" s="518" t="s">
        <v>253</v>
      </c>
      <c r="E65" s="479">
        <f>'5'!F65</f>
        <v>162162.23000000001</v>
      </c>
      <c r="F65" s="647">
        <v>162454.46</v>
      </c>
      <c r="G65" s="468">
        <f t="shared" si="6"/>
        <v>292.22999999998137</v>
      </c>
      <c r="H65" s="455">
        <f>G65+'5'!H65</f>
        <v>1456.4599999999919</v>
      </c>
      <c r="I65" s="484"/>
      <c r="J65" s="547">
        <f>H65/DAY(B2)</f>
        <v>242.74333333333198</v>
      </c>
      <c r="K65" s="424"/>
      <c r="L65" s="374"/>
      <c r="N65" s="379"/>
    </row>
    <row r="66" spans="1:14" ht="27.75">
      <c r="A66" s="1450" t="s">
        <v>255</v>
      </c>
      <c r="B66" s="1451"/>
      <c r="C66" s="1452"/>
      <c r="D66" s="518" t="s">
        <v>253</v>
      </c>
      <c r="E66" s="479">
        <f>'5'!F66</f>
        <v>58207.19</v>
      </c>
      <c r="F66" s="473">
        <v>58595.66</v>
      </c>
      <c r="G66" s="468">
        <f t="shared" si="6"/>
        <v>388.47000000000116</v>
      </c>
      <c r="H66" s="455">
        <f>G66+'5'!H66</f>
        <v>1790.6600000000035</v>
      </c>
      <c r="I66" s="475"/>
      <c r="J66" s="547">
        <f>H66/DAY(B2)</f>
        <v>298.4433333333339</v>
      </c>
      <c r="K66" s="424"/>
      <c r="L66" s="374"/>
      <c r="N66" s="379"/>
    </row>
    <row r="67" spans="1:14" ht="27.75">
      <c r="A67" s="1450" t="s">
        <v>157</v>
      </c>
      <c r="B67" s="1451"/>
      <c r="C67" s="1452"/>
      <c r="D67" s="518" t="s">
        <v>253</v>
      </c>
      <c r="E67" s="479">
        <f>'5'!F67</f>
        <v>254103.65</v>
      </c>
      <c r="F67" s="473">
        <v>254561.33</v>
      </c>
      <c r="G67" s="468">
        <f t="shared" si="6"/>
        <v>457.67999999999302</v>
      </c>
      <c r="H67" s="455">
        <f>G67+'5'!H67</f>
        <v>2369.3299999999872</v>
      </c>
      <c r="I67" s="484"/>
      <c r="J67" s="547">
        <f>H67/DAY(B2)</f>
        <v>394.88833333333122</v>
      </c>
      <c r="K67" s="425"/>
      <c r="L67" s="374"/>
      <c r="N67" s="379"/>
    </row>
    <row r="68" spans="1:14" ht="27.75">
      <c r="A68" s="1450" t="s">
        <v>164</v>
      </c>
      <c r="B68" s="1451"/>
      <c r="C68" s="1452"/>
      <c r="D68" s="518" t="s">
        <v>253</v>
      </c>
      <c r="E68" s="479">
        <f>'5'!F68</f>
        <v>85321</v>
      </c>
      <c r="F68" s="473">
        <v>85321</v>
      </c>
      <c r="G68" s="468">
        <f t="shared" si="6"/>
        <v>0</v>
      </c>
      <c r="H68" s="455">
        <f>G68+'5'!H68</f>
        <v>0</v>
      </c>
      <c r="I68" s="511"/>
      <c r="J68" s="547">
        <f>H68/DAY(B2)</f>
        <v>0</v>
      </c>
      <c r="K68" s="426"/>
      <c r="L68" s="374"/>
      <c r="N68" s="379"/>
    </row>
    <row r="69" spans="1:14" ht="27.75">
      <c r="A69" s="1450" t="s">
        <v>165</v>
      </c>
      <c r="B69" s="1451"/>
      <c r="C69" s="1452"/>
      <c r="D69" s="518" t="s">
        <v>253</v>
      </c>
      <c r="E69" s="479">
        <f>'5'!F69</f>
        <v>82249.98</v>
      </c>
      <c r="F69" s="473">
        <v>82405.13</v>
      </c>
      <c r="G69" s="468">
        <f t="shared" si="6"/>
        <v>155.15000000000873</v>
      </c>
      <c r="H69" s="455">
        <f>G69+'5'!H69</f>
        <v>656.13000000000466</v>
      </c>
      <c r="I69" s="511"/>
      <c r="J69" s="547">
        <f>H69/DAY(B2)</f>
        <v>109.35500000000077</v>
      </c>
      <c r="K69" s="427"/>
      <c r="L69" s="374"/>
      <c r="N69" s="379"/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N70" s="379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</row>
    <row r="72" spans="1:14" ht="27.75">
      <c r="A72" s="1450" t="s">
        <v>258</v>
      </c>
      <c r="B72" s="1451"/>
      <c r="C72" s="1452"/>
      <c r="D72" s="518" t="s">
        <v>253</v>
      </c>
      <c r="E72" s="514">
        <f>'5'!F72</f>
        <v>855909</v>
      </c>
      <c r="F72" s="650">
        <v>855922</v>
      </c>
      <c r="G72" s="468">
        <f t="shared" ref="G72:G84" si="7">F72-E72</f>
        <v>13</v>
      </c>
      <c r="H72" s="455">
        <f>G72+'5'!H72</f>
        <v>79</v>
      </c>
      <c r="I72" s="475"/>
      <c r="J72" s="547">
        <f>H72/DAY(B2)</f>
        <v>13.166666666666666</v>
      </c>
      <c r="K72" s="427"/>
      <c r="L72" s="374"/>
      <c r="N72" s="379"/>
    </row>
    <row r="73" spans="1:14" ht="27.75">
      <c r="A73" s="1450" t="s">
        <v>259</v>
      </c>
      <c r="B73" s="1451"/>
      <c r="C73" s="1452"/>
      <c r="D73" s="518" t="s">
        <v>253</v>
      </c>
      <c r="E73" s="515">
        <f>'5'!F73</f>
        <v>885943</v>
      </c>
      <c r="F73" s="651">
        <v>885944</v>
      </c>
      <c r="G73" s="648">
        <f t="shared" si="7"/>
        <v>1</v>
      </c>
      <c r="H73" s="455">
        <f>G73+'5'!H73</f>
        <v>7</v>
      </c>
      <c r="I73" s="475"/>
      <c r="J73" s="547">
        <f>H73/DAY(B2)</f>
        <v>1.1666666666666667</v>
      </c>
      <c r="K73" s="426"/>
      <c r="L73" s="374"/>
      <c r="N73" s="379"/>
    </row>
    <row r="74" spans="1:14" ht="27.75">
      <c r="A74" s="1450" t="s">
        <v>260</v>
      </c>
      <c r="B74" s="1451"/>
      <c r="C74" s="1452"/>
      <c r="D74" s="518" t="s">
        <v>253</v>
      </c>
      <c r="E74" s="516">
        <f>'5'!F74</f>
        <v>2599.96</v>
      </c>
      <c r="F74" s="650">
        <v>2599.96</v>
      </c>
      <c r="G74" s="468">
        <f t="shared" si="7"/>
        <v>0</v>
      </c>
      <c r="H74" s="455">
        <f>G74+'5'!H74</f>
        <v>13.960000000000036</v>
      </c>
      <c r="I74" s="475"/>
      <c r="J74" s="547">
        <f>H74/DAY(B2)</f>
        <v>2.3266666666666729</v>
      </c>
      <c r="K74" s="427"/>
      <c r="L74" s="374"/>
      <c r="N74" s="379"/>
    </row>
    <row r="75" spans="1:14" ht="27.75">
      <c r="A75" s="1499" t="s">
        <v>261</v>
      </c>
      <c r="B75" s="1500"/>
      <c r="C75" s="1501"/>
      <c r="D75" s="518" t="s">
        <v>253</v>
      </c>
      <c r="E75" s="515">
        <f>'5'!F75</f>
        <v>12952.89</v>
      </c>
      <c r="F75" s="651">
        <v>13034.7</v>
      </c>
      <c r="G75" s="468">
        <f t="shared" si="7"/>
        <v>81.81000000000131</v>
      </c>
      <c r="H75" s="455">
        <f>G75+'5'!H75</f>
        <v>365.70000000000073</v>
      </c>
      <c r="I75" s="475"/>
      <c r="J75" s="547">
        <f>H75/DAY(B2)</f>
        <v>60.950000000000124</v>
      </c>
      <c r="K75" s="426"/>
      <c r="L75" s="374"/>
      <c r="N75" s="379"/>
    </row>
    <row r="76" spans="1:14" ht="27.75">
      <c r="A76" s="1499" t="s">
        <v>262</v>
      </c>
      <c r="B76" s="1500"/>
      <c r="C76" s="1501"/>
      <c r="D76" s="518" t="s">
        <v>253</v>
      </c>
      <c r="E76" s="515">
        <f>'5'!F76</f>
        <v>7716.72</v>
      </c>
      <c r="F76" s="651">
        <v>7776.46</v>
      </c>
      <c r="G76" s="468">
        <f t="shared" si="7"/>
        <v>59.739999999999782</v>
      </c>
      <c r="H76" s="455">
        <f>G76+'5'!H76</f>
        <v>357.46000000000004</v>
      </c>
      <c r="I76" s="500"/>
      <c r="J76" s="547">
        <f>H76/DAY(B2)</f>
        <v>59.576666666666675</v>
      </c>
      <c r="K76" s="426"/>
      <c r="L76" s="374"/>
      <c r="N76" s="379"/>
    </row>
    <row r="77" spans="1:14" ht="27.75">
      <c r="A77" s="1450" t="s">
        <v>263</v>
      </c>
      <c r="B77" s="1451"/>
      <c r="C77" s="1452"/>
      <c r="D77" s="518" t="s">
        <v>253</v>
      </c>
      <c r="E77" s="515">
        <f>'5'!F77</f>
        <v>703082</v>
      </c>
      <c r="F77" s="651">
        <v>703136</v>
      </c>
      <c r="G77" s="648">
        <f t="shared" si="7"/>
        <v>54</v>
      </c>
      <c r="H77" s="455">
        <f>G77+'5'!H77</f>
        <v>297</v>
      </c>
      <c r="I77" s="500"/>
      <c r="J77" s="547">
        <f>H77/DAY(B2)</f>
        <v>49.5</v>
      </c>
      <c r="K77" s="426"/>
      <c r="L77" s="374"/>
      <c r="N77" s="379"/>
    </row>
    <row r="78" spans="1:14" ht="27.75">
      <c r="A78" s="1395" t="s">
        <v>264</v>
      </c>
      <c r="B78" s="1387"/>
      <c r="C78" s="1387"/>
      <c r="D78" s="518" t="s">
        <v>253</v>
      </c>
      <c r="E78" s="516">
        <f>'5'!F78</f>
        <v>673411</v>
      </c>
      <c r="F78" s="652">
        <v>673546</v>
      </c>
      <c r="G78" s="468">
        <f t="shared" si="7"/>
        <v>135</v>
      </c>
      <c r="H78" s="455">
        <f>G78+'5'!H78</f>
        <v>514</v>
      </c>
      <c r="I78" s="500"/>
      <c r="J78" s="547">
        <f>H78/DAY(B2)</f>
        <v>85.666666666666671</v>
      </c>
      <c r="K78" s="426"/>
      <c r="L78" s="374"/>
      <c r="N78" s="379"/>
    </row>
    <row r="79" spans="1:14" ht="27.75">
      <c r="A79" s="1499" t="s">
        <v>151</v>
      </c>
      <c r="B79" s="1500"/>
      <c r="C79" s="1501"/>
      <c r="D79" s="519" t="s">
        <v>253</v>
      </c>
      <c r="E79" s="516">
        <f>'5'!F79</f>
        <v>831780</v>
      </c>
      <c r="F79" s="652">
        <v>831946</v>
      </c>
      <c r="G79" s="468">
        <f t="shared" si="7"/>
        <v>166</v>
      </c>
      <c r="H79" s="455">
        <f>G79+'5'!H79</f>
        <v>936</v>
      </c>
      <c r="I79" s="500"/>
      <c r="J79" s="547">
        <f>H79/DAY(B2)</f>
        <v>156</v>
      </c>
      <c r="K79" s="426"/>
      <c r="L79" s="374"/>
      <c r="N79" s="379"/>
    </row>
    <row r="80" spans="1:14" ht="27.75">
      <c r="A80" s="1499" t="s">
        <v>265</v>
      </c>
      <c r="B80" s="1500"/>
      <c r="C80" s="1501"/>
      <c r="D80" s="519" t="s">
        <v>253</v>
      </c>
      <c r="E80" s="515">
        <f>'5'!F80</f>
        <v>529589.56000000006</v>
      </c>
      <c r="F80" s="651">
        <v>530011.04</v>
      </c>
      <c r="G80" s="468">
        <f t="shared" si="7"/>
        <v>421.47999999998137</v>
      </c>
      <c r="H80" s="455">
        <f>G80+'5'!H80</f>
        <v>2353.0400000000373</v>
      </c>
      <c r="I80" s="500"/>
      <c r="J80" s="547">
        <f>H80/DAY(B2)</f>
        <v>392.17333333333954</v>
      </c>
      <c r="K80" s="426"/>
      <c r="L80" s="374"/>
      <c r="N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f>'5'!F81</f>
        <v>639352.24</v>
      </c>
      <c r="F81" s="651">
        <v>639443.31999999995</v>
      </c>
      <c r="G81" s="468">
        <f t="shared" si="7"/>
        <v>91.07999999995809</v>
      </c>
      <c r="H81" s="455">
        <f>G81+'5'!H81</f>
        <v>545.31999999994878</v>
      </c>
      <c r="I81" s="500"/>
      <c r="J81" s="547">
        <f>H81/DAY(B2)</f>
        <v>90.88666666665813</v>
      </c>
      <c r="K81" s="426"/>
      <c r="L81" s="374"/>
      <c r="N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f>'5'!F82</f>
        <v>108241.04</v>
      </c>
      <c r="F82" s="647">
        <v>108252.88</v>
      </c>
      <c r="G82" s="468">
        <f t="shared" si="7"/>
        <v>11.840000000011059</v>
      </c>
      <c r="H82" s="455">
        <f>G82+'5'!H82</f>
        <v>94.880000000004657</v>
      </c>
      <c r="I82" s="481"/>
      <c r="J82" s="547">
        <f>H82/DAY(B2)</f>
        <v>15.813333333334109</v>
      </c>
      <c r="K82" s="426"/>
      <c r="L82" s="374"/>
      <c r="N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f>'5'!F83</f>
        <v>21456</v>
      </c>
      <c r="F83" s="506">
        <v>21756</v>
      </c>
      <c r="G83" s="468">
        <f t="shared" si="7"/>
        <v>300</v>
      </c>
      <c r="H83" s="455">
        <f>G83+'5'!H83</f>
        <v>1250</v>
      </c>
      <c r="I83" s="476"/>
      <c r="J83" s="547">
        <f>H83/DAY(B2)</f>
        <v>208.33333333333334</v>
      </c>
      <c r="K83" s="425"/>
      <c r="L83" s="374"/>
      <c r="N83" s="379"/>
    </row>
    <row r="84" spans="1:15">
      <c r="A84" s="1396" t="s">
        <v>166</v>
      </c>
      <c r="B84" s="566"/>
      <c r="C84" s="566"/>
      <c r="D84" s="473" t="s">
        <v>198</v>
      </c>
      <c r="E84" s="622">
        <f>'5'!F84</f>
        <v>504365</v>
      </c>
      <c r="F84" s="622">
        <v>505283</v>
      </c>
      <c r="G84" s="468">
        <f t="shared" si="7"/>
        <v>918</v>
      </c>
      <c r="H84" s="455">
        <f>G84+'5'!H84</f>
        <v>4989</v>
      </c>
      <c r="I84" s="476"/>
      <c r="J84" s="547">
        <f>H84/DAY(B2)</f>
        <v>831.5</v>
      </c>
      <c r="K84" s="377"/>
      <c r="L84" s="374"/>
      <c r="N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2252.9499999999516</v>
      </c>
      <c r="H85" s="455">
        <f>G85+'5'!H85</f>
        <v>11802.359999999991</v>
      </c>
      <c r="I85" s="476"/>
      <c r="J85" s="547">
        <f>H85/DAY(B2)</f>
        <v>1967.0599999999986</v>
      </c>
      <c r="K85" s="377"/>
      <c r="L85" s="375"/>
      <c r="N85" s="379"/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'5'!F86</f>
        <v>461095.72</v>
      </c>
      <c r="F86" s="643">
        <v>461126.64</v>
      </c>
      <c r="G86" s="701">
        <f t="shared" ref="G86:G91" si="8">F86-E86</f>
        <v>30.92000000004191</v>
      </c>
      <c r="H86" s="455">
        <f>G86+'5'!H86</f>
        <v>191.64000000001397</v>
      </c>
      <c r="I86" s="648"/>
      <c r="J86" s="703">
        <f>H86/DAY(B2)</f>
        <v>31.940000000002328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'5'!F87</f>
        <v>81471.3</v>
      </c>
      <c r="F87" s="643">
        <v>81482.3</v>
      </c>
      <c r="G87" s="701">
        <f t="shared" si="8"/>
        <v>11</v>
      </c>
      <c r="H87" s="455">
        <f>G87+'5'!H87</f>
        <v>107.30000000000291</v>
      </c>
      <c r="I87" s="648"/>
      <c r="J87" s="703">
        <f>H87/DAY(B2)</f>
        <v>17.88333333333382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'5'!F88</f>
        <v>153241.53</v>
      </c>
      <c r="F88" s="643">
        <v>153356.99</v>
      </c>
      <c r="G88" s="701">
        <f t="shared" si="8"/>
        <v>115.45999999999185</v>
      </c>
      <c r="H88" s="455">
        <f>G88+'5'!H88</f>
        <v>292.98999999999069</v>
      </c>
      <c r="I88" s="648"/>
      <c r="J88" s="703">
        <f>H88/DAY(B2)</f>
        <v>48.831666666665114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622">
        <f>'5'!F89</f>
        <v>65234.9</v>
      </c>
      <c r="F89" s="643">
        <v>65251.8</v>
      </c>
      <c r="G89" s="701">
        <f t="shared" si="8"/>
        <v>16.900000000001455</v>
      </c>
      <c r="H89" s="455">
        <f>G89+'5'!H89</f>
        <v>77.200000000004366</v>
      </c>
      <c r="I89" s="648"/>
      <c r="J89" s="703">
        <f>H89/DAY(B2)</f>
        <v>12.866666666667394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'5'!F90</f>
        <v>3274.8</v>
      </c>
      <c r="F90" s="643">
        <v>3274.8</v>
      </c>
      <c r="G90" s="701">
        <f t="shared" si="8"/>
        <v>0</v>
      </c>
      <c r="H90" s="455">
        <f>G90+'5'!H90</f>
        <v>1.2000000000002728</v>
      </c>
      <c r="I90" s="648"/>
      <c r="J90" s="703">
        <f>H90/DAY(B2)</f>
        <v>0.20000000000004547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22">
        <f>'5'!F91</f>
        <v>28061.3056</v>
      </c>
      <c r="F91" s="643">
        <v>28070.400000000001</v>
      </c>
      <c r="G91" s="701">
        <f t="shared" si="8"/>
        <v>9.0944000000017695</v>
      </c>
      <c r="H91" s="455">
        <f>G91+'5'!H91</f>
        <v>9.0944000000017695</v>
      </c>
      <c r="I91" s="648"/>
      <c r="J91" s="703">
        <f>H91/DAY(B2)</f>
        <v>1.5157333333336283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'5'!F93</f>
        <v>245660</v>
      </c>
      <c r="F93" s="473">
        <v>245745</v>
      </c>
      <c r="G93" s="468">
        <f t="shared" ref="G93:G94" si="9">F93-E93</f>
        <v>85</v>
      </c>
      <c r="H93" s="455">
        <f>G93+'5'!H93</f>
        <v>257</v>
      </c>
      <c r="I93" s="475"/>
      <c r="J93" s="547">
        <f>H93/DAY(B2)</f>
        <v>42.833333333333336</v>
      </c>
      <c r="K93" s="425"/>
      <c r="L93" s="374"/>
      <c r="N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'5'!F94</f>
        <v>186528</v>
      </c>
      <c r="F94" s="473">
        <v>186652</v>
      </c>
      <c r="G94" s="468">
        <f t="shared" si="9"/>
        <v>124</v>
      </c>
      <c r="H94" s="455">
        <f>G94+'5'!H94</f>
        <v>531</v>
      </c>
      <c r="I94" s="475"/>
      <c r="J94" s="547">
        <f>H94/DAY(B2)</f>
        <v>88.5</v>
      </c>
      <c r="K94" s="377"/>
      <c r="L94" s="374"/>
      <c r="N94" s="379"/>
    </row>
    <row r="95" spans="1:15">
      <c r="A95" s="1447" t="s">
        <v>276</v>
      </c>
      <c r="B95" s="1448"/>
      <c r="C95" s="1449"/>
      <c r="D95" s="518"/>
      <c r="E95" s="479">
        <f>'5'!F95</f>
        <v>0</v>
      </c>
      <c r="F95" s="473"/>
      <c r="G95" s="468">
        <f>G93+G94</f>
        <v>209</v>
      </c>
      <c r="H95" s="455">
        <f>G95+'5'!H95</f>
        <v>712</v>
      </c>
      <c r="I95" s="475"/>
      <c r="J95" s="547">
        <f>H95/DAY(B2)</f>
        <v>118.66666666666667</v>
      </c>
      <c r="K95" s="377"/>
      <c r="L95" s="374"/>
      <c r="N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'5'!F96</f>
        <v>414507</v>
      </c>
      <c r="F96" s="473">
        <v>414580</v>
      </c>
      <c r="G96" s="468">
        <f t="shared" ref="G96:G101" si="10">F96-E96</f>
        <v>73</v>
      </c>
      <c r="H96" s="455">
        <f>G96+'5'!H96</f>
        <v>297</v>
      </c>
      <c r="I96" s="475"/>
      <c r="J96" s="547">
        <f>H96/DAY(B2)</f>
        <v>49.5</v>
      </c>
      <c r="K96" s="377"/>
      <c r="L96" s="374"/>
      <c r="N96" s="379"/>
    </row>
    <row r="97" spans="1:14" ht="27.75">
      <c r="A97" s="1392" t="s">
        <v>17</v>
      </c>
      <c r="B97" s="1393"/>
      <c r="C97" s="1393"/>
      <c r="D97" s="518" t="s">
        <v>209</v>
      </c>
      <c r="E97" s="479">
        <f>'5'!F97</f>
        <v>102703</v>
      </c>
      <c r="F97" s="473">
        <v>102724</v>
      </c>
      <c r="G97" s="468">
        <f t="shared" si="10"/>
        <v>21</v>
      </c>
      <c r="H97" s="455">
        <f>G97+'5'!H97</f>
        <v>76</v>
      </c>
      <c r="I97" s="475"/>
      <c r="J97" s="547">
        <f>H97/DAY(B2)</f>
        <v>12.666666666666666</v>
      </c>
      <c r="K97" s="423"/>
      <c r="L97" s="374"/>
      <c r="N97" s="379"/>
    </row>
    <row r="98" spans="1:14" ht="27.75">
      <c r="A98" s="1392" t="s">
        <v>18</v>
      </c>
      <c r="B98" s="1393"/>
      <c r="C98" s="1393"/>
      <c r="D98" s="518" t="s">
        <v>209</v>
      </c>
      <c r="E98" s="479">
        <f>'5'!F98</f>
        <v>98030</v>
      </c>
      <c r="F98" s="473">
        <v>98060</v>
      </c>
      <c r="G98" s="468">
        <f t="shared" si="10"/>
        <v>30</v>
      </c>
      <c r="H98" s="455">
        <f>G98+'5'!H98</f>
        <v>110</v>
      </c>
      <c r="I98" s="475"/>
      <c r="J98" s="547">
        <f>H98/DAY(B2)</f>
        <v>18.333333333333332</v>
      </c>
      <c r="K98" s="428"/>
      <c r="L98" s="374"/>
      <c r="N98" s="379"/>
    </row>
    <row r="99" spans="1:14" ht="27.75">
      <c r="A99" s="1392" t="s">
        <v>19</v>
      </c>
      <c r="B99" s="1393"/>
      <c r="C99" s="1393"/>
      <c r="D99" s="518" t="s">
        <v>209</v>
      </c>
      <c r="E99" s="479">
        <f>'5'!F99</f>
        <v>149885</v>
      </c>
      <c r="F99" s="473">
        <v>149903</v>
      </c>
      <c r="G99" s="468">
        <f t="shared" si="10"/>
        <v>18</v>
      </c>
      <c r="H99" s="455">
        <f>G99+'5'!H99</f>
        <v>51</v>
      </c>
      <c r="I99" s="475"/>
      <c r="J99" s="547">
        <f>H99/DAY(B2)</f>
        <v>8.5</v>
      </c>
      <c r="K99" s="377"/>
      <c r="L99" s="374"/>
      <c r="N99" s="700"/>
    </row>
    <row r="100" spans="1:14" ht="27.75">
      <c r="A100" s="1392" t="s">
        <v>20</v>
      </c>
      <c r="B100" s="1393"/>
      <c r="C100" s="1393"/>
      <c r="D100" s="518" t="s">
        <v>209</v>
      </c>
      <c r="E100" s="479">
        <f>'5'!F100</f>
        <v>7444</v>
      </c>
      <c r="F100" s="473">
        <v>7454</v>
      </c>
      <c r="G100" s="468">
        <f t="shared" si="10"/>
        <v>10</v>
      </c>
      <c r="H100" s="455">
        <f>G100+'5'!H100</f>
        <v>85</v>
      </c>
      <c r="I100" s="475"/>
      <c r="J100" s="547">
        <f>H100/DAY(B2)</f>
        <v>14.166666666666666</v>
      </c>
      <c r="K100" s="377"/>
      <c r="L100" s="374"/>
      <c r="N100" s="379"/>
    </row>
    <row r="101" spans="1:14" ht="27.75">
      <c r="A101" s="1392" t="s">
        <v>21</v>
      </c>
      <c r="B101" s="1393"/>
      <c r="C101" s="1393"/>
      <c r="D101" s="518" t="s">
        <v>209</v>
      </c>
      <c r="E101" s="479">
        <f>'5'!F101</f>
        <v>5422</v>
      </c>
      <c r="F101" s="473">
        <v>5431</v>
      </c>
      <c r="G101" s="468">
        <f t="shared" si="10"/>
        <v>9</v>
      </c>
      <c r="H101" s="455">
        <f>G101+'5'!H101</f>
        <v>40</v>
      </c>
      <c r="I101" s="475"/>
      <c r="J101" s="547">
        <f>H101/DAY(B2)</f>
        <v>6.666666666666667</v>
      </c>
      <c r="K101" s="377"/>
      <c r="L101" s="374"/>
      <c r="N101" s="379"/>
    </row>
    <row r="102" spans="1:14">
      <c r="A102" s="1447" t="s">
        <v>277</v>
      </c>
      <c r="B102" s="1448"/>
      <c r="C102" s="1449"/>
      <c r="D102" s="519"/>
      <c r="E102" s="519"/>
      <c r="F102" s="519" t="s">
        <v>182</v>
      </c>
      <c r="G102" s="520">
        <f>SUM(G96:G101)</f>
        <v>161</v>
      </c>
      <c r="H102" s="455">
        <f>G102+'5'!H102</f>
        <v>659</v>
      </c>
      <c r="I102" s="521"/>
      <c r="J102" s="547">
        <f>H102/DAY(B2)</f>
        <v>109.83333333333333</v>
      </c>
      <c r="K102" s="377"/>
      <c r="L102" s="374"/>
      <c r="N102" s="379"/>
    </row>
    <row r="103" spans="1:14" s="437" customFormat="1" ht="27">
      <c r="A103" s="602" t="s">
        <v>278</v>
      </c>
      <c r="B103" s="603"/>
      <c r="C103" s="603"/>
      <c r="D103" s="616"/>
      <c r="E103" s="523"/>
      <c r="F103" s="653"/>
      <c r="G103" s="524"/>
      <c r="H103" s="525"/>
      <c r="I103" s="526"/>
      <c r="J103" s="552"/>
      <c r="N103" s="379"/>
    </row>
    <row r="104" spans="1:14" s="437" customFormat="1" ht="27.75">
      <c r="A104" s="1456" t="s">
        <v>279</v>
      </c>
      <c r="B104" s="1457"/>
      <c r="C104" s="568"/>
      <c r="D104" s="617"/>
      <c r="E104" s="527"/>
      <c r="F104" s="654"/>
      <c r="G104" s="527"/>
      <c r="H104" s="528"/>
      <c r="I104" s="527"/>
      <c r="J104" s="553"/>
      <c r="N104" s="37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527">
        <f>'5'!F105</f>
        <v>7484</v>
      </c>
      <c r="F105" s="654">
        <v>7484</v>
      </c>
      <c r="G105" s="527">
        <f>F105-E105</f>
        <v>0</v>
      </c>
      <c r="H105" s="455">
        <f>G105+'5'!H105</f>
        <v>0</v>
      </c>
      <c r="I105" s="527"/>
      <c r="J105" s="553">
        <f>H105/DAY(B2)</f>
        <v>0</v>
      </c>
      <c r="N105" s="379"/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527">
        <f>'5'!F106</f>
        <v>35967</v>
      </c>
      <c r="F106" s="655">
        <v>35977</v>
      </c>
      <c r="G106" s="527">
        <f t="shared" ref="G106" si="11">F106-E106</f>
        <v>10</v>
      </c>
      <c r="H106" s="455">
        <f>G106+'5'!H106</f>
        <v>24</v>
      </c>
      <c r="I106" s="527"/>
      <c r="J106" s="553">
        <f>H106/DAY(B2)</f>
        <v>4</v>
      </c>
      <c r="N106" s="379"/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527">
        <f>'5'!F107</f>
        <v>19720</v>
      </c>
      <c r="F107" s="654">
        <v>19725</v>
      </c>
      <c r="G107" s="527">
        <f>F107-E107</f>
        <v>5</v>
      </c>
      <c r="H107" s="455">
        <f>G107+'5'!H107</f>
        <v>17</v>
      </c>
      <c r="I107" s="527"/>
      <c r="J107" s="553">
        <f>H107/DAY(B2)</f>
        <v>2.8333333333333335</v>
      </c>
      <c r="N107" s="379"/>
    </row>
    <row r="108" spans="1:14" s="437" customFormat="1" ht="27.75">
      <c r="A108" s="1461" t="s">
        <v>102</v>
      </c>
      <c r="B108" s="1462"/>
      <c r="C108" s="1391"/>
      <c r="D108" s="617"/>
      <c r="E108" s="527"/>
      <c r="F108" s="654"/>
      <c r="G108" s="527">
        <f>SUM(G105:G107)</f>
        <v>15</v>
      </c>
      <c r="H108" s="455">
        <f>G108+'5'!H108</f>
        <v>41</v>
      </c>
      <c r="I108" s="527"/>
      <c r="J108" s="553">
        <f>H108/DAY(B2)</f>
        <v>6.833333333333333</v>
      </c>
      <c r="N108" s="379"/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527"/>
      <c r="F109" s="654"/>
      <c r="G109" s="527"/>
      <c r="H109" s="455">
        <f>G109+'5'!H109</f>
        <v>0</v>
      </c>
      <c r="I109" s="527"/>
      <c r="J109" s="553"/>
      <c r="N109" s="37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527">
        <f>'5'!F110</f>
        <v>63179</v>
      </c>
      <c r="F110" s="654">
        <v>63242</v>
      </c>
      <c r="G110" s="527">
        <f>F110-E110</f>
        <v>63</v>
      </c>
      <c r="H110" s="455">
        <f>G110+'5'!H110</f>
        <v>408</v>
      </c>
      <c r="I110" s="527"/>
      <c r="J110" s="553">
        <f>H110/DAY(B2)</f>
        <v>68</v>
      </c>
      <c r="N110" s="379"/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527">
        <f>'5'!F111</f>
        <v>32605</v>
      </c>
      <c r="F111" s="654">
        <v>32615</v>
      </c>
      <c r="G111" s="527">
        <f>F111-E111</f>
        <v>10</v>
      </c>
      <c r="H111" s="455">
        <f>G111+'5'!H111</f>
        <v>37</v>
      </c>
      <c r="I111" s="527"/>
      <c r="J111" s="553">
        <f>H111/DAY(B2)</f>
        <v>6.166666666666667</v>
      </c>
      <c r="N111" s="379"/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527">
        <f>'5'!F112</f>
        <v>4621</v>
      </c>
      <c r="F112" s="654">
        <v>4621</v>
      </c>
      <c r="G112" s="527">
        <f t="shared" ref="G112" si="12">F112-E112</f>
        <v>0</v>
      </c>
      <c r="H112" s="455">
        <f>G112+'5'!H112</f>
        <v>45</v>
      </c>
      <c r="I112" s="527"/>
      <c r="J112" s="553">
        <f>H112/DAY(B2)</f>
        <v>7.5</v>
      </c>
      <c r="N112" s="379"/>
    </row>
    <row r="113" spans="1:14" s="437" customFormat="1" ht="27.75">
      <c r="A113" s="1461" t="s">
        <v>174</v>
      </c>
      <c r="B113" s="1462"/>
      <c r="C113" s="1391"/>
      <c r="D113" s="617"/>
      <c r="E113" s="527"/>
      <c r="F113" s="654"/>
      <c r="G113" s="527">
        <f>SUM(G110:G112)</f>
        <v>73</v>
      </c>
      <c r="H113" s="455">
        <f>G113+'5'!H113</f>
        <v>490</v>
      </c>
      <c r="I113" s="527"/>
      <c r="J113" s="553">
        <f>H113/DAY(B2)</f>
        <v>81.666666666666671</v>
      </c>
      <c r="N113" s="379"/>
    </row>
    <row r="114" spans="1:14" s="437" customFormat="1" ht="27.75">
      <c r="A114" s="1463" t="s">
        <v>280</v>
      </c>
      <c r="B114" s="1464"/>
      <c r="C114" s="1391"/>
      <c r="D114" s="617"/>
      <c r="E114" s="527"/>
      <c r="F114" s="654"/>
      <c r="G114" s="527"/>
      <c r="H114" s="455">
        <f>G114+'5'!H114</f>
        <v>0</v>
      </c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527">
        <f>'5'!F115</f>
        <v>11590</v>
      </c>
      <c r="F115" s="655">
        <v>11602</v>
      </c>
      <c r="G115" s="529">
        <f>F115-E115</f>
        <v>12</v>
      </c>
      <c r="H115" s="455">
        <f>G115+'5'!H115</f>
        <v>105</v>
      </c>
      <c r="I115" s="527"/>
      <c r="J115" s="553">
        <f>H115/DAY(B2)</f>
        <v>17.5</v>
      </c>
      <c r="N115" s="37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527">
        <f>'5'!F116</f>
        <v>8336</v>
      </c>
      <c r="F116" s="655">
        <v>8349</v>
      </c>
      <c r="G116" s="529">
        <f t="shared" ref="G116:G117" si="13">F116-E116</f>
        <v>13</v>
      </c>
      <c r="H116" s="455">
        <f>G116+'5'!H116</f>
        <v>37</v>
      </c>
      <c r="I116" s="527"/>
      <c r="J116" s="553">
        <f>H116/DAY(B2)</f>
        <v>6.166666666666667</v>
      </c>
      <c r="N116" s="37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455">
        <f>G117+'5'!H117</f>
        <v>0</v>
      </c>
      <c r="I117" s="527"/>
      <c r="J117" s="553">
        <f>H117/DAY(B2)</f>
        <v>0</v>
      </c>
      <c r="N117" s="379"/>
    </row>
    <row r="118" spans="1:14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25</v>
      </c>
      <c r="H118" s="455">
        <f>G118+'5'!H118</f>
        <v>142</v>
      </c>
      <c r="I118" s="529"/>
      <c r="J118" s="553">
        <f>H118/DAY(B2)</f>
        <v>23.666666666666668</v>
      </c>
      <c r="N118" s="37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150</v>
      </c>
      <c r="G119" s="531">
        <f>SUM(G19+G93)</f>
        <v>150</v>
      </c>
      <c r="H119" s="455">
        <f>G119+'5'!H119</f>
        <v>620</v>
      </c>
      <c r="I119" s="530"/>
      <c r="J119" s="554">
        <f>H119/DAY(B2)</f>
        <v>103.33333333333333</v>
      </c>
      <c r="N119" s="37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143</v>
      </c>
      <c r="G120" s="531">
        <f>SUM(G96,G97,G98,G100,G101)</f>
        <v>143</v>
      </c>
      <c r="H120" s="455">
        <f>G120+'5'!H120</f>
        <v>608</v>
      </c>
      <c r="I120" s="530"/>
      <c r="J120" s="554">
        <f>H120/DAY(B2)</f>
        <v>101.33333333333333</v>
      </c>
      <c r="N120" s="37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73</v>
      </c>
      <c r="G121" s="529">
        <f>SUM(G113)</f>
        <v>73</v>
      </c>
      <c r="H121" s="455">
        <f>G121+'5'!H121</f>
        <v>490</v>
      </c>
      <c r="I121" s="530"/>
      <c r="J121" s="554">
        <f>H121/DAY(B2)</f>
        <v>81.666666666666671</v>
      </c>
      <c r="N121" s="379"/>
    </row>
    <row r="122" spans="1:14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'5'!F124</f>
        <v>833251.48</v>
      </c>
      <c r="F124" s="473">
        <v>833440.78</v>
      </c>
      <c r="G124" s="468">
        <f t="shared" ref="G124:G128" si="14">F124-E124</f>
        <v>189.30000000004657</v>
      </c>
      <c r="H124" s="455">
        <f>G124+'5'!H124</f>
        <v>1074.7800000000279</v>
      </c>
      <c r="I124" s="521"/>
      <c r="J124" s="547">
        <f>H124/DAY(B2)</f>
        <v>179.13000000000466</v>
      </c>
      <c r="K124" s="377"/>
      <c r="L124" s="374"/>
      <c r="N124" s="379"/>
    </row>
    <row r="125" spans="1:14" ht="27.75">
      <c r="A125" s="1392" t="s">
        <v>287</v>
      </c>
      <c r="B125" s="1393"/>
      <c r="C125" s="1393"/>
      <c r="D125" s="518" t="s">
        <v>206</v>
      </c>
      <c r="E125" s="621">
        <f>'5'!F125</f>
        <v>73583</v>
      </c>
      <c r="F125" s="621">
        <v>73583.399999999994</v>
      </c>
      <c r="G125" s="468">
        <f t="shared" si="14"/>
        <v>0.39999999999417923</v>
      </c>
      <c r="H125" s="455">
        <f>G125+'5'!H125</f>
        <v>0</v>
      </c>
      <c r="I125" s="521"/>
      <c r="J125" s="547">
        <f>H125/DAY(B2)</f>
        <v>0</v>
      </c>
      <c r="K125" s="377"/>
      <c r="L125" s="374"/>
      <c r="N125" s="379"/>
    </row>
    <row r="126" spans="1:14" ht="27.75">
      <c r="A126" s="1450" t="s">
        <v>288</v>
      </c>
      <c r="B126" s="1451"/>
      <c r="C126" s="1452"/>
      <c r="D126" s="518" t="s">
        <v>206</v>
      </c>
      <c r="E126" s="473">
        <f>'5'!F126</f>
        <v>146798.54999999999</v>
      </c>
      <c r="F126" s="473">
        <v>146870.12</v>
      </c>
      <c r="G126" s="468">
        <f t="shared" si="14"/>
        <v>71.570000000006985</v>
      </c>
      <c r="H126" s="455">
        <f>G126+'5'!H126</f>
        <v>379.11999999999534</v>
      </c>
      <c r="I126" s="521"/>
      <c r="J126" s="547">
        <f>H126/DAY(B2)</f>
        <v>63.186666666665893</v>
      </c>
      <c r="K126" s="377"/>
      <c r="L126" s="374"/>
      <c r="N126" s="379"/>
    </row>
    <row r="127" spans="1:14" ht="27.75">
      <c r="A127" s="604" t="s">
        <v>289</v>
      </c>
      <c r="B127" s="1393"/>
      <c r="C127" s="1393"/>
      <c r="D127" s="518" t="s">
        <v>206</v>
      </c>
      <c r="E127" s="621">
        <f>'5'!F127</f>
        <v>31409.1</v>
      </c>
      <c r="F127" s="621">
        <v>31409.1</v>
      </c>
      <c r="G127" s="468">
        <f t="shared" si="14"/>
        <v>0</v>
      </c>
      <c r="H127" s="455">
        <f>G127+'5'!H127</f>
        <v>3.0999999999985448</v>
      </c>
      <c r="I127" s="521"/>
      <c r="J127" s="547">
        <f>H127/DAY(B2)</f>
        <v>0.51666666666642413</v>
      </c>
      <c r="K127" s="377"/>
      <c r="L127" s="374"/>
      <c r="N127" s="379"/>
    </row>
    <row r="128" spans="1:14" ht="27.75">
      <c r="A128" s="604" t="s">
        <v>290</v>
      </c>
      <c r="B128" s="1393"/>
      <c r="C128" s="1393"/>
      <c r="D128" s="518" t="s">
        <v>206</v>
      </c>
      <c r="E128" s="621">
        <f>'5'!F128</f>
        <v>8971.9</v>
      </c>
      <c r="F128" s="621">
        <v>8971.9</v>
      </c>
      <c r="G128" s="468">
        <f t="shared" si="14"/>
        <v>0</v>
      </c>
      <c r="H128" s="455">
        <f>G128+'5'!H128</f>
        <v>-0.1000000000003638</v>
      </c>
      <c r="I128" s="475"/>
      <c r="J128" s="547">
        <f>H128/DAY(B2)</f>
        <v>-1.6666666666727298E-2</v>
      </c>
      <c r="K128" s="377"/>
      <c r="L128" s="374"/>
      <c r="N128" s="37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295.5999999998312</v>
      </c>
      <c r="H129" s="455">
        <f>G129+'5'!H129</f>
        <v>1176.2799999999133</v>
      </c>
      <c r="I129" s="475"/>
      <c r="J129" s="547">
        <f>H129/DAY(B2)</f>
        <v>196.04666666665221</v>
      </c>
      <c r="K129" s="361"/>
      <c r="L129" s="289"/>
      <c r="N129" s="379"/>
    </row>
    <row r="130" spans="1:14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'5'!F131</f>
        <v>0</v>
      </c>
      <c r="F131" s="473">
        <v>0</v>
      </c>
      <c r="G131" s="468">
        <f t="shared" ref="G131:G141" si="15">F131-E131</f>
        <v>0</v>
      </c>
      <c r="H131" s="455">
        <f>G131+'5'!H131</f>
        <v>0</v>
      </c>
      <c r="I131" s="475"/>
      <c r="J131" s="547">
        <f>H131/DAY(B2)</f>
        <v>0</v>
      </c>
      <c r="N131" s="37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'5'!F132</f>
        <v>0</v>
      </c>
      <c r="F132" s="473">
        <v>0</v>
      </c>
      <c r="G132" s="468">
        <f t="shared" si="15"/>
        <v>0</v>
      </c>
      <c r="H132" s="455">
        <f>G132+'5'!H132</f>
        <v>0</v>
      </c>
      <c r="I132" s="475"/>
      <c r="J132" s="547">
        <f>H132/DAY(B2)</f>
        <v>0</v>
      </c>
      <c r="N132" s="379"/>
    </row>
    <row r="133" spans="1:14" ht="27.75">
      <c r="A133" s="1392" t="s">
        <v>296</v>
      </c>
      <c r="B133" s="1393"/>
      <c r="C133" s="1393"/>
      <c r="D133" s="518" t="s">
        <v>294</v>
      </c>
      <c r="E133" s="479">
        <f>'5'!F133</f>
        <v>40040.269999999997</v>
      </c>
      <c r="F133" s="621">
        <v>40040.269999999997</v>
      </c>
      <c r="G133" s="468">
        <f t="shared" si="15"/>
        <v>0</v>
      </c>
      <c r="H133" s="455">
        <f>G133+'5'!H133</f>
        <v>5.1699999999982538</v>
      </c>
      <c r="I133" s="475"/>
      <c r="J133" s="547">
        <f>H133/DAY(B2)</f>
        <v>0.86166666666637559</v>
      </c>
      <c r="N133" s="379"/>
    </row>
    <row r="134" spans="1:14" ht="27.75">
      <c r="A134" s="1392" t="s">
        <v>297</v>
      </c>
      <c r="B134" s="1393"/>
      <c r="C134" s="1393"/>
      <c r="D134" s="518" t="s">
        <v>294</v>
      </c>
      <c r="E134" s="479">
        <f>'5'!F134</f>
        <v>300</v>
      </c>
      <c r="F134" s="621">
        <v>300</v>
      </c>
      <c r="G134" s="468">
        <f t="shared" si="15"/>
        <v>0</v>
      </c>
      <c r="H134" s="455">
        <f>G134+'5'!H134</f>
        <v>0</v>
      </c>
      <c r="I134" s="475">
        <f>G133+G134+G135+G136</f>
        <v>24.490000000005239</v>
      </c>
      <c r="J134" s="547">
        <f>H134/DAY(B2)</f>
        <v>0</v>
      </c>
      <c r="N134" s="379"/>
    </row>
    <row r="135" spans="1:14" ht="27.75">
      <c r="A135" s="1392" t="s">
        <v>298</v>
      </c>
      <c r="B135" s="1393"/>
      <c r="C135" s="1393"/>
      <c r="D135" s="518" t="s">
        <v>294</v>
      </c>
      <c r="E135" s="697">
        <f>'5'!F135</f>
        <v>41730.339999999997</v>
      </c>
      <c r="F135" s="621">
        <v>41730.339999999997</v>
      </c>
      <c r="G135" s="468">
        <f t="shared" si="15"/>
        <v>0</v>
      </c>
      <c r="H135" s="455">
        <f>G135+'5'!H135</f>
        <v>0.33999999999650754</v>
      </c>
      <c r="I135" s="475"/>
      <c r="J135" s="547">
        <f>H135/DAY(B2)</f>
        <v>5.6666666666084588E-2</v>
      </c>
      <c r="N135" s="379"/>
    </row>
    <row r="136" spans="1:14" ht="27.75">
      <c r="A136" s="1392" t="s">
        <v>299</v>
      </c>
      <c r="B136" s="1393"/>
      <c r="C136" s="1393"/>
      <c r="D136" s="518" t="s">
        <v>294</v>
      </c>
      <c r="E136" s="517">
        <f>'5'!F136</f>
        <v>32835.49</v>
      </c>
      <c r="F136" s="480">
        <v>32859.980000000003</v>
      </c>
      <c r="G136" s="468">
        <f t="shared" si="15"/>
        <v>24.490000000005239</v>
      </c>
      <c r="H136" s="455">
        <f>G136+'5'!H136</f>
        <v>144.9800000000032</v>
      </c>
      <c r="I136" s="475"/>
      <c r="J136" s="547">
        <f>H136/DAY(B2)</f>
        <v>24.163333333333867</v>
      </c>
      <c r="N136" s="379"/>
    </row>
    <row r="137" spans="1:14" ht="27.75">
      <c r="A137" s="1392" t="s">
        <v>300</v>
      </c>
      <c r="B137" s="1393"/>
      <c r="C137" s="1393"/>
      <c r="D137" s="518" t="s">
        <v>294</v>
      </c>
      <c r="E137" s="536">
        <f>'5'!F137</f>
        <v>22814.28</v>
      </c>
      <c r="F137" s="647">
        <v>22819.26</v>
      </c>
      <c r="G137" s="468">
        <f t="shared" si="15"/>
        <v>4.9799999999995634</v>
      </c>
      <c r="H137" s="455">
        <f>G137+'5'!H137</f>
        <v>12.019999999996799</v>
      </c>
      <c r="I137" s="475">
        <f>G137+G138+G139</f>
        <v>4.9799999999995634</v>
      </c>
      <c r="J137" s="547">
        <f>H137/DAY(B2)</f>
        <v>2.0033333333327996</v>
      </c>
      <c r="N137" s="379"/>
    </row>
    <row r="138" spans="1:14" ht="27.75">
      <c r="A138" s="1392" t="s">
        <v>301</v>
      </c>
      <c r="B138" s="1393"/>
      <c r="C138" s="1393"/>
      <c r="D138" s="518" t="s">
        <v>294</v>
      </c>
      <c r="E138" s="536">
        <f>'5'!F138</f>
        <v>25051.82</v>
      </c>
      <c r="F138" s="647">
        <v>25051.82</v>
      </c>
      <c r="G138" s="468">
        <f t="shared" si="15"/>
        <v>0</v>
      </c>
      <c r="H138" s="455">
        <f>G138+'5'!H138</f>
        <v>0</v>
      </c>
      <c r="I138" s="475"/>
      <c r="J138" s="547">
        <f>H138/DAY(B2)</f>
        <v>0</v>
      </c>
      <c r="N138" s="379"/>
    </row>
    <row r="139" spans="1:14" ht="27.75">
      <c r="A139" s="1392" t="s">
        <v>302</v>
      </c>
      <c r="B139" s="1393"/>
      <c r="C139" s="1393"/>
      <c r="D139" s="518" t="s">
        <v>294</v>
      </c>
      <c r="E139" s="536">
        <f>'5'!F139</f>
        <v>70435.47</v>
      </c>
      <c r="F139" s="647">
        <v>70435.47</v>
      </c>
      <c r="G139" s="468">
        <f t="shared" si="15"/>
        <v>0</v>
      </c>
      <c r="H139" s="455">
        <f>G139+'5'!H139</f>
        <v>23.729999999995925</v>
      </c>
      <c r="I139" s="475"/>
      <c r="J139" s="547">
        <f>H139/DAY(B2)</f>
        <v>3.9549999999993211</v>
      </c>
      <c r="N139" s="379"/>
    </row>
    <row r="140" spans="1:14" ht="27.75">
      <c r="A140" s="1392" t="s">
        <v>303</v>
      </c>
      <c r="B140" s="1393"/>
      <c r="C140" s="1393"/>
      <c r="D140" s="518" t="s">
        <v>294</v>
      </c>
      <c r="E140" s="697">
        <f>'5'!F140</f>
        <v>1888.59</v>
      </c>
      <c r="F140" s="621">
        <v>1895.98</v>
      </c>
      <c r="G140" s="468">
        <f t="shared" si="15"/>
        <v>7.3900000000001</v>
      </c>
      <c r="H140" s="455">
        <f>G140+'5'!H140</f>
        <v>41.680000000000064</v>
      </c>
      <c r="I140" s="537">
        <f>G141+G1278</f>
        <v>0</v>
      </c>
      <c r="J140" s="547">
        <f>H140/DAY(B2)</f>
        <v>6.946666666666677</v>
      </c>
      <c r="N140" s="379"/>
    </row>
    <row r="141" spans="1:14" ht="27.75">
      <c r="A141" s="1392" t="s">
        <v>304</v>
      </c>
      <c r="B141" s="1393"/>
      <c r="C141" s="1393"/>
      <c r="D141" s="518" t="s">
        <v>294</v>
      </c>
      <c r="E141" s="479">
        <f>'5'!F141</f>
        <v>4637</v>
      </c>
      <c r="F141" s="473">
        <v>4637</v>
      </c>
      <c r="G141" s="468">
        <f t="shared" si="15"/>
        <v>0</v>
      </c>
      <c r="H141" s="455">
        <f>G141+'5'!H141</f>
        <v>0</v>
      </c>
      <c r="I141" s="537"/>
      <c r="J141" s="547">
        <f>H141/DAY(B2)</f>
        <v>0</v>
      </c>
      <c r="N141" s="379"/>
    </row>
    <row r="142" spans="1:14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5086.5000000001164</v>
      </c>
      <c r="H143" s="455">
        <f>G143+'5'!H143</f>
        <v>29004.480000000098</v>
      </c>
      <c r="I143" s="475"/>
      <c r="J143" s="547">
        <f>H143/DAY(B2)</f>
        <v>4834.0800000000163</v>
      </c>
      <c r="K143" s="377"/>
      <c r="L143" s="374"/>
      <c r="N143" s="37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0.27743112901079969</v>
      </c>
      <c r="H144" s="455">
        <f>G144+'5'!H144</f>
        <v>1.6799996244895223</v>
      </c>
      <c r="I144" s="539"/>
      <c r="J144" s="547">
        <f>H144/DAY(B2)</f>
        <v>0.27999993741492041</v>
      </c>
      <c r="K144" s="377"/>
      <c r="L144" s="374"/>
      <c r="N144" s="37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5049.8000000000466</v>
      </c>
      <c r="H145" s="455">
        <f>G145+'5'!H145</f>
        <v>29912.020000000019</v>
      </c>
      <c r="I145" s="475"/>
      <c r="J145" s="547">
        <f>H145/DAY(B2)</f>
        <v>4985.3366666666698</v>
      </c>
      <c r="K145" s="377"/>
      <c r="L145" s="374"/>
      <c r="N145" s="37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0.27542941419025208</v>
      </c>
      <c r="H146" s="455">
        <f>G146+'5'!H146</f>
        <v>1.7264918392327351</v>
      </c>
      <c r="I146" s="539"/>
      <c r="J146" s="547">
        <f>H146/DAY(B2)</f>
        <v>0.28774863987212251</v>
      </c>
      <c r="K146" s="377"/>
      <c r="L146" s="374"/>
      <c r="N146" s="37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3169.640000000014</v>
      </c>
      <c r="H147" s="455">
        <f>G147+'5'!H147</f>
        <v>16709.099999999977</v>
      </c>
      <c r="I147" s="540"/>
      <c r="J147" s="547">
        <f>H147/DAY(B2)</f>
        <v>2784.8499999999963</v>
      </c>
      <c r="K147" s="377"/>
      <c r="L147" s="374"/>
      <c r="N147" s="37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0.17288052762366557</v>
      </c>
      <c r="H148" s="455">
        <f>G148+'5'!H148</f>
        <v>0.96226066136785104</v>
      </c>
      <c r="I148" s="540"/>
      <c r="J148" s="547">
        <f>H148/DAY(B2)</f>
        <v>0.16037677689464183</v>
      </c>
      <c r="N148" s="37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1420.2099999999919</v>
      </c>
      <c r="H149" s="455">
        <f>G149+'5'!H149</f>
        <v>7607.9499999999534</v>
      </c>
      <c r="I149" s="475"/>
      <c r="J149" s="547">
        <f>H149/DAY(B2)</f>
        <v>1267.9916666666588</v>
      </c>
      <c r="K149" s="378"/>
      <c r="N149" s="37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7.7462000143992252E-2</v>
      </c>
      <c r="H150" s="455">
        <f>G150+'5'!H150</f>
        <v>0.43946765112754355</v>
      </c>
      <c r="I150" s="540"/>
      <c r="J150" s="547">
        <f>H150/DAY(B2)</f>
        <v>7.3244608521257262E-2</v>
      </c>
      <c r="N150" s="37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1519.4000000000374</v>
      </c>
      <c r="H151" s="455">
        <f>G151+'5'!H151</f>
        <v>9351.840000000022</v>
      </c>
      <c r="I151" s="540"/>
      <c r="J151" s="547">
        <f>H151/DAY(B2)</f>
        <v>1558.6400000000037</v>
      </c>
      <c r="N151" s="37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8.287208442327923E-2</v>
      </c>
      <c r="H152" s="455">
        <f>G152+'5'!H152</f>
        <v>0.53484721660630519</v>
      </c>
      <c r="I152" s="475"/>
      <c r="J152" s="547">
        <f>H152/DAY(B2)</f>
        <v>8.9141202767717531E-2</v>
      </c>
      <c r="N152" s="37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1373</v>
      </c>
      <c r="H153" s="455">
        <f>G153+'5'!H153</f>
        <v>7839.8699999999953</v>
      </c>
      <c r="I153" s="475"/>
      <c r="J153" s="547">
        <f>H153/DAY(B2)</f>
        <v>1306.6449999999993</v>
      </c>
      <c r="N153" s="37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7.4887042196366715E-2</v>
      </c>
      <c r="H154" s="455">
        <f>G154+'5'!H154</f>
        <v>0.45403234166676759</v>
      </c>
      <c r="I154" s="563"/>
      <c r="J154" s="564">
        <f>H154/DAY(B2)</f>
        <v>7.5672056944461261E-2</v>
      </c>
      <c r="N154" s="379"/>
    </row>
    <row r="155" spans="1:14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379"/>
    </row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479">
        <f>'5'!F161</f>
        <v>38839.69</v>
      </c>
      <c r="F161" s="654">
        <v>38920.050000000003</v>
      </c>
      <c r="G161" s="468">
        <f t="shared" ref="G161:G172" si="16">F161-E161</f>
        <v>80.360000000000582</v>
      </c>
    </row>
    <row r="162" spans="1:7">
      <c r="A162" s="780" t="s">
        <v>319</v>
      </c>
      <c r="B162" s="781"/>
      <c r="C162" s="781"/>
      <c r="D162" s="506" t="s">
        <v>253</v>
      </c>
      <c r="E162" s="479">
        <f>'5'!F162</f>
        <v>96830.3</v>
      </c>
      <c r="F162" s="654">
        <v>97241.93</v>
      </c>
      <c r="G162" s="468">
        <f t="shared" si="16"/>
        <v>411.6299999999901</v>
      </c>
    </row>
    <row r="163" spans="1:7">
      <c r="A163" s="780" t="s">
        <v>320</v>
      </c>
      <c r="B163" s="781"/>
      <c r="C163" s="781"/>
      <c r="D163" s="506" t="s">
        <v>253</v>
      </c>
      <c r="E163" s="479">
        <f>'5'!F163</f>
        <v>45984.19</v>
      </c>
      <c r="F163" s="654">
        <v>46185.54</v>
      </c>
      <c r="G163" s="468">
        <f t="shared" si="16"/>
        <v>201.34999999999854</v>
      </c>
    </row>
    <row r="164" spans="1:7">
      <c r="A164" s="780" t="s">
        <v>321</v>
      </c>
      <c r="B164" s="781"/>
      <c r="C164" s="781"/>
      <c r="D164" s="506" t="s">
        <v>253</v>
      </c>
      <c r="E164" s="479">
        <f>'5'!F164</f>
        <v>6601</v>
      </c>
      <c r="F164" s="654">
        <v>6609.4</v>
      </c>
      <c r="G164" s="468">
        <f t="shared" si="16"/>
        <v>8.3999999999996362</v>
      </c>
    </row>
    <row r="165" spans="1:7">
      <c r="A165" s="782" t="s">
        <v>252</v>
      </c>
      <c r="B165" s="599"/>
      <c r="C165" s="599"/>
      <c r="D165" s="506" t="s">
        <v>253</v>
      </c>
      <c r="E165" s="509">
        <f>E62</f>
        <v>0</v>
      </c>
      <c r="F165" s="509">
        <v>0</v>
      </c>
      <c r="G165" s="468">
        <f t="shared" si="16"/>
        <v>0</v>
      </c>
    </row>
    <row r="166" spans="1:7">
      <c r="A166" s="782" t="s">
        <v>254</v>
      </c>
      <c r="B166" s="599"/>
      <c r="C166" s="599"/>
      <c r="D166" s="506" t="s">
        <v>253</v>
      </c>
      <c r="E166" s="509">
        <f t="shared" ref="E166:E172" si="17">E63</f>
        <v>0</v>
      </c>
      <c r="F166" s="509">
        <f t="shared" ref="F166:F172" si="18">F63</f>
        <v>0</v>
      </c>
      <c r="G166" s="468">
        <f t="shared" si="16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509">
        <f t="shared" si="17"/>
        <v>160945.75</v>
      </c>
      <c r="F167" s="509">
        <f t="shared" si="18"/>
        <v>161236.62</v>
      </c>
      <c r="G167" s="468">
        <f t="shared" si="16"/>
        <v>290.86999999999534</v>
      </c>
    </row>
    <row r="168" spans="1:7" ht="27.75">
      <c r="A168" s="1502" t="s">
        <v>162</v>
      </c>
      <c r="B168" s="1502"/>
      <c r="C168" s="1502"/>
      <c r="D168" s="518" t="s">
        <v>253</v>
      </c>
      <c r="E168" s="509">
        <f t="shared" si="17"/>
        <v>162162.23000000001</v>
      </c>
      <c r="F168" s="509">
        <f t="shared" si="18"/>
        <v>162454.46</v>
      </c>
      <c r="G168" s="468">
        <f t="shared" si="16"/>
        <v>292.22999999998137</v>
      </c>
    </row>
    <row r="169" spans="1:7" ht="27.75">
      <c r="A169" s="1502" t="s">
        <v>255</v>
      </c>
      <c r="B169" s="1502"/>
      <c r="C169" s="1502"/>
      <c r="D169" s="518" t="s">
        <v>253</v>
      </c>
      <c r="E169" s="509">
        <f t="shared" si="17"/>
        <v>58207.19</v>
      </c>
      <c r="F169" s="509">
        <f t="shared" si="18"/>
        <v>58595.66</v>
      </c>
      <c r="G169" s="468">
        <f t="shared" si="16"/>
        <v>388.47000000000116</v>
      </c>
    </row>
    <row r="170" spans="1:7" ht="27.75">
      <c r="A170" s="1502" t="s">
        <v>157</v>
      </c>
      <c r="B170" s="1502"/>
      <c r="C170" s="1502"/>
      <c r="D170" s="518" t="s">
        <v>253</v>
      </c>
      <c r="E170" s="509">
        <f t="shared" si="17"/>
        <v>254103.65</v>
      </c>
      <c r="F170" s="509">
        <f t="shared" si="18"/>
        <v>254561.33</v>
      </c>
      <c r="G170" s="468">
        <f t="shared" si="16"/>
        <v>457.67999999999302</v>
      </c>
    </row>
    <row r="171" spans="1:7" ht="27.75">
      <c r="A171" s="1502" t="s">
        <v>164</v>
      </c>
      <c r="B171" s="1502"/>
      <c r="C171" s="1502"/>
      <c r="D171" s="518" t="s">
        <v>253</v>
      </c>
      <c r="E171" s="509">
        <f t="shared" si="17"/>
        <v>85321</v>
      </c>
      <c r="F171" s="509">
        <f t="shared" si="18"/>
        <v>85321</v>
      </c>
      <c r="G171" s="468">
        <f t="shared" si="16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509">
        <f t="shared" si="17"/>
        <v>82249.98</v>
      </c>
      <c r="F172" s="509">
        <f t="shared" si="18"/>
        <v>82405.13</v>
      </c>
      <c r="G172" s="468">
        <f t="shared" si="16"/>
        <v>155.15000000000873</v>
      </c>
    </row>
    <row r="173" spans="1:7">
      <c r="A173" s="1512" t="s">
        <v>329</v>
      </c>
      <c r="B173" s="1495"/>
      <c r="C173" s="781"/>
      <c r="D173" s="518" t="s">
        <v>253</v>
      </c>
      <c r="E173" s="537"/>
      <c r="F173" s="537"/>
      <c r="G173" s="537"/>
    </row>
    <row r="174" spans="1:7">
      <c r="A174" s="1512" t="s">
        <v>332</v>
      </c>
      <c r="B174" s="1495"/>
      <c r="C174" s="781"/>
      <c r="D174" s="518" t="s">
        <v>253</v>
      </c>
      <c r="E174" s="537"/>
      <c r="F174" s="537"/>
      <c r="G174" s="537"/>
    </row>
  </sheetData>
  <mergeCells count="77"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/>
  <cols>
    <col min="1" max="1" width="42.33203125" style="449" customWidth="1"/>
    <col min="2" max="2" width="31.777343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25.33203125" style="533" customWidth="1"/>
    <col min="9" max="9" width="20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373" customWidth="1"/>
    <col min="15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333</v>
      </c>
      <c r="B2" s="1028">
        <v>44354</v>
      </c>
      <c r="C2" s="1394" t="s">
        <v>111</v>
      </c>
      <c r="D2" s="606">
        <v>0.76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6" s="278" customFormat="1" ht="27">
      <c r="A3" s="565"/>
      <c r="B3" s="609"/>
      <c r="C3" s="1394" t="s">
        <v>186</v>
      </c>
      <c r="D3" s="607">
        <v>33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6" s="278" customFormat="1" ht="27">
      <c r="A4" s="571"/>
      <c r="B4" s="611"/>
      <c r="C4" s="1394" t="s">
        <v>188</v>
      </c>
      <c r="D4" s="606">
        <v>0.8</v>
      </c>
      <c r="E4" s="459"/>
      <c r="F4" s="459"/>
      <c r="G4" s="459"/>
      <c r="H4" s="459"/>
      <c r="I4" s="460"/>
      <c r="J4" s="610"/>
      <c r="K4" s="369"/>
      <c r="L4" s="289"/>
    </row>
    <row r="5" spans="1:16">
      <c r="A5" s="572" t="s">
        <v>189</v>
      </c>
      <c r="B5" s="454"/>
      <c r="C5" s="454"/>
      <c r="D5" s="506" t="s">
        <v>182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'6'!F7</f>
        <v>448352.99</v>
      </c>
      <c r="F7" s="450">
        <v>465590.03</v>
      </c>
      <c r="G7" s="685">
        <f t="shared" ref="G7:G12" si="0">F7-E7</f>
        <v>17237.040000000037</v>
      </c>
      <c r="H7" s="675">
        <f>G7+'6'!H7</f>
        <v>121178.03000000003</v>
      </c>
      <c r="I7" s="676">
        <f>'1'!I7</f>
        <v>12000</v>
      </c>
      <c r="J7" s="677">
        <f>H7/DAY(B2)</f>
        <v>17311.147142857146</v>
      </c>
      <c r="K7" s="544"/>
      <c r="L7" s="374"/>
      <c r="N7" s="704"/>
      <c r="P7" s="373" t="s">
        <v>182</v>
      </c>
    </row>
    <row r="8" spans="1:16" ht="27.75" thickBot="1">
      <c r="A8" s="678" t="s">
        <v>199</v>
      </c>
      <c r="B8" s="679"/>
      <c r="C8" s="680"/>
      <c r="D8" s="681" t="s">
        <v>59</v>
      </c>
      <c r="E8" s="628">
        <f>'6'!F8</f>
        <v>450927.79</v>
      </c>
      <c r="F8" s="470">
        <v>468243.75</v>
      </c>
      <c r="G8" s="685">
        <f t="shared" si="0"/>
        <v>17315.960000000021</v>
      </c>
      <c r="H8" s="675">
        <f>G8+'6'!H8</f>
        <v>121733.75</v>
      </c>
      <c r="I8" s="682">
        <v>12000</v>
      </c>
      <c r="J8" s="677">
        <f>H8/DAY(B2)</f>
        <v>17390.535714285714</v>
      </c>
      <c r="K8" s="544"/>
      <c r="L8" s="421"/>
      <c r="M8" s="435"/>
      <c r="N8" s="699"/>
    </row>
    <row r="9" spans="1:16">
      <c r="A9" s="683" t="s">
        <v>200</v>
      </c>
      <c r="B9" s="684"/>
      <c r="C9" s="684"/>
      <c r="D9" s="633" t="s">
        <v>198</v>
      </c>
      <c r="E9" s="628">
        <f>'6'!F9</f>
        <v>1574403.7</v>
      </c>
      <c r="F9" s="473">
        <f>E9+16950</f>
        <v>1591353.7</v>
      </c>
      <c r="G9" s="685">
        <f t="shared" si="0"/>
        <v>16950</v>
      </c>
      <c r="H9" s="675">
        <f>G9+'6'!H9</f>
        <v>117663.69999999995</v>
      </c>
      <c r="I9" s="686">
        <f>I8-J8</f>
        <v>-5390.5357142857138</v>
      </c>
      <c r="J9" s="677">
        <f>H9/DAY(B2)</f>
        <v>16809.099999999995</v>
      </c>
      <c r="K9" s="424"/>
      <c r="L9" s="374"/>
      <c r="N9" s="379"/>
    </row>
    <row r="10" spans="1:16">
      <c r="A10" s="672" t="s">
        <v>201</v>
      </c>
      <c r="B10" s="673"/>
      <c r="C10" s="673"/>
      <c r="D10" s="633" t="s">
        <v>198</v>
      </c>
      <c r="E10" s="628">
        <f>'6'!F10</f>
        <v>2606.5500000000002</v>
      </c>
      <c r="F10" s="473">
        <v>2606.5500000000002</v>
      </c>
      <c r="G10" s="685">
        <f t="shared" si="0"/>
        <v>0</v>
      </c>
      <c r="H10" s="675">
        <f>G10+'6'!H10</f>
        <v>0.42000000000007276</v>
      </c>
      <c r="I10" s="687"/>
      <c r="J10" s="677">
        <f>H10/DAY(B2)</f>
        <v>6.0000000000010392E-2</v>
      </c>
      <c r="K10" s="424"/>
      <c r="L10" s="374"/>
      <c r="N10" s="379"/>
    </row>
    <row r="11" spans="1:16">
      <c r="A11" s="672" t="s">
        <v>202</v>
      </c>
      <c r="B11" s="673"/>
      <c r="C11" s="673"/>
      <c r="D11" s="633" t="s">
        <v>198</v>
      </c>
      <c r="E11" s="628">
        <f>'6'!F11</f>
        <v>37000</v>
      </c>
      <c r="F11" s="450">
        <v>37000</v>
      </c>
      <c r="G11" s="685">
        <f t="shared" si="0"/>
        <v>0</v>
      </c>
      <c r="H11" s="675">
        <f>G11+'6'!H11</f>
        <v>0</v>
      </c>
      <c r="I11" s="687"/>
      <c r="J11" s="677">
        <f>H11/DAY(B2)</f>
        <v>0</v>
      </c>
      <c r="K11" s="424"/>
      <c r="L11" s="374"/>
      <c r="N11" s="379"/>
    </row>
    <row r="12" spans="1:16">
      <c r="A12" s="672" t="s">
        <v>203</v>
      </c>
      <c r="B12" s="673"/>
      <c r="C12" s="673"/>
      <c r="D12" s="633" t="s">
        <v>198</v>
      </c>
      <c r="E12" s="628">
        <f>'6'!F12</f>
        <v>40010</v>
      </c>
      <c r="F12" s="473">
        <v>40010</v>
      </c>
      <c r="G12" s="685">
        <f t="shared" si="0"/>
        <v>0</v>
      </c>
      <c r="H12" s="675">
        <f>G12+'6'!H12</f>
        <v>0</v>
      </c>
      <c r="I12" s="687"/>
      <c r="J12" s="677">
        <f>H12/DAY(B2)</f>
        <v>0</v>
      </c>
      <c r="K12" s="424"/>
      <c r="L12" s="374"/>
      <c r="N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16950</v>
      </c>
      <c r="H13" s="675">
        <f>G13+'6'!H13</f>
        <v>117664.11999999995</v>
      </c>
      <c r="I13" s="691">
        <f>G7-G13</f>
        <v>287.04000000003725</v>
      </c>
      <c r="J13" s="677">
        <f>H13/DAY(B2)</f>
        <v>16809.159999999993</v>
      </c>
      <c r="K13" s="424"/>
      <c r="L13" s="374"/>
      <c r="N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</row>
    <row r="15" spans="1:16">
      <c r="A15" s="788" t="s">
        <v>133</v>
      </c>
      <c r="B15" s="789"/>
      <c r="C15" s="789"/>
      <c r="D15" s="519" t="s">
        <v>206</v>
      </c>
      <c r="E15" s="480">
        <f>'6'!F15</f>
        <v>1687157.18</v>
      </c>
      <c r="F15" s="480">
        <v>1687720.83</v>
      </c>
      <c r="G15" s="660">
        <f>(F15-E15)</f>
        <v>563.6500000001397</v>
      </c>
      <c r="H15" s="481">
        <f>G15+'6'!H15</f>
        <v>3196.8300000000745</v>
      </c>
      <c r="I15" s="1061">
        <v>800</v>
      </c>
      <c r="J15" s="548">
        <f>H15/DAY(B2)</f>
        <v>456.69000000001063</v>
      </c>
      <c r="K15" s="424"/>
      <c r="L15" s="374"/>
      <c r="N15" s="379"/>
    </row>
    <row r="16" spans="1:16">
      <c r="A16" s="582"/>
      <c r="B16" s="583"/>
      <c r="C16" s="583"/>
      <c r="D16" s="519"/>
      <c r="E16" s="480"/>
      <c r="F16" s="480"/>
      <c r="G16" s="468"/>
      <c r="H16" s="481"/>
      <c r="I16" s="477">
        <f>I15-J15</f>
        <v>343.30999999998937</v>
      </c>
      <c r="J16" s="548"/>
      <c r="K16" s="424"/>
      <c r="L16" s="374"/>
      <c r="N16" s="379"/>
    </row>
    <row r="17" spans="1:14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</row>
    <row r="18" spans="1:14" ht="27.75">
      <c r="A18" s="1506" t="s">
        <v>208</v>
      </c>
      <c r="B18" s="1507"/>
      <c r="C18" s="1508"/>
      <c r="D18" s="633" t="s">
        <v>209</v>
      </c>
      <c r="E18" s="630">
        <f>'6'!F18</f>
        <v>11</v>
      </c>
      <c r="F18" s="473">
        <v>6</v>
      </c>
      <c r="G18" s="690">
        <f>F18*10</f>
        <v>60</v>
      </c>
      <c r="H18" s="675">
        <f>G18+'6'!H18</f>
        <v>410</v>
      </c>
      <c r="I18" s="676">
        <f>'1'!I18</f>
        <v>65</v>
      </c>
      <c r="J18" s="677">
        <f>H18/DAY(B2)</f>
        <v>58.571428571428569</v>
      </c>
      <c r="K18" s="424"/>
      <c r="L18" s="374"/>
      <c r="N18" s="379"/>
    </row>
    <row r="19" spans="1:14" ht="27.75">
      <c r="A19" s="1506" t="s">
        <v>113</v>
      </c>
      <c r="B19" s="1507"/>
      <c r="C19" s="1508"/>
      <c r="D19" s="633" t="s">
        <v>209</v>
      </c>
      <c r="E19" s="630">
        <f>'6'!F19</f>
        <v>139975</v>
      </c>
      <c r="F19" s="473">
        <v>140037</v>
      </c>
      <c r="G19" s="685">
        <f t="shared" ref="G19" si="1">F19-E19</f>
        <v>62</v>
      </c>
      <c r="H19" s="675">
        <f>G19+'6'!H19</f>
        <v>425</v>
      </c>
      <c r="I19" s="692"/>
      <c r="J19" s="677">
        <f>H19/DAY(B2)</f>
        <v>60.714285714285715</v>
      </c>
      <c r="K19" s="424"/>
      <c r="L19" s="374"/>
      <c r="N19" s="379"/>
    </row>
    <row r="20" spans="1:14">
      <c r="A20" s="688" t="s">
        <v>210</v>
      </c>
      <c r="B20" s="689"/>
      <c r="C20" s="689"/>
      <c r="D20" s="633"/>
      <c r="E20" s="633"/>
      <c r="F20" s="518"/>
      <c r="G20" s="693">
        <f>G18+G19</f>
        <v>122</v>
      </c>
      <c r="H20" s="675">
        <f>G20+'6'!H20</f>
        <v>835</v>
      </c>
      <c r="I20" s="694">
        <f>I18-J20</f>
        <v>-54.285714285714292</v>
      </c>
      <c r="J20" s="677">
        <f>H20/DAY(B2)</f>
        <v>119.28571428571429</v>
      </c>
      <c r="K20" s="424"/>
      <c r="L20" s="374"/>
      <c r="N20" s="379"/>
    </row>
    <row r="21" spans="1:14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</row>
    <row r="22" spans="1:14">
      <c r="A22" s="1392" t="s">
        <v>212</v>
      </c>
      <c r="B22" s="584"/>
      <c r="C22" s="584"/>
      <c r="D22" s="518" t="s">
        <v>213</v>
      </c>
      <c r="E22" s="630">
        <f>'6'!F22</f>
        <v>2970</v>
      </c>
      <c r="F22" s="473">
        <v>2970</v>
      </c>
      <c r="G22" s="476">
        <f t="shared" ref="G22" si="2">(F22-E22)</f>
        <v>0</v>
      </c>
      <c r="H22" s="455">
        <f>G22+'6'!H22</f>
        <v>0</v>
      </c>
      <c r="I22" s="475"/>
      <c r="J22" s="547">
        <f>H22/DAY(B2)</f>
        <v>0</v>
      </c>
      <c r="K22" s="424"/>
      <c r="L22" s="374"/>
      <c r="N22" s="379"/>
    </row>
    <row r="23" spans="1:14">
      <c r="A23" s="1392" t="s">
        <v>214</v>
      </c>
      <c r="B23" s="584"/>
      <c r="C23" s="584"/>
      <c r="D23" s="518" t="s">
        <v>213</v>
      </c>
      <c r="E23" s="630">
        <f>'6'!F23</f>
        <v>2000</v>
      </c>
      <c r="F23" s="473">
        <v>2000</v>
      </c>
      <c r="G23" s="476">
        <v>0</v>
      </c>
      <c r="H23" s="455">
        <f>G23+'6'!H23</f>
        <v>120</v>
      </c>
      <c r="I23" s="475"/>
      <c r="J23" s="547">
        <f>H23/DAY(B2)</f>
        <v>17.142857142857142</v>
      </c>
      <c r="K23" s="424"/>
      <c r="L23" s="374"/>
      <c r="N23" s="379"/>
    </row>
    <row r="24" spans="1:14">
      <c r="A24" s="585" t="s">
        <v>215</v>
      </c>
      <c r="B24" s="586"/>
      <c r="C24" s="586"/>
      <c r="D24" s="506" t="s">
        <v>213</v>
      </c>
      <c r="E24" s="630">
        <f>'6'!F24</f>
        <v>4970</v>
      </c>
      <c r="F24" s="480">
        <v>4970</v>
      </c>
      <c r="G24" s="476">
        <v>0</v>
      </c>
      <c r="H24" s="455">
        <f>G24+'6'!H24</f>
        <v>120</v>
      </c>
      <c r="I24" s="475"/>
      <c r="J24" s="547">
        <f>H24/DAY(B2)</f>
        <v>17.142857142857142</v>
      </c>
      <c r="K24" s="424"/>
      <c r="L24" s="374"/>
      <c r="N24" s="379"/>
    </row>
    <row r="25" spans="1:14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37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37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17315.960000000021</v>
      </c>
      <c r="F27" s="496">
        <v>9</v>
      </c>
      <c r="G27" s="497">
        <f>E27*F27</f>
        <v>155843.64000000019</v>
      </c>
      <c r="H27" s="455">
        <f>G27+'6'!H27</f>
        <v>1094766.75</v>
      </c>
      <c r="I27" s="498"/>
      <c r="J27" s="547">
        <f>H27/DAY(B2)</f>
        <v>156395.25</v>
      </c>
      <c r="K27" s="370"/>
      <c r="L27" s="438"/>
      <c r="N27" s="379"/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563.6500000001397</v>
      </c>
      <c r="F28" s="496">
        <v>52</v>
      </c>
      <c r="G28" s="497">
        <f>E28*F28</f>
        <v>29309.800000007264</v>
      </c>
      <c r="H28" s="455">
        <f>G28+'6'!H28</f>
        <v>166235.16000000387</v>
      </c>
      <c r="I28" s="500"/>
      <c r="J28" s="547">
        <f>H28/DAY(B2)</f>
        <v>23747.880000000554</v>
      </c>
      <c r="K28" s="370"/>
      <c r="L28" s="438"/>
      <c r="N28" s="379"/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G29+'6'!H29</f>
        <v>8280</v>
      </c>
      <c r="I29" s="500"/>
      <c r="J29" s="547">
        <f>H29/DAY(B2)</f>
        <v>1182.8571428571429</v>
      </c>
      <c r="K29" s="370"/>
      <c r="L29" s="438"/>
      <c r="N29" s="379"/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62</v>
      </c>
      <c r="F30" s="496">
        <v>146</v>
      </c>
      <c r="G30" s="497">
        <f>E30*F30</f>
        <v>9052</v>
      </c>
      <c r="H30" s="455">
        <f>G30+'6'!H30</f>
        <v>62050</v>
      </c>
      <c r="I30" s="500"/>
      <c r="J30" s="547">
        <f>H30/DAY(B2)</f>
        <v>8864.2857142857138</v>
      </c>
      <c r="K30" s="370"/>
      <c r="L30" s="438"/>
      <c r="N30" s="379"/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60</v>
      </c>
      <c r="F31" s="496">
        <v>80</v>
      </c>
      <c r="G31" s="497">
        <f>E31*F31</f>
        <v>4800</v>
      </c>
      <c r="H31" s="455">
        <f>G31+'6'!H31</f>
        <v>32800</v>
      </c>
      <c r="I31" s="500"/>
      <c r="J31" s="547">
        <f>H31/DAY(B2)</f>
        <v>4685.7142857142853</v>
      </c>
      <c r="K31" s="370"/>
      <c r="L31" s="438"/>
      <c r="N31" s="379"/>
    </row>
    <row r="32" spans="1:14" s="437" customFormat="1" ht="27.75">
      <c r="A32" s="590" t="s">
        <v>226</v>
      </c>
      <c r="B32" s="591"/>
      <c r="C32" s="592"/>
      <c r="D32" s="502"/>
      <c r="E32" s="502"/>
      <c r="F32" s="519"/>
      <c r="G32" s="1050">
        <f>G27+G28+G29+G30+G31</f>
        <v>199005.44000000745</v>
      </c>
      <c r="H32" s="455">
        <f>G32+'6'!H32</f>
        <v>1364131.9100000039</v>
      </c>
      <c r="I32" s="504"/>
      <c r="J32" s="547">
        <f>H32/DAY(B2)</f>
        <v>194875.98714285769</v>
      </c>
      <c r="K32" s="370"/>
      <c r="L32" s="438"/>
      <c r="N32" s="379"/>
    </row>
    <row r="33" spans="1:14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</row>
    <row r="34" spans="1:14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379"/>
    </row>
    <row r="35" spans="1:14">
      <c r="A35" s="573" t="s">
        <v>229</v>
      </c>
      <c r="B35" s="574"/>
      <c r="C35" s="574"/>
      <c r="D35" s="518" t="s">
        <v>198</v>
      </c>
      <c r="E35" s="505">
        <f>'6'!F35</f>
        <v>965190.55</v>
      </c>
      <c r="F35" s="505">
        <v>967655.51</v>
      </c>
      <c r="G35" s="468">
        <f t="shared" ref="G35:G46" si="3">F35-E35</f>
        <v>2464.9599999999627</v>
      </c>
      <c r="H35" s="455">
        <f>G35+'6'!H35</f>
        <v>17167.510000000009</v>
      </c>
      <c r="I35" s="450"/>
      <c r="J35" s="547">
        <f>H35/DAY(B2)</f>
        <v>2452.5014285714301</v>
      </c>
      <c r="K35" s="424"/>
      <c r="L35" s="374"/>
      <c r="N35" s="379"/>
    </row>
    <row r="36" spans="1:14">
      <c r="A36" s="573" t="s">
        <v>230</v>
      </c>
      <c r="B36" s="574"/>
      <c r="C36" s="574"/>
      <c r="D36" s="518" t="s">
        <v>198</v>
      </c>
      <c r="E36" s="505">
        <f>'6'!F36</f>
        <v>3533.13</v>
      </c>
      <c r="F36" s="505">
        <v>4057.06</v>
      </c>
      <c r="G36" s="468">
        <f t="shared" si="3"/>
        <v>523.92999999999984</v>
      </c>
      <c r="H36" s="455">
        <f>G36+'6'!H36</f>
        <v>3884.06</v>
      </c>
      <c r="I36" s="450"/>
      <c r="J36" s="547">
        <f>H36/DAY(B2)</f>
        <v>554.86571428571426</v>
      </c>
      <c r="K36" s="424"/>
      <c r="L36" s="374"/>
      <c r="N36" s="623"/>
    </row>
    <row r="37" spans="1:14">
      <c r="A37" s="573" t="s">
        <v>231</v>
      </c>
      <c r="B37" s="574"/>
      <c r="C37" s="574"/>
      <c r="D37" s="518" t="s">
        <v>198</v>
      </c>
      <c r="E37" s="505">
        <f>'6'!F37</f>
        <v>142076</v>
      </c>
      <c r="F37" s="505">
        <v>143365.62</v>
      </c>
      <c r="G37" s="468">
        <f t="shared" si="3"/>
        <v>1289.6199999999953</v>
      </c>
      <c r="H37" s="455">
        <f>G37+'6'!H37</f>
        <v>9129.6199999999953</v>
      </c>
      <c r="I37" s="450"/>
      <c r="J37" s="547">
        <f>H37/DAY(B2)</f>
        <v>1304.2314285714278</v>
      </c>
      <c r="K37" s="424"/>
      <c r="L37" s="374"/>
      <c r="N37" s="624"/>
    </row>
    <row r="38" spans="1:14">
      <c r="A38" s="573" t="s">
        <v>232</v>
      </c>
      <c r="B38" s="574"/>
      <c r="C38" s="574"/>
      <c r="D38" s="518" t="s">
        <v>198</v>
      </c>
      <c r="E38" s="505">
        <f>'6'!F38</f>
        <v>164012.88</v>
      </c>
      <c r="F38" s="464">
        <v>165234.28</v>
      </c>
      <c r="G38" s="468">
        <f t="shared" si="3"/>
        <v>1221.3999999999942</v>
      </c>
      <c r="H38" s="455">
        <f>G38+'6'!H38</f>
        <v>8829.2799999999988</v>
      </c>
      <c r="I38" s="450"/>
      <c r="J38" s="547">
        <f>H38/DAY(B2)</f>
        <v>1261.3257142857142</v>
      </c>
      <c r="K38" s="424"/>
      <c r="L38" s="374"/>
      <c r="N38" s="379"/>
    </row>
    <row r="39" spans="1:14">
      <c r="A39" s="573" t="s">
        <v>233</v>
      </c>
      <c r="B39" s="574"/>
      <c r="C39" s="574"/>
      <c r="D39" s="518" t="s">
        <v>198</v>
      </c>
      <c r="E39" s="505">
        <f>'6'!F39</f>
        <v>323218.43</v>
      </c>
      <c r="F39" s="505">
        <v>326180.09000000003</v>
      </c>
      <c r="G39" s="468">
        <f t="shared" si="3"/>
        <v>2961.6600000000326</v>
      </c>
      <c r="H39" s="455">
        <f>G39+'6'!H39</f>
        <v>18007.090000000026</v>
      </c>
      <c r="I39" s="450"/>
      <c r="J39" s="547">
        <f>H39/DAY(B2)</f>
        <v>2572.4414285714324</v>
      </c>
      <c r="K39" s="424"/>
      <c r="L39" s="374"/>
      <c r="N39" s="379"/>
    </row>
    <row r="40" spans="1:14">
      <c r="A40" s="594" t="s">
        <v>234</v>
      </c>
      <c r="B40" s="595"/>
      <c r="C40" s="595"/>
      <c r="D40" s="518" t="s">
        <v>198</v>
      </c>
      <c r="E40" s="505">
        <f>'6'!F40</f>
        <v>1057.0899999999999</v>
      </c>
      <c r="F40" s="505">
        <v>1057.0899999999999</v>
      </c>
      <c r="G40" s="468">
        <f t="shared" si="3"/>
        <v>0</v>
      </c>
      <c r="H40" s="455">
        <f>G40+'6'!H40</f>
        <v>168.08999999999992</v>
      </c>
      <c r="I40" s="450"/>
      <c r="J40" s="547">
        <f>H40/DAY(B2)</f>
        <v>24.012857142857133</v>
      </c>
      <c r="K40" s="425"/>
      <c r="L40" s="374"/>
      <c r="N40" s="379"/>
    </row>
    <row r="41" spans="1:14">
      <c r="A41" s="573" t="s">
        <v>235</v>
      </c>
      <c r="B41" s="574"/>
      <c r="C41" s="574"/>
      <c r="D41" s="518" t="s">
        <v>198</v>
      </c>
      <c r="E41" s="505">
        <f>'6'!F41</f>
        <v>241404.07</v>
      </c>
      <c r="F41" s="505">
        <v>243578.49</v>
      </c>
      <c r="G41" s="468">
        <f t="shared" si="3"/>
        <v>2174.4199999999837</v>
      </c>
      <c r="H41" s="455">
        <f>G41+'6'!H41</f>
        <v>3100.4899999999907</v>
      </c>
      <c r="I41" s="450"/>
      <c r="J41" s="547">
        <f>H41/DAY(B2)</f>
        <v>442.92714285714152</v>
      </c>
      <c r="K41" s="424"/>
      <c r="L41" s="374"/>
      <c r="N41" s="379"/>
    </row>
    <row r="42" spans="1:14">
      <c r="A42" s="582" t="s">
        <v>236</v>
      </c>
      <c r="B42" s="583"/>
      <c r="C42" s="583"/>
      <c r="D42" s="519" t="s">
        <v>198</v>
      </c>
      <c r="E42" s="505">
        <f>'6'!F42</f>
        <v>59198.97</v>
      </c>
      <c r="F42" s="1029">
        <v>59210.61</v>
      </c>
      <c r="G42" s="769">
        <f t="shared" si="3"/>
        <v>11.639999999999418</v>
      </c>
      <c r="H42" s="455">
        <f>G42+'6'!H42</f>
        <v>11.639999999999418</v>
      </c>
      <c r="I42" s="450"/>
      <c r="J42" s="547">
        <f>H42/DAY(B2)</f>
        <v>1.6628571428570598</v>
      </c>
      <c r="K42" s="424"/>
      <c r="L42" s="374"/>
      <c r="N42" s="379"/>
    </row>
    <row r="43" spans="1:14">
      <c r="A43" s="573" t="s">
        <v>237</v>
      </c>
      <c r="B43" s="574"/>
      <c r="C43" s="574"/>
      <c r="D43" s="518" t="s">
        <v>198</v>
      </c>
      <c r="E43" s="505">
        <f>'6'!F43</f>
        <v>1056545.8</v>
      </c>
      <c r="F43" s="505">
        <v>1058982.7</v>
      </c>
      <c r="G43" s="468">
        <f t="shared" si="3"/>
        <v>2436.8999999999069</v>
      </c>
      <c r="H43" s="455">
        <f>G43+'6'!H43</f>
        <v>16738.699999999953</v>
      </c>
      <c r="I43" s="450"/>
      <c r="J43" s="547">
        <f>H43/DAY(B2)</f>
        <v>2391.2428571428504</v>
      </c>
      <c r="K43" s="424"/>
      <c r="L43" s="374"/>
      <c r="N43" s="379"/>
    </row>
    <row r="44" spans="1:14">
      <c r="A44" s="573" t="s">
        <v>238</v>
      </c>
      <c r="B44" s="574"/>
      <c r="C44" s="574"/>
      <c r="D44" s="518" t="s">
        <v>198</v>
      </c>
      <c r="E44" s="505">
        <f>'6'!F44</f>
        <v>0</v>
      </c>
      <c r="F44" s="505">
        <v>0</v>
      </c>
      <c r="G44" s="468">
        <f t="shared" si="3"/>
        <v>0</v>
      </c>
      <c r="H44" s="455">
        <f>G44+'6'!H44</f>
        <v>0</v>
      </c>
      <c r="I44" s="450"/>
      <c r="J44" s="547">
        <f>H44/DAY(B2)</f>
        <v>0</v>
      </c>
      <c r="K44" s="424"/>
      <c r="L44" s="374"/>
      <c r="N44" s="379"/>
    </row>
    <row r="45" spans="1:14">
      <c r="A45" s="573" t="s">
        <v>239</v>
      </c>
      <c r="B45" s="574"/>
      <c r="C45" s="574"/>
      <c r="D45" s="518" t="s">
        <v>198</v>
      </c>
      <c r="E45" s="505">
        <f>'6'!F45</f>
        <v>614</v>
      </c>
      <c r="F45" s="505">
        <v>614</v>
      </c>
      <c r="G45" s="468">
        <f t="shared" si="3"/>
        <v>0</v>
      </c>
      <c r="H45" s="455">
        <f>G45+'6'!H45</f>
        <v>0</v>
      </c>
      <c r="I45" s="450"/>
      <c r="J45" s="547">
        <f>H45/DAY(B2)</f>
        <v>0</v>
      </c>
      <c r="K45" s="424"/>
      <c r="L45" s="374"/>
      <c r="N45" s="379"/>
    </row>
    <row r="46" spans="1:14">
      <c r="A46" s="573" t="s">
        <v>240</v>
      </c>
      <c r="B46" s="574"/>
      <c r="C46" s="574"/>
      <c r="D46" s="518" t="s">
        <v>198</v>
      </c>
      <c r="E46" s="505">
        <f>'6'!F46</f>
        <v>187</v>
      </c>
      <c r="F46" s="505">
        <v>187</v>
      </c>
      <c r="G46" s="468">
        <f t="shared" si="3"/>
        <v>0</v>
      </c>
      <c r="H46" s="455">
        <f>G46+'6'!H46</f>
        <v>0</v>
      </c>
      <c r="I46" s="450"/>
      <c r="J46" s="547">
        <f>H46/DAY(B2)</f>
        <v>0</v>
      </c>
      <c r="K46" s="424"/>
      <c r="L46" s="374"/>
      <c r="N46" s="379"/>
    </row>
    <row r="47" spans="1:14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13084.529999999875</v>
      </c>
      <c r="H47" s="455">
        <f>G47+'6'!H47</f>
        <v>77036.479999999967</v>
      </c>
      <c r="I47" s="450"/>
      <c r="J47" s="547">
        <f>H47/DAY(B2)</f>
        <v>11005.211428571423</v>
      </c>
      <c r="K47" s="424"/>
      <c r="L47" s="374"/>
      <c r="N47" s="379"/>
    </row>
    <row r="48" spans="1:14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</row>
    <row r="49" spans="1:14">
      <c r="A49" s="573" t="s">
        <v>229</v>
      </c>
      <c r="B49" s="596"/>
      <c r="C49" s="596"/>
      <c r="D49" s="518" t="s">
        <v>198</v>
      </c>
      <c r="E49" s="505">
        <f>'6'!F49</f>
        <v>260732.13</v>
      </c>
      <c r="F49" s="505">
        <v>260732.13</v>
      </c>
      <c r="G49" s="468">
        <f t="shared" ref="G49:G58" si="4">F49-E49</f>
        <v>0</v>
      </c>
      <c r="H49" s="455">
        <f>G49+'6'!H49</f>
        <v>0.13000000000465661</v>
      </c>
      <c r="I49" s="450"/>
      <c r="J49" s="547">
        <f>H49/DAY(B2)</f>
        <v>1.85714285720938E-2</v>
      </c>
      <c r="K49" s="424"/>
      <c r="L49" s="374"/>
      <c r="N49" s="379"/>
    </row>
    <row r="50" spans="1:14">
      <c r="A50" s="573" t="s">
        <v>243</v>
      </c>
      <c r="B50" s="596"/>
      <c r="C50" s="596"/>
      <c r="D50" s="518" t="s">
        <v>198</v>
      </c>
      <c r="E50" s="505">
        <f>'6'!F50</f>
        <v>508527.71</v>
      </c>
      <c r="F50" s="505">
        <v>509372.19</v>
      </c>
      <c r="G50" s="468">
        <f t="shared" si="4"/>
        <v>844.47999999998137</v>
      </c>
      <c r="H50" s="455">
        <f>G50+'6'!H50</f>
        <v>6836.1900000000023</v>
      </c>
      <c r="I50" s="450"/>
      <c r="J50" s="547">
        <f>H50/DAY(B2)</f>
        <v>976.59857142857174</v>
      </c>
      <c r="K50" s="424"/>
      <c r="L50" s="374"/>
      <c r="N50" s="379"/>
    </row>
    <row r="51" spans="1:14">
      <c r="A51" s="573" t="s">
        <v>231</v>
      </c>
      <c r="B51" s="596"/>
      <c r="C51" s="596"/>
      <c r="D51" s="518" t="s">
        <v>198</v>
      </c>
      <c r="E51" s="505">
        <f>'6'!F51</f>
        <v>144639.87</v>
      </c>
      <c r="F51" s="505">
        <v>144639.87</v>
      </c>
      <c r="G51" s="468">
        <f t="shared" si="4"/>
        <v>0</v>
      </c>
      <c r="H51" s="455">
        <f>G51+'6'!H51</f>
        <v>-0.13000000000465661</v>
      </c>
      <c r="I51" s="450"/>
      <c r="J51" s="547">
        <f>H51/DAY(B2)</f>
        <v>-1.85714285720938E-2</v>
      </c>
      <c r="K51" s="424"/>
      <c r="L51" s="374"/>
      <c r="N51" s="379"/>
    </row>
    <row r="52" spans="1:14">
      <c r="A52" s="573" t="s">
        <v>244</v>
      </c>
      <c r="B52" s="596"/>
      <c r="C52" s="596"/>
      <c r="D52" s="518" t="s">
        <v>198</v>
      </c>
      <c r="E52" s="505">
        <f>'6'!F52</f>
        <v>539606.06999999995</v>
      </c>
      <c r="F52" s="505">
        <v>539606.06999999995</v>
      </c>
      <c r="G52" s="468">
        <f t="shared" si="4"/>
        <v>0</v>
      </c>
      <c r="H52" s="455">
        <f>G52+'6'!H52</f>
        <v>6.9999999948777258E-2</v>
      </c>
      <c r="I52" s="450"/>
      <c r="J52" s="547">
        <f>H52/DAY(B2)</f>
        <v>9.9999999926824647E-3</v>
      </c>
      <c r="K52" s="424"/>
      <c r="L52" s="374"/>
      <c r="N52" s="379"/>
    </row>
    <row r="53" spans="1:14">
      <c r="A53" s="573" t="s">
        <v>233</v>
      </c>
      <c r="B53" s="596"/>
      <c r="C53" s="596"/>
      <c r="D53" s="518" t="s">
        <v>198</v>
      </c>
      <c r="E53" s="505">
        <f>'6'!F53</f>
        <v>434231.67</v>
      </c>
      <c r="F53" s="505">
        <v>434231.67</v>
      </c>
      <c r="G53" s="468">
        <f t="shared" si="4"/>
        <v>0</v>
      </c>
      <c r="H53" s="455">
        <f>G53+'6'!H53</f>
        <v>1663.6699999999837</v>
      </c>
      <c r="I53" s="450"/>
      <c r="J53" s="547">
        <f>H53/DAY(B2)</f>
        <v>237.66714285714053</v>
      </c>
      <c r="K53" s="424"/>
      <c r="L53" s="374"/>
      <c r="N53" s="379"/>
    </row>
    <row r="54" spans="1:14">
      <c r="A54" s="573" t="s">
        <v>245</v>
      </c>
      <c r="B54" s="596"/>
      <c r="C54" s="596"/>
      <c r="D54" s="518" t="s">
        <v>198</v>
      </c>
      <c r="E54" s="505">
        <f>'6'!F54</f>
        <v>14253.88</v>
      </c>
      <c r="F54" s="505">
        <v>14337.14</v>
      </c>
      <c r="G54" s="468">
        <f t="shared" si="4"/>
        <v>83.260000000000218</v>
      </c>
      <c r="H54" s="455">
        <f>G54+'6'!H54</f>
        <v>587.13999999999942</v>
      </c>
      <c r="I54" s="450"/>
      <c r="J54" s="547">
        <f>H54/DAY(B2)</f>
        <v>83.877142857142772</v>
      </c>
      <c r="K54" s="424"/>
      <c r="L54" s="374"/>
      <c r="N54" s="379"/>
    </row>
    <row r="55" spans="1:14">
      <c r="A55" s="573" t="s">
        <v>246</v>
      </c>
      <c r="B55" s="596"/>
      <c r="C55" s="596"/>
      <c r="D55" s="518" t="s">
        <v>198</v>
      </c>
      <c r="E55" s="505">
        <f>'6'!F55</f>
        <v>68110.679999999993</v>
      </c>
      <c r="F55" s="649">
        <v>68136.52</v>
      </c>
      <c r="G55" s="648">
        <f t="shared" si="4"/>
        <v>25.840000000011059</v>
      </c>
      <c r="H55" s="701">
        <f>G55+'6'!H55</f>
        <v>25.520000000004075</v>
      </c>
      <c r="I55" s="702"/>
      <c r="J55" s="703">
        <f>H55/DAY(B2)</f>
        <v>3.6457142857148677</v>
      </c>
      <c r="K55" s="424"/>
      <c r="L55" s="374"/>
      <c r="N55" s="379"/>
    </row>
    <row r="56" spans="1:14">
      <c r="A56" s="582" t="s">
        <v>247</v>
      </c>
      <c r="B56" s="1060"/>
      <c r="C56" s="1060"/>
      <c r="D56" s="519" t="s">
        <v>248</v>
      </c>
      <c r="E56" s="505">
        <f>'6'!F56</f>
        <v>646184.27</v>
      </c>
      <c r="F56" s="1029">
        <v>648795.11</v>
      </c>
      <c r="G56" s="769">
        <f t="shared" si="4"/>
        <v>2610.8399999999674</v>
      </c>
      <c r="H56" s="455">
        <f>G56+'6'!H56</f>
        <v>31597.109999999986</v>
      </c>
      <c r="I56" s="450"/>
      <c r="J56" s="547">
        <f>H56/DAY(B2)</f>
        <v>4513.8728571428555</v>
      </c>
      <c r="K56" s="423"/>
      <c r="L56" s="374"/>
      <c r="N56" s="379"/>
    </row>
    <row r="57" spans="1:14">
      <c r="A57" s="573" t="s">
        <v>237</v>
      </c>
      <c r="B57" s="596"/>
      <c r="C57" s="596"/>
      <c r="D57" s="518" t="s">
        <v>198</v>
      </c>
      <c r="E57" s="505">
        <f>'6'!F57</f>
        <v>7711</v>
      </c>
      <c r="F57" s="505">
        <v>7711</v>
      </c>
      <c r="G57" s="468">
        <f t="shared" si="4"/>
        <v>0</v>
      </c>
      <c r="H57" s="455">
        <f>G57+'6'!H57</f>
        <v>0</v>
      </c>
      <c r="I57" s="450"/>
      <c r="J57" s="547">
        <f>H57/DAY(B2)</f>
        <v>0</v>
      </c>
      <c r="K57" s="424"/>
      <c r="L57" s="374"/>
      <c r="N57" s="379"/>
    </row>
    <row r="58" spans="1:14">
      <c r="A58" s="573" t="s">
        <v>249</v>
      </c>
      <c r="B58" s="596"/>
      <c r="C58" s="596"/>
      <c r="D58" s="518" t="s">
        <v>198</v>
      </c>
      <c r="E58" s="505">
        <f>'6'!F58</f>
        <v>50233.39</v>
      </c>
      <c r="F58" s="649">
        <v>50479.54</v>
      </c>
      <c r="G58" s="468">
        <f t="shared" si="4"/>
        <v>246.15000000000146</v>
      </c>
      <c r="H58" s="455">
        <f>G58+'6'!H58</f>
        <v>854.54000000000087</v>
      </c>
      <c r="I58" s="450"/>
      <c r="J58" s="547">
        <f>H58/DAY(B2)</f>
        <v>122.07714285714299</v>
      </c>
      <c r="K58" s="424"/>
      <c r="L58" s="374"/>
      <c r="N58" s="379"/>
    </row>
    <row r="59" spans="1:14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3810.5699999999615</v>
      </c>
      <c r="H59" s="455">
        <f>G59+'6'!H59</f>
        <v>41564.239999999925</v>
      </c>
      <c r="I59" s="450">
        <f>G7-G60</f>
        <v>341.94000000019878</v>
      </c>
      <c r="J59" s="547">
        <f>H59/DAY(B2)</f>
        <v>5937.7485714285604</v>
      </c>
      <c r="K59" s="424"/>
      <c r="L59" s="374"/>
      <c r="N59" s="379"/>
    </row>
    <row r="60" spans="1:14">
      <c r="A60" s="573"/>
      <c r="B60" s="574"/>
      <c r="C60" s="574"/>
      <c r="D60" s="506" t="s">
        <v>250</v>
      </c>
      <c r="E60" s="506"/>
      <c r="F60" s="506"/>
      <c r="G60" s="476">
        <f>G47+G59</f>
        <v>16895.099999999838</v>
      </c>
      <c r="H60" s="455">
        <f>G60+'6'!H60</f>
        <v>118600.71999999988</v>
      </c>
      <c r="I60" s="450">
        <f>G13-G60</f>
        <v>54.900000000161526</v>
      </c>
      <c r="J60" s="547">
        <f>H60/DAY(B2)</f>
        <v>16942.959999999985</v>
      </c>
      <c r="K60" s="424"/>
      <c r="L60" s="374"/>
      <c r="N60" s="379"/>
    </row>
    <row r="61" spans="1:14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</row>
    <row r="62" spans="1:14">
      <c r="A62" s="598" t="s">
        <v>252</v>
      </c>
      <c r="B62" s="599"/>
      <c r="C62" s="599"/>
      <c r="D62" s="506" t="s">
        <v>253</v>
      </c>
      <c r="E62" s="509">
        <f>'6'!F62</f>
        <v>0</v>
      </c>
      <c r="F62" s="509">
        <v>0</v>
      </c>
      <c r="G62" s="468">
        <f t="shared" ref="G62:G69" si="5">F62-E62</f>
        <v>0</v>
      </c>
      <c r="H62" s="455">
        <f>G62+'6'!H62</f>
        <v>1.9999999967694748E-3</v>
      </c>
      <c r="I62" s="510"/>
      <c r="J62" s="547">
        <f>H62/DAY(B2)</f>
        <v>2.8571428525278212E-4</v>
      </c>
      <c r="K62" s="424"/>
      <c r="L62" s="374"/>
      <c r="N62" s="379"/>
    </row>
    <row r="63" spans="1:14">
      <c r="A63" s="598" t="s">
        <v>254</v>
      </c>
      <c r="B63" s="599"/>
      <c r="C63" s="599"/>
      <c r="D63" s="506" t="s">
        <v>253</v>
      </c>
      <c r="E63" s="509">
        <f>'6'!F63</f>
        <v>0</v>
      </c>
      <c r="F63" s="509">
        <v>0</v>
      </c>
      <c r="G63" s="468">
        <f t="shared" si="5"/>
        <v>0</v>
      </c>
      <c r="H63" s="455">
        <f>G63+'6'!H63</f>
        <v>0</v>
      </c>
      <c r="I63" s="510"/>
      <c r="J63" s="547">
        <f>H63/DAY(B2)</f>
        <v>0</v>
      </c>
      <c r="K63" s="424"/>
      <c r="L63" s="374"/>
      <c r="N63" s="379"/>
    </row>
    <row r="64" spans="1:14" ht="27.75">
      <c r="A64" s="1450" t="s">
        <v>161</v>
      </c>
      <c r="B64" s="1451"/>
      <c r="C64" s="1452"/>
      <c r="D64" s="518" t="s">
        <v>253</v>
      </c>
      <c r="E64" s="479">
        <f>'6'!F64</f>
        <v>161236.62</v>
      </c>
      <c r="F64" s="473">
        <v>161599.64000000001</v>
      </c>
      <c r="G64" s="468">
        <f t="shared" si="5"/>
        <v>363.02000000001863</v>
      </c>
      <c r="H64" s="455">
        <f>G64+'6'!H64</f>
        <v>1667.640000000014</v>
      </c>
      <c r="I64" s="475"/>
      <c r="J64" s="547">
        <f>H64/DAY(B2)</f>
        <v>238.23428571428772</v>
      </c>
      <c r="K64" s="424"/>
      <c r="L64" s="374"/>
      <c r="N64" s="379"/>
    </row>
    <row r="65" spans="1:14" ht="27.75">
      <c r="A65" s="1450" t="s">
        <v>162</v>
      </c>
      <c r="B65" s="1451"/>
      <c r="C65" s="1452"/>
      <c r="D65" s="518" t="s">
        <v>253</v>
      </c>
      <c r="E65" s="479">
        <f>'6'!F65</f>
        <v>162454.46</v>
      </c>
      <c r="F65" s="647">
        <v>162666.95000000001</v>
      </c>
      <c r="G65" s="468">
        <f t="shared" si="5"/>
        <v>212.49000000001979</v>
      </c>
      <c r="H65" s="455">
        <f>G65+'6'!H65</f>
        <v>1668.9500000000116</v>
      </c>
      <c r="I65" s="484"/>
      <c r="J65" s="547">
        <f>H65/DAY(B2)</f>
        <v>238.42142857143023</v>
      </c>
      <c r="K65" s="424"/>
      <c r="L65" s="374"/>
      <c r="N65" s="379"/>
    </row>
    <row r="66" spans="1:14" ht="27.75">
      <c r="A66" s="1450" t="s">
        <v>255</v>
      </c>
      <c r="B66" s="1451"/>
      <c r="C66" s="1452"/>
      <c r="D66" s="518" t="s">
        <v>253</v>
      </c>
      <c r="E66" s="479">
        <f>'6'!F66</f>
        <v>58595.66</v>
      </c>
      <c r="F66" s="473">
        <v>58981.97</v>
      </c>
      <c r="G66" s="468">
        <f t="shared" si="5"/>
        <v>386.30999999999767</v>
      </c>
      <c r="H66" s="455">
        <f>G66+'6'!H66</f>
        <v>2176.9700000000012</v>
      </c>
      <c r="I66" s="475"/>
      <c r="J66" s="547">
        <f>H66/DAY(B2)</f>
        <v>310.99571428571443</v>
      </c>
      <c r="K66" s="424"/>
      <c r="L66" s="374"/>
      <c r="N66" s="379"/>
    </row>
    <row r="67" spans="1:14" ht="27.75">
      <c r="A67" s="1450" t="s">
        <v>157</v>
      </c>
      <c r="B67" s="1451"/>
      <c r="C67" s="1452"/>
      <c r="D67" s="518" t="s">
        <v>253</v>
      </c>
      <c r="E67" s="479">
        <f>'6'!F67</f>
        <v>254561.33</v>
      </c>
      <c r="F67" s="473">
        <v>254935.67</v>
      </c>
      <c r="G67" s="468">
        <f t="shared" si="5"/>
        <v>374.34000000002561</v>
      </c>
      <c r="H67" s="455">
        <f>G67+'6'!H67</f>
        <v>2743.6700000000128</v>
      </c>
      <c r="I67" s="484"/>
      <c r="J67" s="547">
        <f>H67/DAY(B2)</f>
        <v>391.95285714285899</v>
      </c>
      <c r="K67" s="425"/>
      <c r="L67" s="374"/>
      <c r="N67" s="379"/>
    </row>
    <row r="68" spans="1:14" ht="27.75">
      <c r="A68" s="1450" t="s">
        <v>164</v>
      </c>
      <c r="B68" s="1451"/>
      <c r="C68" s="1452"/>
      <c r="D68" s="518" t="s">
        <v>253</v>
      </c>
      <c r="E68" s="479">
        <f>'6'!F68</f>
        <v>85321</v>
      </c>
      <c r="F68" s="473">
        <v>85321</v>
      </c>
      <c r="G68" s="468">
        <f t="shared" si="5"/>
        <v>0</v>
      </c>
      <c r="H68" s="455">
        <f>G68+'6'!H68</f>
        <v>0</v>
      </c>
      <c r="I68" s="511"/>
      <c r="J68" s="547">
        <f>H68/DAY(B2)</f>
        <v>0</v>
      </c>
      <c r="K68" s="426"/>
      <c r="L68" s="374"/>
      <c r="N68" s="379"/>
    </row>
    <row r="69" spans="1:14" ht="27.75">
      <c r="A69" s="1450" t="s">
        <v>165</v>
      </c>
      <c r="B69" s="1451"/>
      <c r="C69" s="1452"/>
      <c r="D69" s="518" t="s">
        <v>253</v>
      </c>
      <c r="E69" s="479">
        <f>'6'!F69</f>
        <v>82405.13</v>
      </c>
      <c r="F69" s="473">
        <v>82527.33</v>
      </c>
      <c r="G69" s="468">
        <f t="shared" si="5"/>
        <v>122.19999999999709</v>
      </c>
      <c r="H69" s="455">
        <f>G69+'6'!H69</f>
        <v>778.33000000000175</v>
      </c>
      <c r="I69" s="511"/>
      <c r="J69" s="547">
        <f>H69/DAY(B2)</f>
        <v>111.19000000000025</v>
      </c>
      <c r="K69" s="427"/>
      <c r="L69" s="374"/>
      <c r="N69" s="379"/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N70" s="379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</row>
    <row r="72" spans="1:14" ht="27.75">
      <c r="A72" s="1450" t="s">
        <v>258</v>
      </c>
      <c r="B72" s="1451"/>
      <c r="C72" s="1452"/>
      <c r="D72" s="518" t="s">
        <v>253</v>
      </c>
      <c r="E72" s="514">
        <f>'6'!F72</f>
        <v>855922</v>
      </c>
      <c r="F72" s="650">
        <v>855939</v>
      </c>
      <c r="G72" s="468">
        <f t="shared" ref="G72:G84" si="6">F72-E72</f>
        <v>17</v>
      </c>
      <c r="H72" s="455">
        <f>G72+'6'!H72</f>
        <v>96</v>
      </c>
      <c r="I72" s="475"/>
      <c r="J72" s="547">
        <f>H72/DAY(B2)</f>
        <v>13.714285714285714</v>
      </c>
      <c r="K72" s="427"/>
      <c r="L72" s="374"/>
      <c r="N72" s="379"/>
    </row>
    <row r="73" spans="1:14" ht="27.75">
      <c r="A73" s="1450" t="s">
        <v>259</v>
      </c>
      <c r="B73" s="1451"/>
      <c r="C73" s="1452"/>
      <c r="D73" s="518" t="s">
        <v>253</v>
      </c>
      <c r="E73" s="514">
        <f>'6'!F73</f>
        <v>885944</v>
      </c>
      <c r="F73" s="651">
        <v>885945</v>
      </c>
      <c r="G73" s="648">
        <f t="shared" si="6"/>
        <v>1</v>
      </c>
      <c r="H73" s="455">
        <f>G73+'6'!H73</f>
        <v>8</v>
      </c>
      <c r="I73" s="475"/>
      <c r="J73" s="547">
        <f>H73/DAY(B2)</f>
        <v>1.1428571428571428</v>
      </c>
      <c r="K73" s="426"/>
      <c r="L73" s="374"/>
      <c r="N73" s="379"/>
    </row>
    <row r="74" spans="1:14" ht="27.75">
      <c r="A74" s="1450" t="s">
        <v>260</v>
      </c>
      <c r="B74" s="1451"/>
      <c r="C74" s="1452"/>
      <c r="D74" s="518" t="s">
        <v>253</v>
      </c>
      <c r="E74" s="514">
        <f>'6'!F74</f>
        <v>2599.96</v>
      </c>
      <c r="F74" s="650">
        <v>2599.96</v>
      </c>
      <c r="G74" s="468">
        <f t="shared" si="6"/>
        <v>0</v>
      </c>
      <c r="H74" s="455">
        <f>G74+'6'!H74</f>
        <v>13.960000000000036</v>
      </c>
      <c r="I74" s="475"/>
      <c r="J74" s="547">
        <f>H74/DAY(B2)</f>
        <v>1.9942857142857195</v>
      </c>
      <c r="K74" s="427"/>
      <c r="L74" s="374"/>
      <c r="N74" s="379"/>
    </row>
    <row r="75" spans="1:14" ht="27.75">
      <c r="A75" s="1499" t="s">
        <v>261</v>
      </c>
      <c r="B75" s="1500"/>
      <c r="C75" s="1501"/>
      <c r="D75" s="518" t="s">
        <v>253</v>
      </c>
      <c r="E75" s="514">
        <f>'6'!F75</f>
        <v>13034.7</v>
      </c>
      <c r="F75" s="651">
        <v>13112.68</v>
      </c>
      <c r="G75" s="468">
        <f t="shared" si="6"/>
        <v>77.979999999999563</v>
      </c>
      <c r="H75" s="455">
        <f>G75+'6'!H75</f>
        <v>443.68000000000029</v>
      </c>
      <c r="I75" s="475"/>
      <c r="J75" s="547">
        <f>H75/DAY(B2)</f>
        <v>63.382857142857183</v>
      </c>
      <c r="K75" s="426"/>
      <c r="L75" s="374"/>
      <c r="N75" s="379"/>
    </row>
    <row r="76" spans="1:14" ht="27.75">
      <c r="A76" s="1499" t="s">
        <v>262</v>
      </c>
      <c r="B76" s="1500"/>
      <c r="C76" s="1501"/>
      <c r="D76" s="518" t="s">
        <v>253</v>
      </c>
      <c r="E76" s="514">
        <f>'6'!F76</f>
        <v>7776.46</v>
      </c>
      <c r="F76" s="651">
        <v>7837</v>
      </c>
      <c r="G76" s="468">
        <f t="shared" si="6"/>
        <v>60.539999999999964</v>
      </c>
      <c r="H76" s="455">
        <f>G76+'6'!H76</f>
        <v>418</v>
      </c>
      <c r="I76" s="500"/>
      <c r="J76" s="547">
        <f>H76/DAY(B2)</f>
        <v>59.714285714285715</v>
      </c>
      <c r="K76" s="426"/>
      <c r="L76" s="374"/>
      <c r="N76" s="379"/>
    </row>
    <row r="77" spans="1:14" ht="27.75">
      <c r="A77" s="1450" t="s">
        <v>263</v>
      </c>
      <c r="B77" s="1451"/>
      <c r="C77" s="1452"/>
      <c r="D77" s="518" t="s">
        <v>253</v>
      </c>
      <c r="E77" s="514">
        <f>'6'!F77</f>
        <v>703136</v>
      </c>
      <c r="F77" s="651">
        <v>703182</v>
      </c>
      <c r="G77" s="648">
        <f t="shared" si="6"/>
        <v>46</v>
      </c>
      <c r="H77" s="455">
        <f>G77+'6'!H77</f>
        <v>343</v>
      </c>
      <c r="I77" s="500"/>
      <c r="J77" s="547">
        <f>H77/DAY(B2)</f>
        <v>49</v>
      </c>
      <c r="K77" s="426"/>
      <c r="L77" s="374"/>
      <c r="N77" s="379"/>
    </row>
    <row r="78" spans="1:14" ht="27.75">
      <c r="A78" s="1395" t="s">
        <v>264</v>
      </c>
      <c r="B78" s="1387"/>
      <c r="C78" s="1387"/>
      <c r="D78" s="518" t="s">
        <v>253</v>
      </c>
      <c r="E78" s="514">
        <f>'6'!F78</f>
        <v>673546</v>
      </c>
      <c r="F78" s="652">
        <v>673645</v>
      </c>
      <c r="G78" s="468">
        <f t="shared" si="6"/>
        <v>99</v>
      </c>
      <c r="H78" s="455">
        <f>G78+'6'!H78</f>
        <v>613</v>
      </c>
      <c r="I78" s="500"/>
      <c r="J78" s="547">
        <f>H78/DAY(B2)</f>
        <v>87.571428571428569</v>
      </c>
      <c r="K78" s="426"/>
      <c r="L78" s="374"/>
      <c r="N78" s="379"/>
    </row>
    <row r="79" spans="1:14" ht="27.75">
      <c r="A79" s="1499" t="s">
        <v>151</v>
      </c>
      <c r="B79" s="1500"/>
      <c r="C79" s="1501"/>
      <c r="D79" s="519" t="s">
        <v>253</v>
      </c>
      <c r="E79" s="514">
        <f>'6'!F79</f>
        <v>831946</v>
      </c>
      <c r="F79" s="650">
        <v>832086</v>
      </c>
      <c r="G79" s="468">
        <f t="shared" si="6"/>
        <v>140</v>
      </c>
      <c r="H79" s="455">
        <f>G79+'6'!H79</f>
        <v>1076</v>
      </c>
      <c r="I79" s="500"/>
      <c r="J79" s="547">
        <f>H79/DAY(B2)</f>
        <v>153.71428571428572</v>
      </c>
      <c r="K79" s="426"/>
      <c r="L79" s="374"/>
      <c r="N79" s="379"/>
    </row>
    <row r="80" spans="1:14" ht="27.75">
      <c r="A80" s="1499" t="s">
        <v>265</v>
      </c>
      <c r="B80" s="1500"/>
      <c r="C80" s="1501"/>
      <c r="D80" s="519" t="s">
        <v>253</v>
      </c>
      <c r="E80" s="514">
        <f>'6'!F80</f>
        <v>530011.04</v>
      </c>
      <c r="F80" s="651">
        <v>530345</v>
      </c>
      <c r="G80" s="468">
        <f t="shared" si="6"/>
        <v>333.95999999996275</v>
      </c>
      <c r="H80" s="455">
        <f>G80+'6'!H80</f>
        <v>2687</v>
      </c>
      <c r="I80" s="500"/>
      <c r="J80" s="547">
        <f>H80/DAY(B2)</f>
        <v>383.85714285714283</v>
      </c>
      <c r="K80" s="426"/>
      <c r="L80" s="374"/>
      <c r="N80" s="379"/>
    </row>
    <row r="81" spans="1:15" ht="27.75">
      <c r="A81" s="1499" t="s">
        <v>266</v>
      </c>
      <c r="B81" s="1500"/>
      <c r="C81" s="1501"/>
      <c r="D81" s="519" t="s">
        <v>253</v>
      </c>
      <c r="E81" s="514">
        <f>'6'!F81</f>
        <v>639443.31999999995</v>
      </c>
      <c r="F81" s="651">
        <v>639534</v>
      </c>
      <c r="G81" s="468">
        <f t="shared" si="6"/>
        <v>90.680000000051223</v>
      </c>
      <c r="H81" s="455">
        <f>G81+'6'!H81</f>
        <v>636</v>
      </c>
      <c r="I81" s="500"/>
      <c r="J81" s="547">
        <f>H81/DAY(B2)</f>
        <v>90.857142857142861</v>
      </c>
      <c r="K81" s="426"/>
      <c r="L81" s="374"/>
      <c r="N81" s="379"/>
    </row>
    <row r="82" spans="1:15" ht="27.75">
      <c r="A82" s="1499" t="s">
        <v>267</v>
      </c>
      <c r="B82" s="1500"/>
      <c r="C82" s="1501"/>
      <c r="D82" s="480" t="s">
        <v>198</v>
      </c>
      <c r="E82" s="514">
        <f>'6'!F82</f>
        <v>108252.88</v>
      </c>
      <c r="F82" s="647">
        <v>108264</v>
      </c>
      <c r="G82" s="468">
        <f t="shared" si="6"/>
        <v>11.119999999995343</v>
      </c>
      <c r="H82" s="455">
        <f>G82+'6'!H82</f>
        <v>106</v>
      </c>
      <c r="I82" s="481"/>
      <c r="J82" s="547">
        <f>H82/DAY(B2)</f>
        <v>15.142857142857142</v>
      </c>
      <c r="K82" s="426"/>
      <c r="L82" s="374"/>
      <c r="N82" s="379"/>
    </row>
    <row r="83" spans="1:15" ht="27.75">
      <c r="A83" s="1499" t="s">
        <v>268</v>
      </c>
      <c r="B83" s="1500"/>
      <c r="C83" s="1501"/>
      <c r="D83" s="615" t="s">
        <v>198</v>
      </c>
      <c r="E83" s="514">
        <f>'6'!F83</f>
        <v>21756</v>
      </c>
      <c r="F83" s="615">
        <v>21938</v>
      </c>
      <c r="G83" s="468">
        <f t="shared" si="6"/>
        <v>182</v>
      </c>
      <c r="H83" s="455">
        <f>G83+'6'!H83</f>
        <v>1432</v>
      </c>
      <c r="I83" s="476"/>
      <c r="J83" s="547">
        <f>H83/DAY(B2)</f>
        <v>204.57142857142858</v>
      </c>
      <c r="K83" s="425"/>
      <c r="L83" s="374"/>
      <c r="N83" s="379"/>
    </row>
    <row r="84" spans="1:15">
      <c r="A84" s="1396" t="s">
        <v>166</v>
      </c>
      <c r="B84" s="566"/>
      <c r="C84" s="566"/>
      <c r="D84" s="473" t="s">
        <v>198</v>
      </c>
      <c r="E84" s="514">
        <f>'6'!F84</f>
        <v>505283</v>
      </c>
      <c r="F84" s="622">
        <v>506046</v>
      </c>
      <c r="G84" s="468">
        <f t="shared" si="6"/>
        <v>763</v>
      </c>
      <c r="H84" s="455">
        <f>G84+'6'!H84</f>
        <v>5752</v>
      </c>
      <c r="I84" s="476"/>
      <c r="J84" s="547">
        <f>H84/DAY(B2)</f>
        <v>821.71428571428567</v>
      </c>
      <c r="K84" s="377"/>
      <c r="L84" s="374"/>
      <c r="N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1822.2800000000088</v>
      </c>
      <c r="H85" s="455">
        <f>G85+'6'!H85</f>
        <v>13624.64</v>
      </c>
      <c r="I85" s="476"/>
      <c r="J85" s="547">
        <f>H85/DAY(B2)</f>
        <v>1946.3771428571429</v>
      </c>
      <c r="K85" s="377"/>
      <c r="L85" s="375"/>
      <c r="N85" s="379"/>
    </row>
    <row r="86" spans="1:15" s="731" customFormat="1">
      <c r="A86" s="726" t="s">
        <v>269</v>
      </c>
      <c r="B86" s="727"/>
      <c r="C86" s="727"/>
      <c r="D86" s="647" t="s">
        <v>248</v>
      </c>
      <c r="E86" s="622">
        <f>'6'!F86</f>
        <v>461126.64</v>
      </c>
      <c r="F86" s="643">
        <v>461154</v>
      </c>
      <c r="G86" s="701">
        <f t="shared" ref="G86:G91" si="7">F86-E86</f>
        <v>27.35999999998603</v>
      </c>
      <c r="H86" s="455">
        <f>G86+'6'!H86</f>
        <v>219</v>
      </c>
      <c r="I86" s="648"/>
      <c r="J86" s="703">
        <f>H86/DAY(B2)</f>
        <v>31.285714285714285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647" t="s">
        <v>248</v>
      </c>
      <c r="E87" s="622">
        <f>'6'!F87</f>
        <v>81482.3</v>
      </c>
      <c r="F87" s="643">
        <v>81504.800000000003</v>
      </c>
      <c r="G87" s="701">
        <f t="shared" si="7"/>
        <v>22.5</v>
      </c>
      <c r="H87" s="455">
        <f>G87+'6'!H87</f>
        <v>129.80000000000291</v>
      </c>
      <c r="I87" s="648"/>
      <c r="J87" s="703">
        <f>H87/DAY(B2)</f>
        <v>18.54285714285756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647" t="s">
        <v>248</v>
      </c>
      <c r="E88" s="622">
        <f>'6'!F88</f>
        <v>153356.99</v>
      </c>
      <c r="F88" s="643">
        <v>153380</v>
      </c>
      <c r="G88" s="701">
        <f t="shared" si="7"/>
        <v>23.010000000009313</v>
      </c>
      <c r="H88" s="455">
        <f>G88+'6'!H88</f>
        <v>316</v>
      </c>
      <c r="I88" s="648"/>
      <c r="J88" s="703">
        <f>H88/DAY(B2)</f>
        <v>45.142857142857146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647" t="s">
        <v>248</v>
      </c>
      <c r="E89" s="622">
        <f>'6'!F89</f>
        <v>65251.8</v>
      </c>
      <c r="F89" s="643">
        <v>65284.6</v>
      </c>
      <c r="G89" s="701">
        <f t="shared" si="7"/>
        <v>32.799999999995634</v>
      </c>
      <c r="H89" s="455">
        <f>G89+'6'!H89</f>
        <v>110</v>
      </c>
      <c r="I89" s="648"/>
      <c r="J89" s="703">
        <f>H89/DAY(B2)</f>
        <v>15.714285714285714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647" t="s">
        <v>248</v>
      </c>
      <c r="E90" s="622">
        <f>'6'!F90</f>
        <v>3274.8</v>
      </c>
      <c r="F90" s="643">
        <v>3277.4</v>
      </c>
      <c r="G90" s="701">
        <f t="shared" si="7"/>
        <v>2.5999999999999091</v>
      </c>
      <c r="H90" s="455">
        <f>G90+'6'!H90</f>
        <v>3.8000000000001819</v>
      </c>
      <c r="I90" s="648"/>
      <c r="J90" s="703">
        <f>H90/DAY(B2)</f>
        <v>0.5428571428571688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22">
        <f>'6'!F91</f>
        <v>28070.400000000001</v>
      </c>
      <c r="F91" s="643">
        <v>28076</v>
      </c>
      <c r="G91" s="701">
        <f t="shared" si="7"/>
        <v>5.5999999999985448</v>
      </c>
      <c r="H91" s="455">
        <f>G91+'6'!H91</f>
        <v>14.694400000000314</v>
      </c>
      <c r="I91" s="648"/>
      <c r="J91" s="703">
        <f>H91/DAY(B2)</f>
        <v>2.099200000000045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'6'!F93</f>
        <v>245745</v>
      </c>
      <c r="F93" s="480">
        <v>245802</v>
      </c>
      <c r="G93" s="468">
        <f t="shared" ref="G93:G94" si="8">F93-E93</f>
        <v>57</v>
      </c>
      <c r="H93" s="455">
        <f>G93+'6'!H93</f>
        <v>314</v>
      </c>
      <c r="I93" s="475"/>
      <c r="J93" s="547">
        <f>H93/DAY(B2)</f>
        <v>44.857142857142854</v>
      </c>
      <c r="K93" s="425"/>
      <c r="L93" s="374"/>
      <c r="N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'6'!F94</f>
        <v>186652</v>
      </c>
      <c r="F94" s="480">
        <v>186732</v>
      </c>
      <c r="G94" s="468">
        <f t="shared" si="8"/>
        <v>80</v>
      </c>
      <c r="H94" s="455">
        <f>G94+'6'!H94</f>
        <v>611</v>
      </c>
      <c r="I94" s="475"/>
      <c r="J94" s="547">
        <f>H94/DAY(B2)</f>
        <v>87.285714285714292</v>
      </c>
      <c r="K94" s="377"/>
      <c r="L94" s="374"/>
      <c r="N94" s="379"/>
    </row>
    <row r="95" spans="1:15">
      <c r="A95" s="1447" t="s">
        <v>276</v>
      </c>
      <c r="B95" s="1448"/>
      <c r="C95" s="1449"/>
      <c r="D95" s="518"/>
      <c r="E95" s="479">
        <f>'6'!F95</f>
        <v>0</v>
      </c>
      <c r="F95" s="473"/>
      <c r="G95" s="468">
        <f>G93+G94</f>
        <v>137</v>
      </c>
      <c r="H95" s="455">
        <f>G95+'6'!H95</f>
        <v>849</v>
      </c>
      <c r="I95" s="475"/>
      <c r="J95" s="547">
        <f>H95/DAY(B2)</f>
        <v>121.28571428571429</v>
      </c>
      <c r="K95" s="377"/>
      <c r="L95" s="374"/>
      <c r="N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'6'!F96</f>
        <v>414580</v>
      </c>
      <c r="F96" s="473">
        <v>414647</v>
      </c>
      <c r="G96" s="468">
        <f t="shared" ref="G96:G101" si="9">F96-E96</f>
        <v>67</v>
      </c>
      <c r="H96" s="455">
        <f>G96+'6'!H96</f>
        <v>364</v>
      </c>
      <c r="I96" s="475"/>
      <c r="J96" s="547">
        <f>H96/DAY(B2)</f>
        <v>52</v>
      </c>
      <c r="K96" s="377"/>
      <c r="L96" s="374"/>
      <c r="N96" s="379"/>
    </row>
    <row r="97" spans="1:14" ht="27.75">
      <c r="A97" s="1392" t="s">
        <v>17</v>
      </c>
      <c r="B97" s="1393"/>
      <c r="C97" s="1393"/>
      <c r="D97" s="518" t="s">
        <v>209</v>
      </c>
      <c r="E97" s="479">
        <f>'6'!F97</f>
        <v>102724</v>
      </c>
      <c r="F97" s="473">
        <v>102731</v>
      </c>
      <c r="G97" s="468">
        <f t="shared" si="9"/>
        <v>7</v>
      </c>
      <c r="H97" s="455">
        <f>G97+'6'!H97</f>
        <v>83</v>
      </c>
      <c r="I97" s="475"/>
      <c r="J97" s="547">
        <f>H97/DAY(B2)</f>
        <v>11.857142857142858</v>
      </c>
      <c r="K97" s="423"/>
      <c r="L97" s="374"/>
      <c r="N97" s="379"/>
    </row>
    <row r="98" spans="1:14" ht="27.75">
      <c r="A98" s="1392" t="s">
        <v>18</v>
      </c>
      <c r="B98" s="1393"/>
      <c r="C98" s="1393"/>
      <c r="D98" s="518" t="s">
        <v>209</v>
      </c>
      <c r="E98" s="479">
        <f>'6'!F98</f>
        <v>98060</v>
      </c>
      <c r="F98" s="473">
        <v>98079</v>
      </c>
      <c r="G98" s="468">
        <f t="shared" si="9"/>
        <v>19</v>
      </c>
      <c r="H98" s="455">
        <f>G98+'6'!H98</f>
        <v>129</v>
      </c>
      <c r="I98" s="475"/>
      <c r="J98" s="547">
        <f>H98/DAY(B2)</f>
        <v>18.428571428571427</v>
      </c>
      <c r="K98" s="428"/>
      <c r="L98" s="374"/>
      <c r="N98" s="379"/>
    </row>
    <row r="99" spans="1:14" ht="27.75">
      <c r="A99" s="1392" t="s">
        <v>19</v>
      </c>
      <c r="B99" s="1393"/>
      <c r="C99" s="1393"/>
      <c r="D99" s="518" t="s">
        <v>209</v>
      </c>
      <c r="E99" s="479">
        <f>'6'!F99</f>
        <v>149903</v>
      </c>
      <c r="F99" s="473">
        <v>149905</v>
      </c>
      <c r="G99" s="468">
        <f t="shared" si="9"/>
        <v>2</v>
      </c>
      <c r="H99" s="455">
        <f>G99+'6'!H99</f>
        <v>53</v>
      </c>
      <c r="I99" s="475"/>
      <c r="J99" s="547">
        <f>H99/DAY(B2)</f>
        <v>7.5714285714285712</v>
      </c>
      <c r="K99" s="377"/>
      <c r="L99" s="374"/>
      <c r="N99" s="700"/>
    </row>
    <row r="100" spans="1:14" ht="27.75">
      <c r="A100" s="1392" t="s">
        <v>20</v>
      </c>
      <c r="B100" s="1393"/>
      <c r="C100" s="1393"/>
      <c r="D100" s="518" t="s">
        <v>209</v>
      </c>
      <c r="E100" s="479">
        <f>'6'!F100</f>
        <v>7454</v>
      </c>
      <c r="F100" s="473">
        <v>7465</v>
      </c>
      <c r="G100" s="468">
        <f t="shared" si="9"/>
        <v>11</v>
      </c>
      <c r="H100" s="455">
        <f>G100+'6'!H100</f>
        <v>96</v>
      </c>
      <c r="I100" s="475"/>
      <c r="J100" s="547">
        <f>H100/DAY(B2)</f>
        <v>13.714285714285714</v>
      </c>
      <c r="K100" s="377"/>
      <c r="L100" s="374"/>
      <c r="N100" s="379"/>
    </row>
    <row r="101" spans="1:14" ht="27.75">
      <c r="A101" s="1392" t="s">
        <v>21</v>
      </c>
      <c r="B101" s="1393"/>
      <c r="C101" s="1393"/>
      <c r="D101" s="518" t="s">
        <v>209</v>
      </c>
      <c r="E101" s="479">
        <f>'6'!F101</f>
        <v>5431</v>
      </c>
      <c r="F101" s="473">
        <v>5436</v>
      </c>
      <c r="G101" s="468">
        <f t="shared" si="9"/>
        <v>5</v>
      </c>
      <c r="H101" s="455">
        <f>G101+'6'!H101</f>
        <v>45</v>
      </c>
      <c r="I101" s="475"/>
      <c r="J101" s="547">
        <f>H101/DAY(B2)</f>
        <v>6.4285714285714288</v>
      </c>
      <c r="K101" s="377"/>
      <c r="L101" s="374"/>
      <c r="N101" s="379"/>
    </row>
    <row r="102" spans="1:14">
      <c r="A102" s="1447" t="s">
        <v>277</v>
      </c>
      <c r="B102" s="1448"/>
      <c r="C102" s="1449"/>
      <c r="D102" s="519"/>
      <c r="E102" s="519"/>
      <c r="F102" s="519"/>
      <c r="G102" s="520">
        <f>SUM(G96:G101)</f>
        <v>111</v>
      </c>
      <c r="H102" s="455">
        <f>G102+'6'!H102</f>
        <v>770</v>
      </c>
      <c r="I102" s="521"/>
      <c r="J102" s="547">
        <f>H102/DAY(B2)</f>
        <v>110</v>
      </c>
      <c r="K102" s="377"/>
      <c r="L102" s="374"/>
      <c r="N102" s="379"/>
    </row>
    <row r="103" spans="1:14" s="437" customFormat="1" ht="27">
      <c r="A103" s="602" t="s">
        <v>278</v>
      </c>
      <c r="B103" s="603"/>
      <c r="C103" s="603"/>
      <c r="D103" s="616"/>
      <c r="E103" s="523"/>
      <c r="F103" s="653"/>
      <c r="G103" s="524"/>
      <c r="H103" s="525"/>
      <c r="I103" s="526"/>
      <c r="J103" s="552"/>
      <c r="N103" s="379"/>
    </row>
    <row r="104" spans="1:14" s="437" customFormat="1" ht="27.75">
      <c r="A104" s="1456" t="s">
        <v>279</v>
      </c>
      <c r="B104" s="1457"/>
      <c r="C104" s="568"/>
      <c r="D104" s="617"/>
      <c r="E104" s="527"/>
      <c r="F104" s="654"/>
      <c r="G104" s="527"/>
      <c r="H104" s="528"/>
      <c r="I104" s="527"/>
      <c r="J104" s="553"/>
      <c r="N104" s="37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479">
        <f>'6'!F105</f>
        <v>7484</v>
      </c>
      <c r="F105" s="654">
        <v>7484</v>
      </c>
      <c r="G105" s="527">
        <f>F105-E105</f>
        <v>0</v>
      </c>
      <c r="H105" s="455">
        <f>G105+'6'!H105</f>
        <v>0</v>
      </c>
      <c r="I105" s="527"/>
      <c r="J105" s="553">
        <f>H105/DAY(B2)</f>
        <v>0</v>
      </c>
      <c r="N105" s="379"/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479">
        <f>'6'!F106</f>
        <v>35977</v>
      </c>
      <c r="F106" s="655">
        <v>35989</v>
      </c>
      <c r="G106" s="527">
        <f t="shared" ref="G106:G107" si="10">F106-E106</f>
        <v>12</v>
      </c>
      <c r="H106" s="455">
        <f>G106+'6'!H106</f>
        <v>36</v>
      </c>
      <c r="I106" s="527"/>
      <c r="J106" s="553">
        <f>H106/DAY(B2)</f>
        <v>5.1428571428571432</v>
      </c>
      <c r="N106" s="379"/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479">
        <f>'6'!F107</f>
        <v>19725</v>
      </c>
      <c r="F107" s="655">
        <v>19729</v>
      </c>
      <c r="G107" s="527">
        <f t="shared" si="10"/>
        <v>4</v>
      </c>
      <c r="H107" s="455">
        <f>G107+'6'!H107</f>
        <v>21</v>
      </c>
      <c r="I107" s="527"/>
      <c r="J107" s="553">
        <f>H107/DAY(B2)</f>
        <v>3</v>
      </c>
      <c r="N107" s="379"/>
    </row>
    <row r="108" spans="1:14" s="437" customFormat="1" ht="27.75">
      <c r="A108" s="1461" t="s">
        <v>102</v>
      </c>
      <c r="B108" s="1462"/>
      <c r="C108" s="1391"/>
      <c r="D108" s="617"/>
      <c r="E108" s="527"/>
      <c r="F108" s="655"/>
      <c r="G108" s="527">
        <f>SUM(G105:G107)</f>
        <v>16</v>
      </c>
      <c r="H108" s="455">
        <f>G108+'6'!H108</f>
        <v>57</v>
      </c>
      <c r="I108" s="527"/>
      <c r="J108" s="553">
        <f>H108/DAY(B2)</f>
        <v>8.1428571428571423</v>
      </c>
      <c r="N108" s="379"/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527"/>
      <c r="F109" s="655"/>
      <c r="G109" s="527"/>
      <c r="H109" s="455">
        <f>G109+'6'!H109</f>
        <v>0</v>
      </c>
      <c r="I109" s="527"/>
      <c r="J109" s="553"/>
      <c r="N109" s="37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527">
        <f>'6'!F110</f>
        <v>63242</v>
      </c>
      <c r="F110" s="655">
        <v>63305</v>
      </c>
      <c r="G110" s="527">
        <f>F110-E110</f>
        <v>63</v>
      </c>
      <c r="H110" s="455">
        <f>G110+'6'!H110</f>
        <v>471</v>
      </c>
      <c r="I110" s="527"/>
      <c r="J110" s="553">
        <f>H110/DAY(B2)</f>
        <v>67.285714285714292</v>
      </c>
      <c r="N110" s="379"/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527">
        <f>'6'!F111</f>
        <v>32615</v>
      </c>
      <c r="F111" s="655">
        <v>32615</v>
      </c>
      <c r="G111" s="527">
        <f t="shared" ref="G111:G112" si="11">F111-E111</f>
        <v>0</v>
      </c>
      <c r="H111" s="455">
        <f>G111+'6'!H111</f>
        <v>37</v>
      </c>
      <c r="I111" s="527"/>
      <c r="J111" s="553">
        <f>H111/DAY(B2)</f>
        <v>5.2857142857142856</v>
      </c>
      <c r="N111" s="379"/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527">
        <f>'6'!F112</f>
        <v>4621</v>
      </c>
      <c r="F112" s="655">
        <v>4621</v>
      </c>
      <c r="G112" s="527">
        <f t="shared" si="11"/>
        <v>0</v>
      </c>
      <c r="H112" s="455">
        <f>G112+'6'!H112</f>
        <v>45</v>
      </c>
      <c r="I112" s="527"/>
      <c r="J112" s="553">
        <f>H112/DAY(B2)</f>
        <v>6.4285714285714288</v>
      </c>
      <c r="N112" s="379"/>
    </row>
    <row r="113" spans="1:14" s="437" customFormat="1" ht="27.75">
      <c r="A113" s="1461" t="s">
        <v>174</v>
      </c>
      <c r="B113" s="1462"/>
      <c r="C113" s="1391"/>
      <c r="D113" s="617"/>
      <c r="E113" s="527"/>
      <c r="F113" s="655"/>
      <c r="G113" s="527">
        <f>SUM(G110:G112)</f>
        <v>63</v>
      </c>
      <c r="H113" s="455">
        <f>G113+'6'!H113</f>
        <v>553</v>
      </c>
      <c r="I113" s="527"/>
      <c r="J113" s="553">
        <f>H113/DAY(B2)</f>
        <v>79</v>
      </c>
      <c r="N113" s="379"/>
    </row>
    <row r="114" spans="1:14" s="437" customFormat="1" ht="27.75">
      <c r="A114" s="1463" t="s">
        <v>280</v>
      </c>
      <c r="B114" s="1464"/>
      <c r="C114" s="1391"/>
      <c r="D114" s="617"/>
      <c r="E114" s="527"/>
      <c r="F114" s="655"/>
      <c r="G114" s="527"/>
      <c r="H114" s="455">
        <f>G114+'6'!H114</f>
        <v>0</v>
      </c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527">
        <f>'6'!F115</f>
        <v>11602</v>
      </c>
      <c r="F115" s="655">
        <v>11616</v>
      </c>
      <c r="G115" s="529">
        <f>F115-E115</f>
        <v>14</v>
      </c>
      <c r="H115" s="455">
        <f>G115+'6'!H115</f>
        <v>119</v>
      </c>
      <c r="I115" s="527"/>
      <c r="J115" s="553">
        <f>H115/DAY(B2)</f>
        <v>17</v>
      </c>
      <c r="N115" s="37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527">
        <f>'6'!F116</f>
        <v>8349</v>
      </c>
      <c r="F116" s="655">
        <v>8356</v>
      </c>
      <c r="G116" s="529">
        <f t="shared" ref="G116:G117" si="12">F116-E116</f>
        <v>7</v>
      </c>
      <c r="H116" s="455">
        <f>G116+'6'!H116</f>
        <v>44</v>
      </c>
      <c r="I116" s="527"/>
      <c r="J116" s="553">
        <f>H116/DAY(B2)</f>
        <v>6.2857142857142856</v>
      </c>
      <c r="N116" s="37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2"/>
        <v>0</v>
      </c>
      <c r="H117" s="455">
        <f>G117+'6'!H117</f>
        <v>0</v>
      </c>
      <c r="I117" s="527"/>
      <c r="J117" s="553">
        <f>H117/DAY(B2)</f>
        <v>0</v>
      </c>
      <c r="N117" s="379"/>
    </row>
    <row r="118" spans="1:14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21</v>
      </c>
      <c r="H118" s="455">
        <f>G118+'6'!H118</f>
        <v>163</v>
      </c>
      <c r="I118" s="529"/>
      <c r="J118" s="553">
        <f>H118/DAY(B2)</f>
        <v>23.285714285714285</v>
      </c>
      <c r="N118" s="37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119</v>
      </c>
      <c r="G119" s="531">
        <f>SUM(G19+G93)</f>
        <v>119</v>
      </c>
      <c r="H119" s="455">
        <f>G119+'6'!H119</f>
        <v>739</v>
      </c>
      <c r="I119" s="530"/>
      <c r="J119" s="554">
        <f>H119/DAY(B2)</f>
        <v>105.57142857142857</v>
      </c>
      <c r="N119" s="37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109</v>
      </c>
      <c r="G120" s="531">
        <f>SUM(G96,G97,G98,G100,G101)</f>
        <v>109</v>
      </c>
      <c r="H120" s="455">
        <f>G120+'6'!H120</f>
        <v>717</v>
      </c>
      <c r="I120" s="530"/>
      <c r="J120" s="554">
        <f>H120/DAY(B2)</f>
        <v>102.42857142857143</v>
      </c>
      <c r="N120" s="37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63</v>
      </c>
      <c r="G121" s="529">
        <f>SUM(G113)</f>
        <v>63</v>
      </c>
      <c r="H121" s="455">
        <f>G121+'6'!H121</f>
        <v>553</v>
      </c>
      <c r="I121" s="530"/>
      <c r="J121" s="554">
        <f>H121/DAY(B2)</f>
        <v>79</v>
      </c>
      <c r="N121" s="379"/>
    </row>
    <row r="122" spans="1:14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1053">
        <f>'6'!F124</f>
        <v>833440.78</v>
      </c>
      <c r="F124" s="1053">
        <v>833623</v>
      </c>
      <c r="G124" s="1054">
        <f t="shared" ref="G124:G128" si="13">F124-E124</f>
        <v>182.21999999997206</v>
      </c>
      <c r="H124" s="455">
        <f>G124+'6'!H124</f>
        <v>1257</v>
      </c>
      <c r="I124" s="521"/>
      <c r="J124" s="547">
        <f>H124/DAY(B2)</f>
        <v>179.57142857142858</v>
      </c>
      <c r="K124" s="377"/>
      <c r="L124" s="374"/>
      <c r="N124" s="379"/>
    </row>
    <row r="125" spans="1:14" ht="27.75">
      <c r="A125" s="1392" t="s">
        <v>287</v>
      </c>
      <c r="B125" s="1393"/>
      <c r="C125" s="1393"/>
      <c r="D125" s="518" t="s">
        <v>206</v>
      </c>
      <c r="E125" s="1053">
        <f>'6'!F125</f>
        <v>73583.399999999994</v>
      </c>
      <c r="F125" s="480">
        <v>73583</v>
      </c>
      <c r="G125" s="468">
        <f t="shared" si="13"/>
        <v>-0.39999999999417923</v>
      </c>
      <c r="H125" s="455">
        <f>G125+'6'!H125</f>
        <v>-0.39999999999417923</v>
      </c>
      <c r="I125" s="521"/>
      <c r="J125" s="547">
        <f>H125/DAY(B2)</f>
        <v>-5.7142857142025605E-2</v>
      </c>
      <c r="K125" s="377"/>
      <c r="L125" s="374"/>
      <c r="N125" s="379"/>
    </row>
    <row r="126" spans="1:14" ht="27.75">
      <c r="A126" s="1450" t="s">
        <v>288</v>
      </c>
      <c r="B126" s="1451"/>
      <c r="C126" s="1452"/>
      <c r="D126" s="518" t="s">
        <v>206</v>
      </c>
      <c r="E126" s="1053">
        <f>'6'!F126</f>
        <v>146870.12</v>
      </c>
      <c r="F126" s="1059">
        <v>146920</v>
      </c>
      <c r="G126" s="1055">
        <f t="shared" si="13"/>
        <v>49.880000000004657</v>
      </c>
      <c r="H126" s="455">
        <f>G126+'6'!H126</f>
        <v>429</v>
      </c>
      <c r="I126" s="521"/>
      <c r="J126" s="547">
        <f>H126/DAY(B2)</f>
        <v>61.285714285714285</v>
      </c>
      <c r="K126" s="377"/>
      <c r="L126" s="374"/>
      <c r="N126" s="379"/>
    </row>
    <row r="127" spans="1:14" ht="27.75">
      <c r="A127" s="604" t="s">
        <v>289</v>
      </c>
      <c r="B127" s="1393"/>
      <c r="C127" s="1393"/>
      <c r="D127" s="518" t="s">
        <v>206</v>
      </c>
      <c r="E127" s="1053">
        <f>'6'!F127</f>
        <v>31409.1</v>
      </c>
      <c r="F127" s="480">
        <v>31409</v>
      </c>
      <c r="G127" s="468">
        <f t="shared" si="13"/>
        <v>-9.9999999998544808E-2</v>
      </c>
      <c r="H127" s="455">
        <f>G127+'6'!H127</f>
        <v>3</v>
      </c>
      <c r="I127" s="521"/>
      <c r="J127" s="547">
        <f>H127/DAY(B2)</f>
        <v>0.42857142857142855</v>
      </c>
      <c r="K127" s="377"/>
      <c r="L127" s="374"/>
      <c r="N127" s="379"/>
    </row>
    <row r="128" spans="1:14" ht="27.75">
      <c r="A128" s="604" t="s">
        <v>290</v>
      </c>
      <c r="B128" s="1393"/>
      <c r="C128" s="1393"/>
      <c r="D128" s="518" t="s">
        <v>206</v>
      </c>
      <c r="E128" s="1053">
        <f>'6'!F128</f>
        <v>8971.9</v>
      </c>
      <c r="F128" s="480">
        <v>8971.9</v>
      </c>
      <c r="G128" s="468">
        <f t="shared" si="13"/>
        <v>0</v>
      </c>
      <c r="H128" s="455">
        <f>G128+'6'!H128</f>
        <v>-0.1000000000003638</v>
      </c>
      <c r="I128" s="475"/>
      <c r="J128" s="547">
        <f>H128/DAY(B2)</f>
        <v>-1.4285714285766258E-2</v>
      </c>
      <c r="K128" s="377"/>
      <c r="L128" s="374"/>
      <c r="N128" s="37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473"/>
      <c r="G129" s="1051">
        <f>G15-SUM(G124:G128)</f>
        <v>332.05000000015571</v>
      </c>
      <c r="H129" s="455">
        <f>G129+'6'!H129</f>
        <v>1508.330000000069</v>
      </c>
      <c r="I129" s="475"/>
      <c r="J129" s="547">
        <f>H129/DAY(B2)</f>
        <v>215.47571428572414</v>
      </c>
      <c r="K129" s="361"/>
      <c r="L129" s="289"/>
      <c r="N129" s="379"/>
    </row>
    <row r="130" spans="1:14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'6'!F131</f>
        <v>0</v>
      </c>
      <c r="F131" s="473">
        <v>0</v>
      </c>
      <c r="G131" s="468">
        <f t="shared" ref="G131:G141" si="14">F131-E131</f>
        <v>0</v>
      </c>
      <c r="H131" s="455">
        <f>G131+'6'!H131</f>
        <v>0</v>
      </c>
      <c r="I131" s="475"/>
      <c r="J131" s="547">
        <f>H131/DAY(B2)</f>
        <v>0</v>
      </c>
      <c r="N131" s="37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'6'!F132</f>
        <v>0</v>
      </c>
      <c r="F132" s="473">
        <v>0</v>
      </c>
      <c r="G132" s="468">
        <f t="shared" si="14"/>
        <v>0</v>
      </c>
      <c r="H132" s="455">
        <f>G132+'6'!H132</f>
        <v>0</v>
      </c>
      <c r="I132" s="475"/>
      <c r="J132" s="547">
        <f>H132/DAY(B2)</f>
        <v>0</v>
      </c>
      <c r="N132" s="379"/>
    </row>
    <row r="133" spans="1:14" ht="27.75">
      <c r="A133" s="1392" t="s">
        <v>296</v>
      </c>
      <c r="B133" s="1393"/>
      <c r="C133" s="1393"/>
      <c r="D133" s="518" t="s">
        <v>294</v>
      </c>
      <c r="E133" s="517">
        <f>'6'!F133</f>
        <v>40040.269999999997</v>
      </c>
      <c r="F133" s="480">
        <v>40050.589999999997</v>
      </c>
      <c r="G133" s="468">
        <f t="shared" si="14"/>
        <v>10.319999999999709</v>
      </c>
      <c r="H133" s="455">
        <f>G133+'6'!H133</f>
        <v>15.489999999997963</v>
      </c>
      <c r="I133" s="475"/>
      <c r="J133" s="547">
        <f>H133/DAY(B2)</f>
        <v>2.2128571428568518</v>
      </c>
      <c r="N133" s="379"/>
    </row>
    <row r="134" spans="1:14" ht="27.75">
      <c r="A134" s="1392" t="s">
        <v>297</v>
      </c>
      <c r="B134" s="1393"/>
      <c r="C134" s="1393"/>
      <c r="D134" s="518" t="s">
        <v>294</v>
      </c>
      <c r="E134" s="697">
        <f>'6'!F134</f>
        <v>300</v>
      </c>
      <c r="F134" s="621">
        <v>300.19</v>
      </c>
      <c r="G134" s="769">
        <f t="shared" si="14"/>
        <v>0.18999999999999773</v>
      </c>
      <c r="H134" s="455">
        <f>G134+'6'!H134</f>
        <v>0.18999999999999773</v>
      </c>
      <c r="I134" s="475">
        <f>G133+G134+G135+G136</f>
        <v>24.689999999999998</v>
      </c>
      <c r="J134" s="547">
        <f>H134/DAY(B2)</f>
        <v>2.714285714285682E-2</v>
      </c>
      <c r="N134" s="379"/>
    </row>
    <row r="135" spans="1:14" ht="27.75">
      <c r="A135" s="1392" t="s">
        <v>298</v>
      </c>
      <c r="B135" s="1393"/>
      <c r="C135" s="1393"/>
      <c r="D135" s="518" t="s">
        <v>294</v>
      </c>
      <c r="E135" s="517">
        <f>'6'!F135</f>
        <v>41730.339999999997</v>
      </c>
      <c r="F135" s="480">
        <v>41730.449999999997</v>
      </c>
      <c r="G135" s="468">
        <f t="shared" si="14"/>
        <v>0.11000000000058208</v>
      </c>
      <c r="H135" s="455">
        <f>G135+'6'!H135</f>
        <v>0.44999999999708962</v>
      </c>
      <c r="I135" s="475"/>
      <c r="J135" s="547">
        <f>H135/DAY(B2)</f>
        <v>6.4285714285298515E-2</v>
      </c>
      <c r="N135" s="379"/>
    </row>
    <row r="136" spans="1:14" ht="27.75">
      <c r="A136" s="1392" t="s">
        <v>299</v>
      </c>
      <c r="B136" s="1393"/>
      <c r="C136" s="1393"/>
      <c r="D136" s="518" t="s">
        <v>294</v>
      </c>
      <c r="E136" s="697">
        <f>'6'!F136</f>
        <v>32859.980000000003</v>
      </c>
      <c r="F136" s="621">
        <v>32874.050000000003</v>
      </c>
      <c r="G136" s="769">
        <f t="shared" si="14"/>
        <v>14.069999999999709</v>
      </c>
      <c r="H136" s="455">
        <f>G136+'6'!H136</f>
        <v>159.05000000000291</v>
      </c>
      <c r="I136" s="475"/>
      <c r="J136" s="547">
        <f>H136/DAY(B2)</f>
        <v>22.721428571428987</v>
      </c>
      <c r="N136" s="379"/>
    </row>
    <row r="137" spans="1:14" ht="27.75">
      <c r="A137" s="1392" t="s">
        <v>300</v>
      </c>
      <c r="B137" s="1393"/>
      <c r="C137" s="1393"/>
      <c r="D137" s="518" t="s">
        <v>294</v>
      </c>
      <c r="E137" s="536">
        <f>'6'!F137</f>
        <v>22819.26</v>
      </c>
      <c r="F137" s="647">
        <v>22825.71</v>
      </c>
      <c r="G137" s="468">
        <f t="shared" si="14"/>
        <v>6.4500000000007276</v>
      </c>
      <c r="H137" s="455">
        <f>G137+'6'!H137</f>
        <v>18.469999999997526</v>
      </c>
      <c r="I137" s="475">
        <f>G137+G138+G139</f>
        <v>8.1599999999925785</v>
      </c>
      <c r="J137" s="547">
        <f>H137/DAY(B2)</f>
        <v>2.6385714285710753</v>
      </c>
      <c r="N137" s="379"/>
    </row>
    <row r="138" spans="1:14" ht="27.75">
      <c r="A138" s="1392" t="s">
        <v>301</v>
      </c>
      <c r="B138" s="1393"/>
      <c r="C138" s="1393"/>
      <c r="D138" s="518" t="s">
        <v>294</v>
      </c>
      <c r="E138" s="536">
        <f>'6'!F138</f>
        <v>25051.82</v>
      </c>
      <c r="F138" s="647">
        <v>25051.82</v>
      </c>
      <c r="G138" s="468">
        <f t="shared" si="14"/>
        <v>0</v>
      </c>
      <c r="H138" s="455">
        <f>G138+'6'!H138</f>
        <v>0</v>
      </c>
      <c r="I138" s="475"/>
      <c r="J138" s="547">
        <f>H138/DAY(B2)</f>
        <v>0</v>
      </c>
      <c r="N138" s="379"/>
    </row>
    <row r="139" spans="1:14" ht="27.75">
      <c r="A139" s="1392" t="s">
        <v>302</v>
      </c>
      <c r="B139" s="1393"/>
      <c r="C139" s="1393"/>
      <c r="D139" s="518" t="s">
        <v>294</v>
      </c>
      <c r="E139" s="1057">
        <f>'6'!F139</f>
        <v>70435.47</v>
      </c>
      <c r="F139" s="1058">
        <v>70437.179999999993</v>
      </c>
      <c r="G139" s="1051">
        <f t="shared" si="14"/>
        <v>1.7099999999918509</v>
      </c>
      <c r="H139" s="455">
        <f>G139+'6'!H139</f>
        <v>25.439999999987776</v>
      </c>
      <c r="I139" s="475"/>
      <c r="J139" s="547">
        <f>H139/DAY(B2)</f>
        <v>3.6342857142839682</v>
      </c>
      <c r="N139" s="379"/>
    </row>
    <row r="140" spans="1:14" ht="27.75">
      <c r="A140" s="1392" t="s">
        <v>303</v>
      </c>
      <c r="B140" s="1393"/>
      <c r="C140" s="1393"/>
      <c r="D140" s="518" t="s">
        <v>294</v>
      </c>
      <c r="E140" s="517">
        <f>'6'!F140</f>
        <v>1895.98</v>
      </c>
      <c r="F140" s="480">
        <v>1902.57</v>
      </c>
      <c r="G140" s="468">
        <f t="shared" si="14"/>
        <v>6.5899999999999181</v>
      </c>
      <c r="H140" s="455">
        <f>G140+'6'!H140</f>
        <v>48.269999999999982</v>
      </c>
      <c r="I140" s="537">
        <f>G140+G141</f>
        <v>6.5899999999999181</v>
      </c>
      <c r="J140" s="547">
        <f>H140/DAY(B2)</f>
        <v>6.8957142857142832</v>
      </c>
      <c r="N140" s="379"/>
    </row>
    <row r="141" spans="1:14" ht="27.75">
      <c r="A141" s="1392" t="s">
        <v>304</v>
      </c>
      <c r="B141" s="1393"/>
      <c r="C141" s="1393"/>
      <c r="D141" s="518" t="s">
        <v>294</v>
      </c>
      <c r="E141" s="1056">
        <f>'6'!F141</f>
        <v>4637</v>
      </c>
      <c r="F141" s="1053">
        <v>4637</v>
      </c>
      <c r="G141" s="1054">
        <f t="shared" si="14"/>
        <v>0</v>
      </c>
      <c r="H141" s="455">
        <f>G141+'6'!H141</f>
        <v>0</v>
      </c>
      <c r="I141" s="537"/>
      <c r="J141" s="547">
        <f>H141/DAY(B2)</f>
        <v>0</v>
      </c>
      <c r="N141" s="379"/>
    </row>
    <row r="142" spans="1:14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4901.8599999998696</v>
      </c>
      <c r="H143" s="455">
        <f>G143+'6'!H143</f>
        <v>33906.339999999967</v>
      </c>
      <c r="I143" s="475"/>
      <c r="J143" s="547">
        <f>H143/DAY(B2)</f>
        <v>4843.7628571428522</v>
      </c>
      <c r="K143" s="377"/>
      <c r="L143" s="374"/>
      <c r="N143" s="37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0.28437945262062736</v>
      </c>
      <c r="H144" s="455">
        <f>G144+'6'!H144</f>
        <v>1.9643790771101497</v>
      </c>
      <c r="I144" s="539"/>
      <c r="J144" s="547">
        <f>H144/DAY(B2)</f>
        <v>0.28062558244430708</v>
      </c>
      <c r="K144" s="377"/>
      <c r="L144" s="374"/>
      <c r="N144" s="37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4822.7399999999616</v>
      </c>
      <c r="H145" s="455">
        <f>G145+'6'!H145</f>
        <v>34734.75999999998</v>
      </c>
      <c r="I145" s="475"/>
      <c r="J145" s="547">
        <f>H145/DAY(B2)</f>
        <v>4962.1085714285682</v>
      </c>
      <c r="K145" s="377"/>
      <c r="L145" s="374"/>
      <c r="N145" s="37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0.27978933738042905</v>
      </c>
      <c r="H146" s="455">
        <f>G146+'6'!H146</f>
        <v>2.0062811766131641</v>
      </c>
      <c r="I146" s="539"/>
      <c r="J146" s="547">
        <f>H146/DAY(B2)</f>
        <v>0.28661159665902342</v>
      </c>
      <c r="K146" s="377"/>
      <c r="L146" s="374"/>
      <c r="N146" s="37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2961.6600000000326</v>
      </c>
      <c r="H147" s="455">
        <f>G147+'6'!H147</f>
        <v>19670.760000000009</v>
      </c>
      <c r="I147" s="540"/>
      <c r="J147" s="547">
        <f>H147/DAY(B2)</f>
        <v>2810.1085714285728</v>
      </c>
      <c r="K147" s="377"/>
      <c r="L147" s="374"/>
      <c r="N147" s="37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0.17181952353768548</v>
      </c>
      <c r="H148" s="455">
        <f>G148+'6'!H148</f>
        <v>1.1340801849055366</v>
      </c>
      <c r="I148" s="540"/>
      <c r="J148" s="547">
        <f>H148/DAY(B2)</f>
        <v>0.16201145498650524</v>
      </c>
      <c r="N148" s="37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1221.3999999999942</v>
      </c>
      <c r="H149" s="455">
        <f>G149+'6'!H149</f>
        <v>8829.3499999999476</v>
      </c>
      <c r="I149" s="475"/>
      <c r="J149" s="547">
        <f>H149/DAY(B2)</f>
        <v>1261.3357142857069</v>
      </c>
      <c r="K149" s="378"/>
      <c r="N149" s="37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7.0859033801626697E-2</v>
      </c>
      <c r="H150" s="455">
        <f>G150+'6'!H150</f>
        <v>0.51032668492917022</v>
      </c>
      <c r="I150" s="540"/>
      <c r="J150" s="547">
        <f>H150/DAY(B2)</f>
        <v>7.2903812132738596E-2</v>
      </c>
      <c r="N150" s="37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1368.4099999999812</v>
      </c>
      <c r="H151" s="455">
        <f>G151+'6'!H151</f>
        <v>10720.250000000004</v>
      </c>
      <c r="I151" s="540"/>
      <c r="J151" s="547">
        <f>H151/DAY(B2)</f>
        <v>1531.4642857142862</v>
      </c>
      <c r="N151" s="37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7.9387760311513941E-2</v>
      </c>
      <c r="H152" s="455">
        <f>G152+'6'!H152</f>
        <v>0.61423497691781914</v>
      </c>
      <c r="I152" s="475"/>
      <c r="J152" s="547">
        <f>H152/DAY(B2)</f>
        <v>8.7747853845402735E-2</v>
      </c>
      <c r="N152" s="37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1289.6199999999953</v>
      </c>
      <c r="H153" s="455">
        <f>G153+'6'!H153</f>
        <v>9129.4899999999907</v>
      </c>
      <c r="I153" s="475"/>
      <c r="J153" s="547">
        <f>H153/DAY(B2)</f>
        <v>1304.2128571428559</v>
      </c>
      <c r="N153" s="37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7.4816789889679006E-2</v>
      </c>
      <c r="H154" s="455">
        <f>G154+'6'!H154</f>
        <v>0.52884913155644664</v>
      </c>
      <c r="I154" s="563"/>
      <c r="J154" s="564">
        <f>H154/DAY(B2)</f>
        <v>7.554987593663523E-2</v>
      </c>
      <c r="N154" s="379"/>
    </row>
    <row r="155" spans="1:14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379"/>
    </row>
    <row r="156" spans="1:14" ht="24.75" customHeight="1"/>
    <row r="157" spans="1:14" hidden="1"/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1056">
        <f>'6'!F161</f>
        <v>38920.050000000003</v>
      </c>
      <c r="F161" s="654">
        <v>39001.629999999997</v>
      </c>
      <c r="G161" s="468">
        <f t="shared" ref="G161:G174" si="15">F161-E161</f>
        <v>81.57999999999447</v>
      </c>
    </row>
    <row r="162" spans="1:7">
      <c r="A162" s="780" t="s">
        <v>319</v>
      </c>
      <c r="B162" s="781"/>
      <c r="C162" s="781"/>
      <c r="D162" s="506" t="s">
        <v>253</v>
      </c>
      <c r="E162" s="1056">
        <f>'6'!F162</f>
        <v>97241.93</v>
      </c>
      <c r="F162" s="654">
        <v>97653</v>
      </c>
      <c r="G162" s="468">
        <f t="shared" si="15"/>
        <v>411.07000000000698</v>
      </c>
    </row>
    <row r="163" spans="1:7">
      <c r="A163" s="780" t="s">
        <v>320</v>
      </c>
      <c r="B163" s="781"/>
      <c r="C163" s="781"/>
      <c r="D163" s="506" t="s">
        <v>253</v>
      </c>
      <c r="E163" s="1056">
        <f>'6'!F163</f>
        <v>46185.54</v>
      </c>
      <c r="F163" s="654">
        <v>46396.91</v>
      </c>
      <c r="G163" s="468">
        <f t="shared" si="15"/>
        <v>211.37000000000262</v>
      </c>
    </row>
    <row r="164" spans="1:7">
      <c r="A164" s="780" t="s">
        <v>321</v>
      </c>
      <c r="B164" s="781"/>
      <c r="C164" s="781"/>
      <c r="D164" s="506" t="s">
        <v>253</v>
      </c>
      <c r="E164" s="1056">
        <f>'6'!F164</f>
        <v>6609.4</v>
      </c>
      <c r="F164" s="654">
        <v>6622.3</v>
      </c>
      <c r="G164" s="468">
        <f t="shared" si="15"/>
        <v>12.900000000000546</v>
      </c>
    </row>
    <row r="165" spans="1:7">
      <c r="A165" s="782" t="s">
        <v>252</v>
      </c>
      <c r="B165" s="599"/>
      <c r="C165" s="599"/>
      <c r="D165" s="506" t="s">
        <v>253</v>
      </c>
      <c r="E165" s="509">
        <v>0</v>
      </c>
      <c r="F165" s="509">
        <f>F62</f>
        <v>0</v>
      </c>
      <c r="G165" s="468">
        <f t="shared" si="15"/>
        <v>0</v>
      </c>
    </row>
    <row r="166" spans="1:7">
      <c r="A166" s="782" t="s">
        <v>254</v>
      </c>
      <c r="B166" s="599"/>
      <c r="C166" s="599"/>
      <c r="D166" s="506" t="s">
        <v>253</v>
      </c>
      <c r="E166" s="1056">
        <f>'6'!F166</f>
        <v>0</v>
      </c>
      <c r="F166" s="509">
        <f t="shared" ref="F166:F172" si="16">F63</f>
        <v>0</v>
      </c>
      <c r="G166" s="468">
        <f t="shared" si="15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1056">
        <f>'6'!F167</f>
        <v>161236.62</v>
      </c>
      <c r="F167" s="509">
        <f t="shared" si="16"/>
        <v>161599.64000000001</v>
      </c>
      <c r="G167" s="468">
        <f t="shared" si="15"/>
        <v>363.02000000001863</v>
      </c>
    </row>
    <row r="168" spans="1:7" ht="27.75">
      <c r="A168" s="1502" t="s">
        <v>162</v>
      </c>
      <c r="B168" s="1502"/>
      <c r="C168" s="1502"/>
      <c r="D168" s="518" t="s">
        <v>253</v>
      </c>
      <c r="E168" s="1056">
        <f>'6'!F168</f>
        <v>162454.46</v>
      </c>
      <c r="F168" s="509">
        <f t="shared" si="16"/>
        <v>162666.95000000001</v>
      </c>
      <c r="G168" s="468">
        <f t="shared" si="15"/>
        <v>212.49000000001979</v>
      </c>
    </row>
    <row r="169" spans="1:7" ht="27.75">
      <c r="A169" s="1502" t="s">
        <v>255</v>
      </c>
      <c r="B169" s="1502"/>
      <c r="C169" s="1502"/>
      <c r="D169" s="518" t="s">
        <v>253</v>
      </c>
      <c r="E169" s="1056">
        <f>'6'!F169</f>
        <v>58595.66</v>
      </c>
      <c r="F169" s="509">
        <f t="shared" si="16"/>
        <v>58981.97</v>
      </c>
      <c r="G169" s="468">
        <f t="shared" si="15"/>
        <v>386.30999999999767</v>
      </c>
    </row>
    <row r="170" spans="1:7" ht="27.75">
      <c r="A170" s="1502" t="s">
        <v>157</v>
      </c>
      <c r="B170" s="1502"/>
      <c r="C170" s="1502"/>
      <c r="D170" s="518" t="s">
        <v>253</v>
      </c>
      <c r="E170" s="1056">
        <f>'6'!F170</f>
        <v>254561.33</v>
      </c>
      <c r="F170" s="509">
        <f t="shared" si="16"/>
        <v>254935.67</v>
      </c>
      <c r="G170" s="468">
        <f t="shared" si="15"/>
        <v>374.34000000002561</v>
      </c>
    </row>
    <row r="171" spans="1:7" ht="27.75">
      <c r="A171" s="1502" t="s">
        <v>164</v>
      </c>
      <c r="B171" s="1502"/>
      <c r="C171" s="1502"/>
      <c r="D171" s="518" t="s">
        <v>253</v>
      </c>
      <c r="E171" s="1056">
        <f>'6'!F171</f>
        <v>85321</v>
      </c>
      <c r="F171" s="509">
        <f t="shared" si="16"/>
        <v>85321</v>
      </c>
      <c r="G171" s="468">
        <f t="shared" si="15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1056">
        <f>'6'!F172</f>
        <v>82405.13</v>
      </c>
      <c r="F172" s="509">
        <f t="shared" si="16"/>
        <v>82527.33</v>
      </c>
      <c r="G172" s="468">
        <f t="shared" si="15"/>
        <v>122.19999999999709</v>
      </c>
    </row>
    <row r="173" spans="1:7">
      <c r="A173" s="1512" t="s">
        <v>329</v>
      </c>
      <c r="B173" s="1495"/>
      <c r="C173" s="781"/>
      <c r="D173" s="518" t="s">
        <v>253</v>
      </c>
      <c r="E173" s="527">
        <v>18924.900000000001</v>
      </c>
      <c r="F173" s="527">
        <v>18928.5</v>
      </c>
      <c r="G173" s="468">
        <f t="shared" si="15"/>
        <v>3.5999999999985448</v>
      </c>
    </row>
    <row r="174" spans="1:7">
      <c r="A174" s="1512" t="s">
        <v>332</v>
      </c>
      <c r="B174" s="1495"/>
      <c r="C174" s="781"/>
      <c r="D174" s="518" t="s">
        <v>253</v>
      </c>
      <c r="E174" s="527">
        <v>37397.08</v>
      </c>
      <c r="F174" s="527">
        <v>37487.300000000003</v>
      </c>
      <c r="G174" s="468">
        <f t="shared" si="15"/>
        <v>90.220000000001164</v>
      </c>
    </row>
  </sheetData>
  <mergeCells count="77"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46" zoomScale="55" zoomScaleSheetLayoutView="55" workbookViewId="0">
      <selection activeCell="A33" sqref="A33:J33"/>
    </sheetView>
  </sheetViews>
  <sheetFormatPr defaultColWidth="22.33203125" defaultRowHeight="29.25"/>
  <cols>
    <col min="1" max="1" width="42.33203125" style="449" customWidth="1"/>
    <col min="2" max="2" width="31.1093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334</v>
      </c>
      <c r="B2" s="1028">
        <v>44355</v>
      </c>
      <c r="C2" s="1394" t="s">
        <v>111</v>
      </c>
      <c r="D2" s="606">
        <v>0.24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27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/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5" ht="30" thickBot="1">
      <c r="A7" s="672" t="s">
        <v>197</v>
      </c>
      <c r="B7" s="673"/>
      <c r="C7" s="673"/>
      <c r="D7" s="633" t="s">
        <v>198</v>
      </c>
      <c r="E7" s="628">
        <f>'7'!F7</f>
        <v>465590.03</v>
      </c>
      <c r="F7" s="450">
        <v>482815.75</v>
      </c>
      <c r="G7" s="674">
        <f>F7-E7</f>
        <v>17225.719999999972</v>
      </c>
      <c r="H7" s="675">
        <f>G7+'7'!H7</f>
        <v>138403.75</v>
      </c>
      <c r="I7" s="676">
        <f>'1'!I7</f>
        <v>12000</v>
      </c>
      <c r="J7" s="677">
        <f>H7/DAY(B2)</f>
        <v>17300.46875</v>
      </c>
      <c r="K7" s="544"/>
      <c r="L7" s="374"/>
      <c r="N7" s="704">
        <v>11335</v>
      </c>
      <c r="O7" s="379">
        <f>G7-N7</f>
        <v>5890.7199999999721</v>
      </c>
    </row>
    <row r="8" spans="1:15" ht="27.75" thickBot="1">
      <c r="A8" s="678" t="s">
        <v>199</v>
      </c>
      <c r="B8" s="679"/>
      <c r="C8" s="680"/>
      <c r="D8" s="681" t="s">
        <v>59</v>
      </c>
      <c r="E8" s="628">
        <f>'7'!F8</f>
        <v>468243.75</v>
      </c>
      <c r="F8" s="470">
        <v>485532.31</v>
      </c>
      <c r="G8" s="685">
        <f>F8-E8</f>
        <v>17288.559999999998</v>
      </c>
      <c r="H8" s="675">
        <f>G8+'7'!H8</f>
        <v>139022.31</v>
      </c>
      <c r="I8" s="682">
        <v>12000</v>
      </c>
      <c r="J8" s="677">
        <f>H8/DAY(B2)</f>
        <v>17377.78875</v>
      </c>
      <c r="K8" s="544"/>
      <c r="L8" s="421"/>
      <c r="M8" s="435"/>
      <c r="N8" s="699"/>
    </row>
    <row r="9" spans="1:15">
      <c r="A9" s="683" t="s">
        <v>200</v>
      </c>
      <c r="B9" s="684"/>
      <c r="C9" s="684"/>
      <c r="D9" s="633" t="s">
        <v>198</v>
      </c>
      <c r="E9" s="628">
        <f>'7'!F9</f>
        <v>1591353.7</v>
      </c>
      <c r="F9" s="473">
        <v>1607751.6</v>
      </c>
      <c r="G9" s="698">
        <f t="shared" ref="G9:G12" si="0">F9-E9</f>
        <v>16397.90000000014</v>
      </c>
      <c r="H9" s="675">
        <f>G9+'7'!H9</f>
        <v>134061.60000000009</v>
      </c>
      <c r="I9" s="686">
        <f>I7-J7</f>
        <v>-5300.46875</v>
      </c>
      <c r="J9" s="677">
        <f>H9/DAY(B2)</f>
        <v>16757.700000000012</v>
      </c>
      <c r="K9" s="424"/>
      <c r="L9" s="374"/>
      <c r="N9" s="379"/>
    </row>
    <row r="10" spans="1:15">
      <c r="A10" s="672" t="s">
        <v>201</v>
      </c>
      <c r="B10" s="673"/>
      <c r="C10" s="673"/>
      <c r="D10" s="633" t="s">
        <v>198</v>
      </c>
      <c r="E10" s="628">
        <f>'7'!F10</f>
        <v>2606.5500000000002</v>
      </c>
      <c r="F10" s="473">
        <v>2606.5500000000002</v>
      </c>
      <c r="G10" s="685">
        <f t="shared" si="0"/>
        <v>0</v>
      </c>
      <c r="H10" s="675">
        <f>G10+'7'!H10</f>
        <v>0.42000000000007276</v>
      </c>
      <c r="I10" s="687"/>
      <c r="J10" s="677">
        <f>H10/DAY(B2)</f>
        <v>5.2500000000009095E-2</v>
      </c>
      <c r="K10" s="424"/>
      <c r="L10" s="374"/>
      <c r="N10" s="379"/>
    </row>
    <row r="11" spans="1:15">
      <c r="A11" s="672" t="s">
        <v>202</v>
      </c>
      <c r="B11" s="673"/>
      <c r="C11" s="673"/>
      <c r="D11" s="633" t="s">
        <v>198</v>
      </c>
      <c r="E11" s="628">
        <f>'7'!F11</f>
        <v>37000</v>
      </c>
      <c r="F11" s="450">
        <v>37000</v>
      </c>
      <c r="G11" s="685">
        <f t="shared" si="0"/>
        <v>0</v>
      </c>
      <c r="H11" s="675">
        <f>G11+'7'!H11</f>
        <v>0</v>
      </c>
      <c r="I11" s="687"/>
      <c r="J11" s="677">
        <f>H11/DAY(B2)</f>
        <v>0</v>
      </c>
      <c r="K11" s="424"/>
      <c r="L11" s="374"/>
      <c r="N11" s="379"/>
    </row>
    <row r="12" spans="1:15">
      <c r="A12" s="672" t="s">
        <v>203</v>
      </c>
      <c r="B12" s="673"/>
      <c r="C12" s="673"/>
      <c r="D12" s="633" t="s">
        <v>198</v>
      </c>
      <c r="E12" s="628">
        <f>'7'!F12</f>
        <v>40010</v>
      </c>
      <c r="F12" s="473">
        <v>40010</v>
      </c>
      <c r="G12" s="685">
        <f t="shared" si="0"/>
        <v>0</v>
      </c>
      <c r="H12" s="675">
        <f>G12+'7'!H12</f>
        <v>0</v>
      </c>
      <c r="I12" s="687"/>
      <c r="J12" s="677">
        <f>H12/DAY(B2)</f>
        <v>0</v>
      </c>
      <c r="K12" s="424"/>
      <c r="L12" s="374"/>
      <c r="N12" s="379"/>
    </row>
    <row r="13" spans="1:15">
      <c r="A13" s="688" t="s">
        <v>204</v>
      </c>
      <c r="B13" s="689"/>
      <c r="C13" s="689"/>
      <c r="D13" s="633"/>
      <c r="E13" s="628"/>
      <c r="F13" s="450">
        <v>0</v>
      </c>
      <c r="G13" s="690">
        <f>G9+G10+G11+G12</f>
        <v>16397.90000000014</v>
      </c>
      <c r="H13" s="675">
        <f>G13+'7'!H13</f>
        <v>134062.02000000008</v>
      </c>
      <c r="I13" s="691">
        <f>G7-G13</f>
        <v>827.81999999983236</v>
      </c>
      <c r="J13" s="677">
        <f>H13/DAY(B2)</f>
        <v>16757.75250000001</v>
      </c>
      <c r="K13" s="424"/>
      <c r="L13" s="374"/>
      <c r="N13" s="379"/>
    </row>
    <row r="14" spans="1:15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  <c r="O14" s="373" t="s">
        <v>182</v>
      </c>
    </row>
    <row r="15" spans="1:15">
      <c r="A15" s="661" t="s">
        <v>133</v>
      </c>
      <c r="B15" s="662"/>
      <c r="C15" s="662"/>
      <c r="D15" s="663" t="s">
        <v>206</v>
      </c>
      <c r="E15" s="664">
        <f>'7'!F15</f>
        <v>1687720.83</v>
      </c>
      <c r="F15" s="480">
        <v>1688126.95</v>
      </c>
      <c r="G15" s="660">
        <f>(F15-E15)</f>
        <v>406.11999999987893</v>
      </c>
      <c r="H15" s="1347">
        <f>G15+'7'!H15</f>
        <v>3602.9499999999534</v>
      </c>
      <c r="I15" s="1348">
        <v>800</v>
      </c>
      <c r="J15" s="1349">
        <f>H15/DAY(B2)</f>
        <v>450.36874999999418</v>
      </c>
      <c r="K15" s="424"/>
      <c r="L15" s="374"/>
      <c r="N15" s="379"/>
    </row>
    <row r="16" spans="1:15">
      <c r="A16" s="669"/>
      <c r="B16" s="670"/>
      <c r="C16" s="670"/>
      <c r="D16" s="663"/>
      <c r="E16" s="664"/>
      <c r="F16" s="696"/>
      <c r="G16" s="665"/>
      <c r="H16" s="666"/>
      <c r="I16" s="671">
        <f>I15-J15</f>
        <v>349.63125000000582</v>
      </c>
      <c r="J16" s="668"/>
      <c r="K16" s="424"/>
      <c r="L16" s="374"/>
      <c r="N16" s="379"/>
    </row>
    <row r="17" spans="1:14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</row>
    <row r="18" spans="1:14" ht="27.75">
      <c r="A18" s="1506" t="s">
        <v>208</v>
      </c>
      <c r="B18" s="1507"/>
      <c r="C18" s="1508"/>
      <c r="D18" s="633" t="s">
        <v>209</v>
      </c>
      <c r="E18" s="630">
        <f>'7'!F18</f>
        <v>6</v>
      </c>
      <c r="F18" s="621">
        <v>10</v>
      </c>
      <c r="G18" s="690">
        <f>F18*10</f>
        <v>100</v>
      </c>
      <c r="H18" s="675">
        <f>G18+'7'!H18</f>
        <v>510</v>
      </c>
      <c r="I18" s="676">
        <f>'1'!I18</f>
        <v>65</v>
      </c>
      <c r="J18" s="677">
        <f>H18/DAY(B2)</f>
        <v>63.75</v>
      </c>
      <c r="K18" s="424"/>
      <c r="L18" s="374"/>
      <c r="N18" s="379"/>
    </row>
    <row r="19" spans="1:14" ht="27.75">
      <c r="A19" s="1506" t="s">
        <v>113</v>
      </c>
      <c r="B19" s="1507"/>
      <c r="C19" s="1508"/>
      <c r="D19" s="633" t="s">
        <v>209</v>
      </c>
      <c r="E19" s="630">
        <f>'7'!F19</f>
        <v>140037</v>
      </c>
      <c r="F19" s="473">
        <v>140096</v>
      </c>
      <c r="G19" s="685">
        <f t="shared" ref="G19" si="1">F19-E19</f>
        <v>59</v>
      </c>
      <c r="H19" s="675">
        <f>G19+'7'!H19</f>
        <v>484</v>
      </c>
      <c r="I19" s="692"/>
      <c r="J19" s="677">
        <f>H19/DAY(B2)</f>
        <v>60.5</v>
      </c>
      <c r="K19" s="424"/>
      <c r="L19" s="374"/>
      <c r="N19" s="379"/>
    </row>
    <row r="20" spans="1:14">
      <c r="A20" s="688" t="s">
        <v>210</v>
      </c>
      <c r="B20" s="689"/>
      <c r="C20" s="689"/>
      <c r="D20" s="633"/>
      <c r="E20" s="633"/>
      <c r="F20" s="518"/>
      <c r="G20" s="693">
        <f>G18+G19</f>
        <v>159</v>
      </c>
      <c r="H20" s="675">
        <f>G20+'7'!H20</f>
        <v>994</v>
      </c>
      <c r="I20" s="694">
        <f>I18-J20</f>
        <v>-59.25</v>
      </c>
      <c r="J20" s="677">
        <f>H20/DAY(B2)</f>
        <v>124.25</v>
      </c>
      <c r="K20" s="424"/>
      <c r="L20" s="374"/>
      <c r="N20" s="379"/>
    </row>
    <row r="21" spans="1:14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</row>
    <row r="22" spans="1:14">
      <c r="A22" s="1392" t="s">
        <v>212</v>
      </c>
      <c r="B22" s="584"/>
      <c r="C22" s="584"/>
      <c r="D22" s="518" t="s">
        <v>213</v>
      </c>
      <c r="E22" s="479">
        <f>'7'!F22</f>
        <v>2970</v>
      </c>
      <c r="F22" s="473">
        <v>2970</v>
      </c>
      <c r="G22" s="476">
        <f>(E22-F22)</f>
        <v>0</v>
      </c>
      <c r="H22" s="455">
        <f>G22+'7'!H22</f>
        <v>0</v>
      </c>
      <c r="I22" s="475"/>
      <c r="J22" s="547">
        <f>H22/DAY(B2)</f>
        <v>0</v>
      </c>
      <c r="K22" s="424"/>
      <c r="L22" s="374"/>
      <c r="N22" s="379"/>
    </row>
    <row r="23" spans="1:14">
      <c r="A23" s="1392" t="s">
        <v>214</v>
      </c>
      <c r="B23" s="584"/>
      <c r="C23" s="584"/>
      <c r="D23" s="518" t="s">
        <v>213</v>
      </c>
      <c r="E23" s="479">
        <f>'7'!F23</f>
        <v>2000</v>
      </c>
      <c r="F23" s="473">
        <v>2000</v>
      </c>
      <c r="G23" s="476">
        <f>(E23-F23)</f>
        <v>0</v>
      </c>
      <c r="H23" s="455">
        <f>G23+'7'!H23</f>
        <v>120</v>
      </c>
      <c r="I23" s="475"/>
      <c r="J23" s="547">
        <f>H23/DAY(B2)</f>
        <v>15</v>
      </c>
      <c r="K23" s="424"/>
      <c r="L23" s="374"/>
      <c r="N23" s="379"/>
    </row>
    <row r="24" spans="1:14">
      <c r="A24" s="585" t="s">
        <v>215</v>
      </c>
      <c r="B24" s="586"/>
      <c r="C24" s="586"/>
      <c r="D24" s="506" t="s">
        <v>213</v>
      </c>
      <c r="E24" s="488">
        <f>'7'!F24</f>
        <v>4970</v>
      </c>
      <c r="F24" s="488">
        <v>4970</v>
      </c>
      <c r="G24" s="755">
        <f>(G22+G23)</f>
        <v>0</v>
      </c>
      <c r="H24" s="455">
        <f>G24+'7'!H24</f>
        <v>120</v>
      </c>
      <c r="I24" s="475"/>
      <c r="J24" s="547">
        <f>H24/DAY(B2)</f>
        <v>15</v>
      </c>
      <c r="K24" s="424"/>
      <c r="L24" s="374"/>
      <c r="N24" s="379"/>
    </row>
    <row r="25" spans="1:14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37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37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17288.559999999998</v>
      </c>
      <c r="F27" s="496">
        <v>9</v>
      </c>
      <c r="G27" s="497">
        <f>E27*F27</f>
        <v>155597.03999999998</v>
      </c>
      <c r="H27" s="455">
        <f>G27+'7'!H27</f>
        <v>1250363.79</v>
      </c>
      <c r="I27" s="498"/>
      <c r="J27" s="547">
        <f>H27/DAY(B2)</f>
        <v>156295.47375</v>
      </c>
      <c r="K27" s="370"/>
      <c r="L27" s="438"/>
      <c r="N27" s="379"/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406.11999999987893</v>
      </c>
      <c r="F28" s="496">
        <v>52</v>
      </c>
      <c r="G28" s="497">
        <f t="shared" ref="G28:G31" si="2">E28*F28</f>
        <v>21118.239999993704</v>
      </c>
      <c r="H28" s="455">
        <f>G28+'7'!H28</f>
        <v>187353.39999999758</v>
      </c>
      <c r="I28" s="500"/>
      <c r="J28" s="547">
        <f>H28/DAY(B2)</f>
        <v>23419.174999999697</v>
      </c>
      <c r="K28" s="370"/>
      <c r="L28" s="438"/>
      <c r="N28" s="379"/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G29+'7'!H29</f>
        <v>8280</v>
      </c>
      <c r="I29" s="500"/>
      <c r="J29" s="547">
        <f>H29/DAY(B2)</f>
        <v>1035</v>
      </c>
      <c r="K29" s="370"/>
      <c r="L29" s="438"/>
      <c r="N29" s="379"/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59</v>
      </c>
      <c r="F30" s="496">
        <v>146</v>
      </c>
      <c r="G30" s="497">
        <f t="shared" si="2"/>
        <v>8614</v>
      </c>
      <c r="H30" s="455">
        <f>G30+'7'!H30</f>
        <v>70664</v>
      </c>
      <c r="I30" s="500"/>
      <c r="J30" s="547">
        <f>H30/DAY(B2)</f>
        <v>8833</v>
      </c>
      <c r="K30" s="370"/>
      <c r="L30" s="438"/>
      <c r="N30" s="379"/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100</v>
      </c>
      <c r="F31" s="496">
        <v>80</v>
      </c>
      <c r="G31" s="497">
        <f t="shared" si="2"/>
        <v>8000</v>
      </c>
      <c r="H31" s="455">
        <f>G31+'7'!H31</f>
        <v>40800</v>
      </c>
      <c r="I31" s="500"/>
      <c r="J31" s="547">
        <f>H31/DAY(B2)</f>
        <v>5100</v>
      </c>
      <c r="K31" s="370"/>
      <c r="L31" s="438"/>
      <c r="N31" s="379"/>
    </row>
    <row r="32" spans="1:14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193329.27999999368</v>
      </c>
      <c r="H32" s="455">
        <f>G32+'7'!H32</f>
        <v>1557461.1899999976</v>
      </c>
      <c r="I32" s="504"/>
      <c r="J32" s="547">
        <f>H32/DAY(B2)</f>
        <v>194682.6487499997</v>
      </c>
      <c r="K32" s="370"/>
      <c r="L32" s="438"/>
      <c r="N32" s="379"/>
    </row>
    <row r="33" spans="1:14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</row>
    <row r="34" spans="1:14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379"/>
    </row>
    <row r="35" spans="1:14">
      <c r="A35" s="573" t="s">
        <v>229</v>
      </c>
      <c r="B35" s="574"/>
      <c r="C35" s="574"/>
      <c r="D35" s="518" t="s">
        <v>198</v>
      </c>
      <c r="E35" s="505">
        <f>'7'!F35</f>
        <v>967655.51</v>
      </c>
      <c r="F35" s="505">
        <v>970115.19</v>
      </c>
      <c r="G35" s="468">
        <f t="shared" ref="G35:G46" si="3">F35-E35</f>
        <v>2459.6799999999348</v>
      </c>
      <c r="H35" s="455">
        <f>G35+'7'!H35</f>
        <v>19627.189999999944</v>
      </c>
      <c r="I35" s="450"/>
      <c r="J35" s="547">
        <f>H35/DAY(B2)</f>
        <v>2453.398749999993</v>
      </c>
      <c r="K35" s="424"/>
      <c r="L35" s="374"/>
      <c r="N35" s="379"/>
    </row>
    <row r="36" spans="1:14">
      <c r="A36" s="573" t="s">
        <v>230</v>
      </c>
      <c r="B36" s="574"/>
      <c r="C36" s="574"/>
      <c r="D36" s="518" t="s">
        <v>198</v>
      </c>
      <c r="E36" s="505">
        <f>'7'!F36</f>
        <v>4057.06</v>
      </c>
      <c r="F36" s="505">
        <v>4653.18</v>
      </c>
      <c r="G36" s="468">
        <f t="shared" si="3"/>
        <v>596.12000000000035</v>
      </c>
      <c r="H36" s="455">
        <f>G36+'7'!H36</f>
        <v>4480.18</v>
      </c>
      <c r="I36" s="450"/>
      <c r="J36" s="547">
        <f>H36/DAY(B2)</f>
        <v>560.02250000000004</v>
      </c>
      <c r="K36" s="424"/>
      <c r="L36" s="374"/>
      <c r="N36" s="623"/>
    </row>
    <row r="37" spans="1:14">
      <c r="A37" s="573" t="s">
        <v>231</v>
      </c>
      <c r="B37" s="574"/>
      <c r="C37" s="574"/>
      <c r="D37" s="518" t="s">
        <v>198</v>
      </c>
      <c r="E37" s="505">
        <f>'7'!F37</f>
        <v>143365.62</v>
      </c>
      <c r="F37" s="505">
        <v>144713.26</v>
      </c>
      <c r="G37" s="468">
        <f t="shared" si="3"/>
        <v>1347.640000000014</v>
      </c>
      <c r="H37" s="455">
        <f>G37+'7'!H37</f>
        <v>10477.260000000009</v>
      </c>
      <c r="I37" s="450"/>
      <c r="J37" s="547">
        <f>H37/DAY(B2)</f>
        <v>1309.6575000000012</v>
      </c>
      <c r="K37" s="424"/>
      <c r="L37" s="374"/>
      <c r="N37" s="624"/>
    </row>
    <row r="38" spans="1:14">
      <c r="A38" s="573" t="s">
        <v>232</v>
      </c>
      <c r="B38" s="574"/>
      <c r="C38" s="574"/>
      <c r="D38" s="518" t="s">
        <v>198</v>
      </c>
      <c r="E38" s="464">
        <f>'7'!F38</f>
        <v>165234.28</v>
      </c>
      <c r="F38" s="464">
        <v>166383.15</v>
      </c>
      <c r="G38" s="468">
        <f t="shared" si="3"/>
        <v>1148.8699999999953</v>
      </c>
      <c r="H38" s="455">
        <f>G38+'7'!H38</f>
        <v>9978.1499999999942</v>
      </c>
      <c r="I38" s="450"/>
      <c r="J38" s="547">
        <f>H38/DAY(B2)</f>
        <v>1247.2687499999993</v>
      </c>
      <c r="K38" s="424"/>
      <c r="L38" s="374"/>
      <c r="N38" s="379"/>
    </row>
    <row r="39" spans="1:14">
      <c r="A39" s="573" t="s">
        <v>233</v>
      </c>
      <c r="B39" s="574"/>
      <c r="C39" s="574"/>
      <c r="D39" s="518" t="s">
        <v>198</v>
      </c>
      <c r="E39" s="505">
        <f>'7'!F39</f>
        <v>326180.09000000003</v>
      </c>
      <c r="F39" s="505">
        <v>329100.28999999998</v>
      </c>
      <c r="G39" s="468">
        <f t="shared" si="3"/>
        <v>2920.1999999999534</v>
      </c>
      <c r="H39" s="455">
        <f>G39+'7'!H39</f>
        <v>20927.289999999979</v>
      </c>
      <c r="I39" s="450"/>
      <c r="J39" s="547">
        <f>H39/DAY(B2)</f>
        <v>2615.9112499999974</v>
      </c>
      <c r="K39" s="424"/>
      <c r="L39" s="374"/>
      <c r="N39" s="379"/>
    </row>
    <row r="40" spans="1:14">
      <c r="A40" s="594" t="s">
        <v>234</v>
      </c>
      <c r="B40" s="595"/>
      <c r="C40" s="595"/>
      <c r="D40" s="518" t="s">
        <v>198</v>
      </c>
      <c r="E40" s="505">
        <f>'7'!F40</f>
        <v>1057.0899999999999</v>
      </c>
      <c r="F40" s="505">
        <v>1057.0899999999999</v>
      </c>
      <c r="G40" s="468">
        <f t="shared" si="3"/>
        <v>0</v>
      </c>
      <c r="H40" s="455">
        <f>G40+'7'!H40</f>
        <v>168.08999999999992</v>
      </c>
      <c r="I40" s="450"/>
      <c r="J40" s="547">
        <f>H40/DAY(B2)</f>
        <v>21.01124999999999</v>
      </c>
      <c r="K40" s="425"/>
      <c r="L40" s="374"/>
      <c r="N40" s="379"/>
    </row>
    <row r="41" spans="1:14">
      <c r="A41" s="573" t="s">
        <v>235</v>
      </c>
      <c r="B41" s="574"/>
      <c r="C41" s="574"/>
      <c r="D41" s="518" t="s">
        <v>198</v>
      </c>
      <c r="E41" s="505">
        <f>'7'!F41</f>
        <v>243578.49</v>
      </c>
      <c r="F41" s="1052">
        <v>248672.59</v>
      </c>
      <c r="G41" s="468">
        <f t="shared" si="3"/>
        <v>5094.1000000000058</v>
      </c>
      <c r="H41" s="455">
        <f>G41+'7'!H41</f>
        <v>8194.5899999999965</v>
      </c>
      <c r="I41" s="450"/>
      <c r="J41" s="547">
        <f>H41/DAY(B2)</f>
        <v>1024.3237499999996</v>
      </c>
      <c r="K41" s="424"/>
      <c r="L41" s="374"/>
      <c r="N41" s="379"/>
    </row>
    <row r="42" spans="1:14">
      <c r="A42" s="573" t="s">
        <v>236</v>
      </c>
      <c r="B42" s="574"/>
      <c r="C42" s="574"/>
      <c r="D42" s="518" t="s">
        <v>198</v>
      </c>
      <c r="E42" s="505">
        <f>'7'!F42</f>
        <v>59210.61</v>
      </c>
      <c r="F42" s="505">
        <v>59210.61</v>
      </c>
      <c r="G42" s="468">
        <f t="shared" si="3"/>
        <v>0</v>
      </c>
      <c r="H42" s="455">
        <f>G42+'7'!H42</f>
        <v>11.639999999999418</v>
      </c>
      <c r="I42" s="450"/>
      <c r="J42" s="547">
        <f>H42/DAY(B2)</f>
        <v>1.4549999999999272</v>
      </c>
      <c r="K42" s="424"/>
      <c r="L42" s="374"/>
      <c r="N42" s="379"/>
    </row>
    <row r="43" spans="1:14">
      <c r="A43" s="573" t="s">
        <v>237</v>
      </c>
      <c r="B43" s="574"/>
      <c r="C43" s="574"/>
      <c r="D43" s="518" t="s">
        <v>198</v>
      </c>
      <c r="E43" s="505">
        <f>'7'!F43</f>
        <v>1058982.7</v>
      </c>
      <c r="F43" s="505">
        <v>1061429.5</v>
      </c>
      <c r="G43" s="468">
        <f t="shared" si="3"/>
        <v>2446.8000000000466</v>
      </c>
      <c r="H43" s="455">
        <f>G43+'7'!H43</f>
        <v>19185.5</v>
      </c>
      <c r="I43" s="450"/>
      <c r="J43" s="547">
        <f>H43/DAY(B2)</f>
        <v>2398.1875</v>
      </c>
      <c r="K43" s="424"/>
      <c r="L43" s="374"/>
      <c r="N43" s="379"/>
    </row>
    <row r="44" spans="1:14">
      <c r="A44" s="573" t="s">
        <v>238</v>
      </c>
      <c r="B44" s="574"/>
      <c r="C44" s="574"/>
      <c r="D44" s="518" t="s">
        <v>198</v>
      </c>
      <c r="E44" s="505">
        <f>'7'!F44</f>
        <v>0</v>
      </c>
      <c r="F44" s="505">
        <v>0</v>
      </c>
      <c r="G44" s="468">
        <f t="shared" si="3"/>
        <v>0</v>
      </c>
      <c r="H44" s="455">
        <f>G44+'7'!H44</f>
        <v>0</v>
      </c>
      <c r="I44" s="450"/>
      <c r="J44" s="547">
        <f>H44/DAY(B2)</f>
        <v>0</v>
      </c>
      <c r="K44" s="424"/>
      <c r="L44" s="374"/>
      <c r="N44" s="379"/>
    </row>
    <row r="45" spans="1:14">
      <c r="A45" s="573" t="s">
        <v>239</v>
      </c>
      <c r="B45" s="574"/>
      <c r="C45" s="574"/>
      <c r="D45" s="518" t="s">
        <v>198</v>
      </c>
      <c r="E45" s="505">
        <f>'7'!F45</f>
        <v>614</v>
      </c>
      <c r="F45" s="505">
        <v>614</v>
      </c>
      <c r="G45" s="468">
        <f t="shared" si="3"/>
        <v>0</v>
      </c>
      <c r="H45" s="455">
        <f>G45+'7'!H45</f>
        <v>0</v>
      </c>
      <c r="I45" s="450"/>
      <c r="J45" s="547">
        <f>H45/DAY(B2)</f>
        <v>0</v>
      </c>
      <c r="K45" s="424"/>
      <c r="L45" s="374"/>
      <c r="N45" s="379"/>
    </row>
    <row r="46" spans="1:14">
      <c r="A46" s="573" t="s">
        <v>240</v>
      </c>
      <c r="B46" s="574"/>
      <c r="C46" s="574"/>
      <c r="D46" s="518" t="s">
        <v>198</v>
      </c>
      <c r="E46" s="505">
        <f>'7'!F46</f>
        <v>187</v>
      </c>
      <c r="F46" s="505">
        <v>187</v>
      </c>
      <c r="G46" s="468">
        <f t="shared" si="3"/>
        <v>0</v>
      </c>
      <c r="H46" s="455">
        <f>G46+'7'!H46</f>
        <v>0</v>
      </c>
      <c r="I46" s="450"/>
      <c r="J46" s="547">
        <f>H46/DAY(B2)</f>
        <v>0</v>
      </c>
      <c r="K46" s="424"/>
      <c r="L46" s="374"/>
      <c r="N46" s="379"/>
    </row>
    <row r="47" spans="1:14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16013.409999999951</v>
      </c>
      <c r="H47" s="455">
        <f>G47+'7'!H47</f>
        <v>93049.889999999912</v>
      </c>
      <c r="I47" s="450"/>
      <c r="J47" s="547">
        <f>H47/DAY(B2)</f>
        <v>11631.236249999989</v>
      </c>
      <c r="K47" s="424"/>
      <c r="L47" s="374"/>
      <c r="N47" s="379"/>
    </row>
    <row r="48" spans="1:14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</row>
    <row r="49" spans="1:14">
      <c r="A49" s="573" t="s">
        <v>229</v>
      </c>
      <c r="B49" s="596"/>
      <c r="C49" s="596"/>
      <c r="D49" s="518" t="s">
        <v>198</v>
      </c>
      <c r="E49" s="505">
        <f>'7'!F49</f>
        <v>260732.13</v>
      </c>
      <c r="F49" s="1052">
        <v>260732.13</v>
      </c>
      <c r="G49" s="468">
        <f t="shared" ref="G49:G58" si="4">F49-E49</f>
        <v>0</v>
      </c>
      <c r="H49" s="455">
        <f>G49+'7'!H49</f>
        <v>0.13000000000465661</v>
      </c>
      <c r="I49" s="450"/>
      <c r="J49" s="547">
        <f>H49/DAY(B2)</f>
        <v>1.6250000000582077E-2</v>
      </c>
      <c r="K49" s="424"/>
      <c r="L49" s="374"/>
      <c r="N49" s="379"/>
    </row>
    <row r="50" spans="1:14">
      <c r="A50" s="573" t="s">
        <v>243</v>
      </c>
      <c r="B50" s="596"/>
      <c r="C50" s="596"/>
      <c r="D50" s="518" t="s">
        <v>198</v>
      </c>
      <c r="E50" s="505">
        <f>'7'!F50</f>
        <v>509372.19</v>
      </c>
      <c r="F50" s="505">
        <v>510204.59</v>
      </c>
      <c r="G50" s="468">
        <f>F50-E50</f>
        <v>832.40000000002328</v>
      </c>
      <c r="H50" s="455">
        <f>G50+'7'!H50</f>
        <v>7668.5900000000256</v>
      </c>
      <c r="I50" s="450"/>
      <c r="J50" s="547">
        <f>H50/DAY(B2)</f>
        <v>958.5737500000032</v>
      </c>
      <c r="K50" s="424"/>
      <c r="L50" s="374"/>
      <c r="N50" s="379"/>
    </row>
    <row r="51" spans="1:14">
      <c r="A51" s="573" t="s">
        <v>231</v>
      </c>
      <c r="B51" s="596"/>
      <c r="C51" s="596"/>
      <c r="D51" s="518" t="s">
        <v>198</v>
      </c>
      <c r="E51" s="505">
        <f>'7'!F51</f>
        <v>144639.87</v>
      </c>
      <c r="F51" s="1052">
        <v>144639.87</v>
      </c>
      <c r="G51" s="468">
        <f t="shared" si="4"/>
        <v>0</v>
      </c>
      <c r="H51" s="455">
        <f>G51+'7'!H51</f>
        <v>-0.13000000000465661</v>
      </c>
      <c r="I51" s="450"/>
      <c r="J51" s="547">
        <f>H51/DAY(B2)</f>
        <v>-1.6250000000582077E-2</v>
      </c>
      <c r="K51" s="424"/>
      <c r="L51" s="374"/>
      <c r="N51" s="379"/>
    </row>
    <row r="52" spans="1:14">
      <c r="A52" s="573" t="s">
        <v>244</v>
      </c>
      <c r="B52" s="596"/>
      <c r="C52" s="596"/>
      <c r="D52" s="518" t="s">
        <v>198</v>
      </c>
      <c r="E52" s="505">
        <f>'7'!F52</f>
        <v>539606.06999999995</v>
      </c>
      <c r="F52" s="1052">
        <v>539606.06999999995</v>
      </c>
      <c r="G52" s="468">
        <f t="shared" si="4"/>
        <v>0</v>
      </c>
      <c r="H52" s="455">
        <f>G52+'7'!H52</f>
        <v>6.9999999948777258E-2</v>
      </c>
      <c r="I52" s="450"/>
      <c r="J52" s="547">
        <f>H52/DAY(B2)</f>
        <v>8.7499999935971573E-3</v>
      </c>
      <c r="K52" s="424"/>
      <c r="L52" s="374"/>
      <c r="N52" s="379"/>
    </row>
    <row r="53" spans="1:14">
      <c r="A53" s="573" t="s">
        <v>233</v>
      </c>
      <c r="B53" s="596"/>
      <c r="C53" s="596"/>
      <c r="D53" s="518" t="s">
        <v>198</v>
      </c>
      <c r="E53" s="505">
        <f>'7'!F53</f>
        <v>434231.67</v>
      </c>
      <c r="F53" s="1052">
        <v>434231.67</v>
      </c>
      <c r="G53" s="468">
        <f t="shared" si="4"/>
        <v>0</v>
      </c>
      <c r="H53" s="455">
        <f>G53+'7'!H53</f>
        <v>1663.6699999999837</v>
      </c>
      <c r="I53" s="450"/>
      <c r="J53" s="547">
        <f>H53/DAY(B2)</f>
        <v>207.95874999999796</v>
      </c>
      <c r="K53" s="424"/>
      <c r="L53" s="374"/>
      <c r="N53" s="379"/>
    </row>
    <row r="54" spans="1:14">
      <c r="A54" s="573" t="s">
        <v>245</v>
      </c>
      <c r="B54" s="596"/>
      <c r="C54" s="596"/>
      <c r="D54" s="518" t="s">
        <v>198</v>
      </c>
      <c r="E54" s="505">
        <f>'7'!F54</f>
        <v>14337.14</v>
      </c>
      <c r="F54" s="505">
        <v>14419.35</v>
      </c>
      <c r="G54" s="468">
        <f t="shared" si="4"/>
        <v>82.210000000000946</v>
      </c>
      <c r="H54" s="455">
        <f>G54+'7'!H54</f>
        <v>669.35000000000036</v>
      </c>
      <c r="I54" s="450"/>
      <c r="J54" s="547">
        <f>H54/DAY(B2)</f>
        <v>83.668750000000045</v>
      </c>
      <c r="K54" s="424"/>
      <c r="L54" s="374"/>
      <c r="N54" s="379"/>
    </row>
    <row r="55" spans="1:14">
      <c r="A55" s="573" t="s">
        <v>246</v>
      </c>
      <c r="B55" s="596"/>
      <c r="C55" s="596"/>
      <c r="D55" s="518" t="s">
        <v>198</v>
      </c>
      <c r="E55" s="505">
        <f>'7'!F55</f>
        <v>68136.52</v>
      </c>
      <c r="F55" s="649">
        <v>68136.52</v>
      </c>
      <c r="G55" s="648">
        <f t="shared" si="4"/>
        <v>0</v>
      </c>
      <c r="H55" s="701">
        <f>G55+'7'!H55</f>
        <v>25.520000000004075</v>
      </c>
      <c r="I55" s="702"/>
      <c r="J55" s="703">
        <f>H55/DAY(B2)</f>
        <v>3.1900000000005093</v>
      </c>
      <c r="K55" s="424"/>
      <c r="L55" s="374"/>
      <c r="N55" s="379"/>
    </row>
    <row r="56" spans="1:14">
      <c r="A56" s="573" t="s">
        <v>247</v>
      </c>
      <c r="B56" s="596"/>
      <c r="C56" s="596"/>
      <c r="D56" s="518" t="s">
        <v>248</v>
      </c>
      <c r="E56" s="505">
        <f>'7'!F56</f>
        <v>648795.11</v>
      </c>
      <c r="F56" s="649">
        <v>648805.15</v>
      </c>
      <c r="G56" s="468">
        <f t="shared" si="4"/>
        <v>10.040000000037253</v>
      </c>
      <c r="H56" s="455">
        <f>G56+'7'!H56</f>
        <v>31607.150000000023</v>
      </c>
      <c r="I56" s="450"/>
      <c r="J56" s="547">
        <f>H56/DAY(B2)</f>
        <v>3950.8937500000029</v>
      </c>
      <c r="K56" s="423"/>
      <c r="L56" s="374"/>
      <c r="N56" s="379"/>
    </row>
    <row r="57" spans="1:14">
      <c r="A57" s="573" t="s">
        <v>237</v>
      </c>
      <c r="B57" s="596"/>
      <c r="C57" s="596"/>
      <c r="D57" s="518" t="s">
        <v>198</v>
      </c>
      <c r="E57" s="505">
        <f>'7'!F57</f>
        <v>7711</v>
      </c>
      <c r="F57" s="1052">
        <v>7711</v>
      </c>
      <c r="G57" s="468">
        <f t="shared" si="4"/>
        <v>0</v>
      </c>
      <c r="H57" s="455">
        <f>G57+'7'!H57</f>
        <v>0</v>
      </c>
      <c r="I57" s="450"/>
      <c r="J57" s="547">
        <f>H57/DAY(B2)</f>
        <v>0</v>
      </c>
      <c r="K57" s="424"/>
      <c r="L57" s="374"/>
      <c r="N57" s="379"/>
    </row>
    <row r="58" spans="1:14">
      <c r="A58" s="573" t="s">
        <v>249</v>
      </c>
      <c r="B58" s="596"/>
      <c r="C58" s="596"/>
      <c r="D58" s="518" t="s">
        <v>198</v>
      </c>
      <c r="E58" s="505">
        <f>'7'!F58</f>
        <v>50479.54</v>
      </c>
      <c r="F58" s="649">
        <v>50560.79</v>
      </c>
      <c r="G58" s="468">
        <f t="shared" si="4"/>
        <v>81.25</v>
      </c>
      <c r="H58" s="455">
        <f>G58+'7'!H58</f>
        <v>935.79000000000087</v>
      </c>
      <c r="I58" s="450"/>
      <c r="J58" s="547">
        <f>H58/DAY(B2)</f>
        <v>116.97375000000011</v>
      </c>
      <c r="K58" s="424"/>
      <c r="L58" s="374"/>
      <c r="N58" s="379"/>
    </row>
    <row r="59" spans="1:14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1005.9000000000615</v>
      </c>
      <c r="H59" s="455">
        <f>G59+'7'!H59</f>
        <v>42570.139999999985</v>
      </c>
      <c r="I59" s="450">
        <f>G7-G60</f>
        <v>206.40999999995984</v>
      </c>
      <c r="J59" s="547">
        <f>H59/DAY(B2)</f>
        <v>5321.2674999999981</v>
      </c>
      <c r="K59" s="424"/>
      <c r="L59" s="374"/>
      <c r="N59" s="379"/>
    </row>
    <row r="60" spans="1:14">
      <c r="A60" s="573"/>
      <c r="B60" s="574"/>
      <c r="C60" s="574"/>
      <c r="D60" s="506" t="s">
        <v>250</v>
      </c>
      <c r="E60" s="506"/>
      <c r="F60" s="506"/>
      <c r="G60" s="476">
        <f>G47+G59</f>
        <v>17019.310000000012</v>
      </c>
      <c r="H60" s="455">
        <f>G60+'7'!H60</f>
        <v>135620.02999999991</v>
      </c>
      <c r="I60" s="450">
        <f>G13-G60</f>
        <v>-621.40999999987253</v>
      </c>
      <c r="J60" s="547">
        <f>H60/DAY(B2)</f>
        <v>16952.503749999989</v>
      </c>
      <c r="K60" s="424"/>
      <c r="L60" s="374"/>
      <c r="N60" s="379"/>
    </row>
    <row r="61" spans="1:14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</row>
    <row r="62" spans="1:14">
      <c r="A62" s="598" t="s">
        <v>252</v>
      </c>
      <c r="B62" s="599"/>
      <c r="C62" s="599"/>
      <c r="D62" s="506" t="s">
        <v>253</v>
      </c>
      <c r="E62" s="505">
        <f>'7'!F62</f>
        <v>0</v>
      </c>
      <c r="F62" s="509">
        <v>0</v>
      </c>
      <c r="G62" s="468">
        <f t="shared" ref="G62:G69" si="5">F62-E62</f>
        <v>0</v>
      </c>
      <c r="H62" s="455">
        <f>G62+'7'!H62</f>
        <v>1.9999999967694748E-3</v>
      </c>
      <c r="I62" s="510"/>
      <c r="J62" s="547">
        <f>H62/DAY(B2)</f>
        <v>2.4999999959618435E-4</v>
      </c>
      <c r="K62" s="424"/>
      <c r="L62" s="374"/>
      <c r="N62" s="379"/>
    </row>
    <row r="63" spans="1:14">
      <c r="A63" s="598" t="s">
        <v>254</v>
      </c>
      <c r="B63" s="599"/>
      <c r="C63" s="599"/>
      <c r="D63" s="506" t="s">
        <v>253</v>
      </c>
      <c r="E63" s="509">
        <f>'7'!F63</f>
        <v>0</v>
      </c>
      <c r="F63" s="509">
        <v>0</v>
      </c>
      <c r="G63" s="468">
        <f t="shared" si="5"/>
        <v>0</v>
      </c>
      <c r="H63" s="455">
        <f>G63+'7'!H63</f>
        <v>0</v>
      </c>
      <c r="I63" s="510"/>
      <c r="J63" s="547">
        <f>H63/DAY(B2)</f>
        <v>0</v>
      </c>
      <c r="K63" s="424"/>
      <c r="L63" s="374"/>
      <c r="N63" s="379"/>
    </row>
    <row r="64" spans="1:14" ht="27.75">
      <c r="A64" s="1450" t="s">
        <v>161</v>
      </c>
      <c r="B64" s="1451"/>
      <c r="C64" s="1452"/>
      <c r="D64" s="518" t="s">
        <v>253</v>
      </c>
      <c r="E64" s="509">
        <f>'7'!F64</f>
        <v>161599.64000000001</v>
      </c>
      <c r="F64" s="473">
        <v>161937.67000000001</v>
      </c>
      <c r="G64" s="468">
        <f t="shared" si="5"/>
        <v>338.02999999999884</v>
      </c>
      <c r="H64" s="455">
        <f>G64+'7'!H64</f>
        <v>2005.6700000000128</v>
      </c>
      <c r="I64" s="475"/>
      <c r="J64" s="547">
        <f>H64/DAY(B2)</f>
        <v>250.7087500000016</v>
      </c>
      <c r="K64" s="424"/>
      <c r="L64" s="374"/>
      <c r="N64" s="379"/>
    </row>
    <row r="65" spans="1:14" ht="27.75">
      <c r="A65" s="1450" t="s">
        <v>162</v>
      </c>
      <c r="B65" s="1451"/>
      <c r="C65" s="1452"/>
      <c r="D65" s="518" t="s">
        <v>253</v>
      </c>
      <c r="E65" s="509">
        <f>'7'!F65</f>
        <v>162666.95000000001</v>
      </c>
      <c r="F65" s="647">
        <v>162864.29999999999</v>
      </c>
      <c r="G65" s="468">
        <f t="shared" si="5"/>
        <v>197.34999999997672</v>
      </c>
      <c r="H65" s="455">
        <f>G65+'7'!H65</f>
        <v>1866.2999999999884</v>
      </c>
      <c r="I65" s="484"/>
      <c r="J65" s="547">
        <f>H65/DAY(B2)</f>
        <v>233.28749999999854</v>
      </c>
      <c r="K65" s="424"/>
      <c r="L65" s="374"/>
      <c r="N65" s="379"/>
    </row>
    <row r="66" spans="1:14" ht="27.75">
      <c r="A66" s="1450" t="s">
        <v>255</v>
      </c>
      <c r="B66" s="1451"/>
      <c r="C66" s="1452"/>
      <c r="D66" s="518" t="s">
        <v>253</v>
      </c>
      <c r="E66" s="509">
        <f>'7'!F66</f>
        <v>58981.97</v>
      </c>
      <c r="F66" s="473">
        <v>59389.64</v>
      </c>
      <c r="G66" s="468">
        <f t="shared" si="5"/>
        <v>407.66999999999825</v>
      </c>
      <c r="H66" s="455">
        <f>G66+'7'!H66</f>
        <v>2584.6399999999994</v>
      </c>
      <c r="I66" s="475"/>
      <c r="J66" s="547">
        <f>H66/DAY(B2)</f>
        <v>323.07999999999993</v>
      </c>
      <c r="K66" s="424"/>
      <c r="L66" s="374"/>
      <c r="N66" s="379"/>
    </row>
    <row r="67" spans="1:14" ht="27.75">
      <c r="A67" s="1450" t="s">
        <v>157</v>
      </c>
      <c r="B67" s="1451"/>
      <c r="C67" s="1452"/>
      <c r="D67" s="518" t="s">
        <v>253</v>
      </c>
      <c r="E67" s="509">
        <f>'7'!F67</f>
        <v>254935.67</v>
      </c>
      <c r="F67" s="473">
        <v>255301.37</v>
      </c>
      <c r="G67" s="468">
        <f t="shared" si="5"/>
        <v>365.69999999998254</v>
      </c>
      <c r="H67" s="455">
        <f>G67+'7'!H67</f>
        <v>3109.3699999999953</v>
      </c>
      <c r="I67" s="484"/>
      <c r="J67" s="547">
        <f>H67/DAY(B2)</f>
        <v>388.67124999999942</v>
      </c>
      <c r="K67" s="425"/>
      <c r="L67" s="374"/>
      <c r="N67" s="379"/>
    </row>
    <row r="68" spans="1:14" ht="27.75">
      <c r="A68" s="1450" t="s">
        <v>164</v>
      </c>
      <c r="B68" s="1451"/>
      <c r="C68" s="1452"/>
      <c r="D68" s="518" t="s">
        <v>253</v>
      </c>
      <c r="E68" s="509">
        <f>'7'!F68</f>
        <v>85321</v>
      </c>
      <c r="F68" s="473">
        <v>85321</v>
      </c>
      <c r="G68" s="468">
        <f t="shared" si="5"/>
        <v>0</v>
      </c>
      <c r="H68" s="455">
        <f>G68+'7'!H68</f>
        <v>0</v>
      </c>
      <c r="I68" s="511"/>
      <c r="J68" s="547">
        <f>H68/DAY(B2)</f>
        <v>0</v>
      </c>
      <c r="K68" s="426"/>
      <c r="L68" s="374"/>
      <c r="N68" s="379"/>
    </row>
    <row r="69" spans="1:14" ht="27.75">
      <c r="A69" s="1450" t="s">
        <v>165</v>
      </c>
      <c r="B69" s="1451"/>
      <c r="C69" s="1452"/>
      <c r="D69" s="518" t="s">
        <v>253</v>
      </c>
      <c r="E69" s="509">
        <f>'7'!F69</f>
        <v>82527.33</v>
      </c>
      <c r="F69" s="473">
        <v>82629.8</v>
      </c>
      <c r="G69" s="468">
        <f t="shared" si="5"/>
        <v>102.47000000000116</v>
      </c>
      <c r="H69" s="455">
        <f>G69+'7'!H69</f>
        <v>880.80000000000291</v>
      </c>
      <c r="I69" s="511"/>
      <c r="J69" s="547">
        <f>H69/DAY(B2)</f>
        <v>110.10000000000036</v>
      </c>
      <c r="K69" s="427"/>
      <c r="L69" s="374"/>
      <c r="N69" s="379"/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513" t="s">
        <v>326</v>
      </c>
      <c r="G70" s="513"/>
      <c r="H70" s="455"/>
      <c r="I70" s="513"/>
      <c r="J70" s="551"/>
      <c r="K70" s="427"/>
      <c r="L70" s="374"/>
      <c r="N70" s="379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</row>
    <row r="72" spans="1:14" ht="27.75">
      <c r="A72" s="1450" t="s">
        <v>258</v>
      </c>
      <c r="B72" s="1451"/>
      <c r="C72" s="1452"/>
      <c r="D72" s="518" t="s">
        <v>253</v>
      </c>
      <c r="E72" s="514">
        <f>'7'!F72</f>
        <v>855939</v>
      </c>
      <c r="F72" s="650">
        <v>855950</v>
      </c>
      <c r="G72" s="468">
        <f t="shared" ref="G72:G84" si="6">F72-E72</f>
        <v>11</v>
      </c>
      <c r="H72" s="455">
        <f>G72+'7'!H72</f>
        <v>107</v>
      </c>
      <c r="I72" s="475"/>
      <c r="J72" s="547">
        <f>H72/DAY(B2)</f>
        <v>13.375</v>
      </c>
      <c r="K72" s="427"/>
      <c r="L72" s="374"/>
      <c r="N72" s="379"/>
    </row>
    <row r="73" spans="1:14" ht="27.75">
      <c r="A73" s="1450" t="s">
        <v>259</v>
      </c>
      <c r="B73" s="1451"/>
      <c r="C73" s="1452"/>
      <c r="D73" s="518" t="s">
        <v>253</v>
      </c>
      <c r="E73" s="514">
        <f>'7'!F73</f>
        <v>885945</v>
      </c>
      <c r="F73" s="651">
        <v>885946</v>
      </c>
      <c r="G73" s="648">
        <f t="shared" si="6"/>
        <v>1</v>
      </c>
      <c r="H73" s="455">
        <f>G73+'7'!H73</f>
        <v>9</v>
      </c>
      <c r="I73" s="475"/>
      <c r="J73" s="547">
        <f>H73/DAY(B2)</f>
        <v>1.125</v>
      </c>
      <c r="K73" s="426"/>
      <c r="L73" s="374"/>
      <c r="N73" s="379"/>
    </row>
    <row r="74" spans="1:14" ht="27.75">
      <c r="A74" s="1450" t="s">
        <v>260</v>
      </c>
      <c r="B74" s="1451"/>
      <c r="C74" s="1452"/>
      <c r="D74" s="518" t="s">
        <v>253</v>
      </c>
      <c r="E74" s="514">
        <f>'7'!F74</f>
        <v>2599.96</v>
      </c>
      <c r="F74" s="650">
        <v>2599.96</v>
      </c>
      <c r="G74" s="468">
        <f t="shared" si="6"/>
        <v>0</v>
      </c>
      <c r="H74" s="455">
        <f>G74+'7'!H74</f>
        <v>13.960000000000036</v>
      </c>
      <c r="I74" s="475"/>
      <c r="J74" s="547">
        <f>H74/DAY(B2)</f>
        <v>1.7450000000000045</v>
      </c>
      <c r="K74" s="427"/>
      <c r="L74" s="374"/>
      <c r="N74" s="379"/>
    </row>
    <row r="75" spans="1:14" ht="27.75">
      <c r="A75" s="1499" t="s">
        <v>261</v>
      </c>
      <c r="B75" s="1500"/>
      <c r="C75" s="1501"/>
      <c r="D75" s="518" t="s">
        <v>253</v>
      </c>
      <c r="E75" s="514">
        <f>'7'!F75</f>
        <v>13112.68</v>
      </c>
      <c r="F75" s="651">
        <v>13172.37</v>
      </c>
      <c r="G75" s="468">
        <f t="shared" si="6"/>
        <v>59.690000000000509</v>
      </c>
      <c r="H75" s="455">
        <f>G75+'7'!H75</f>
        <v>503.3700000000008</v>
      </c>
      <c r="I75" s="475"/>
      <c r="J75" s="547">
        <f>H75/DAY(B2)</f>
        <v>62.9212500000001</v>
      </c>
      <c r="K75" s="426"/>
      <c r="L75" s="374"/>
      <c r="N75" s="379"/>
    </row>
    <row r="76" spans="1:14" ht="27.75">
      <c r="A76" s="1499" t="s">
        <v>262</v>
      </c>
      <c r="B76" s="1500"/>
      <c r="C76" s="1501"/>
      <c r="D76" s="518" t="s">
        <v>253</v>
      </c>
      <c r="E76" s="514">
        <f>'7'!F76</f>
        <v>7837</v>
      </c>
      <c r="F76" s="651">
        <v>7891.65</v>
      </c>
      <c r="G76" s="468">
        <f t="shared" si="6"/>
        <v>54.649999999999636</v>
      </c>
      <c r="H76" s="455">
        <f>G76+'7'!H76</f>
        <v>472.64999999999964</v>
      </c>
      <c r="I76" s="500"/>
      <c r="J76" s="547">
        <f>H76/DAY(B2)</f>
        <v>59.081249999999955</v>
      </c>
      <c r="K76" s="426"/>
      <c r="L76" s="374"/>
      <c r="N76" s="379"/>
    </row>
    <row r="77" spans="1:14" ht="27.75">
      <c r="A77" s="1450" t="s">
        <v>263</v>
      </c>
      <c r="B77" s="1451"/>
      <c r="C77" s="1452"/>
      <c r="D77" s="518" t="s">
        <v>253</v>
      </c>
      <c r="E77" s="514">
        <f>'7'!F77</f>
        <v>703182</v>
      </c>
      <c r="F77" s="650">
        <v>703233</v>
      </c>
      <c r="G77" s="648">
        <f t="shared" si="6"/>
        <v>51</v>
      </c>
      <c r="H77" s="455">
        <f>G77+'7'!H77</f>
        <v>394</v>
      </c>
      <c r="I77" s="500"/>
      <c r="J77" s="547">
        <f>H77/DAY(B2)</f>
        <v>49.25</v>
      </c>
      <c r="K77" s="426"/>
      <c r="L77" s="374"/>
      <c r="N77" s="379"/>
    </row>
    <row r="78" spans="1:14" ht="27.75">
      <c r="A78" s="1395" t="s">
        <v>264</v>
      </c>
      <c r="B78" s="1387"/>
      <c r="C78" s="1387"/>
      <c r="D78" s="518" t="s">
        <v>253</v>
      </c>
      <c r="E78" s="514">
        <f>'7'!F78</f>
        <v>673645</v>
      </c>
      <c r="F78" s="652">
        <v>673702</v>
      </c>
      <c r="G78" s="468">
        <f t="shared" si="6"/>
        <v>57</v>
      </c>
      <c r="H78" s="455">
        <f>G78+'7'!H78</f>
        <v>670</v>
      </c>
      <c r="I78" s="500"/>
      <c r="J78" s="547">
        <f>H78/DAY(B2)</f>
        <v>83.75</v>
      </c>
      <c r="K78" s="426"/>
      <c r="L78" s="374"/>
      <c r="N78" s="379"/>
    </row>
    <row r="79" spans="1:14" ht="27.75">
      <c r="A79" s="1499" t="s">
        <v>151</v>
      </c>
      <c r="B79" s="1500"/>
      <c r="C79" s="1501"/>
      <c r="D79" s="519" t="s">
        <v>253</v>
      </c>
      <c r="E79" s="514">
        <f>'7'!F79</f>
        <v>832086</v>
      </c>
      <c r="F79" s="650">
        <v>832222</v>
      </c>
      <c r="G79" s="468">
        <f t="shared" si="6"/>
        <v>136</v>
      </c>
      <c r="H79" s="455">
        <f>G79+'7'!H79</f>
        <v>1212</v>
      </c>
      <c r="I79" s="500"/>
      <c r="J79" s="547">
        <f>H79/DAY(B2)</f>
        <v>151.5</v>
      </c>
      <c r="K79" s="426"/>
      <c r="L79" s="374"/>
      <c r="N79" s="379"/>
    </row>
    <row r="80" spans="1:14" ht="27.75">
      <c r="A80" s="1499" t="s">
        <v>265</v>
      </c>
      <c r="B80" s="1500"/>
      <c r="C80" s="1501"/>
      <c r="D80" s="519" t="s">
        <v>253</v>
      </c>
      <c r="E80" s="514">
        <f>'7'!F80</f>
        <v>530345</v>
      </c>
      <c r="F80" s="651">
        <v>530677</v>
      </c>
      <c r="G80" s="468">
        <f t="shared" si="6"/>
        <v>332</v>
      </c>
      <c r="H80" s="455">
        <f>G80+'7'!H80</f>
        <v>3019</v>
      </c>
      <c r="I80" s="500"/>
      <c r="J80" s="547">
        <f>H80/DAY(B2)</f>
        <v>377.375</v>
      </c>
      <c r="K80" s="426"/>
      <c r="L80" s="374"/>
      <c r="N80" s="379"/>
    </row>
    <row r="81" spans="1:15" ht="27.75">
      <c r="A81" s="1499" t="s">
        <v>266</v>
      </c>
      <c r="B81" s="1500"/>
      <c r="C81" s="1501"/>
      <c r="D81" s="519" t="s">
        <v>253</v>
      </c>
      <c r="E81" s="514">
        <f>'7'!F81</f>
        <v>639534</v>
      </c>
      <c r="F81" s="651">
        <v>639722</v>
      </c>
      <c r="G81" s="468">
        <f t="shared" si="6"/>
        <v>188</v>
      </c>
      <c r="H81" s="455">
        <f>G81+'7'!H81</f>
        <v>824</v>
      </c>
      <c r="I81" s="500"/>
      <c r="J81" s="547">
        <f>H81/DAY(B2)</f>
        <v>103</v>
      </c>
      <c r="K81" s="426"/>
      <c r="L81" s="374"/>
      <c r="N81" s="379"/>
    </row>
    <row r="82" spans="1:15" ht="27.75">
      <c r="A82" s="1499" t="s">
        <v>267</v>
      </c>
      <c r="B82" s="1500"/>
      <c r="C82" s="1501"/>
      <c r="D82" s="480" t="s">
        <v>198</v>
      </c>
      <c r="E82" s="514">
        <f>'7'!F82</f>
        <v>108264</v>
      </c>
      <c r="F82" s="647">
        <v>108289.60000000001</v>
      </c>
      <c r="G82" s="468">
        <f t="shared" si="6"/>
        <v>25.600000000005821</v>
      </c>
      <c r="H82" s="455">
        <f>G82+'7'!H82</f>
        <v>131.60000000000582</v>
      </c>
      <c r="I82" s="481"/>
      <c r="J82" s="547">
        <f>H82/DAY(B2)</f>
        <v>16.450000000000728</v>
      </c>
      <c r="K82" s="426"/>
      <c r="L82" s="374"/>
      <c r="N82" s="379"/>
    </row>
    <row r="83" spans="1:15" ht="27.75">
      <c r="A83" s="1499" t="s">
        <v>268</v>
      </c>
      <c r="B83" s="1500"/>
      <c r="C83" s="1501"/>
      <c r="D83" s="615" t="s">
        <v>198</v>
      </c>
      <c r="E83" s="514">
        <f>'7'!F83</f>
        <v>21938</v>
      </c>
      <c r="F83" s="615">
        <v>22103</v>
      </c>
      <c r="G83" s="468">
        <f t="shared" si="6"/>
        <v>165</v>
      </c>
      <c r="H83" s="455">
        <f>G83+'7'!H83</f>
        <v>1597</v>
      </c>
      <c r="I83" s="476"/>
      <c r="J83" s="547">
        <f>H83/DAY(B2)</f>
        <v>199.625</v>
      </c>
      <c r="K83" s="425"/>
      <c r="L83" s="374"/>
      <c r="N83" s="379"/>
    </row>
    <row r="84" spans="1:15">
      <c r="A84" s="1396" t="s">
        <v>166</v>
      </c>
      <c r="B84" s="566"/>
      <c r="C84" s="566"/>
      <c r="D84" s="473" t="s">
        <v>198</v>
      </c>
      <c r="E84" s="514">
        <f>'7'!F84</f>
        <v>506046</v>
      </c>
      <c r="F84" s="622">
        <v>506742</v>
      </c>
      <c r="G84" s="468">
        <f t="shared" si="6"/>
        <v>696</v>
      </c>
      <c r="H84" s="455">
        <f>G84+'7'!H84</f>
        <v>6448</v>
      </c>
      <c r="I84" s="476"/>
      <c r="J84" s="547">
        <f>H84/DAY(B2)</f>
        <v>806</v>
      </c>
      <c r="K84" s="377"/>
      <c r="L84" s="374"/>
      <c r="N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1776.940000000006</v>
      </c>
      <c r="H85" s="455">
        <f>G85+'7'!H85</f>
        <v>15401.580000000005</v>
      </c>
      <c r="I85" s="476"/>
      <c r="J85" s="547">
        <f>H85/DAY(B2)</f>
        <v>1925.1975000000007</v>
      </c>
      <c r="K85" s="377"/>
      <c r="L85" s="375"/>
      <c r="N85" s="379"/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'7'!F86</f>
        <v>461154</v>
      </c>
      <c r="F86" s="643">
        <v>461187</v>
      </c>
      <c r="G86" s="701">
        <f t="shared" ref="G86:G91" si="7">F86-E86</f>
        <v>33</v>
      </c>
      <c r="H86" s="701">
        <f t="shared" ref="H86:H88" si="8">G86</f>
        <v>33</v>
      </c>
      <c r="I86" s="648"/>
      <c r="J86" s="703">
        <f>H86/DAY(B2)</f>
        <v>4.125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'7'!F87</f>
        <v>81504.800000000003</v>
      </c>
      <c r="F87" s="643">
        <v>81539.8</v>
      </c>
      <c r="G87" s="701">
        <f t="shared" si="7"/>
        <v>35</v>
      </c>
      <c r="H87" s="701">
        <f t="shared" si="8"/>
        <v>35</v>
      </c>
      <c r="I87" s="648"/>
      <c r="J87" s="703">
        <f>H87/DAY(B2)</f>
        <v>4.375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'7'!F88</f>
        <v>153380</v>
      </c>
      <c r="F88" s="643">
        <v>153406</v>
      </c>
      <c r="G88" s="701">
        <f t="shared" si="7"/>
        <v>26</v>
      </c>
      <c r="H88" s="701">
        <f t="shared" si="8"/>
        <v>26</v>
      </c>
      <c r="I88" s="648"/>
      <c r="J88" s="703">
        <f>H88/DAY(B2)</f>
        <v>3.25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622">
        <f>'7'!F89</f>
        <v>65284.6</v>
      </c>
      <c r="F89" s="643">
        <v>65302.400000000001</v>
      </c>
      <c r="G89" s="701">
        <f t="shared" si="7"/>
        <v>17.80000000000291</v>
      </c>
      <c r="H89" s="701">
        <f>G89</f>
        <v>17.80000000000291</v>
      </c>
      <c r="I89" s="648"/>
      <c r="J89" s="703">
        <f>H89/DAY(B2)</f>
        <v>2.2250000000003638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'7'!F90</f>
        <v>3277.4</v>
      </c>
      <c r="F90" s="643">
        <v>3280.3</v>
      </c>
      <c r="G90" s="701">
        <f t="shared" si="7"/>
        <v>2.9000000000000909</v>
      </c>
      <c r="H90" s="701">
        <f>G90</f>
        <v>2.9000000000000909</v>
      </c>
      <c r="I90" s="648"/>
      <c r="J90" s="703">
        <f>H90/DAY(B2)</f>
        <v>0.36250000000001137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22">
        <f>'7'!F91</f>
        <v>28076</v>
      </c>
      <c r="F91" s="643">
        <v>28085.82</v>
      </c>
      <c r="G91" s="701">
        <f t="shared" si="7"/>
        <v>9.819999999999709</v>
      </c>
      <c r="H91" s="701">
        <f>G91</f>
        <v>9.819999999999709</v>
      </c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'7'!F93</f>
        <v>245802</v>
      </c>
      <c r="F93" s="473">
        <v>245842</v>
      </c>
      <c r="G93" s="468">
        <f t="shared" ref="G93" si="9">F93-E93</f>
        <v>40</v>
      </c>
      <c r="H93" s="455">
        <f>G93+'7'!H93</f>
        <v>354</v>
      </c>
      <c r="I93" s="475"/>
      <c r="J93" s="547">
        <f>H93/DAY(B2)</f>
        <v>44.25</v>
      </c>
      <c r="K93" s="425"/>
      <c r="L93" s="374"/>
      <c r="N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'7'!F94</f>
        <v>186732</v>
      </c>
      <c r="F94" s="480">
        <v>186820</v>
      </c>
      <c r="G94" s="468">
        <f>F94-E94</f>
        <v>88</v>
      </c>
      <c r="H94" s="455">
        <f>G94+'7'!H94</f>
        <v>699</v>
      </c>
      <c r="I94" s="475"/>
      <c r="J94" s="547">
        <f>H94/DAY(B2)</f>
        <v>87.375</v>
      </c>
      <c r="K94" s="377"/>
      <c r="L94" s="374"/>
      <c r="N94" s="379"/>
    </row>
    <row r="95" spans="1:15">
      <c r="A95" s="1447" t="s">
        <v>276</v>
      </c>
      <c r="B95" s="1448"/>
      <c r="C95" s="1449"/>
      <c r="D95" s="518"/>
      <c r="E95" s="479">
        <f>'7'!F95</f>
        <v>0</v>
      </c>
      <c r="F95" s="473"/>
      <c r="G95" s="468">
        <f>G93+G94</f>
        <v>128</v>
      </c>
      <c r="H95" s="455">
        <f>G95+'7'!H95</f>
        <v>977</v>
      </c>
      <c r="I95" s="475"/>
      <c r="J95" s="547">
        <f>H95/DAY(B2)</f>
        <v>122.125</v>
      </c>
      <c r="K95" s="377"/>
      <c r="L95" s="374"/>
      <c r="N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'7'!F96</f>
        <v>414647</v>
      </c>
      <c r="F96" s="473">
        <v>414681</v>
      </c>
      <c r="G96" s="468">
        <f t="shared" ref="G96:G101" si="10">F96-E96</f>
        <v>34</v>
      </c>
      <c r="H96" s="455">
        <f>G96+'7'!H96</f>
        <v>398</v>
      </c>
      <c r="I96" s="475"/>
      <c r="J96" s="547">
        <f>H96/DAY(B2)</f>
        <v>49.75</v>
      </c>
      <c r="K96" s="377"/>
      <c r="L96" s="374"/>
      <c r="N96" s="379"/>
    </row>
    <row r="97" spans="1:14" ht="27.75">
      <c r="A97" s="1392" t="s">
        <v>17</v>
      </c>
      <c r="B97" s="1393"/>
      <c r="C97" s="1393"/>
      <c r="D97" s="518" t="s">
        <v>209</v>
      </c>
      <c r="E97" s="479">
        <f>'7'!F97</f>
        <v>102731</v>
      </c>
      <c r="F97" s="473">
        <v>102740</v>
      </c>
      <c r="G97" s="468">
        <f t="shared" si="10"/>
        <v>9</v>
      </c>
      <c r="H97" s="455">
        <f>G97+'7'!H97</f>
        <v>92</v>
      </c>
      <c r="I97" s="475"/>
      <c r="J97" s="547">
        <f>H97/DAY(B2)</f>
        <v>11.5</v>
      </c>
      <c r="K97" s="423"/>
      <c r="L97" s="374"/>
      <c r="N97" s="379"/>
    </row>
    <row r="98" spans="1:14" ht="27.75">
      <c r="A98" s="1392" t="s">
        <v>18</v>
      </c>
      <c r="B98" s="1393"/>
      <c r="C98" s="1393"/>
      <c r="D98" s="518" t="s">
        <v>209</v>
      </c>
      <c r="E98" s="479">
        <f>'7'!F98</f>
        <v>98079</v>
      </c>
      <c r="F98" s="473">
        <v>98094</v>
      </c>
      <c r="G98" s="468">
        <f t="shared" si="10"/>
        <v>15</v>
      </c>
      <c r="H98" s="455">
        <f>G98+'7'!H98</f>
        <v>144</v>
      </c>
      <c r="I98" s="475"/>
      <c r="J98" s="547">
        <f>H98/DAY(B2)</f>
        <v>18</v>
      </c>
      <c r="K98" s="428"/>
      <c r="L98" s="374"/>
      <c r="N98" s="379"/>
    </row>
    <row r="99" spans="1:14" ht="27.75">
      <c r="A99" s="1392" t="s">
        <v>19</v>
      </c>
      <c r="B99" s="1393"/>
      <c r="C99" s="1393"/>
      <c r="D99" s="518" t="s">
        <v>209</v>
      </c>
      <c r="E99" s="479">
        <f>'7'!F99</f>
        <v>149905</v>
      </c>
      <c r="F99" s="473">
        <v>149910</v>
      </c>
      <c r="G99" s="468">
        <f t="shared" si="10"/>
        <v>5</v>
      </c>
      <c r="H99" s="455">
        <f>G99+'7'!H99</f>
        <v>58</v>
      </c>
      <c r="I99" s="475"/>
      <c r="J99" s="547">
        <f>H99/DAY(B2)</f>
        <v>7.25</v>
      </c>
      <c r="K99" s="377"/>
      <c r="L99" s="374"/>
      <c r="N99" s="700"/>
    </row>
    <row r="100" spans="1:14" ht="27.75">
      <c r="A100" s="1392" t="s">
        <v>20</v>
      </c>
      <c r="B100" s="1393"/>
      <c r="C100" s="1393"/>
      <c r="D100" s="518" t="s">
        <v>209</v>
      </c>
      <c r="E100" s="479">
        <f>'7'!F100</f>
        <v>7465</v>
      </c>
      <c r="F100" s="473">
        <v>7491</v>
      </c>
      <c r="G100" s="468">
        <f t="shared" si="10"/>
        <v>26</v>
      </c>
      <c r="H100" s="455">
        <f>G100+'7'!H100</f>
        <v>122</v>
      </c>
      <c r="I100" s="475"/>
      <c r="J100" s="547">
        <f>H100/DAY(B2)</f>
        <v>15.25</v>
      </c>
      <c r="K100" s="377"/>
      <c r="L100" s="374"/>
      <c r="N100" s="379"/>
    </row>
    <row r="101" spans="1:14" ht="27.75">
      <c r="A101" s="1392" t="s">
        <v>21</v>
      </c>
      <c r="B101" s="1393"/>
      <c r="C101" s="1393"/>
      <c r="D101" s="518" t="s">
        <v>209</v>
      </c>
      <c r="E101" s="479">
        <f>'7'!F101</f>
        <v>5436</v>
      </c>
      <c r="F101" s="473">
        <v>5442</v>
      </c>
      <c r="G101" s="468">
        <f t="shared" si="10"/>
        <v>6</v>
      </c>
      <c r="H101" s="455">
        <f>G101+'7'!H101</f>
        <v>51</v>
      </c>
      <c r="I101" s="475"/>
      <c r="J101" s="547">
        <f>H101/DAY(B2)</f>
        <v>6.375</v>
      </c>
      <c r="K101" s="377"/>
      <c r="L101" s="374"/>
      <c r="N101" s="379"/>
    </row>
    <row r="102" spans="1:14">
      <c r="A102" s="1447" t="s">
        <v>277</v>
      </c>
      <c r="B102" s="1448"/>
      <c r="C102" s="1449"/>
      <c r="D102" s="519"/>
      <c r="E102" s="519"/>
      <c r="F102" s="519"/>
      <c r="G102" s="520">
        <f>SUM(G96:G101)</f>
        <v>95</v>
      </c>
      <c r="H102" s="455">
        <f>G102+'7'!H102</f>
        <v>865</v>
      </c>
      <c r="I102" s="521"/>
      <c r="J102" s="547">
        <f>H102/DAY(B2)</f>
        <v>108.125</v>
      </c>
      <c r="K102" s="377"/>
      <c r="L102" s="374"/>
      <c r="N102" s="379"/>
    </row>
    <row r="103" spans="1:14" s="437" customFormat="1" ht="27">
      <c r="A103" s="602" t="s">
        <v>278</v>
      </c>
      <c r="B103" s="603"/>
      <c r="C103" s="603"/>
      <c r="D103" s="616"/>
      <c r="E103" s="523"/>
      <c r="F103" s="653"/>
      <c r="G103" s="524"/>
      <c r="H103" s="525"/>
      <c r="I103" s="526"/>
      <c r="J103" s="552"/>
      <c r="N103" s="379"/>
    </row>
    <row r="104" spans="1:14" s="437" customFormat="1" ht="27.75">
      <c r="A104" s="1456" t="s">
        <v>279</v>
      </c>
      <c r="B104" s="1457"/>
      <c r="C104" s="568"/>
      <c r="D104" s="617"/>
      <c r="E104" s="527"/>
      <c r="F104" s="654"/>
      <c r="G104" s="527"/>
      <c r="H104" s="528"/>
      <c r="I104" s="527"/>
      <c r="J104" s="553"/>
      <c r="N104" s="37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527">
        <f>'7'!F105</f>
        <v>7484</v>
      </c>
      <c r="F105" s="654">
        <v>7484</v>
      </c>
      <c r="G105" s="527">
        <f>F105-E105</f>
        <v>0</v>
      </c>
      <c r="H105" s="455">
        <f>G105+'7'!H105</f>
        <v>0</v>
      </c>
      <c r="I105" s="527"/>
      <c r="J105" s="553">
        <f>H105/DAY(B2)</f>
        <v>0</v>
      </c>
      <c r="N105" s="379"/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527">
        <f>'7'!F106</f>
        <v>35989</v>
      </c>
      <c r="F106" s="799">
        <v>35989</v>
      </c>
      <c r="G106" s="527">
        <f t="shared" ref="G106:G107" si="11">F106-E106</f>
        <v>0</v>
      </c>
      <c r="H106" s="455">
        <f>G106+'7'!H106</f>
        <v>36</v>
      </c>
      <c r="I106" s="527"/>
      <c r="J106" s="553">
        <f>H106/DAY(B2)</f>
        <v>4.5</v>
      </c>
      <c r="N106" s="379"/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527">
        <f>'7'!F107</f>
        <v>19729</v>
      </c>
      <c r="F107" s="655">
        <v>19732</v>
      </c>
      <c r="G107" s="527">
        <f t="shared" si="11"/>
        <v>3</v>
      </c>
      <c r="H107" s="455">
        <f>G107+'7'!H107</f>
        <v>24</v>
      </c>
      <c r="I107" s="527"/>
      <c r="J107" s="553">
        <f>H107/DAY(B2)</f>
        <v>3</v>
      </c>
      <c r="N107" s="379"/>
    </row>
    <row r="108" spans="1:14" s="437" customFormat="1" ht="27.75">
      <c r="A108" s="1461" t="s">
        <v>102</v>
      </c>
      <c r="B108" s="1462"/>
      <c r="C108" s="1391"/>
      <c r="D108" s="617"/>
      <c r="E108" s="527"/>
      <c r="F108" s="655"/>
      <c r="G108" s="527">
        <f>SUM(G105:G107)</f>
        <v>3</v>
      </c>
      <c r="H108" s="455">
        <f>G108+'7'!H108</f>
        <v>60</v>
      </c>
      <c r="I108" s="527"/>
      <c r="J108" s="553">
        <f>H108/DAY(B2)</f>
        <v>7.5</v>
      </c>
      <c r="N108" s="379"/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527"/>
      <c r="F109" s="655"/>
      <c r="G109" s="527"/>
      <c r="H109" s="455">
        <f>G109+'7'!H109</f>
        <v>0</v>
      </c>
      <c r="I109" s="527"/>
      <c r="J109" s="553"/>
      <c r="N109" s="37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527">
        <f>'7'!F110</f>
        <v>63305</v>
      </c>
      <c r="F110" s="655">
        <v>63350</v>
      </c>
      <c r="G110" s="527">
        <f>F110-E110</f>
        <v>45</v>
      </c>
      <c r="H110" s="455">
        <f>G110+'7'!H110</f>
        <v>516</v>
      </c>
      <c r="I110" s="527"/>
      <c r="J110" s="553">
        <f>H110/DAY(B2)</f>
        <v>64.5</v>
      </c>
      <c r="N110" s="379"/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527">
        <f>'7'!F111</f>
        <v>32615</v>
      </c>
      <c r="F111" s="799">
        <v>32632</v>
      </c>
      <c r="G111" s="527">
        <f t="shared" ref="G111:G112" si="12">F111-E111</f>
        <v>17</v>
      </c>
      <c r="H111" s="455">
        <f>G111+'7'!H111</f>
        <v>54</v>
      </c>
      <c r="I111" s="527"/>
      <c r="J111" s="553">
        <f>H111/DAY(B2)</f>
        <v>6.75</v>
      </c>
      <c r="N111" s="379"/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527">
        <f>'7'!F112</f>
        <v>4621</v>
      </c>
      <c r="F112" s="799">
        <v>4621</v>
      </c>
      <c r="G112" s="527">
        <f t="shared" si="12"/>
        <v>0</v>
      </c>
      <c r="H112" s="455">
        <f>G112+'7'!H112</f>
        <v>45</v>
      </c>
      <c r="I112" s="527"/>
      <c r="J112" s="553">
        <f>H112/DAY(B2)</f>
        <v>5.625</v>
      </c>
      <c r="N112" s="379"/>
    </row>
    <row r="113" spans="1:14" s="437" customFormat="1" ht="27.75">
      <c r="A113" s="1461" t="s">
        <v>174</v>
      </c>
      <c r="B113" s="1462"/>
      <c r="C113" s="1391"/>
      <c r="D113" s="617"/>
      <c r="E113" s="527"/>
      <c r="F113" s="655"/>
      <c r="G113" s="527">
        <f>SUM(G110:G112)</f>
        <v>62</v>
      </c>
      <c r="H113" s="455">
        <f>G113+'7'!H113</f>
        <v>615</v>
      </c>
      <c r="I113" s="527"/>
      <c r="J113" s="553">
        <f>H113/DAY(B2)</f>
        <v>76.875</v>
      </c>
      <c r="N113" s="379"/>
    </row>
    <row r="114" spans="1:14" s="437" customFormat="1" ht="27.75">
      <c r="A114" s="1463" t="s">
        <v>280</v>
      </c>
      <c r="B114" s="1464"/>
      <c r="C114" s="1391"/>
      <c r="D114" s="617"/>
      <c r="E114" s="527"/>
      <c r="F114" s="655"/>
      <c r="G114" s="527"/>
      <c r="H114" s="455">
        <f>G114+'7'!H114</f>
        <v>0</v>
      </c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527">
        <f>'7'!F115</f>
        <v>11616</v>
      </c>
      <c r="F115" s="655">
        <v>11647</v>
      </c>
      <c r="G115" s="529">
        <f>F115-E115</f>
        <v>31</v>
      </c>
      <c r="H115" s="455">
        <f>G115+'7'!H115</f>
        <v>150</v>
      </c>
      <c r="I115" s="527"/>
      <c r="J115" s="553">
        <f>H115/DAY(B2)</f>
        <v>18.75</v>
      </c>
      <c r="N115" s="37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527">
        <f>'7'!F116</f>
        <v>8356</v>
      </c>
      <c r="F116" s="655">
        <v>8362</v>
      </c>
      <c r="G116" s="529">
        <f t="shared" ref="G116:G117" si="13">F116-E116</f>
        <v>6</v>
      </c>
      <c r="H116" s="455">
        <f>G116+'7'!H116</f>
        <v>50</v>
      </c>
      <c r="I116" s="527"/>
      <c r="J116" s="553">
        <f>H116/DAY(B2)</f>
        <v>6.25</v>
      </c>
      <c r="N116" s="37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455">
        <f>G117+'7'!H117</f>
        <v>0</v>
      </c>
      <c r="I117" s="527"/>
      <c r="J117" s="553">
        <f>H117/DAY(B2)</f>
        <v>0</v>
      </c>
      <c r="N117" s="379"/>
    </row>
    <row r="118" spans="1:14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37</v>
      </c>
      <c r="H118" s="455">
        <f>G118+'7'!H118</f>
        <v>200</v>
      </c>
      <c r="I118" s="529"/>
      <c r="J118" s="553">
        <f>H118/DAY(B2)</f>
        <v>25</v>
      </c>
      <c r="N118" s="37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99</v>
      </c>
      <c r="G119" s="531">
        <f>SUM(G19+G93)</f>
        <v>99</v>
      </c>
      <c r="H119" s="455">
        <f>G119+'7'!H119</f>
        <v>838</v>
      </c>
      <c r="I119" s="530"/>
      <c r="J119" s="554">
        <f>H119/DAY(B2)</f>
        <v>104.75</v>
      </c>
      <c r="N119" s="37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90</v>
      </c>
      <c r="G120" s="531">
        <f>SUM(G96,G97,G98,G100,G101)</f>
        <v>90</v>
      </c>
      <c r="H120" s="455">
        <f>G120+'7'!H120</f>
        <v>807</v>
      </c>
      <c r="I120" s="530"/>
      <c r="J120" s="554">
        <f>H120/DAY(B2)</f>
        <v>100.875</v>
      </c>
      <c r="N120" s="37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62</v>
      </c>
      <c r="G121" s="529">
        <f>SUM(G113)</f>
        <v>62</v>
      </c>
      <c r="H121" s="455">
        <f>G121+'7'!H121</f>
        <v>615</v>
      </c>
      <c r="I121" s="530"/>
      <c r="J121" s="554">
        <f>H121/DAY(B2)</f>
        <v>76.875</v>
      </c>
      <c r="N121" s="379"/>
    </row>
    <row r="122" spans="1:14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'7'!F124</f>
        <v>833623</v>
      </c>
      <c r="F124" s="473">
        <v>833801.89</v>
      </c>
      <c r="G124" s="468">
        <f t="shared" ref="G124:G128" si="14">F124-E124</f>
        <v>178.89000000001397</v>
      </c>
      <c r="H124" s="455">
        <f>G124+'7'!H124</f>
        <v>1435.890000000014</v>
      </c>
      <c r="I124" s="521"/>
      <c r="J124" s="547">
        <f>H124/DAY(B2)</f>
        <v>179.48625000000175</v>
      </c>
      <c r="K124" s="377"/>
      <c r="L124" s="374"/>
      <c r="N124" s="379"/>
    </row>
    <row r="125" spans="1:14" ht="27.75">
      <c r="A125" s="1392" t="s">
        <v>287</v>
      </c>
      <c r="B125" s="1393"/>
      <c r="C125" s="1393"/>
      <c r="D125" s="518" t="s">
        <v>206</v>
      </c>
      <c r="E125" s="621">
        <f>'7'!F125</f>
        <v>73583</v>
      </c>
      <c r="F125" s="621">
        <v>73583.399999999994</v>
      </c>
      <c r="G125" s="468">
        <f t="shared" si="14"/>
        <v>0.39999999999417923</v>
      </c>
      <c r="H125" s="455">
        <f>G125+'7'!H125</f>
        <v>0</v>
      </c>
      <c r="I125" s="521"/>
      <c r="J125" s="547">
        <f>H125/DAY(B2)</f>
        <v>0</v>
      </c>
      <c r="K125" s="377"/>
      <c r="L125" s="374"/>
      <c r="N125" s="379"/>
    </row>
    <row r="126" spans="1:14" ht="27.75">
      <c r="A126" s="1450" t="s">
        <v>288</v>
      </c>
      <c r="B126" s="1451"/>
      <c r="C126" s="1452"/>
      <c r="D126" s="518" t="s">
        <v>206</v>
      </c>
      <c r="E126" s="473">
        <f>'7'!F126</f>
        <v>146920</v>
      </c>
      <c r="F126" s="473">
        <v>146978</v>
      </c>
      <c r="G126" s="468">
        <f t="shared" si="14"/>
        <v>58</v>
      </c>
      <c r="H126" s="455">
        <f>G126+'7'!H126</f>
        <v>487</v>
      </c>
      <c r="I126" s="521"/>
      <c r="J126" s="547">
        <f>H126/DAY(B2)</f>
        <v>60.875</v>
      </c>
      <c r="K126" s="377"/>
      <c r="L126" s="374"/>
      <c r="N126" s="379"/>
    </row>
    <row r="127" spans="1:14" ht="27.75">
      <c r="A127" s="604" t="s">
        <v>289</v>
      </c>
      <c r="B127" s="1393"/>
      <c r="C127" s="1393"/>
      <c r="D127" s="518" t="s">
        <v>206</v>
      </c>
      <c r="E127" s="621">
        <f>'7'!F127</f>
        <v>31409</v>
      </c>
      <c r="F127" s="621">
        <v>31409</v>
      </c>
      <c r="G127" s="468">
        <f t="shared" si="14"/>
        <v>0</v>
      </c>
      <c r="H127" s="455">
        <f>G127+'7'!H127</f>
        <v>3</v>
      </c>
      <c r="I127" s="521"/>
      <c r="J127" s="547">
        <f>H127/DAY(B2)</f>
        <v>0.375</v>
      </c>
      <c r="K127" s="377"/>
      <c r="L127" s="374"/>
      <c r="N127" s="379"/>
    </row>
    <row r="128" spans="1:14" ht="27.75">
      <c r="A128" s="604" t="s">
        <v>290</v>
      </c>
      <c r="B128" s="1393"/>
      <c r="C128" s="1393"/>
      <c r="D128" s="518" t="s">
        <v>206</v>
      </c>
      <c r="E128" s="621">
        <f>'7'!F128</f>
        <v>8971.9</v>
      </c>
      <c r="F128" s="621">
        <v>8972</v>
      </c>
      <c r="G128" s="468">
        <f t="shared" si="14"/>
        <v>0.1000000000003638</v>
      </c>
      <c r="H128" s="455">
        <f>G128+'7'!H128</f>
        <v>0</v>
      </c>
      <c r="I128" s="475"/>
      <c r="J128" s="547">
        <f>H128/DAY(B2)</f>
        <v>0</v>
      </c>
      <c r="K128" s="377"/>
      <c r="L128" s="374"/>
      <c r="N128" s="37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168.72999999987042</v>
      </c>
      <c r="H129" s="455"/>
      <c r="I129" s="475"/>
      <c r="J129" s="547"/>
      <c r="K129" s="361"/>
      <c r="L129" s="289"/>
      <c r="N129" s="379"/>
    </row>
    <row r="130" spans="1:14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'7'!F131</f>
        <v>0</v>
      </c>
      <c r="F131" s="473">
        <v>0</v>
      </c>
      <c r="G131" s="468">
        <f t="shared" ref="G131:G141" si="15">F131-E131</f>
        <v>0</v>
      </c>
      <c r="H131" s="455">
        <f>G131+'7'!H131</f>
        <v>0</v>
      </c>
      <c r="I131" s="475"/>
      <c r="J131" s="547">
        <f>H131/DAY(B2)</f>
        <v>0</v>
      </c>
      <c r="N131" s="37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'7'!F132</f>
        <v>0</v>
      </c>
      <c r="F132" s="473">
        <v>0</v>
      </c>
      <c r="G132" s="468">
        <f t="shared" si="15"/>
        <v>0</v>
      </c>
      <c r="H132" s="455">
        <f>G132+'7'!H132</f>
        <v>0</v>
      </c>
      <c r="I132" s="475"/>
      <c r="J132" s="547">
        <f>H132/DAY(B2)</f>
        <v>0</v>
      </c>
      <c r="N132" s="379"/>
    </row>
    <row r="133" spans="1:14" ht="27.75">
      <c r="A133" s="1392" t="s">
        <v>296</v>
      </c>
      <c r="B133" s="1393"/>
      <c r="C133" s="1393"/>
      <c r="D133" s="518" t="s">
        <v>294</v>
      </c>
      <c r="E133" s="697">
        <f>'7'!F133</f>
        <v>40050.589999999997</v>
      </c>
      <c r="F133" s="621">
        <v>40074.58</v>
      </c>
      <c r="G133" s="468">
        <f t="shared" si="15"/>
        <v>23.990000000005239</v>
      </c>
      <c r="H133" s="455">
        <f>G133+'7'!H133</f>
        <v>39.480000000003201</v>
      </c>
      <c r="I133" s="475"/>
      <c r="J133" s="547">
        <f>H133/DAY(B2)</f>
        <v>4.9350000000004002</v>
      </c>
      <c r="N133" s="379">
        <f>F133-24</f>
        <v>40050.58</v>
      </c>
    </row>
    <row r="134" spans="1:14" ht="27.75">
      <c r="A134" s="1392" t="s">
        <v>297</v>
      </c>
      <c r="B134" s="1393"/>
      <c r="C134" s="1393"/>
      <c r="D134" s="518" t="s">
        <v>294</v>
      </c>
      <c r="E134" s="517">
        <f>'7'!F134</f>
        <v>300.19</v>
      </c>
      <c r="F134" s="480">
        <v>300</v>
      </c>
      <c r="G134" s="468">
        <f t="shared" si="15"/>
        <v>-0.18999999999999773</v>
      </c>
      <c r="H134" s="455">
        <f>G134+'7'!H134</f>
        <v>0</v>
      </c>
      <c r="I134" s="475">
        <f>G131+G132+G133+G134</f>
        <v>23.800000000005241</v>
      </c>
      <c r="J134" s="547">
        <f>H134/DAY(B2)</f>
        <v>0</v>
      </c>
      <c r="N134" s="379"/>
    </row>
    <row r="135" spans="1:14" ht="27.75">
      <c r="A135" s="1392" t="s">
        <v>298</v>
      </c>
      <c r="B135" s="1393"/>
      <c r="C135" s="1393"/>
      <c r="D135" s="518" t="s">
        <v>294</v>
      </c>
      <c r="E135" s="697">
        <f>'7'!F135</f>
        <v>41730.449999999997</v>
      </c>
      <c r="F135" s="621">
        <v>41730.449999999997</v>
      </c>
      <c r="G135" s="468">
        <f t="shared" si="15"/>
        <v>0</v>
      </c>
      <c r="H135" s="455">
        <f>G135+'7'!H135</f>
        <v>0.44999999999708962</v>
      </c>
      <c r="I135" s="475"/>
      <c r="J135" s="547">
        <f>H135/DAY(B2)</f>
        <v>5.6249999999636202E-2</v>
      </c>
      <c r="N135" s="379"/>
    </row>
    <row r="136" spans="1:14" ht="27.75">
      <c r="A136" s="1392" t="s">
        <v>299</v>
      </c>
      <c r="B136" s="1393"/>
      <c r="C136" s="1393"/>
      <c r="D136" s="518" t="s">
        <v>294</v>
      </c>
      <c r="E136" s="697">
        <f>'7'!F136</f>
        <v>32874.050000000003</v>
      </c>
      <c r="F136" s="621">
        <v>32874.050000000003</v>
      </c>
      <c r="G136" s="468">
        <f t="shared" si="15"/>
        <v>0</v>
      </c>
      <c r="H136" s="455">
        <f>G136+'7'!H136</f>
        <v>159.05000000000291</v>
      </c>
      <c r="I136" s="475"/>
      <c r="J136" s="547">
        <f>H136/DAY(B2)</f>
        <v>19.881250000000364</v>
      </c>
      <c r="N136" s="379"/>
    </row>
    <row r="137" spans="1:14" ht="27.75">
      <c r="A137" s="1392" t="s">
        <v>300</v>
      </c>
      <c r="B137" s="1393"/>
      <c r="C137" s="1393"/>
      <c r="D137" s="518" t="s">
        <v>294</v>
      </c>
      <c r="E137" s="536">
        <f>'7'!F137</f>
        <v>22825.71</v>
      </c>
      <c r="F137" s="647">
        <v>22825.71</v>
      </c>
      <c r="G137" s="468">
        <f t="shared" si="15"/>
        <v>0</v>
      </c>
      <c r="H137" s="455">
        <f>G137+'7'!H137</f>
        <v>18.469999999997526</v>
      </c>
      <c r="I137" s="475">
        <f>G135+G136+G137</f>
        <v>0</v>
      </c>
      <c r="J137" s="547">
        <f>H137/DAY(B2)</f>
        <v>2.3087499999996908</v>
      </c>
      <c r="N137" s="379"/>
    </row>
    <row r="138" spans="1:14" ht="27.75">
      <c r="A138" s="1392" t="s">
        <v>301</v>
      </c>
      <c r="B138" s="1393"/>
      <c r="C138" s="1393"/>
      <c r="D138" s="518" t="s">
        <v>294</v>
      </c>
      <c r="E138" s="536">
        <f>'7'!F138</f>
        <v>25051.82</v>
      </c>
      <c r="F138" s="647">
        <v>25051.82</v>
      </c>
      <c r="G138" s="468">
        <f t="shared" si="15"/>
        <v>0</v>
      </c>
      <c r="H138" s="455">
        <f>G138+'7'!H138</f>
        <v>0</v>
      </c>
      <c r="I138" s="475"/>
      <c r="J138" s="547">
        <f>H138/DAY(B2)</f>
        <v>0</v>
      </c>
      <c r="N138" s="379"/>
    </row>
    <row r="139" spans="1:14" ht="27.75">
      <c r="A139" s="1392" t="s">
        <v>302</v>
      </c>
      <c r="B139" s="1393"/>
      <c r="C139" s="1393"/>
      <c r="D139" s="518" t="s">
        <v>294</v>
      </c>
      <c r="E139" s="536">
        <f>'7'!F139</f>
        <v>70437.179999999993</v>
      </c>
      <c r="F139" s="647">
        <v>70446.41</v>
      </c>
      <c r="G139" s="468">
        <f t="shared" si="15"/>
        <v>9.2300000000104774</v>
      </c>
      <c r="H139" s="455">
        <f>G139+'7'!H139</f>
        <v>34.669999999998254</v>
      </c>
      <c r="I139" s="475">
        <f>G138+G139</f>
        <v>9.2300000000104774</v>
      </c>
      <c r="J139" s="547">
        <f>H139/DAY(B2)</f>
        <v>4.3337499999997817</v>
      </c>
      <c r="N139" s="379"/>
    </row>
    <row r="140" spans="1:14" ht="27.75">
      <c r="A140" s="1392" t="s">
        <v>303</v>
      </c>
      <c r="B140" s="1393"/>
      <c r="C140" s="1393"/>
      <c r="D140" s="518" t="s">
        <v>294</v>
      </c>
      <c r="E140" s="697">
        <f>'7'!F140</f>
        <v>1902.57</v>
      </c>
      <c r="F140" s="621">
        <v>1909.91</v>
      </c>
      <c r="G140" s="468">
        <f t="shared" si="15"/>
        <v>7.3400000000001455</v>
      </c>
      <c r="H140" s="455">
        <f>G140+'7'!H140</f>
        <v>55.610000000000127</v>
      </c>
      <c r="I140" s="537"/>
      <c r="J140" s="547">
        <f>H140/DAY(B2)</f>
        <v>6.9512500000000159</v>
      </c>
      <c r="N140" s="379"/>
    </row>
    <row r="141" spans="1:14" ht="27.75">
      <c r="A141" s="1392" t="s">
        <v>304</v>
      </c>
      <c r="B141" s="1393"/>
      <c r="C141" s="1393"/>
      <c r="D141" s="518" t="s">
        <v>294</v>
      </c>
      <c r="E141" s="479">
        <f>'7'!F141</f>
        <v>4637</v>
      </c>
      <c r="F141" s="473">
        <v>4637</v>
      </c>
      <c r="G141" s="468">
        <f t="shared" si="15"/>
        <v>0</v>
      </c>
      <c r="H141" s="455">
        <f>G141+'7'!H141</f>
        <v>0</v>
      </c>
      <c r="I141" s="537"/>
      <c r="J141" s="547">
        <f>H141/DAY(B2)</f>
        <v>0</v>
      </c>
      <c r="N141" s="379"/>
    </row>
    <row r="142" spans="1:14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4906.4799999999814</v>
      </c>
      <c r="H143" s="455">
        <f>G143+'7'!H143</f>
        <v>38812.819999999949</v>
      </c>
      <c r="I143" s="475"/>
      <c r="J143" s="547">
        <f>H143/DAY(B2)</f>
        <v>4851.6024999999936</v>
      </c>
      <c r="K143" s="377"/>
      <c r="L143" s="374"/>
      <c r="N143" s="37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0.28483453812090231</v>
      </c>
      <c r="H144" s="455">
        <f>G144+'7'!H144</f>
        <v>2.249213615231052</v>
      </c>
      <c r="I144" s="539"/>
      <c r="J144" s="547">
        <f>H144/DAY(B2)</f>
        <v>0.2811517019038815</v>
      </c>
      <c r="K144" s="377"/>
      <c r="L144" s="374"/>
      <c r="N144" s="37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5104.1400000000431</v>
      </c>
      <c r="H145" s="455">
        <f>G145+'7'!H145</f>
        <v>39838.900000000023</v>
      </c>
      <c r="I145" s="475"/>
      <c r="J145" s="547">
        <f>H145/DAY(B2)</f>
        <v>4979.8625000000029</v>
      </c>
      <c r="K145" s="377"/>
      <c r="L145" s="374"/>
      <c r="N145" s="37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0.29630923990405345</v>
      </c>
      <c r="H146" s="455">
        <f>G146+'7'!H146</f>
        <v>2.3025904165172175</v>
      </c>
      <c r="I146" s="539"/>
      <c r="J146" s="547">
        <f>H146/DAY(B2)</f>
        <v>0.28782380206465219</v>
      </c>
      <c r="K146" s="377"/>
      <c r="L146" s="374"/>
      <c r="N146" s="37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2920.1999999999534</v>
      </c>
      <c r="H147" s="455">
        <f>G147+'7'!H147</f>
        <v>22590.959999999963</v>
      </c>
      <c r="I147" s="540"/>
      <c r="J147" s="547">
        <f>H147/DAY(B2)</f>
        <v>2823.8699999999953</v>
      </c>
      <c r="K147" s="377"/>
      <c r="L147" s="374"/>
      <c r="N147" s="37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0.16952556990360682</v>
      </c>
      <c r="H148" s="455">
        <f>G148+'7'!H148</f>
        <v>1.3036057548091435</v>
      </c>
      <c r="I148" s="540"/>
      <c r="J148" s="547">
        <f>H148/DAY(B2)</f>
        <v>0.16295071935114294</v>
      </c>
      <c r="N148" s="37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1148.8699999999953</v>
      </c>
      <c r="H149" s="455">
        <f>G149+'7'!H149</f>
        <v>9978.219999999943</v>
      </c>
      <c r="I149" s="475"/>
      <c r="J149" s="547">
        <f>H149/DAY(B2)</f>
        <v>1247.2774999999929</v>
      </c>
      <c r="K149" s="378"/>
      <c r="N149" s="37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6.6695035098677857E-2</v>
      </c>
      <c r="H150" s="455">
        <f>G150+'7'!H150</f>
        <v>0.57702172002784802</v>
      </c>
      <c r="I150" s="540"/>
      <c r="J150" s="547">
        <f>H150/DAY(B2)</f>
        <v>7.2127715003481002E-2</v>
      </c>
      <c r="N150" s="37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1428.5200000000236</v>
      </c>
      <c r="H151" s="455">
        <f>G151+'7'!H151</f>
        <v>12148.770000000028</v>
      </c>
      <c r="I151" s="540"/>
      <c r="J151" s="547">
        <f>H151/DAY(B2)</f>
        <v>1518.5962500000035</v>
      </c>
      <c r="N151" s="37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8.2929479870799364E-2</v>
      </c>
      <c r="H152" s="455">
        <f>G152+'7'!H152</f>
        <v>0.69716445678861849</v>
      </c>
      <c r="I152" s="475"/>
      <c r="J152" s="547">
        <f>H152/DAY(B2)</f>
        <v>8.7145557098577311E-2</v>
      </c>
      <c r="N152" s="37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1347.640000000014</v>
      </c>
      <c r="H153" s="455">
        <f>G153+'7'!H153</f>
        <v>10477.130000000005</v>
      </c>
      <c r="I153" s="475"/>
      <c r="J153" s="547">
        <f>H153/DAY(B2)</f>
        <v>1309.6412500000006</v>
      </c>
      <c r="N153" s="37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7.8234175407473017E-2</v>
      </c>
      <c r="H154" s="455">
        <f>G154+'7'!H154</f>
        <v>0.60708330696391966</v>
      </c>
      <c r="I154" s="563"/>
      <c r="J154" s="564">
        <f>H154/DAY(B2)</f>
        <v>7.5885413370489957E-2</v>
      </c>
      <c r="N154" s="379"/>
    </row>
    <row r="155" spans="1:14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379"/>
    </row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1056">
        <f>'7'!F161</f>
        <v>39001.629999999997</v>
      </c>
      <c r="F161" s="654">
        <v>39080.99</v>
      </c>
      <c r="G161" s="468">
        <f t="shared" ref="G161:G174" si="16">F161-E161</f>
        <v>79.360000000000582</v>
      </c>
    </row>
    <row r="162" spans="1:7">
      <c r="A162" s="780" t="s">
        <v>319</v>
      </c>
      <c r="B162" s="781"/>
      <c r="C162" s="781"/>
      <c r="D162" s="506" t="s">
        <v>253</v>
      </c>
      <c r="E162" s="1056">
        <f>'7'!F162</f>
        <v>97653</v>
      </c>
      <c r="F162" s="654">
        <v>98064.1</v>
      </c>
      <c r="G162" s="468">
        <f t="shared" si="16"/>
        <v>411.10000000000582</v>
      </c>
    </row>
    <row r="163" spans="1:7">
      <c r="A163" s="780" t="s">
        <v>320</v>
      </c>
      <c r="B163" s="781"/>
      <c r="C163" s="781"/>
      <c r="D163" s="506" t="s">
        <v>253</v>
      </c>
      <c r="E163" s="1056">
        <f>'7'!F163</f>
        <v>46396.91</v>
      </c>
      <c r="F163" s="654">
        <v>46607.05</v>
      </c>
      <c r="G163" s="468">
        <f t="shared" si="16"/>
        <v>210.13999999999942</v>
      </c>
    </row>
    <row r="164" spans="1:7">
      <c r="A164" s="780" t="s">
        <v>321</v>
      </c>
      <c r="B164" s="781"/>
      <c r="C164" s="781"/>
      <c r="D164" s="506" t="s">
        <v>253</v>
      </c>
      <c r="E164" s="1056">
        <f>'7'!F164</f>
        <v>6622.3</v>
      </c>
      <c r="F164" s="654">
        <v>6633.24</v>
      </c>
      <c r="G164" s="468">
        <f t="shared" si="16"/>
        <v>10.9399999999996</v>
      </c>
    </row>
    <row r="165" spans="1:7">
      <c r="A165" s="782" t="s">
        <v>252</v>
      </c>
      <c r="B165" s="599"/>
      <c r="C165" s="599"/>
      <c r="D165" s="506" t="s">
        <v>253</v>
      </c>
      <c r="E165" s="1056">
        <f>'7'!F165</f>
        <v>0</v>
      </c>
      <c r="F165" s="509">
        <f>F62</f>
        <v>0</v>
      </c>
      <c r="G165" s="468">
        <f t="shared" si="16"/>
        <v>0</v>
      </c>
    </row>
    <row r="166" spans="1:7">
      <c r="A166" s="782" t="s">
        <v>254</v>
      </c>
      <c r="B166" s="599"/>
      <c r="C166" s="599"/>
      <c r="D166" s="506" t="s">
        <v>253</v>
      </c>
      <c r="E166" s="1056">
        <f>'7'!F166</f>
        <v>0</v>
      </c>
      <c r="F166" s="509">
        <f t="shared" ref="F166:F172" si="17">F63</f>
        <v>0</v>
      </c>
      <c r="G166" s="468">
        <f t="shared" si="16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1056">
        <f>'7'!F167</f>
        <v>161599.64000000001</v>
      </c>
      <c r="F167" s="509">
        <f t="shared" si="17"/>
        <v>161937.67000000001</v>
      </c>
      <c r="G167" s="468">
        <f t="shared" si="16"/>
        <v>338.02999999999884</v>
      </c>
    </row>
    <row r="168" spans="1:7" ht="27.75">
      <c r="A168" s="1502" t="s">
        <v>162</v>
      </c>
      <c r="B168" s="1502"/>
      <c r="C168" s="1502"/>
      <c r="D168" s="518" t="s">
        <v>253</v>
      </c>
      <c r="E168" s="1056">
        <f>'7'!F168</f>
        <v>162666.95000000001</v>
      </c>
      <c r="F168" s="509">
        <f t="shared" si="17"/>
        <v>162864.29999999999</v>
      </c>
      <c r="G168" s="468">
        <f t="shared" si="16"/>
        <v>197.34999999997672</v>
      </c>
    </row>
    <row r="169" spans="1:7" ht="27.75">
      <c r="A169" s="1502" t="s">
        <v>255</v>
      </c>
      <c r="B169" s="1502"/>
      <c r="C169" s="1502"/>
      <c r="D169" s="518" t="s">
        <v>253</v>
      </c>
      <c r="E169" s="1056">
        <f>'7'!F169</f>
        <v>58981.97</v>
      </c>
      <c r="F169" s="509">
        <f t="shared" si="17"/>
        <v>59389.64</v>
      </c>
      <c r="G169" s="468">
        <f t="shared" si="16"/>
        <v>407.66999999999825</v>
      </c>
    </row>
    <row r="170" spans="1:7" ht="27.75">
      <c r="A170" s="1502" t="s">
        <v>157</v>
      </c>
      <c r="B170" s="1502"/>
      <c r="C170" s="1502"/>
      <c r="D170" s="518" t="s">
        <v>253</v>
      </c>
      <c r="E170" s="1056">
        <f>'7'!F170</f>
        <v>254935.67</v>
      </c>
      <c r="F170" s="509">
        <f t="shared" si="17"/>
        <v>255301.37</v>
      </c>
      <c r="G170" s="468">
        <f t="shared" si="16"/>
        <v>365.69999999998254</v>
      </c>
    </row>
    <row r="171" spans="1:7" ht="27.75">
      <c r="A171" s="1502" t="s">
        <v>164</v>
      </c>
      <c r="B171" s="1502"/>
      <c r="C171" s="1502"/>
      <c r="D171" s="518" t="s">
        <v>253</v>
      </c>
      <c r="E171" s="1056">
        <f>'7'!F171</f>
        <v>85321</v>
      </c>
      <c r="F171" s="509">
        <f t="shared" si="17"/>
        <v>85321</v>
      </c>
      <c r="G171" s="468">
        <f t="shared" si="16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1056">
        <f>'7'!F172</f>
        <v>82527.33</v>
      </c>
      <c r="F172" s="509">
        <f t="shared" si="17"/>
        <v>82629.8</v>
      </c>
      <c r="G172" s="468">
        <f t="shared" si="16"/>
        <v>102.47000000000116</v>
      </c>
    </row>
    <row r="173" spans="1:7">
      <c r="A173" s="1512" t="s">
        <v>329</v>
      </c>
      <c r="B173" s="1495"/>
      <c r="C173" s="781"/>
      <c r="D173" s="518" t="s">
        <v>253</v>
      </c>
      <c r="E173" s="1056">
        <f>'7'!F173</f>
        <v>18928.5</v>
      </c>
      <c r="F173" s="527">
        <v>18928.5</v>
      </c>
      <c r="G173" s="468">
        <f t="shared" si="16"/>
        <v>0</v>
      </c>
    </row>
    <row r="174" spans="1:7">
      <c r="A174" s="1512" t="s">
        <v>332</v>
      </c>
      <c r="B174" s="1495"/>
      <c r="C174" s="781"/>
      <c r="D174" s="518" t="s">
        <v>253</v>
      </c>
      <c r="E174" s="1056">
        <f>'7'!F174</f>
        <v>37487.300000000003</v>
      </c>
      <c r="F174" s="527">
        <v>37533.5</v>
      </c>
      <c r="G174" s="468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25" zoomScale="55" zoomScaleNormal="80" zoomScaleSheetLayoutView="55" workbookViewId="0">
      <selection activeCell="A33" sqref="A33:J33"/>
    </sheetView>
  </sheetViews>
  <sheetFormatPr defaultColWidth="22.33203125" defaultRowHeight="29.25"/>
  <cols>
    <col min="1" max="1" width="59.6640625" style="449" bestFit="1" customWidth="1"/>
    <col min="2" max="2" width="31.777343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373" customWidth="1"/>
    <col min="15" max="16384" width="22.33203125" style="373"/>
  </cols>
  <sheetData>
    <row r="1" spans="1:14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4" s="278" customFormat="1" ht="27">
      <c r="A2" s="570" t="s">
        <v>335</v>
      </c>
      <c r="B2" s="1028">
        <v>44356</v>
      </c>
      <c r="C2" s="1394" t="s">
        <v>111</v>
      </c>
      <c r="D2" s="606">
        <v>0.16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278" t="s">
        <v>184</v>
      </c>
    </row>
    <row r="3" spans="1:14" s="278" customFormat="1" ht="27">
      <c r="A3" s="565"/>
      <c r="B3" s="609"/>
      <c r="C3" s="1394" t="s">
        <v>186</v>
      </c>
      <c r="D3" s="607">
        <v>31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4" s="278" customFormat="1" ht="27">
      <c r="A4" s="571"/>
      <c r="B4" s="611"/>
      <c r="C4" s="1394" t="s">
        <v>188</v>
      </c>
      <c r="D4" s="606">
        <v>0.88</v>
      </c>
      <c r="E4" s="459"/>
      <c r="F4" s="459"/>
      <c r="G4" s="459"/>
      <c r="H4" s="459"/>
      <c r="I4" s="460"/>
      <c r="J4" s="610"/>
      <c r="K4" s="369"/>
      <c r="L4" s="289"/>
    </row>
    <row r="5" spans="1:14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  <c r="N5" s="373" t="s">
        <v>192</v>
      </c>
    </row>
    <row r="6" spans="1:14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4" ht="30" thickBot="1">
      <c r="A7" s="672" t="s">
        <v>197</v>
      </c>
      <c r="B7" s="673"/>
      <c r="C7" s="673"/>
      <c r="D7" s="633" t="s">
        <v>198</v>
      </c>
      <c r="E7" s="628">
        <f>'8'!F7</f>
        <v>482815.75</v>
      </c>
      <c r="F7" s="450">
        <v>499658</v>
      </c>
      <c r="G7" s="674">
        <f>F7-E7</f>
        <v>16842.25</v>
      </c>
      <c r="H7" s="675">
        <f>G7+'8'!H7</f>
        <v>155246</v>
      </c>
      <c r="I7" s="676">
        <f>'1'!I7</f>
        <v>12000</v>
      </c>
      <c r="J7" s="677">
        <f>H7/DAY(B2)</f>
        <v>17249.555555555555</v>
      </c>
      <c r="K7" s="544"/>
      <c r="L7" s="374"/>
      <c r="N7" s="379">
        <v>11359</v>
      </c>
    </row>
    <row r="8" spans="1:14" ht="27.75" thickBot="1">
      <c r="A8" s="678" t="s">
        <v>199</v>
      </c>
      <c r="B8" s="679"/>
      <c r="C8" s="680"/>
      <c r="D8" s="681" t="s">
        <v>59</v>
      </c>
      <c r="E8" s="628">
        <f>'8'!F8</f>
        <v>485532.31</v>
      </c>
      <c r="F8" s="470">
        <v>502424</v>
      </c>
      <c r="G8" s="685">
        <f>F8-E8</f>
        <v>16891.690000000002</v>
      </c>
      <c r="H8" s="675">
        <f>G8+'8'!H8</f>
        <v>155914</v>
      </c>
      <c r="I8" s="682">
        <v>12000</v>
      </c>
      <c r="J8" s="677">
        <f>H8/DAY(B2)</f>
        <v>17323.777777777777</v>
      </c>
      <c r="K8" s="544"/>
      <c r="L8" s="421"/>
      <c r="M8" s="435"/>
      <c r="N8" s="379">
        <v>11487</v>
      </c>
    </row>
    <row r="9" spans="1:14">
      <c r="A9" s="683" t="s">
        <v>200</v>
      </c>
      <c r="B9" s="684"/>
      <c r="C9" s="684"/>
      <c r="D9" s="633" t="s">
        <v>198</v>
      </c>
      <c r="E9" s="628">
        <f>'8'!F9</f>
        <v>1607751.6</v>
      </c>
      <c r="F9" s="473">
        <v>1624027</v>
      </c>
      <c r="G9" s="698">
        <f t="shared" ref="G9:G12" si="0">F9-E9</f>
        <v>16275.399999999907</v>
      </c>
      <c r="H9" s="675">
        <f>G9+'8'!H9</f>
        <v>150337</v>
      </c>
      <c r="I9" s="686">
        <f>I7-J7</f>
        <v>-5249.5555555555547</v>
      </c>
      <c r="J9" s="677">
        <f>H9/DAY(B2)</f>
        <v>16704.111111111109</v>
      </c>
      <c r="K9" s="424"/>
      <c r="L9" s="374"/>
      <c r="N9" s="379">
        <v>11077</v>
      </c>
    </row>
    <row r="10" spans="1:14">
      <c r="A10" s="672" t="s">
        <v>201</v>
      </c>
      <c r="B10" s="673"/>
      <c r="C10" s="673"/>
      <c r="D10" s="633" t="s">
        <v>198</v>
      </c>
      <c r="E10" s="628">
        <f>'8'!F10</f>
        <v>2606.5500000000002</v>
      </c>
      <c r="F10" s="473">
        <v>2606.5500000000002</v>
      </c>
      <c r="G10" s="685">
        <f t="shared" si="0"/>
        <v>0</v>
      </c>
      <c r="H10" s="675">
        <f>G10+'8'!H10</f>
        <v>0.42000000000007276</v>
      </c>
      <c r="I10" s="687"/>
      <c r="J10" s="677">
        <f>H10/DAY(B2)</f>
        <v>4.6666666666674753E-2</v>
      </c>
      <c r="K10" s="424"/>
      <c r="L10" s="374"/>
      <c r="N10" s="379">
        <v>0</v>
      </c>
    </row>
    <row r="11" spans="1:14">
      <c r="A11" s="672" t="s">
        <v>202</v>
      </c>
      <c r="B11" s="673"/>
      <c r="C11" s="673"/>
      <c r="D11" s="633" t="s">
        <v>198</v>
      </c>
      <c r="E11" s="628">
        <f>'8'!F11</f>
        <v>37000</v>
      </c>
      <c r="F11" s="450">
        <v>37000</v>
      </c>
      <c r="G11" s="685">
        <f t="shared" si="0"/>
        <v>0</v>
      </c>
      <c r="H11" s="675">
        <f>G11+'8'!H11</f>
        <v>0</v>
      </c>
      <c r="I11" s="687"/>
      <c r="J11" s="677">
        <f>H11/DAY(B2)</f>
        <v>0</v>
      </c>
      <c r="K11" s="424"/>
      <c r="L11" s="374"/>
      <c r="N11" s="379">
        <v>0</v>
      </c>
    </row>
    <row r="12" spans="1:14">
      <c r="A12" s="672" t="s">
        <v>203</v>
      </c>
      <c r="B12" s="673"/>
      <c r="C12" s="673"/>
      <c r="D12" s="633" t="s">
        <v>198</v>
      </c>
      <c r="E12" s="628">
        <f>'8'!F12</f>
        <v>40010</v>
      </c>
      <c r="F12" s="473">
        <v>40010</v>
      </c>
      <c r="G12" s="685">
        <f t="shared" si="0"/>
        <v>0</v>
      </c>
      <c r="H12" s="675">
        <f>G12+'8'!H12</f>
        <v>0</v>
      </c>
      <c r="I12" s="687"/>
      <c r="J12" s="677">
        <f>H12/DAY(B2)</f>
        <v>0</v>
      </c>
      <c r="K12" s="424"/>
      <c r="L12" s="374"/>
      <c r="N12" s="379">
        <v>0</v>
      </c>
    </row>
    <row r="13" spans="1:14">
      <c r="A13" s="688" t="s">
        <v>204</v>
      </c>
      <c r="B13" s="689"/>
      <c r="C13" s="689"/>
      <c r="D13" s="633"/>
      <c r="E13" s="628"/>
      <c r="F13" s="450"/>
      <c r="G13" s="690">
        <f>G9+G10+G11+G12</f>
        <v>16275.399999999907</v>
      </c>
      <c r="H13" s="675">
        <f>G13+'8'!H13</f>
        <v>150337.41999999998</v>
      </c>
      <c r="I13" s="691">
        <f>G7-G13</f>
        <v>566.85000000009313</v>
      </c>
      <c r="J13" s="677">
        <f>H13/DAY(B2)</f>
        <v>16704.157777777775</v>
      </c>
      <c r="K13" s="424"/>
      <c r="L13" s="374"/>
      <c r="N13" s="379">
        <v>11077</v>
      </c>
    </row>
    <row r="14" spans="1:14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</row>
    <row r="15" spans="1:14">
      <c r="A15" s="1139" t="s">
        <v>133</v>
      </c>
      <c r="B15" s="1140"/>
      <c r="C15" s="1140"/>
      <c r="D15" s="1141" t="s">
        <v>206</v>
      </c>
      <c r="E15" s="696">
        <f>'8'!F15</f>
        <v>1688126.95</v>
      </c>
      <c r="F15" s="696">
        <v>1688472</v>
      </c>
      <c r="G15" s="674">
        <f>(F15-E15)</f>
        <v>345.05000000004657</v>
      </c>
      <c r="H15" s="1134">
        <f>G15+'8'!H15</f>
        <v>3948</v>
      </c>
      <c r="I15" s="1135">
        <v>800</v>
      </c>
      <c r="J15" s="1136">
        <f>H15/DAY(B2)</f>
        <v>438.66666666666669</v>
      </c>
      <c r="K15" s="1128"/>
      <c r="L15" s="1129"/>
      <c r="M15" s="1130"/>
      <c r="N15" s="1131">
        <v>330.54600000008941</v>
      </c>
    </row>
    <row r="16" spans="1:14">
      <c r="A16" s="1132"/>
      <c r="B16" s="1133"/>
      <c r="C16" s="1133"/>
      <c r="D16" s="1126"/>
      <c r="E16" s="1127"/>
      <c r="F16" s="1127"/>
      <c r="G16" s="1137"/>
      <c r="H16" s="1134"/>
      <c r="I16" s="1138">
        <f>I15-J15</f>
        <v>361.33333333333331</v>
      </c>
      <c r="J16" s="1136"/>
      <c r="K16" s="1128"/>
      <c r="L16" s="1129"/>
      <c r="M16" s="1130"/>
      <c r="N16" s="1131"/>
    </row>
    <row r="17" spans="1:14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</row>
    <row r="18" spans="1:14" ht="27.75">
      <c r="A18" s="1506" t="s">
        <v>208</v>
      </c>
      <c r="B18" s="1507"/>
      <c r="C18" s="1508"/>
      <c r="D18" s="633" t="s">
        <v>209</v>
      </c>
      <c r="E18" s="630">
        <f>'8'!F18</f>
        <v>10</v>
      </c>
      <c r="F18" s="473">
        <v>0</v>
      </c>
      <c r="G18" s="690">
        <f>F18*10</f>
        <v>0</v>
      </c>
      <c r="H18" s="675">
        <f>G18+'8'!H18</f>
        <v>510</v>
      </c>
      <c r="I18" s="676">
        <v>65</v>
      </c>
      <c r="J18" s="677">
        <f>H18/DAY(B2)</f>
        <v>56.666666666666664</v>
      </c>
      <c r="K18" s="424"/>
      <c r="L18" s="374"/>
      <c r="N18" s="379">
        <v>0</v>
      </c>
    </row>
    <row r="19" spans="1:14" ht="27.75">
      <c r="A19" s="1506" t="s">
        <v>113</v>
      </c>
      <c r="B19" s="1507"/>
      <c r="C19" s="1508"/>
      <c r="D19" s="633" t="s">
        <v>209</v>
      </c>
      <c r="E19" s="630">
        <f>'8'!F19</f>
        <v>140096</v>
      </c>
      <c r="F19" s="473">
        <v>140174</v>
      </c>
      <c r="G19" s="685">
        <f t="shared" ref="G19" si="1">F19-E19</f>
        <v>78</v>
      </c>
      <c r="H19" s="675">
        <f>G19+'8'!H19</f>
        <v>562</v>
      </c>
      <c r="I19" s="692"/>
      <c r="J19" s="677">
        <f>H19/DAY(B2)</f>
        <v>62.444444444444443</v>
      </c>
      <c r="K19" s="424"/>
      <c r="L19" s="374"/>
      <c r="N19" s="379">
        <v>55</v>
      </c>
    </row>
    <row r="20" spans="1:14">
      <c r="A20" s="688" t="s">
        <v>210</v>
      </c>
      <c r="B20" s="689"/>
      <c r="C20" s="689"/>
      <c r="D20" s="633"/>
      <c r="E20" s="633"/>
      <c r="F20" s="519"/>
      <c r="G20" s="693">
        <f>G18+G19</f>
        <v>78</v>
      </c>
      <c r="H20" s="675">
        <f>G20+'8'!H20</f>
        <v>1072</v>
      </c>
      <c r="I20" s="694">
        <f>I18-J20</f>
        <v>-54.111111111111114</v>
      </c>
      <c r="J20" s="677">
        <f>H20/DAY(B2)</f>
        <v>119.11111111111111</v>
      </c>
      <c r="K20" s="424"/>
      <c r="L20" s="374"/>
      <c r="N20" s="379">
        <v>55</v>
      </c>
    </row>
    <row r="21" spans="1:14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</row>
    <row r="22" spans="1:14">
      <c r="A22" s="1392" t="s">
        <v>212</v>
      </c>
      <c r="B22" s="584"/>
      <c r="C22" s="584"/>
      <c r="D22" s="518" t="s">
        <v>213</v>
      </c>
      <c r="E22" s="630">
        <f>'8'!F22</f>
        <v>2970</v>
      </c>
      <c r="F22" s="473">
        <v>2970</v>
      </c>
      <c r="G22" s="476">
        <f t="shared" ref="G22" si="2">(F22-E22)</f>
        <v>0</v>
      </c>
      <c r="H22" s="455">
        <f>G22+'8'!H22</f>
        <v>0</v>
      </c>
      <c r="I22" s="475"/>
      <c r="J22" s="547">
        <f>H22/DAY(B2)</f>
        <v>0</v>
      </c>
      <c r="K22" s="424"/>
      <c r="L22" s="374"/>
      <c r="N22" s="379">
        <v>0</v>
      </c>
    </row>
    <row r="23" spans="1:14">
      <c r="A23" s="1392" t="s">
        <v>214</v>
      </c>
      <c r="B23" s="584"/>
      <c r="C23" s="584"/>
      <c r="D23" s="518" t="s">
        <v>213</v>
      </c>
      <c r="E23" s="630">
        <f>'8'!F23</f>
        <v>2000</v>
      </c>
      <c r="F23" s="473">
        <v>2000</v>
      </c>
      <c r="G23" s="476">
        <v>0</v>
      </c>
      <c r="H23" s="455">
        <f>G23+'8'!H23</f>
        <v>120</v>
      </c>
      <c r="I23" s="475"/>
      <c r="J23" s="547">
        <f>H23/DAY(B2)</f>
        <v>13.333333333333334</v>
      </c>
      <c r="K23" s="424"/>
      <c r="L23" s="374"/>
      <c r="N23" s="379">
        <v>0</v>
      </c>
    </row>
    <row r="24" spans="1:14">
      <c r="A24" s="585" t="s">
        <v>215</v>
      </c>
      <c r="B24" s="586"/>
      <c r="C24" s="586"/>
      <c r="D24" s="506" t="s">
        <v>213</v>
      </c>
      <c r="E24" s="488">
        <v>4970</v>
      </c>
      <c r="F24" s="480">
        <v>4970</v>
      </c>
      <c r="G24" s="476">
        <v>0</v>
      </c>
      <c r="H24" s="455">
        <f>G24+'8'!H24</f>
        <v>120</v>
      </c>
      <c r="I24" s="475"/>
      <c r="J24" s="547">
        <f>H24/DAY(B2)</f>
        <v>13.333333333333334</v>
      </c>
      <c r="K24" s="424"/>
      <c r="L24" s="374"/>
      <c r="N24" s="379">
        <v>0</v>
      </c>
    </row>
    <row r="25" spans="1:14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37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37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16891.690000000002</v>
      </c>
      <c r="F27" s="496">
        <v>9</v>
      </c>
      <c r="G27" s="497">
        <f>E27*F27</f>
        <v>152025.21000000002</v>
      </c>
      <c r="H27" s="455">
        <f>G27+'8'!H27</f>
        <v>1402389</v>
      </c>
      <c r="I27" s="498"/>
      <c r="J27" s="547">
        <f>H27/DAY(B2)</f>
        <v>155821</v>
      </c>
      <c r="K27" s="370"/>
      <c r="L27" s="438"/>
      <c r="N27" s="379">
        <v>114870</v>
      </c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345.05000000004657</v>
      </c>
      <c r="F28" s="496">
        <v>52</v>
      </c>
      <c r="G28" s="497">
        <f>E28*F28</f>
        <v>17942.600000002421</v>
      </c>
      <c r="H28" s="455">
        <f>G28+'8'!H28</f>
        <v>205296</v>
      </c>
      <c r="I28" s="500"/>
      <c r="J28" s="547">
        <f>H28/DAY(B2)</f>
        <v>22810.666666666668</v>
      </c>
      <c r="K28" s="370"/>
      <c r="L28" s="438"/>
      <c r="N28" s="379">
        <v>11569.110000003129</v>
      </c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G29+'8'!H29</f>
        <v>8280</v>
      </c>
      <c r="I29" s="500"/>
      <c r="J29" s="547">
        <f>H29/DAY(B2)</f>
        <v>920</v>
      </c>
      <c r="K29" s="370"/>
      <c r="L29" s="438"/>
      <c r="N29" s="379">
        <v>0</v>
      </c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78</v>
      </c>
      <c r="F30" s="496">
        <v>146</v>
      </c>
      <c r="G30" s="497">
        <f>E30*F30</f>
        <v>11388</v>
      </c>
      <c r="H30" s="455">
        <f>G30+'8'!H30</f>
        <v>82052</v>
      </c>
      <c r="I30" s="500"/>
      <c r="J30" s="547">
        <f>H30/DAY(B2)</f>
        <v>9116.8888888888887</v>
      </c>
      <c r="K30" s="370"/>
      <c r="L30" s="438"/>
      <c r="N30" s="379">
        <v>7370</v>
      </c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0</v>
      </c>
      <c r="F31" s="496">
        <v>80</v>
      </c>
      <c r="G31" s="497">
        <f>E31*F31</f>
        <v>0</v>
      </c>
      <c r="H31" s="455">
        <f>G31+'8'!H31</f>
        <v>40800</v>
      </c>
      <c r="I31" s="500"/>
      <c r="J31" s="547">
        <f>H31/DAY(B2)</f>
        <v>4533.333333333333</v>
      </c>
      <c r="K31" s="370"/>
      <c r="L31" s="438"/>
      <c r="N31" s="379">
        <v>0</v>
      </c>
    </row>
    <row r="32" spans="1:14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181355.81000000244</v>
      </c>
      <c r="H32" s="455">
        <f>G32+'8'!H32</f>
        <v>1738817</v>
      </c>
      <c r="I32" s="504"/>
      <c r="J32" s="547">
        <f>H32/DAY(B2)</f>
        <v>193201.88888888888</v>
      </c>
      <c r="K32" s="370"/>
      <c r="L32" s="438"/>
      <c r="N32" s="379">
        <v>133809.11000000313</v>
      </c>
    </row>
    <row r="33" spans="1:14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</row>
    <row r="34" spans="1:14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379"/>
    </row>
    <row r="35" spans="1:14">
      <c r="A35" s="573" t="s">
        <v>229</v>
      </c>
      <c r="B35" s="574"/>
      <c r="C35" s="574"/>
      <c r="D35" s="518" t="s">
        <v>198</v>
      </c>
      <c r="E35" s="505">
        <f>'8'!F35</f>
        <v>970115.19</v>
      </c>
      <c r="F35" s="505">
        <v>972361</v>
      </c>
      <c r="G35" s="468">
        <f t="shared" ref="G35:G46" si="3">F35-E35</f>
        <v>2245.8100000000559</v>
      </c>
      <c r="H35" s="455">
        <f>G35+'8'!H35</f>
        <v>21873</v>
      </c>
      <c r="I35" s="450"/>
      <c r="J35" s="547">
        <f>H35/DAY(B2)</f>
        <v>2430.3333333333335</v>
      </c>
      <c r="K35" s="424"/>
      <c r="L35" s="374"/>
      <c r="N35" s="379">
        <v>1380.8400000000256</v>
      </c>
    </row>
    <row r="36" spans="1:14">
      <c r="A36" s="573" t="s">
        <v>230</v>
      </c>
      <c r="B36" s="574"/>
      <c r="C36" s="574"/>
      <c r="D36" s="518" t="s">
        <v>198</v>
      </c>
      <c r="E36" s="505">
        <f>'8'!F36</f>
        <v>4653.18</v>
      </c>
      <c r="F36" s="505">
        <v>5268</v>
      </c>
      <c r="G36" s="468">
        <f t="shared" si="3"/>
        <v>614.81999999999971</v>
      </c>
      <c r="H36" s="455">
        <f>G36+'8'!H36</f>
        <v>5095</v>
      </c>
      <c r="I36" s="450"/>
      <c r="J36" s="547">
        <f>H36/DAY(B2)</f>
        <v>566.11111111111109</v>
      </c>
      <c r="K36" s="424"/>
      <c r="L36" s="374"/>
      <c r="N36" s="623">
        <v>514.63999999999942</v>
      </c>
    </row>
    <row r="37" spans="1:14">
      <c r="A37" s="573" t="s">
        <v>231</v>
      </c>
      <c r="B37" s="574"/>
      <c r="C37" s="574"/>
      <c r="D37" s="518" t="s">
        <v>198</v>
      </c>
      <c r="E37" s="505">
        <f>'8'!F37</f>
        <v>144713.26</v>
      </c>
      <c r="F37" s="505">
        <v>146093</v>
      </c>
      <c r="G37" s="468">
        <f t="shared" si="3"/>
        <v>1379.7399999999907</v>
      </c>
      <c r="H37" s="455">
        <f>G37+'8'!H37</f>
        <v>11857</v>
      </c>
      <c r="I37" s="450"/>
      <c r="J37" s="547">
        <f>H37/DAY(B2)</f>
        <v>1317.4444444444443</v>
      </c>
      <c r="K37" s="424"/>
      <c r="L37" s="374"/>
      <c r="N37" s="624">
        <v>1164.4599999999919</v>
      </c>
    </row>
    <row r="38" spans="1:14">
      <c r="A38" s="573" t="s">
        <v>232</v>
      </c>
      <c r="B38" s="574"/>
      <c r="C38" s="574"/>
      <c r="D38" s="518" t="s">
        <v>198</v>
      </c>
      <c r="E38" s="505">
        <f>'8'!F38</f>
        <v>166383.15</v>
      </c>
      <c r="F38" s="464">
        <v>167388</v>
      </c>
      <c r="G38" s="468">
        <f t="shared" si="3"/>
        <v>1004.8500000000058</v>
      </c>
      <c r="H38" s="455">
        <f>G38+'8'!H38</f>
        <v>10983</v>
      </c>
      <c r="I38" s="450"/>
      <c r="J38" s="547">
        <f>H38/DAY(B2)</f>
        <v>1220.3333333333333</v>
      </c>
      <c r="K38" s="424"/>
      <c r="L38" s="374"/>
      <c r="N38" s="379">
        <v>0</v>
      </c>
    </row>
    <row r="39" spans="1:14">
      <c r="A39" s="573" t="s">
        <v>233</v>
      </c>
      <c r="B39" s="574"/>
      <c r="C39" s="574"/>
      <c r="D39" s="518" t="s">
        <v>198</v>
      </c>
      <c r="E39" s="505">
        <f>'8'!F39</f>
        <v>329100.28999999998</v>
      </c>
      <c r="F39" s="505">
        <v>332170</v>
      </c>
      <c r="G39" s="468">
        <f t="shared" si="3"/>
        <v>3069.710000000021</v>
      </c>
      <c r="H39" s="455">
        <f>G39+'8'!H39</f>
        <v>23997</v>
      </c>
      <c r="I39" s="450"/>
      <c r="J39" s="547">
        <f>H39/DAY(B2)</f>
        <v>2666.3333333333335</v>
      </c>
      <c r="K39" s="424"/>
      <c r="L39" s="374"/>
      <c r="N39" s="379">
        <v>1951.1300000000047</v>
      </c>
    </row>
    <row r="40" spans="1:14">
      <c r="A40" s="594" t="s">
        <v>234</v>
      </c>
      <c r="B40" s="595"/>
      <c r="C40" s="595"/>
      <c r="D40" s="518" t="s">
        <v>198</v>
      </c>
      <c r="E40" s="505">
        <f>'8'!F40</f>
        <v>1057.0899999999999</v>
      </c>
      <c r="F40" s="505">
        <v>1057</v>
      </c>
      <c r="G40" s="468">
        <f t="shared" si="3"/>
        <v>-8.9999999999918145E-2</v>
      </c>
      <c r="H40" s="455">
        <f>G40+'8'!H40</f>
        <v>168</v>
      </c>
      <c r="I40" s="450"/>
      <c r="J40" s="547">
        <f>H40/DAY(B2)</f>
        <v>18.666666666666668</v>
      </c>
      <c r="K40" s="425"/>
      <c r="L40" s="374"/>
      <c r="N40" s="379">
        <v>0</v>
      </c>
    </row>
    <row r="41" spans="1:14">
      <c r="A41" s="573" t="s">
        <v>235</v>
      </c>
      <c r="B41" s="574"/>
      <c r="C41" s="574"/>
      <c r="D41" s="518" t="s">
        <v>198</v>
      </c>
      <c r="E41" s="505">
        <f>'8'!F41</f>
        <v>248672.59</v>
      </c>
      <c r="F41" s="505">
        <v>253580</v>
      </c>
      <c r="G41" s="468">
        <f t="shared" si="3"/>
        <v>4907.4100000000035</v>
      </c>
      <c r="H41" s="455">
        <f>G41+'8'!H41</f>
        <v>13102</v>
      </c>
      <c r="I41" s="450"/>
      <c r="J41" s="547">
        <f>H41/DAY(B2)</f>
        <v>1455.7777777777778</v>
      </c>
      <c r="K41" s="424"/>
      <c r="L41" s="374"/>
      <c r="N41" s="379">
        <v>2876.3199999999779</v>
      </c>
    </row>
    <row r="42" spans="1:14">
      <c r="A42" s="573" t="s">
        <v>236</v>
      </c>
      <c r="B42" s="574"/>
      <c r="C42" s="574"/>
      <c r="D42" s="518" t="s">
        <v>198</v>
      </c>
      <c r="E42" s="505">
        <f>'8'!F42</f>
        <v>59210.61</v>
      </c>
      <c r="F42" s="505">
        <v>59210.61</v>
      </c>
      <c r="G42" s="468">
        <f t="shared" si="3"/>
        <v>0</v>
      </c>
      <c r="H42" s="455">
        <f>G42+'8'!H42</f>
        <v>11.639999999999418</v>
      </c>
      <c r="I42" s="450"/>
      <c r="J42" s="547">
        <f>H42/DAY(B2)</f>
        <v>1.2933333333332686</v>
      </c>
      <c r="K42" s="424"/>
      <c r="L42" s="374"/>
      <c r="N42" s="379">
        <v>0</v>
      </c>
    </row>
    <row r="43" spans="1:14">
      <c r="A43" s="573" t="s">
        <v>237</v>
      </c>
      <c r="B43" s="574"/>
      <c r="C43" s="574"/>
      <c r="D43" s="518" t="s">
        <v>198</v>
      </c>
      <c r="E43" s="505">
        <f>'8'!F43</f>
        <v>1061429.5</v>
      </c>
      <c r="F43" s="505">
        <v>1063870</v>
      </c>
      <c r="G43" s="468">
        <f t="shared" si="3"/>
        <v>2440.5</v>
      </c>
      <c r="H43" s="455">
        <f>G43+'8'!H43</f>
        <v>21626</v>
      </c>
      <c r="I43" s="450"/>
      <c r="J43" s="547">
        <f>H43/DAY(B2)</f>
        <v>2402.8888888888887</v>
      </c>
      <c r="K43" s="424"/>
      <c r="L43" s="374"/>
      <c r="N43" s="379">
        <v>1531.2399999999907</v>
      </c>
    </row>
    <row r="44" spans="1:14">
      <c r="A44" s="573" t="s">
        <v>238</v>
      </c>
      <c r="B44" s="574"/>
      <c r="C44" s="574"/>
      <c r="D44" s="518" t="s">
        <v>198</v>
      </c>
      <c r="E44" s="505">
        <f>'8'!F44</f>
        <v>0</v>
      </c>
      <c r="F44" s="505">
        <v>0</v>
      </c>
      <c r="G44" s="468">
        <f t="shared" si="3"/>
        <v>0</v>
      </c>
      <c r="H44" s="455">
        <f>G44+'8'!H44</f>
        <v>0</v>
      </c>
      <c r="I44" s="450"/>
      <c r="J44" s="547">
        <f>H44/DAY(B2)</f>
        <v>0</v>
      </c>
      <c r="K44" s="424"/>
      <c r="L44" s="374"/>
      <c r="N44" s="379">
        <v>0</v>
      </c>
    </row>
    <row r="45" spans="1:14">
      <c r="A45" s="573" t="s">
        <v>239</v>
      </c>
      <c r="B45" s="574"/>
      <c r="C45" s="574"/>
      <c r="D45" s="518" t="s">
        <v>198</v>
      </c>
      <c r="E45" s="505">
        <f>'8'!F45</f>
        <v>614</v>
      </c>
      <c r="F45" s="505">
        <v>614</v>
      </c>
      <c r="G45" s="468">
        <f t="shared" si="3"/>
        <v>0</v>
      </c>
      <c r="H45" s="455">
        <f>G45+'8'!H45</f>
        <v>0</v>
      </c>
      <c r="I45" s="450"/>
      <c r="J45" s="547">
        <f>H45/DAY(B2)</f>
        <v>0</v>
      </c>
      <c r="K45" s="424"/>
      <c r="L45" s="374"/>
      <c r="N45" s="379">
        <v>0</v>
      </c>
    </row>
    <row r="46" spans="1:14">
      <c r="A46" s="573" t="s">
        <v>240</v>
      </c>
      <c r="B46" s="574"/>
      <c r="C46" s="574"/>
      <c r="D46" s="518" t="s">
        <v>198</v>
      </c>
      <c r="E46" s="505">
        <f>'8'!F46</f>
        <v>187</v>
      </c>
      <c r="F46" s="505">
        <v>187</v>
      </c>
      <c r="G46" s="468">
        <f t="shared" si="3"/>
        <v>0</v>
      </c>
      <c r="H46" s="455">
        <f>G46+'8'!H46</f>
        <v>0</v>
      </c>
      <c r="I46" s="450"/>
      <c r="J46" s="547">
        <f>H46/DAY(B2)</f>
        <v>0</v>
      </c>
      <c r="K46" s="424"/>
      <c r="L46" s="374"/>
      <c r="N46" s="379">
        <v>0</v>
      </c>
    </row>
    <row r="47" spans="1:14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15662.750000000076</v>
      </c>
      <c r="H47" s="455">
        <f>G47+'8'!H47</f>
        <v>108712.63999999998</v>
      </c>
      <c r="I47" s="450"/>
      <c r="J47" s="547">
        <f>H47/DAY(B2)</f>
        <v>12079.18222222222</v>
      </c>
      <c r="K47" s="424"/>
      <c r="L47" s="374"/>
      <c r="N47" s="379">
        <v>9418.6299999999901</v>
      </c>
    </row>
    <row r="48" spans="1:14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</row>
    <row r="49" spans="1:14">
      <c r="A49" s="573" t="s">
        <v>229</v>
      </c>
      <c r="B49" s="596"/>
      <c r="C49" s="596"/>
      <c r="D49" s="518" t="s">
        <v>198</v>
      </c>
      <c r="E49" s="505">
        <f>'8'!F49</f>
        <v>260732.13</v>
      </c>
      <c r="F49" s="505">
        <v>260732.13</v>
      </c>
      <c r="G49" s="468">
        <f t="shared" ref="G49:G58" si="4">F49-E49</f>
        <v>0</v>
      </c>
      <c r="H49" s="455">
        <f>G49+'8'!H49</f>
        <v>0.13000000000465661</v>
      </c>
      <c r="I49" s="450"/>
      <c r="J49" s="547">
        <f>H49/DAY(B2)</f>
        <v>1.4444444444961846E-2</v>
      </c>
      <c r="K49" s="424"/>
      <c r="L49" s="374"/>
      <c r="N49" s="379">
        <v>0</v>
      </c>
    </row>
    <row r="50" spans="1:14">
      <c r="A50" s="573" t="s">
        <v>243</v>
      </c>
      <c r="B50" s="596"/>
      <c r="C50" s="596"/>
      <c r="D50" s="518" t="s">
        <v>198</v>
      </c>
      <c r="E50" s="505">
        <f>'8'!F50</f>
        <v>510204.59</v>
      </c>
      <c r="F50" s="505">
        <v>511082</v>
      </c>
      <c r="G50" s="468">
        <f t="shared" si="4"/>
        <v>877.40999999997439</v>
      </c>
      <c r="H50" s="455">
        <f>G50+'8'!H50</f>
        <v>8546</v>
      </c>
      <c r="I50" s="450"/>
      <c r="J50" s="547">
        <f>H50/DAY(B2)</f>
        <v>949.55555555555554</v>
      </c>
      <c r="K50" s="424"/>
      <c r="L50" s="374"/>
      <c r="N50" s="379">
        <v>609.48999999999069</v>
      </c>
    </row>
    <row r="51" spans="1:14">
      <c r="A51" s="573" t="s">
        <v>231</v>
      </c>
      <c r="B51" s="596"/>
      <c r="C51" s="596"/>
      <c r="D51" s="518" t="s">
        <v>198</v>
      </c>
      <c r="E51" s="505">
        <f>'8'!F51</f>
        <v>144639.87</v>
      </c>
      <c r="F51" s="505">
        <v>144639.87</v>
      </c>
      <c r="G51" s="468">
        <f t="shared" si="4"/>
        <v>0</v>
      </c>
      <c r="H51" s="455">
        <f>G51+'8'!H51</f>
        <v>-0.13000000000465661</v>
      </c>
      <c r="I51" s="450"/>
      <c r="J51" s="547">
        <f>H51/DAY(B2)</f>
        <v>-1.4444444444961846E-2</v>
      </c>
      <c r="K51" s="424"/>
      <c r="L51" s="374"/>
      <c r="N51" s="379">
        <v>0</v>
      </c>
    </row>
    <row r="52" spans="1:14">
      <c r="A52" s="573" t="s">
        <v>244</v>
      </c>
      <c r="B52" s="596"/>
      <c r="C52" s="596"/>
      <c r="D52" s="518" t="s">
        <v>198</v>
      </c>
      <c r="E52" s="505">
        <f>'8'!F52</f>
        <v>539606.06999999995</v>
      </c>
      <c r="F52" s="505">
        <v>539606.06999999995</v>
      </c>
      <c r="G52" s="468">
        <f t="shared" si="4"/>
        <v>0</v>
      </c>
      <c r="H52" s="455">
        <f>G52+'8'!H52</f>
        <v>6.9999999948777258E-2</v>
      </c>
      <c r="I52" s="450"/>
      <c r="J52" s="547">
        <f>H52/DAY(B2)</f>
        <v>7.7777777720863623E-3</v>
      </c>
      <c r="K52" s="424"/>
      <c r="L52" s="374"/>
      <c r="N52" s="379">
        <v>1071.8899999999849</v>
      </c>
    </row>
    <row r="53" spans="1:14">
      <c r="A53" s="573" t="s">
        <v>233</v>
      </c>
      <c r="B53" s="596"/>
      <c r="C53" s="596"/>
      <c r="D53" s="518" t="s">
        <v>198</v>
      </c>
      <c r="E53" s="505">
        <f>'8'!F53</f>
        <v>434231.67</v>
      </c>
      <c r="F53" s="505">
        <v>434231.67</v>
      </c>
      <c r="G53" s="468">
        <f t="shared" si="4"/>
        <v>0</v>
      </c>
      <c r="H53" s="455">
        <f>G53+'8'!H53</f>
        <v>1663.6699999999837</v>
      </c>
      <c r="I53" s="450"/>
      <c r="J53" s="547">
        <f>H53/DAY(B2)</f>
        <v>184.85222222222041</v>
      </c>
      <c r="K53" s="424"/>
      <c r="L53" s="374"/>
      <c r="N53" s="379">
        <v>85.455900000000838</v>
      </c>
    </row>
    <row r="54" spans="1:14">
      <c r="A54" s="573" t="s">
        <v>245</v>
      </c>
      <c r="B54" s="596"/>
      <c r="C54" s="596"/>
      <c r="D54" s="518" t="s">
        <v>198</v>
      </c>
      <c r="E54" s="505">
        <f>'8'!F54</f>
        <v>14419.35</v>
      </c>
      <c r="F54" s="505">
        <v>14500</v>
      </c>
      <c r="G54" s="468">
        <f t="shared" si="4"/>
        <v>80.649999999999636</v>
      </c>
      <c r="H54" s="455">
        <f>G54+'8'!H54</f>
        <v>750</v>
      </c>
      <c r="I54" s="450"/>
      <c r="J54" s="547">
        <f>H54/DAY(B2)</f>
        <v>83.333333333333329</v>
      </c>
      <c r="K54" s="424"/>
      <c r="L54" s="374"/>
      <c r="N54" s="379">
        <v>0</v>
      </c>
    </row>
    <row r="55" spans="1:14">
      <c r="A55" s="573" t="s">
        <v>246</v>
      </c>
      <c r="B55" s="596"/>
      <c r="C55" s="596"/>
      <c r="D55" s="518" t="s">
        <v>198</v>
      </c>
      <c r="E55" s="505">
        <f>'8'!F55</f>
        <v>68136.52</v>
      </c>
      <c r="F55" s="649">
        <v>68136.52</v>
      </c>
      <c r="G55" s="648">
        <f t="shared" si="4"/>
        <v>0</v>
      </c>
      <c r="H55" s="701">
        <f>G55+'8'!H55</f>
        <v>25.520000000004075</v>
      </c>
      <c r="I55" s="702"/>
      <c r="J55" s="703">
        <f>H55/DAY(B2)</f>
        <v>2.8355555555560081</v>
      </c>
      <c r="K55" s="424"/>
      <c r="L55" s="374"/>
      <c r="N55" s="379">
        <v>0</v>
      </c>
    </row>
    <row r="56" spans="1:14">
      <c r="A56" s="573" t="s">
        <v>247</v>
      </c>
      <c r="B56" s="596"/>
      <c r="C56" s="596"/>
      <c r="D56" s="518" t="s">
        <v>248</v>
      </c>
      <c r="E56" s="505">
        <f>'8'!F56</f>
        <v>648805.15</v>
      </c>
      <c r="F56" s="649">
        <v>648815</v>
      </c>
      <c r="G56" s="468">
        <f t="shared" si="4"/>
        <v>9.8499999999767169</v>
      </c>
      <c r="H56" s="455">
        <f>G56+'8'!H56</f>
        <v>31617</v>
      </c>
      <c r="I56" s="450"/>
      <c r="J56" s="547">
        <f>H56/DAY(B2)</f>
        <v>3513</v>
      </c>
      <c r="K56" s="423"/>
      <c r="L56" s="374"/>
      <c r="N56" s="379">
        <v>0</v>
      </c>
    </row>
    <row r="57" spans="1:14">
      <c r="A57" s="573" t="s">
        <v>237</v>
      </c>
      <c r="B57" s="596"/>
      <c r="C57" s="596"/>
      <c r="D57" s="518" t="s">
        <v>198</v>
      </c>
      <c r="E57" s="505">
        <f>'8'!F57</f>
        <v>7711</v>
      </c>
      <c r="F57" s="505">
        <v>7711</v>
      </c>
      <c r="G57" s="468">
        <f t="shared" si="4"/>
        <v>0</v>
      </c>
      <c r="H57" s="455">
        <f>G57+'8'!H57</f>
        <v>0</v>
      </c>
      <c r="I57" s="450"/>
      <c r="J57" s="547">
        <f>H57/DAY(B2)</f>
        <v>0</v>
      </c>
      <c r="K57" s="424"/>
      <c r="L57" s="374"/>
      <c r="N57" s="379">
        <v>0</v>
      </c>
    </row>
    <row r="58" spans="1:14">
      <c r="A58" s="573" t="s">
        <v>249</v>
      </c>
      <c r="B58" s="596"/>
      <c r="C58" s="596"/>
      <c r="D58" s="518" t="s">
        <v>198</v>
      </c>
      <c r="E58" s="505">
        <f>'8'!F58</f>
        <v>50560.79</v>
      </c>
      <c r="F58" s="649">
        <v>50560.79</v>
      </c>
      <c r="G58" s="468">
        <f t="shared" si="4"/>
        <v>0</v>
      </c>
      <c r="H58" s="455">
        <f>G58+'8'!H58</f>
        <v>935.79000000000087</v>
      </c>
      <c r="I58" s="450"/>
      <c r="J58" s="547">
        <f>H58/DAY(B2)</f>
        <v>103.97666666666676</v>
      </c>
      <c r="K58" s="424"/>
      <c r="L58" s="374"/>
      <c r="N58" s="379">
        <v>-0.29700000000048021</v>
      </c>
    </row>
    <row r="59" spans="1:14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967.90999999995074</v>
      </c>
      <c r="H59" s="455">
        <f>G59+'8'!H59</f>
        <v>43538.049999999937</v>
      </c>
      <c r="I59" s="450">
        <f>G7-G60</f>
        <v>211.58999999997468</v>
      </c>
      <c r="J59" s="547">
        <f>H59/DAY(B2)</f>
        <v>4837.5611111111039</v>
      </c>
      <c r="K59" s="424"/>
      <c r="L59" s="374"/>
      <c r="N59" s="379">
        <v>1766.5388999999759</v>
      </c>
    </row>
    <row r="60" spans="1:14">
      <c r="A60" s="573"/>
      <c r="B60" s="574"/>
      <c r="C60" s="574"/>
      <c r="D60" s="506" t="s">
        <v>250</v>
      </c>
      <c r="E60" s="506"/>
      <c r="F60" s="506"/>
      <c r="G60" s="476">
        <f>G47+G59</f>
        <v>16630.660000000025</v>
      </c>
      <c r="H60" s="455">
        <f>G60+'8'!H60</f>
        <v>152250.68999999994</v>
      </c>
      <c r="I60" s="450">
        <f>G13-G60</f>
        <v>-355.26000000011845</v>
      </c>
      <c r="J60" s="547">
        <f>H60/DAY(B2)</f>
        <v>16916.743333333328</v>
      </c>
      <c r="K60" s="424"/>
      <c r="L60" s="374"/>
      <c r="N60" s="379">
        <v>11185.168899999966</v>
      </c>
    </row>
    <row r="61" spans="1:14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</row>
    <row r="62" spans="1:14">
      <c r="A62" s="598" t="s">
        <v>252</v>
      </c>
      <c r="B62" s="599"/>
      <c r="C62" s="599"/>
      <c r="D62" s="506" t="s">
        <v>253</v>
      </c>
      <c r="E62" s="509">
        <f>'8'!F62</f>
        <v>0</v>
      </c>
      <c r="F62" s="509">
        <v>0</v>
      </c>
      <c r="G62" s="468">
        <f t="shared" ref="G62:G69" si="5">F62-E62</f>
        <v>0</v>
      </c>
      <c r="H62" s="455">
        <f>G62+'8'!H62</f>
        <v>1.9999999967694748E-3</v>
      </c>
      <c r="I62" s="510"/>
      <c r="J62" s="547">
        <f>H62/DAY(B2)</f>
        <v>2.2222222186327499E-4</v>
      </c>
      <c r="K62" s="424"/>
      <c r="L62" s="374"/>
      <c r="N62" s="379">
        <v>0</v>
      </c>
    </row>
    <row r="63" spans="1:14">
      <c r="A63" s="598" t="s">
        <v>254</v>
      </c>
      <c r="B63" s="599"/>
      <c r="C63" s="599"/>
      <c r="D63" s="506" t="s">
        <v>253</v>
      </c>
      <c r="E63" s="509">
        <f>'8'!F63</f>
        <v>0</v>
      </c>
      <c r="F63" s="509">
        <v>0</v>
      </c>
      <c r="G63" s="468">
        <f t="shared" si="5"/>
        <v>0</v>
      </c>
      <c r="H63" s="455">
        <f>G63+'8'!H63</f>
        <v>0</v>
      </c>
      <c r="I63" s="510"/>
      <c r="J63" s="547">
        <f>H63/DAY(B2)</f>
        <v>0</v>
      </c>
      <c r="K63" s="424"/>
      <c r="L63" s="374"/>
      <c r="N63" s="379">
        <v>0</v>
      </c>
    </row>
    <row r="64" spans="1:14" ht="27.75">
      <c r="A64" s="1450" t="s">
        <v>161</v>
      </c>
      <c r="B64" s="1451"/>
      <c r="C64" s="1452"/>
      <c r="D64" s="518" t="s">
        <v>253</v>
      </c>
      <c r="E64" s="509">
        <f>'8'!F64</f>
        <v>161937.67000000001</v>
      </c>
      <c r="F64" s="473">
        <v>162295</v>
      </c>
      <c r="G64" s="468">
        <f t="shared" si="5"/>
        <v>357.32999999998719</v>
      </c>
      <c r="H64" s="455">
        <f>G64+'8'!H64</f>
        <v>2363</v>
      </c>
      <c r="I64" s="475"/>
      <c r="J64" s="547">
        <f>H64/DAY(B2)</f>
        <v>262.55555555555554</v>
      </c>
      <c r="K64" s="424"/>
      <c r="L64" s="374"/>
      <c r="N64" s="379">
        <v>161.90400000000227</v>
      </c>
    </row>
    <row r="65" spans="1:14" ht="27.75">
      <c r="A65" s="1450" t="s">
        <v>162</v>
      </c>
      <c r="B65" s="1451"/>
      <c r="C65" s="1452"/>
      <c r="D65" s="518" t="s">
        <v>253</v>
      </c>
      <c r="E65" s="509">
        <f>'8'!F65</f>
        <v>162864.29999999999</v>
      </c>
      <c r="F65" s="647">
        <v>163099</v>
      </c>
      <c r="G65" s="468">
        <f t="shared" si="5"/>
        <v>234.70000000001164</v>
      </c>
      <c r="H65" s="455">
        <f>G65+'8'!H65</f>
        <v>2101</v>
      </c>
      <c r="I65" s="484"/>
      <c r="J65" s="547">
        <f>H65/DAY(B2)</f>
        <v>233.44444444444446</v>
      </c>
      <c r="K65" s="424"/>
      <c r="L65" s="374"/>
      <c r="N65" s="379">
        <v>215.74700000000303</v>
      </c>
    </row>
    <row r="66" spans="1:14" ht="27.75">
      <c r="A66" s="1450" t="s">
        <v>255</v>
      </c>
      <c r="B66" s="1451"/>
      <c r="C66" s="1452"/>
      <c r="D66" s="518" t="s">
        <v>253</v>
      </c>
      <c r="E66" s="509">
        <f>'8'!F66</f>
        <v>59389.64</v>
      </c>
      <c r="F66" s="647">
        <v>59809</v>
      </c>
      <c r="G66" s="468">
        <f t="shared" si="5"/>
        <v>419.36000000000058</v>
      </c>
      <c r="H66" s="455">
        <f>G66+'8'!H66</f>
        <v>3004</v>
      </c>
      <c r="I66" s="475"/>
      <c r="J66" s="547">
        <f>H66/DAY(B2)</f>
        <v>333.77777777777777</v>
      </c>
      <c r="K66" s="424"/>
      <c r="L66" s="374"/>
      <c r="N66" s="379">
        <v>243.63500000000204</v>
      </c>
    </row>
    <row r="67" spans="1:14" ht="27.75">
      <c r="A67" s="1450" t="s">
        <v>157</v>
      </c>
      <c r="B67" s="1451"/>
      <c r="C67" s="1452"/>
      <c r="D67" s="518" t="s">
        <v>253</v>
      </c>
      <c r="E67" s="509">
        <f>'8'!F67</f>
        <v>255301.37</v>
      </c>
      <c r="F67" s="473">
        <v>255696</v>
      </c>
      <c r="G67" s="468">
        <f t="shared" si="5"/>
        <v>394.63000000000466</v>
      </c>
      <c r="H67" s="455">
        <f>G67+'8'!H67</f>
        <v>3504</v>
      </c>
      <c r="I67" s="484"/>
      <c r="J67" s="547">
        <f>H67/DAY(B2)</f>
        <v>389.33333333333331</v>
      </c>
      <c r="K67" s="425"/>
      <c r="L67" s="374"/>
      <c r="N67" s="379">
        <v>74.99199999999837</v>
      </c>
    </row>
    <row r="68" spans="1:14" ht="27.75">
      <c r="A68" s="1450" t="s">
        <v>164</v>
      </c>
      <c r="B68" s="1451"/>
      <c r="C68" s="1452"/>
      <c r="D68" s="518" t="s">
        <v>253</v>
      </c>
      <c r="E68" s="509">
        <f>'8'!F68</f>
        <v>85321</v>
      </c>
      <c r="F68" s="473">
        <v>85321</v>
      </c>
      <c r="G68" s="468">
        <f t="shared" si="5"/>
        <v>0</v>
      </c>
      <c r="H68" s="455">
        <f>G68+'8'!H68</f>
        <v>0</v>
      </c>
      <c r="I68" s="511"/>
      <c r="J68" s="547">
        <f>H68/DAY(B2)</f>
        <v>0</v>
      </c>
      <c r="K68" s="426"/>
      <c r="L68" s="374"/>
      <c r="N68" s="379">
        <v>92.599999999999909</v>
      </c>
    </row>
    <row r="69" spans="1:14" ht="27.75">
      <c r="A69" s="1450" t="s">
        <v>165</v>
      </c>
      <c r="B69" s="1451"/>
      <c r="C69" s="1452"/>
      <c r="D69" s="518" t="s">
        <v>253</v>
      </c>
      <c r="E69" s="509">
        <f>'8'!F69</f>
        <v>82629.8</v>
      </c>
      <c r="F69" s="473">
        <v>82755</v>
      </c>
      <c r="G69" s="468">
        <f t="shared" si="5"/>
        <v>125.19999999999709</v>
      </c>
      <c r="H69" s="455">
        <f>G69+'8'!H69</f>
        <v>1006</v>
      </c>
      <c r="I69" s="511"/>
      <c r="J69" s="547">
        <f>H69/DAY(B2)</f>
        <v>111.77777777777777</v>
      </c>
      <c r="K69" s="427"/>
      <c r="L69" s="374"/>
      <c r="N69" s="379">
        <v>12.727999999999156</v>
      </c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N70" s="379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</row>
    <row r="72" spans="1:14" ht="27.75">
      <c r="A72" s="1450" t="s">
        <v>258</v>
      </c>
      <c r="B72" s="1451"/>
      <c r="C72" s="1452"/>
      <c r="D72" s="518" t="s">
        <v>253</v>
      </c>
      <c r="E72" s="514">
        <f>'8'!F72</f>
        <v>855950</v>
      </c>
      <c r="F72" s="650">
        <v>855962</v>
      </c>
      <c r="G72" s="468">
        <f t="shared" ref="G72:G84" si="6">F72-E72</f>
        <v>12</v>
      </c>
      <c r="H72" s="455">
        <f>G72+'8'!H72</f>
        <v>119</v>
      </c>
      <c r="I72" s="475"/>
      <c r="J72" s="547">
        <f>H72/DAY(B2)</f>
        <v>13.222222222222221</v>
      </c>
      <c r="K72" s="427"/>
      <c r="L72" s="374"/>
      <c r="N72" s="379">
        <v>11</v>
      </c>
    </row>
    <row r="73" spans="1:14" ht="27.75">
      <c r="A73" s="1450" t="s">
        <v>259</v>
      </c>
      <c r="B73" s="1451"/>
      <c r="C73" s="1452"/>
      <c r="D73" s="518" t="s">
        <v>253</v>
      </c>
      <c r="E73" s="514">
        <f>'8'!F73</f>
        <v>885946</v>
      </c>
      <c r="F73" s="651">
        <v>885947</v>
      </c>
      <c r="G73" s="648">
        <f t="shared" si="6"/>
        <v>1</v>
      </c>
      <c r="H73" s="455">
        <f>G73+'8'!H73</f>
        <v>10</v>
      </c>
      <c r="I73" s="475"/>
      <c r="J73" s="547">
        <f>H73/DAY(B2)</f>
        <v>1.1111111111111112</v>
      </c>
      <c r="K73" s="426"/>
      <c r="L73" s="374"/>
      <c r="N73" s="379">
        <v>2</v>
      </c>
    </row>
    <row r="74" spans="1:14" ht="27.75">
      <c r="A74" s="1450" t="s">
        <v>260</v>
      </c>
      <c r="B74" s="1451"/>
      <c r="C74" s="1452"/>
      <c r="D74" s="518" t="s">
        <v>253</v>
      </c>
      <c r="E74" s="514">
        <f>'8'!F74</f>
        <v>2599.96</v>
      </c>
      <c r="F74" s="650">
        <v>2599.96</v>
      </c>
      <c r="G74" s="468">
        <f t="shared" si="6"/>
        <v>0</v>
      </c>
      <c r="H74" s="455">
        <f>G74+'8'!H74</f>
        <v>13.960000000000036</v>
      </c>
      <c r="I74" s="475"/>
      <c r="J74" s="547">
        <f>H74/DAY(B2)</f>
        <v>1.5511111111111151</v>
      </c>
      <c r="K74" s="427"/>
      <c r="L74" s="374"/>
      <c r="N74" s="379">
        <v>11</v>
      </c>
    </row>
    <row r="75" spans="1:14" ht="27.75">
      <c r="A75" s="1499" t="s">
        <v>261</v>
      </c>
      <c r="B75" s="1500"/>
      <c r="C75" s="1501"/>
      <c r="D75" s="518" t="s">
        <v>253</v>
      </c>
      <c r="E75" s="514">
        <f>'8'!F75</f>
        <v>13172.37</v>
      </c>
      <c r="F75" s="651">
        <v>13232</v>
      </c>
      <c r="G75" s="468">
        <f t="shared" si="6"/>
        <v>59.6299999999992</v>
      </c>
      <c r="H75" s="455">
        <f>G75+'8'!H75</f>
        <v>563</v>
      </c>
      <c r="I75" s="475"/>
      <c r="J75" s="547">
        <f>H75/DAY(B2)</f>
        <v>62.555555555555557</v>
      </c>
      <c r="K75" s="426"/>
      <c r="L75" s="374"/>
      <c r="N75" s="379">
        <v>62</v>
      </c>
    </row>
    <row r="76" spans="1:14" ht="27.75">
      <c r="A76" s="1499" t="s">
        <v>262</v>
      </c>
      <c r="B76" s="1500"/>
      <c r="C76" s="1501"/>
      <c r="D76" s="518" t="s">
        <v>253</v>
      </c>
      <c r="E76" s="514">
        <f>'8'!F76</f>
        <v>7891.65</v>
      </c>
      <c r="F76" s="651">
        <v>7951</v>
      </c>
      <c r="G76" s="468">
        <f t="shared" si="6"/>
        <v>59.350000000000364</v>
      </c>
      <c r="H76" s="455">
        <f>G76+'8'!H76</f>
        <v>532</v>
      </c>
      <c r="I76" s="500"/>
      <c r="J76" s="547">
        <f>H76/DAY(B2)</f>
        <v>59.111111111111114</v>
      </c>
      <c r="K76" s="426"/>
      <c r="L76" s="374"/>
      <c r="N76" s="379">
        <v>4</v>
      </c>
    </row>
    <row r="77" spans="1:14" ht="27.75">
      <c r="A77" s="1450" t="s">
        <v>263</v>
      </c>
      <c r="B77" s="1451"/>
      <c r="C77" s="1452"/>
      <c r="D77" s="518" t="s">
        <v>253</v>
      </c>
      <c r="E77" s="514">
        <f>'8'!F77</f>
        <v>703233</v>
      </c>
      <c r="F77" s="651">
        <v>703283</v>
      </c>
      <c r="G77" s="648">
        <f t="shared" si="6"/>
        <v>50</v>
      </c>
      <c r="H77" s="455">
        <f>G77+'8'!H77</f>
        <v>444</v>
      </c>
      <c r="I77" s="500"/>
      <c r="J77" s="547">
        <f>H77/DAY(B2)</f>
        <v>49.333333333333336</v>
      </c>
      <c r="K77" s="426"/>
      <c r="L77" s="374"/>
      <c r="N77" s="379">
        <v>19</v>
      </c>
    </row>
    <row r="78" spans="1:14" ht="27.75">
      <c r="A78" s="1395" t="s">
        <v>264</v>
      </c>
      <c r="B78" s="1387"/>
      <c r="C78" s="1387"/>
      <c r="D78" s="518" t="s">
        <v>253</v>
      </c>
      <c r="E78" s="514">
        <f>'8'!F78</f>
        <v>673702</v>
      </c>
      <c r="F78" s="652">
        <v>673755</v>
      </c>
      <c r="G78" s="468">
        <f t="shared" si="6"/>
        <v>53</v>
      </c>
      <c r="H78" s="455">
        <f>G78+'8'!H78</f>
        <v>723</v>
      </c>
      <c r="I78" s="500"/>
      <c r="J78" s="547">
        <f>H78/DAY(B2)</f>
        <v>80.333333333333329</v>
      </c>
      <c r="K78" s="426"/>
      <c r="L78" s="374"/>
      <c r="N78" s="379">
        <v>31</v>
      </c>
    </row>
    <row r="79" spans="1:14" ht="27.75">
      <c r="A79" s="1499" t="s">
        <v>151</v>
      </c>
      <c r="B79" s="1500"/>
      <c r="C79" s="1501"/>
      <c r="D79" s="519" t="s">
        <v>253</v>
      </c>
      <c r="E79" s="514">
        <f>'8'!F79</f>
        <v>832222</v>
      </c>
      <c r="F79" s="652">
        <v>832369</v>
      </c>
      <c r="G79" s="468">
        <f t="shared" si="6"/>
        <v>147</v>
      </c>
      <c r="H79" s="455">
        <f>G79+'8'!H79</f>
        <v>1359</v>
      </c>
      <c r="I79" s="500"/>
      <c r="J79" s="547">
        <f>H79/DAY(B2)</f>
        <v>151</v>
      </c>
      <c r="K79" s="426"/>
      <c r="L79" s="374"/>
      <c r="N79" s="379">
        <v>100</v>
      </c>
    </row>
    <row r="80" spans="1:14" ht="27.75">
      <c r="A80" s="1499" t="s">
        <v>265</v>
      </c>
      <c r="B80" s="1500"/>
      <c r="C80" s="1501"/>
      <c r="D80" s="519" t="s">
        <v>253</v>
      </c>
      <c r="E80" s="514">
        <f>'8'!F80</f>
        <v>530677</v>
      </c>
      <c r="F80" s="1215">
        <v>530999</v>
      </c>
      <c r="G80" s="468">
        <f t="shared" si="6"/>
        <v>322</v>
      </c>
      <c r="H80" s="455">
        <f>G80+'8'!H80</f>
        <v>3341</v>
      </c>
      <c r="I80" s="500"/>
      <c r="J80" s="547">
        <f>H80/DAY(B2)</f>
        <v>371.22222222222223</v>
      </c>
      <c r="K80" s="426"/>
      <c r="L80" s="374"/>
      <c r="N80" s="379">
        <v>158.95999999996275</v>
      </c>
    </row>
    <row r="81" spans="1:15" ht="27.75">
      <c r="A81" s="1499" t="s">
        <v>266</v>
      </c>
      <c r="B81" s="1500"/>
      <c r="C81" s="1501"/>
      <c r="D81" s="519" t="s">
        <v>253</v>
      </c>
      <c r="E81" s="514">
        <f>'8'!F81</f>
        <v>639722</v>
      </c>
      <c r="F81" s="651">
        <v>639898</v>
      </c>
      <c r="G81" s="468">
        <f t="shared" si="6"/>
        <v>176</v>
      </c>
      <c r="H81" s="455">
        <f>G81+'8'!H81</f>
        <v>1000</v>
      </c>
      <c r="I81" s="500"/>
      <c r="J81" s="547">
        <f>H81/DAY(B2)</f>
        <v>111.11111111111111</v>
      </c>
      <c r="K81" s="426"/>
      <c r="L81" s="374"/>
      <c r="N81" s="379">
        <v>79.199999999953434</v>
      </c>
    </row>
    <row r="82" spans="1:15" ht="27.75">
      <c r="A82" s="1499" t="s">
        <v>267</v>
      </c>
      <c r="B82" s="1500"/>
      <c r="C82" s="1501"/>
      <c r="D82" s="480" t="s">
        <v>198</v>
      </c>
      <c r="E82" s="514">
        <f>'8'!F82</f>
        <v>108289.60000000001</v>
      </c>
      <c r="F82" s="647">
        <v>108300</v>
      </c>
      <c r="G82" s="468">
        <f t="shared" si="6"/>
        <v>10.399999999994179</v>
      </c>
      <c r="H82" s="455">
        <f>G82+'8'!H82</f>
        <v>142</v>
      </c>
      <c r="I82" s="481"/>
      <c r="J82" s="547">
        <f>H82/DAY(B2)</f>
        <v>15.777777777777779</v>
      </c>
      <c r="K82" s="426"/>
      <c r="L82" s="374"/>
      <c r="N82" s="379">
        <v>30.149999999994179</v>
      </c>
    </row>
    <row r="83" spans="1:15" ht="27.75">
      <c r="A83" s="1499" t="s">
        <v>268</v>
      </c>
      <c r="B83" s="1500"/>
      <c r="C83" s="1501"/>
      <c r="D83" s="615" t="s">
        <v>198</v>
      </c>
      <c r="E83" s="514">
        <f>'8'!F83</f>
        <v>22103</v>
      </c>
      <c r="F83" s="506">
        <v>22278</v>
      </c>
      <c r="G83" s="468">
        <f t="shared" si="6"/>
        <v>175</v>
      </c>
      <c r="H83" s="455">
        <f>G83+'8'!H83</f>
        <v>1772</v>
      </c>
      <c r="I83" s="476"/>
      <c r="J83" s="547">
        <f>H83/DAY(B2)</f>
        <v>196.88888888888889</v>
      </c>
      <c r="K83" s="425"/>
      <c r="L83" s="374"/>
      <c r="N83" s="379">
        <v>316</v>
      </c>
    </row>
    <row r="84" spans="1:15">
      <c r="A84" s="1396" t="s">
        <v>166</v>
      </c>
      <c r="B84" s="566"/>
      <c r="C84" s="566"/>
      <c r="D84" s="473" t="s">
        <v>198</v>
      </c>
      <c r="E84" s="514">
        <f>'8'!F84</f>
        <v>506742</v>
      </c>
      <c r="F84" s="622">
        <v>507300</v>
      </c>
      <c r="G84" s="468">
        <f t="shared" si="6"/>
        <v>558</v>
      </c>
      <c r="H84" s="455">
        <f>G84+'8'!H84</f>
        <v>7006</v>
      </c>
      <c r="I84" s="476"/>
      <c r="J84" s="547">
        <f>H84/DAY(B2)</f>
        <v>778.44444444444446</v>
      </c>
      <c r="K84" s="377"/>
      <c r="L84" s="374"/>
      <c r="N84" s="379">
        <v>408</v>
      </c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1623.3799999999937</v>
      </c>
      <c r="H85" s="455">
        <f>G85+'8'!H85</f>
        <v>17024.96</v>
      </c>
      <c r="I85" s="476"/>
      <c r="J85" s="547">
        <f>H85/DAY(B2)</f>
        <v>1891.6622222222222</v>
      </c>
      <c r="K85" s="377"/>
      <c r="L85" s="375"/>
      <c r="N85" s="379">
        <v>1232.3099999999104</v>
      </c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'8'!F86</f>
        <v>461187</v>
      </c>
      <c r="F86" s="634">
        <v>461219</v>
      </c>
      <c r="G86" s="701">
        <f t="shared" ref="G86:G91" si="7">F86-E86</f>
        <v>32</v>
      </c>
      <c r="H86" s="455">
        <f>G86+'8'!H86</f>
        <v>65</v>
      </c>
      <c r="I86" s="648"/>
      <c r="J86" s="703">
        <f>H86/DAY(B2)</f>
        <v>7.2222222222222223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'8'!F87</f>
        <v>81539.8</v>
      </c>
      <c r="F87" s="643">
        <v>81557</v>
      </c>
      <c r="G87" s="701">
        <f t="shared" si="7"/>
        <v>17.19999999999709</v>
      </c>
      <c r="H87" s="455">
        <f>G87+'8'!H87</f>
        <v>52.19999999999709</v>
      </c>
      <c r="I87" s="648"/>
      <c r="J87" s="703">
        <f>H87/DAY(B2)</f>
        <v>5.7999999999996765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'8'!F88</f>
        <v>153406</v>
      </c>
      <c r="F88" s="634">
        <v>153439</v>
      </c>
      <c r="G88" s="701">
        <f t="shared" si="7"/>
        <v>33</v>
      </c>
      <c r="H88" s="455">
        <f>G88+'8'!H88</f>
        <v>59</v>
      </c>
      <c r="I88" s="648"/>
      <c r="J88" s="703">
        <f>H88/DAY(B2)</f>
        <v>6.5555555555555554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622">
        <f>'8'!F89</f>
        <v>65302.400000000001</v>
      </c>
      <c r="F89" s="643">
        <v>65319</v>
      </c>
      <c r="G89" s="701">
        <f t="shared" si="7"/>
        <v>16.599999999998545</v>
      </c>
      <c r="H89" s="455">
        <f>G89+'8'!H89</f>
        <v>34.400000000001455</v>
      </c>
      <c r="I89" s="648"/>
      <c r="J89" s="703">
        <f>H89/DAY(B2)</f>
        <v>3.8222222222223841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'8'!F90</f>
        <v>3280.3</v>
      </c>
      <c r="F90" s="643">
        <v>3283</v>
      </c>
      <c r="G90" s="701">
        <f t="shared" si="7"/>
        <v>2.6999999999998181</v>
      </c>
      <c r="H90" s="455">
        <f>G90+'8'!H90</f>
        <v>5.5999999999999091</v>
      </c>
      <c r="I90" s="648"/>
      <c r="J90" s="703">
        <f>H90/DAY(B2)</f>
        <v>0.62222222222221213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 t="s">
        <v>198</v>
      </c>
      <c r="E91" s="622">
        <f>'8'!F91</f>
        <v>28085.82</v>
      </c>
      <c r="F91" s="643">
        <v>28091</v>
      </c>
      <c r="G91" s="701">
        <f t="shared" si="7"/>
        <v>5.180000000000291</v>
      </c>
      <c r="H91" s="455">
        <f>G91+'8'!H91</f>
        <v>15</v>
      </c>
      <c r="I91" s="648"/>
      <c r="J91" s="703">
        <f>H91/DAY(B2)</f>
        <v>1.6666666666666667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'8'!F93</f>
        <v>245842</v>
      </c>
      <c r="F93" s="473">
        <v>245842</v>
      </c>
      <c r="G93" s="468">
        <f t="shared" ref="G93:G94" si="8">F93-E93</f>
        <v>0</v>
      </c>
      <c r="H93" s="455">
        <f>G93+'8'!H93</f>
        <v>354</v>
      </c>
      <c r="I93" s="475"/>
      <c r="J93" s="547">
        <f>H93/DAY(B2)</f>
        <v>39.333333333333336</v>
      </c>
      <c r="K93" s="425"/>
      <c r="L93" s="374"/>
      <c r="N93" s="379">
        <v>0</v>
      </c>
    </row>
    <row r="94" spans="1:15" ht="27.75">
      <c r="A94" s="1453" t="s">
        <v>15</v>
      </c>
      <c r="B94" s="1454"/>
      <c r="C94" s="1455"/>
      <c r="D94" s="518" t="s">
        <v>209</v>
      </c>
      <c r="E94" s="479">
        <f>'8'!F94</f>
        <v>186820</v>
      </c>
      <c r="F94" s="473">
        <v>186904</v>
      </c>
      <c r="G94" s="468">
        <f t="shared" si="8"/>
        <v>84</v>
      </c>
      <c r="H94" s="455">
        <f>G94+'8'!H94</f>
        <v>783</v>
      </c>
      <c r="I94" s="475"/>
      <c r="J94" s="547">
        <f>H94/DAY(B2)</f>
        <v>87</v>
      </c>
      <c r="K94" s="377"/>
      <c r="L94" s="374"/>
      <c r="N94" s="379">
        <v>71</v>
      </c>
    </row>
    <row r="95" spans="1:15">
      <c r="A95" s="1447" t="s">
        <v>276</v>
      </c>
      <c r="B95" s="1448"/>
      <c r="C95" s="1449"/>
      <c r="D95" s="518"/>
      <c r="E95" s="479">
        <f>'8'!F95</f>
        <v>0</v>
      </c>
      <c r="F95" s="473"/>
      <c r="G95" s="468">
        <f>G93+G94</f>
        <v>84</v>
      </c>
      <c r="H95" s="455">
        <f>G95+'8'!H95</f>
        <v>1061</v>
      </c>
      <c r="I95" s="475"/>
      <c r="J95" s="547">
        <f>H95/DAY(B2)</f>
        <v>117.88888888888889</v>
      </c>
      <c r="K95" s="377"/>
      <c r="L95" s="374"/>
      <c r="N95" s="379">
        <v>71</v>
      </c>
    </row>
    <row r="96" spans="1:15" ht="27.75">
      <c r="A96" s="1453" t="s">
        <v>16</v>
      </c>
      <c r="B96" s="1454"/>
      <c r="C96" s="1455"/>
      <c r="D96" s="518" t="s">
        <v>209</v>
      </c>
      <c r="E96" s="479">
        <f>'8'!F96</f>
        <v>414681</v>
      </c>
      <c r="F96" s="473">
        <v>414705</v>
      </c>
      <c r="G96" s="468">
        <f t="shared" ref="G96:G101" si="9">F96-E96</f>
        <v>24</v>
      </c>
      <c r="H96" s="455">
        <f>G96+'8'!H96</f>
        <v>422</v>
      </c>
      <c r="I96" s="475"/>
      <c r="J96" s="547">
        <f>H96/DAY(B2)</f>
        <v>46.888888888888886</v>
      </c>
      <c r="K96" s="377"/>
      <c r="L96" s="374"/>
      <c r="N96" s="379">
        <v>26</v>
      </c>
    </row>
    <row r="97" spans="1:14" ht="27.75">
      <c r="A97" s="1392" t="s">
        <v>17</v>
      </c>
      <c r="B97" s="1393"/>
      <c r="C97" s="1393"/>
      <c r="D97" s="518" t="s">
        <v>209</v>
      </c>
      <c r="E97" s="479">
        <f>'8'!F97</f>
        <v>102740</v>
      </c>
      <c r="F97" s="473">
        <v>102750</v>
      </c>
      <c r="G97" s="468">
        <f t="shared" si="9"/>
        <v>10</v>
      </c>
      <c r="H97" s="455">
        <f>G97+'8'!H97</f>
        <v>102</v>
      </c>
      <c r="I97" s="475"/>
      <c r="J97" s="547">
        <f>H97/DAY(B2)</f>
        <v>11.333333333333334</v>
      </c>
      <c r="K97" s="423"/>
      <c r="L97" s="374"/>
      <c r="N97" s="379">
        <v>11</v>
      </c>
    </row>
    <row r="98" spans="1:14" ht="27.75">
      <c r="A98" s="1392" t="s">
        <v>18</v>
      </c>
      <c r="B98" s="1393"/>
      <c r="C98" s="1393"/>
      <c r="D98" s="518" t="s">
        <v>209</v>
      </c>
      <c r="E98" s="479">
        <f>'8'!F98</f>
        <v>98094</v>
      </c>
      <c r="F98" s="473">
        <v>98109</v>
      </c>
      <c r="G98" s="468">
        <f t="shared" si="9"/>
        <v>15</v>
      </c>
      <c r="H98" s="455">
        <f>G98+'8'!H98</f>
        <v>159</v>
      </c>
      <c r="I98" s="475"/>
      <c r="J98" s="547">
        <f>H98/DAY(B2)</f>
        <v>17.666666666666668</v>
      </c>
      <c r="K98" s="428"/>
      <c r="L98" s="374"/>
      <c r="N98" s="379">
        <v>9</v>
      </c>
    </row>
    <row r="99" spans="1:14" ht="27.75">
      <c r="A99" s="1392" t="s">
        <v>19</v>
      </c>
      <c r="B99" s="1393"/>
      <c r="C99" s="1393"/>
      <c r="D99" s="518" t="s">
        <v>209</v>
      </c>
      <c r="E99" s="479">
        <f>'8'!F99</f>
        <v>149910</v>
      </c>
      <c r="F99" s="473">
        <v>149914</v>
      </c>
      <c r="G99" s="468">
        <f t="shared" si="9"/>
        <v>4</v>
      </c>
      <c r="H99" s="455">
        <f>G99+'8'!H99</f>
        <v>62</v>
      </c>
      <c r="I99" s="475"/>
      <c r="J99" s="547">
        <f>H99/DAY(B2)</f>
        <v>6.8888888888888893</v>
      </c>
      <c r="K99" s="377"/>
      <c r="L99" s="374"/>
      <c r="N99" s="700">
        <v>24</v>
      </c>
    </row>
    <row r="100" spans="1:14" ht="27.75">
      <c r="A100" s="1392" t="s">
        <v>20</v>
      </c>
      <c r="B100" s="1393"/>
      <c r="C100" s="1393"/>
      <c r="D100" s="518" t="s">
        <v>209</v>
      </c>
      <c r="E100" s="479">
        <f>'8'!F100</f>
        <v>7491</v>
      </c>
      <c r="F100" s="473">
        <v>7494</v>
      </c>
      <c r="G100" s="468">
        <f t="shared" si="9"/>
        <v>3</v>
      </c>
      <c r="H100" s="455">
        <f>G100+'8'!H100</f>
        <v>125</v>
      </c>
      <c r="I100" s="475"/>
      <c r="J100" s="547">
        <f>H100/DAY(B2)</f>
        <v>13.888888888888889</v>
      </c>
      <c r="K100" s="377"/>
      <c r="L100" s="374"/>
      <c r="N100" s="379">
        <v>3</v>
      </c>
    </row>
    <row r="101" spans="1:14" ht="27.75">
      <c r="A101" s="1392" t="s">
        <v>21</v>
      </c>
      <c r="B101" s="1393"/>
      <c r="C101" s="1393"/>
      <c r="D101" s="518" t="s">
        <v>209</v>
      </c>
      <c r="E101" s="479">
        <f>'8'!F101</f>
        <v>5442</v>
      </c>
      <c r="F101" s="473">
        <v>5446</v>
      </c>
      <c r="G101" s="468">
        <f t="shared" si="9"/>
        <v>4</v>
      </c>
      <c r="H101" s="455">
        <f>G101+'8'!H101</f>
        <v>55</v>
      </c>
      <c r="I101" s="475"/>
      <c r="J101" s="547">
        <f>H101/DAY(B2)</f>
        <v>6.1111111111111107</v>
      </c>
      <c r="K101" s="377"/>
      <c r="L101" s="374"/>
      <c r="N101" s="379">
        <v>0</v>
      </c>
    </row>
    <row r="102" spans="1:14">
      <c r="A102" s="1447" t="s">
        <v>277</v>
      </c>
      <c r="B102" s="1448"/>
      <c r="C102" s="1449"/>
      <c r="D102" s="519"/>
      <c r="E102" s="479"/>
      <c r="F102" s="519"/>
      <c r="G102" s="520">
        <f>SUM(G96:G101)</f>
        <v>60</v>
      </c>
      <c r="H102" s="455">
        <f>G102+'8'!H102</f>
        <v>925</v>
      </c>
      <c r="I102" s="521"/>
      <c r="J102" s="547">
        <f>H102/DAY(B2)</f>
        <v>102.77777777777777</v>
      </c>
      <c r="K102" s="377"/>
      <c r="L102" s="374"/>
      <c r="N102" s="379">
        <v>73</v>
      </c>
    </row>
    <row r="103" spans="1:14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379"/>
    </row>
    <row r="104" spans="1:14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37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479">
        <f>'8'!F105</f>
        <v>7484</v>
      </c>
      <c r="F105" s="654">
        <v>7484</v>
      </c>
      <c r="G105" s="527">
        <f>F105-E105</f>
        <v>0</v>
      </c>
      <c r="H105" s="455">
        <f>G105+'8'!H105</f>
        <v>0</v>
      </c>
      <c r="I105" s="527"/>
      <c r="J105" s="553">
        <f>H105/DAY(B2)</f>
        <v>0</v>
      </c>
      <c r="N105" s="379">
        <v>0</v>
      </c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479">
        <f>'8'!F106</f>
        <v>35989</v>
      </c>
      <c r="F106" s="655">
        <v>35989</v>
      </c>
      <c r="G106" s="527">
        <f t="shared" ref="G106:G107" si="10">F106-E106</f>
        <v>0</v>
      </c>
      <c r="H106" s="455">
        <f>G106+'8'!H106</f>
        <v>36</v>
      </c>
      <c r="I106" s="527"/>
      <c r="J106" s="553">
        <f>H106/DAY(B2)</f>
        <v>4</v>
      </c>
      <c r="N106" s="379">
        <v>0</v>
      </c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479">
        <f>'8'!F107</f>
        <v>19732</v>
      </c>
      <c r="F107" s="779">
        <v>19732</v>
      </c>
      <c r="G107" s="527">
        <f t="shared" si="10"/>
        <v>0</v>
      </c>
      <c r="H107" s="455">
        <f>G107+'8'!H107</f>
        <v>24</v>
      </c>
      <c r="I107" s="527"/>
      <c r="J107" s="553">
        <f>H107/DAY(B2)</f>
        <v>2.6666666666666665</v>
      </c>
      <c r="N107" s="379">
        <v>4</v>
      </c>
    </row>
    <row r="108" spans="1:14" s="437" customFormat="1" ht="27.75">
      <c r="A108" s="1461" t="s">
        <v>102</v>
      </c>
      <c r="B108" s="1462"/>
      <c r="C108" s="1391"/>
      <c r="D108" s="617"/>
      <c r="E108" s="479"/>
      <c r="F108" s="655"/>
      <c r="G108" s="527">
        <f>SUM(G105:G107)</f>
        <v>0</v>
      </c>
      <c r="H108" s="455">
        <f>G108+'8'!H108</f>
        <v>60</v>
      </c>
      <c r="I108" s="527"/>
      <c r="J108" s="553">
        <f>H108/DAY(B2)</f>
        <v>6.666666666666667</v>
      </c>
      <c r="N108" s="379">
        <v>4</v>
      </c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479">
        <f>'8'!F109</f>
        <v>0</v>
      </c>
      <c r="F109" s="655"/>
      <c r="G109" s="527"/>
      <c r="H109" s="455">
        <f>G109+'8'!H109</f>
        <v>0</v>
      </c>
      <c r="I109" s="527"/>
      <c r="J109" s="553"/>
      <c r="N109" s="37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479">
        <f>'8'!F110</f>
        <v>63350</v>
      </c>
      <c r="F110" s="655">
        <v>63427</v>
      </c>
      <c r="G110" s="527">
        <f>F110-E110</f>
        <v>77</v>
      </c>
      <c r="H110" s="455">
        <f>G110+'8'!H110</f>
        <v>593</v>
      </c>
      <c r="I110" s="527"/>
      <c r="J110" s="553">
        <f>H110/DAY(B2)</f>
        <v>65.888888888888886</v>
      </c>
      <c r="N110" s="379">
        <v>40</v>
      </c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479">
        <f>'8'!F111</f>
        <v>32632</v>
      </c>
      <c r="F111" s="655">
        <v>32632</v>
      </c>
      <c r="G111" s="527">
        <f t="shared" ref="G111:G112" si="11">F111-E111</f>
        <v>0</v>
      </c>
      <c r="H111" s="455">
        <f>G111+'8'!H111</f>
        <v>54</v>
      </c>
      <c r="I111" s="527"/>
      <c r="J111" s="553">
        <f>H111/DAY(B2)</f>
        <v>6</v>
      </c>
      <c r="N111" s="379">
        <v>43</v>
      </c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479">
        <f>'8'!F112</f>
        <v>4621</v>
      </c>
      <c r="F112" s="655">
        <v>4621</v>
      </c>
      <c r="G112" s="527">
        <f t="shared" si="11"/>
        <v>0</v>
      </c>
      <c r="H112" s="455">
        <f>G112+'8'!H112</f>
        <v>45</v>
      </c>
      <c r="I112" s="527"/>
      <c r="J112" s="553">
        <f>H112/DAY(B2)</f>
        <v>5</v>
      </c>
      <c r="N112" s="379">
        <v>0</v>
      </c>
    </row>
    <row r="113" spans="1:14" s="437" customFormat="1" ht="27.75">
      <c r="A113" s="1461" t="s">
        <v>174</v>
      </c>
      <c r="B113" s="1462"/>
      <c r="C113" s="1391"/>
      <c r="D113" s="617"/>
      <c r="E113" s="479"/>
      <c r="F113" s="655"/>
      <c r="G113" s="527">
        <f>SUM(G110:G112)</f>
        <v>77</v>
      </c>
      <c r="H113" s="455">
        <f>G113+'8'!H113</f>
        <v>692</v>
      </c>
      <c r="I113" s="527"/>
      <c r="J113" s="553">
        <f>H113/DAY(B2)</f>
        <v>76.888888888888886</v>
      </c>
      <c r="N113" s="379">
        <v>83</v>
      </c>
    </row>
    <row r="114" spans="1:14" s="437" customFormat="1" ht="27.75">
      <c r="A114" s="1463" t="s">
        <v>280</v>
      </c>
      <c r="B114" s="1464"/>
      <c r="C114" s="1391"/>
      <c r="D114" s="617"/>
      <c r="E114" s="479"/>
      <c r="F114" s="655"/>
      <c r="G114" s="527"/>
      <c r="H114" s="455">
        <f>G114+'8'!H114</f>
        <v>0</v>
      </c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479">
        <f>'8'!F115</f>
        <v>11647</v>
      </c>
      <c r="F115" s="655">
        <v>11651</v>
      </c>
      <c r="G115" s="529">
        <f>F115-E115</f>
        <v>4</v>
      </c>
      <c r="H115" s="455">
        <f>G115+'8'!H115</f>
        <v>154</v>
      </c>
      <c r="I115" s="527"/>
      <c r="J115" s="553">
        <f>H115/DAY(B2)</f>
        <v>17.111111111111111</v>
      </c>
      <c r="N115" s="379">
        <v>5</v>
      </c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479">
        <f>'8'!F116</f>
        <v>8362</v>
      </c>
      <c r="F116" s="655">
        <v>8366</v>
      </c>
      <c r="G116" s="529">
        <f t="shared" ref="G116:G117" si="12">F116-E116</f>
        <v>4</v>
      </c>
      <c r="H116" s="455">
        <f>G116+'8'!H116</f>
        <v>54</v>
      </c>
      <c r="I116" s="527"/>
      <c r="J116" s="553">
        <f>H116/DAY(B2)</f>
        <v>6</v>
      </c>
      <c r="N116" s="379">
        <v>3</v>
      </c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2"/>
        <v>0</v>
      </c>
      <c r="H117" s="455">
        <f>G117+'8'!H117</f>
        <v>0</v>
      </c>
      <c r="I117" s="527"/>
      <c r="J117" s="553">
        <f>H117/DAY(B2)</f>
        <v>0</v>
      </c>
      <c r="N117" s="379">
        <v>0</v>
      </c>
    </row>
    <row r="118" spans="1:14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8</v>
      </c>
      <c r="H118" s="455">
        <f>G118+'8'!H118</f>
        <v>208</v>
      </c>
      <c r="I118" s="529"/>
      <c r="J118" s="553">
        <f>H118/DAY(B2)</f>
        <v>23.111111111111111</v>
      </c>
      <c r="N118" s="379">
        <v>8</v>
      </c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78</v>
      </c>
      <c r="G119" s="531">
        <f>SUM(G19+G93)</f>
        <v>78</v>
      </c>
      <c r="H119" s="455">
        <f>G119+'8'!H119</f>
        <v>916</v>
      </c>
      <c r="I119" s="530"/>
      <c r="J119" s="554">
        <f>H119/DAY(B2)</f>
        <v>101.77777777777777</v>
      </c>
      <c r="N119" s="379">
        <v>55</v>
      </c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56</v>
      </c>
      <c r="G120" s="531">
        <f>SUM(G96,G97,G98,G100,G101)</f>
        <v>56</v>
      </c>
      <c r="H120" s="455">
        <f>G120+'8'!H120</f>
        <v>863</v>
      </c>
      <c r="I120" s="530"/>
      <c r="J120" s="554">
        <f>H120/DAY(B2)</f>
        <v>95.888888888888886</v>
      </c>
      <c r="N120" s="379">
        <v>49</v>
      </c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77</v>
      </c>
      <c r="G121" s="529">
        <f>SUM(G113)</f>
        <v>77</v>
      </c>
      <c r="H121" s="455">
        <f>G121+'8'!H121</f>
        <v>692</v>
      </c>
      <c r="I121" s="530"/>
      <c r="J121" s="554">
        <f>H121/DAY(B2)</f>
        <v>76.888888888888886</v>
      </c>
      <c r="N121" s="379">
        <v>83</v>
      </c>
    </row>
    <row r="122" spans="1:14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'8'!F124</f>
        <v>833801.89</v>
      </c>
      <c r="F124" s="473">
        <v>834008</v>
      </c>
      <c r="G124" s="468">
        <f t="shared" ref="G124:G128" si="13">F124-E124</f>
        <v>206.10999999998603</v>
      </c>
      <c r="H124" s="455">
        <f>G124+'8'!H124</f>
        <v>1642</v>
      </c>
      <c r="I124" s="521"/>
      <c r="J124" s="547">
        <f>H124/DAY(B2)</f>
        <v>182.44444444444446</v>
      </c>
      <c r="K124" s="377"/>
      <c r="L124" s="374"/>
      <c r="N124" s="379">
        <v>111.45100000000093</v>
      </c>
    </row>
    <row r="125" spans="1:14" ht="27.75">
      <c r="A125" s="1392" t="s">
        <v>287</v>
      </c>
      <c r="B125" s="1393"/>
      <c r="C125" s="1393"/>
      <c r="D125" s="518" t="s">
        <v>206</v>
      </c>
      <c r="E125" s="473">
        <f>'8'!F125</f>
        <v>73583.399999999994</v>
      </c>
      <c r="F125" s="621">
        <v>73583.399999999994</v>
      </c>
      <c r="G125" s="468">
        <f t="shared" si="13"/>
        <v>0</v>
      </c>
      <c r="H125" s="455">
        <f>G125+'8'!H125</f>
        <v>0</v>
      </c>
      <c r="I125" s="521"/>
      <c r="J125" s="547">
        <f>H125/DAY(B2)</f>
        <v>0</v>
      </c>
      <c r="K125" s="377"/>
      <c r="L125" s="374"/>
      <c r="N125" s="379">
        <v>0</v>
      </c>
    </row>
    <row r="126" spans="1:14" ht="27.75">
      <c r="A126" s="1450" t="s">
        <v>288</v>
      </c>
      <c r="B126" s="1451"/>
      <c r="C126" s="1452"/>
      <c r="D126" s="518" t="s">
        <v>206</v>
      </c>
      <c r="E126" s="473">
        <f>'8'!F126</f>
        <v>146978</v>
      </c>
      <c r="F126" s="473">
        <v>147053</v>
      </c>
      <c r="G126" s="468">
        <f t="shared" si="13"/>
        <v>75</v>
      </c>
      <c r="H126" s="455">
        <f>G126+'8'!H126</f>
        <v>562</v>
      </c>
      <c r="I126" s="521"/>
      <c r="J126" s="547">
        <f>H126/DAY(B2)</f>
        <v>62.444444444444443</v>
      </c>
      <c r="K126" s="377"/>
      <c r="L126" s="374"/>
      <c r="N126" s="379">
        <v>43.220000000001164</v>
      </c>
    </row>
    <row r="127" spans="1:14" ht="27.75">
      <c r="A127" s="604" t="s">
        <v>289</v>
      </c>
      <c r="B127" s="1393"/>
      <c r="C127" s="1393"/>
      <c r="D127" s="518" t="s">
        <v>206</v>
      </c>
      <c r="E127" s="473">
        <f>'8'!F127</f>
        <v>31409</v>
      </c>
      <c r="F127" s="621">
        <v>31409</v>
      </c>
      <c r="G127" s="468">
        <f t="shared" si="13"/>
        <v>0</v>
      </c>
      <c r="H127" s="455">
        <f>G127+'8'!H127</f>
        <v>3</v>
      </c>
      <c r="I127" s="521"/>
      <c r="J127" s="547">
        <f>H127/DAY(B2)</f>
        <v>0.33333333333333331</v>
      </c>
      <c r="K127" s="377"/>
      <c r="L127" s="374"/>
      <c r="N127" s="379">
        <v>0</v>
      </c>
    </row>
    <row r="128" spans="1:14" ht="27.75">
      <c r="A128" s="604" t="s">
        <v>290</v>
      </c>
      <c r="B128" s="1393"/>
      <c r="C128" s="1393"/>
      <c r="D128" s="518" t="s">
        <v>206</v>
      </c>
      <c r="E128" s="473">
        <f>'8'!F128</f>
        <v>8972</v>
      </c>
      <c r="F128" s="621">
        <v>8972</v>
      </c>
      <c r="G128" s="468">
        <f t="shared" si="13"/>
        <v>0</v>
      </c>
      <c r="H128" s="455">
        <f>G128+'8'!H128</f>
        <v>0</v>
      </c>
      <c r="I128" s="475"/>
      <c r="J128" s="547">
        <f>H128/DAY(B2)</f>
        <v>0</v>
      </c>
      <c r="K128" s="377"/>
      <c r="L128" s="374"/>
      <c r="N128" s="379">
        <v>0</v>
      </c>
    </row>
    <row r="129" spans="1:14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63.940000000060536</v>
      </c>
      <c r="H129" s="455"/>
      <c r="I129" s="475"/>
      <c r="J129" s="547"/>
      <c r="K129" s="361"/>
      <c r="L129" s="289"/>
      <c r="N129" s="379">
        <v>175.87500000008731</v>
      </c>
    </row>
    <row r="130" spans="1:14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'8'!F131</f>
        <v>0</v>
      </c>
      <c r="F131" s="473">
        <v>0</v>
      </c>
      <c r="G131" s="468">
        <f t="shared" ref="G131:G141" si="14">F131-E131</f>
        <v>0</v>
      </c>
      <c r="H131" s="455">
        <f>G131+'8'!H131</f>
        <v>0</v>
      </c>
      <c r="I131" s="475"/>
      <c r="J131" s="547">
        <f>H131/DAY(B2)</f>
        <v>0</v>
      </c>
      <c r="N131" s="379">
        <v>0</v>
      </c>
    </row>
    <row r="132" spans="1:14" ht="27.75">
      <c r="A132" s="1392" t="s">
        <v>295</v>
      </c>
      <c r="B132" s="1393"/>
      <c r="C132" s="1393"/>
      <c r="D132" s="518" t="s">
        <v>294</v>
      </c>
      <c r="E132" s="479">
        <f>'8'!F132</f>
        <v>0</v>
      </c>
      <c r="F132" s="473">
        <v>0</v>
      </c>
      <c r="G132" s="468">
        <f t="shared" si="14"/>
        <v>0</v>
      </c>
      <c r="H132" s="455">
        <f>G132+'8'!H132</f>
        <v>0</v>
      </c>
      <c r="I132" s="475"/>
      <c r="J132" s="547">
        <f>H132/DAY(B2)</f>
        <v>0</v>
      </c>
      <c r="N132" s="379">
        <v>0</v>
      </c>
    </row>
    <row r="133" spans="1:14" ht="27.75">
      <c r="A133" s="1392" t="s">
        <v>296</v>
      </c>
      <c r="B133" s="1393"/>
      <c r="C133" s="1393"/>
      <c r="D133" s="518" t="s">
        <v>294</v>
      </c>
      <c r="E133" s="479">
        <f>'8'!F133</f>
        <v>40074.58</v>
      </c>
      <c r="F133" s="621">
        <v>40099</v>
      </c>
      <c r="G133" s="468">
        <f t="shared" si="14"/>
        <v>24.419999999998254</v>
      </c>
      <c r="H133" s="455">
        <f>G133+'8'!H133</f>
        <v>63.900000000001455</v>
      </c>
      <c r="I133" s="475"/>
      <c r="J133" s="547">
        <f>H133/DAY(B2)</f>
        <v>7.1000000000001613</v>
      </c>
      <c r="N133" s="379">
        <v>22</v>
      </c>
    </row>
    <row r="134" spans="1:14" ht="27.75">
      <c r="A134" s="1392" t="s">
        <v>297</v>
      </c>
      <c r="B134" s="1393"/>
      <c r="C134" s="1393"/>
      <c r="D134" s="518" t="s">
        <v>294</v>
      </c>
      <c r="E134" s="479">
        <f>'8'!F134</f>
        <v>300</v>
      </c>
      <c r="F134" s="480">
        <v>300</v>
      </c>
      <c r="G134" s="468">
        <f t="shared" si="14"/>
        <v>0</v>
      </c>
      <c r="H134" s="455">
        <f>G134+'8'!H134</f>
        <v>0</v>
      </c>
      <c r="I134" s="475">
        <f>G131+G132+G133+G134</f>
        <v>24.419999999998254</v>
      </c>
      <c r="J134" s="547">
        <f>H134/DAY(B2)</f>
        <v>0</v>
      </c>
      <c r="N134" s="379">
        <v>0</v>
      </c>
    </row>
    <row r="135" spans="1:14" ht="27.75">
      <c r="A135" s="1392" t="s">
        <v>298</v>
      </c>
      <c r="B135" s="1393"/>
      <c r="C135" s="1393"/>
      <c r="D135" s="518" t="s">
        <v>294</v>
      </c>
      <c r="E135" s="479">
        <f>'8'!F135</f>
        <v>41730.449999999997</v>
      </c>
      <c r="F135" s="621">
        <v>41730.449999999997</v>
      </c>
      <c r="G135" s="468">
        <f t="shared" si="14"/>
        <v>0</v>
      </c>
      <c r="H135" s="455">
        <f>G135+'8'!H135</f>
        <v>0.44999999999708962</v>
      </c>
      <c r="I135" s="475"/>
      <c r="J135" s="547">
        <f>H135/DAY(B2)</f>
        <v>4.9999999999676623E-2</v>
      </c>
      <c r="N135" s="379">
        <v>0</v>
      </c>
    </row>
    <row r="136" spans="1:14" ht="27.75">
      <c r="A136" s="1392" t="s">
        <v>299</v>
      </c>
      <c r="B136" s="1393"/>
      <c r="C136" s="1393"/>
      <c r="D136" s="518" t="s">
        <v>294</v>
      </c>
      <c r="E136" s="479">
        <f>'8'!F136</f>
        <v>32874.050000000003</v>
      </c>
      <c r="F136" s="621">
        <v>32874.050000000003</v>
      </c>
      <c r="G136" s="468">
        <f t="shared" si="14"/>
        <v>0</v>
      </c>
      <c r="H136" s="455">
        <f>G136+'8'!H136</f>
        <v>159.05000000000291</v>
      </c>
      <c r="I136" s="475"/>
      <c r="J136" s="547">
        <f>H136/DAY(B2)</f>
        <v>17.672222222222544</v>
      </c>
      <c r="N136" s="379">
        <v>0</v>
      </c>
    </row>
    <row r="137" spans="1:14" ht="27.75">
      <c r="A137" s="1392" t="s">
        <v>300</v>
      </c>
      <c r="B137" s="1393"/>
      <c r="C137" s="1393"/>
      <c r="D137" s="518" t="s">
        <v>294</v>
      </c>
      <c r="E137" s="479">
        <f>'8'!F137</f>
        <v>22825.71</v>
      </c>
      <c r="F137" s="647">
        <v>22825.71</v>
      </c>
      <c r="G137" s="468">
        <f t="shared" si="14"/>
        <v>0</v>
      </c>
      <c r="H137" s="455">
        <f>G137+'8'!H137</f>
        <v>18.469999999997526</v>
      </c>
      <c r="I137" s="475">
        <f>G135+G136+G137</f>
        <v>0</v>
      </c>
      <c r="J137" s="547">
        <f>H137/DAY(B2)</f>
        <v>2.0522222222219475</v>
      </c>
      <c r="N137" s="379">
        <v>-0.2999999999992724</v>
      </c>
    </row>
    <row r="138" spans="1:14" ht="27.75">
      <c r="A138" s="1392" t="s">
        <v>301</v>
      </c>
      <c r="B138" s="1393"/>
      <c r="C138" s="1393"/>
      <c r="D138" s="518" t="s">
        <v>294</v>
      </c>
      <c r="E138" s="479">
        <f>'8'!F138</f>
        <v>25051.82</v>
      </c>
      <c r="F138" s="647">
        <v>25051.82</v>
      </c>
      <c r="G138" s="468">
        <f t="shared" si="14"/>
        <v>0</v>
      </c>
      <c r="H138" s="455">
        <f>G138+'8'!H138</f>
        <v>0</v>
      </c>
      <c r="I138" s="475"/>
      <c r="J138" s="547">
        <f>H138/DAY(B2)</f>
        <v>0</v>
      </c>
      <c r="N138" s="379">
        <v>0</v>
      </c>
    </row>
    <row r="139" spans="1:14" ht="27.75">
      <c r="A139" s="1392" t="s">
        <v>302</v>
      </c>
      <c r="B139" s="1393"/>
      <c r="C139" s="1393"/>
      <c r="D139" s="518" t="s">
        <v>294</v>
      </c>
      <c r="E139" s="479">
        <f>'8'!F139</f>
        <v>70446.41</v>
      </c>
      <c r="F139" s="647">
        <v>70448.41</v>
      </c>
      <c r="G139" s="468">
        <f t="shared" si="14"/>
        <v>2</v>
      </c>
      <c r="H139" s="455">
        <f>G139+'8'!H139</f>
        <v>36.669999999998254</v>
      </c>
      <c r="I139" s="475">
        <f>G138+G139</f>
        <v>2</v>
      </c>
      <c r="J139" s="547">
        <f>H139/DAY(B2)</f>
        <v>4.07444444444425</v>
      </c>
      <c r="N139" s="379">
        <v>9.7100000000064028</v>
      </c>
    </row>
    <row r="140" spans="1:14" ht="27.75">
      <c r="A140" s="1392" t="s">
        <v>303</v>
      </c>
      <c r="B140" s="1393"/>
      <c r="C140" s="1393"/>
      <c r="D140" s="518" t="s">
        <v>294</v>
      </c>
      <c r="E140" s="479">
        <f>'8'!F140</f>
        <v>1909.91</v>
      </c>
      <c r="F140" s="621">
        <v>1917.79</v>
      </c>
      <c r="G140" s="468">
        <f t="shared" si="14"/>
        <v>7.8799999999998818</v>
      </c>
      <c r="H140" s="455">
        <f>G140+'8'!H140</f>
        <v>63.490000000000009</v>
      </c>
      <c r="I140" s="537"/>
      <c r="J140" s="547">
        <f>H140/DAY(B2)</f>
        <v>7.0544444444444458</v>
      </c>
      <c r="N140" s="379">
        <v>0</v>
      </c>
    </row>
    <row r="141" spans="1:14" ht="27.75">
      <c r="A141" s="1392" t="s">
        <v>304</v>
      </c>
      <c r="B141" s="1393"/>
      <c r="C141" s="1393"/>
      <c r="D141" s="518" t="s">
        <v>294</v>
      </c>
      <c r="E141" s="479">
        <f>'8'!F141</f>
        <v>4637</v>
      </c>
      <c r="F141" s="473">
        <v>4636.88</v>
      </c>
      <c r="G141" s="468">
        <f t="shared" si="14"/>
        <v>-0.11999999999989086</v>
      </c>
      <c r="H141" s="455">
        <f>G141+'8'!H141</f>
        <v>-0.11999999999989086</v>
      </c>
      <c r="I141" s="537"/>
      <c r="J141" s="547">
        <f>H141/DAY(B2)</f>
        <v>-1.3333333333321207E-2</v>
      </c>
      <c r="N141" s="379">
        <v>3.6500000000000909</v>
      </c>
    </row>
    <row r="142" spans="1:14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4686.3100000000559</v>
      </c>
      <c r="H143" s="455">
        <f>G143+'8'!H143</f>
        <v>43499.130000000005</v>
      </c>
      <c r="I143" s="475"/>
      <c r="J143" s="547">
        <f>H143/DAY(B2)</f>
        <v>4833.2366666666676</v>
      </c>
      <c r="K143" s="377"/>
      <c r="L143" s="374"/>
      <c r="N143" s="379">
        <v>2912.0800000000163</v>
      </c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0.27824726506256919</v>
      </c>
      <c r="H144" s="455">
        <f>G144+'8'!H144</f>
        <v>2.5274608802936211</v>
      </c>
      <c r="I144" s="539"/>
      <c r="J144" s="547">
        <f>H144/DAY(B2)</f>
        <v>0.28082898669929124</v>
      </c>
      <c r="K144" s="377"/>
      <c r="L144" s="374"/>
      <c r="N144" s="379">
        <v>0.25636763799630391</v>
      </c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4917.2599999999802</v>
      </c>
      <c r="H145" s="455">
        <f>G145+'8'!H145</f>
        <v>44756.160000000003</v>
      </c>
      <c r="I145" s="475"/>
      <c r="J145" s="547">
        <f>H145/DAY(B2)</f>
        <v>4972.9066666666668</v>
      </c>
      <c r="K145" s="377"/>
      <c r="L145" s="374"/>
      <c r="N145" s="379">
        <v>2876.3199999999779</v>
      </c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0.29195980347043776</v>
      </c>
      <c r="H146" s="455">
        <f>G146+'8'!H146</f>
        <v>2.5945502199876551</v>
      </c>
      <c r="I146" s="539"/>
      <c r="J146" s="547">
        <f>H146/DAY(B2)</f>
        <v>0.28828335777640612</v>
      </c>
      <c r="K146" s="377"/>
      <c r="L146" s="374"/>
      <c r="N146" s="379">
        <v>0.25321947354520452</v>
      </c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3069.710000000021</v>
      </c>
      <c r="H147" s="455">
        <f>G147+'8'!H147</f>
        <v>25660.669999999984</v>
      </c>
      <c r="I147" s="540"/>
      <c r="J147" s="547">
        <f>H147/DAY(B2)</f>
        <v>2851.1855555555539</v>
      </c>
      <c r="K147" s="377"/>
      <c r="L147" s="374"/>
      <c r="N147" s="379">
        <v>2036.5859000000055</v>
      </c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0.18226246493194323</v>
      </c>
      <c r="H148" s="455">
        <f>G148+'8'!H148</f>
        <v>1.4858682197410868</v>
      </c>
      <c r="I148" s="540"/>
      <c r="J148" s="547">
        <f>H148/DAY(B2)</f>
        <v>0.16509646886012075</v>
      </c>
      <c r="N148" s="379">
        <v>0.17929271062593585</v>
      </c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1004.8500000000058</v>
      </c>
      <c r="H149" s="455">
        <f>G149+'8'!H149</f>
        <v>10983.069999999949</v>
      </c>
      <c r="I149" s="475"/>
      <c r="J149" s="547">
        <f>H149/DAY(B2)</f>
        <v>1220.3411111111054</v>
      </c>
      <c r="K149" s="378"/>
      <c r="N149" s="379">
        <v>1071.8899999999849</v>
      </c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5.9662456025768876E-2</v>
      </c>
      <c r="H150" s="455">
        <f>G150+'8'!H150</f>
        <v>0.63668417605361693</v>
      </c>
      <c r="I150" s="540"/>
      <c r="J150" s="547">
        <f>H150/DAY(B2)</f>
        <v>7.0742686228179655E-2</v>
      </c>
      <c r="N150" s="379">
        <v>9.4364820846904202E-2</v>
      </c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1492.2299999999741</v>
      </c>
      <c r="H151" s="455">
        <f>G151+'8'!H151</f>
        <v>13641.000000000002</v>
      </c>
      <c r="I151" s="540"/>
      <c r="J151" s="547">
        <f>H151/DAY(B2)</f>
        <v>1515.666666666667</v>
      </c>
      <c r="N151" s="379">
        <v>1124.1299999999901</v>
      </c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8.8600394840355298E-2</v>
      </c>
      <c r="H152" s="455">
        <f>G152+'8'!H152</f>
        <v>0.7857648516289738</v>
      </c>
      <c r="I152" s="475"/>
      <c r="J152" s="547">
        <f>H152/DAY(B2)</f>
        <v>8.7307205736552651E-2</v>
      </c>
      <c r="N152" s="379">
        <v>9.8963817237432E-2</v>
      </c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1379.7399999999907</v>
      </c>
      <c r="H153" s="455">
        <f>G153+'8'!H153</f>
        <v>11856.869999999995</v>
      </c>
      <c r="I153" s="475"/>
      <c r="J153" s="547">
        <f>H153/DAY(B2)</f>
        <v>1317.4299999999994</v>
      </c>
      <c r="N153" s="379">
        <v>1164.4599999999919</v>
      </c>
    </row>
    <row r="154" spans="1:14" ht="27" customHeight="1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8.1921358488324936E-2</v>
      </c>
      <c r="H154" s="455">
        <f>G154+'8'!H154</f>
        <v>0.68900466545224459</v>
      </c>
      <c r="I154" s="563"/>
      <c r="J154" s="564">
        <f>H154/DAY(B2)</f>
        <v>7.6556073939138283E-2</v>
      </c>
      <c r="N154" s="379">
        <v>0.10251430583678069</v>
      </c>
    </row>
    <row r="155" spans="1:14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379"/>
    </row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7">
      <c r="A161" s="780" t="s">
        <v>318</v>
      </c>
      <c r="B161" s="781"/>
      <c r="C161" s="781"/>
      <c r="D161" s="506" t="s">
        <v>253</v>
      </c>
      <c r="E161" s="1056">
        <f>'8'!F161</f>
        <v>39080.99</v>
      </c>
      <c r="F161" s="654">
        <v>39160</v>
      </c>
      <c r="G161" s="468">
        <f t="shared" ref="G161:G174" si="15">F161-E161</f>
        <v>79.010000000002037</v>
      </c>
    </row>
    <row r="162" spans="1:7">
      <c r="A162" s="780" t="s">
        <v>319</v>
      </c>
      <c r="B162" s="781"/>
      <c r="C162" s="781"/>
      <c r="D162" s="506" t="s">
        <v>253</v>
      </c>
      <c r="E162" s="1056">
        <f>'8'!F162</f>
        <v>98064.1</v>
      </c>
      <c r="F162" s="654">
        <v>98475</v>
      </c>
      <c r="G162" s="468">
        <f t="shared" si="15"/>
        <v>410.89999999999418</v>
      </c>
    </row>
    <row r="163" spans="1:7">
      <c r="A163" s="780" t="s">
        <v>320</v>
      </c>
      <c r="B163" s="781"/>
      <c r="C163" s="781"/>
      <c r="D163" s="506" t="s">
        <v>253</v>
      </c>
      <c r="E163" s="1056">
        <f>'8'!F163</f>
        <v>46607.05</v>
      </c>
      <c r="F163" s="654">
        <v>46817</v>
      </c>
      <c r="G163" s="468">
        <f t="shared" si="15"/>
        <v>209.94999999999709</v>
      </c>
    </row>
    <row r="164" spans="1:7">
      <c r="A164" s="780" t="s">
        <v>321</v>
      </c>
      <c r="B164" s="781"/>
      <c r="C164" s="781"/>
      <c r="D164" s="506" t="s">
        <v>253</v>
      </c>
      <c r="E164" s="1056">
        <f>'8'!F164</f>
        <v>6633.24</v>
      </c>
      <c r="F164" s="654">
        <v>6640</v>
      </c>
      <c r="G164" s="468">
        <f t="shared" si="15"/>
        <v>6.7600000000002183</v>
      </c>
    </row>
    <row r="165" spans="1:7">
      <c r="A165" s="782" t="s">
        <v>252</v>
      </c>
      <c r="B165" s="599"/>
      <c r="C165" s="599"/>
      <c r="D165" s="506" t="s">
        <v>253</v>
      </c>
      <c r="E165" s="1056">
        <f>'8'!F165</f>
        <v>0</v>
      </c>
      <c r="F165" s="509">
        <f>F62</f>
        <v>0</v>
      </c>
      <c r="G165" s="468">
        <f t="shared" si="15"/>
        <v>0</v>
      </c>
    </row>
    <row r="166" spans="1:7">
      <c r="A166" s="782" t="s">
        <v>254</v>
      </c>
      <c r="B166" s="599"/>
      <c r="C166" s="599"/>
      <c r="D166" s="506" t="s">
        <v>253</v>
      </c>
      <c r="E166" s="1056">
        <f>'8'!F166</f>
        <v>0</v>
      </c>
      <c r="F166" s="509">
        <f t="shared" ref="F166:F172" si="16">F63</f>
        <v>0</v>
      </c>
      <c r="G166" s="468">
        <f t="shared" si="15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1056">
        <f>'8'!F167</f>
        <v>161937.67000000001</v>
      </c>
      <c r="F167" s="509">
        <f t="shared" si="16"/>
        <v>162295</v>
      </c>
      <c r="G167" s="468">
        <f t="shared" si="15"/>
        <v>357.32999999998719</v>
      </c>
    </row>
    <row r="168" spans="1:7" ht="27.75">
      <c r="A168" s="1502" t="s">
        <v>162</v>
      </c>
      <c r="B168" s="1502"/>
      <c r="C168" s="1502"/>
      <c r="D168" s="518" t="s">
        <v>253</v>
      </c>
      <c r="E168" s="1056">
        <f>'8'!F168</f>
        <v>162864.29999999999</v>
      </c>
      <c r="F168" s="509">
        <f t="shared" si="16"/>
        <v>163099</v>
      </c>
      <c r="G168" s="468">
        <f t="shared" si="15"/>
        <v>234.70000000001164</v>
      </c>
    </row>
    <row r="169" spans="1:7" ht="27.75">
      <c r="A169" s="1502" t="s">
        <v>255</v>
      </c>
      <c r="B169" s="1502"/>
      <c r="C169" s="1502"/>
      <c r="D169" s="518" t="s">
        <v>253</v>
      </c>
      <c r="E169" s="1056">
        <f>'8'!F169</f>
        <v>59389.64</v>
      </c>
      <c r="F169" s="509">
        <f t="shared" si="16"/>
        <v>59809</v>
      </c>
      <c r="G169" s="468">
        <f t="shared" si="15"/>
        <v>419.36000000000058</v>
      </c>
    </row>
    <row r="170" spans="1:7" ht="27.75">
      <c r="A170" s="1502" t="s">
        <v>157</v>
      </c>
      <c r="B170" s="1502"/>
      <c r="C170" s="1502"/>
      <c r="D170" s="518" t="s">
        <v>253</v>
      </c>
      <c r="E170" s="1056">
        <f>'8'!F170</f>
        <v>255301.37</v>
      </c>
      <c r="F170" s="509">
        <f t="shared" si="16"/>
        <v>255696</v>
      </c>
      <c r="G170" s="468">
        <f t="shared" si="15"/>
        <v>394.63000000000466</v>
      </c>
    </row>
    <row r="171" spans="1:7" ht="27.75">
      <c r="A171" s="1502" t="s">
        <v>164</v>
      </c>
      <c r="B171" s="1502"/>
      <c r="C171" s="1502"/>
      <c r="D171" s="518" t="s">
        <v>253</v>
      </c>
      <c r="E171" s="1056">
        <f>'8'!F171</f>
        <v>85321</v>
      </c>
      <c r="F171" s="509">
        <f t="shared" si="16"/>
        <v>85321</v>
      </c>
      <c r="G171" s="468">
        <f t="shared" si="15"/>
        <v>0</v>
      </c>
    </row>
    <row r="172" spans="1:7" ht="31.5" customHeight="1">
      <c r="A172" s="1502" t="s">
        <v>165</v>
      </c>
      <c r="B172" s="1502"/>
      <c r="C172" s="1502"/>
      <c r="D172" s="518" t="s">
        <v>253</v>
      </c>
      <c r="E172" s="1056">
        <f>'8'!F172</f>
        <v>82629.8</v>
      </c>
      <c r="F172" s="509">
        <f t="shared" si="16"/>
        <v>82755</v>
      </c>
      <c r="G172" s="468">
        <f t="shared" si="15"/>
        <v>125.19999999999709</v>
      </c>
    </row>
    <row r="173" spans="1:7">
      <c r="A173" s="1512" t="s">
        <v>329</v>
      </c>
      <c r="B173" s="1495"/>
      <c r="C173" s="781"/>
      <c r="D173" s="518" t="s">
        <v>253</v>
      </c>
      <c r="E173" s="1382">
        <v>18928.5</v>
      </c>
      <c r="F173" s="537">
        <v>18928.5</v>
      </c>
      <c r="G173" s="468">
        <f t="shared" si="15"/>
        <v>0</v>
      </c>
    </row>
    <row r="174" spans="1:7">
      <c r="A174" s="1512" t="s">
        <v>332</v>
      </c>
      <c r="B174" s="1495"/>
      <c r="C174" s="781"/>
      <c r="D174" s="518" t="s">
        <v>253</v>
      </c>
      <c r="E174" s="1382">
        <v>27533.5</v>
      </c>
      <c r="F174" s="537">
        <v>27538</v>
      </c>
      <c r="G174" s="468">
        <f t="shared" si="15"/>
        <v>4.5</v>
      </c>
    </row>
    <row r="177" spans="6:6" ht="18.75" customHeight="1"/>
    <row r="178" spans="6:6" ht="18.75" customHeight="1">
      <c r="F178" s="659" t="s">
        <v>182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12" zoomScale="60" zoomScaleNormal="55" workbookViewId="0">
      <selection activeCell="A33" sqref="A33:J33"/>
    </sheetView>
  </sheetViews>
  <sheetFormatPr defaultColWidth="22.33203125" defaultRowHeight="29.25"/>
  <cols>
    <col min="1" max="1" width="41.77734375" style="449" customWidth="1"/>
    <col min="2" max="2" width="31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436" customWidth="1"/>
    <col min="15" max="16384" width="22.33203125" style="373"/>
  </cols>
  <sheetData>
    <row r="1" spans="1:14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4" s="278" customFormat="1" ht="27">
      <c r="A2" s="570" t="s">
        <v>336</v>
      </c>
      <c r="B2" s="1028">
        <v>44357</v>
      </c>
      <c r="C2" s="1394" t="s">
        <v>111</v>
      </c>
      <c r="D2" s="606">
        <v>0.89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06"/>
    </row>
    <row r="3" spans="1:14" s="278" customFormat="1" ht="27">
      <c r="A3" s="565"/>
      <c r="B3" s="609"/>
      <c r="C3" s="1394" t="s">
        <v>186</v>
      </c>
      <c r="D3" s="607">
        <v>29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06"/>
    </row>
    <row r="4" spans="1:14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/>
      <c r="K4" s="369"/>
      <c r="L4" s="289"/>
      <c r="N4" s="706"/>
    </row>
    <row r="5" spans="1:14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4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4" ht="30" thickBot="1">
      <c r="A7" s="672" t="s">
        <v>197</v>
      </c>
      <c r="B7" s="673"/>
      <c r="C7" s="673"/>
      <c r="D7" s="633" t="s">
        <v>198</v>
      </c>
      <c r="E7" s="628">
        <f>'9'!F7</f>
        <v>499658</v>
      </c>
      <c r="F7" s="450">
        <v>516715</v>
      </c>
      <c r="G7" s="674">
        <f>F7-E7</f>
        <v>17057</v>
      </c>
      <c r="H7" s="675">
        <f>G7+'9'!H7</f>
        <v>172303</v>
      </c>
      <c r="I7" s="676">
        <v>12000</v>
      </c>
      <c r="J7" s="677">
        <f>H7/DAY(B2)</f>
        <v>17230.3</v>
      </c>
      <c r="K7" s="544"/>
      <c r="L7" s="374"/>
      <c r="N7" s="707"/>
    </row>
    <row r="8" spans="1:14" ht="27.75" thickBot="1">
      <c r="A8" s="678" t="s">
        <v>199</v>
      </c>
      <c r="B8" s="679"/>
      <c r="C8" s="680"/>
      <c r="D8" s="681" t="s">
        <v>59</v>
      </c>
      <c r="E8" s="628">
        <f>'9'!F8</f>
        <v>502424</v>
      </c>
      <c r="F8" s="470">
        <v>519534</v>
      </c>
      <c r="G8" s="685">
        <f>F8-E8</f>
        <v>17110</v>
      </c>
      <c r="H8" s="675">
        <f>G8+'9'!H8</f>
        <v>173024</v>
      </c>
      <c r="I8" s="682">
        <v>12000</v>
      </c>
      <c r="J8" s="677">
        <f>H8/DAY(B2)</f>
        <v>17302.400000000001</v>
      </c>
      <c r="K8" s="544"/>
      <c r="L8" s="421"/>
      <c r="M8" s="435"/>
      <c r="N8" s="708"/>
    </row>
    <row r="9" spans="1:14">
      <c r="A9" s="683" t="s">
        <v>200</v>
      </c>
      <c r="B9" s="684"/>
      <c r="C9" s="684"/>
      <c r="D9" s="633" t="s">
        <v>198</v>
      </c>
      <c r="E9" s="628">
        <f>'9'!F9</f>
        <v>1624027</v>
      </c>
      <c r="F9" s="473">
        <v>1640552</v>
      </c>
      <c r="G9" s="698">
        <f t="shared" ref="G9:G12" si="0">F9-E9</f>
        <v>16525</v>
      </c>
      <c r="H9" s="675">
        <f>G9+'9'!H9</f>
        <v>166862</v>
      </c>
      <c r="I9" s="686">
        <f>I7-J7</f>
        <v>-5230.2999999999993</v>
      </c>
      <c r="J9" s="677">
        <f>H9/DAY(B2)</f>
        <v>16686.2</v>
      </c>
      <c r="K9" s="424"/>
      <c r="L9" s="374"/>
      <c r="N9" s="709"/>
    </row>
    <row r="10" spans="1:14">
      <c r="A10" s="672" t="s">
        <v>201</v>
      </c>
      <c r="B10" s="673"/>
      <c r="C10" s="673"/>
      <c r="D10" s="633" t="s">
        <v>198</v>
      </c>
      <c r="E10" s="628">
        <f>'9'!F10</f>
        <v>2606.5500000000002</v>
      </c>
      <c r="F10" s="473">
        <v>2606.5500000000002</v>
      </c>
      <c r="G10" s="685">
        <f t="shared" si="0"/>
        <v>0</v>
      </c>
      <c r="H10" s="675">
        <f>G10+'9'!H10</f>
        <v>0.42000000000007276</v>
      </c>
      <c r="I10" s="687"/>
      <c r="J10" s="677">
        <f>H10/DAY(B2)</f>
        <v>4.2000000000007275E-2</v>
      </c>
      <c r="K10" s="424"/>
      <c r="L10" s="374"/>
      <c r="N10" s="709"/>
    </row>
    <row r="11" spans="1:14">
      <c r="A11" s="672" t="s">
        <v>202</v>
      </c>
      <c r="B11" s="673"/>
      <c r="C11" s="673"/>
      <c r="D11" s="633" t="s">
        <v>198</v>
      </c>
      <c r="E11" s="628">
        <f>'9'!E11</f>
        <v>37000</v>
      </c>
      <c r="F11" s="450">
        <v>37000</v>
      </c>
      <c r="G11" s="685">
        <f t="shared" si="0"/>
        <v>0</v>
      </c>
      <c r="H11" s="675">
        <f>G11+'9'!H11</f>
        <v>0</v>
      </c>
      <c r="I11" s="687"/>
      <c r="J11" s="677">
        <f>H11/DAY(B2)</f>
        <v>0</v>
      </c>
      <c r="K11" s="424"/>
      <c r="L11" s="374"/>
      <c r="N11" s="709"/>
    </row>
    <row r="12" spans="1:14">
      <c r="A12" s="672" t="s">
        <v>203</v>
      </c>
      <c r="B12" s="673"/>
      <c r="C12" s="673"/>
      <c r="D12" s="633" t="s">
        <v>198</v>
      </c>
      <c r="E12" s="628">
        <f>'9'!E12</f>
        <v>40010</v>
      </c>
      <c r="F12" s="473">
        <v>40010</v>
      </c>
      <c r="G12" s="685">
        <f t="shared" si="0"/>
        <v>0</v>
      </c>
      <c r="H12" s="675">
        <f>G12+'9'!H12</f>
        <v>0</v>
      </c>
      <c r="I12" s="687"/>
      <c r="J12" s="677">
        <f>H12/DAY(B2)</f>
        <v>0</v>
      </c>
      <c r="K12" s="424"/>
      <c r="L12" s="374"/>
      <c r="N12" s="709"/>
    </row>
    <row r="13" spans="1:14">
      <c r="A13" s="688" t="s">
        <v>204</v>
      </c>
      <c r="B13" s="689"/>
      <c r="C13" s="689"/>
      <c r="D13" s="633"/>
      <c r="E13" s="628"/>
      <c r="F13" s="450"/>
      <c r="G13" s="690">
        <f>G9+G10+G11+G12</f>
        <v>16525</v>
      </c>
      <c r="H13" s="675">
        <f>G13+'9'!H13</f>
        <v>166862.41999999998</v>
      </c>
      <c r="I13" s="691">
        <f>G7-G13</f>
        <v>532</v>
      </c>
      <c r="J13" s="677">
        <f>H13/DAY(B2)</f>
        <v>16686.241999999998</v>
      </c>
      <c r="K13" s="424"/>
      <c r="L13" s="374"/>
      <c r="N13" s="709"/>
    </row>
    <row r="14" spans="1:14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709"/>
    </row>
    <row r="15" spans="1:14">
      <c r="A15" s="788" t="s">
        <v>133</v>
      </c>
      <c r="B15" s="783"/>
      <c r="C15" s="783"/>
      <c r="D15" s="519" t="s">
        <v>206</v>
      </c>
      <c r="E15" s="480">
        <f>'9'!F15</f>
        <v>1688472</v>
      </c>
      <c r="F15" s="480">
        <v>1689137</v>
      </c>
      <c r="G15" s="660">
        <f>(F15-E15)</f>
        <v>665</v>
      </c>
      <c r="H15" s="481">
        <f>G15+'9'!H15</f>
        <v>4613</v>
      </c>
      <c r="I15" s="469">
        <v>800</v>
      </c>
      <c r="J15" s="548">
        <f>H15/DAY(B2)</f>
        <v>461.3</v>
      </c>
      <c r="K15" s="424"/>
      <c r="L15" s="374"/>
      <c r="N15" s="709"/>
    </row>
    <row r="16" spans="1:14">
      <c r="A16" s="786"/>
      <c r="B16" s="787"/>
      <c r="C16" s="787"/>
      <c r="D16" s="784"/>
      <c r="E16" s="785"/>
      <c r="F16" s="480"/>
      <c r="G16" s="665"/>
      <c r="H16" s="481"/>
      <c r="I16" s="477">
        <f>I15-J15</f>
        <v>338.7</v>
      </c>
      <c r="J16" s="548"/>
      <c r="K16" s="424"/>
      <c r="L16" s="374"/>
      <c r="N16" s="709"/>
    </row>
    <row r="17" spans="1:14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09"/>
    </row>
    <row r="18" spans="1:14" ht="27.75">
      <c r="A18" s="1506" t="s">
        <v>208</v>
      </c>
      <c r="B18" s="1507"/>
      <c r="C18" s="1508"/>
      <c r="D18" s="633" t="s">
        <v>209</v>
      </c>
      <c r="E18" s="630">
        <f>'9'!F18</f>
        <v>0</v>
      </c>
      <c r="F18" s="473">
        <v>2</v>
      </c>
      <c r="G18" s="690">
        <f>F18*10</f>
        <v>20</v>
      </c>
      <c r="H18" s="675">
        <f>G18+'9'!H18</f>
        <v>530</v>
      </c>
      <c r="I18" s="676">
        <v>65</v>
      </c>
      <c r="J18" s="677">
        <f>H18/DAY(B2)</f>
        <v>53</v>
      </c>
      <c r="K18" s="424"/>
      <c r="L18" s="374"/>
      <c r="N18" s="709"/>
    </row>
    <row r="19" spans="1:14" ht="27.75">
      <c r="A19" s="1506" t="s">
        <v>113</v>
      </c>
      <c r="B19" s="1507"/>
      <c r="C19" s="1508"/>
      <c r="D19" s="633" t="s">
        <v>209</v>
      </c>
      <c r="E19" s="630">
        <f>'9'!F19</f>
        <v>140174</v>
      </c>
      <c r="F19" s="473">
        <v>140240</v>
      </c>
      <c r="G19" s="685">
        <f t="shared" ref="G19" si="1">F19-E19</f>
        <v>66</v>
      </c>
      <c r="H19" s="675">
        <f>G19+'9'!H19</f>
        <v>628</v>
      </c>
      <c r="I19" s="692"/>
      <c r="J19" s="677">
        <f>H19/DAY(B2)</f>
        <v>62.8</v>
      </c>
      <c r="K19" s="424"/>
      <c r="L19" s="374"/>
      <c r="N19" s="709"/>
    </row>
    <row r="20" spans="1:14">
      <c r="A20" s="688" t="s">
        <v>210</v>
      </c>
      <c r="B20" s="689"/>
      <c r="C20" s="689"/>
      <c r="D20" s="633"/>
      <c r="E20" s="633"/>
      <c r="F20" s="519"/>
      <c r="G20" s="693">
        <f>G18+G19</f>
        <v>86</v>
      </c>
      <c r="H20" s="675">
        <f>G20+'9'!H20</f>
        <v>1158</v>
      </c>
      <c r="I20" s="694">
        <f>I18-J20</f>
        <v>-50.8</v>
      </c>
      <c r="J20" s="677">
        <f>H20/DAY(B2)</f>
        <v>115.8</v>
      </c>
      <c r="K20" s="424"/>
      <c r="L20" s="374"/>
      <c r="N20" s="709"/>
    </row>
    <row r="21" spans="1:14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09"/>
    </row>
    <row r="22" spans="1:14">
      <c r="A22" s="1392" t="s">
        <v>212</v>
      </c>
      <c r="B22" s="584"/>
      <c r="C22" s="584"/>
      <c r="D22" s="518" t="s">
        <v>213</v>
      </c>
      <c r="E22" s="630">
        <f>'9'!F22</f>
        <v>2970</v>
      </c>
      <c r="F22" s="473">
        <v>2970</v>
      </c>
      <c r="G22" s="476">
        <f t="shared" ref="G22" si="2">(F22-E22)</f>
        <v>0</v>
      </c>
      <c r="H22" s="455">
        <f>G22+'9'!H22</f>
        <v>0</v>
      </c>
      <c r="I22" s="475"/>
      <c r="J22" s="547">
        <f>H22/DAY(B2)</f>
        <v>0</v>
      </c>
      <c r="K22" s="424"/>
      <c r="L22" s="374"/>
      <c r="N22" s="709"/>
    </row>
    <row r="23" spans="1:14">
      <c r="A23" s="1392" t="s">
        <v>214</v>
      </c>
      <c r="B23" s="584"/>
      <c r="C23" s="584"/>
      <c r="D23" s="518" t="s">
        <v>213</v>
      </c>
      <c r="E23" s="630">
        <f>'9'!F23</f>
        <v>2000</v>
      </c>
      <c r="F23" s="473">
        <v>2000</v>
      </c>
      <c r="G23" s="476">
        <v>0</v>
      </c>
      <c r="H23" s="455">
        <f>G23+'9'!H23</f>
        <v>120</v>
      </c>
      <c r="I23" s="475"/>
      <c r="J23" s="547">
        <f>H23/DAY(B2)</f>
        <v>12</v>
      </c>
      <c r="K23" s="424"/>
      <c r="L23" s="374"/>
      <c r="N23" s="709"/>
    </row>
    <row r="24" spans="1:14">
      <c r="A24" s="585" t="s">
        <v>215</v>
      </c>
      <c r="B24" s="586"/>
      <c r="C24" s="586"/>
      <c r="D24" s="506" t="s">
        <v>213</v>
      </c>
      <c r="E24" s="488">
        <f>'9'!F24</f>
        <v>4970</v>
      </c>
      <c r="F24" s="480">
        <v>4970</v>
      </c>
      <c r="G24" s="476">
        <v>0</v>
      </c>
      <c r="H24" s="455">
        <f>G24+'9'!H24</f>
        <v>120</v>
      </c>
      <c r="I24" s="475"/>
      <c r="J24" s="547">
        <f>H24/DAY(B2)</f>
        <v>12</v>
      </c>
      <c r="K24" s="424"/>
      <c r="L24" s="374"/>
      <c r="N24" s="709"/>
    </row>
    <row r="25" spans="1:14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0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0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17110</v>
      </c>
      <c r="F27" s="496">
        <v>9</v>
      </c>
      <c r="G27" s="497">
        <f>E27*F27</f>
        <v>153990</v>
      </c>
      <c r="H27" s="455">
        <f>G27+'9'!H27</f>
        <v>1556379</v>
      </c>
      <c r="I27" s="498"/>
      <c r="J27" s="547">
        <f>H27/DAY(B2)</f>
        <v>155637.9</v>
      </c>
      <c r="K27" s="370"/>
      <c r="L27" s="438"/>
      <c r="N27" s="709"/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665</v>
      </c>
      <c r="F28" s="496">
        <v>52</v>
      </c>
      <c r="G28" s="497">
        <f>E28*F28</f>
        <v>34580</v>
      </c>
      <c r="H28" s="455">
        <f>G28+'9'!H28</f>
        <v>239876</v>
      </c>
      <c r="I28" s="500"/>
      <c r="J28" s="547">
        <f>H28/DAY(B2)</f>
        <v>23987.599999999999</v>
      </c>
      <c r="K28" s="370"/>
      <c r="L28" s="438"/>
      <c r="N28" s="709"/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G29+'9'!H29</f>
        <v>8280</v>
      </c>
      <c r="I29" s="500"/>
      <c r="J29" s="547">
        <f>H29/DAY(B2)</f>
        <v>828</v>
      </c>
      <c r="K29" s="370"/>
      <c r="L29" s="438"/>
      <c r="N29" s="709"/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66</v>
      </c>
      <c r="F30" s="496">
        <v>146</v>
      </c>
      <c r="G30" s="497">
        <f>E30*F30</f>
        <v>9636</v>
      </c>
      <c r="H30" s="455">
        <f>G30+'9'!H30</f>
        <v>91688</v>
      </c>
      <c r="I30" s="500"/>
      <c r="J30" s="547">
        <f>H30/DAY(B2)</f>
        <v>9168.7999999999993</v>
      </c>
      <c r="K30" s="370"/>
      <c r="L30" s="438"/>
      <c r="N30" s="709"/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20</v>
      </c>
      <c r="F31" s="496">
        <v>80</v>
      </c>
      <c r="G31" s="497">
        <f>E31*F31</f>
        <v>1600</v>
      </c>
      <c r="H31" s="455">
        <f>G31+'9'!H31</f>
        <v>42400</v>
      </c>
      <c r="I31" s="500"/>
      <c r="J31" s="547">
        <f>H31/DAY(B2)</f>
        <v>4240</v>
      </c>
      <c r="K31" s="370"/>
      <c r="L31" s="438"/>
      <c r="N31" s="709"/>
    </row>
    <row r="32" spans="1:14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199806</v>
      </c>
      <c r="H32" s="455">
        <f>G32+'9'!H32</f>
        <v>1938623</v>
      </c>
      <c r="I32" s="504"/>
      <c r="J32" s="547">
        <f>H32/DAY(B2)</f>
        <v>193862.3</v>
      </c>
      <c r="K32" s="370"/>
      <c r="L32" s="438"/>
      <c r="N32" s="709"/>
    </row>
    <row r="33" spans="1:14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09"/>
    </row>
    <row r="34" spans="1:14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09"/>
    </row>
    <row r="35" spans="1:14">
      <c r="A35" s="573" t="s">
        <v>229</v>
      </c>
      <c r="B35" s="574"/>
      <c r="C35" s="574"/>
      <c r="D35" s="518" t="s">
        <v>198</v>
      </c>
      <c r="E35" s="505">
        <f>'9'!F35</f>
        <v>972361</v>
      </c>
      <c r="F35" s="1029">
        <v>974533</v>
      </c>
      <c r="G35" s="468">
        <f t="shared" ref="G35:G46" si="3">F35-E35</f>
        <v>2172</v>
      </c>
      <c r="H35" s="455">
        <f>G35+'9'!H35</f>
        <v>24045</v>
      </c>
      <c r="I35" s="450"/>
      <c r="J35" s="547">
        <f>H35/DAY(B2)</f>
        <v>2404.5</v>
      </c>
      <c r="K35" s="424"/>
      <c r="L35" s="374"/>
      <c r="N35" s="709"/>
    </row>
    <row r="36" spans="1:14">
      <c r="A36" s="573" t="s">
        <v>230</v>
      </c>
      <c r="B36" s="574"/>
      <c r="C36" s="574"/>
      <c r="D36" s="518" t="s">
        <v>198</v>
      </c>
      <c r="E36" s="505">
        <f>'9'!F36</f>
        <v>5268</v>
      </c>
      <c r="F36" s="1029">
        <v>5832</v>
      </c>
      <c r="G36" s="468">
        <f t="shared" si="3"/>
        <v>564</v>
      </c>
      <c r="H36" s="455">
        <f>G36+'9'!H36</f>
        <v>5659</v>
      </c>
      <c r="I36" s="450"/>
      <c r="J36" s="547">
        <f>H36/DAY(B2)</f>
        <v>565.9</v>
      </c>
      <c r="K36" s="424"/>
      <c r="L36" s="374"/>
      <c r="N36" s="710"/>
    </row>
    <row r="37" spans="1:14">
      <c r="A37" s="573" t="s">
        <v>231</v>
      </c>
      <c r="B37" s="574"/>
      <c r="C37" s="574"/>
      <c r="D37" s="518" t="s">
        <v>198</v>
      </c>
      <c r="E37" s="505">
        <f>'9'!F37</f>
        <v>146093</v>
      </c>
      <c r="F37" s="1029">
        <v>147442</v>
      </c>
      <c r="G37" s="468">
        <f t="shared" si="3"/>
        <v>1349</v>
      </c>
      <c r="H37" s="455">
        <f>G37+'9'!H37</f>
        <v>13206</v>
      </c>
      <c r="I37" s="450"/>
      <c r="J37" s="547">
        <f>H37/DAY(B2)</f>
        <v>1320.6</v>
      </c>
      <c r="K37" s="424"/>
      <c r="L37" s="374"/>
      <c r="N37" s="710"/>
    </row>
    <row r="38" spans="1:14">
      <c r="A38" s="573" t="s">
        <v>232</v>
      </c>
      <c r="B38" s="574"/>
      <c r="C38" s="574"/>
      <c r="D38" s="518" t="s">
        <v>198</v>
      </c>
      <c r="E38" s="505">
        <f>'9'!F38</f>
        <v>167388</v>
      </c>
      <c r="F38" s="462">
        <v>168598</v>
      </c>
      <c r="G38" s="468">
        <f t="shared" si="3"/>
        <v>1210</v>
      </c>
      <c r="H38" s="455">
        <f>G38+'9'!H38</f>
        <v>12193</v>
      </c>
      <c r="I38" s="450"/>
      <c r="J38" s="547">
        <f>H38/DAY(B2)</f>
        <v>1219.3</v>
      </c>
      <c r="K38" s="424"/>
      <c r="L38" s="374"/>
      <c r="N38" s="709"/>
    </row>
    <row r="39" spans="1:14">
      <c r="A39" s="573" t="s">
        <v>233</v>
      </c>
      <c r="B39" s="574"/>
      <c r="C39" s="574"/>
      <c r="D39" s="518" t="s">
        <v>198</v>
      </c>
      <c r="E39" s="505">
        <f>'9'!F39</f>
        <v>332170</v>
      </c>
      <c r="F39" s="1029">
        <v>335345</v>
      </c>
      <c r="G39" s="468">
        <f t="shared" si="3"/>
        <v>3175</v>
      </c>
      <c r="H39" s="455">
        <f>G39+'9'!H39</f>
        <v>27172</v>
      </c>
      <c r="I39" s="450"/>
      <c r="J39" s="547">
        <f>H39/DAY(B2)</f>
        <v>2717.2</v>
      </c>
      <c r="K39" s="424"/>
      <c r="L39" s="374"/>
      <c r="N39" s="709"/>
    </row>
    <row r="40" spans="1:14">
      <c r="A40" s="594" t="s">
        <v>234</v>
      </c>
      <c r="B40" s="595"/>
      <c r="C40" s="595"/>
      <c r="D40" s="518" t="s">
        <v>198</v>
      </c>
      <c r="E40" s="505">
        <f>'9'!F40</f>
        <v>1057</v>
      </c>
      <c r="F40" s="1029">
        <v>1057</v>
      </c>
      <c r="G40" s="468">
        <f t="shared" si="3"/>
        <v>0</v>
      </c>
      <c r="H40" s="455">
        <f>G40+'9'!H40</f>
        <v>168</v>
      </c>
      <c r="I40" s="450"/>
      <c r="J40" s="547">
        <f>H40/DAY(B2)</f>
        <v>16.8</v>
      </c>
      <c r="K40" s="425"/>
      <c r="L40" s="374"/>
      <c r="N40" s="709"/>
    </row>
    <row r="41" spans="1:14">
      <c r="A41" s="573" t="s">
        <v>235</v>
      </c>
      <c r="B41" s="574"/>
      <c r="C41" s="574"/>
      <c r="D41" s="518" t="s">
        <v>198</v>
      </c>
      <c r="E41" s="505">
        <f>'9'!F41</f>
        <v>253580</v>
      </c>
      <c r="F41" s="1029">
        <v>258284</v>
      </c>
      <c r="G41" s="468">
        <f>F41-E41</f>
        <v>4704</v>
      </c>
      <c r="H41" s="455">
        <f>G41+'9'!H41</f>
        <v>17806</v>
      </c>
      <c r="I41" s="450"/>
      <c r="J41" s="547">
        <f>H41/DAY(B2)</f>
        <v>1780.6</v>
      </c>
      <c r="K41" s="424"/>
      <c r="L41" s="374"/>
      <c r="N41" s="709"/>
    </row>
    <row r="42" spans="1:14">
      <c r="A42" s="573" t="s">
        <v>236</v>
      </c>
      <c r="B42" s="574"/>
      <c r="C42" s="574"/>
      <c r="D42" s="518" t="s">
        <v>198</v>
      </c>
      <c r="E42" s="505">
        <f>'9'!F42</f>
        <v>59210.61</v>
      </c>
      <c r="F42" s="1029">
        <v>59211</v>
      </c>
      <c r="G42" s="468">
        <f t="shared" si="3"/>
        <v>0.38999999999941792</v>
      </c>
      <c r="H42" s="455">
        <f>G42+'9'!H42</f>
        <v>12.029999999998836</v>
      </c>
      <c r="I42" s="450"/>
      <c r="J42" s="547">
        <f>H42/DAY(B2)</f>
        <v>1.2029999999998835</v>
      </c>
      <c r="K42" s="424"/>
      <c r="L42" s="374"/>
      <c r="N42" s="709"/>
    </row>
    <row r="43" spans="1:14">
      <c r="A43" s="573" t="s">
        <v>237</v>
      </c>
      <c r="B43" s="574"/>
      <c r="C43" s="574"/>
      <c r="D43" s="518" t="s">
        <v>198</v>
      </c>
      <c r="E43" s="505">
        <f>'9'!F43</f>
        <v>1063870</v>
      </c>
      <c r="F43" s="1029">
        <v>1066309</v>
      </c>
      <c r="G43" s="468">
        <f t="shared" si="3"/>
        <v>2439</v>
      </c>
      <c r="H43" s="455">
        <f>G43+'9'!H43</f>
        <v>24065</v>
      </c>
      <c r="I43" s="450"/>
      <c r="J43" s="547">
        <f>H43/DAY(B2)</f>
        <v>2406.5</v>
      </c>
      <c r="K43" s="424"/>
      <c r="L43" s="374"/>
      <c r="N43" s="709"/>
    </row>
    <row r="44" spans="1:14">
      <c r="A44" s="573" t="s">
        <v>238</v>
      </c>
      <c r="B44" s="574"/>
      <c r="C44" s="574"/>
      <c r="D44" s="518" t="s">
        <v>198</v>
      </c>
      <c r="E44" s="505">
        <f>'9'!F44</f>
        <v>0</v>
      </c>
      <c r="F44" s="505">
        <v>0</v>
      </c>
      <c r="G44" s="468">
        <f t="shared" si="3"/>
        <v>0</v>
      </c>
      <c r="H44" s="455">
        <f>G44+'9'!H44</f>
        <v>0</v>
      </c>
      <c r="I44" s="450"/>
      <c r="J44" s="547">
        <f>H44/DAY(B2)</f>
        <v>0</v>
      </c>
      <c r="K44" s="424"/>
      <c r="L44" s="374"/>
      <c r="N44" s="709"/>
    </row>
    <row r="45" spans="1:14">
      <c r="A45" s="573" t="s">
        <v>239</v>
      </c>
      <c r="B45" s="574"/>
      <c r="C45" s="574"/>
      <c r="D45" s="518" t="s">
        <v>198</v>
      </c>
      <c r="E45" s="505">
        <f>'9'!F45</f>
        <v>614</v>
      </c>
      <c r="F45" s="505">
        <v>614</v>
      </c>
      <c r="G45" s="468">
        <f t="shared" si="3"/>
        <v>0</v>
      </c>
      <c r="H45" s="455">
        <f>G45+'9'!H45</f>
        <v>0</v>
      </c>
      <c r="I45" s="450"/>
      <c r="J45" s="547">
        <f>H45/DAY(B2)</f>
        <v>0</v>
      </c>
      <c r="K45" s="424"/>
      <c r="L45" s="374"/>
      <c r="N45" s="709"/>
    </row>
    <row r="46" spans="1:14">
      <c r="A46" s="573" t="s">
        <v>240</v>
      </c>
      <c r="B46" s="574"/>
      <c r="C46" s="574"/>
      <c r="D46" s="518" t="s">
        <v>198</v>
      </c>
      <c r="E46" s="505">
        <f>'9'!F46</f>
        <v>187</v>
      </c>
      <c r="F46" s="505">
        <v>187</v>
      </c>
      <c r="G46" s="468">
        <f t="shared" si="3"/>
        <v>0</v>
      </c>
      <c r="H46" s="455">
        <f>G46+'9'!H46</f>
        <v>0</v>
      </c>
      <c r="I46" s="450"/>
      <c r="J46" s="547">
        <f>H46/DAY(B2)</f>
        <v>0</v>
      </c>
      <c r="K46" s="424"/>
      <c r="L46" s="374"/>
      <c r="N46" s="709"/>
    </row>
    <row r="47" spans="1:14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15613.39</v>
      </c>
      <c r="H47" s="455">
        <f>G47+'9'!H47</f>
        <v>124326.02999999998</v>
      </c>
      <c r="I47" s="450"/>
      <c r="J47" s="547">
        <f>H47/DAY(B2)</f>
        <v>12432.602999999999</v>
      </c>
      <c r="K47" s="424"/>
      <c r="L47" s="374"/>
      <c r="N47" s="709"/>
    </row>
    <row r="48" spans="1:14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09"/>
    </row>
    <row r="49" spans="1:14">
      <c r="A49" s="573" t="s">
        <v>229</v>
      </c>
      <c r="B49" s="596"/>
      <c r="C49" s="596"/>
      <c r="D49" s="518" t="s">
        <v>198</v>
      </c>
      <c r="E49" s="505">
        <f>'9'!F49</f>
        <v>260732.13</v>
      </c>
      <c r="F49" s="505">
        <v>260732.13</v>
      </c>
      <c r="G49" s="468">
        <f t="shared" ref="G49:G58" si="4">F49-E49</f>
        <v>0</v>
      </c>
      <c r="H49" s="455">
        <f>G49+'9'!H49</f>
        <v>0.13000000000465661</v>
      </c>
      <c r="I49" s="450"/>
      <c r="J49" s="547">
        <f>H49/DAY(B2)</f>
        <v>1.3000000000465662E-2</v>
      </c>
      <c r="K49" s="424"/>
      <c r="L49" s="374"/>
      <c r="N49" s="709"/>
    </row>
    <row r="50" spans="1:14">
      <c r="A50" s="573" t="s">
        <v>243</v>
      </c>
      <c r="B50" s="596"/>
      <c r="C50" s="596"/>
      <c r="D50" s="518" t="s">
        <v>198</v>
      </c>
      <c r="E50" s="505">
        <f>'9'!F50</f>
        <v>511082</v>
      </c>
      <c r="F50" s="1029">
        <v>511972</v>
      </c>
      <c r="G50" s="468">
        <f t="shared" si="4"/>
        <v>890</v>
      </c>
      <c r="H50" s="455">
        <f>G50+'9'!H50</f>
        <v>9436</v>
      </c>
      <c r="I50" s="450"/>
      <c r="J50" s="547">
        <f>H50/DAY(B2)</f>
        <v>943.6</v>
      </c>
      <c r="K50" s="424"/>
      <c r="L50" s="374"/>
      <c r="N50" s="709"/>
    </row>
    <row r="51" spans="1:14">
      <c r="A51" s="573" t="s">
        <v>231</v>
      </c>
      <c r="B51" s="596"/>
      <c r="C51" s="596"/>
      <c r="D51" s="518" t="s">
        <v>198</v>
      </c>
      <c r="E51" s="505">
        <f>'9'!F51</f>
        <v>144639.87</v>
      </c>
      <c r="F51" s="505">
        <v>144639.87</v>
      </c>
      <c r="G51" s="468">
        <f t="shared" si="4"/>
        <v>0</v>
      </c>
      <c r="H51" s="455">
        <f>G51+'9'!H51</f>
        <v>-0.13000000000465661</v>
      </c>
      <c r="I51" s="450"/>
      <c r="J51" s="547">
        <f>H51/DAY(B2)</f>
        <v>-1.3000000000465662E-2</v>
      </c>
      <c r="K51" s="424"/>
      <c r="L51" s="374"/>
      <c r="N51" s="709"/>
    </row>
    <row r="52" spans="1:14">
      <c r="A52" s="573" t="s">
        <v>244</v>
      </c>
      <c r="B52" s="596"/>
      <c r="C52" s="596"/>
      <c r="D52" s="518" t="s">
        <v>198</v>
      </c>
      <c r="E52" s="505">
        <f>'9'!F52</f>
        <v>539606.06999999995</v>
      </c>
      <c r="F52" s="505">
        <v>539606.06999999995</v>
      </c>
      <c r="G52" s="468">
        <f t="shared" si="4"/>
        <v>0</v>
      </c>
      <c r="H52" s="455">
        <f>G52+'9'!H52</f>
        <v>6.9999999948777258E-2</v>
      </c>
      <c r="I52" s="450"/>
      <c r="J52" s="547">
        <f>H52/DAY(B2)</f>
        <v>6.999999994877726E-3</v>
      </c>
      <c r="K52" s="424"/>
      <c r="L52" s="374"/>
      <c r="N52" s="709"/>
    </row>
    <row r="53" spans="1:14">
      <c r="A53" s="573" t="s">
        <v>233</v>
      </c>
      <c r="B53" s="596"/>
      <c r="C53" s="596"/>
      <c r="D53" s="518" t="s">
        <v>198</v>
      </c>
      <c r="E53" s="505">
        <f>'9'!F53</f>
        <v>434231.67</v>
      </c>
      <c r="F53" s="505">
        <v>434232</v>
      </c>
      <c r="G53" s="468">
        <f t="shared" si="4"/>
        <v>0.33000000001629815</v>
      </c>
      <c r="H53" s="455">
        <f>G53+'9'!H53</f>
        <v>1664</v>
      </c>
      <c r="I53" s="450"/>
      <c r="J53" s="547">
        <f>H53/DAY(B2)</f>
        <v>166.4</v>
      </c>
      <c r="K53" s="424"/>
      <c r="L53" s="374"/>
      <c r="N53" s="709"/>
    </row>
    <row r="54" spans="1:14">
      <c r="A54" s="573" t="s">
        <v>245</v>
      </c>
      <c r="B54" s="596"/>
      <c r="C54" s="596"/>
      <c r="D54" s="518" t="s">
        <v>198</v>
      </c>
      <c r="E54" s="505">
        <f>'9'!F54</f>
        <v>14500</v>
      </c>
      <c r="F54" s="505">
        <v>14579</v>
      </c>
      <c r="G54" s="468">
        <f t="shared" si="4"/>
        <v>79</v>
      </c>
      <c r="H54" s="455">
        <f>G54+'9'!H54</f>
        <v>829</v>
      </c>
      <c r="I54" s="450"/>
      <c r="J54" s="547">
        <f>H54/DAY(B2)</f>
        <v>82.9</v>
      </c>
      <c r="K54" s="424"/>
      <c r="L54" s="374"/>
      <c r="N54" s="709"/>
    </row>
    <row r="55" spans="1:14">
      <c r="A55" s="573" t="s">
        <v>246</v>
      </c>
      <c r="B55" s="596"/>
      <c r="C55" s="596"/>
      <c r="D55" s="518" t="s">
        <v>198</v>
      </c>
      <c r="E55" s="505">
        <f>'9'!F55</f>
        <v>68136.52</v>
      </c>
      <c r="F55" s="649">
        <v>68136.52</v>
      </c>
      <c r="G55" s="648">
        <f t="shared" si="4"/>
        <v>0</v>
      </c>
      <c r="H55" s="701">
        <f>G55+'9'!H55</f>
        <v>25.520000000004075</v>
      </c>
      <c r="I55" s="702"/>
      <c r="J55" s="703">
        <f>H55/DAY(B2)</f>
        <v>2.5520000000004073</v>
      </c>
      <c r="K55" s="424"/>
      <c r="L55" s="374"/>
      <c r="N55" s="709"/>
    </row>
    <row r="56" spans="1:14">
      <c r="A56" s="573" t="s">
        <v>247</v>
      </c>
      <c r="B56" s="596"/>
      <c r="C56" s="596"/>
      <c r="D56" s="518" t="s">
        <v>248</v>
      </c>
      <c r="E56" s="505">
        <f>'9'!F56</f>
        <v>648815</v>
      </c>
      <c r="F56" s="649">
        <v>648815</v>
      </c>
      <c r="G56" s="468">
        <f t="shared" si="4"/>
        <v>0</v>
      </c>
      <c r="H56" s="455">
        <f>G56+'9'!H56</f>
        <v>31617</v>
      </c>
      <c r="I56" s="450"/>
      <c r="J56" s="547">
        <f>H56/DAY(B2)</f>
        <v>3161.7</v>
      </c>
      <c r="K56" s="423"/>
      <c r="L56" s="374"/>
      <c r="N56" s="709"/>
    </row>
    <row r="57" spans="1:14">
      <c r="A57" s="573" t="s">
        <v>237</v>
      </c>
      <c r="B57" s="596"/>
      <c r="C57" s="596"/>
      <c r="D57" s="518" t="s">
        <v>198</v>
      </c>
      <c r="E57" s="505">
        <f>'9'!F57</f>
        <v>7711</v>
      </c>
      <c r="F57" s="505">
        <v>7711</v>
      </c>
      <c r="G57" s="468">
        <f t="shared" si="4"/>
        <v>0</v>
      </c>
      <c r="H57" s="455">
        <f>G57+'9'!H57</f>
        <v>0</v>
      </c>
      <c r="I57" s="450"/>
      <c r="J57" s="547">
        <f>H57/DAY(B2)</f>
        <v>0</v>
      </c>
      <c r="K57" s="424"/>
      <c r="L57" s="374"/>
      <c r="N57" s="709"/>
    </row>
    <row r="58" spans="1:14">
      <c r="A58" s="573" t="s">
        <v>249</v>
      </c>
      <c r="B58" s="596"/>
      <c r="C58" s="596"/>
      <c r="D58" s="518" t="s">
        <v>198</v>
      </c>
      <c r="E58" s="505">
        <f>'9'!F58</f>
        <v>50560.79</v>
      </c>
      <c r="F58" s="649">
        <v>50800</v>
      </c>
      <c r="G58" s="468">
        <f t="shared" si="4"/>
        <v>239.20999999999913</v>
      </c>
      <c r="H58" s="455">
        <f>G58+'9'!H58</f>
        <v>1175</v>
      </c>
      <c r="I58" s="450"/>
      <c r="J58" s="547">
        <f>H58/DAY(B2)</f>
        <v>117.5</v>
      </c>
      <c r="K58" s="424"/>
      <c r="L58" s="374"/>
      <c r="N58" s="709"/>
    </row>
    <row r="59" spans="1:14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1208.5400000000154</v>
      </c>
      <c r="H59" s="455">
        <f>G59+'9'!H59</f>
        <v>44746.589999999953</v>
      </c>
      <c r="I59" s="450">
        <f>G7-G60</f>
        <v>235.06999999998516</v>
      </c>
      <c r="J59" s="547">
        <f>H59/DAY(B2)</f>
        <v>4474.6589999999951</v>
      </c>
      <c r="K59" s="424"/>
      <c r="L59" s="374"/>
      <c r="N59" s="709"/>
    </row>
    <row r="60" spans="1:14">
      <c r="A60" s="573"/>
      <c r="B60" s="574"/>
      <c r="C60" s="574"/>
      <c r="D60" s="506" t="s">
        <v>250</v>
      </c>
      <c r="E60" s="506"/>
      <c r="F60" s="506"/>
      <c r="G60" s="476">
        <f>G47+G59</f>
        <v>16821.930000000015</v>
      </c>
      <c r="H60" s="455">
        <f>G60+'9'!H60</f>
        <v>169072.61999999997</v>
      </c>
      <c r="I60" s="450">
        <f>G8-G60</f>
        <v>288.06999999998516</v>
      </c>
      <c r="J60" s="547">
        <f>H60/DAY(B2)</f>
        <v>16907.261999999995</v>
      </c>
      <c r="K60" s="424"/>
      <c r="L60" s="374"/>
      <c r="N60" s="709"/>
    </row>
    <row r="61" spans="1:14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09"/>
    </row>
    <row r="62" spans="1:14">
      <c r="A62" s="598" t="s">
        <v>252</v>
      </c>
      <c r="B62" s="599"/>
      <c r="C62" s="599"/>
      <c r="D62" s="506" t="s">
        <v>253</v>
      </c>
      <c r="E62" s="509">
        <f>'9'!F62</f>
        <v>0</v>
      </c>
      <c r="F62" s="509">
        <v>0</v>
      </c>
      <c r="G62" s="468">
        <f t="shared" ref="G62:G69" si="5">F62-E62</f>
        <v>0</v>
      </c>
      <c r="H62" s="455">
        <f>G62+'9'!H62</f>
        <v>1.9999999967694748E-3</v>
      </c>
      <c r="I62" s="510"/>
      <c r="J62" s="547">
        <f>H62/DAY(B2)</f>
        <v>1.9999999967694747E-4</v>
      </c>
      <c r="K62" s="424"/>
      <c r="L62" s="374"/>
      <c r="N62" s="709"/>
    </row>
    <row r="63" spans="1:14">
      <c r="A63" s="598" t="s">
        <v>254</v>
      </c>
      <c r="B63" s="599"/>
      <c r="C63" s="599"/>
      <c r="D63" s="506" t="s">
        <v>253</v>
      </c>
      <c r="E63" s="509">
        <f>'9'!F63</f>
        <v>0</v>
      </c>
      <c r="F63" s="509">
        <v>0</v>
      </c>
      <c r="G63" s="468">
        <f t="shared" si="5"/>
        <v>0</v>
      </c>
      <c r="H63" s="455">
        <f>G63+'9'!H63</f>
        <v>0</v>
      </c>
      <c r="I63" s="510"/>
      <c r="J63" s="547">
        <f>H63/DAY(B2)</f>
        <v>0</v>
      </c>
      <c r="K63" s="424"/>
      <c r="L63" s="374"/>
      <c r="N63" s="709"/>
    </row>
    <row r="64" spans="1:14" ht="27.75">
      <c r="A64" s="1450" t="s">
        <v>161</v>
      </c>
      <c r="B64" s="1451"/>
      <c r="C64" s="1452"/>
      <c r="D64" s="518" t="s">
        <v>253</v>
      </c>
      <c r="E64" s="509">
        <f>'9'!F64</f>
        <v>162295</v>
      </c>
      <c r="F64" s="473">
        <v>162647</v>
      </c>
      <c r="G64" s="468">
        <f t="shared" si="5"/>
        <v>352</v>
      </c>
      <c r="H64" s="455">
        <f>G64+'9'!H64</f>
        <v>2715</v>
      </c>
      <c r="I64" s="475"/>
      <c r="J64" s="547">
        <f>H64/DAY(B2)</f>
        <v>271.5</v>
      </c>
      <c r="K64" s="424"/>
      <c r="L64" s="374"/>
      <c r="N64" s="709"/>
    </row>
    <row r="65" spans="1:14" ht="27.75">
      <c r="A65" s="1450" t="s">
        <v>162</v>
      </c>
      <c r="B65" s="1451"/>
      <c r="C65" s="1452"/>
      <c r="D65" s="518" t="s">
        <v>253</v>
      </c>
      <c r="E65" s="509">
        <f>'9'!F65</f>
        <v>163099</v>
      </c>
      <c r="F65" s="647">
        <v>163365</v>
      </c>
      <c r="G65" s="468">
        <f t="shared" si="5"/>
        <v>266</v>
      </c>
      <c r="H65" s="455">
        <f>G65+'9'!H65</f>
        <v>2367</v>
      </c>
      <c r="I65" s="484"/>
      <c r="J65" s="547">
        <f>H65/DAY(B2)</f>
        <v>236.7</v>
      </c>
      <c r="K65" s="424"/>
      <c r="L65" s="374"/>
      <c r="N65" s="709"/>
    </row>
    <row r="66" spans="1:14" ht="27.75">
      <c r="A66" s="1450" t="s">
        <v>255</v>
      </c>
      <c r="B66" s="1451"/>
      <c r="C66" s="1452"/>
      <c r="D66" s="518" t="s">
        <v>253</v>
      </c>
      <c r="E66" s="509">
        <f>'9'!F66</f>
        <v>59809</v>
      </c>
      <c r="F66" s="473">
        <v>60224</v>
      </c>
      <c r="G66" s="468">
        <f t="shared" si="5"/>
        <v>415</v>
      </c>
      <c r="H66" s="455">
        <f>G66+'9'!H66</f>
        <v>3419</v>
      </c>
      <c r="I66" s="475"/>
      <c r="J66" s="547">
        <f>H66/DAY(B2)</f>
        <v>341.9</v>
      </c>
      <c r="K66" s="424"/>
      <c r="L66" s="374"/>
      <c r="N66" s="709"/>
    </row>
    <row r="67" spans="1:14" ht="27.75">
      <c r="A67" s="1450" t="s">
        <v>157</v>
      </c>
      <c r="B67" s="1451"/>
      <c r="C67" s="1452"/>
      <c r="D67" s="518" t="s">
        <v>253</v>
      </c>
      <c r="E67" s="509">
        <f>'9'!F67</f>
        <v>255696</v>
      </c>
      <c r="F67" s="473">
        <v>256073</v>
      </c>
      <c r="G67" s="468">
        <f t="shared" si="5"/>
        <v>377</v>
      </c>
      <c r="H67" s="455">
        <f>G67+'9'!H67</f>
        <v>3881</v>
      </c>
      <c r="I67" s="484"/>
      <c r="J67" s="547">
        <f>H67/DAY(B2)</f>
        <v>388.1</v>
      </c>
      <c r="K67" s="425"/>
      <c r="L67" s="374"/>
      <c r="N67" s="709"/>
    </row>
    <row r="68" spans="1:14" ht="27.75">
      <c r="A68" s="1450" t="s">
        <v>164</v>
      </c>
      <c r="B68" s="1451"/>
      <c r="C68" s="1452"/>
      <c r="D68" s="518" t="s">
        <v>253</v>
      </c>
      <c r="E68" s="509">
        <f>'9'!F68</f>
        <v>85321</v>
      </c>
      <c r="F68" s="473">
        <v>85321</v>
      </c>
      <c r="G68" s="468">
        <f t="shared" si="5"/>
        <v>0</v>
      </c>
      <c r="H68" s="455">
        <f>G68+'9'!H68</f>
        <v>0</v>
      </c>
      <c r="I68" s="511"/>
      <c r="J68" s="547">
        <f>H68/DAY(B2)</f>
        <v>0</v>
      </c>
      <c r="K68" s="426"/>
      <c r="L68" s="374"/>
      <c r="N68" s="709"/>
    </row>
    <row r="69" spans="1:14" ht="27.75">
      <c r="A69" s="1450" t="s">
        <v>165</v>
      </c>
      <c r="B69" s="1451"/>
      <c r="C69" s="1452"/>
      <c r="D69" s="518" t="s">
        <v>253</v>
      </c>
      <c r="E69" s="509">
        <f>'9'!F69</f>
        <v>82755</v>
      </c>
      <c r="F69" s="473">
        <v>82925</v>
      </c>
      <c r="G69" s="468">
        <f t="shared" si="5"/>
        <v>170</v>
      </c>
      <c r="H69" s="455">
        <f>G69+'9'!H69</f>
        <v>1176</v>
      </c>
      <c r="I69" s="511"/>
      <c r="J69" s="547">
        <f>H69/DAY(B2)</f>
        <v>117.6</v>
      </c>
      <c r="K69" s="427"/>
      <c r="L69" s="374"/>
      <c r="N69" s="709"/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N70" s="709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09"/>
    </row>
    <row r="72" spans="1:14" ht="27.75">
      <c r="A72" s="1450" t="s">
        <v>258</v>
      </c>
      <c r="B72" s="1451"/>
      <c r="C72" s="1452"/>
      <c r="D72" s="518" t="s">
        <v>253</v>
      </c>
      <c r="E72" s="514">
        <f>'9'!F72</f>
        <v>855962</v>
      </c>
      <c r="F72" s="650">
        <v>855975</v>
      </c>
      <c r="G72" s="468">
        <f t="shared" ref="G72:G84" si="6">F72-E72</f>
        <v>13</v>
      </c>
      <c r="H72" s="455">
        <f>G72+'9'!H72</f>
        <v>132</v>
      </c>
      <c r="I72" s="475"/>
      <c r="J72" s="547">
        <f>H72/DAY(B2)</f>
        <v>13.2</v>
      </c>
      <c r="K72" s="427"/>
      <c r="L72" s="374"/>
      <c r="N72" s="709"/>
    </row>
    <row r="73" spans="1:14" ht="27.75">
      <c r="A73" s="1450" t="s">
        <v>259</v>
      </c>
      <c r="B73" s="1451"/>
      <c r="C73" s="1452"/>
      <c r="D73" s="518" t="s">
        <v>253</v>
      </c>
      <c r="E73" s="514">
        <f>'9'!F73</f>
        <v>885947</v>
      </c>
      <c r="F73" s="651">
        <v>885948</v>
      </c>
      <c r="G73" s="648">
        <f t="shared" si="6"/>
        <v>1</v>
      </c>
      <c r="H73" s="455">
        <f>G73+'9'!H73</f>
        <v>11</v>
      </c>
      <c r="I73" s="475"/>
      <c r="J73" s="547">
        <f>H73/DAY(B2)</f>
        <v>1.1000000000000001</v>
      </c>
      <c r="K73" s="426"/>
      <c r="L73" s="374"/>
      <c r="N73" s="709"/>
    </row>
    <row r="74" spans="1:14" ht="27.75">
      <c r="A74" s="1450" t="s">
        <v>260</v>
      </c>
      <c r="B74" s="1451"/>
      <c r="C74" s="1452"/>
      <c r="D74" s="518" t="s">
        <v>253</v>
      </c>
      <c r="E74" s="514">
        <f>'9'!F74</f>
        <v>2599.96</v>
      </c>
      <c r="F74" s="650">
        <v>2599.96</v>
      </c>
      <c r="G74" s="468">
        <f t="shared" si="6"/>
        <v>0</v>
      </c>
      <c r="H74" s="455">
        <f>G74+'9'!H74</f>
        <v>13.960000000000036</v>
      </c>
      <c r="I74" s="475"/>
      <c r="J74" s="547">
        <f>H74/DAY(B2)</f>
        <v>1.3960000000000037</v>
      </c>
      <c r="K74" s="427"/>
      <c r="L74" s="374"/>
      <c r="N74" s="709"/>
    </row>
    <row r="75" spans="1:14" ht="27.75">
      <c r="A75" s="1499" t="s">
        <v>261</v>
      </c>
      <c r="B75" s="1500"/>
      <c r="C75" s="1501"/>
      <c r="D75" s="518" t="s">
        <v>253</v>
      </c>
      <c r="E75" s="514">
        <f>'9'!F75</f>
        <v>13232</v>
      </c>
      <c r="F75" s="651">
        <v>13289</v>
      </c>
      <c r="G75" s="468">
        <f t="shared" si="6"/>
        <v>57</v>
      </c>
      <c r="H75" s="455">
        <f>G75+'9'!H75</f>
        <v>620</v>
      </c>
      <c r="I75" s="475"/>
      <c r="J75" s="547">
        <f>H75/DAY(B2)</f>
        <v>62</v>
      </c>
      <c r="K75" s="426"/>
      <c r="L75" s="374"/>
      <c r="N75" s="709"/>
    </row>
    <row r="76" spans="1:14" ht="27.75">
      <c r="A76" s="1499" t="s">
        <v>262</v>
      </c>
      <c r="B76" s="1500"/>
      <c r="C76" s="1501"/>
      <c r="D76" s="518" t="s">
        <v>253</v>
      </c>
      <c r="E76" s="514">
        <f>'9'!F76</f>
        <v>7951</v>
      </c>
      <c r="F76" s="651">
        <v>8006</v>
      </c>
      <c r="G76" s="468">
        <f t="shared" si="6"/>
        <v>55</v>
      </c>
      <c r="H76" s="455">
        <f>G76+'9'!H76</f>
        <v>587</v>
      </c>
      <c r="I76" s="500"/>
      <c r="J76" s="547">
        <f>H76/DAY(B2)</f>
        <v>58.7</v>
      </c>
      <c r="K76" s="426"/>
      <c r="L76" s="374"/>
      <c r="N76" s="709"/>
    </row>
    <row r="77" spans="1:14" ht="27.75">
      <c r="A77" s="1450" t="s">
        <v>263</v>
      </c>
      <c r="B77" s="1451"/>
      <c r="C77" s="1452"/>
      <c r="D77" s="518" t="s">
        <v>253</v>
      </c>
      <c r="E77" s="514">
        <f>'9'!F77</f>
        <v>703283</v>
      </c>
      <c r="F77" s="651">
        <v>703334</v>
      </c>
      <c r="G77" s="648">
        <f t="shared" si="6"/>
        <v>51</v>
      </c>
      <c r="H77" s="455">
        <f>G77+'9'!H77</f>
        <v>495</v>
      </c>
      <c r="I77" s="500"/>
      <c r="J77" s="547">
        <f>H77/DAY(B2)</f>
        <v>49.5</v>
      </c>
      <c r="K77" s="426"/>
      <c r="L77" s="374"/>
      <c r="N77" s="709"/>
    </row>
    <row r="78" spans="1:14" ht="27.75">
      <c r="A78" s="1395" t="s">
        <v>264</v>
      </c>
      <c r="B78" s="1387"/>
      <c r="C78" s="1387"/>
      <c r="D78" s="518" t="s">
        <v>253</v>
      </c>
      <c r="E78" s="514">
        <f>'9'!F78</f>
        <v>673755</v>
      </c>
      <c r="F78" s="652">
        <v>673807</v>
      </c>
      <c r="G78" s="468">
        <f t="shared" si="6"/>
        <v>52</v>
      </c>
      <c r="H78" s="455">
        <f>G78+'9'!H78</f>
        <v>775</v>
      </c>
      <c r="I78" s="500"/>
      <c r="J78" s="547">
        <f>H78/DAY(B2)</f>
        <v>77.5</v>
      </c>
      <c r="K78" s="426"/>
      <c r="L78" s="374"/>
      <c r="N78" s="709"/>
    </row>
    <row r="79" spans="1:14" ht="27.75">
      <c r="A79" s="1499" t="s">
        <v>151</v>
      </c>
      <c r="B79" s="1500"/>
      <c r="C79" s="1501"/>
      <c r="D79" s="519" t="s">
        <v>253</v>
      </c>
      <c r="E79" s="514">
        <f>'9'!F79</f>
        <v>832369</v>
      </c>
      <c r="F79" s="652">
        <v>832501</v>
      </c>
      <c r="G79" s="468">
        <f t="shared" si="6"/>
        <v>132</v>
      </c>
      <c r="H79" s="455">
        <f>G79+'9'!H79</f>
        <v>1491</v>
      </c>
      <c r="I79" s="500"/>
      <c r="J79" s="547">
        <f>H79/DAY(B2)</f>
        <v>149.1</v>
      </c>
      <c r="K79" s="426"/>
      <c r="L79" s="374"/>
      <c r="N79" s="709"/>
    </row>
    <row r="80" spans="1:14" ht="27.75">
      <c r="A80" s="1499" t="s">
        <v>265</v>
      </c>
      <c r="B80" s="1500"/>
      <c r="C80" s="1501"/>
      <c r="D80" s="519" t="s">
        <v>253</v>
      </c>
      <c r="E80" s="514">
        <f>'9'!F80</f>
        <v>530999</v>
      </c>
      <c r="F80" s="651">
        <v>531370</v>
      </c>
      <c r="G80" s="468">
        <f>F80-E80</f>
        <v>371</v>
      </c>
      <c r="H80" s="455">
        <f>G80+'9'!H80</f>
        <v>3712</v>
      </c>
      <c r="I80" s="500"/>
      <c r="J80" s="547">
        <f>H80/DAY(B2)</f>
        <v>371.2</v>
      </c>
      <c r="K80" s="426"/>
      <c r="L80" s="374"/>
      <c r="N80" s="709"/>
    </row>
    <row r="81" spans="1:15" ht="27.75">
      <c r="A81" s="1499" t="s">
        <v>266</v>
      </c>
      <c r="B81" s="1500"/>
      <c r="C81" s="1501"/>
      <c r="D81" s="519" t="s">
        <v>253</v>
      </c>
      <c r="E81" s="514">
        <f>'9'!F81</f>
        <v>639898</v>
      </c>
      <c r="F81" s="651">
        <v>640000</v>
      </c>
      <c r="G81" s="468">
        <f t="shared" si="6"/>
        <v>102</v>
      </c>
      <c r="H81" s="455">
        <f>G81+'9'!H81</f>
        <v>1102</v>
      </c>
      <c r="I81" s="500"/>
      <c r="J81" s="547">
        <f>H81/DAY(B2)</f>
        <v>110.2</v>
      </c>
      <c r="K81" s="426"/>
      <c r="L81" s="374"/>
      <c r="N81" s="709"/>
    </row>
    <row r="82" spans="1:15" ht="27.75">
      <c r="A82" s="1499" t="s">
        <v>267</v>
      </c>
      <c r="B82" s="1500"/>
      <c r="C82" s="1501"/>
      <c r="D82" s="480" t="s">
        <v>198</v>
      </c>
      <c r="E82" s="514">
        <f>'9'!F82</f>
        <v>108300</v>
      </c>
      <c r="F82" s="647">
        <v>108311</v>
      </c>
      <c r="G82" s="468">
        <f t="shared" si="6"/>
        <v>11</v>
      </c>
      <c r="H82" s="455">
        <f>G82+'9'!H82</f>
        <v>153</v>
      </c>
      <c r="I82" s="481"/>
      <c r="J82" s="547">
        <f>H82/DAY(B2)</f>
        <v>15.3</v>
      </c>
      <c r="K82" s="426"/>
      <c r="L82" s="374"/>
      <c r="N82" s="709"/>
    </row>
    <row r="83" spans="1:15" ht="27.75">
      <c r="A83" s="1499" t="s">
        <v>268</v>
      </c>
      <c r="B83" s="1500"/>
      <c r="C83" s="1501"/>
      <c r="D83" s="615" t="s">
        <v>198</v>
      </c>
      <c r="E83" s="514">
        <f>'9'!F83</f>
        <v>22278</v>
      </c>
      <c r="F83" s="506">
        <v>22510</v>
      </c>
      <c r="G83" s="468">
        <f t="shared" si="6"/>
        <v>232</v>
      </c>
      <c r="H83" s="455">
        <f>G83+'9'!H83</f>
        <v>2004</v>
      </c>
      <c r="I83" s="476"/>
      <c r="J83" s="547">
        <f>H83/DAY(B2)</f>
        <v>200.4</v>
      </c>
      <c r="K83" s="425"/>
      <c r="L83" s="374"/>
      <c r="N83" s="709"/>
    </row>
    <row r="84" spans="1:15">
      <c r="A84" s="1396" t="s">
        <v>166</v>
      </c>
      <c r="B84" s="566"/>
      <c r="C84" s="566"/>
      <c r="D84" s="473" t="s">
        <v>198</v>
      </c>
      <c r="E84" s="514">
        <f>'9'!F84</f>
        <v>507300</v>
      </c>
      <c r="F84" s="622">
        <v>507892</v>
      </c>
      <c r="G84" s="468">
        <f t="shared" si="6"/>
        <v>592</v>
      </c>
      <c r="H84" s="455">
        <f>G84+'9'!H84</f>
        <v>7598</v>
      </c>
      <c r="I84" s="476"/>
      <c r="J84" s="547">
        <f>H84/DAY(B2)</f>
        <v>759.8</v>
      </c>
      <c r="K84" s="377"/>
      <c r="L84" s="374"/>
      <c r="N84" s="70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1669</v>
      </c>
      <c r="H85" s="455">
        <f>G85+'9'!H85</f>
        <v>18693.96</v>
      </c>
      <c r="I85" s="476"/>
      <c r="J85" s="547">
        <f>H85/DAY(B2)</f>
        <v>1869.396</v>
      </c>
      <c r="K85" s="377"/>
      <c r="L85" s="375"/>
      <c r="N85" s="709"/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'9'!F86</f>
        <v>461219</v>
      </c>
      <c r="F86" s="643">
        <v>461249</v>
      </c>
      <c r="G86" s="701">
        <f t="shared" ref="G86:G91" si="7">F86-E86</f>
        <v>30</v>
      </c>
      <c r="H86" s="455">
        <f>G86+'9'!H86</f>
        <v>95</v>
      </c>
      <c r="I86" s="648"/>
      <c r="J86" s="703">
        <f>H86/DAY(B2)</f>
        <v>9.5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'9'!F87</f>
        <v>81557</v>
      </c>
      <c r="F87" s="643">
        <v>81583</v>
      </c>
      <c r="G87" s="701">
        <f t="shared" si="7"/>
        <v>26</v>
      </c>
      <c r="H87" s="455">
        <f>G87+'9'!H87</f>
        <v>78.19999999999709</v>
      </c>
      <c r="I87" s="648"/>
      <c r="J87" s="703">
        <f>H87/DAY(B2)</f>
        <v>7.819999999999709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'9'!F88</f>
        <v>153439</v>
      </c>
      <c r="F88" s="634">
        <v>153468</v>
      </c>
      <c r="G88" s="701">
        <f t="shared" si="7"/>
        <v>29</v>
      </c>
      <c r="H88" s="455">
        <f>G88+'9'!H88</f>
        <v>88</v>
      </c>
      <c r="I88" s="648"/>
      <c r="J88" s="703">
        <f>H88/DAY(B2)</f>
        <v>8.8000000000000007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622">
        <f>'9'!F89</f>
        <v>65319</v>
      </c>
      <c r="F89" s="643">
        <v>65343</v>
      </c>
      <c r="G89" s="701">
        <f t="shared" si="7"/>
        <v>24</v>
      </c>
      <c r="H89" s="455">
        <f>G89+'9'!H89</f>
        <v>58.400000000001455</v>
      </c>
      <c r="I89" s="648"/>
      <c r="J89" s="703">
        <f>H89/DAY(B2)</f>
        <v>5.8400000000001455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'9'!F90</f>
        <v>3283</v>
      </c>
      <c r="F90" s="643">
        <v>3286</v>
      </c>
      <c r="G90" s="701">
        <f t="shared" si="7"/>
        <v>3</v>
      </c>
      <c r="H90" s="455">
        <f>G90+'9'!H90</f>
        <v>8.5999999999999091</v>
      </c>
      <c r="I90" s="648"/>
      <c r="J90" s="703">
        <f>H90/DAY(B2)</f>
        <v>0.85999999999999088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22">
        <f>'9'!F91</f>
        <v>28091</v>
      </c>
      <c r="F91" s="643">
        <v>28100</v>
      </c>
      <c r="G91" s="701">
        <f t="shared" si="7"/>
        <v>9</v>
      </c>
      <c r="H91" s="701"/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09"/>
    </row>
    <row r="93" spans="1:15" ht="27.75">
      <c r="A93" s="1453" t="s">
        <v>275</v>
      </c>
      <c r="B93" s="1454"/>
      <c r="C93" s="1455"/>
      <c r="D93" s="518" t="s">
        <v>209</v>
      </c>
      <c r="E93" s="479">
        <f>'9'!F93</f>
        <v>245842</v>
      </c>
      <c r="F93" s="473">
        <v>245883</v>
      </c>
      <c r="G93" s="468">
        <f t="shared" ref="G93:G94" si="8">F93-E93</f>
        <v>41</v>
      </c>
      <c r="H93" s="455">
        <f>G93+'9'!H93</f>
        <v>395</v>
      </c>
      <c r="I93" s="475"/>
      <c r="J93" s="547">
        <f>H93/DAY(B2)</f>
        <v>39.5</v>
      </c>
      <c r="K93" s="425"/>
      <c r="L93" s="374"/>
      <c r="N93" s="709"/>
    </row>
    <row r="94" spans="1:15" ht="27.75">
      <c r="A94" s="1453" t="s">
        <v>15</v>
      </c>
      <c r="B94" s="1454"/>
      <c r="C94" s="1455"/>
      <c r="D94" s="518" t="s">
        <v>209</v>
      </c>
      <c r="E94" s="479">
        <f>'9'!F94</f>
        <v>186904</v>
      </c>
      <c r="F94" s="473">
        <v>187020</v>
      </c>
      <c r="G94" s="468">
        <f t="shared" si="8"/>
        <v>116</v>
      </c>
      <c r="H94" s="455">
        <f>G94+'9'!H94</f>
        <v>899</v>
      </c>
      <c r="I94" s="475"/>
      <c r="J94" s="547">
        <f>H94/DAY(B2)</f>
        <v>89.9</v>
      </c>
      <c r="K94" s="377"/>
      <c r="L94" s="374"/>
      <c r="N94" s="709"/>
    </row>
    <row r="95" spans="1:15">
      <c r="A95" s="1447" t="s">
        <v>276</v>
      </c>
      <c r="B95" s="1448"/>
      <c r="C95" s="1449"/>
      <c r="D95" s="518"/>
      <c r="E95" s="479"/>
      <c r="F95" s="473"/>
      <c r="G95" s="468">
        <f>G93+G94</f>
        <v>157</v>
      </c>
      <c r="H95" s="455">
        <f>G95+'9'!H95</f>
        <v>1218</v>
      </c>
      <c r="I95" s="475"/>
      <c r="J95" s="547">
        <f>H95/DAY(B2)</f>
        <v>121.8</v>
      </c>
      <c r="K95" s="377"/>
      <c r="L95" s="374"/>
      <c r="N95" s="709"/>
    </row>
    <row r="96" spans="1:15" ht="27.75">
      <c r="A96" s="1453" t="s">
        <v>16</v>
      </c>
      <c r="B96" s="1454"/>
      <c r="C96" s="1455"/>
      <c r="D96" s="518" t="s">
        <v>209</v>
      </c>
      <c r="E96" s="479">
        <f>'9'!F96</f>
        <v>414705</v>
      </c>
      <c r="F96" s="473">
        <v>414764</v>
      </c>
      <c r="G96" s="468">
        <f t="shared" ref="G96:G101" si="9">F96-E96</f>
        <v>59</v>
      </c>
      <c r="H96" s="455">
        <f>G96+'9'!H96</f>
        <v>481</v>
      </c>
      <c r="I96" s="475"/>
      <c r="J96" s="547">
        <f>H96/DAY(B2)</f>
        <v>48.1</v>
      </c>
      <c r="K96" s="377"/>
      <c r="L96" s="374"/>
      <c r="N96" s="709"/>
    </row>
    <row r="97" spans="1:14" ht="27.75">
      <c r="A97" s="1392" t="s">
        <v>17</v>
      </c>
      <c r="B97" s="1393"/>
      <c r="C97" s="1393"/>
      <c r="D97" s="518" t="s">
        <v>209</v>
      </c>
      <c r="E97" s="479">
        <f>'9'!F97</f>
        <v>102750</v>
      </c>
      <c r="F97" s="473">
        <v>102761</v>
      </c>
      <c r="G97" s="468">
        <f t="shared" si="9"/>
        <v>11</v>
      </c>
      <c r="H97" s="455">
        <f>G97+'9'!H97</f>
        <v>113</v>
      </c>
      <c r="I97" s="475"/>
      <c r="J97" s="547">
        <f>H97/DAY(B2)</f>
        <v>11.3</v>
      </c>
      <c r="K97" s="423"/>
      <c r="L97" s="374"/>
      <c r="N97" s="709"/>
    </row>
    <row r="98" spans="1:14" ht="27.75">
      <c r="A98" s="1392" t="s">
        <v>18</v>
      </c>
      <c r="B98" s="1393"/>
      <c r="C98" s="1393"/>
      <c r="D98" s="518" t="s">
        <v>209</v>
      </c>
      <c r="E98" s="479">
        <f>'9'!F98</f>
        <v>98109</v>
      </c>
      <c r="F98" s="473">
        <v>98125</v>
      </c>
      <c r="G98" s="468">
        <f t="shared" si="9"/>
        <v>16</v>
      </c>
      <c r="H98" s="455">
        <f>G98+'9'!H98</f>
        <v>175</v>
      </c>
      <c r="I98" s="475"/>
      <c r="J98" s="547">
        <f>H98/DAY(B2)</f>
        <v>17.5</v>
      </c>
      <c r="K98" s="428"/>
      <c r="L98" s="374"/>
      <c r="N98" s="709"/>
    </row>
    <row r="99" spans="1:14" ht="27.75">
      <c r="A99" s="1392" t="s">
        <v>19</v>
      </c>
      <c r="B99" s="1393"/>
      <c r="C99" s="1393"/>
      <c r="D99" s="518" t="s">
        <v>209</v>
      </c>
      <c r="E99" s="479">
        <f>'9'!F99</f>
        <v>149914</v>
      </c>
      <c r="F99" s="473">
        <v>149918</v>
      </c>
      <c r="G99" s="468">
        <f t="shared" si="9"/>
        <v>4</v>
      </c>
      <c r="H99" s="455">
        <f>G99+'9'!H99</f>
        <v>66</v>
      </c>
      <c r="I99" s="475"/>
      <c r="J99" s="547">
        <f>H99/DAY(B2)</f>
        <v>6.6</v>
      </c>
      <c r="K99" s="377"/>
      <c r="L99" s="374"/>
      <c r="N99" s="711"/>
    </row>
    <row r="100" spans="1:14" ht="27.75">
      <c r="A100" s="1392" t="s">
        <v>20</v>
      </c>
      <c r="B100" s="1393"/>
      <c r="C100" s="1393"/>
      <c r="D100" s="518" t="s">
        <v>209</v>
      </c>
      <c r="E100" s="479">
        <f>'9'!F100</f>
        <v>7494</v>
      </c>
      <c r="F100" s="473">
        <v>7502</v>
      </c>
      <c r="G100" s="468">
        <f t="shared" si="9"/>
        <v>8</v>
      </c>
      <c r="H100" s="455">
        <f>G100+'9'!H100</f>
        <v>133</v>
      </c>
      <c r="I100" s="475"/>
      <c r="J100" s="547">
        <f>H100/DAY(B2)</f>
        <v>13.3</v>
      </c>
      <c r="K100" s="377"/>
      <c r="L100" s="374"/>
      <c r="N100" s="709"/>
    </row>
    <row r="101" spans="1:14" ht="27.75">
      <c r="A101" s="1392" t="s">
        <v>21</v>
      </c>
      <c r="B101" s="1393"/>
      <c r="C101" s="1393"/>
      <c r="D101" s="518" t="s">
        <v>209</v>
      </c>
      <c r="E101" s="479">
        <f>'9'!F101</f>
        <v>5446</v>
      </c>
      <c r="F101" s="473">
        <v>5452</v>
      </c>
      <c r="G101" s="468">
        <f t="shared" si="9"/>
        <v>6</v>
      </c>
      <c r="H101" s="455">
        <f>G101+'9'!H101</f>
        <v>61</v>
      </c>
      <c r="I101" s="475"/>
      <c r="J101" s="547">
        <f>H101/DAY(B2)</f>
        <v>6.1</v>
      </c>
      <c r="K101" s="377"/>
      <c r="L101" s="374"/>
      <c r="N101" s="709"/>
    </row>
    <row r="102" spans="1:14">
      <c r="A102" s="1447" t="s">
        <v>277</v>
      </c>
      <c r="B102" s="1448"/>
      <c r="C102" s="1449"/>
      <c r="D102" s="519"/>
      <c r="E102" s="479"/>
      <c r="F102" s="519"/>
      <c r="G102" s="520">
        <f>SUM(G96:G101)</f>
        <v>104</v>
      </c>
      <c r="H102" s="455">
        <f>G102+'9'!H102</f>
        <v>1029</v>
      </c>
      <c r="I102" s="521"/>
      <c r="J102" s="547">
        <f>H102/DAY(B2)</f>
        <v>102.9</v>
      </c>
      <c r="K102" s="377"/>
      <c r="L102" s="374"/>
      <c r="N102" s="709"/>
    </row>
    <row r="103" spans="1:14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09"/>
    </row>
    <row r="104" spans="1:14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0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479">
        <f>'9'!F105</f>
        <v>7484</v>
      </c>
      <c r="F105" s="654">
        <v>7484</v>
      </c>
      <c r="G105" s="527">
        <v>0</v>
      </c>
      <c r="H105" s="455">
        <f>G105+'9'!H105</f>
        <v>0</v>
      </c>
      <c r="I105" s="527"/>
      <c r="J105" s="553">
        <f>H105/DAY(B2)</f>
        <v>0</v>
      </c>
      <c r="N105" s="709"/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479">
        <f>'9'!F106</f>
        <v>35989</v>
      </c>
      <c r="F106" s="655">
        <v>36006</v>
      </c>
      <c r="G106" s="527">
        <f t="shared" ref="G106:G107" si="10">F106-E106</f>
        <v>17</v>
      </c>
      <c r="H106" s="455">
        <f>G106+'9'!H106</f>
        <v>53</v>
      </c>
      <c r="I106" s="527"/>
      <c r="J106" s="553">
        <f>H106/DAY(B2)</f>
        <v>5.3</v>
      </c>
      <c r="N106" s="709"/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479">
        <f>'9'!F107</f>
        <v>19732</v>
      </c>
      <c r="F107" s="655">
        <v>19739</v>
      </c>
      <c r="G107" s="527">
        <f t="shared" si="10"/>
        <v>7</v>
      </c>
      <c r="H107" s="455">
        <f>G107+'9'!H107</f>
        <v>31</v>
      </c>
      <c r="I107" s="527"/>
      <c r="J107" s="553">
        <f>H107/DAY(B2)</f>
        <v>3.1</v>
      </c>
      <c r="N107" s="709"/>
    </row>
    <row r="108" spans="1:14" s="437" customFormat="1" ht="27.75">
      <c r="A108" s="1461" t="s">
        <v>102</v>
      </c>
      <c r="B108" s="1462"/>
      <c r="C108" s="1391"/>
      <c r="D108" s="617"/>
      <c r="E108" s="479"/>
      <c r="F108" s="655"/>
      <c r="G108" s="527">
        <f>SUM(G105:G107)</f>
        <v>24</v>
      </c>
      <c r="H108" s="455">
        <f>G108+'9'!H108</f>
        <v>84</v>
      </c>
      <c r="I108" s="527"/>
      <c r="J108" s="553">
        <f>H108/DAY(B2)</f>
        <v>8.4</v>
      </c>
      <c r="N108" s="709"/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479"/>
      <c r="F109" s="655"/>
      <c r="G109" s="527"/>
      <c r="H109" s="528"/>
      <c r="I109" s="527"/>
      <c r="J109" s="553"/>
      <c r="N109" s="70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479">
        <f>'9'!F110</f>
        <v>63427</v>
      </c>
      <c r="F110" s="655">
        <v>63489</v>
      </c>
      <c r="G110" s="527">
        <f>F110-E110</f>
        <v>62</v>
      </c>
      <c r="H110" s="455">
        <f>G110+'9'!H110</f>
        <v>655</v>
      </c>
      <c r="I110" s="527"/>
      <c r="J110" s="553">
        <f>H110/DAY(B2)</f>
        <v>65.5</v>
      </c>
      <c r="N110" s="709"/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479">
        <f>'9'!F111</f>
        <v>32632</v>
      </c>
      <c r="F111" s="655">
        <v>32645</v>
      </c>
      <c r="G111" s="527">
        <f t="shared" ref="G111:G112" si="11">F111-E111</f>
        <v>13</v>
      </c>
      <c r="H111" s="455">
        <f>G111+'9'!H111</f>
        <v>67</v>
      </c>
      <c r="I111" s="527"/>
      <c r="J111" s="553">
        <f>H111/DAY(B2)</f>
        <v>6.7</v>
      </c>
      <c r="N111" s="709"/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479">
        <f>'9'!F112</f>
        <v>4621</v>
      </c>
      <c r="F112" s="655">
        <v>4621</v>
      </c>
      <c r="G112" s="527">
        <f t="shared" si="11"/>
        <v>0</v>
      </c>
      <c r="H112" s="455">
        <f>G112+'9'!H112</f>
        <v>45</v>
      </c>
      <c r="I112" s="527"/>
      <c r="J112" s="553">
        <f>H112/DAY(B2)</f>
        <v>4.5</v>
      </c>
      <c r="N112" s="709"/>
    </row>
    <row r="113" spans="1:14" s="437" customFormat="1" ht="27.75">
      <c r="A113" s="1461" t="s">
        <v>174</v>
      </c>
      <c r="B113" s="1462"/>
      <c r="C113" s="1391"/>
      <c r="D113" s="617"/>
      <c r="E113" s="479"/>
      <c r="F113" s="655"/>
      <c r="G113" s="527">
        <f>SUM(G110:G112)</f>
        <v>75</v>
      </c>
      <c r="H113" s="455">
        <f>G113+'9'!H113</f>
        <v>767</v>
      </c>
      <c r="I113" s="527"/>
      <c r="J113" s="553">
        <f>H113/DAY(B2)</f>
        <v>76.7</v>
      </c>
      <c r="N113" s="709"/>
    </row>
    <row r="114" spans="1:14" s="437" customFormat="1" ht="27.75">
      <c r="A114" s="1463" t="s">
        <v>280</v>
      </c>
      <c r="B114" s="1464"/>
      <c r="C114" s="1391"/>
      <c r="D114" s="617"/>
      <c r="E114" s="479"/>
      <c r="F114" s="655"/>
      <c r="G114" s="527"/>
      <c r="H114" s="455">
        <f>G114+'9'!H114</f>
        <v>0</v>
      </c>
      <c r="I114" s="527"/>
      <c r="J114" s="553">
        <f>H114/DAY(B2)</f>
        <v>0</v>
      </c>
      <c r="N114" s="70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479">
        <f>'9'!F115</f>
        <v>11651</v>
      </c>
      <c r="F115" s="655">
        <v>11661</v>
      </c>
      <c r="G115" s="529">
        <f>F115-E115</f>
        <v>10</v>
      </c>
      <c r="H115" s="455">
        <f>G115+'9'!H115</f>
        <v>164</v>
      </c>
      <c r="I115" s="527"/>
      <c r="J115" s="553">
        <f>H115/DAY(B2)</f>
        <v>16.399999999999999</v>
      </c>
      <c r="N115" s="70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479">
        <f>'9'!F116</f>
        <v>8366</v>
      </c>
      <c r="F116" s="655">
        <v>8371</v>
      </c>
      <c r="G116" s="529">
        <f t="shared" ref="G116:G117" si="12">F116-E116</f>
        <v>5</v>
      </c>
      <c r="H116" s="455">
        <f>G116+'9'!H116</f>
        <v>59</v>
      </c>
      <c r="I116" s="527"/>
      <c r="J116" s="553">
        <f>H116/DAY(B2)</f>
        <v>5.9</v>
      </c>
      <c r="N116" s="70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2"/>
        <v>0</v>
      </c>
      <c r="H117" s="455">
        <f>G117+'9'!H117</f>
        <v>0</v>
      </c>
      <c r="I117" s="527"/>
      <c r="J117" s="553">
        <f>H117/DAY(B2)</f>
        <v>0</v>
      </c>
      <c r="N117" s="709"/>
    </row>
    <row r="118" spans="1:14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15</v>
      </c>
      <c r="H118" s="455">
        <f>G118+'9'!H118</f>
        <v>223</v>
      </c>
      <c r="I118" s="529"/>
      <c r="J118" s="553">
        <f>H118/DAY(B2)</f>
        <v>22.3</v>
      </c>
      <c r="N118" s="70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107</v>
      </c>
      <c r="G119" s="531">
        <f>SUM(G19+G93)</f>
        <v>107</v>
      </c>
      <c r="H119" s="455">
        <f>G119+'9'!H119</f>
        <v>1023</v>
      </c>
      <c r="I119" s="530"/>
      <c r="J119" s="554">
        <f>H119/DAY(B2)</f>
        <v>102.3</v>
      </c>
      <c r="N119" s="70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100</v>
      </c>
      <c r="G120" s="531">
        <f>SUM(G96,G97,G98,G100,G101)</f>
        <v>100</v>
      </c>
      <c r="H120" s="455">
        <f>G120+'9'!H120</f>
        <v>963</v>
      </c>
      <c r="I120" s="530"/>
      <c r="J120" s="554">
        <f>H120/DAY(B2)</f>
        <v>96.3</v>
      </c>
      <c r="N120" s="70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75</v>
      </c>
      <c r="G121" s="529">
        <f>SUM(G113)</f>
        <v>75</v>
      </c>
      <c r="H121" s="455">
        <f>G121+'9'!H121</f>
        <v>767</v>
      </c>
      <c r="I121" s="530"/>
      <c r="J121" s="554">
        <f>H121/DAY(B2)</f>
        <v>76.7</v>
      </c>
      <c r="N121" s="709"/>
    </row>
    <row r="122" spans="1:14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09"/>
    </row>
    <row r="123" spans="1:14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0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'9'!F124</f>
        <v>834008</v>
      </c>
      <c r="F124" s="473">
        <v>834219</v>
      </c>
      <c r="G124" s="468">
        <f t="shared" ref="G124:G128" si="13">F124-E124</f>
        <v>211</v>
      </c>
      <c r="H124" s="455">
        <f>G124+'9'!H124</f>
        <v>1853</v>
      </c>
      <c r="I124" s="521"/>
      <c r="J124" s="547">
        <f>H124/DAY(B2)</f>
        <v>185.3</v>
      </c>
      <c r="K124" s="377"/>
      <c r="L124" s="374"/>
      <c r="N124" s="709"/>
    </row>
    <row r="125" spans="1:14" ht="27.75">
      <c r="A125" s="1392" t="s">
        <v>287</v>
      </c>
      <c r="B125" s="1393"/>
      <c r="C125" s="1393"/>
      <c r="D125" s="518" t="s">
        <v>206</v>
      </c>
      <c r="E125" s="621">
        <f>'9'!F125</f>
        <v>73583.399999999994</v>
      </c>
      <c r="F125" s="621">
        <v>73583.399999999994</v>
      </c>
      <c r="G125" s="468">
        <f t="shared" si="13"/>
        <v>0</v>
      </c>
      <c r="H125" s="455">
        <f>G125+'9'!H125</f>
        <v>0</v>
      </c>
      <c r="I125" s="521"/>
      <c r="J125" s="547">
        <f>H125/DAY(B2)</f>
        <v>0</v>
      </c>
      <c r="K125" s="377"/>
      <c r="L125" s="374"/>
      <c r="N125" s="709"/>
    </row>
    <row r="126" spans="1:14" ht="27.75">
      <c r="A126" s="1450" t="s">
        <v>288</v>
      </c>
      <c r="B126" s="1451"/>
      <c r="C126" s="1452"/>
      <c r="D126" s="518" t="s">
        <v>206</v>
      </c>
      <c r="E126" s="473">
        <f>'9'!F126</f>
        <v>147053</v>
      </c>
      <c r="F126" s="473">
        <v>147119</v>
      </c>
      <c r="G126" s="468">
        <f t="shared" si="13"/>
        <v>66</v>
      </c>
      <c r="H126" s="455">
        <f>G126+'9'!H126</f>
        <v>628</v>
      </c>
      <c r="I126" s="521"/>
      <c r="J126" s="547">
        <f>H126/DAY(B2)</f>
        <v>62.8</v>
      </c>
      <c r="K126" s="377"/>
      <c r="L126" s="374"/>
      <c r="N126" s="709"/>
    </row>
    <row r="127" spans="1:14" ht="27.75">
      <c r="A127" s="604" t="s">
        <v>289</v>
      </c>
      <c r="B127" s="1393"/>
      <c r="C127" s="1393"/>
      <c r="D127" s="518" t="s">
        <v>206</v>
      </c>
      <c r="E127" s="621">
        <f>'9'!F127</f>
        <v>31409</v>
      </c>
      <c r="F127" s="621">
        <v>31409</v>
      </c>
      <c r="G127" s="468">
        <f t="shared" si="13"/>
        <v>0</v>
      </c>
      <c r="H127" s="455">
        <f>G127+'9'!H127</f>
        <v>3</v>
      </c>
      <c r="I127" s="521"/>
      <c r="J127" s="547">
        <f>H127/DAY(B2)</f>
        <v>0.3</v>
      </c>
      <c r="K127" s="377"/>
      <c r="L127" s="374"/>
      <c r="N127" s="709"/>
    </row>
    <row r="128" spans="1:14" ht="27.75">
      <c r="A128" s="604" t="s">
        <v>290</v>
      </c>
      <c r="B128" s="1393"/>
      <c r="C128" s="1393"/>
      <c r="D128" s="518" t="s">
        <v>206</v>
      </c>
      <c r="E128" s="621">
        <f>'9'!F128</f>
        <v>8972</v>
      </c>
      <c r="F128" s="621">
        <v>8972</v>
      </c>
      <c r="G128" s="468">
        <f t="shared" si="13"/>
        <v>0</v>
      </c>
      <c r="H128" s="455">
        <f>G128+'9'!H128</f>
        <v>0</v>
      </c>
      <c r="I128" s="475"/>
      <c r="J128" s="547">
        <f>H128/DAY(B2)</f>
        <v>0</v>
      </c>
      <c r="K128" s="377"/>
      <c r="L128" s="374"/>
      <c r="N128" s="70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388</v>
      </c>
      <c r="H129" s="455"/>
      <c r="I129" s="475"/>
      <c r="J129" s="547"/>
      <c r="K129" s="361"/>
      <c r="L129" s="289"/>
      <c r="N129" s="709"/>
    </row>
    <row r="130" spans="1:14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0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'9'!F131</f>
        <v>0</v>
      </c>
      <c r="F131" s="473">
        <v>0</v>
      </c>
      <c r="G131" s="468">
        <f t="shared" ref="G131:G141" si="14">F131-E131</f>
        <v>0</v>
      </c>
      <c r="H131" s="455">
        <f>G131+'9'!H131</f>
        <v>0</v>
      </c>
      <c r="I131" s="475"/>
      <c r="J131" s="547">
        <f>H131/DAY(B2)</f>
        <v>0</v>
      </c>
      <c r="N131" s="70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'9'!F132</f>
        <v>0</v>
      </c>
      <c r="F132" s="473">
        <v>0</v>
      </c>
      <c r="G132" s="468">
        <f t="shared" si="14"/>
        <v>0</v>
      </c>
      <c r="H132" s="455">
        <f>G132+'9'!H132</f>
        <v>0</v>
      </c>
      <c r="I132" s="475"/>
      <c r="J132" s="547">
        <f>H132/DAY(B2)</f>
        <v>0</v>
      </c>
      <c r="N132" s="709"/>
    </row>
    <row r="133" spans="1:14" ht="27.75">
      <c r="A133" s="1392" t="s">
        <v>296</v>
      </c>
      <c r="B133" s="1393"/>
      <c r="C133" s="1393"/>
      <c r="D133" s="518" t="s">
        <v>294</v>
      </c>
      <c r="E133" s="479">
        <f>'9'!F133</f>
        <v>40099</v>
      </c>
      <c r="F133" s="1261">
        <v>40122.449999999997</v>
      </c>
      <c r="G133" s="1262">
        <f t="shared" si="14"/>
        <v>23.44999999999709</v>
      </c>
      <c r="H133" s="455">
        <f>G133+'9'!H133</f>
        <v>87.349999999998545</v>
      </c>
      <c r="I133" s="475"/>
      <c r="J133" s="547">
        <f>H133/DAY(B2)</f>
        <v>8.7349999999998538</v>
      </c>
      <c r="N133" s="709"/>
    </row>
    <row r="134" spans="1:14" ht="27.75">
      <c r="A134" s="1392" t="s">
        <v>297</v>
      </c>
      <c r="B134" s="1393"/>
      <c r="C134" s="1393"/>
      <c r="D134" s="518" t="s">
        <v>294</v>
      </c>
      <c r="E134" s="479">
        <f>'9'!F134</f>
        <v>300</v>
      </c>
      <c r="F134" s="1261">
        <v>300</v>
      </c>
      <c r="G134" s="1262">
        <f t="shared" si="14"/>
        <v>0</v>
      </c>
      <c r="H134" s="455">
        <f>G134+'9'!H134</f>
        <v>0</v>
      </c>
      <c r="I134" s="475">
        <f>G131+G132+G133+G134</f>
        <v>23.44999999999709</v>
      </c>
      <c r="J134" s="547">
        <f>H134/DAY(B2)</f>
        <v>0</v>
      </c>
      <c r="N134" s="709"/>
    </row>
    <row r="135" spans="1:14" ht="27.75">
      <c r="A135" s="1392" t="s">
        <v>298</v>
      </c>
      <c r="B135" s="1393"/>
      <c r="C135" s="1393"/>
      <c r="D135" s="518" t="s">
        <v>294</v>
      </c>
      <c r="E135" s="479">
        <f>'9'!F135</f>
        <v>41730.449999999997</v>
      </c>
      <c r="F135" s="1261">
        <v>41730.449999999997</v>
      </c>
      <c r="G135" s="1262">
        <f t="shared" si="14"/>
        <v>0</v>
      </c>
      <c r="H135" s="455">
        <f>G135+'9'!H135</f>
        <v>0.44999999999708962</v>
      </c>
      <c r="I135" s="475"/>
      <c r="J135" s="547">
        <f>H135/DAY(B2)</f>
        <v>4.499999999970896E-2</v>
      </c>
      <c r="N135" s="709"/>
    </row>
    <row r="136" spans="1:14" ht="27.75">
      <c r="A136" s="1392" t="s">
        <v>299</v>
      </c>
      <c r="B136" s="1393"/>
      <c r="C136" s="1393"/>
      <c r="D136" s="518" t="s">
        <v>294</v>
      </c>
      <c r="E136" s="479">
        <f>'9'!F136</f>
        <v>32874.050000000003</v>
      </c>
      <c r="F136" s="1261">
        <v>32874.050000000003</v>
      </c>
      <c r="G136" s="1262">
        <f t="shared" si="14"/>
        <v>0</v>
      </c>
      <c r="H136" s="455">
        <f>G136+'9'!H136</f>
        <v>159.05000000000291</v>
      </c>
      <c r="I136" s="475"/>
      <c r="J136" s="547">
        <f>H136/DAY(B2)</f>
        <v>15.905000000000291</v>
      </c>
      <c r="N136" s="709"/>
    </row>
    <row r="137" spans="1:14" ht="27.75">
      <c r="A137" s="1392" t="s">
        <v>300</v>
      </c>
      <c r="B137" s="1393"/>
      <c r="C137" s="1393"/>
      <c r="D137" s="518" t="s">
        <v>294</v>
      </c>
      <c r="E137" s="479">
        <f>'9'!F137</f>
        <v>22825.71</v>
      </c>
      <c r="F137" s="1261">
        <v>22833.51</v>
      </c>
      <c r="G137" s="1262">
        <f t="shared" si="14"/>
        <v>7.7999999999992724</v>
      </c>
      <c r="H137" s="455">
        <f>G137+'9'!H137</f>
        <v>26.269999999996799</v>
      </c>
      <c r="I137" s="475">
        <f>G135+G136+G137</f>
        <v>7.7999999999992724</v>
      </c>
      <c r="J137" s="547">
        <f>H137/DAY(B2)</f>
        <v>2.62699999999968</v>
      </c>
      <c r="N137" s="709"/>
    </row>
    <row r="138" spans="1:14" ht="27.75">
      <c r="A138" s="1392" t="s">
        <v>301</v>
      </c>
      <c r="B138" s="1393"/>
      <c r="C138" s="1393"/>
      <c r="D138" s="518" t="s">
        <v>294</v>
      </c>
      <c r="E138" s="479">
        <f>'9'!F138</f>
        <v>25051.82</v>
      </c>
      <c r="F138" s="1261">
        <v>25051.82</v>
      </c>
      <c r="G138" s="1262">
        <f t="shared" si="14"/>
        <v>0</v>
      </c>
      <c r="H138" s="455">
        <f>G138+'9'!H138</f>
        <v>0</v>
      </c>
      <c r="I138" s="475"/>
      <c r="J138" s="547">
        <f>H138/DAY(B2)</f>
        <v>0</v>
      </c>
      <c r="N138" s="709"/>
    </row>
    <row r="139" spans="1:14" ht="27.75">
      <c r="A139" s="1392" t="s">
        <v>302</v>
      </c>
      <c r="B139" s="1393"/>
      <c r="C139" s="1393"/>
      <c r="D139" s="518" t="s">
        <v>294</v>
      </c>
      <c r="E139" s="479">
        <f>'9'!F139</f>
        <v>70448.41</v>
      </c>
      <c r="F139" s="1261">
        <v>70448.41</v>
      </c>
      <c r="G139" s="1262">
        <f t="shared" si="14"/>
        <v>0</v>
      </c>
      <c r="H139" s="455">
        <f>G139+'9'!H139</f>
        <v>36.669999999998254</v>
      </c>
      <c r="I139" s="475">
        <f>G138+G139</f>
        <v>0</v>
      </c>
      <c r="J139" s="547">
        <f>H139/DAY(B2)</f>
        <v>3.6669999999998253</v>
      </c>
      <c r="N139" s="709"/>
    </row>
    <row r="140" spans="1:14" ht="27.75">
      <c r="A140" s="1392" t="s">
        <v>303</v>
      </c>
      <c r="B140" s="1393"/>
      <c r="C140" s="1393"/>
      <c r="D140" s="518" t="s">
        <v>294</v>
      </c>
      <c r="E140" s="479">
        <f>'9'!F140</f>
        <v>1917.79</v>
      </c>
      <c r="F140" s="1261">
        <v>1925.69</v>
      </c>
      <c r="G140" s="1262">
        <f t="shared" si="14"/>
        <v>7.9000000000000909</v>
      </c>
      <c r="H140" s="455">
        <f>G140+'9'!H140</f>
        <v>71.3900000000001</v>
      </c>
      <c r="I140" s="537"/>
      <c r="J140" s="547">
        <f>H140/DAY(B2)</f>
        <v>7.13900000000001</v>
      </c>
      <c r="N140" s="709"/>
    </row>
    <row r="141" spans="1:14" ht="27.75">
      <c r="A141" s="1392" t="s">
        <v>304</v>
      </c>
      <c r="B141" s="1393"/>
      <c r="C141" s="1393"/>
      <c r="D141" s="518" t="s">
        <v>294</v>
      </c>
      <c r="E141" s="479">
        <f>'9'!F141</f>
        <v>4636.88</v>
      </c>
      <c r="F141" s="1261">
        <v>4636.88</v>
      </c>
      <c r="G141" s="1262">
        <f t="shared" si="14"/>
        <v>0</v>
      </c>
      <c r="H141" s="455">
        <f>G141+'9'!H141</f>
        <v>-0.11999999999989086</v>
      </c>
      <c r="I141" s="537"/>
      <c r="J141" s="547">
        <f>H141/DAY(B2)</f>
        <v>-1.1999999999989085E-2</v>
      </c>
      <c r="N141" s="709"/>
    </row>
    <row r="142" spans="1:14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0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4611</v>
      </c>
      <c r="H143" s="455">
        <f>G143+'9'!H143</f>
        <v>48110.130000000005</v>
      </c>
      <c r="I143" s="475"/>
      <c r="J143" s="547">
        <f>H143/DAY(B2)</f>
        <v>4811.0130000000008</v>
      </c>
      <c r="K143" s="377"/>
      <c r="L143" s="374"/>
      <c r="N143" s="70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0.27032889722694498</v>
      </c>
      <c r="H144" s="455">
        <f>G144+'9'!H144</f>
        <v>2.797789777520566</v>
      </c>
      <c r="I144" s="539"/>
      <c r="J144" s="547">
        <f>H144/DAY(B2)</f>
        <v>0.27977897775205662</v>
      </c>
      <c r="K144" s="377"/>
      <c r="L144" s="374"/>
      <c r="N144" s="70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4704.3899999999994</v>
      </c>
      <c r="H145" s="455">
        <f>G145+'9'!H145</f>
        <v>49460.55</v>
      </c>
      <c r="I145" s="475"/>
      <c r="J145" s="547">
        <f>H145/DAY(B2)</f>
        <v>4946.0550000000003</v>
      </c>
      <c r="K145" s="377"/>
      <c r="L145" s="374"/>
      <c r="N145" s="70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0.27580406871079322</v>
      </c>
      <c r="H146" s="455">
        <f>G146+'9'!H146</f>
        <v>2.8703542886984481</v>
      </c>
      <c r="I146" s="539"/>
      <c r="J146" s="547">
        <f>H146/DAY(B2)</f>
        <v>0.28703542886984479</v>
      </c>
      <c r="K146" s="377"/>
      <c r="L146" s="374"/>
      <c r="N146" s="70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3175.3300000000163</v>
      </c>
      <c r="H147" s="455">
        <f>G147+'9'!H147</f>
        <v>28836</v>
      </c>
      <c r="I147" s="540"/>
      <c r="J147" s="547">
        <f>H147/DAY(B2)</f>
        <v>2883.6</v>
      </c>
      <c r="K147" s="377"/>
      <c r="L147" s="374"/>
      <c r="N147" s="70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0.18615993433780947</v>
      </c>
      <c r="H148" s="455">
        <f>G148+'9'!H148</f>
        <v>1.6720281540788964</v>
      </c>
      <c r="I148" s="540"/>
      <c r="J148" s="547">
        <f>H148/DAY(B2)</f>
        <v>0.16720281540788964</v>
      </c>
      <c r="N148" s="70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1210</v>
      </c>
      <c r="H149" s="455">
        <f>G149+'9'!H149</f>
        <v>12193.069999999949</v>
      </c>
      <c r="I149" s="475"/>
      <c r="J149" s="547">
        <f>H149/DAY(B2)</f>
        <v>1219.3069999999948</v>
      </c>
      <c r="K149" s="378"/>
      <c r="N149" s="70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7.0938617576361607E-2</v>
      </c>
      <c r="H150" s="455">
        <f>G150+'9'!H150</f>
        <v>0.7076227936299786</v>
      </c>
      <c r="I150" s="540"/>
      <c r="J150" s="547">
        <f>H150/DAY(B2)</f>
        <v>7.0762279362997865E-2</v>
      </c>
      <c r="N150" s="70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1454</v>
      </c>
      <c r="H151" s="455">
        <f>G151+'9'!H151</f>
        <v>15095.000000000002</v>
      </c>
      <c r="I151" s="540"/>
      <c r="J151" s="547">
        <f>H151/DAY(B2)</f>
        <v>1509.5000000000002</v>
      </c>
      <c r="N151" s="70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8.5243595004983297E-2</v>
      </c>
      <c r="H152" s="455">
        <f>G152+'9'!H152</f>
        <v>0.87100844663395716</v>
      </c>
      <c r="I152" s="475"/>
      <c r="J152" s="547">
        <f>H152/DAY(B2)</f>
        <v>8.710084466339571E-2</v>
      </c>
      <c r="N152" s="70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1349</v>
      </c>
      <c r="H153" s="455">
        <f>G153+'9'!H153</f>
        <v>13205.869999999995</v>
      </c>
      <c r="I153" s="475"/>
      <c r="J153" s="547">
        <f>H153/DAY(B2)</f>
        <v>1320.5869999999995</v>
      </c>
      <c r="N153" s="70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7.9087764554142001E-2</v>
      </c>
      <c r="H154" s="562">
        <f>G154+'9'!H154</f>
        <v>0.76809243000638661</v>
      </c>
      <c r="I154" s="563"/>
      <c r="J154" s="564">
        <f>H154/DAY(B2)</f>
        <v>7.6809243000638655E-2</v>
      </c>
      <c r="N154" s="709"/>
    </row>
    <row r="155" spans="1:14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09"/>
    </row>
    <row r="158" spans="1:14" ht="27.75">
      <c r="A158" s="1503" t="s">
        <v>324</v>
      </c>
      <c r="B158" s="1504"/>
      <c r="C158" s="1504"/>
      <c r="D158" s="1504"/>
      <c r="E158" s="1504"/>
      <c r="F158" s="1504"/>
      <c r="G158" s="1505"/>
    </row>
    <row r="159" spans="1:14">
      <c r="A159" s="780"/>
      <c r="B159" s="781"/>
      <c r="C159" s="781"/>
      <c r="D159" s="506"/>
      <c r="E159" s="450"/>
      <c r="F159" s="654"/>
      <c r="G159" s="468"/>
    </row>
    <row r="160" spans="1:14">
      <c r="A160" s="780"/>
      <c r="B160" s="781"/>
      <c r="C160" s="781"/>
      <c r="D160" s="506"/>
      <c r="E160" s="450"/>
      <c r="F160" s="654"/>
      <c r="G160" s="468"/>
    </row>
    <row r="161" spans="1:8">
      <c r="A161" s="780" t="s">
        <v>318</v>
      </c>
      <c r="B161" s="781"/>
      <c r="C161" s="781"/>
      <c r="D161" s="506" t="s">
        <v>253</v>
      </c>
      <c r="E161" s="1056">
        <f>'9'!F161</f>
        <v>39160</v>
      </c>
      <c r="F161" s="654">
        <v>39239</v>
      </c>
      <c r="G161" s="468">
        <f>F161-E161</f>
        <v>79</v>
      </c>
    </row>
    <row r="162" spans="1:8">
      <c r="A162" s="780" t="s">
        <v>319</v>
      </c>
      <c r="B162" s="781"/>
      <c r="C162" s="781"/>
      <c r="D162" s="506" t="s">
        <v>253</v>
      </c>
      <c r="E162" s="1056">
        <f>'9'!F162</f>
        <v>98475</v>
      </c>
      <c r="F162" s="654">
        <v>98878</v>
      </c>
      <c r="G162" s="468">
        <f t="shared" ref="G162:G172" si="15">F162-E162</f>
        <v>403</v>
      </c>
    </row>
    <row r="163" spans="1:8">
      <c r="A163" s="780" t="s">
        <v>320</v>
      </c>
      <c r="B163" s="781"/>
      <c r="C163" s="781"/>
      <c r="D163" s="506" t="s">
        <v>253</v>
      </c>
      <c r="E163" s="1056">
        <f>'9'!F163</f>
        <v>46817</v>
      </c>
      <c r="F163" s="654">
        <v>47024</v>
      </c>
      <c r="G163" s="468">
        <f t="shared" si="15"/>
        <v>207</v>
      </c>
      <c r="H163" s="509"/>
    </row>
    <row r="164" spans="1:8">
      <c r="A164" s="780" t="s">
        <v>321</v>
      </c>
      <c r="B164" s="781"/>
      <c r="C164" s="781"/>
      <c r="D164" s="506" t="s">
        <v>253</v>
      </c>
      <c r="E164" s="1056">
        <f>'9'!F164</f>
        <v>6640</v>
      </c>
      <c r="F164" s="654">
        <v>6648</v>
      </c>
      <c r="G164" s="468">
        <f t="shared" si="15"/>
        <v>8</v>
      </c>
    </row>
    <row r="165" spans="1:8">
      <c r="A165" s="782" t="s">
        <v>252</v>
      </c>
      <c r="B165" s="599"/>
      <c r="C165" s="599"/>
      <c r="D165" s="506" t="s">
        <v>253</v>
      </c>
      <c r="E165" s="1056">
        <f>'9'!F165</f>
        <v>0</v>
      </c>
      <c r="F165" s="509">
        <f>F62</f>
        <v>0</v>
      </c>
      <c r="G165" s="468">
        <f t="shared" si="15"/>
        <v>0</v>
      </c>
    </row>
    <row r="166" spans="1:8" ht="34.5" customHeight="1">
      <c r="A166" s="782" t="s">
        <v>254</v>
      </c>
      <c r="B166" s="599"/>
      <c r="C166" s="599"/>
      <c r="D166" s="506" t="s">
        <v>253</v>
      </c>
      <c r="E166" s="1056">
        <f>'9'!F166</f>
        <v>0</v>
      </c>
      <c r="F166" s="509">
        <f t="shared" ref="F166:F172" si="16">F63</f>
        <v>0</v>
      </c>
      <c r="G166" s="468">
        <f t="shared" si="15"/>
        <v>0</v>
      </c>
    </row>
    <row r="167" spans="1:8" ht="31.5" customHeight="1">
      <c r="A167" s="1502" t="s">
        <v>161</v>
      </c>
      <c r="B167" s="1502"/>
      <c r="C167" s="1502"/>
      <c r="D167" s="518" t="s">
        <v>253</v>
      </c>
      <c r="E167" s="1056">
        <f>'9'!F167</f>
        <v>162295</v>
      </c>
      <c r="F167" s="509">
        <f t="shared" si="16"/>
        <v>162647</v>
      </c>
      <c r="G167" s="468">
        <f t="shared" si="15"/>
        <v>352</v>
      </c>
    </row>
    <row r="168" spans="1:8" ht="21.75" customHeight="1">
      <c r="A168" s="1502" t="s">
        <v>162</v>
      </c>
      <c r="B168" s="1502"/>
      <c r="C168" s="1502"/>
      <c r="D168" s="518" t="s">
        <v>253</v>
      </c>
      <c r="E168" s="1056">
        <f>'9'!F168</f>
        <v>163099</v>
      </c>
      <c r="F168" s="509">
        <f t="shared" si="16"/>
        <v>163365</v>
      </c>
      <c r="G168" s="468">
        <f t="shared" si="15"/>
        <v>266</v>
      </c>
    </row>
    <row r="169" spans="1:8" ht="27.75" customHeight="1">
      <c r="A169" s="1502" t="s">
        <v>255</v>
      </c>
      <c r="B169" s="1502"/>
      <c r="C169" s="1502"/>
      <c r="D169" s="518" t="s">
        <v>253</v>
      </c>
      <c r="E169" s="1056">
        <f>'9'!F169</f>
        <v>59809</v>
      </c>
      <c r="F169" s="509">
        <f t="shared" si="16"/>
        <v>60224</v>
      </c>
      <c r="G169" s="468">
        <f t="shared" si="15"/>
        <v>415</v>
      </c>
    </row>
    <row r="170" spans="1:8" ht="21.75" customHeight="1">
      <c r="A170" s="1502" t="s">
        <v>157</v>
      </c>
      <c r="B170" s="1502"/>
      <c r="C170" s="1502"/>
      <c r="D170" s="518" t="s">
        <v>253</v>
      </c>
      <c r="E170" s="1056">
        <f>'9'!F170</f>
        <v>255696</v>
      </c>
      <c r="F170" s="509">
        <f t="shared" si="16"/>
        <v>256073</v>
      </c>
      <c r="G170" s="468">
        <f t="shared" si="15"/>
        <v>377</v>
      </c>
    </row>
    <row r="171" spans="1:8" ht="27.75" customHeight="1">
      <c r="A171" s="1502" t="s">
        <v>164</v>
      </c>
      <c r="B171" s="1502"/>
      <c r="C171" s="1502"/>
      <c r="D171" s="518" t="s">
        <v>253</v>
      </c>
      <c r="E171" s="1056">
        <f>'9'!F171</f>
        <v>85321</v>
      </c>
      <c r="F171" s="509">
        <f t="shared" si="16"/>
        <v>85321</v>
      </c>
      <c r="G171" s="468">
        <f t="shared" si="15"/>
        <v>0</v>
      </c>
    </row>
    <row r="172" spans="1:8" ht="27.75">
      <c r="A172" s="1502" t="s">
        <v>165</v>
      </c>
      <c r="B172" s="1502"/>
      <c r="C172" s="1502"/>
      <c r="D172" s="518" t="s">
        <v>253</v>
      </c>
      <c r="E172" s="1056">
        <f>'9'!F172</f>
        <v>82755</v>
      </c>
      <c r="F172" s="509">
        <f t="shared" si="16"/>
        <v>82925</v>
      </c>
      <c r="G172" s="468">
        <f t="shared" si="15"/>
        <v>170</v>
      </c>
    </row>
    <row r="173" spans="1:8">
      <c r="A173" s="1512" t="s">
        <v>329</v>
      </c>
      <c r="B173" s="1495"/>
      <c r="C173" s="781"/>
      <c r="D173" s="518" t="s">
        <v>253</v>
      </c>
      <c r="E173" s="527">
        <v>18928.5</v>
      </c>
      <c r="F173" s="527">
        <v>18928.5</v>
      </c>
      <c r="G173" s="527">
        <v>0</v>
      </c>
    </row>
    <row r="174" spans="1:8">
      <c r="A174" s="1512" t="s">
        <v>332</v>
      </c>
      <c r="B174" s="1495"/>
      <c r="C174" s="781"/>
      <c r="D174" s="518" t="s">
        <v>253</v>
      </c>
      <c r="E174" s="527">
        <v>27538</v>
      </c>
      <c r="F174" s="527">
        <v>27542</v>
      </c>
      <c r="G174" s="527">
        <v>4</v>
      </c>
    </row>
    <row r="177" spans="1:7" ht="18.75" customHeight="1"/>
    <row r="178" spans="1:7" ht="44.25" customHeight="1">
      <c r="A178" s="449" t="s">
        <v>278</v>
      </c>
    </row>
    <row r="179" spans="1:7" ht="21.75" customHeight="1">
      <c r="A179" s="449" t="s">
        <v>279</v>
      </c>
    </row>
    <row r="180" spans="1:7" ht="21.75" customHeight="1">
      <c r="A180" s="449" t="s">
        <v>22</v>
      </c>
      <c r="D180" s="532" t="s">
        <v>209</v>
      </c>
      <c r="E180" s="532">
        <v>7010</v>
      </c>
      <c r="F180" s="659">
        <v>7010</v>
      </c>
      <c r="G180" s="532">
        <f>F180-E180</f>
        <v>0</v>
      </c>
    </row>
    <row r="181" spans="1:7" ht="21.75" customHeight="1">
      <c r="A181" s="449" t="s">
        <v>23</v>
      </c>
      <c r="D181" s="532" t="s">
        <v>209</v>
      </c>
      <c r="E181" s="532">
        <v>34070</v>
      </c>
      <c r="F181" s="659">
        <v>34070</v>
      </c>
      <c r="G181" s="532">
        <f t="shared" ref="G181:G182" si="17">F181-E181</f>
        <v>0</v>
      </c>
    </row>
    <row r="182" spans="1:7" ht="21.75" customHeight="1">
      <c r="A182" s="449" t="s">
        <v>24</v>
      </c>
      <c r="D182" s="532" t="s">
        <v>209</v>
      </c>
      <c r="E182" s="532">
        <v>18160</v>
      </c>
      <c r="F182" s="659">
        <v>18171</v>
      </c>
      <c r="G182" s="532">
        <f t="shared" si="17"/>
        <v>11</v>
      </c>
    </row>
    <row r="183" spans="1:7" ht="21.75" customHeight="1">
      <c r="A183" s="449" t="s">
        <v>102</v>
      </c>
      <c r="G183" s="532">
        <f>SUM(G180:G182)</f>
        <v>11</v>
      </c>
    </row>
    <row r="184" spans="1:7" ht="21.75" customHeight="1">
      <c r="A184" s="449" t="s">
        <v>120</v>
      </c>
      <c r="D184" s="532" t="s">
        <v>209</v>
      </c>
    </row>
    <row r="185" spans="1:7" ht="21.75" customHeight="1">
      <c r="A185" s="449" t="s">
        <v>25</v>
      </c>
      <c r="D185" s="532" t="s">
        <v>209</v>
      </c>
      <c r="E185" s="532">
        <v>42234</v>
      </c>
      <c r="F185" s="659">
        <v>42285</v>
      </c>
      <c r="G185" s="532">
        <f>F185-E185</f>
        <v>51</v>
      </c>
    </row>
    <row r="186" spans="1:7" ht="21.75" customHeight="1">
      <c r="A186" s="449" t="s">
        <v>26</v>
      </c>
      <c r="D186" s="532" t="s">
        <v>209</v>
      </c>
      <c r="E186" s="532">
        <v>20656</v>
      </c>
      <c r="F186" s="659">
        <v>20656</v>
      </c>
      <c r="G186" s="532">
        <f t="shared" ref="G186:G187" si="18">F186-E186</f>
        <v>0</v>
      </c>
    </row>
    <row r="187" spans="1:7" ht="21.75" customHeight="1">
      <c r="A187" s="449" t="s">
        <v>27</v>
      </c>
      <c r="D187" s="532" t="s">
        <v>209</v>
      </c>
      <c r="E187" s="532">
        <v>2801</v>
      </c>
      <c r="F187" s="659">
        <v>2801</v>
      </c>
      <c r="G187" s="532">
        <f t="shared" si="18"/>
        <v>0</v>
      </c>
    </row>
    <row r="188" spans="1:7" ht="21.75" customHeight="1">
      <c r="A188" s="449" t="s">
        <v>174</v>
      </c>
      <c r="G188" s="532">
        <f>SUM(G185:G187)</f>
        <v>51</v>
      </c>
    </row>
    <row r="189" spans="1:7" ht="21.75" customHeight="1">
      <c r="A189" s="449" t="s">
        <v>280</v>
      </c>
    </row>
    <row r="190" spans="1:7" ht="21.75" customHeight="1">
      <c r="A190" s="449" t="s">
        <v>28</v>
      </c>
      <c r="D190" s="532" t="s">
        <v>209</v>
      </c>
      <c r="E190" s="532">
        <v>6979</v>
      </c>
      <c r="F190" s="659">
        <v>6983</v>
      </c>
      <c r="G190" s="532">
        <f>F190-E190</f>
        <v>4</v>
      </c>
    </row>
    <row r="191" spans="1:7" ht="21.75" customHeight="1">
      <c r="A191" s="449" t="s">
        <v>29</v>
      </c>
      <c r="D191" s="532" t="s">
        <v>209</v>
      </c>
      <c r="E191" s="532">
        <v>5846</v>
      </c>
      <c r="F191" s="659">
        <v>5849</v>
      </c>
      <c r="G191" s="532">
        <f t="shared" ref="G191:G192" si="19">F191-E191</f>
        <v>3</v>
      </c>
    </row>
    <row r="192" spans="1:7" ht="21.75" customHeight="1">
      <c r="A192" s="449" t="s">
        <v>281</v>
      </c>
      <c r="D192" s="532" t="s">
        <v>209</v>
      </c>
      <c r="G192" s="532">
        <f t="shared" si="19"/>
        <v>0</v>
      </c>
    </row>
    <row r="193" spans="1:8" ht="21.75" customHeight="1"/>
    <row r="194" spans="1:8" ht="36.75" customHeight="1">
      <c r="A194" s="449" t="s">
        <v>102</v>
      </c>
      <c r="G194" s="532">
        <f>SUM(G190:G192)</f>
        <v>7</v>
      </c>
    </row>
    <row r="195" spans="1:8">
      <c r="A195" s="449" t="s">
        <v>282</v>
      </c>
      <c r="D195" s="532" t="s">
        <v>209</v>
      </c>
      <c r="F195" s="659">
        <f>SUM(G93+G19)</f>
        <v>107</v>
      </c>
      <c r="G195" s="532">
        <f>F195+'[3]9'!I145</f>
        <v>107</v>
      </c>
      <c r="H195" s="533" t="e">
        <f>G195/DAY(D148)</f>
        <v>#VALUE!</v>
      </c>
    </row>
    <row r="197" spans="1:8">
      <c r="A197" s="449" t="s">
        <v>283</v>
      </c>
      <c r="D197" s="532" t="s">
        <v>209</v>
      </c>
      <c r="F197" s="659">
        <f>SUM(G96:G98,G190:G192)</f>
        <v>93</v>
      </c>
      <c r="G197" s="532">
        <f>F197+'[3]9'!I147</f>
        <v>93</v>
      </c>
      <c r="H197" s="533" t="e">
        <f>G197/DAY(D148)</f>
        <v>#VALUE!</v>
      </c>
    </row>
    <row r="199" spans="1:8">
      <c r="A199" s="449" t="s">
        <v>284</v>
      </c>
      <c r="D199" s="532" t="s">
        <v>209</v>
      </c>
      <c r="F199" s="659">
        <f>H189+H140</f>
        <v>71.3900000000001</v>
      </c>
      <c r="G199" s="532">
        <f>SUM(G99,G185:G187)</f>
        <v>55</v>
      </c>
      <c r="H199" s="533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28" zoomScale="55" zoomScaleNormal="55" workbookViewId="0">
      <selection activeCell="A33" sqref="A33:J33"/>
    </sheetView>
  </sheetViews>
  <sheetFormatPr defaultColWidth="22.33203125" defaultRowHeight="29.25"/>
  <cols>
    <col min="1" max="1" width="39.77734375" style="449" customWidth="1"/>
    <col min="2" max="2" width="30.109375" style="452" customWidth="1"/>
    <col min="3" max="3" width="15.88671875" style="452" customWidth="1"/>
    <col min="4" max="4" width="13.6640625" style="532" customWidth="1"/>
    <col min="5" max="5" width="30" style="1333" customWidth="1"/>
    <col min="6" max="6" width="30" style="1334" customWidth="1"/>
    <col min="7" max="7" width="28.88671875" style="1333" customWidth="1"/>
    <col min="8" max="8" width="39.21875" style="1335" customWidth="1"/>
    <col min="9" max="9" width="16.109375" style="1333" customWidth="1"/>
    <col min="10" max="10" width="24" style="1336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337</v>
      </c>
      <c r="B2" s="1028">
        <v>44358</v>
      </c>
      <c r="C2" s="1394" t="s">
        <v>111</v>
      </c>
      <c r="D2" s="606">
        <v>0.92</v>
      </c>
      <c r="E2" s="1263"/>
      <c r="F2" s="1263"/>
      <c r="G2" s="1263" t="s">
        <v>184</v>
      </c>
      <c r="H2" s="1263" t="s">
        <v>40</v>
      </c>
      <c r="I2" s="1263" t="s">
        <v>42</v>
      </c>
      <c r="J2" s="1264" t="s">
        <v>185</v>
      </c>
      <c r="N2" s="713"/>
    </row>
    <row r="3" spans="1:16" s="278" customFormat="1" ht="27">
      <c r="A3" s="565"/>
      <c r="B3" s="609"/>
      <c r="C3" s="1394" t="s">
        <v>186</v>
      </c>
      <c r="D3" s="607">
        <v>29</v>
      </c>
      <c r="E3" s="1513" t="s">
        <v>187</v>
      </c>
      <c r="F3" s="1514"/>
      <c r="G3" s="1265"/>
      <c r="H3" s="1266"/>
      <c r="I3" s="1266"/>
      <c r="J3" s="1267"/>
      <c r="K3" s="368"/>
      <c r="L3" s="289"/>
      <c r="N3" s="713"/>
    </row>
    <row r="4" spans="1:16" s="278" customFormat="1" ht="27">
      <c r="A4" s="571"/>
      <c r="B4" s="611"/>
      <c r="C4" s="1394" t="s">
        <v>188</v>
      </c>
      <c r="D4" s="606">
        <v>0.8</v>
      </c>
      <c r="E4" s="1268"/>
      <c r="F4" s="1268"/>
      <c r="G4" s="1268"/>
      <c r="H4" s="1268"/>
      <c r="I4" s="1269"/>
      <c r="J4" s="1267"/>
      <c r="K4" s="369"/>
      <c r="L4" s="289"/>
      <c r="N4" s="713"/>
    </row>
    <row r="5" spans="1:16">
      <c r="A5" s="572" t="s">
        <v>189</v>
      </c>
      <c r="B5" s="454"/>
      <c r="C5" s="454"/>
      <c r="D5" s="506" t="s">
        <v>190</v>
      </c>
      <c r="E5" s="1270" t="s">
        <v>191</v>
      </c>
      <c r="F5" s="1270" t="s">
        <v>177</v>
      </c>
      <c r="G5" s="1271" t="s">
        <v>192</v>
      </c>
      <c r="H5" s="1270" t="s">
        <v>193</v>
      </c>
      <c r="I5" s="1104" t="s">
        <v>194</v>
      </c>
      <c r="J5" s="1272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1273"/>
      <c r="F6" s="1273"/>
      <c r="G6" s="1273"/>
      <c r="H6" s="622"/>
      <c r="I6" s="622"/>
      <c r="J6" s="1274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1275">
        <f>'10'!F7</f>
        <v>516715</v>
      </c>
      <c r="F7" s="702">
        <v>533846</v>
      </c>
      <c r="G7" s="1276">
        <f>F7-E7</f>
        <v>17131</v>
      </c>
      <c r="H7" s="745">
        <f>G7+'10'!H7</f>
        <v>189434</v>
      </c>
      <c r="I7" s="1277">
        <v>12000</v>
      </c>
      <c r="J7" s="1278">
        <f>H7/DAY(B2)</f>
        <v>17221.272727272728</v>
      </c>
      <c r="K7" s="544"/>
      <c r="L7" s="374"/>
      <c r="N7" s="714"/>
      <c r="P7" s="717"/>
    </row>
    <row r="8" spans="1:16" ht="27.75" thickBot="1">
      <c r="A8" s="678" t="s">
        <v>199</v>
      </c>
      <c r="B8" s="679"/>
      <c r="C8" s="680"/>
      <c r="D8" s="681" t="s">
        <v>59</v>
      </c>
      <c r="E8" s="1275">
        <f>'10'!F8</f>
        <v>519534</v>
      </c>
      <c r="F8" s="1279">
        <v>536722</v>
      </c>
      <c r="G8" s="1276">
        <f t="shared" ref="G8:G12" si="0">F8-E8</f>
        <v>17188</v>
      </c>
      <c r="H8" s="745">
        <f>G8+'10'!H8</f>
        <v>190212</v>
      </c>
      <c r="I8" s="1280">
        <v>12000</v>
      </c>
      <c r="J8" s="1278">
        <f>H8/DAY(B2)</f>
        <v>17292</v>
      </c>
      <c r="K8" s="544"/>
      <c r="L8" s="421"/>
      <c r="M8" s="435"/>
      <c r="N8" s="714"/>
      <c r="P8" s="379"/>
    </row>
    <row r="9" spans="1:16">
      <c r="A9" s="683" t="s">
        <v>200</v>
      </c>
      <c r="B9" s="684"/>
      <c r="C9" s="684"/>
      <c r="D9" s="633" t="s">
        <v>198</v>
      </c>
      <c r="E9" s="1275">
        <f>'10'!F9</f>
        <v>1640552</v>
      </c>
      <c r="F9" s="647">
        <v>1657132</v>
      </c>
      <c r="G9" s="1281">
        <f t="shared" si="0"/>
        <v>16580</v>
      </c>
      <c r="H9" s="745">
        <f>G9+'10'!H9</f>
        <v>183442</v>
      </c>
      <c r="I9" s="745">
        <f>I7-J7</f>
        <v>-5221.2727272727279</v>
      </c>
      <c r="J9" s="1278">
        <f>H9/DAY(B2)</f>
        <v>16676.545454545456</v>
      </c>
      <c r="K9" s="424"/>
      <c r="L9" s="374"/>
      <c r="N9" s="714"/>
      <c r="P9" s="379"/>
    </row>
    <row r="10" spans="1:16">
      <c r="A10" s="672" t="s">
        <v>201</v>
      </c>
      <c r="B10" s="673"/>
      <c r="C10" s="673"/>
      <c r="D10" s="633" t="s">
        <v>198</v>
      </c>
      <c r="E10" s="1275">
        <f>'10'!F10</f>
        <v>2606.5500000000002</v>
      </c>
      <c r="F10" s="647">
        <v>2606.5500000000002</v>
      </c>
      <c r="G10" s="1276">
        <f t="shared" si="0"/>
        <v>0</v>
      </c>
      <c r="H10" s="745">
        <f>G10+'10'!H10</f>
        <v>0.42000000000007276</v>
      </c>
      <c r="I10" s="1282"/>
      <c r="J10" s="1278">
        <f>H10/DAY(B2)</f>
        <v>3.8181818181824798E-2</v>
      </c>
      <c r="K10" s="424"/>
      <c r="L10" s="374"/>
      <c r="N10" s="714"/>
      <c r="P10" s="379"/>
    </row>
    <row r="11" spans="1:16">
      <c r="A11" s="672" t="s">
        <v>202</v>
      </c>
      <c r="B11" s="673"/>
      <c r="C11" s="673"/>
      <c r="D11" s="633" t="s">
        <v>198</v>
      </c>
      <c r="E11" s="1275">
        <f>'10'!F11</f>
        <v>37000</v>
      </c>
      <c r="F11" s="702">
        <v>37000</v>
      </c>
      <c r="G11" s="1276">
        <f t="shared" si="0"/>
        <v>0</v>
      </c>
      <c r="H11" s="745">
        <f>G11+'10'!H11</f>
        <v>0</v>
      </c>
      <c r="I11" s="1282"/>
      <c r="J11" s="1278">
        <f>H11/DAY(B2)</f>
        <v>0</v>
      </c>
      <c r="K11" s="424"/>
      <c r="L11" s="374"/>
      <c r="N11" s="714"/>
      <c r="P11" s="379"/>
    </row>
    <row r="12" spans="1:16">
      <c r="A12" s="672" t="s">
        <v>203</v>
      </c>
      <c r="B12" s="673"/>
      <c r="C12" s="673"/>
      <c r="D12" s="633" t="s">
        <v>198</v>
      </c>
      <c r="E12" s="1275">
        <f>'10'!F12</f>
        <v>40010</v>
      </c>
      <c r="F12" s="647">
        <v>40010</v>
      </c>
      <c r="G12" s="1276">
        <f t="shared" si="0"/>
        <v>0</v>
      </c>
      <c r="H12" s="745">
        <f>G12+'10'!H12</f>
        <v>0</v>
      </c>
      <c r="I12" s="1282"/>
      <c r="J12" s="1278">
        <f>H12/DAY(B2)</f>
        <v>0</v>
      </c>
      <c r="K12" s="424"/>
      <c r="L12" s="374"/>
      <c r="N12" s="714"/>
      <c r="P12" s="379"/>
    </row>
    <row r="13" spans="1:16">
      <c r="A13" s="688" t="s">
        <v>204</v>
      </c>
      <c r="B13" s="689"/>
      <c r="C13" s="689"/>
      <c r="D13" s="633"/>
      <c r="E13" s="1275"/>
      <c r="F13" s="702"/>
      <c r="G13" s="1276">
        <f>G9+G10+G11+G12</f>
        <v>16580</v>
      </c>
      <c r="H13" s="745">
        <f>G13+'9'!H13</f>
        <v>166917.41999999998</v>
      </c>
      <c r="I13" s="1275">
        <f>G7-G13</f>
        <v>551</v>
      </c>
      <c r="J13" s="1278">
        <f>H13/DAY(B2)</f>
        <v>15174.310909090907</v>
      </c>
      <c r="K13" s="424"/>
      <c r="L13" s="374"/>
      <c r="N13" s="714"/>
      <c r="P13" s="379"/>
    </row>
    <row r="14" spans="1:16">
      <c r="A14" s="1471" t="s">
        <v>205</v>
      </c>
      <c r="B14" s="1472"/>
      <c r="C14" s="1473"/>
      <c r="D14" s="467"/>
      <c r="E14" s="622"/>
      <c r="F14" s="622"/>
      <c r="G14" s="643"/>
      <c r="H14" s="622"/>
      <c r="I14" s="622"/>
      <c r="J14" s="1274"/>
      <c r="K14" s="425"/>
      <c r="L14" s="374"/>
      <c r="N14" s="714"/>
      <c r="P14" s="379"/>
    </row>
    <row r="15" spans="1:16">
      <c r="A15" s="788" t="s">
        <v>133</v>
      </c>
      <c r="B15" s="789"/>
      <c r="C15" s="789"/>
      <c r="D15" s="519" t="s">
        <v>206</v>
      </c>
      <c r="E15" s="647">
        <f>'10'!F15</f>
        <v>1689137</v>
      </c>
      <c r="F15" s="647">
        <v>1689635</v>
      </c>
      <c r="G15" s="648">
        <f>(F15-E15)</f>
        <v>498</v>
      </c>
      <c r="H15" s="701">
        <f>G15+'10'!H15</f>
        <v>5111</v>
      </c>
      <c r="I15" s="1284">
        <v>800</v>
      </c>
      <c r="J15" s="703">
        <f>H15/DAY(B2)</f>
        <v>464.63636363636363</v>
      </c>
      <c r="K15" s="424"/>
      <c r="L15" s="374"/>
      <c r="N15" s="714"/>
      <c r="P15" s="379"/>
    </row>
    <row r="16" spans="1:16">
      <c r="A16" s="582"/>
      <c r="B16" s="583"/>
      <c r="C16" s="583"/>
      <c r="D16" s="519"/>
      <c r="E16" s="647"/>
      <c r="F16" s="647"/>
      <c r="G16" s="1283"/>
      <c r="H16" s="701"/>
      <c r="I16" s="702">
        <f>I15-J15</f>
        <v>335.36363636363637</v>
      </c>
      <c r="J16" s="703"/>
      <c r="K16" s="424"/>
      <c r="L16" s="374"/>
      <c r="N16" s="714"/>
      <c r="P16" s="379"/>
    </row>
    <row r="17" spans="1:16">
      <c r="A17" s="1471" t="s">
        <v>207</v>
      </c>
      <c r="B17" s="1472"/>
      <c r="C17" s="1473"/>
      <c r="D17" s="467"/>
      <c r="E17" s="622"/>
      <c r="F17" s="622"/>
      <c r="G17" s="745"/>
      <c r="H17" s="622"/>
      <c r="I17" s="622"/>
      <c r="J17" s="1274"/>
      <c r="K17" s="424"/>
      <c r="L17" s="374"/>
      <c r="N17" s="714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1">
        <f>'10'!F18</f>
        <v>2</v>
      </c>
      <c r="F18" s="647">
        <v>4</v>
      </c>
      <c r="G18" s="1276">
        <f>F18*10</f>
        <v>40</v>
      </c>
      <c r="H18" s="745">
        <f>G18+'10'!H18</f>
        <v>570</v>
      </c>
      <c r="I18" s="1277">
        <v>65</v>
      </c>
      <c r="J18" s="1278">
        <f>H18/DAY(B2)</f>
        <v>51.81818181818182</v>
      </c>
      <c r="K18" s="424"/>
      <c r="L18" s="374"/>
      <c r="N18" s="714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1">
        <f>'10'!F19</f>
        <v>140240</v>
      </c>
      <c r="F19" s="647">
        <v>140303</v>
      </c>
      <c r="G19" s="1276">
        <f t="shared" ref="G19" si="1">F19-E19</f>
        <v>63</v>
      </c>
      <c r="H19" s="745">
        <f>G19+'10'!H19</f>
        <v>691</v>
      </c>
      <c r="I19" s="1285"/>
      <c r="J19" s="1278">
        <f>H19/DAY(B2)</f>
        <v>62.81818181818182</v>
      </c>
      <c r="K19" s="424"/>
      <c r="L19" s="374"/>
      <c r="N19" s="714"/>
      <c r="P19" s="379"/>
    </row>
    <row r="20" spans="1:16">
      <c r="A20" s="688" t="s">
        <v>210</v>
      </c>
      <c r="B20" s="689"/>
      <c r="C20" s="689"/>
      <c r="D20" s="633"/>
      <c r="E20" s="643"/>
      <c r="F20" s="622"/>
      <c r="G20" s="1286">
        <f>G18+G19</f>
        <v>103</v>
      </c>
      <c r="H20" s="745">
        <f>G20+'10'!H20</f>
        <v>1261</v>
      </c>
      <c r="I20" s="1287">
        <f>I18-J20</f>
        <v>-49.63636363636364</v>
      </c>
      <c r="J20" s="1278">
        <f>H20/DAY(B2)</f>
        <v>114.63636363636364</v>
      </c>
      <c r="K20" s="424"/>
      <c r="L20" s="374"/>
      <c r="N20" s="714"/>
      <c r="P20" s="379"/>
    </row>
    <row r="21" spans="1:16">
      <c r="A21" s="1471" t="s">
        <v>211</v>
      </c>
      <c r="B21" s="1472"/>
      <c r="C21" s="1473"/>
      <c r="D21" s="467"/>
      <c r="E21" s="622"/>
      <c r="F21" s="622"/>
      <c r="G21" s="643"/>
      <c r="H21" s="622"/>
      <c r="I21" s="622"/>
      <c r="J21" s="1274"/>
      <c r="K21" s="424"/>
      <c r="L21" s="374"/>
      <c r="N21" s="714"/>
      <c r="P21" s="379"/>
    </row>
    <row r="22" spans="1:16">
      <c r="A22" s="1392" t="s">
        <v>212</v>
      </c>
      <c r="B22" s="584"/>
      <c r="C22" s="584"/>
      <c r="D22" s="518" t="s">
        <v>213</v>
      </c>
      <c r="E22" s="631">
        <f>'10'!F22</f>
        <v>2970</v>
      </c>
      <c r="F22" s="647">
        <v>2970</v>
      </c>
      <c r="G22" s="648">
        <f t="shared" ref="G22" si="2">(F22-E22)</f>
        <v>0</v>
      </c>
      <c r="H22" s="701">
        <f>G22+'10'!H22</f>
        <v>0</v>
      </c>
      <c r="I22" s="1068"/>
      <c r="J22" s="703">
        <f>H22/DAY(B2)</f>
        <v>0</v>
      </c>
      <c r="K22" s="424"/>
      <c r="L22" s="374"/>
      <c r="N22" s="714"/>
      <c r="P22" s="379"/>
    </row>
    <row r="23" spans="1:16">
      <c r="A23" s="1392" t="s">
        <v>214</v>
      </c>
      <c r="B23" s="584"/>
      <c r="C23" s="584"/>
      <c r="D23" s="518" t="s">
        <v>213</v>
      </c>
      <c r="E23" s="631">
        <f>'10'!F23</f>
        <v>2000</v>
      </c>
      <c r="F23" s="647">
        <v>2000</v>
      </c>
      <c r="G23" s="648">
        <v>0</v>
      </c>
      <c r="H23" s="701">
        <f>G23+'10'!H23</f>
        <v>120</v>
      </c>
      <c r="I23" s="1068"/>
      <c r="J23" s="703">
        <f>H23/DAY(B2)</f>
        <v>10.909090909090908</v>
      </c>
      <c r="K23" s="424"/>
      <c r="L23" s="374"/>
      <c r="N23" s="714"/>
      <c r="P23" s="379"/>
    </row>
    <row r="24" spans="1:16">
      <c r="A24" s="585" t="s">
        <v>215</v>
      </c>
      <c r="B24" s="586"/>
      <c r="C24" s="586"/>
      <c r="D24" s="506" t="s">
        <v>213</v>
      </c>
      <c r="E24" s="1288">
        <f>'10'!F24</f>
        <v>4970</v>
      </c>
      <c r="F24" s="647">
        <v>4970</v>
      </c>
      <c r="G24" s="648">
        <v>0</v>
      </c>
      <c r="H24" s="701">
        <f>G24+'10'!H24</f>
        <v>120</v>
      </c>
      <c r="I24" s="1068"/>
      <c r="J24" s="703">
        <f>H24/DAY(B2)</f>
        <v>10.909090909090908</v>
      </c>
      <c r="K24" s="424"/>
      <c r="L24" s="374"/>
      <c r="N24" s="714"/>
      <c r="P24" s="379"/>
    </row>
    <row r="25" spans="1:16" s="437" customFormat="1" ht="27">
      <c r="A25" s="1476" t="s">
        <v>216</v>
      </c>
      <c r="B25" s="1477"/>
      <c r="C25" s="1478"/>
      <c r="D25" s="466"/>
      <c r="E25" s="1273"/>
      <c r="F25" s="1273"/>
      <c r="G25" s="1289"/>
      <c r="H25" s="1104"/>
      <c r="I25" s="1290"/>
      <c r="J25" s="1291"/>
      <c r="K25" s="370"/>
      <c r="L25" s="438"/>
      <c r="N25" s="714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1292"/>
      <c r="F26" s="702"/>
      <c r="G26" s="1293"/>
      <c r="H26" s="701"/>
      <c r="I26" s="1294"/>
      <c r="J26" s="703"/>
      <c r="K26" s="371"/>
      <c r="L26" s="438"/>
      <c r="N26" s="714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1295">
        <f>G8</f>
        <v>17188</v>
      </c>
      <c r="F27" s="1296">
        <v>9</v>
      </c>
      <c r="G27" s="1297">
        <f>E27*F27</f>
        <v>154692</v>
      </c>
      <c r="H27" s="701">
        <f>G27+'10'!H27</f>
        <v>1711071</v>
      </c>
      <c r="I27" s="1298"/>
      <c r="J27" s="703">
        <f>H27/DAY(B2)</f>
        <v>155551.90909090909</v>
      </c>
      <c r="K27" s="370"/>
      <c r="L27" s="438"/>
      <c r="N27" s="714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1295">
        <f>G15</f>
        <v>498</v>
      </c>
      <c r="F28" s="496">
        <v>52</v>
      </c>
      <c r="G28" s="1297">
        <f>E28*F28</f>
        <v>25896</v>
      </c>
      <c r="H28" s="701">
        <f>G28+'10'!H28</f>
        <v>265772</v>
      </c>
      <c r="I28" s="1299"/>
      <c r="J28" s="703">
        <f>H28/DAY(B2)</f>
        <v>24161.090909090908</v>
      </c>
      <c r="K28" s="370"/>
      <c r="L28" s="438"/>
      <c r="N28" s="714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1295">
        <f>G24</f>
        <v>0</v>
      </c>
      <c r="F29" s="1296">
        <v>69</v>
      </c>
      <c r="G29" s="1297">
        <f>E29*F29</f>
        <v>0</v>
      </c>
      <c r="H29" s="701">
        <f>G29+'10'!H29</f>
        <v>8280</v>
      </c>
      <c r="I29" s="1299"/>
      <c r="J29" s="703">
        <f>H29/DAY(B2)</f>
        <v>752.72727272727275</v>
      </c>
      <c r="K29" s="370"/>
      <c r="L29" s="438"/>
      <c r="N29" s="714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1295">
        <f>G19</f>
        <v>63</v>
      </c>
      <c r="F30" s="1296">
        <v>146</v>
      </c>
      <c r="G30" s="1297">
        <f>E30*F30</f>
        <v>9198</v>
      </c>
      <c r="H30" s="701">
        <f>G30+'10'!H30</f>
        <v>100886</v>
      </c>
      <c r="I30" s="1299"/>
      <c r="J30" s="703">
        <f>H30/DAY(B2)</f>
        <v>9171.454545454546</v>
      </c>
      <c r="K30" s="370"/>
      <c r="L30" s="438"/>
      <c r="N30" s="714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1295">
        <f>G18</f>
        <v>40</v>
      </c>
      <c r="F31" s="1296">
        <v>80</v>
      </c>
      <c r="G31" s="1297">
        <f>E31*F31</f>
        <v>3200</v>
      </c>
      <c r="H31" s="701">
        <f>G31+'10'!H31</f>
        <v>45600</v>
      </c>
      <c r="I31" s="1299"/>
      <c r="J31" s="703">
        <f>H31/DAY(B2)</f>
        <v>4145.454545454545</v>
      </c>
      <c r="K31" s="370"/>
      <c r="L31" s="438"/>
      <c r="N31" s="714"/>
      <c r="P31" s="379"/>
    </row>
    <row r="32" spans="1:16" s="437" customFormat="1" ht="27.75">
      <c r="A32" s="590" t="s">
        <v>226</v>
      </c>
      <c r="B32" s="591"/>
      <c r="C32" s="592"/>
      <c r="D32" s="502"/>
      <c r="E32" s="1300"/>
      <c r="F32" s="622"/>
      <c r="G32" s="1301">
        <f>G27+G28+G29+G30+G31</f>
        <v>192986</v>
      </c>
      <c r="H32" s="701">
        <f>G32+'10'!H32</f>
        <v>2131609</v>
      </c>
      <c r="I32" s="1302"/>
      <c r="J32" s="703">
        <f>H32/DAY(B2)</f>
        <v>193782.63636363635</v>
      </c>
      <c r="K32" s="370"/>
      <c r="L32" s="438"/>
      <c r="N32" s="714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P33" s="379"/>
    </row>
    <row r="34" spans="1:16">
      <c r="A34" s="593" t="s">
        <v>228</v>
      </c>
      <c r="B34" s="1397"/>
      <c r="C34" s="1397"/>
      <c r="D34" s="467"/>
      <c r="E34" s="1273"/>
      <c r="F34" s="1273"/>
      <c r="G34" s="622"/>
      <c r="H34" s="622"/>
      <c r="I34" s="622"/>
      <c r="J34" s="1274"/>
      <c r="K34" s="424"/>
      <c r="L34" s="374"/>
      <c r="N34" s="714"/>
      <c r="P34" s="379"/>
    </row>
    <row r="35" spans="1:16">
      <c r="A35" s="573" t="s">
        <v>229</v>
      </c>
      <c r="B35" s="574"/>
      <c r="C35" s="574"/>
      <c r="D35" s="518" t="s">
        <v>198</v>
      </c>
      <c r="E35" s="649">
        <f>'10'!F35</f>
        <v>974533</v>
      </c>
      <c r="F35" s="649">
        <v>976723</v>
      </c>
      <c r="G35" s="648">
        <f t="shared" ref="G35:G46" si="3">F35-E35</f>
        <v>2190</v>
      </c>
      <c r="H35" s="701">
        <f>G35+'10'!H35</f>
        <v>26235</v>
      </c>
      <c r="I35" s="702"/>
      <c r="J35" s="703">
        <f>H35/DAY(B2)</f>
        <v>2385</v>
      </c>
      <c r="K35" s="424"/>
      <c r="L35" s="374"/>
      <c r="N35" s="714"/>
      <c r="P35" s="379"/>
    </row>
    <row r="36" spans="1:16">
      <c r="A36" s="573" t="s">
        <v>230</v>
      </c>
      <c r="B36" s="574"/>
      <c r="C36" s="574"/>
      <c r="D36" s="518" t="s">
        <v>198</v>
      </c>
      <c r="E36" s="649">
        <f>'10'!F36</f>
        <v>5832</v>
      </c>
      <c r="F36" s="649">
        <v>6410</v>
      </c>
      <c r="G36" s="648">
        <f t="shared" si="3"/>
        <v>578</v>
      </c>
      <c r="H36" s="701">
        <f>G36+'10'!H36</f>
        <v>6237</v>
      </c>
      <c r="I36" s="702"/>
      <c r="J36" s="703">
        <f>H36/DAY(B2)</f>
        <v>567</v>
      </c>
      <c r="K36" s="424"/>
      <c r="L36" s="374"/>
      <c r="N36" s="715"/>
      <c r="P36" s="379"/>
    </row>
    <row r="37" spans="1:16">
      <c r="A37" s="573" t="s">
        <v>231</v>
      </c>
      <c r="B37" s="574"/>
      <c r="C37" s="574"/>
      <c r="D37" s="518" t="s">
        <v>198</v>
      </c>
      <c r="E37" s="649">
        <f>'10'!F37</f>
        <v>147442</v>
      </c>
      <c r="F37" s="649">
        <v>148828</v>
      </c>
      <c r="G37" s="648">
        <f t="shared" si="3"/>
        <v>1386</v>
      </c>
      <c r="H37" s="701">
        <f>G37+'10'!H37</f>
        <v>14592</v>
      </c>
      <c r="I37" s="702"/>
      <c r="J37" s="703">
        <f>H37/DAY(B2)</f>
        <v>1326.5454545454545</v>
      </c>
      <c r="K37" s="424"/>
      <c r="L37" s="374"/>
      <c r="N37" s="715"/>
      <c r="P37" s="379"/>
    </row>
    <row r="38" spans="1:16">
      <c r="A38" s="573" t="s">
        <v>232</v>
      </c>
      <c r="B38" s="574"/>
      <c r="C38" s="574"/>
      <c r="D38" s="518" t="s">
        <v>198</v>
      </c>
      <c r="E38" s="649">
        <f>'10'!F38</f>
        <v>168598</v>
      </c>
      <c r="F38" s="1270">
        <v>169782</v>
      </c>
      <c r="G38" s="648">
        <f t="shared" si="3"/>
        <v>1184</v>
      </c>
      <c r="H38" s="701">
        <f>G38+'10'!H38</f>
        <v>13377</v>
      </c>
      <c r="I38" s="702"/>
      <c r="J38" s="703">
        <f>H38/DAY(B2)</f>
        <v>1216.090909090909</v>
      </c>
      <c r="K38" s="424"/>
      <c r="L38" s="374"/>
      <c r="N38" s="714"/>
      <c r="P38" s="379"/>
    </row>
    <row r="39" spans="1:16">
      <c r="A39" s="573" t="s">
        <v>233</v>
      </c>
      <c r="B39" s="574"/>
      <c r="C39" s="574"/>
      <c r="D39" s="518" t="s">
        <v>198</v>
      </c>
      <c r="E39" s="649">
        <f>'10'!F39</f>
        <v>335345</v>
      </c>
      <c r="F39" s="649">
        <v>338578</v>
      </c>
      <c r="G39" s="648">
        <f t="shared" si="3"/>
        <v>3233</v>
      </c>
      <c r="H39" s="701">
        <f>G39+'10'!H39</f>
        <v>30405</v>
      </c>
      <c r="I39" s="702"/>
      <c r="J39" s="703">
        <f>H39/DAY(B2)</f>
        <v>2764.090909090909</v>
      </c>
      <c r="K39" s="424"/>
      <c r="L39" s="374"/>
      <c r="N39" s="714"/>
      <c r="P39" s="379"/>
    </row>
    <row r="40" spans="1:16">
      <c r="A40" s="594" t="s">
        <v>234</v>
      </c>
      <c r="B40" s="595"/>
      <c r="C40" s="595"/>
      <c r="D40" s="518" t="s">
        <v>198</v>
      </c>
      <c r="E40" s="649">
        <f>'10'!F40</f>
        <v>1057</v>
      </c>
      <c r="F40" s="649">
        <v>1057</v>
      </c>
      <c r="G40" s="648">
        <f t="shared" si="3"/>
        <v>0</v>
      </c>
      <c r="H40" s="701">
        <f>G40+'10'!H40</f>
        <v>168</v>
      </c>
      <c r="I40" s="702"/>
      <c r="J40" s="703">
        <f>H40/DAY(B2)</f>
        <v>15.272727272727273</v>
      </c>
      <c r="K40" s="425"/>
      <c r="L40" s="374"/>
      <c r="N40" s="714"/>
      <c r="P40" s="379"/>
    </row>
    <row r="41" spans="1:16">
      <c r="A41" s="573" t="s">
        <v>235</v>
      </c>
      <c r="B41" s="574"/>
      <c r="C41" s="574"/>
      <c r="D41" s="518" t="s">
        <v>198</v>
      </c>
      <c r="E41" s="649">
        <f>'10'!F41</f>
        <v>258284</v>
      </c>
      <c r="F41" s="649">
        <v>263103</v>
      </c>
      <c r="G41" s="648">
        <f t="shared" si="3"/>
        <v>4819</v>
      </c>
      <c r="H41" s="701">
        <f>G41+'10'!H41</f>
        <v>22625</v>
      </c>
      <c r="I41" s="702"/>
      <c r="J41" s="703">
        <f>H41/DAY(B2)</f>
        <v>2056.818181818182</v>
      </c>
      <c r="K41" s="424"/>
      <c r="L41" s="374"/>
      <c r="N41" s="714"/>
      <c r="P41" s="717"/>
    </row>
    <row r="42" spans="1:16">
      <c r="A42" s="573" t="s">
        <v>236</v>
      </c>
      <c r="B42" s="574"/>
      <c r="C42" s="574"/>
      <c r="D42" s="518" t="s">
        <v>198</v>
      </c>
      <c r="E42" s="649">
        <f>'10'!F42</f>
        <v>59211</v>
      </c>
      <c r="F42" s="649">
        <v>59211</v>
      </c>
      <c r="G42" s="648">
        <f t="shared" si="3"/>
        <v>0</v>
      </c>
      <c r="H42" s="701">
        <f>G42+'10'!H42</f>
        <v>12.029999999998836</v>
      </c>
      <c r="I42" s="702"/>
      <c r="J42" s="703">
        <f>H42/DAY(B2)</f>
        <v>1.0936363636362578</v>
      </c>
      <c r="K42" s="424"/>
      <c r="L42" s="374"/>
      <c r="N42" s="714"/>
      <c r="P42" s="379"/>
    </row>
    <row r="43" spans="1:16">
      <c r="A43" s="573" t="s">
        <v>237</v>
      </c>
      <c r="B43" s="574"/>
      <c r="C43" s="574"/>
      <c r="D43" s="518" t="s">
        <v>198</v>
      </c>
      <c r="E43" s="649">
        <f>'10'!F43</f>
        <v>1066309</v>
      </c>
      <c r="F43" s="649">
        <v>1068744</v>
      </c>
      <c r="G43" s="648">
        <f>F43-E43</f>
        <v>2435</v>
      </c>
      <c r="H43" s="701">
        <f>G43+'10'!H43</f>
        <v>26500</v>
      </c>
      <c r="I43" s="702"/>
      <c r="J43" s="703">
        <f>H43/DAY(B2)</f>
        <v>2409.090909090909</v>
      </c>
      <c r="K43" s="424"/>
      <c r="L43" s="374"/>
      <c r="N43" s="714"/>
      <c r="P43" s="379"/>
    </row>
    <row r="44" spans="1:16">
      <c r="A44" s="573" t="s">
        <v>238</v>
      </c>
      <c r="B44" s="574"/>
      <c r="C44" s="574"/>
      <c r="D44" s="518" t="s">
        <v>198</v>
      </c>
      <c r="E44" s="649">
        <f>'10'!F44</f>
        <v>0</v>
      </c>
      <c r="F44" s="649">
        <v>0</v>
      </c>
      <c r="G44" s="648">
        <f t="shared" si="3"/>
        <v>0</v>
      </c>
      <c r="H44" s="701">
        <f>G44+'10'!H44</f>
        <v>0</v>
      </c>
      <c r="I44" s="702"/>
      <c r="J44" s="703">
        <f>H44/DAY(B2)</f>
        <v>0</v>
      </c>
      <c r="K44" s="424"/>
      <c r="L44" s="374"/>
      <c r="N44" s="714"/>
      <c r="P44" s="379"/>
    </row>
    <row r="45" spans="1:16">
      <c r="A45" s="573" t="s">
        <v>239</v>
      </c>
      <c r="B45" s="574"/>
      <c r="C45" s="574"/>
      <c r="D45" s="518" t="s">
        <v>198</v>
      </c>
      <c r="E45" s="649">
        <f>'10'!F45</f>
        <v>614</v>
      </c>
      <c r="F45" s="649">
        <v>614</v>
      </c>
      <c r="G45" s="648">
        <f t="shared" si="3"/>
        <v>0</v>
      </c>
      <c r="H45" s="701">
        <f>G45+'10'!H45</f>
        <v>0</v>
      </c>
      <c r="I45" s="702"/>
      <c r="J45" s="703">
        <f>H45/DAY(B2)</f>
        <v>0</v>
      </c>
      <c r="K45" s="424"/>
      <c r="L45" s="374"/>
      <c r="N45" s="714"/>
      <c r="P45" s="379"/>
    </row>
    <row r="46" spans="1:16">
      <c r="A46" s="573" t="s">
        <v>240</v>
      </c>
      <c r="B46" s="574"/>
      <c r="C46" s="574"/>
      <c r="D46" s="518" t="s">
        <v>198</v>
      </c>
      <c r="E46" s="649">
        <f>'10'!F46</f>
        <v>187</v>
      </c>
      <c r="F46" s="649">
        <v>187.49</v>
      </c>
      <c r="G46" s="648">
        <f t="shared" si="3"/>
        <v>0.49000000000000909</v>
      </c>
      <c r="H46" s="701">
        <f>G46+'10'!H46</f>
        <v>0.49000000000000909</v>
      </c>
      <c r="I46" s="702"/>
      <c r="J46" s="703">
        <f>H46/DAY(B2)</f>
        <v>4.4545454545455374E-2</v>
      </c>
      <c r="K46" s="424"/>
      <c r="L46" s="374"/>
      <c r="N46" s="714"/>
      <c r="P46" s="379"/>
    </row>
    <row r="47" spans="1:16">
      <c r="A47" s="580" t="s">
        <v>241</v>
      </c>
      <c r="B47" s="581"/>
      <c r="C47" s="581"/>
      <c r="D47" s="465"/>
      <c r="E47" s="1273"/>
      <c r="F47" s="1273"/>
      <c r="G47" s="648">
        <f>G35+G36+G37+G38+G39+G40+G41+G42+G43+G44+G45+G46</f>
        <v>15825.49</v>
      </c>
      <c r="H47" s="701">
        <f>G47+'10'!H47</f>
        <v>140151.51999999999</v>
      </c>
      <c r="I47" s="702"/>
      <c r="J47" s="703">
        <f>H47/DAY(B2)</f>
        <v>12741.047272727272</v>
      </c>
      <c r="K47" s="424"/>
      <c r="L47" s="374"/>
      <c r="N47" s="714"/>
      <c r="P47" s="379"/>
    </row>
    <row r="48" spans="1:16">
      <c r="A48" s="593" t="s">
        <v>242</v>
      </c>
      <c r="B48" s="1397"/>
      <c r="C48" s="1397"/>
      <c r="D48" s="467"/>
      <c r="E48" s="1273"/>
      <c r="F48" s="1273"/>
      <c r="G48" s="622"/>
      <c r="H48" s="622"/>
      <c r="I48" s="622"/>
      <c r="J48" s="1274"/>
      <c r="K48" s="424"/>
      <c r="L48" s="374"/>
      <c r="N48" s="714"/>
      <c r="P48" s="379"/>
    </row>
    <row r="49" spans="1:16">
      <c r="A49" s="573" t="s">
        <v>229</v>
      </c>
      <c r="B49" s="596"/>
      <c r="C49" s="596"/>
      <c r="D49" s="518" t="s">
        <v>198</v>
      </c>
      <c r="E49" s="649">
        <f>'10'!F49</f>
        <v>260732.13</v>
      </c>
      <c r="F49" s="649">
        <v>260732.13</v>
      </c>
      <c r="G49" s="648">
        <f t="shared" ref="G49:G58" si="4">F49-E49</f>
        <v>0</v>
      </c>
      <c r="H49" s="701">
        <f>G49+'9'!H49</f>
        <v>0.13000000000465661</v>
      </c>
      <c r="I49" s="702"/>
      <c r="J49" s="703">
        <f>H49/DAY(B2)</f>
        <v>1.1818181818605146E-2</v>
      </c>
      <c r="K49" s="424"/>
      <c r="L49" s="374"/>
      <c r="N49" s="714"/>
      <c r="P49" s="379"/>
    </row>
    <row r="50" spans="1:16">
      <c r="A50" s="573" t="s">
        <v>243</v>
      </c>
      <c r="B50" s="596"/>
      <c r="C50" s="596"/>
      <c r="D50" s="518" t="s">
        <v>198</v>
      </c>
      <c r="E50" s="649">
        <f>'10'!F50</f>
        <v>511972</v>
      </c>
      <c r="F50" s="649">
        <v>512869</v>
      </c>
      <c r="G50" s="648">
        <f t="shared" si="4"/>
        <v>897</v>
      </c>
      <c r="H50" s="701">
        <f>G50+'9'!H50</f>
        <v>9443</v>
      </c>
      <c r="I50" s="702"/>
      <c r="J50" s="703">
        <f>H50/DAY(B2)</f>
        <v>858.4545454545455</v>
      </c>
      <c r="K50" s="424"/>
      <c r="L50" s="374"/>
      <c r="N50" s="714"/>
      <c r="P50" s="379"/>
    </row>
    <row r="51" spans="1:16">
      <c r="A51" s="573" t="s">
        <v>231</v>
      </c>
      <c r="B51" s="596"/>
      <c r="C51" s="596"/>
      <c r="D51" s="518" t="s">
        <v>198</v>
      </c>
      <c r="E51" s="649">
        <f>'10'!F51</f>
        <v>144639.87</v>
      </c>
      <c r="F51" s="649">
        <v>144639.87</v>
      </c>
      <c r="G51" s="648">
        <f t="shared" si="4"/>
        <v>0</v>
      </c>
      <c r="H51" s="701">
        <f>G51+'9'!H51</f>
        <v>-0.13000000000465661</v>
      </c>
      <c r="I51" s="702"/>
      <c r="J51" s="703">
        <f>H51/DAY(B2)</f>
        <v>-1.1818181818605146E-2</v>
      </c>
      <c r="K51" s="424"/>
      <c r="L51" s="374"/>
      <c r="N51" s="714"/>
      <c r="P51" s="379"/>
    </row>
    <row r="52" spans="1:16">
      <c r="A52" s="573" t="s">
        <v>244</v>
      </c>
      <c r="B52" s="596"/>
      <c r="C52" s="596"/>
      <c r="D52" s="518" t="s">
        <v>198</v>
      </c>
      <c r="E52" s="649">
        <f>'10'!F52</f>
        <v>539606.06999999995</v>
      </c>
      <c r="F52" s="649">
        <v>539606.06999999995</v>
      </c>
      <c r="G52" s="648">
        <f t="shared" si="4"/>
        <v>0</v>
      </c>
      <c r="H52" s="701">
        <f>G52+'9'!H52</f>
        <v>6.9999999948777258E-2</v>
      </c>
      <c r="I52" s="702"/>
      <c r="J52" s="703">
        <f>H52/DAY(B2)</f>
        <v>6.3636363589797511E-3</v>
      </c>
      <c r="K52" s="424"/>
      <c r="L52" s="374"/>
      <c r="N52" s="714"/>
      <c r="P52" s="379"/>
    </row>
    <row r="53" spans="1:16">
      <c r="A53" s="573" t="s">
        <v>233</v>
      </c>
      <c r="B53" s="596"/>
      <c r="C53" s="596"/>
      <c r="D53" s="518" t="s">
        <v>198</v>
      </c>
      <c r="E53" s="649">
        <f>'10'!F53</f>
        <v>434232</v>
      </c>
      <c r="F53" s="649">
        <v>434232</v>
      </c>
      <c r="G53" s="648">
        <f t="shared" si="4"/>
        <v>0</v>
      </c>
      <c r="H53" s="701">
        <f>G53+'9'!H53</f>
        <v>1663.6699999999837</v>
      </c>
      <c r="I53" s="702"/>
      <c r="J53" s="703">
        <f>H53/DAY(B2)</f>
        <v>151.2427272727258</v>
      </c>
      <c r="K53" s="424"/>
      <c r="L53" s="374"/>
      <c r="N53" s="714"/>
      <c r="P53" s="379"/>
    </row>
    <row r="54" spans="1:16">
      <c r="A54" s="573" t="s">
        <v>245</v>
      </c>
      <c r="B54" s="596"/>
      <c r="C54" s="596"/>
      <c r="D54" s="518" t="s">
        <v>198</v>
      </c>
      <c r="E54" s="649">
        <f>'10'!F54</f>
        <v>14579</v>
      </c>
      <c r="F54" s="649">
        <v>14661</v>
      </c>
      <c r="G54" s="648">
        <f t="shared" si="4"/>
        <v>82</v>
      </c>
      <c r="H54" s="701">
        <f>G54+'9'!H54</f>
        <v>832</v>
      </c>
      <c r="I54" s="702"/>
      <c r="J54" s="703">
        <f>H54/DAY(B2)</f>
        <v>75.63636363636364</v>
      </c>
      <c r="K54" s="424"/>
      <c r="L54" s="374"/>
      <c r="N54" s="714"/>
      <c r="P54" s="379"/>
    </row>
    <row r="55" spans="1:16">
      <c r="A55" s="573" t="s">
        <v>246</v>
      </c>
      <c r="B55" s="596"/>
      <c r="C55" s="596"/>
      <c r="D55" s="518" t="s">
        <v>198</v>
      </c>
      <c r="E55" s="649">
        <f>'10'!F55</f>
        <v>68136.52</v>
      </c>
      <c r="F55" s="649">
        <v>68136.52</v>
      </c>
      <c r="G55" s="648">
        <f t="shared" si="4"/>
        <v>0</v>
      </c>
      <c r="H55" s="701">
        <f>G55+'9'!H55</f>
        <v>25.520000000004075</v>
      </c>
      <c r="I55" s="702"/>
      <c r="J55" s="703">
        <f>H55/DAY(B2)</f>
        <v>2.3200000000003702</v>
      </c>
      <c r="K55" s="424"/>
      <c r="L55" s="374"/>
      <c r="N55" s="714"/>
      <c r="P55" s="379"/>
    </row>
    <row r="56" spans="1:16">
      <c r="A56" s="573" t="s">
        <v>247</v>
      </c>
      <c r="B56" s="596"/>
      <c r="C56" s="596"/>
      <c r="D56" s="518" t="s">
        <v>248</v>
      </c>
      <c r="E56" s="649">
        <f>'10'!F56</f>
        <v>648815</v>
      </c>
      <c r="F56" s="649">
        <v>648815</v>
      </c>
      <c r="G56" s="648">
        <f t="shared" si="4"/>
        <v>0</v>
      </c>
      <c r="H56" s="701">
        <f>G56+'9'!H56</f>
        <v>31617</v>
      </c>
      <c r="I56" s="702"/>
      <c r="J56" s="703">
        <f>H56/DAY(B2)</f>
        <v>2874.2727272727275</v>
      </c>
      <c r="K56" s="423"/>
      <c r="L56" s="374"/>
      <c r="N56" s="714"/>
      <c r="P56" s="379"/>
    </row>
    <row r="57" spans="1:16">
      <c r="A57" s="573" t="s">
        <v>237</v>
      </c>
      <c r="B57" s="596"/>
      <c r="C57" s="596"/>
      <c r="D57" s="518" t="s">
        <v>198</v>
      </c>
      <c r="E57" s="649">
        <f>'10'!F57</f>
        <v>7711</v>
      </c>
      <c r="F57" s="649">
        <v>7711</v>
      </c>
      <c r="G57" s="648">
        <f t="shared" si="4"/>
        <v>0</v>
      </c>
      <c r="H57" s="701">
        <f>G57+'9'!H57</f>
        <v>0</v>
      </c>
      <c r="I57" s="702"/>
      <c r="J57" s="703">
        <f>H57/DAY(B2)</f>
        <v>0</v>
      </c>
      <c r="K57" s="424"/>
      <c r="L57" s="374"/>
      <c r="N57" s="714"/>
      <c r="P57" s="379"/>
    </row>
    <row r="58" spans="1:16">
      <c r="A58" s="573" t="s">
        <v>249</v>
      </c>
      <c r="B58" s="596"/>
      <c r="C58" s="596"/>
      <c r="D58" s="518" t="s">
        <v>198</v>
      </c>
      <c r="E58" s="649">
        <f>'10'!F58</f>
        <v>50800</v>
      </c>
      <c r="F58" s="649">
        <v>50897</v>
      </c>
      <c r="G58" s="648">
        <f t="shared" si="4"/>
        <v>97</v>
      </c>
      <c r="H58" s="701">
        <f>G58+'9'!H58</f>
        <v>1032.7900000000009</v>
      </c>
      <c r="I58" s="702"/>
      <c r="J58" s="703">
        <f>H58/DAY(B2)</f>
        <v>93.890000000000086</v>
      </c>
      <c r="K58" s="424"/>
      <c r="L58" s="374"/>
      <c r="N58" s="714"/>
      <c r="P58" s="379"/>
    </row>
    <row r="59" spans="1:16">
      <c r="A59" s="580" t="s">
        <v>241</v>
      </c>
      <c r="B59" s="581"/>
      <c r="C59" s="581"/>
      <c r="D59" s="506"/>
      <c r="E59" s="1273"/>
      <c r="F59" s="1273"/>
      <c r="G59" s="648">
        <f>G49+G50+G51+G52+G53+G54+G55+G56+G57+G58</f>
        <v>1076</v>
      </c>
      <c r="H59" s="701">
        <f>G59+'9'!H59</f>
        <v>44614.049999999937</v>
      </c>
      <c r="I59" s="702">
        <f>G7-G60</f>
        <v>229.51000000000204</v>
      </c>
      <c r="J59" s="703">
        <f>H59/DAY(B2)</f>
        <v>4055.8227272727217</v>
      </c>
      <c r="K59" s="424"/>
      <c r="L59" s="374"/>
      <c r="N59" s="714"/>
      <c r="P59" s="379"/>
    </row>
    <row r="60" spans="1:16">
      <c r="A60" s="573"/>
      <c r="B60" s="574"/>
      <c r="C60" s="574"/>
      <c r="D60" s="506" t="s">
        <v>250</v>
      </c>
      <c r="E60" s="1273"/>
      <c r="F60" s="1273"/>
      <c r="G60" s="648">
        <f>G47+G59</f>
        <v>16901.489999999998</v>
      </c>
      <c r="H60" s="701">
        <f>G60+'10'!H60</f>
        <v>185974.10999999996</v>
      </c>
      <c r="I60" s="702">
        <f>G13-G60</f>
        <v>-321.48999999999796</v>
      </c>
      <c r="J60" s="703">
        <f>H60/DAY(B2)</f>
        <v>16906.73727272727</v>
      </c>
      <c r="K60" s="424"/>
      <c r="L60" s="374"/>
      <c r="N60" s="714"/>
      <c r="P60" s="379"/>
    </row>
    <row r="61" spans="1:16">
      <c r="A61" s="597" t="s">
        <v>251</v>
      </c>
      <c r="B61" s="448"/>
      <c r="C61" s="448"/>
      <c r="D61" s="508"/>
      <c r="E61" s="1303"/>
      <c r="F61" s="1303"/>
      <c r="G61" s="1304"/>
      <c r="H61" s="1304"/>
      <c r="I61" s="1304"/>
      <c r="J61" s="1305"/>
      <c r="K61" s="424"/>
      <c r="L61" s="374"/>
      <c r="N61" s="714"/>
      <c r="P61" s="379"/>
    </row>
    <row r="62" spans="1:16">
      <c r="A62" s="598" t="s">
        <v>252</v>
      </c>
      <c r="B62" s="599"/>
      <c r="C62" s="599"/>
      <c r="D62" s="506" t="s">
        <v>253</v>
      </c>
      <c r="E62" s="1104">
        <f>'10'!F62</f>
        <v>0</v>
      </c>
      <c r="F62" s="1104">
        <v>0</v>
      </c>
      <c r="G62" s="648">
        <f t="shared" ref="G62:G69" si="5">F62-E62</f>
        <v>0</v>
      </c>
      <c r="H62" s="701">
        <f>G62+'10'!H62</f>
        <v>1.9999999967694748E-3</v>
      </c>
      <c r="I62" s="1306"/>
      <c r="J62" s="703">
        <f>H62/DAY(B2)</f>
        <v>1.818181815244977E-4</v>
      </c>
      <c r="K62" s="424"/>
      <c r="L62" s="374"/>
      <c r="N62" s="714"/>
      <c r="P62" s="379"/>
    </row>
    <row r="63" spans="1:16">
      <c r="A63" s="598" t="s">
        <v>254</v>
      </c>
      <c r="B63" s="599"/>
      <c r="C63" s="599"/>
      <c r="D63" s="506" t="s">
        <v>253</v>
      </c>
      <c r="E63" s="1104">
        <f>'10'!F63</f>
        <v>0</v>
      </c>
      <c r="F63" s="1104">
        <v>0</v>
      </c>
      <c r="G63" s="648">
        <f t="shared" si="5"/>
        <v>0</v>
      </c>
      <c r="H63" s="701">
        <f>G63+'10'!H63</f>
        <v>0</v>
      </c>
      <c r="I63" s="1306"/>
      <c r="J63" s="703">
        <f>H63/DAY(B2)</f>
        <v>0</v>
      </c>
      <c r="K63" s="424"/>
      <c r="L63" s="374"/>
      <c r="N63" s="714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1104">
        <f>'10'!F64</f>
        <v>162647</v>
      </c>
      <c r="F64" s="647">
        <v>163000</v>
      </c>
      <c r="G64" s="648">
        <f t="shared" si="5"/>
        <v>353</v>
      </c>
      <c r="H64" s="701">
        <f>G64+'10'!H64</f>
        <v>3068</v>
      </c>
      <c r="I64" s="1068"/>
      <c r="J64" s="703">
        <f>H64/DAY(B2)</f>
        <v>278.90909090909093</v>
      </c>
      <c r="K64" s="424"/>
      <c r="L64" s="374"/>
      <c r="N64" s="714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1104">
        <f>'10'!F65</f>
        <v>163365</v>
      </c>
      <c r="F65" s="647">
        <v>163635</v>
      </c>
      <c r="G65" s="648">
        <f t="shared" si="5"/>
        <v>270</v>
      </c>
      <c r="H65" s="701">
        <f>G65+'10'!H65</f>
        <v>2637</v>
      </c>
      <c r="I65" s="728"/>
      <c r="J65" s="703">
        <f>H65/DAY(B2)</f>
        <v>239.72727272727272</v>
      </c>
      <c r="K65" s="424"/>
      <c r="L65" s="374"/>
      <c r="N65" s="714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1104">
        <f>'10'!F66</f>
        <v>60224</v>
      </c>
      <c r="F66" s="647">
        <v>60644</v>
      </c>
      <c r="G66" s="648">
        <f t="shared" si="5"/>
        <v>420</v>
      </c>
      <c r="H66" s="701">
        <f>G66+'10'!H66</f>
        <v>3839</v>
      </c>
      <c r="I66" s="1068"/>
      <c r="J66" s="703">
        <f>H66/DAY(B2)</f>
        <v>349</v>
      </c>
      <c r="K66" s="424"/>
      <c r="L66" s="374"/>
      <c r="N66" s="714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1104">
        <f>'10'!F67</f>
        <v>256073</v>
      </c>
      <c r="F67" s="647">
        <v>256499</v>
      </c>
      <c r="G67" s="648">
        <f t="shared" si="5"/>
        <v>426</v>
      </c>
      <c r="H67" s="701">
        <f>G67+'10'!H67</f>
        <v>4307</v>
      </c>
      <c r="I67" s="728"/>
      <c r="J67" s="703">
        <f>H67/DAY(B2)</f>
        <v>391.54545454545456</v>
      </c>
      <c r="K67" s="425"/>
      <c r="L67" s="374"/>
      <c r="N67" s="714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1104">
        <f>'10'!F68</f>
        <v>85321</v>
      </c>
      <c r="F68" s="647">
        <v>85321</v>
      </c>
      <c r="G68" s="648">
        <f t="shared" si="5"/>
        <v>0</v>
      </c>
      <c r="H68" s="701">
        <f>G68+'10'!H68</f>
        <v>0</v>
      </c>
      <c r="I68" s="1307"/>
      <c r="J68" s="703">
        <f>H68/DAY(B2)</f>
        <v>0</v>
      </c>
      <c r="K68" s="426"/>
      <c r="L68" s="374"/>
      <c r="N68" s="714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1104">
        <f>'10'!F69</f>
        <v>82925</v>
      </c>
      <c r="F69" s="647">
        <v>83077</v>
      </c>
      <c r="G69" s="648">
        <f t="shared" si="5"/>
        <v>152</v>
      </c>
      <c r="H69" s="701">
        <f>G69+'10'!H69</f>
        <v>1328</v>
      </c>
      <c r="I69" s="1307"/>
      <c r="J69" s="703">
        <f>H69/DAY(B2)</f>
        <v>120.72727272727273</v>
      </c>
      <c r="K69" s="427"/>
      <c r="L69" s="374"/>
      <c r="N69" s="714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1308"/>
      <c r="F70" s="1308"/>
      <c r="G70" s="1308"/>
      <c r="H70" s="701">
        <f>G70+'10'!H70</f>
        <v>0</v>
      </c>
      <c r="I70" s="1308"/>
      <c r="J70" s="1309">
        <f>H70/DAY(B2)</f>
        <v>0</v>
      </c>
      <c r="K70" s="427"/>
      <c r="L70" s="374"/>
      <c r="N70" s="714"/>
      <c r="P70" s="379"/>
    </row>
    <row r="71" spans="1:16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5">
        <f>'10'!F72</f>
        <v>855975</v>
      </c>
      <c r="F72" s="651">
        <v>855989</v>
      </c>
      <c r="G72" s="648">
        <f t="shared" ref="G72:G84" si="6">F72-E72</f>
        <v>14</v>
      </c>
      <c r="H72" s="701">
        <f>G72+'10'!H72</f>
        <v>146</v>
      </c>
      <c r="I72" s="1068"/>
      <c r="J72" s="703">
        <f>H72/DAY(B2)</f>
        <v>13.272727272727273</v>
      </c>
      <c r="K72" s="427"/>
      <c r="L72" s="374"/>
      <c r="N72" s="714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5">
        <f>'10'!F73</f>
        <v>885948</v>
      </c>
      <c r="F73" s="651">
        <v>885949</v>
      </c>
      <c r="G73" s="648">
        <f t="shared" si="6"/>
        <v>1</v>
      </c>
      <c r="H73" s="701">
        <f>G73+'10'!H73</f>
        <v>12</v>
      </c>
      <c r="I73" s="1068"/>
      <c r="J73" s="703">
        <f>H73/DAY(B2)</f>
        <v>1.0909090909090908</v>
      </c>
      <c r="K73" s="426"/>
      <c r="L73" s="374"/>
      <c r="N73" s="714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5">
        <f>'10'!F74</f>
        <v>2599.96</v>
      </c>
      <c r="F74" s="651">
        <v>2599.96</v>
      </c>
      <c r="G74" s="648">
        <f t="shared" si="6"/>
        <v>0</v>
      </c>
      <c r="H74" s="701">
        <f>G74+'10'!H74</f>
        <v>13.960000000000036</v>
      </c>
      <c r="I74" s="1068"/>
      <c r="J74" s="703">
        <f>H74/DAY(B2)</f>
        <v>1.2690909090909124</v>
      </c>
      <c r="K74" s="427"/>
      <c r="L74" s="374"/>
      <c r="N74" s="714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5">
        <f>'10'!F75</f>
        <v>13289</v>
      </c>
      <c r="F75" s="651">
        <v>13365</v>
      </c>
      <c r="G75" s="648">
        <f t="shared" si="6"/>
        <v>76</v>
      </c>
      <c r="H75" s="701">
        <f>G75+'10'!H75</f>
        <v>696</v>
      </c>
      <c r="I75" s="1068"/>
      <c r="J75" s="703">
        <f>H75/DAY(B2)</f>
        <v>63.272727272727273</v>
      </c>
      <c r="K75" s="426"/>
      <c r="L75" s="374"/>
      <c r="N75" s="714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5">
        <f>'10'!F76</f>
        <v>8006</v>
      </c>
      <c r="F76" s="651">
        <v>8065</v>
      </c>
      <c r="G76" s="648">
        <f t="shared" si="6"/>
        <v>59</v>
      </c>
      <c r="H76" s="701">
        <f>G76+'10'!H76</f>
        <v>646</v>
      </c>
      <c r="I76" s="1299"/>
      <c r="J76" s="703">
        <f>H76/DAY(B2)</f>
        <v>58.727272727272727</v>
      </c>
      <c r="K76" s="426"/>
      <c r="L76" s="374"/>
      <c r="N76" s="714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5">
        <f>'10'!F77</f>
        <v>703334</v>
      </c>
      <c r="F77" s="651">
        <v>703385</v>
      </c>
      <c r="G77" s="648">
        <f t="shared" si="6"/>
        <v>51</v>
      </c>
      <c r="H77" s="701">
        <f>G77+'10'!H77</f>
        <v>546</v>
      </c>
      <c r="I77" s="1299"/>
      <c r="J77" s="703">
        <f>H77/DAY(B2)</f>
        <v>49.636363636363633</v>
      </c>
      <c r="K77" s="426"/>
      <c r="L77" s="374"/>
      <c r="N77" s="714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5">
        <f>'10'!F78</f>
        <v>673807</v>
      </c>
      <c r="F78" s="651">
        <v>673854</v>
      </c>
      <c r="G78" s="648">
        <f t="shared" si="6"/>
        <v>47</v>
      </c>
      <c r="H78" s="701">
        <f>G78+'10'!H78</f>
        <v>822</v>
      </c>
      <c r="I78" s="1299"/>
      <c r="J78" s="703">
        <f>H78/DAY(B2)</f>
        <v>74.727272727272734</v>
      </c>
      <c r="K78" s="426"/>
      <c r="L78" s="374"/>
      <c r="N78" s="714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5">
        <f>'10'!F79</f>
        <v>832501</v>
      </c>
      <c r="F79" s="651">
        <v>832639</v>
      </c>
      <c r="G79" s="648">
        <f t="shared" si="6"/>
        <v>138</v>
      </c>
      <c r="H79" s="701">
        <f>G79+'10'!H79</f>
        <v>1629</v>
      </c>
      <c r="I79" s="1299"/>
      <c r="J79" s="703">
        <f>H79/DAY(B2)</f>
        <v>148.09090909090909</v>
      </c>
      <c r="K79" s="426"/>
      <c r="L79" s="374"/>
      <c r="N79" s="714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5">
        <f>'10'!F80</f>
        <v>531370</v>
      </c>
      <c r="F80" s="651">
        <v>531694</v>
      </c>
      <c r="G80" s="648">
        <f t="shared" si="6"/>
        <v>324</v>
      </c>
      <c r="H80" s="701">
        <f>G80+'10'!H80</f>
        <v>4036</v>
      </c>
      <c r="I80" s="1299"/>
      <c r="J80" s="703">
        <f>H80/DAY(B2)</f>
        <v>366.90909090909093</v>
      </c>
      <c r="K80" s="426"/>
      <c r="L80" s="374"/>
      <c r="N80" s="714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5">
        <f>'10'!F81</f>
        <v>640000</v>
      </c>
      <c r="F81" s="651">
        <v>640108</v>
      </c>
      <c r="G81" s="648">
        <f t="shared" si="6"/>
        <v>108</v>
      </c>
      <c r="H81" s="701">
        <f>G81+'10'!H81</f>
        <v>1210</v>
      </c>
      <c r="I81" s="1299"/>
      <c r="J81" s="703">
        <f>H81/DAY(B2)</f>
        <v>110</v>
      </c>
      <c r="K81" s="426"/>
      <c r="L81" s="374"/>
      <c r="N81" s="714"/>
      <c r="P81" s="379"/>
    </row>
    <row r="82" spans="1:16" ht="27.75">
      <c r="A82" s="1499" t="s">
        <v>267</v>
      </c>
      <c r="B82" s="1500"/>
      <c r="C82" s="1501"/>
      <c r="D82" s="480" t="s">
        <v>198</v>
      </c>
      <c r="E82" s="515">
        <f>'10'!F82</f>
        <v>108311</v>
      </c>
      <c r="F82" s="647">
        <v>108336</v>
      </c>
      <c r="G82" s="648">
        <f t="shared" si="6"/>
        <v>25</v>
      </c>
      <c r="H82" s="701">
        <f>G82+'10'!H82</f>
        <v>178</v>
      </c>
      <c r="I82" s="701"/>
      <c r="J82" s="703">
        <f>H82/DAY(B2)</f>
        <v>16.181818181818183</v>
      </c>
      <c r="K82" s="426"/>
      <c r="L82" s="374"/>
      <c r="N82" s="714"/>
      <c r="P82" s="379"/>
    </row>
    <row r="83" spans="1:16" ht="27.75">
      <c r="A83" s="1499" t="s">
        <v>268</v>
      </c>
      <c r="B83" s="1500"/>
      <c r="C83" s="1501"/>
      <c r="D83" s="615" t="s">
        <v>198</v>
      </c>
      <c r="E83" s="515">
        <f>'10'!F83</f>
        <v>22510</v>
      </c>
      <c r="F83" s="1273">
        <v>22686</v>
      </c>
      <c r="G83" s="648">
        <f t="shared" si="6"/>
        <v>176</v>
      </c>
      <c r="H83" s="701">
        <f>G83+'10'!H83</f>
        <v>2180</v>
      </c>
      <c r="I83" s="648"/>
      <c r="J83" s="703">
        <f>H83/DAY(B2)</f>
        <v>198.18181818181819</v>
      </c>
      <c r="K83" s="425"/>
      <c r="L83" s="374"/>
      <c r="N83" s="714"/>
      <c r="P83" s="379"/>
    </row>
    <row r="84" spans="1:16">
      <c r="A84" s="1396" t="s">
        <v>166</v>
      </c>
      <c r="B84" s="566"/>
      <c r="C84" s="566"/>
      <c r="D84" s="473" t="s">
        <v>198</v>
      </c>
      <c r="E84" s="515">
        <f>'10'!F84</f>
        <v>507892</v>
      </c>
      <c r="F84" s="622">
        <v>508456</v>
      </c>
      <c r="G84" s="648">
        <f t="shared" si="6"/>
        <v>564</v>
      </c>
      <c r="H84" s="701">
        <f>G84+'10'!H84</f>
        <v>8162</v>
      </c>
      <c r="I84" s="648"/>
      <c r="J84" s="703">
        <f>H84/DAY(B2)</f>
        <v>742</v>
      </c>
      <c r="K84" s="377"/>
      <c r="L84" s="374"/>
      <c r="N84" s="714"/>
      <c r="P84" s="379"/>
    </row>
    <row r="85" spans="1:16" s="376" customFormat="1">
      <c r="A85" s="600" t="s">
        <v>102</v>
      </c>
      <c r="B85" s="567"/>
      <c r="C85" s="567"/>
      <c r="D85" s="484"/>
      <c r="E85" s="622"/>
      <c r="F85" s="622"/>
      <c r="G85" s="701">
        <f xml:space="preserve"> SUM(G71:G84)</f>
        <v>1583</v>
      </c>
      <c r="H85" s="701">
        <f>G85+'10'!H85</f>
        <v>20276.96</v>
      </c>
      <c r="I85" s="648"/>
      <c r="J85" s="703">
        <f>H85/DAY(B2)</f>
        <v>1843.36</v>
      </c>
      <c r="K85" s="377"/>
      <c r="L85" s="375"/>
      <c r="N85" s="714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'10'!F86</f>
        <v>461249</v>
      </c>
      <c r="F86" s="643">
        <v>461277</v>
      </c>
      <c r="G86" s="701">
        <f>F86-E86</f>
        <v>28</v>
      </c>
      <c r="H86" s="701">
        <f t="shared" ref="H86:H88" si="7">G86</f>
        <v>28</v>
      </c>
      <c r="I86" s="648"/>
      <c r="J86" s="703">
        <f>H86/DAY(B2)</f>
        <v>2.5454545454545454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'10'!F87</f>
        <v>81583</v>
      </c>
      <c r="F87" s="643">
        <v>81602.600000000006</v>
      </c>
      <c r="G87" s="701">
        <f t="shared" ref="G87:G91" si="8">F87-E87</f>
        <v>19.600000000005821</v>
      </c>
      <c r="H87" s="701">
        <f t="shared" si="7"/>
        <v>19.600000000005821</v>
      </c>
      <c r="I87" s="648"/>
      <c r="J87" s="703">
        <f>H87/DAY(B2)</f>
        <v>1.7818181818187109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'10'!F88</f>
        <v>153468</v>
      </c>
      <c r="F88" s="643">
        <v>153492</v>
      </c>
      <c r="G88" s="701">
        <f t="shared" si="8"/>
        <v>24</v>
      </c>
      <c r="H88" s="701">
        <f t="shared" si="7"/>
        <v>24</v>
      </c>
      <c r="I88" s="648"/>
      <c r="J88" s="703">
        <f>H88/DAY(B2)</f>
        <v>2.1818181818181817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'10'!F89</f>
        <v>65343</v>
      </c>
      <c r="F89" s="643">
        <v>65365</v>
      </c>
      <c r="G89" s="701">
        <f t="shared" si="8"/>
        <v>22</v>
      </c>
      <c r="H89" s="701">
        <f>G89</f>
        <v>22</v>
      </c>
      <c r="I89" s="648"/>
      <c r="J89" s="703">
        <f>H89/DAY(B2)</f>
        <v>2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'10'!F90</f>
        <v>3286</v>
      </c>
      <c r="F90" s="643">
        <v>3289</v>
      </c>
      <c r="G90" s="701">
        <f t="shared" si="8"/>
        <v>3</v>
      </c>
      <c r="H90" s="701">
        <f>G90</f>
        <v>3</v>
      </c>
      <c r="I90" s="648"/>
      <c r="J90" s="703">
        <f>H90/DAY(B2)</f>
        <v>0.27272727272727271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/>
      <c r="E91" s="622">
        <f>'10'!F91</f>
        <v>28100</v>
      </c>
      <c r="F91" s="643">
        <v>28109</v>
      </c>
      <c r="G91" s="701">
        <f t="shared" si="8"/>
        <v>9</v>
      </c>
      <c r="H91" s="701">
        <f>G91</f>
        <v>9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622"/>
      <c r="F92" s="622"/>
      <c r="G92" s="745"/>
      <c r="H92" s="622"/>
      <c r="I92" s="622"/>
      <c r="J92" s="1274"/>
      <c r="K92" s="377"/>
      <c r="L92" s="375"/>
      <c r="N92" s="714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536">
        <f>'10'!F93</f>
        <v>245883</v>
      </c>
      <c r="F93" s="647">
        <v>245901</v>
      </c>
      <c r="G93" s="648">
        <f t="shared" ref="G93:G94" si="9">F93-E93</f>
        <v>18</v>
      </c>
      <c r="H93" s="701">
        <f>G93+'10'!H93</f>
        <v>413</v>
      </c>
      <c r="I93" s="1068"/>
      <c r="J93" s="703">
        <f>H93/DAY(B2)</f>
        <v>37.545454545454547</v>
      </c>
      <c r="K93" s="425"/>
      <c r="L93" s="374"/>
      <c r="N93" s="714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536">
        <f>'10'!F94</f>
        <v>187020</v>
      </c>
      <c r="F94" s="647">
        <v>187134</v>
      </c>
      <c r="G94" s="648">
        <f t="shared" si="9"/>
        <v>114</v>
      </c>
      <c r="H94" s="701">
        <f>G94+'10'!H94</f>
        <v>1013</v>
      </c>
      <c r="I94" s="1068"/>
      <c r="J94" s="703">
        <f>H94/DAY(B2)</f>
        <v>92.090909090909093</v>
      </c>
      <c r="K94" s="377"/>
      <c r="L94" s="374"/>
      <c r="N94" s="714"/>
      <c r="P94" s="379"/>
    </row>
    <row r="95" spans="1:16">
      <c r="A95" s="1447" t="s">
        <v>276</v>
      </c>
      <c r="B95" s="1448"/>
      <c r="C95" s="1449"/>
      <c r="D95" s="518"/>
      <c r="E95" s="536">
        <f>'10'!F95</f>
        <v>0</v>
      </c>
      <c r="F95" s="647"/>
      <c r="G95" s="648">
        <f>G93+G94</f>
        <v>132</v>
      </c>
      <c r="H95" s="701">
        <f>G95+'10'!H95</f>
        <v>1350</v>
      </c>
      <c r="I95" s="1068"/>
      <c r="J95" s="703">
        <f>H95/DAY(B2)</f>
        <v>122.72727272727273</v>
      </c>
      <c r="K95" s="377"/>
      <c r="L95" s="374"/>
      <c r="N95" s="714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536">
        <f>'10'!F96</f>
        <v>414764</v>
      </c>
      <c r="F96" s="647">
        <v>414810</v>
      </c>
      <c r="G96" s="648">
        <f t="shared" ref="G96:G101" si="10">F96-E96</f>
        <v>46</v>
      </c>
      <c r="H96" s="701">
        <f>G96+'10'!H96</f>
        <v>527</v>
      </c>
      <c r="I96" s="1068"/>
      <c r="J96" s="703">
        <f>H96/DAY(B2)</f>
        <v>47.909090909090907</v>
      </c>
      <c r="K96" s="377"/>
      <c r="L96" s="374"/>
      <c r="N96" s="714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536">
        <f>'10'!F97</f>
        <v>102761</v>
      </c>
      <c r="F97" s="647">
        <v>102770</v>
      </c>
      <c r="G97" s="648">
        <f t="shared" si="10"/>
        <v>9</v>
      </c>
      <c r="H97" s="701">
        <f>G97+'10'!H97</f>
        <v>122</v>
      </c>
      <c r="I97" s="1068"/>
      <c r="J97" s="703">
        <f>H97/DAY(B2)</f>
        <v>11.090909090909092</v>
      </c>
      <c r="K97" s="423"/>
      <c r="L97" s="374"/>
      <c r="N97" s="714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536">
        <f>'10'!F98</f>
        <v>98125</v>
      </c>
      <c r="F98" s="647">
        <v>98151</v>
      </c>
      <c r="G98" s="648">
        <f t="shared" si="10"/>
        <v>26</v>
      </c>
      <c r="H98" s="701">
        <f>G98+'10'!H98</f>
        <v>201</v>
      </c>
      <c r="I98" s="1068"/>
      <c r="J98" s="703">
        <f>H98/DAY(B2)</f>
        <v>18.272727272727273</v>
      </c>
      <c r="K98" s="428"/>
      <c r="L98" s="374"/>
      <c r="N98" s="714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536">
        <f>'10'!F99</f>
        <v>149918</v>
      </c>
      <c r="F99" s="647">
        <v>149937</v>
      </c>
      <c r="G99" s="648">
        <f t="shared" si="10"/>
        <v>19</v>
      </c>
      <c r="H99" s="701">
        <f>G99+'10'!H99</f>
        <v>85</v>
      </c>
      <c r="I99" s="1068"/>
      <c r="J99" s="703">
        <f>H99/DAY(B2)</f>
        <v>7.7272727272727275</v>
      </c>
      <c r="K99" s="377"/>
      <c r="L99" s="374"/>
      <c r="N99" s="716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536">
        <f>'10'!F100</f>
        <v>7502</v>
      </c>
      <c r="F100" s="647">
        <v>7506</v>
      </c>
      <c r="G100" s="648">
        <f t="shared" si="10"/>
        <v>4</v>
      </c>
      <c r="H100" s="701">
        <f>G100+'10'!H100</f>
        <v>137</v>
      </c>
      <c r="I100" s="1068"/>
      <c r="J100" s="703">
        <f>H100/DAY(B2)</f>
        <v>12.454545454545455</v>
      </c>
      <c r="K100" s="377"/>
      <c r="L100" s="374"/>
      <c r="N100" s="714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536">
        <f>'10'!F101</f>
        <v>5452</v>
      </c>
      <c r="F101" s="647">
        <v>5463</v>
      </c>
      <c r="G101" s="648">
        <f t="shared" si="10"/>
        <v>11</v>
      </c>
      <c r="H101" s="701">
        <f>G101+'10'!H101</f>
        <v>72</v>
      </c>
      <c r="I101" s="1068"/>
      <c r="J101" s="703">
        <f>H101/DAY(B2)</f>
        <v>6.5454545454545459</v>
      </c>
      <c r="K101" s="377"/>
      <c r="L101" s="374"/>
      <c r="N101" s="714"/>
      <c r="P101" s="379"/>
    </row>
    <row r="102" spans="1:16">
      <c r="A102" s="1447" t="s">
        <v>277</v>
      </c>
      <c r="B102" s="1448"/>
      <c r="C102" s="1449"/>
      <c r="D102" s="519"/>
      <c r="E102" s="536"/>
      <c r="F102" s="622"/>
      <c r="G102" s="745">
        <f>SUM(G96:G101)</f>
        <v>115</v>
      </c>
      <c r="H102" s="701">
        <f>G102+'10'!H102</f>
        <v>1144</v>
      </c>
      <c r="I102" s="1310"/>
      <c r="J102" s="703">
        <f>H102/DAY(B2)</f>
        <v>104</v>
      </c>
      <c r="K102" s="377"/>
      <c r="L102" s="374"/>
      <c r="N102" s="714"/>
      <c r="P102" s="379"/>
    </row>
    <row r="103" spans="1:16" s="437" customFormat="1" ht="27">
      <c r="A103" s="602" t="s">
        <v>278</v>
      </c>
      <c r="B103" s="603"/>
      <c r="C103" s="603"/>
      <c r="D103" s="616"/>
      <c r="E103" s="536"/>
      <c r="F103" s="1311"/>
      <c r="G103" s="1312"/>
      <c r="H103" s="1313"/>
      <c r="I103" s="1314"/>
      <c r="J103" s="1315"/>
      <c r="N103" s="714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536"/>
      <c r="F104" s="655"/>
      <c r="G104" s="529"/>
      <c r="H104" s="531"/>
      <c r="I104" s="529"/>
      <c r="J104" s="554"/>
      <c r="N104" s="714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536">
        <v>7473</v>
      </c>
      <c r="F105" s="655">
        <v>7473</v>
      </c>
      <c r="G105" s="529">
        <f>F105-E105</f>
        <v>0</v>
      </c>
      <c r="H105" s="531">
        <f>SUM(G105+'1'!G76)</f>
        <v>57</v>
      </c>
      <c r="I105" s="529"/>
      <c r="J105" s="554">
        <f>H105/DAY(B2)</f>
        <v>5.1818181818181817</v>
      </c>
      <c r="N105" s="714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536">
        <f>'10'!F106</f>
        <v>36006</v>
      </c>
      <c r="F106" s="655">
        <v>36006</v>
      </c>
      <c r="G106" s="529">
        <f t="shared" ref="G106:G107" si="11">F106-E106</f>
        <v>0</v>
      </c>
      <c r="H106" s="531">
        <f>SUM(G106+'1'!G77)</f>
        <v>49</v>
      </c>
      <c r="I106" s="529"/>
      <c r="J106" s="554">
        <f>H106/DAY(B2)</f>
        <v>4.4545454545454541</v>
      </c>
      <c r="N106" s="714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536">
        <f>'10'!F107</f>
        <v>19739</v>
      </c>
      <c r="F107" s="655">
        <v>19742</v>
      </c>
      <c r="G107" s="529">
        <f t="shared" si="11"/>
        <v>3</v>
      </c>
      <c r="H107" s="531">
        <f>SUM(G107+'1'!G78)</f>
        <v>58</v>
      </c>
      <c r="I107" s="529"/>
      <c r="J107" s="554">
        <f>H107/DAY(B2)</f>
        <v>5.2727272727272725</v>
      </c>
      <c r="N107" s="714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536"/>
      <c r="F108" s="655"/>
      <c r="G108" s="529">
        <f>SUM(G105:G107)</f>
        <v>3</v>
      </c>
      <c r="H108" s="531">
        <f>SUM(G108+'1'!G79)</f>
        <v>158</v>
      </c>
      <c r="I108" s="529"/>
      <c r="J108" s="554">
        <f>H108/DAY(B2)</f>
        <v>14.363636363636363</v>
      </c>
      <c r="N108" s="714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536"/>
      <c r="F109" s="655"/>
      <c r="G109" s="529"/>
      <c r="H109" s="531"/>
      <c r="I109" s="529"/>
      <c r="J109" s="554"/>
      <c r="N109" s="714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536">
        <f>'10'!F110</f>
        <v>63489</v>
      </c>
      <c r="F110" s="655">
        <v>63516</v>
      </c>
      <c r="G110" s="529">
        <f>F110-E110</f>
        <v>27</v>
      </c>
      <c r="H110" s="531">
        <f>SUM(G110+'1'!G81)</f>
        <v>121</v>
      </c>
      <c r="I110" s="529"/>
      <c r="J110" s="554">
        <f>H110/DAY(B2)</f>
        <v>11</v>
      </c>
      <c r="N110" s="714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536">
        <f>'10'!F111</f>
        <v>32645</v>
      </c>
      <c r="F111" s="655">
        <v>32675</v>
      </c>
      <c r="G111" s="529">
        <f t="shared" ref="G111:G112" si="12">F111-E111</f>
        <v>30</v>
      </c>
      <c r="H111" s="531">
        <f>SUM(G111+'1'!G82)</f>
        <v>41</v>
      </c>
      <c r="I111" s="529"/>
      <c r="J111" s="554">
        <f>H111/DAY(B2)</f>
        <v>3.7272727272727271</v>
      </c>
      <c r="N111" s="714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536">
        <f>'10'!F112</f>
        <v>4621</v>
      </c>
      <c r="F112" s="655">
        <v>4621</v>
      </c>
      <c r="G112" s="529">
        <f t="shared" si="12"/>
        <v>0</v>
      </c>
      <c r="H112" s="531">
        <f>SUM(G112+'1'!G83)</f>
        <v>152</v>
      </c>
      <c r="I112" s="529"/>
      <c r="J112" s="554">
        <f>H112/DAY(B2)</f>
        <v>13.818181818181818</v>
      </c>
      <c r="N112" s="714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536"/>
      <c r="F113" s="655"/>
      <c r="G113" s="529">
        <f>SUM(G110:G112)</f>
        <v>57</v>
      </c>
      <c r="H113" s="531">
        <f>SUM(G113+'1'!G84)</f>
        <v>884</v>
      </c>
      <c r="I113" s="529"/>
      <c r="J113" s="554">
        <f>H113/DAY(B2)</f>
        <v>80.36363636363636</v>
      </c>
      <c r="N113" s="714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536"/>
      <c r="F114" s="655"/>
      <c r="G114" s="529"/>
      <c r="H114" s="531"/>
      <c r="I114" s="529"/>
      <c r="J114" s="554">
        <f>H114/DAY(B2)</f>
        <v>0</v>
      </c>
      <c r="N114" s="714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536">
        <f>'10'!F115</f>
        <v>11661</v>
      </c>
      <c r="F115" s="655">
        <v>11666</v>
      </c>
      <c r="G115" s="529">
        <f>F115-E115</f>
        <v>5</v>
      </c>
      <c r="H115" s="531">
        <f>SUM(G115+'1'!G92)</f>
        <v>5</v>
      </c>
      <c r="I115" s="529"/>
      <c r="J115" s="554">
        <f>H115/DAY(B2)</f>
        <v>0.45454545454545453</v>
      </c>
      <c r="N115" s="714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536">
        <f>'10'!F116</f>
        <v>8371</v>
      </c>
      <c r="F116" s="655">
        <v>8376</v>
      </c>
      <c r="G116" s="529">
        <f t="shared" ref="G116:G117" si="13">F116-E116</f>
        <v>5</v>
      </c>
      <c r="H116" s="531">
        <f>SUM(G116+'1'!G93)</f>
        <v>23</v>
      </c>
      <c r="I116" s="529"/>
      <c r="J116" s="554">
        <f>H116/DAY(B2)</f>
        <v>2.0909090909090908</v>
      </c>
      <c r="N116" s="714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531">
        <f>SUM(G117+'1'!G94)</f>
        <v>58</v>
      </c>
      <c r="I117" s="529"/>
      <c r="J117" s="554">
        <f>H117/DAY(B2)</f>
        <v>5.2727272727272725</v>
      </c>
      <c r="N117" s="714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10</v>
      </c>
      <c r="H118" s="531">
        <f>SUM(G118+'1'!G96)</f>
        <v>50</v>
      </c>
      <c r="I118" s="529"/>
      <c r="J118" s="554">
        <f>H118/DAY(B2)</f>
        <v>4.5454545454545459</v>
      </c>
      <c r="N118" s="714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81</v>
      </c>
      <c r="G119" s="531">
        <f>SUM(G19+G93)</f>
        <v>81</v>
      </c>
      <c r="H119" s="531">
        <f>SUM(G119+'1'!G97)</f>
        <v>94</v>
      </c>
      <c r="I119" s="530"/>
      <c r="J119" s="554">
        <f>H119/DAY(B2)</f>
        <v>8.545454545454545</v>
      </c>
      <c r="N119" s="714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96</v>
      </c>
      <c r="G120" s="531">
        <f>SUM(G96,G97,G98,G100,G101)</f>
        <v>96</v>
      </c>
      <c r="H120" s="531">
        <f>SUM(G120+'1'!G99)</f>
        <v>103</v>
      </c>
      <c r="I120" s="530"/>
      <c r="J120" s="554">
        <f>H120/DAY(B2)</f>
        <v>9.3636363636363633</v>
      </c>
      <c r="N120" s="714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57</v>
      </c>
      <c r="G121" s="529">
        <f>SUM(G113)</f>
        <v>57</v>
      </c>
      <c r="H121" s="531">
        <f>SUM(G121+'1'!G101)</f>
        <v>61</v>
      </c>
      <c r="I121" s="530"/>
      <c r="J121" s="554">
        <f>H121/DAY(B2)</f>
        <v>5.5454545454545459</v>
      </c>
      <c r="N121" s="714"/>
      <c r="P121" s="379"/>
    </row>
    <row r="122" spans="1:16" s="437" customFormat="1" ht="27.75">
      <c r="A122" s="1494"/>
      <c r="B122" s="1495"/>
      <c r="C122" s="1390"/>
      <c r="D122" s="555"/>
      <c r="E122" s="1316"/>
      <c r="F122" s="1317" t="s">
        <v>182</v>
      </c>
      <c r="G122" s="1316"/>
      <c r="H122" s="1318"/>
      <c r="I122" s="1316"/>
      <c r="J122" s="1319"/>
      <c r="N122" s="714"/>
      <c r="P122" s="379"/>
    </row>
    <row r="123" spans="1:16">
      <c r="A123" s="1444" t="s">
        <v>285</v>
      </c>
      <c r="B123" s="1445"/>
      <c r="C123" s="1446"/>
      <c r="D123" s="467"/>
      <c r="E123" s="622"/>
      <c r="F123" s="622"/>
      <c r="G123" s="643"/>
      <c r="H123" s="643"/>
      <c r="I123" s="643"/>
      <c r="J123" s="1320"/>
      <c r="K123" s="377"/>
      <c r="L123" s="374"/>
      <c r="N123" s="714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647">
        <f>'10'!F124</f>
        <v>834219</v>
      </c>
      <c r="F124" s="647">
        <v>834449</v>
      </c>
      <c r="G124" s="648">
        <f t="shared" ref="G124:G128" si="14">F124-E124</f>
        <v>230</v>
      </c>
      <c r="H124" s="701">
        <f>G124+'10'!H124</f>
        <v>2083</v>
      </c>
      <c r="I124" s="1310"/>
      <c r="J124" s="703">
        <f>H124/DAY(B2)</f>
        <v>189.36363636363637</v>
      </c>
      <c r="K124" s="377"/>
      <c r="L124" s="374"/>
      <c r="N124" s="714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647">
        <f>'10'!F125</f>
        <v>73583.399999999994</v>
      </c>
      <c r="F125" s="647">
        <v>73583.399999999994</v>
      </c>
      <c r="G125" s="648">
        <f t="shared" si="14"/>
        <v>0</v>
      </c>
      <c r="H125" s="701">
        <f>G125+'10'!H125</f>
        <v>0</v>
      </c>
      <c r="I125" s="1310"/>
      <c r="J125" s="703">
        <f>H125/DAY(B2)</f>
        <v>0</v>
      </c>
      <c r="K125" s="377"/>
      <c r="L125" s="374"/>
      <c r="N125" s="714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647">
        <f>'10'!F126</f>
        <v>147119</v>
      </c>
      <c r="F126" s="647">
        <v>147185</v>
      </c>
      <c r="G126" s="648">
        <f t="shared" si="14"/>
        <v>66</v>
      </c>
      <c r="H126" s="701">
        <f>G126+'10'!H126</f>
        <v>694</v>
      </c>
      <c r="I126" s="1310"/>
      <c r="J126" s="703">
        <f>H126/DAY(B2)</f>
        <v>63.090909090909093</v>
      </c>
      <c r="K126" s="377"/>
      <c r="L126" s="374"/>
      <c r="N126" s="714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647">
        <f>'10'!F127</f>
        <v>31409</v>
      </c>
      <c r="F127" s="647">
        <v>31409</v>
      </c>
      <c r="G127" s="648">
        <f t="shared" si="14"/>
        <v>0</v>
      </c>
      <c r="H127" s="701">
        <f>G127+'10'!H127</f>
        <v>3</v>
      </c>
      <c r="I127" s="1310"/>
      <c r="J127" s="703">
        <f>H127/DAY(B2)</f>
        <v>0.27272727272727271</v>
      </c>
      <c r="K127" s="377"/>
      <c r="L127" s="374"/>
      <c r="N127" s="714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647">
        <f>'10'!F128</f>
        <v>8972</v>
      </c>
      <c r="F128" s="647">
        <v>8972</v>
      </c>
      <c r="G128" s="648">
        <f t="shared" si="14"/>
        <v>0</v>
      </c>
      <c r="H128" s="701">
        <f>G128+'10'!H128</f>
        <v>0</v>
      </c>
      <c r="I128" s="1068"/>
      <c r="J128" s="703">
        <f>H128/DAY(B2)</f>
        <v>0</v>
      </c>
      <c r="K128" s="377"/>
      <c r="L128" s="374"/>
      <c r="N128" s="714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647"/>
      <c r="F129" s="647"/>
      <c r="G129" s="648">
        <f>G15-SUM(G124:G128)</f>
        <v>202</v>
      </c>
      <c r="H129" s="701"/>
      <c r="I129" s="1068"/>
      <c r="J129" s="703"/>
      <c r="K129" s="361"/>
      <c r="L129" s="289"/>
      <c r="N129" s="714"/>
      <c r="P129" s="379"/>
    </row>
    <row r="130" spans="1:16">
      <c r="A130" s="605" t="s">
        <v>292</v>
      </c>
      <c r="B130" s="453"/>
      <c r="C130" s="453"/>
      <c r="D130" s="466"/>
      <c r="E130" s="1273"/>
      <c r="F130" s="1273"/>
      <c r="G130" s="1321"/>
      <c r="H130" s="1321"/>
      <c r="I130" s="1321"/>
      <c r="J130" s="1322"/>
      <c r="N130" s="714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536">
        <f>'10'!F131</f>
        <v>0</v>
      </c>
      <c r="F131" s="647">
        <v>0</v>
      </c>
      <c r="G131" s="648">
        <f t="shared" ref="G131:G141" si="15">F131-E131</f>
        <v>0</v>
      </c>
      <c r="H131" s="701">
        <f>G131+'10'!H131</f>
        <v>0</v>
      </c>
      <c r="I131" s="1068"/>
      <c r="J131" s="703">
        <f>H131/DAY(B2)</f>
        <v>0</v>
      </c>
      <c r="N131" s="714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536">
        <f>'10'!F132</f>
        <v>0</v>
      </c>
      <c r="F132" s="647">
        <v>0</v>
      </c>
      <c r="G132" s="648">
        <f t="shared" si="15"/>
        <v>0</v>
      </c>
      <c r="H132" s="701">
        <f>G132+'10'!H132</f>
        <v>0</v>
      </c>
      <c r="I132" s="1068"/>
      <c r="J132" s="703">
        <f>H132/DAY(B2)</f>
        <v>0</v>
      </c>
      <c r="N132" s="714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536">
        <f>'10'!F133</f>
        <v>40122.449999999997</v>
      </c>
      <c r="F133" s="647">
        <v>40146.47</v>
      </c>
      <c r="G133" s="648">
        <f t="shared" si="15"/>
        <v>24.020000000004075</v>
      </c>
      <c r="H133" s="701">
        <f>G133+'10'!H133</f>
        <v>111.37000000000262</v>
      </c>
      <c r="I133" s="1068"/>
      <c r="J133" s="703">
        <f>H133/DAY(B2)</f>
        <v>10.124545454545693</v>
      </c>
      <c r="N133" s="714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536">
        <f>'10'!F134</f>
        <v>300</v>
      </c>
      <c r="F134" s="647">
        <v>300</v>
      </c>
      <c r="G134" s="648">
        <f t="shared" si="15"/>
        <v>0</v>
      </c>
      <c r="H134" s="701">
        <f>G134+'10'!H134</f>
        <v>0</v>
      </c>
      <c r="I134" s="1068">
        <f>G131+G132+G133+G134</f>
        <v>24.020000000004075</v>
      </c>
      <c r="J134" s="703">
        <f>H134/DAY(B2)</f>
        <v>0</v>
      </c>
      <c r="N134" s="714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536">
        <f>'10'!F135</f>
        <v>41730.449999999997</v>
      </c>
      <c r="F135" s="647">
        <v>41730.449999999997</v>
      </c>
      <c r="G135" s="648">
        <f t="shared" si="15"/>
        <v>0</v>
      </c>
      <c r="H135" s="701">
        <f>G135+'10'!H135</f>
        <v>0.44999999999708962</v>
      </c>
      <c r="I135" s="1068"/>
      <c r="J135" s="703">
        <f>H135/DAY(B2)</f>
        <v>4.0909090908826329E-2</v>
      </c>
      <c r="N135" s="714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536">
        <f>'10'!F136</f>
        <v>32874.050000000003</v>
      </c>
      <c r="F136" s="647">
        <v>32874</v>
      </c>
      <c r="G136" s="648">
        <f t="shared" si="15"/>
        <v>-5.0000000002910383E-2</v>
      </c>
      <c r="H136" s="701">
        <f>G136+'10'!H136</f>
        <v>159</v>
      </c>
      <c r="I136" s="1068"/>
      <c r="J136" s="703">
        <f>H136/DAY(B2)</f>
        <v>14.454545454545455</v>
      </c>
      <c r="N136" s="714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536">
        <f>'10'!F137</f>
        <v>22833.51</v>
      </c>
      <c r="F137" s="647">
        <v>22833.51</v>
      </c>
      <c r="G137" s="648">
        <f t="shared" si="15"/>
        <v>0</v>
      </c>
      <c r="H137" s="701">
        <f>G137+'10'!H137</f>
        <v>26.269999999996799</v>
      </c>
      <c r="I137" s="1068">
        <f>G135+G136+G137</f>
        <v>-5.0000000002910383E-2</v>
      </c>
      <c r="J137" s="703">
        <f>H137/DAY(B2)</f>
        <v>2.3881818181815273</v>
      </c>
      <c r="N137" s="714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536">
        <f>'10'!F138</f>
        <v>25051.82</v>
      </c>
      <c r="F138" s="647">
        <v>25051.82</v>
      </c>
      <c r="G138" s="648">
        <f t="shared" si="15"/>
        <v>0</v>
      </c>
      <c r="H138" s="701">
        <f>G138+'10'!H138</f>
        <v>0</v>
      </c>
      <c r="I138" s="1068"/>
      <c r="J138" s="703">
        <f>H138/DAY(B2)</f>
        <v>0</v>
      </c>
      <c r="N138" s="714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536">
        <f>'10'!F139</f>
        <v>70448.41</v>
      </c>
      <c r="F139" s="647">
        <v>70456</v>
      </c>
      <c r="G139" s="648">
        <f t="shared" si="15"/>
        <v>7.5899999999965075</v>
      </c>
      <c r="H139" s="701">
        <f>G139+'10'!H139</f>
        <v>44.259999999994761</v>
      </c>
      <c r="I139" s="1068">
        <f>G138+G139</f>
        <v>7.5899999999965075</v>
      </c>
      <c r="J139" s="703">
        <f>H139/DAY(B2)</f>
        <v>4.0236363636358874</v>
      </c>
      <c r="N139" s="714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536">
        <f>'10'!F140</f>
        <v>1925.69</v>
      </c>
      <c r="F140" s="647">
        <v>1934.29</v>
      </c>
      <c r="G140" s="648">
        <f t="shared" si="15"/>
        <v>8.5999999999999091</v>
      </c>
      <c r="H140" s="701">
        <f>G140+'10'!H140</f>
        <v>79.990000000000009</v>
      </c>
      <c r="I140" s="530"/>
      <c r="J140" s="703">
        <f>H140/DAY(B2)</f>
        <v>7.2718181818181824</v>
      </c>
      <c r="N140" s="714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536">
        <f>'10'!F141</f>
        <v>4636.88</v>
      </c>
      <c r="F141" s="647">
        <v>4636.88</v>
      </c>
      <c r="G141" s="648">
        <f t="shared" si="15"/>
        <v>0</v>
      </c>
      <c r="H141" s="701">
        <f>G141+'10'!H141</f>
        <v>-0.11999999999989086</v>
      </c>
      <c r="I141" s="530"/>
      <c r="J141" s="703">
        <f>H141/DAY(B2)</f>
        <v>-1.0909090909080987E-2</v>
      </c>
      <c r="N141" s="714"/>
      <c r="P141" s="379"/>
    </row>
    <row r="142" spans="1:16">
      <c r="A142" s="1488" t="s">
        <v>305</v>
      </c>
      <c r="B142" s="1489"/>
      <c r="C142" s="1398"/>
      <c r="D142" s="467"/>
      <c r="E142" s="622"/>
      <c r="F142" s="622"/>
      <c r="G142" s="643"/>
      <c r="H142" s="643"/>
      <c r="I142" s="643"/>
      <c r="J142" s="1320"/>
      <c r="K142" s="377"/>
      <c r="L142" s="374"/>
      <c r="N142" s="714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622"/>
      <c r="F143" s="622"/>
      <c r="G143" s="701">
        <f>G35+G43+G49+G57</f>
        <v>4625</v>
      </c>
      <c r="H143" s="701">
        <f>G143+'10'!H143</f>
        <v>52735.130000000005</v>
      </c>
      <c r="I143" s="1068"/>
      <c r="J143" s="703">
        <f>H143/DAY(B2)</f>
        <v>4794.1027272727279</v>
      </c>
      <c r="K143" s="377"/>
      <c r="L143" s="374"/>
      <c r="N143" s="714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1273"/>
      <c r="F144" s="1273"/>
      <c r="G144" s="1323">
        <f>G143/G7</f>
        <v>0.26997840172786175</v>
      </c>
      <c r="H144" s="701">
        <f>G144+'10'!H144</f>
        <v>3.0677681792484277</v>
      </c>
      <c r="I144" s="539"/>
      <c r="J144" s="703">
        <f>H144/DAY(B2)</f>
        <v>0.27888801629531162</v>
      </c>
      <c r="K144" s="377"/>
      <c r="L144" s="374"/>
      <c r="N144" s="714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702"/>
      <c r="F145" s="702"/>
      <c r="G145" s="701">
        <f>G41+G42+G55+G56</f>
        <v>4819</v>
      </c>
      <c r="H145" s="701">
        <f>G145+'10'!H145</f>
        <v>54279.55</v>
      </c>
      <c r="I145" s="1068"/>
      <c r="J145" s="703">
        <f>H145/DAY(B2)</f>
        <v>4934.5045454545461</v>
      </c>
      <c r="K145" s="377"/>
      <c r="L145" s="374"/>
      <c r="N145" s="714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702"/>
      <c r="F146" s="702"/>
      <c r="G146" s="1323">
        <f>G145/G7</f>
        <v>0.28130290117331153</v>
      </c>
      <c r="H146" s="701">
        <f>G146+'10'!H146</f>
        <v>3.1516571898717598</v>
      </c>
      <c r="I146" s="539"/>
      <c r="J146" s="703">
        <f>H146/DAY(B2)</f>
        <v>0.28651428998834177</v>
      </c>
      <c r="K146" s="377"/>
      <c r="L146" s="374"/>
      <c r="N146" s="714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702"/>
      <c r="F147" s="702"/>
      <c r="G147" s="701">
        <f>G39+G53</f>
        <v>3233</v>
      </c>
      <c r="H147" s="701">
        <f>G147+'10'!H147</f>
        <v>32069</v>
      </c>
      <c r="I147" s="1324"/>
      <c r="J147" s="703">
        <f>H147/DAY(B2)</f>
        <v>2915.3636363636365</v>
      </c>
      <c r="K147" s="377"/>
      <c r="L147" s="374"/>
      <c r="N147" s="714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702"/>
      <c r="F148" s="702"/>
      <c r="G148" s="1323">
        <f>G147/G7</f>
        <v>0.18872219952133559</v>
      </c>
      <c r="H148" s="701">
        <f>G148+'10'!H148</f>
        <v>1.8607503536002319</v>
      </c>
      <c r="I148" s="1324"/>
      <c r="J148" s="703">
        <f>H148/DAY(B2)</f>
        <v>0.16915912305456654</v>
      </c>
      <c r="N148" s="714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702"/>
      <c r="F149" s="702"/>
      <c r="G149" s="701">
        <f>G38+G52</f>
        <v>1184</v>
      </c>
      <c r="H149" s="701">
        <f>G149+'10'!H149</f>
        <v>13377.069999999949</v>
      </c>
      <c r="I149" s="1068"/>
      <c r="J149" s="703">
        <f>H149/DAY(B2)</f>
        <v>1216.0972727272681</v>
      </c>
      <c r="K149" s="378"/>
      <c r="N149" s="714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702"/>
      <c r="F150" s="702" t="s">
        <v>182</v>
      </c>
      <c r="G150" s="1323">
        <f>G149/G7</f>
        <v>6.9114470842332618E-2</v>
      </c>
      <c r="H150" s="701">
        <f>G150+'10'!H150</f>
        <v>0.77673726447231117</v>
      </c>
      <c r="I150" s="1324"/>
      <c r="J150" s="703">
        <f>H150/DAY(B2)</f>
        <v>7.0612478588391925E-2</v>
      </c>
      <c r="N150" s="714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702"/>
      <c r="F151" s="702"/>
      <c r="G151" s="701">
        <f>G36+G50</f>
        <v>1475</v>
      </c>
      <c r="H151" s="701">
        <f>G151+'10'!H151</f>
        <v>16570</v>
      </c>
      <c r="I151" s="1324"/>
      <c r="J151" s="703">
        <f>H151/DAY(B2)</f>
        <v>1506.3636363636363</v>
      </c>
      <c r="N151" s="714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702"/>
      <c r="F152" s="702"/>
      <c r="G152" s="1323">
        <f>G151/G7</f>
        <v>8.6101220010507268E-2</v>
      </c>
      <c r="H152" s="701">
        <f>G152+'10'!H152</f>
        <v>0.9571096666444644</v>
      </c>
      <c r="I152" s="1068"/>
      <c r="J152" s="703">
        <f>H152/DAY(B2)</f>
        <v>8.7009969694951311E-2</v>
      </c>
      <c r="N152" s="714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702"/>
      <c r="F153" s="702"/>
      <c r="G153" s="701">
        <f>G37+G51</f>
        <v>1386</v>
      </c>
      <c r="H153" s="701">
        <f>G153+'10'!H153</f>
        <v>14591.869999999995</v>
      </c>
      <c r="I153" s="1068"/>
      <c r="J153" s="703"/>
      <c r="N153" s="714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1325"/>
      <c r="F154" s="1325"/>
      <c r="G154" s="1326">
        <f>G153/G7</f>
        <v>8.0905959955635987E-2</v>
      </c>
      <c r="H154" s="701">
        <f>G154+'10'!H154</f>
        <v>0.84899838996202259</v>
      </c>
      <c r="I154" s="1327"/>
      <c r="J154" s="1328">
        <f>H154/DAY(B2)</f>
        <v>7.7181671814729333E-2</v>
      </c>
      <c r="N154" s="714"/>
      <c r="P154" s="379"/>
    </row>
    <row r="155" spans="1:16">
      <c r="A155" s="461"/>
      <c r="B155" s="451"/>
      <c r="C155" s="451"/>
      <c r="D155" s="541"/>
      <c r="E155" s="1329"/>
      <c r="F155" s="1330"/>
      <c r="G155" s="1329"/>
      <c r="H155" s="1331"/>
      <c r="I155" s="1329"/>
      <c r="J155" s="1332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80" t="s">
        <v>318</v>
      </c>
      <c r="B161" s="781"/>
      <c r="C161" s="781"/>
      <c r="D161" s="506" t="s">
        <v>253</v>
      </c>
      <c r="E161" s="647">
        <f>'10'!F161</f>
        <v>39239</v>
      </c>
      <c r="F161" s="655">
        <v>39318</v>
      </c>
      <c r="G161" s="648">
        <f t="shared" ref="G161:G174" si="16">F161-E161</f>
        <v>79</v>
      </c>
      <c r="N161" s="714"/>
    </row>
    <row r="162" spans="1:14">
      <c r="A162" s="780" t="s">
        <v>319</v>
      </c>
      <c r="B162" s="781"/>
      <c r="C162" s="781"/>
      <c r="D162" s="506" t="s">
        <v>253</v>
      </c>
      <c r="E162" s="647">
        <f>'10'!F162</f>
        <v>98878</v>
      </c>
      <c r="F162" s="655">
        <v>99314</v>
      </c>
      <c r="G162" s="648">
        <f t="shared" si="16"/>
        <v>436</v>
      </c>
      <c r="N162" s="714"/>
    </row>
    <row r="163" spans="1:14">
      <c r="A163" s="780" t="s">
        <v>320</v>
      </c>
      <c r="B163" s="781"/>
      <c r="C163" s="781"/>
      <c r="D163" s="506" t="s">
        <v>253</v>
      </c>
      <c r="E163" s="647">
        <f>'10'!F163</f>
        <v>47024</v>
      </c>
      <c r="F163" s="655">
        <v>47234</v>
      </c>
      <c r="G163" s="648">
        <f t="shared" si="16"/>
        <v>210</v>
      </c>
      <c r="N163" s="714"/>
    </row>
    <row r="164" spans="1:14">
      <c r="A164" s="780" t="s">
        <v>321</v>
      </c>
      <c r="B164" s="781"/>
      <c r="C164" s="781"/>
      <c r="D164" s="506" t="s">
        <v>253</v>
      </c>
      <c r="E164" s="647">
        <f>'10'!F164</f>
        <v>6648</v>
      </c>
      <c r="F164" s="655">
        <v>6657</v>
      </c>
      <c r="G164" s="648">
        <f t="shared" si="16"/>
        <v>9</v>
      </c>
      <c r="N164" s="714"/>
    </row>
    <row r="165" spans="1:14" ht="37.5" customHeight="1">
      <c r="A165" s="782" t="s">
        <v>252</v>
      </c>
      <c r="B165" s="599"/>
      <c r="C165" s="599"/>
      <c r="D165" s="506" t="s">
        <v>253</v>
      </c>
      <c r="E165" s="647">
        <f>'10'!F165</f>
        <v>0</v>
      </c>
      <c r="F165" s="1104">
        <f>F62</f>
        <v>0</v>
      </c>
      <c r="G165" s="648">
        <f t="shared" si="16"/>
        <v>0</v>
      </c>
      <c r="N165" s="714"/>
    </row>
    <row r="166" spans="1:14">
      <c r="A166" s="782" t="s">
        <v>254</v>
      </c>
      <c r="B166" s="599"/>
      <c r="C166" s="599"/>
      <c r="D166" s="506" t="s">
        <v>253</v>
      </c>
      <c r="E166" s="647">
        <f>'10'!F166</f>
        <v>0</v>
      </c>
      <c r="F166" s="1104">
        <f>F63</f>
        <v>0</v>
      </c>
      <c r="G166" s="648">
        <f t="shared" si="16"/>
        <v>0</v>
      </c>
      <c r="H166" s="1335" t="s">
        <v>338</v>
      </c>
      <c r="N166" s="714"/>
    </row>
    <row r="167" spans="1:14" ht="35.25" customHeight="1">
      <c r="A167" s="1502" t="s">
        <v>161</v>
      </c>
      <c r="B167" s="1502"/>
      <c r="C167" s="1502"/>
      <c r="D167" s="518" t="s">
        <v>253</v>
      </c>
      <c r="E167" s="647">
        <f>'10'!F167</f>
        <v>162647</v>
      </c>
      <c r="F167" s="1104">
        <f t="shared" ref="F167:F172" si="17">F64</f>
        <v>163000</v>
      </c>
      <c r="G167" s="648">
        <f t="shared" si="16"/>
        <v>353</v>
      </c>
      <c r="N167" s="714"/>
    </row>
    <row r="168" spans="1:14" ht="33" customHeight="1">
      <c r="A168" s="1502" t="s">
        <v>162</v>
      </c>
      <c r="B168" s="1502"/>
      <c r="C168" s="1502"/>
      <c r="D168" s="518" t="s">
        <v>253</v>
      </c>
      <c r="E168" s="647">
        <f>'10'!F168</f>
        <v>163365</v>
      </c>
      <c r="F168" s="1104">
        <f t="shared" si="17"/>
        <v>163635</v>
      </c>
      <c r="G168" s="648">
        <f t="shared" si="16"/>
        <v>270</v>
      </c>
      <c r="N168" s="714"/>
    </row>
    <row r="169" spans="1:14" ht="40.5" customHeight="1">
      <c r="A169" s="1502" t="s">
        <v>255</v>
      </c>
      <c r="B169" s="1502"/>
      <c r="C169" s="1502"/>
      <c r="D169" s="518" t="s">
        <v>253</v>
      </c>
      <c r="E169" s="647">
        <f>'10'!F169</f>
        <v>60224</v>
      </c>
      <c r="F169" s="1104">
        <f t="shared" si="17"/>
        <v>60644</v>
      </c>
      <c r="G169" s="648">
        <f t="shared" si="16"/>
        <v>420</v>
      </c>
      <c r="N169" s="714"/>
    </row>
    <row r="170" spans="1:14" ht="30.75" customHeight="1">
      <c r="A170" s="1502" t="s">
        <v>157</v>
      </c>
      <c r="B170" s="1502"/>
      <c r="C170" s="1502"/>
      <c r="D170" s="518" t="s">
        <v>253</v>
      </c>
      <c r="E170" s="647">
        <f>'10'!F170</f>
        <v>256073</v>
      </c>
      <c r="F170" s="1104">
        <f t="shared" si="17"/>
        <v>256499</v>
      </c>
      <c r="G170" s="648">
        <f t="shared" si="16"/>
        <v>426</v>
      </c>
      <c r="N170" s="714"/>
    </row>
    <row r="171" spans="1:14" ht="30.75" customHeight="1">
      <c r="A171" s="1502" t="s">
        <v>164</v>
      </c>
      <c r="B171" s="1502"/>
      <c r="C171" s="1502"/>
      <c r="D171" s="518" t="s">
        <v>253</v>
      </c>
      <c r="E171" s="647">
        <f>'10'!F171</f>
        <v>85321</v>
      </c>
      <c r="F171" s="1104">
        <f t="shared" si="17"/>
        <v>85321</v>
      </c>
      <c r="G171" s="648">
        <f t="shared" si="16"/>
        <v>0</v>
      </c>
      <c r="N171" s="714"/>
    </row>
    <row r="172" spans="1:14" ht="28.5" customHeight="1">
      <c r="A172" s="1502" t="s">
        <v>165</v>
      </c>
      <c r="B172" s="1502"/>
      <c r="C172" s="1502"/>
      <c r="D172" s="518" t="s">
        <v>253</v>
      </c>
      <c r="E172" s="647">
        <f>'10'!F172</f>
        <v>82925</v>
      </c>
      <c r="F172" s="1104">
        <f t="shared" si="17"/>
        <v>83077</v>
      </c>
      <c r="G172" s="648">
        <f t="shared" si="16"/>
        <v>152</v>
      </c>
      <c r="N172" s="714"/>
    </row>
    <row r="173" spans="1:14">
      <c r="A173" s="1512" t="s">
        <v>329</v>
      </c>
      <c r="B173" s="1495"/>
      <c r="C173" s="781"/>
      <c r="D173" s="518" t="s">
        <v>253</v>
      </c>
      <c r="E173" s="647">
        <f>'10'!F173</f>
        <v>18928.5</v>
      </c>
      <c r="F173" s="527">
        <v>18928.5</v>
      </c>
      <c r="G173" s="648">
        <f t="shared" si="16"/>
        <v>0</v>
      </c>
      <c r="N173" s="714"/>
    </row>
    <row r="174" spans="1:14">
      <c r="A174" s="1512" t="s">
        <v>332</v>
      </c>
      <c r="B174" s="1495"/>
      <c r="C174" s="781"/>
      <c r="D174" s="518" t="s">
        <v>253</v>
      </c>
      <c r="E174" s="647">
        <f>'10'!F174</f>
        <v>27542</v>
      </c>
      <c r="F174" s="527">
        <v>27546</v>
      </c>
      <c r="G174" s="648">
        <f t="shared" si="16"/>
        <v>4</v>
      </c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44.25" customHeight="1">
      <c r="N178" s="714"/>
    </row>
    <row r="179" spans="14:14" ht="21.75" customHeight="1">
      <c r="N179" s="714"/>
    </row>
    <row r="180" spans="14:14" ht="21.75" customHeight="1">
      <c r="N180" s="714"/>
    </row>
    <row r="181" spans="14:14" ht="21.75" customHeight="1">
      <c r="N181" s="714"/>
    </row>
    <row r="182" spans="14:14" ht="21.75" customHeight="1">
      <c r="N182" s="714"/>
    </row>
    <row r="183" spans="14:14" ht="21.75" customHeight="1">
      <c r="N183" s="714"/>
    </row>
    <row r="184" spans="14:14" ht="21.75" customHeight="1">
      <c r="N184" s="714"/>
    </row>
    <row r="185" spans="14:14" ht="21.75" customHeight="1">
      <c r="N185" s="714"/>
    </row>
    <row r="186" spans="14:14" ht="21.75" customHeight="1">
      <c r="N186" s="714"/>
    </row>
    <row r="187" spans="14:14" ht="21.75" customHeight="1">
      <c r="N187" s="714"/>
    </row>
    <row r="188" spans="14:14" ht="21.75" customHeight="1">
      <c r="N188" s="714"/>
    </row>
    <row r="189" spans="14:14" ht="21.75" customHeight="1">
      <c r="N189" s="714"/>
    </row>
    <row r="190" spans="14:14" ht="21.75" customHeight="1">
      <c r="N190" s="714"/>
    </row>
    <row r="191" spans="14:14" ht="21.75" customHeight="1">
      <c r="N191" s="714"/>
    </row>
    <row r="192" spans="14:14" ht="21.75" customHeight="1">
      <c r="N192" s="714"/>
    </row>
    <row r="193" spans="14:14" ht="21.75" customHeight="1">
      <c r="N193" s="714"/>
    </row>
    <row r="194" spans="14:14" ht="36.75" customHeight="1">
      <c r="N194" s="714"/>
    </row>
    <row r="195" spans="14:14">
      <c r="N195" s="714"/>
    </row>
    <row r="196" spans="14:14">
      <c r="N196" s="714"/>
    </row>
    <row r="197" spans="14:14">
      <c r="N197" s="714"/>
    </row>
    <row r="198" spans="14:14">
      <c r="N198" s="714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42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49" customWidth="1"/>
    <col min="2" max="2" width="30.1093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1142"/>
    <col min="16" max="17" width="22.33203125" style="436"/>
    <col min="18" max="16384" width="22.33203125" style="373"/>
  </cols>
  <sheetData>
    <row r="1" spans="1:17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7" s="278" customFormat="1" ht="27">
      <c r="A2" s="570" t="s">
        <v>339</v>
      </c>
      <c r="B2" s="1028">
        <v>44359</v>
      </c>
      <c r="C2" s="1394" t="s">
        <v>111</v>
      </c>
      <c r="D2" s="606">
        <v>0.78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1143"/>
      <c r="P2" s="706"/>
      <c r="Q2" s="706"/>
    </row>
    <row r="3" spans="1:17" s="278" customFormat="1" ht="27">
      <c r="A3" s="565"/>
      <c r="B3" s="609"/>
      <c r="C3" s="1394" t="s">
        <v>186</v>
      </c>
      <c r="D3" s="607">
        <v>28</v>
      </c>
      <c r="E3" s="1474" t="s">
        <v>187</v>
      </c>
      <c r="F3" s="1475"/>
      <c r="G3" s="457">
        <f>'1'!G3</f>
        <v>0</v>
      </c>
      <c r="H3" s="458">
        <f>'1'!H3</f>
        <v>0</v>
      </c>
      <c r="I3" s="458">
        <f>'1'!I3</f>
        <v>0</v>
      </c>
      <c r="J3" s="610">
        <f>'1'!J3</f>
        <v>0</v>
      </c>
      <c r="K3" s="368"/>
      <c r="L3" s="289"/>
      <c r="N3" s="713"/>
      <c r="O3" s="1143"/>
      <c r="P3" s="706"/>
      <c r="Q3" s="706"/>
    </row>
    <row r="4" spans="1:17" s="278" customFormat="1" ht="27">
      <c r="A4" s="571"/>
      <c r="B4" s="611"/>
      <c r="C4" s="1394" t="s">
        <v>188</v>
      </c>
      <c r="D4" s="606">
        <v>0.79</v>
      </c>
      <c r="E4" s="459"/>
      <c r="F4" s="459"/>
      <c r="G4" s="459"/>
      <c r="H4" s="459"/>
      <c r="I4" s="460"/>
      <c r="J4" s="610"/>
      <c r="K4" s="369"/>
      <c r="L4" s="289"/>
      <c r="N4" s="713"/>
      <c r="O4" s="1143"/>
      <c r="P4" s="706"/>
      <c r="Q4" s="706"/>
    </row>
    <row r="5" spans="1:17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7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7" ht="30" thickBot="1">
      <c r="A7" s="672" t="s">
        <v>197</v>
      </c>
      <c r="B7" s="673"/>
      <c r="C7" s="673"/>
      <c r="D7" s="633" t="s">
        <v>198</v>
      </c>
      <c r="E7" s="628">
        <f>'11'!F7</f>
        <v>533846</v>
      </c>
      <c r="F7" s="450">
        <v>552607</v>
      </c>
      <c r="G7" s="674">
        <f>F7-E7</f>
        <v>18761</v>
      </c>
      <c r="H7" s="675">
        <f>G7+'11'!H7</f>
        <v>208195</v>
      </c>
      <c r="I7" s="676">
        <f>'1'!I7</f>
        <v>12000</v>
      </c>
      <c r="J7" s="677">
        <f>H7/DAY(B2)</f>
        <v>17349.583333333332</v>
      </c>
      <c r="K7" s="544"/>
      <c r="L7" s="374"/>
      <c r="N7" s="714"/>
      <c r="O7" s="723"/>
      <c r="P7" s="707"/>
    </row>
    <row r="8" spans="1:17" ht="27.75" thickBot="1">
      <c r="A8" s="678" t="s">
        <v>199</v>
      </c>
      <c r="B8" s="679"/>
      <c r="C8" s="680"/>
      <c r="D8" s="681" t="s">
        <v>59</v>
      </c>
      <c r="E8" s="628">
        <f>'11'!F8</f>
        <v>536722</v>
      </c>
      <c r="F8" s="470">
        <v>555552</v>
      </c>
      <c r="G8" s="685">
        <f>F8-E8</f>
        <v>18830</v>
      </c>
      <c r="H8" s="675">
        <f>G8+'11'!H8</f>
        <v>209042</v>
      </c>
      <c r="I8" s="682">
        <f>'1'!I8</f>
        <v>12000</v>
      </c>
      <c r="J8" s="677">
        <f>H8/DAY(B2)</f>
        <v>17420.166666666668</v>
      </c>
      <c r="K8" s="544"/>
      <c r="L8" s="421"/>
      <c r="M8" s="435"/>
      <c r="N8" s="714"/>
      <c r="O8" s="723"/>
      <c r="P8" s="709"/>
    </row>
    <row r="9" spans="1:17">
      <c r="A9" s="683" t="s">
        <v>200</v>
      </c>
      <c r="B9" s="684"/>
      <c r="C9" s="684"/>
      <c r="D9" s="633" t="s">
        <v>198</v>
      </c>
      <c r="E9" s="628">
        <f>'11'!F9</f>
        <v>1657132</v>
      </c>
      <c r="F9" s="473">
        <v>1675297</v>
      </c>
      <c r="G9" s="698">
        <f t="shared" ref="G9:G12" si="0">F9-E9</f>
        <v>18165</v>
      </c>
      <c r="H9" s="675">
        <f>G9+'11'!H9</f>
        <v>201607</v>
      </c>
      <c r="I9" s="686">
        <f>I7-J7</f>
        <v>-5349.5833333333321</v>
      </c>
      <c r="J9" s="677">
        <f>H9/DAY(B2)</f>
        <v>16800.583333333332</v>
      </c>
      <c r="K9" s="424"/>
      <c r="L9" s="374"/>
      <c r="N9" s="714"/>
      <c r="O9" s="723"/>
      <c r="P9" s="709"/>
    </row>
    <row r="10" spans="1:17">
      <c r="A10" s="672" t="s">
        <v>201</v>
      </c>
      <c r="B10" s="673"/>
      <c r="C10" s="673"/>
      <c r="D10" s="633" t="s">
        <v>198</v>
      </c>
      <c r="E10" s="628">
        <f>'11'!F10</f>
        <v>2606.5500000000002</v>
      </c>
      <c r="F10" s="473">
        <v>2606.5500000000002</v>
      </c>
      <c r="G10" s="685">
        <f t="shared" si="0"/>
        <v>0</v>
      </c>
      <c r="H10" s="675">
        <f>G10+'11'!H10</f>
        <v>0.42000000000007276</v>
      </c>
      <c r="I10" s="687"/>
      <c r="J10" s="677">
        <f>H10/DAY(B2)</f>
        <v>3.5000000000006061E-2</v>
      </c>
      <c r="K10" s="424"/>
      <c r="L10" s="374"/>
      <c r="N10" s="714"/>
      <c r="O10" s="723"/>
      <c r="P10" s="709"/>
    </row>
    <row r="11" spans="1:17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G11+'11'!H11</f>
        <v>0</v>
      </c>
      <c r="I11" s="687"/>
      <c r="J11" s="677">
        <f>H11/DAY(B2)</f>
        <v>0</v>
      </c>
      <c r="K11" s="424"/>
      <c r="L11" s="374"/>
      <c r="N11" s="714"/>
      <c r="O11" s="723"/>
      <c r="P11" s="709"/>
    </row>
    <row r="12" spans="1:17">
      <c r="A12" s="672" t="s">
        <v>203</v>
      </c>
      <c r="B12" s="673"/>
      <c r="C12" s="673"/>
      <c r="D12" s="633" t="s">
        <v>198</v>
      </c>
      <c r="E12" s="628">
        <f>'5'!E12</f>
        <v>40010</v>
      </c>
      <c r="F12" s="473">
        <v>40010</v>
      </c>
      <c r="G12" s="685">
        <f t="shared" si="0"/>
        <v>0</v>
      </c>
      <c r="H12" s="675">
        <f>G12+'11'!H12</f>
        <v>0</v>
      </c>
      <c r="I12" s="687"/>
      <c r="J12" s="677">
        <f>H12/DAY(B2)</f>
        <v>0</v>
      </c>
      <c r="K12" s="424"/>
      <c r="L12" s="374"/>
      <c r="N12" s="714"/>
      <c r="O12" s="723"/>
      <c r="P12" s="709"/>
    </row>
    <row r="13" spans="1:17">
      <c r="A13" s="688" t="s">
        <v>204</v>
      </c>
      <c r="B13" s="689"/>
      <c r="C13" s="689"/>
      <c r="D13" s="633"/>
      <c r="E13" s="628"/>
      <c r="F13" s="450"/>
      <c r="G13" s="690">
        <f>G9+G10+G11+G12</f>
        <v>18165</v>
      </c>
      <c r="H13" s="675">
        <f>G13+'11'!H13</f>
        <v>185082.41999999998</v>
      </c>
      <c r="I13" s="691">
        <f>G7-G13</f>
        <v>596</v>
      </c>
      <c r="J13" s="677">
        <f>H13/DAY(B2)</f>
        <v>15423.534999999998</v>
      </c>
      <c r="K13" s="424"/>
      <c r="L13" s="374"/>
      <c r="N13" s="714"/>
      <c r="O13" s="723"/>
      <c r="P13" s="709"/>
    </row>
    <row r="14" spans="1:17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714"/>
      <c r="O14" s="723"/>
      <c r="P14" s="709"/>
    </row>
    <row r="15" spans="1:17">
      <c r="A15" s="788" t="s">
        <v>133</v>
      </c>
      <c r="B15" s="789"/>
      <c r="C15" s="789"/>
      <c r="D15" s="519" t="s">
        <v>206</v>
      </c>
      <c r="E15" s="480">
        <f>'11'!F15</f>
        <v>1689635</v>
      </c>
      <c r="F15" s="480">
        <v>1690095</v>
      </c>
      <c r="G15" s="660">
        <f>(F15-E15)</f>
        <v>460</v>
      </c>
      <c r="H15" s="481">
        <f>G15+'11'!H15</f>
        <v>5571</v>
      </c>
      <c r="I15" s="469">
        <v>800</v>
      </c>
      <c r="J15" s="548">
        <f>H15/DAY(B2)</f>
        <v>464.25</v>
      </c>
      <c r="K15" s="424"/>
      <c r="L15" s="374"/>
      <c r="N15" s="714"/>
      <c r="O15" s="723"/>
      <c r="P15" s="709"/>
    </row>
    <row r="16" spans="1:17">
      <c r="A16" s="582"/>
      <c r="B16" s="583"/>
      <c r="C16" s="583"/>
      <c r="D16" s="519"/>
      <c r="E16" s="480"/>
      <c r="F16" s="480"/>
      <c r="G16" s="665"/>
      <c r="H16" s="481"/>
      <c r="I16" s="477">
        <f>I15-J15</f>
        <v>335.75</v>
      </c>
      <c r="J16" s="548"/>
      <c r="K16" s="424"/>
      <c r="L16" s="374"/>
      <c r="N16" s="714"/>
      <c r="O16" s="723"/>
      <c r="P16" s="709"/>
    </row>
    <row r="17" spans="1:17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3"/>
      <c r="P17" s="709"/>
    </row>
    <row r="18" spans="1:17" ht="27.75">
      <c r="A18" s="1506" t="s">
        <v>208</v>
      </c>
      <c r="B18" s="1507"/>
      <c r="C18" s="1508"/>
      <c r="D18" s="633" t="s">
        <v>209</v>
      </c>
      <c r="E18" s="630">
        <f>'11'!F18</f>
        <v>4</v>
      </c>
      <c r="F18" s="473">
        <v>6</v>
      </c>
      <c r="G18" s="690">
        <f>F18*10</f>
        <v>60</v>
      </c>
      <c r="H18" s="675">
        <f>G18+'11'!H18</f>
        <v>630</v>
      </c>
      <c r="I18" s="676">
        <f>'1'!I18</f>
        <v>65</v>
      </c>
      <c r="J18" s="677">
        <f>H18/DAY(B2)</f>
        <v>52.5</v>
      </c>
      <c r="K18" s="424"/>
      <c r="L18" s="374"/>
      <c r="N18" s="714"/>
      <c r="O18" s="723"/>
      <c r="P18" s="709"/>
    </row>
    <row r="19" spans="1:17" ht="27.75">
      <c r="A19" s="1506" t="s">
        <v>113</v>
      </c>
      <c r="B19" s="1507"/>
      <c r="C19" s="1508"/>
      <c r="D19" s="633" t="s">
        <v>209</v>
      </c>
      <c r="E19" s="630">
        <f>'11'!F19</f>
        <v>140303</v>
      </c>
      <c r="F19" s="473">
        <v>140368</v>
      </c>
      <c r="G19" s="685">
        <f t="shared" ref="G19" si="1">F19-E19</f>
        <v>65</v>
      </c>
      <c r="H19" s="675">
        <f>G19+'11'!H19</f>
        <v>756</v>
      </c>
      <c r="I19" s="692"/>
      <c r="J19" s="677">
        <f>H19/DAY(B2)</f>
        <v>63</v>
      </c>
      <c r="K19" s="424"/>
      <c r="L19" s="374"/>
      <c r="N19" s="714"/>
      <c r="O19" s="723"/>
      <c r="P19" s="709"/>
    </row>
    <row r="20" spans="1:17">
      <c r="A20" s="688" t="s">
        <v>210</v>
      </c>
      <c r="B20" s="689"/>
      <c r="C20" s="689"/>
      <c r="D20" s="633"/>
      <c r="E20" s="633"/>
      <c r="F20" s="705"/>
      <c r="G20" s="693">
        <f>G18+G19</f>
        <v>125</v>
      </c>
      <c r="H20" s="675">
        <f>G20+'11'!H20</f>
        <v>1386</v>
      </c>
      <c r="I20" s="694">
        <f>I18-J20</f>
        <v>-50.5</v>
      </c>
      <c r="J20" s="677">
        <f>H20/DAY(B2)</f>
        <v>115.5</v>
      </c>
      <c r="K20" s="424"/>
      <c r="L20" s="374"/>
      <c r="N20" s="714"/>
      <c r="O20" s="723"/>
      <c r="P20" s="709"/>
    </row>
    <row r="21" spans="1:17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3"/>
      <c r="P21" s="709"/>
    </row>
    <row r="22" spans="1:17">
      <c r="A22" s="1392" t="s">
        <v>212</v>
      </c>
      <c r="B22" s="584"/>
      <c r="C22" s="584"/>
      <c r="D22" s="518" t="s">
        <v>213</v>
      </c>
      <c r="E22" s="630">
        <f>'11'!F22</f>
        <v>2970</v>
      </c>
      <c r="F22" s="473">
        <v>2970</v>
      </c>
      <c r="G22" s="476">
        <f t="shared" ref="G22" si="2">(F22-E22)</f>
        <v>0</v>
      </c>
      <c r="H22" s="455">
        <f>G22+'11'!H22</f>
        <v>0</v>
      </c>
      <c r="I22" s="475"/>
      <c r="J22" s="547">
        <f>H22/DAY(B2)</f>
        <v>0</v>
      </c>
      <c r="K22" s="424"/>
      <c r="L22" s="374"/>
      <c r="N22" s="714"/>
      <c r="O22" s="723"/>
      <c r="P22" s="709"/>
    </row>
    <row r="23" spans="1:17">
      <c r="A23" s="1392" t="s">
        <v>214</v>
      </c>
      <c r="B23" s="584"/>
      <c r="C23" s="584"/>
      <c r="D23" s="518" t="s">
        <v>213</v>
      </c>
      <c r="E23" s="630">
        <f>'11'!F23</f>
        <v>2000</v>
      </c>
      <c r="F23" s="473">
        <v>2900</v>
      </c>
      <c r="G23" s="476">
        <v>0</v>
      </c>
      <c r="H23" s="455">
        <f>G23+'11'!H23</f>
        <v>120</v>
      </c>
      <c r="I23" s="475"/>
      <c r="J23" s="547">
        <f>H23/DAY(B2)</f>
        <v>10</v>
      </c>
      <c r="K23" s="424"/>
      <c r="L23" s="374"/>
      <c r="N23" s="714"/>
      <c r="O23" s="723"/>
      <c r="P23" s="709"/>
    </row>
    <row r="24" spans="1:17">
      <c r="A24" s="585" t="s">
        <v>215</v>
      </c>
      <c r="B24" s="586"/>
      <c r="C24" s="586"/>
      <c r="D24" s="506" t="s">
        <v>213</v>
      </c>
      <c r="E24" s="488">
        <f>'11'!F24</f>
        <v>4970</v>
      </c>
      <c r="F24" s="480">
        <v>4970</v>
      </c>
      <c r="G24" s="476">
        <v>0</v>
      </c>
      <c r="H24" s="455">
        <f>G24+'11'!H24</f>
        <v>120</v>
      </c>
      <c r="I24" s="475"/>
      <c r="J24" s="547">
        <f>H24/DAY(B2)</f>
        <v>10</v>
      </c>
      <c r="K24" s="424"/>
      <c r="L24" s="374"/>
      <c r="N24" s="714"/>
      <c r="O24" s="723"/>
      <c r="P24" s="709"/>
    </row>
    <row r="25" spans="1:17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3"/>
      <c r="P25" s="709"/>
      <c r="Q25" s="440"/>
    </row>
    <row r="26" spans="1:17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3"/>
      <c r="P26" s="709"/>
      <c r="Q26" s="440"/>
    </row>
    <row r="27" spans="1:17" s="437" customFormat="1" ht="27.75">
      <c r="A27" s="587" t="s">
        <v>40</v>
      </c>
      <c r="B27" s="588"/>
      <c r="C27" s="589"/>
      <c r="D27" s="614" t="s">
        <v>59</v>
      </c>
      <c r="E27" s="695">
        <f>G8</f>
        <v>18830</v>
      </c>
      <c r="F27" s="496">
        <v>9</v>
      </c>
      <c r="G27" s="497">
        <f>E27*F27</f>
        <v>169470</v>
      </c>
      <c r="H27" s="455">
        <f>G27+'11'!H27</f>
        <v>1880541</v>
      </c>
      <c r="I27" s="498"/>
      <c r="J27" s="547">
        <f>H27/DAY(B2)</f>
        <v>156711.75</v>
      </c>
      <c r="K27" s="370"/>
      <c r="L27" s="438"/>
      <c r="N27" s="714"/>
      <c r="O27" s="723"/>
      <c r="P27" s="709"/>
      <c r="Q27" s="440"/>
    </row>
    <row r="28" spans="1:17" s="437" customFormat="1" ht="27.75">
      <c r="A28" s="587" t="s">
        <v>219</v>
      </c>
      <c r="B28" s="588"/>
      <c r="C28" s="589"/>
      <c r="D28" s="614" t="s">
        <v>220</v>
      </c>
      <c r="E28" s="695">
        <f>G15</f>
        <v>460</v>
      </c>
      <c r="F28" s="496">
        <v>52</v>
      </c>
      <c r="G28" s="497">
        <f>E28*F28</f>
        <v>23920</v>
      </c>
      <c r="H28" s="455">
        <f>G28+'11'!H28</f>
        <v>289692</v>
      </c>
      <c r="I28" s="500"/>
      <c r="J28" s="547">
        <f>H28/DAY(B2)</f>
        <v>24141</v>
      </c>
      <c r="K28" s="370"/>
      <c r="L28" s="438"/>
      <c r="N28" s="714"/>
      <c r="O28" s="723"/>
      <c r="P28" s="709"/>
      <c r="Q28" s="440"/>
    </row>
    <row r="29" spans="1:17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G29+'11'!H29</f>
        <v>8280</v>
      </c>
      <c r="I29" s="500"/>
      <c r="J29" s="547">
        <f>H29/DAY(B2)</f>
        <v>690</v>
      </c>
      <c r="K29" s="370"/>
      <c r="L29" s="438"/>
      <c r="N29" s="714"/>
      <c r="O29" s="723"/>
      <c r="P29" s="709"/>
      <c r="Q29" s="440"/>
    </row>
    <row r="30" spans="1:17" s="437" customFormat="1" ht="27.75">
      <c r="A30" s="587" t="s">
        <v>223</v>
      </c>
      <c r="B30" s="588"/>
      <c r="C30" s="589"/>
      <c r="D30" s="614" t="s">
        <v>224</v>
      </c>
      <c r="E30" s="695">
        <f>G19</f>
        <v>65</v>
      </c>
      <c r="F30" s="496">
        <v>146</v>
      </c>
      <c r="G30" s="497">
        <f>E30*F30</f>
        <v>9490</v>
      </c>
      <c r="H30" s="455">
        <f>G30+'11'!H30</f>
        <v>110376</v>
      </c>
      <c r="I30" s="500"/>
      <c r="J30" s="547">
        <f>H30/DAY(B2)</f>
        <v>9198</v>
      </c>
      <c r="K30" s="370"/>
      <c r="L30" s="438"/>
      <c r="N30" s="714"/>
      <c r="O30" s="723"/>
      <c r="P30" s="709"/>
      <c r="Q30" s="440"/>
    </row>
    <row r="31" spans="1:17" s="437" customFormat="1" ht="27.75">
      <c r="A31" s="587" t="s">
        <v>225</v>
      </c>
      <c r="B31" s="588"/>
      <c r="C31" s="589"/>
      <c r="D31" s="614" t="s">
        <v>209</v>
      </c>
      <c r="E31" s="695">
        <f>G18</f>
        <v>60</v>
      </c>
      <c r="F31" s="496">
        <v>80</v>
      </c>
      <c r="G31" s="497">
        <f>E31*F31</f>
        <v>4800</v>
      </c>
      <c r="H31" s="455">
        <f>G31+'11'!H31</f>
        <v>50400</v>
      </c>
      <c r="I31" s="500"/>
      <c r="J31" s="547">
        <f>H31/DAY(B2)</f>
        <v>4200</v>
      </c>
      <c r="K31" s="370"/>
      <c r="L31" s="438"/>
      <c r="N31" s="714"/>
      <c r="O31" s="723"/>
      <c r="P31" s="709"/>
      <c r="Q31" s="440"/>
    </row>
    <row r="32" spans="1:17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207680</v>
      </c>
      <c r="H32" s="455">
        <f>G32+'11'!H32</f>
        <v>2339289</v>
      </c>
      <c r="I32" s="504"/>
      <c r="J32" s="547">
        <f>H32/DAY(B2)</f>
        <v>194940.75</v>
      </c>
      <c r="K32" s="370"/>
      <c r="L32" s="438"/>
      <c r="N32" s="714"/>
      <c r="O32" s="723"/>
      <c r="P32" s="709"/>
      <c r="Q32" s="440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3"/>
      <c r="P33" s="70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3"/>
      <c r="P34" s="709"/>
    </row>
    <row r="35" spans="1:16">
      <c r="A35" s="573" t="s">
        <v>229</v>
      </c>
      <c r="B35" s="574"/>
      <c r="C35" s="574"/>
      <c r="D35" s="518" t="s">
        <v>198</v>
      </c>
      <c r="E35" s="505">
        <f>'11'!F35</f>
        <v>976723</v>
      </c>
      <c r="F35" s="505">
        <v>979277</v>
      </c>
      <c r="G35" s="468">
        <f t="shared" ref="G35:G46" si="3">F35-E35</f>
        <v>2554</v>
      </c>
      <c r="H35" s="455">
        <f>G35+'11'!H35</f>
        <v>28789</v>
      </c>
      <c r="I35" s="450"/>
      <c r="J35" s="547">
        <f>H35/DAY(B2)</f>
        <v>2399.0833333333335</v>
      </c>
      <c r="K35" s="424"/>
      <c r="L35" s="374"/>
      <c r="N35" s="714"/>
      <c r="O35" s="723"/>
      <c r="P35" s="709"/>
    </row>
    <row r="36" spans="1:16">
      <c r="A36" s="573" t="s">
        <v>230</v>
      </c>
      <c r="B36" s="574"/>
      <c r="C36" s="574"/>
      <c r="D36" s="518" t="s">
        <v>198</v>
      </c>
      <c r="E36" s="505">
        <f>'11'!F36</f>
        <v>6410</v>
      </c>
      <c r="F36" s="505">
        <v>6954</v>
      </c>
      <c r="G36" s="468">
        <f t="shared" si="3"/>
        <v>544</v>
      </c>
      <c r="H36" s="455">
        <f>G36+'11'!H36</f>
        <v>6781</v>
      </c>
      <c r="I36" s="450"/>
      <c r="J36" s="547">
        <f>H36/DAY(B2)</f>
        <v>565.08333333333337</v>
      </c>
      <c r="K36" s="424"/>
      <c r="L36" s="374"/>
      <c r="N36" s="715"/>
      <c r="O36" s="723"/>
      <c r="P36" s="709"/>
    </row>
    <row r="37" spans="1:16">
      <c r="A37" s="573" t="s">
        <v>231</v>
      </c>
      <c r="B37" s="574"/>
      <c r="C37" s="574"/>
      <c r="D37" s="518" t="s">
        <v>198</v>
      </c>
      <c r="E37" s="505">
        <f>'11'!F37</f>
        <v>148828</v>
      </c>
      <c r="F37" s="505">
        <v>150289</v>
      </c>
      <c r="G37" s="468">
        <f t="shared" si="3"/>
        <v>1461</v>
      </c>
      <c r="H37" s="455">
        <f>G37+'11'!H37</f>
        <v>16053</v>
      </c>
      <c r="I37" s="450"/>
      <c r="J37" s="547">
        <f>H37/DAY(B2)</f>
        <v>1337.75</v>
      </c>
      <c r="K37" s="424"/>
      <c r="L37" s="374"/>
      <c r="N37" s="715"/>
      <c r="O37" s="723"/>
      <c r="P37" s="709"/>
    </row>
    <row r="38" spans="1:16">
      <c r="A38" s="573" t="s">
        <v>232</v>
      </c>
      <c r="B38" s="574"/>
      <c r="C38" s="574"/>
      <c r="D38" s="518" t="s">
        <v>198</v>
      </c>
      <c r="E38" s="505">
        <f>'11'!F38</f>
        <v>169782</v>
      </c>
      <c r="F38" s="464">
        <v>171165</v>
      </c>
      <c r="G38" s="468">
        <f t="shared" si="3"/>
        <v>1383</v>
      </c>
      <c r="H38" s="455">
        <f>G38+'11'!H38</f>
        <v>14760</v>
      </c>
      <c r="I38" s="450"/>
      <c r="J38" s="547">
        <f>H38/DAY(B2)</f>
        <v>1230</v>
      </c>
      <c r="K38" s="424"/>
      <c r="L38" s="374"/>
      <c r="N38" s="714"/>
      <c r="O38" s="723"/>
      <c r="P38" s="709"/>
    </row>
    <row r="39" spans="1:16">
      <c r="A39" s="573" t="s">
        <v>233</v>
      </c>
      <c r="B39" s="574"/>
      <c r="C39" s="574"/>
      <c r="D39" s="518" t="s">
        <v>198</v>
      </c>
      <c r="E39" s="505">
        <f>'11'!F39</f>
        <v>338578</v>
      </c>
      <c r="F39" s="505">
        <v>342095</v>
      </c>
      <c r="G39" s="468">
        <f t="shared" si="3"/>
        <v>3517</v>
      </c>
      <c r="H39" s="455">
        <f>G39+'11'!H39</f>
        <v>33922</v>
      </c>
      <c r="I39" s="450"/>
      <c r="J39" s="547">
        <f>H39/DAY(B2)</f>
        <v>2826.8333333333335</v>
      </c>
      <c r="K39" s="424"/>
      <c r="L39" s="374"/>
      <c r="N39" s="714"/>
      <c r="O39" s="723"/>
      <c r="P39" s="709"/>
    </row>
    <row r="40" spans="1:16">
      <c r="A40" s="594" t="s">
        <v>234</v>
      </c>
      <c r="B40" s="595"/>
      <c r="C40" s="595"/>
      <c r="D40" s="518" t="s">
        <v>198</v>
      </c>
      <c r="E40" s="505">
        <f>'11'!F40</f>
        <v>1057</v>
      </c>
      <c r="F40" s="505">
        <v>1057</v>
      </c>
      <c r="G40" s="468">
        <f t="shared" si="3"/>
        <v>0</v>
      </c>
      <c r="H40" s="455">
        <f>G40+'11'!H40</f>
        <v>168</v>
      </c>
      <c r="I40" s="450"/>
      <c r="J40" s="547">
        <f>H40/DAY(B2)</f>
        <v>14</v>
      </c>
      <c r="K40" s="425"/>
      <c r="L40" s="374"/>
      <c r="N40" s="714"/>
      <c r="O40" s="723"/>
      <c r="P40" s="709"/>
    </row>
    <row r="41" spans="1:16">
      <c r="A41" s="573" t="s">
        <v>235</v>
      </c>
      <c r="B41" s="574"/>
      <c r="C41" s="574"/>
      <c r="D41" s="518" t="s">
        <v>198</v>
      </c>
      <c r="E41" s="505">
        <f>'11'!F41</f>
        <v>263103</v>
      </c>
      <c r="F41" s="505">
        <v>268701</v>
      </c>
      <c r="G41" s="468">
        <f>F41-E41</f>
        <v>5598</v>
      </c>
      <c r="H41" s="455">
        <f>G41+'11'!H41</f>
        <v>28223</v>
      </c>
      <c r="I41" s="450"/>
      <c r="J41" s="547">
        <f>H41/DAY(B2)</f>
        <v>2351.9166666666665</v>
      </c>
      <c r="K41" s="424"/>
      <c r="L41" s="374"/>
      <c r="N41" s="714"/>
      <c r="O41" s="723"/>
      <c r="P41" s="709"/>
    </row>
    <row r="42" spans="1:16">
      <c r="A42" s="573" t="s">
        <v>236</v>
      </c>
      <c r="B42" s="574"/>
      <c r="C42" s="574"/>
      <c r="D42" s="518" t="s">
        <v>198</v>
      </c>
      <c r="E42" s="505">
        <f>'11'!F42</f>
        <v>59211</v>
      </c>
      <c r="F42" s="505">
        <v>59211</v>
      </c>
      <c r="G42" s="468">
        <f t="shared" si="3"/>
        <v>0</v>
      </c>
      <c r="H42" s="455">
        <f>G42+'11'!H42</f>
        <v>12.029999999998836</v>
      </c>
      <c r="I42" s="450"/>
      <c r="J42" s="547">
        <f>H42/DAY(B2)</f>
        <v>1.0024999999999029</v>
      </c>
      <c r="K42" s="424"/>
      <c r="L42" s="374"/>
      <c r="N42" s="714"/>
      <c r="O42" s="723"/>
      <c r="P42" s="709"/>
    </row>
    <row r="43" spans="1:16">
      <c r="A43" s="573" t="s">
        <v>237</v>
      </c>
      <c r="B43" s="574"/>
      <c r="C43" s="574"/>
      <c r="D43" s="518" t="s">
        <v>198</v>
      </c>
      <c r="E43" s="505">
        <f>'11'!F43</f>
        <v>1068744</v>
      </c>
      <c r="F43" s="505">
        <v>1071126</v>
      </c>
      <c r="G43" s="468">
        <f t="shared" si="3"/>
        <v>2382</v>
      </c>
      <c r="H43" s="455">
        <f>G43+'11'!H43</f>
        <v>28882</v>
      </c>
      <c r="I43" s="450"/>
      <c r="J43" s="547">
        <f>H43/DAY(B2)</f>
        <v>2406.8333333333335</v>
      </c>
      <c r="K43" s="424"/>
      <c r="L43" s="374"/>
      <c r="N43" s="714"/>
      <c r="O43" s="723"/>
      <c r="P43" s="709"/>
    </row>
    <row r="44" spans="1:16">
      <c r="A44" s="573" t="s">
        <v>238</v>
      </c>
      <c r="B44" s="574"/>
      <c r="C44" s="574"/>
      <c r="D44" s="518" t="s">
        <v>198</v>
      </c>
      <c r="E44" s="505">
        <f>'11'!F44</f>
        <v>0</v>
      </c>
      <c r="F44" s="505">
        <v>0</v>
      </c>
      <c r="G44" s="468">
        <f t="shared" si="3"/>
        <v>0</v>
      </c>
      <c r="H44" s="455">
        <f>G44+'11'!H44</f>
        <v>0</v>
      </c>
      <c r="I44" s="450"/>
      <c r="J44" s="547">
        <f>H44/DAY(B2)</f>
        <v>0</v>
      </c>
      <c r="K44" s="424"/>
      <c r="L44" s="374"/>
      <c r="N44" s="714"/>
      <c r="O44" s="723"/>
      <c r="P44" s="709"/>
    </row>
    <row r="45" spans="1:16">
      <c r="A45" s="573" t="s">
        <v>239</v>
      </c>
      <c r="B45" s="574"/>
      <c r="C45" s="574"/>
      <c r="D45" s="518" t="s">
        <v>198</v>
      </c>
      <c r="E45" s="505">
        <v>0</v>
      </c>
      <c r="F45" s="505">
        <v>0</v>
      </c>
      <c r="G45" s="468">
        <f t="shared" si="3"/>
        <v>0</v>
      </c>
      <c r="H45" s="455">
        <v>0</v>
      </c>
      <c r="I45" s="450"/>
      <c r="J45" s="547">
        <f>H45/DAY(B2)</f>
        <v>0</v>
      </c>
      <c r="K45" s="424"/>
      <c r="L45" s="374"/>
      <c r="N45" s="714"/>
      <c r="O45" s="723"/>
      <c r="P45" s="709"/>
    </row>
    <row r="46" spans="1:16">
      <c r="A46" s="573" t="s">
        <v>240</v>
      </c>
      <c r="B46" s="574"/>
      <c r="C46" s="574"/>
      <c r="D46" s="518" t="s">
        <v>198</v>
      </c>
      <c r="E46" s="505">
        <v>0</v>
      </c>
      <c r="F46" s="505">
        <v>0</v>
      </c>
      <c r="G46" s="468">
        <f t="shared" si="3"/>
        <v>0</v>
      </c>
      <c r="H46" s="455">
        <v>0</v>
      </c>
      <c r="I46" s="450"/>
      <c r="J46" s="547">
        <f>H46/DAY(B2)</f>
        <v>0</v>
      </c>
      <c r="K46" s="424"/>
      <c r="L46" s="374"/>
      <c r="N46" s="714"/>
      <c r="O46" s="723"/>
      <c r="P46" s="709"/>
    </row>
    <row r="47" spans="1:16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17439</v>
      </c>
      <c r="H47" s="455">
        <f>G47+'11'!H47</f>
        <v>157590.51999999999</v>
      </c>
      <c r="I47" s="450"/>
      <c r="J47" s="547">
        <f>H47/DAY(B2)</f>
        <v>13132.543333333333</v>
      </c>
      <c r="K47" s="424"/>
      <c r="L47" s="374"/>
      <c r="N47" s="714"/>
      <c r="O47" s="723"/>
      <c r="P47" s="70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3"/>
      <c r="P48" s="709"/>
    </row>
    <row r="49" spans="1:16">
      <c r="A49" s="573" t="s">
        <v>229</v>
      </c>
      <c r="B49" s="596"/>
      <c r="C49" s="596"/>
      <c r="D49" s="518" t="s">
        <v>198</v>
      </c>
      <c r="E49" s="505">
        <f>'11'!F49</f>
        <v>260732.13</v>
      </c>
      <c r="F49" s="505">
        <v>260732.13</v>
      </c>
      <c r="G49" s="468">
        <f t="shared" ref="G49:G58" si="4">F49-E49</f>
        <v>0</v>
      </c>
      <c r="H49" s="455">
        <f>G49+'11'!H49</f>
        <v>0.13000000000465661</v>
      </c>
      <c r="I49" s="450"/>
      <c r="J49" s="547">
        <f>H49/DAY(B2)</f>
        <v>1.0833333333721384E-2</v>
      </c>
      <c r="K49" s="424"/>
      <c r="L49" s="374"/>
      <c r="N49" s="714"/>
      <c r="O49" s="723"/>
      <c r="P49" s="709"/>
    </row>
    <row r="50" spans="1:16">
      <c r="A50" s="573" t="s">
        <v>243</v>
      </c>
      <c r="B50" s="596"/>
      <c r="C50" s="596"/>
      <c r="D50" s="518" t="s">
        <v>198</v>
      </c>
      <c r="E50" s="505">
        <f>'11'!F50</f>
        <v>512869</v>
      </c>
      <c r="F50" s="505">
        <v>513808</v>
      </c>
      <c r="G50" s="468">
        <f t="shared" si="4"/>
        <v>939</v>
      </c>
      <c r="H50" s="455">
        <f>G50+'11'!H50</f>
        <v>10382</v>
      </c>
      <c r="I50" s="450"/>
      <c r="J50" s="547">
        <f>H50/DAY(B2)</f>
        <v>865.16666666666663</v>
      </c>
      <c r="K50" s="424"/>
      <c r="L50" s="374"/>
      <c r="N50" s="714"/>
      <c r="O50" s="723"/>
      <c r="P50" s="709"/>
    </row>
    <row r="51" spans="1:16">
      <c r="A51" s="573" t="s">
        <v>231</v>
      </c>
      <c r="B51" s="596"/>
      <c r="C51" s="596"/>
      <c r="D51" s="518" t="s">
        <v>198</v>
      </c>
      <c r="E51" s="505">
        <f>'11'!F51</f>
        <v>144639.87</v>
      </c>
      <c r="F51" s="505">
        <v>144639.87</v>
      </c>
      <c r="G51" s="468">
        <f t="shared" si="4"/>
        <v>0</v>
      </c>
      <c r="H51" s="455">
        <f>G51+'11'!H51</f>
        <v>-0.13000000000465661</v>
      </c>
      <c r="I51" s="450"/>
      <c r="J51" s="547">
        <f>H51/DAY(B2)</f>
        <v>-1.0833333333721384E-2</v>
      </c>
      <c r="K51" s="424"/>
      <c r="L51" s="374"/>
      <c r="N51" s="714"/>
      <c r="O51" s="723"/>
      <c r="P51" s="709"/>
    </row>
    <row r="52" spans="1:16">
      <c r="A52" s="573" t="s">
        <v>244</v>
      </c>
      <c r="B52" s="596"/>
      <c r="C52" s="596"/>
      <c r="D52" s="518" t="s">
        <v>198</v>
      </c>
      <c r="E52" s="505">
        <f>'11'!F52</f>
        <v>539606.06999999995</v>
      </c>
      <c r="F52" s="505">
        <v>539606.06999999995</v>
      </c>
      <c r="G52" s="468">
        <f t="shared" si="4"/>
        <v>0</v>
      </c>
      <c r="H52" s="455">
        <v>0</v>
      </c>
      <c r="I52" s="450"/>
      <c r="J52" s="547">
        <f>H52/DAY(B2)</f>
        <v>0</v>
      </c>
      <c r="K52" s="424"/>
      <c r="L52" s="374"/>
      <c r="N52" s="714"/>
      <c r="O52" s="723"/>
      <c r="P52" s="709"/>
    </row>
    <row r="53" spans="1:16">
      <c r="A53" s="573" t="s">
        <v>233</v>
      </c>
      <c r="B53" s="596"/>
      <c r="C53" s="596"/>
      <c r="D53" s="518" t="s">
        <v>198</v>
      </c>
      <c r="E53" s="505">
        <f>'11'!F53</f>
        <v>434232</v>
      </c>
      <c r="F53" s="505">
        <v>434232</v>
      </c>
      <c r="G53" s="468">
        <f t="shared" si="4"/>
        <v>0</v>
      </c>
      <c r="H53" s="455">
        <f>G53+'11'!H53</f>
        <v>1663.6699999999837</v>
      </c>
      <c r="I53" s="450"/>
      <c r="J53" s="547">
        <f>H53/DAY(B2)</f>
        <v>138.63916666666532</v>
      </c>
      <c r="K53" s="424"/>
      <c r="L53" s="374"/>
      <c r="N53" s="714"/>
      <c r="O53" s="723"/>
      <c r="P53" s="709"/>
    </row>
    <row r="54" spans="1:16">
      <c r="A54" s="573" t="s">
        <v>245</v>
      </c>
      <c r="B54" s="596"/>
      <c r="C54" s="596"/>
      <c r="D54" s="518" t="s">
        <v>198</v>
      </c>
      <c r="E54" s="505">
        <f>'11'!F54</f>
        <v>14661</v>
      </c>
      <c r="F54" s="505">
        <v>14744</v>
      </c>
      <c r="G54" s="468">
        <f t="shared" si="4"/>
        <v>83</v>
      </c>
      <c r="H54" s="455">
        <f>G54+'11'!H54</f>
        <v>915</v>
      </c>
      <c r="I54" s="450"/>
      <c r="J54" s="547">
        <f>H54/DAY(B2)</f>
        <v>76.25</v>
      </c>
      <c r="K54" s="424"/>
      <c r="L54" s="374"/>
      <c r="N54" s="714"/>
      <c r="O54" s="723"/>
      <c r="P54" s="709"/>
    </row>
    <row r="55" spans="1:16">
      <c r="A55" s="573" t="s">
        <v>246</v>
      </c>
      <c r="B55" s="596"/>
      <c r="C55" s="596"/>
      <c r="D55" s="518" t="s">
        <v>198</v>
      </c>
      <c r="E55" s="505">
        <f>'11'!F55</f>
        <v>68136.52</v>
      </c>
      <c r="F55" s="649">
        <v>68136.52</v>
      </c>
      <c r="G55" s="648">
        <f t="shared" si="4"/>
        <v>0</v>
      </c>
      <c r="H55" s="701">
        <f>G55+'11'!H55</f>
        <v>25.520000000004075</v>
      </c>
      <c r="I55" s="702"/>
      <c r="J55" s="703">
        <f>H55/DAY(B2)</f>
        <v>2.1266666666670062</v>
      </c>
      <c r="K55" s="424"/>
      <c r="L55" s="374"/>
      <c r="N55" s="714"/>
      <c r="O55" s="723"/>
      <c r="P55" s="709"/>
    </row>
    <row r="56" spans="1:16">
      <c r="A56" s="573" t="s">
        <v>247</v>
      </c>
      <c r="B56" s="596"/>
      <c r="C56" s="596"/>
      <c r="D56" s="518" t="s">
        <v>248</v>
      </c>
      <c r="E56" s="505">
        <f>'11'!F56</f>
        <v>648815</v>
      </c>
      <c r="F56" s="649">
        <v>648815</v>
      </c>
      <c r="G56" s="468">
        <f t="shared" si="4"/>
        <v>0</v>
      </c>
      <c r="H56" s="455">
        <f>G56+'11'!H56</f>
        <v>31617</v>
      </c>
      <c r="I56" s="450"/>
      <c r="J56" s="547">
        <f>H56/DAY(B2)</f>
        <v>2634.75</v>
      </c>
      <c r="K56" s="423"/>
      <c r="L56" s="374"/>
      <c r="N56" s="714"/>
      <c r="O56" s="723"/>
      <c r="P56" s="709"/>
    </row>
    <row r="57" spans="1:16">
      <c r="A57" s="573" t="s">
        <v>237</v>
      </c>
      <c r="B57" s="596"/>
      <c r="C57" s="596"/>
      <c r="D57" s="518" t="s">
        <v>198</v>
      </c>
      <c r="E57" s="505">
        <f>'11'!F57</f>
        <v>7711</v>
      </c>
      <c r="F57" s="505">
        <v>7711</v>
      </c>
      <c r="G57" s="468">
        <f t="shared" si="4"/>
        <v>0</v>
      </c>
      <c r="H57" s="455">
        <f>G57+'11'!H57</f>
        <v>0</v>
      </c>
      <c r="I57" s="450"/>
      <c r="J57" s="547">
        <f>H57/DAY(B2)</f>
        <v>0</v>
      </c>
      <c r="K57" s="424"/>
      <c r="L57" s="374"/>
      <c r="N57" s="714"/>
      <c r="O57" s="723"/>
      <c r="P57" s="709"/>
    </row>
    <row r="58" spans="1:16">
      <c r="A58" s="573" t="s">
        <v>249</v>
      </c>
      <c r="B58" s="596"/>
      <c r="C58" s="596"/>
      <c r="D58" s="518" t="s">
        <v>198</v>
      </c>
      <c r="E58" s="505">
        <f>'11'!F58</f>
        <v>50897</v>
      </c>
      <c r="F58" s="649">
        <v>50934</v>
      </c>
      <c r="G58" s="468">
        <f t="shared" si="4"/>
        <v>37</v>
      </c>
      <c r="H58" s="455">
        <f>G58+'11'!H58</f>
        <v>1069.7900000000009</v>
      </c>
      <c r="I58" s="450"/>
      <c r="J58" s="547">
        <f>H58/DAY(B2)</f>
        <v>89.149166666666744</v>
      </c>
      <c r="K58" s="424"/>
      <c r="L58" s="374"/>
      <c r="N58" s="714"/>
      <c r="O58" s="723"/>
      <c r="P58" s="70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1059</v>
      </c>
      <c r="H59" s="455">
        <f>G59+'11'!H59</f>
        <v>45673.049999999937</v>
      </c>
      <c r="I59" s="450">
        <f>G7-G60</f>
        <v>263</v>
      </c>
      <c r="J59" s="547">
        <f>H59/DAY(B2)</f>
        <v>3806.0874999999946</v>
      </c>
      <c r="K59" s="424"/>
      <c r="L59" s="374"/>
      <c r="N59" s="714"/>
      <c r="O59" s="723"/>
      <c r="P59" s="70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18498</v>
      </c>
      <c r="H60" s="455">
        <f>G60+'11'!H60</f>
        <v>204472.10999999996</v>
      </c>
      <c r="I60" s="450">
        <f>G13-G60</f>
        <v>-333</v>
      </c>
      <c r="J60" s="547">
        <f>H60/DAY(B2)</f>
        <v>17039.342499999995</v>
      </c>
      <c r="K60" s="424"/>
      <c r="L60" s="374"/>
      <c r="N60" s="714"/>
      <c r="O60" s="723"/>
      <c r="P60" s="70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3"/>
      <c r="P61" s="709"/>
    </row>
    <row r="62" spans="1:16">
      <c r="A62" s="598" t="s">
        <v>252</v>
      </c>
      <c r="B62" s="599"/>
      <c r="C62" s="599"/>
      <c r="D62" s="506" t="s">
        <v>253</v>
      </c>
      <c r="E62" s="509">
        <f>'11'!F62</f>
        <v>0</v>
      </c>
      <c r="F62" s="509">
        <v>0</v>
      </c>
      <c r="G62" s="468">
        <f t="shared" ref="G62:G69" si="5">F62-E62</f>
        <v>0</v>
      </c>
      <c r="H62" s="455">
        <f>G62+'11'!H62</f>
        <v>1.9999999967694748E-3</v>
      </c>
      <c r="I62" s="510"/>
      <c r="J62" s="547">
        <f>H62/DAY(B2)</f>
        <v>1.6666666639745623E-4</v>
      </c>
      <c r="K62" s="424"/>
      <c r="L62" s="374"/>
      <c r="N62" s="714"/>
      <c r="O62" s="723"/>
      <c r="P62" s="709"/>
    </row>
    <row r="63" spans="1:16">
      <c r="A63" s="598" t="s">
        <v>254</v>
      </c>
      <c r="B63" s="599"/>
      <c r="C63" s="599"/>
      <c r="D63" s="506" t="s">
        <v>253</v>
      </c>
      <c r="E63" s="509">
        <f>'11'!F63</f>
        <v>0</v>
      </c>
      <c r="F63" s="509">
        <v>0</v>
      </c>
      <c r="G63" s="468">
        <f t="shared" si="5"/>
        <v>0</v>
      </c>
      <c r="H63" s="455">
        <f>G63+'11'!H63</f>
        <v>0</v>
      </c>
      <c r="I63" s="510"/>
      <c r="J63" s="547">
        <f>H63/DAY(B2)</f>
        <v>0</v>
      </c>
      <c r="K63" s="424"/>
      <c r="L63" s="374"/>
      <c r="N63" s="714"/>
      <c r="O63" s="723"/>
      <c r="P63" s="709"/>
    </row>
    <row r="64" spans="1:16" ht="27.75">
      <c r="A64" s="1450" t="s">
        <v>161</v>
      </c>
      <c r="B64" s="1451"/>
      <c r="C64" s="1452"/>
      <c r="D64" s="518" t="s">
        <v>253</v>
      </c>
      <c r="E64" s="509">
        <f>'11'!F64</f>
        <v>163000</v>
      </c>
      <c r="F64" s="473">
        <v>163334</v>
      </c>
      <c r="G64" s="468">
        <f t="shared" si="5"/>
        <v>334</v>
      </c>
      <c r="H64" s="455">
        <f>G64+'11'!H64</f>
        <v>3402</v>
      </c>
      <c r="I64" s="475"/>
      <c r="J64" s="547">
        <f>H64/DAY(B2)</f>
        <v>283.5</v>
      </c>
      <c r="K64" s="424"/>
      <c r="L64" s="374"/>
      <c r="N64" s="714"/>
      <c r="O64" s="723"/>
      <c r="P64" s="709"/>
    </row>
    <row r="65" spans="1:16" ht="27.75">
      <c r="A65" s="1450" t="s">
        <v>162</v>
      </c>
      <c r="B65" s="1451"/>
      <c r="C65" s="1452"/>
      <c r="D65" s="518" t="s">
        <v>253</v>
      </c>
      <c r="E65" s="509">
        <f>'11'!F65</f>
        <v>163635</v>
      </c>
      <c r="F65" s="647">
        <v>164001</v>
      </c>
      <c r="G65" s="468">
        <f t="shared" si="5"/>
        <v>366</v>
      </c>
      <c r="H65" s="455">
        <f>G65+'11'!H65</f>
        <v>3003</v>
      </c>
      <c r="I65" s="484"/>
      <c r="J65" s="547">
        <f>H65/DAY(B2)</f>
        <v>250.25</v>
      </c>
      <c r="K65" s="424"/>
      <c r="L65" s="374"/>
      <c r="N65" s="714"/>
      <c r="O65" s="723"/>
      <c r="P65" s="709"/>
    </row>
    <row r="66" spans="1:16" ht="27.75">
      <c r="A66" s="1450" t="s">
        <v>255</v>
      </c>
      <c r="B66" s="1451"/>
      <c r="C66" s="1452"/>
      <c r="D66" s="518" t="s">
        <v>253</v>
      </c>
      <c r="E66" s="509">
        <f>'11'!F66</f>
        <v>60644</v>
      </c>
      <c r="F66" s="473">
        <v>61071</v>
      </c>
      <c r="G66" s="468">
        <f t="shared" si="5"/>
        <v>427</v>
      </c>
      <c r="H66" s="455">
        <f>G66+'11'!H66</f>
        <v>4266</v>
      </c>
      <c r="I66" s="475"/>
      <c r="J66" s="547">
        <f>H66/DAY(B2)</f>
        <v>355.5</v>
      </c>
      <c r="K66" s="424"/>
      <c r="L66" s="374"/>
      <c r="N66" s="714"/>
      <c r="O66" s="723"/>
      <c r="P66" s="709"/>
    </row>
    <row r="67" spans="1:16" ht="27.75">
      <c r="A67" s="1450" t="s">
        <v>157</v>
      </c>
      <c r="B67" s="1451"/>
      <c r="C67" s="1452"/>
      <c r="D67" s="518" t="s">
        <v>253</v>
      </c>
      <c r="E67" s="509">
        <f>'11'!F67</f>
        <v>256499</v>
      </c>
      <c r="F67" s="473">
        <v>256958</v>
      </c>
      <c r="G67" s="468">
        <f t="shared" si="5"/>
        <v>459</v>
      </c>
      <c r="H67" s="455">
        <f>G67+'11'!H67</f>
        <v>4766</v>
      </c>
      <c r="I67" s="484"/>
      <c r="J67" s="547">
        <f>H67/DAY(B2)</f>
        <v>397.16666666666669</v>
      </c>
      <c r="K67" s="425"/>
      <c r="L67" s="374"/>
      <c r="N67" s="714"/>
      <c r="O67" s="723"/>
      <c r="P67" s="709"/>
    </row>
    <row r="68" spans="1:16" ht="27.75">
      <c r="A68" s="1450" t="s">
        <v>164</v>
      </c>
      <c r="B68" s="1451"/>
      <c r="C68" s="1452"/>
      <c r="D68" s="518" t="s">
        <v>253</v>
      </c>
      <c r="E68" s="509">
        <f>'11'!F68</f>
        <v>85321</v>
      </c>
      <c r="F68" s="473">
        <v>85321</v>
      </c>
      <c r="G68" s="468">
        <f t="shared" si="5"/>
        <v>0</v>
      </c>
      <c r="H68" s="455">
        <f>G68+'11'!H68</f>
        <v>0</v>
      </c>
      <c r="I68" s="511"/>
      <c r="J68" s="547">
        <f>H68/DAY(B2)</f>
        <v>0</v>
      </c>
      <c r="K68" s="426"/>
      <c r="L68" s="374"/>
      <c r="N68" s="714"/>
      <c r="O68" s="723"/>
      <c r="P68" s="709"/>
    </row>
    <row r="69" spans="1:16" ht="27.75">
      <c r="A69" s="1450" t="s">
        <v>165</v>
      </c>
      <c r="B69" s="1451"/>
      <c r="C69" s="1452"/>
      <c r="D69" s="518" t="s">
        <v>253</v>
      </c>
      <c r="E69" s="509">
        <f>'11'!F69</f>
        <v>83077</v>
      </c>
      <c r="F69" s="473">
        <v>83304</v>
      </c>
      <c r="G69" s="468">
        <f t="shared" si="5"/>
        <v>227</v>
      </c>
      <c r="H69" s="455">
        <f>G69+'11'!H69</f>
        <v>1555</v>
      </c>
      <c r="I69" s="511"/>
      <c r="J69" s="547">
        <f>H69/DAY(B2)</f>
        <v>129.58333333333334</v>
      </c>
      <c r="K69" s="427"/>
      <c r="L69" s="374"/>
      <c r="N69" s="714"/>
      <c r="O69" s="723"/>
      <c r="P69" s="709"/>
    </row>
    <row r="70" spans="1:16" ht="27.75">
      <c r="A70" s="1482" t="s">
        <v>256</v>
      </c>
      <c r="B70" s="1483"/>
      <c r="C70" s="1484"/>
      <c r="D70" s="518" t="s">
        <v>253</v>
      </c>
      <c r="E70" s="513"/>
      <c r="F70" s="513"/>
      <c r="G70" s="513">
        <v>0</v>
      </c>
      <c r="H70" s="455">
        <f>G70+'11'!H70</f>
        <v>0</v>
      </c>
      <c r="I70" s="513"/>
      <c r="J70" s="551">
        <f>H70/DAY(B2)</f>
        <v>0</v>
      </c>
      <c r="K70" s="427"/>
      <c r="L70" s="374"/>
      <c r="N70" s="714"/>
      <c r="O70" s="723"/>
      <c r="P70" s="709"/>
    </row>
    <row r="71" spans="1:16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3"/>
      <c r="P71" s="709"/>
    </row>
    <row r="72" spans="1:16" ht="27.75">
      <c r="A72" s="1450" t="s">
        <v>258</v>
      </c>
      <c r="B72" s="1451"/>
      <c r="C72" s="1452"/>
      <c r="D72" s="518" t="s">
        <v>253</v>
      </c>
      <c r="E72" s="514">
        <f>'11'!F72</f>
        <v>855989</v>
      </c>
      <c r="F72" s="650">
        <v>856001</v>
      </c>
      <c r="G72" s="468">
        <f t="shared" ref="G72:G84" si="6">F72-E72</f>
        <v>12</v>
      </c>
      <c r="H72" s="455">
        <f>G72+'11'!H72</f>
        <v>158</v>
      </c>
      <c r="I72" s="475"/>
      <c r="J72" s="547">
        <f>H72/DAY(B2)</f>
        <v>13.166666666666666</v>
      </c>
      <c r="K72" s="427"/>
      <c r="L72" s="374"/>
      <c r="N72" s="714"/>
      <c r="O72" s="723"/>
      <c r="P72" s="709"/>
    </row>
    <row r="73" spans="1:16" ht="27.75">
      <c r="A73" s="1450" t="s">
        <v>259</v>
      </c>
      <c r="B73" s="1451"/>
      <c r="C73" s="1452"/>
      <c r="D73" s="518" t="s">
        <v>253</v>
      </c>
      <c r="E73" s="514">
        <f>'11'!F73</f>
        <v>885949</v>
      </c>
      <c r="F73" s="651">
        <v>885951</v>
      </c>
      <c r="G73" s="648">
        <f t="shared" si="6"/>
        <v>2</v>
      </c>
      <c r="H73" s="455">
        <f>G73+'11'!H73</f>
        <v>14</v>
      </c>
      <c r="I73" s="475"/>
      <c r="J73" s="547">
        <f>H73/DAY(B2)</f>
        <v>1.1666666666666667</v>
      </c>
      <c r="K73" s="426"/>
      <c r="L73" s="374"/>
      <c r="N73" s="714"/>
      <c r="O73" s="723"/>
      <c r="P73" s="709"/>
    </row>
    <row r="74" spans="1:16" ht="27.75">
      <c r="A74" s="1450" t="s">
        <v>260</v>
      </c>
      <c r="B74" s="1451"/>
      <c r="C74" s="1452"/>
      <c r="D74" s="518" t="s">
        <v>253</v>
      </c>
      <c r="E74" s="514">
        <f>'11'!F74</f>
        <v>2599.96</v>
      </c>
      <c r="F74" s="651">
        <v>2599.96</v>
      </c>
      <c r="G74" s="468">
        <f t="shared" si="6"/>
        <v>0</v>
      </c>
      <c r="H74" s="455">
        <f>G74+'11'!H74</f>
        <v>13.960000000000036</v>
      </c>
      <c r="I74" s="475"/>
      <c r="J74" s="547">
        <f>H74/DAY(B2)</f>
        <v>1.1633333333333364</v>
      </c>
      <c r="K74" s="427"/>
      <c r="L74" s="374"/>
      <c r="N74" s="714"/>
      <c r="O74" s="723"/>
      <c r="P74" s="709"/>
    </row>
    <row r="75" spans="1:16" ht="27.75">
      <c r="A75" s="1499" t="s">
        <v>261</v>
      </c>
      <c r="B75" s="1500"/>
      <c r="C75" s="1501"/>
      <c r="D75" s="518" t="s">
        <v>253</v>
      </c>
      <c r="E75" s="514">
        <f>'11'!F75</f>
        <v>13365</v>
      </c>
      <c r="F75" s="651">
        <v>13508</v>
      </c>
      <c r="G75" s="468">
        <f t="shared" si="6"/>
        <v>143</v>
      </c>
      <c r="H75" s="455">
        <f>G75+'11'!H75</f>
        <v>839</v>
      </c>
      <c r="I75" s="475"/>
      <c r="J75" s="547">
        <f>H75/DAY(B2)</f>
        <v>69.916666666666671</v>
      </c>
      <c r="K75" s="426"/>
      <c r="L75" s="374"/>
      <c r="N75" s="714"/>
      <c r="O75" s="723"/>
      <c r="P75" s="709"/>
    </row>
    <row r="76" spans="1:16" ht="27.75">
      <c r="A76" s="1499" t="s">
        <v>262</v>
      </c>
      <c r="B76" s="1500"/>
      <c r="C76" s="1501"/>
      <c r="D76" s="518" t="s">
        <v>253</v>
      </c>
      <c r="E76" s="514">
        <f>'11'!F76</f>
        <v>8065</v>
      </c>
      <c r="F76" s="651">
        <v>8119</v>
      </c>
      <c r="G76" s="468">
        <f t="shared" si="6"/>
        <v>54</v>
      </c>
      <c r="H76" s="455">
        <f>G76+'11'!H76</f>
        <v>700</v>
      </c>
      <c r="I76" s="500"/>
      <c r="J76" s="547">
        <f>H76/DAY(B2)</f>
        <v>58.333333333333336</v>
      </c>
      <c r="K76" s="426"/>
      <c r="L76" s="374"/>
      <c r="N76" s="714"/>
      <c r="O76" s="723"/>
      <c r="P76" s="709"/>
    </row>
    <row r="77" spans="1:16" ht="27.75">
      <c r="A77" s="1450" t="s">
        <v>263</v>
      </c>
      <c r="B77" s="1451"/>
      <c r="C77" s="1452"/>
      <c r="D77" s="518" t="s">
        <v>253</v>
      </c>
      <c r="E77" s="514">
        <f>'11'!F77</f>
        <v>703385</v>
      </c>
      <c r="F77" s="651">
        <v>703432</v>
      </c>
      <c r="G77" s="648">
        <f t="shared" si="6"/>
        <v>47</v>
      </c>
      <c r="H77" s="455">
        <f>G77+'11'!H77</f>
        <v>593</v>
      </c>
      <c r="I77" s="500"/>
      <c r="J77" s="547">
        <f>H77/DAY(B2)</f>
        <v>49.416666666666664</v>
      </c>
      <c r="K77" s="426"/>
      <c r="L77" s="374"/>
      <c r="N77" s="714"/>
      <c r="O77" s="723"/>
      <c r="P77" s="709"/>
    </row>
    <row r="78" spans="1:16" ht="27.75">
      <c r="A78" s="1395" t="s">
        <v>264</v>
      </c>
      <c r="B78" s="1387"/>
      <c r="C78" s="1387"/>
      <c r="D78" s="518" t="s">
        <v>253</v>
      </c>
      <c r="E78" s="514">
        <f>'11'!F78</f>
        <v>673854</v>
      </c>
      <c r="F78" s="652">
        <v>673895</v>
      </c>
      <c r="G78" s="468">
        <f t="shared" si="6"/>
        <v>41</v>
      </c>
      <c r="H78" s="455">
        <f>G78+'11'!H78</f>
        <v>863</v>
      </c>
      <c r="I78" s="500"/>
      <c r="J78" s="547">
        <f>H78/DAY(B2)</f>
        <v>71.916666666666671</v>
      </c>
      <c r="K78" s="426"/>
      <c r="L78" s="374"/>
      <c r="N78" s="714"/>
      <c r="O78" s="723"/>
      <c r="P78" s="709"/>
    </row>
    <row r="79" spans="1:16" ht="27.75">
      <c r="A79" s="1499" t="s">
        <v>151</v>
      </c>
      <c r="B79" s="1500"/>
      <c r="C79" s="1501"/>
      <c r="D79" s="519" t="s">
        <v>253</v>
      </c>
      <c r="E79" s="514">
        <f>'11'!F79</f>
        <v>832639</v>
      </c>
      <c r="F79" s="652">
        <v>832779</v>
      </c>
      <c r="G79" s="468">
        <f t="shared" si="6"/>
        <v>140</v>
      </c>
      <c r="H79" s="455">
        <f>G79+'11'!H79</f>
        <v>1769</v>
      </c>
      <c r="I79" s="500"/>
      <c r="J79" s="547">
        <f>H79/DAY(B2)</f>
        <v>147.41666666666666</v>
      </c>
      <c r="K79" s="426"/>
      <c r="L79" s="374"/>
      <c r="N79" s="714"/>
      <c r="O79" s="723"/>
      <c r="P79" s="709"/>
    </row>
    <row r="80" spans="1:16" ht="27.75">
      <c r="A80" s="1499" t="s">
        <v>265</v>
      </c>
      <c r="B80" s="1500"/>
      <c r="C80" s="1501"/>
      <c r="D80" s="519" t="s">
        <v>253</v>
      </c>
      <c r="E80" s="514">
        <f>'11'!F80</f>
        <v>531694</v>
      </c>
      <c r="F80" s="651">
        <v>532070</v>
      </c>
      <c r="G80" s="468">
        <f t="shared" si="6"/>
        <v>376</v>
      </c>
      <c r="H80" s="455">
        <f>G80+'11'!H80</f>
        <v>4412</v>
      </c>
      <c r="I80" s="500"/>
      <c r="J80" s="547">
        <f>H80/DAY(B2)</f>
        <v>367.66666666666669</v>
      </c>
      <c r="K80" s="426"/>
      <c r="L80" s="374"/>
      <c r="N80" s="714"/>
      <c r="O80" s="723"/>
      <c r="P80" s="709"/>
    </row>
    <row r="81" spans="1:17" ht="27.75">
      <c r="A81" s="1499" t="s">
        <v>266</v>
      </c>
      <c r="B81" s="1500"/>
      <c r="C81" s="1501"/>
      <c r="D81" s="519" t="s">
        <v>253</v>
      </c>
      <c r="E81" s="514">
        <f>'11'!F81</f>
        <v>640108</v>
      </c>
      <c r="F81" s="651">
        <v>640219</v>
      </c>
      <c r="G81" s="468">
        <f t="shared" si="6"/>
        <v>111</v>
      </c>
      <c r="H81" s="455">
        <f>G81+'11'!H81</f>
        <v>1321</v>
      </c>
      <c r="I81" s="500"/>
      <c r="J81" s="547">
        <f>H81/DAY(B2)</f>
        <v>110.08333333333333</v>
      </c>
      <c r="K81" s="426"/>
      <c r="L81" s="374"/>
      <c r="N81" s="714"/>
      <c r="O81" s="723"/>
      <c r="P81" s="709"/>
    </row>
    <row r="82" spans="1:17" ht="27.75">
      <c r="A82" s="1499" t="s">
        <v>267</v>
      </c>
      <c r="B82" s="1500"/>
      <c r="C82" s="1501"/>
      <c r="D82" s="480" t="s">
        <v>198</v>
      </c>
      <c r="E82" s="514">
        <f>'11'!F82</f>
        <v>108336</v>
      </c>
      <c r="F82" s="647">
        <v>108348</v>
      </c>
      <c r="G82" s="468">
        <f t="shared" si="6"/>
        <v>12</v>
      </c>
      <c r="H82" s="455">
        <f>G82+'11'!H82</f>
        <v>190</v>
      </c>
      <c r="I82" s="481"/>
      <c r="J82" s="547">
        <f>H82/DAY(B2)</f>
        <v>15.833333333333334</v>
      </c>
      <c r="K82" s="426"/>
      <c r="L82" s="374"/>
      <c r="N82" s="714"/>
      <c r="O82" s="723"/>
      <c r="P82" s="709"/>
    </row>
    <row r="83" spans="1:17" ht="27.75">
      <c r="A83" s="1499" t="s">
        <v>268</v>
      </c>
      <c r="B83" s="1500"/>
      <c r="C83" s="1501"/>
      <c r="D83" s="615" t="s">
        <v>198</v>
      </c>
      <c r="E83" s="514">
        <f>'11'!F83</f>
        <v>22686</v>
      </c>
      <c r="F83" s="506">
        <v>22884</v>
      </c>
      <c r="G83" s="468">
        <f t="shared" si="6"/>
        <v>198</v>
      </c>
      <c r="H83" s="455">
        <f>G83+'11'!H83</f>
        <v>2378</v>
      </c>
      <c r="I83" s="476"/>
      <c r="J83" s="547">
        <f>H83/DAY(B2)</f>
        <v>198.16666666666666</v>
      </c>
      <c r="K83" s="425"/>
      <c r="L83" s="374"/>
      <c r="N83" s="714"/>
      <c r="O83" s="723"/>
      <c r="P83" s="709"/>
    </row>
    <row r="84" spans="1:17">
      <c r="A84" s="1396" t="s">
        <v>166</v>
      </c>
      <c r="B84" s="566"/>
      <c r="C84" s="566"/>
      <c r="D84" s="473" t="s">
        <v>198</v>
      </c>
      <c r="E84" s="514">
        <f>'11'!F84</f>
        <v>508456</v>
      </c>
      <c r="F84" s="622">
        <v>509052</v>
      </c>
      <c r="G84" s="468">
        <f t="shared" si="6"/>
        <v>596</v>
      </c>
      <c r="H84" s="455">
        <f>G84+'11'!H84</f>
        <v>8758</v>
      </c>
      <c r="I84" s="476"/>
      <c r="J84" s="547">
        <f>H84/DAY(B2)</f>
        <v>729.83333333333337</v>
      </c>
      <c r="K84" s="377"/>
      <c r="L84" s="374"/>
      <c r="N84" s="714"/>
      <c r="O84" s="723"/>
      <c r="P84" s="709"/>
    </row>
    <row r="85" spans="1:17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1732</v>
      </c>
      <c r="H85" s="455">
        <f>G85+'11'!H85</f>
        <v>22008.959999999999</v>
      </c>
      <c r="I85" s="476"/>
      <c r="J85" s="547">
        <f>H85/DAY(B2)</f>
        <v>1834.08</v>
      </c>
      <c r="K85" s="377"/>
      <c r="L85" s="375"/>
      <c r="N85" s="714"/>
      <c r="O85" s="723"/>
      <c r="P85" s="709"/>
      <c r="Q85" s="731"/>
    </row>
    <row r="86" spans="1:17" s="731" customFormat="1">
      <c r="A86" s="726" t="s">
        <v>269</v>
      </c>
      <c r="B86" s="727"/>
      <c r="C86" s="727"/>
      <c r="D86" s="728" t="s">
        <v>248</v>
      </c>
      <c r="E86" s="622">
        <f>'11'!F86</f>
        <v>461277</v>
      </c>
      <c r="F86" s="643">
        <v>461307</v>
      </c>
      <c r="G86" s="701">
        <f t="shared" ref="G86:G91" si="7">F86-E86</f>
        <v>30</v>
      </c>
      <c r="H86" s="701">
        <f t="shared" ref="H86:H88" si="8">G86</f>
        <v>30</v>
      </c>
      <c r="I86" s="648"/>
      <c r="J86" s="703">
        <f>H86/DAY(B2)</f>
        <v>2.5</v>
      </c>
      <c r="K86" s="729"/>
      <c r="L86" s="730"/>
      <c r="O86" s="709"/>
    </row>
    <row r="87" spans="1:17" s="731" customFormat="1">
      <c r="A87" s="726" t="s">
        <v>270</v>
      </c>
      <c r="B87" s="727"/>
      <c r="C87" s="727"/>
      <c r="D87" s="728" t="s">
        <v>248</v>
      </c>
      <c r="E87" s="622">
        <f>'11'!F87</f>
        <v>81602.600000000006</v>
      </c>
      <c r="F87" s="643">
        <v>81615</v>
      </c>
      <c r="G87" s="701">
        <f t="shared" si="7"/>
        <v>12.399999999994179</v>
      </c>
      <c r="H87" s="701">
        <f t="shared" si="8"/>
        <v>12.399999999994179</v>
      </c>
      <c r="I87" s="648"/>
      <c r="J87" s="703">
        <f>H87/DAY(B2)</f>
        <v>1.0333333333328483</v>
      </c>
      <c r="K87" s="729"/>
      <c r="L87" s="730"/>
      <c r="O87" s="709"/>
    </row>
    <row r="88" spans="1:17" s="731" customFormat="1">
      <c r="A88" s="726" t="s">
        <v>158</v>
      </c>
      <c r="B88" s="727"/>
      <c r="C88" s="727"/>
      <c r="D88" s="728" t="s">
        <v>248</v>
      </c>
      <c r="E88" s="622">
        <f>'11'!F88</f>
        <v>153492</v>
      </c>
      <c r="F88" s="643">
        <v>153516</v>
      </c>
      <c r="G88" s="701">
        <f t="shared" si="7"/>
        <v>24</v>
      </c>
      <c r="H88" s="701">
        <f t="shared" si="8"/>
        <v>24</v>
      </c>
      <c r="I88" s="648"/>
      <c r="J88" s="703">
        <f>H88/DAY(B2)</f>
        <v>2</v>
      </c>
      <c r="K88" s="729"/>
      <c r="L88" s="730"/>
      <c r="O88" s="709"/>
    </row>
    <row r="89" spans="1:17" s="731" customFormat="1">
      <c r="A89" s="726" t="s">
        <v>272</v>
      </c>
      <c r="B89" s="727"/>
      <c r="C89" s="727"/>
      <c r="D89" s="728" t="s">
        <v>248</v>
      </c>
      <c r="E89" s="622">
        <f>'11'!F89</f>
        <v>65365</v>
      </c>
      <c r="F89" s="643">
        <v>65381</v>
      </c>
      <c r="G89" s="701">
        <f t="shared" si="7"/>
        <v>16</v>
      </c>
      <c r="H89" s="701">
        <f>G89</f>
        <v>16</v>
      </c>
      <c r="I89" s="648"/>
      <c r="J89" s="703">
        <f>H89/DAY(B2)</f>
        <v>1.3333333333333333</v>
      </c>
      <c r="K89" s="729"/>
      <c r="L89" s="730"/>
      <c r="N89" s="773"/>
      <c r="O89" s="709"/>
    </row>
    <row r="90" spans="1:17" s="731" customFormat="1">
      <c r="A90" s="726" t="s">
        <v>272</v>
      </c>
      <c r="B90" s="727"/>
      <c r="C90" s="727"/>
      <c r="D90" s="728" t="s">
        <v>248</v>
      </c>
      <c r="E90" s="622">
        <f>'11'!F90</f>
        <v>3289</v>
      </c>
      <c r="F90" s="643">
        <v>3290</v>
      </c>
      <c r="G90" s="701">
        <f t="shared" si="7"/>
        <v>1</v>
      </c>
      <c r="H90" s="701">
        <f>G90</f>
        <v>1</v>
      </c>
      <c r="I90" s="648"/>
      <c r="J90" s="703">
        <f>H90/DAY(B2)</f>
        <v>8.3333333333333329E-2</v>
      </c>
      <c r="K90" s="729"/>
      <c r="L90" s="730"/>
      <c r="N90" s="773"/>
      <c r="O90" s="709"/>
    </row>
    <row r="91" spans="1:17" s="731" customFormat="1">
      <c r="A91" s="726" t="s">
        <v>273</v>
      </c>
      <c r="B91" s="727"/>
      <c r="C91" s="727"/>
      <c r="D91" s="728"/>
      <c r="E91" s="622">
        <f>'11'!F91</f>
        <v>28109</v>
      </c>
      <c r="F91" s="643">
        <v>28112</v>
      </c>
      <c r="G91" s="701">
        <f t="shared" si="7"/>
        <v>3</v>
      </c>
      <c r="H91" s="701">
        <f>G91</f>
        <v>3</v>
      </c>
      <c r="I91" s="648"/>
      <c r="J91" s="703"/>
      <c r="K91" s="729"/>
      <c r="L91" s="730"/>
      <c r="N91" s="773"/>
      <c r="O91" s="379"/>
    </row>
    <row r="92" spans="1:17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14"/>
      <c r="O92" s="723"/>
      <c r="P92" s="709"/>
      <c r="Q92" s="731"/>
    </row>
    <row r="93" spans="1:17" ht="27.75">
      <c r="A93" s="1453" t="s">
        <v>275</v>
      </c>
      <c r="B93" s="1454"/>
      <c r="C93" s="1455"/>
      <c r="D93" s="518" t="s">
        <v>209</v>
      </c>
      <c r="E93" s="479">
        <f>'11'!F93</f>
        <v>245901</v>
      </c>
      <c r="F93" s="473">
        <v>245956</v>
      </c>
      <c r="G93" s="468">
        <f t="shared" ref="G93:G94" si="9">F93-E93</f>
        <v>55</v>
      </c>
      <c r="H93" s="455">
        <f>G93+'11'!H93</f>
        <v>468</v>
      </c>
      <c r="I93" s="475"/>
      <c r="J93" s="547">
        <f>H93/DAY(B2)</f>
        <v>39</v>
      </c>
      <c r="K93" s="425"/>
      <c r="L93" s="374"/>
      <c r="N93" s="714"/>
      <c r="O93" s="723"/>
      <c r="P93" s="709"/>
    </row>
    <row r="94" spans="1:17" ht="27.75">
      <c r="A94" s="1453" t="s">
        <v>15</v>
      </c>
      <c r="B94" s="1454"/>
      <c r="C94" s="1455"/>
      <c r="D94" s="518" t="s">
        <v>209</v>
      </c>
      <c r="E94" s="479">
        <f>'11'!F94</f>
        <v>187134</v>
      </c>
      <c r="F94" s="473">
        <v>187288</v>
      </c>
      <c r="G94" s="468">
        <f t="shared" si="9"/>
        <v>154</v>
      </c>
      <c r="H94" s="455">
        <f>G94+'11'!H94</f>
        <v>1167</v>
      </c>
      <c r="I94" s="475"/>
      <c r="J94" s="547">
        <f>H94/DAY(B2)</f>
        <v>97.25</v>
      </c>
      <c r="K94" s="377"/>
      <c r="L94" s="374"/>
      <c r="N94" s="714"/>
      <c r="O94" s="723"/>
      <c r="P94" s="709"/>
    </row>
    <row r="95" spans="1:17">
      <c r="A95" s="1447" t="s">
        <v>276</v>
      </c>
      <c r="B95" s="1448"/>
      <c r="C95" s="1449"/>
      <c r="D95" s="518"/>
      <c r="E95" s="479">
        <f>'11'!F95</f>
        <v>0</v>
      </c>
      <c r="F95" s="473"/>
      <c r="G95" s="468">
        <f>G93+G94</f>
        <v>209</v>
      </c>
      <c r="H95" s="455">
        <f>G95+'11'!H95</f>
        <v>1559</v>
      </c>
      <c r="I95" s="475"/>
      <c r="J95" s="547">
        <f>H95/DAY(B2)</f>
        <v>129.91666666666666</v>
      </c>
      <c r="K95" s="377"/>
      <c r="L95" s="374"/>
      <c r="N95" s="714"/>
      <c r="O95" s="723"/>
      <c r="P95" s="709"/>
    </row>
    <row r="96" spans="1:17" ht="27.75">
      <c r="A96" s="1453" t="s">
        <v>16</v>
      </c>
      <c r="B96" s="1454"/>
      <c r="C96" s="1455"/>
      <c r="D96" s="518" t="s">
        <v>209</v>
      </c>
      <c r="E96" s="479">
        <f>'11'!F96</f>
        <v>414810</v>
      </c>
      <c r="F96" s="473">
        <v>414846</v>
      </c>
      <c r="G96" s="468">
        <f t="shared" ref="G96:G101" si="10">F96-E96</f>
        <v>36</v>
      </c>
      <c r="H96" s="455">
        <f>G96+'11'!H96</f>
        <v>563</v>
      </c>
      <c r="I96" s="475"/>
      <c r="J96" s="547">
        <f>H96/DAY(B2)</f>
        <v>46.916666666666664</v>
      </c>
      <c r="K96" s="377"/>
      <c r="L96" s="374"/>
      <c r="N96" s="714"/>
      <c r="O96" s="723"/>
      <c r="P96" s="709"/>
    </row>
    <row r="97" spans="1:17" ht="27.75">
      <c r="A97" s="1392" t="s">
        <v>17</v>
      </c>
      <c r="B97" s="1393"/>
      <c r="C97" s="1393"/>
      <c r="D97" s="518" t="s">
        <v>209</v>
      </c>
      <c r="E97" s="479">
        <f>'11'!F97</f>
        <v>102770</v>
      </c>
      <c r="F97" s="473">
        <v>102786</v>
      </c>
      <c r="G97" s="468">
        <f t="shared" si="10"/>
        <v>16</v>
      </c>
      <c r="H97" s="455">
        <f>G97+'11'!H97</f>
        <v>138</v>
      </c>
      <c r="I97" s="475"/>
      <c r="J97" s="547">
        <f>H97/DAY(B2)</f>
        <v>11.5</v>
      </c>
      <c r="K97" s="423"/>
      <c r="L97" s="374"/>
      <c r="N97" s="714"/>
      <c r="O97" s="723"/>
      <c r="P97" s="709"/>
    </row>
    <row r="98" spans="1:17" ht="27.75">
      <c r="A98" s="1392" t="s">
        <v>18</v>
      </c>
      <c r="B98" s="1393"/>
      <c r="C98" s="1393"/>
      <c r="D98" s="518" t="s">
        <v>209</v>
      </c>
      <c r="E98" s="479">
        <f>'11'!F98</f>
        <v>98151</v>
      </c>
      <c r="F98" s="473">
        <v>98188</v>
      </c>
      <c r="G98" s="468">
        <f t="shared" si="10"/>
        <v>37</v>
      </c>
      <c r="H98" s="455">
        <f>G98+'11'!H98</f>
        <v>238</v>
      </c>
      <c r="I98" s="475"/>
      <c r="J98" s="547">
        <f>H98/DAY(B2)</f>
        <v>19.833333333333332</v>
      </c>
      <c r="K98" s="428"/>
      <c r="L98" s="374"/>
      <c r="N98" s="714"/>
      <c r="O98" s="723"/>
      <c r="P98" s="709"/>
    </row>
    <row r="99" spans="1:17" ht="27.75">
      <c r="A99" s="1392" t="s">
        <v>19</v>
      </c>
      <c r="B99" s="1393"/>
      <c r="C99" s="1393"/>
      <c r="D99" s="518" t="s">
        <v>209</v>
      </c>
      <c r="E99" s="479">
        <f>'11'!F99</f>
        <v>149937</v>
      </c>
      <c r="F99" s="473">
        <v>149957</v>
      </c>
      <c r="G99" s="468">
        <f t="shared" si="10"/>
        <v>20</v>
      </c>
      <c r="H99" s="455">
        <f>G99+'11'!H99</f>
        <v>105</v>
      </c>
      <c r="I99" s="475"/>
      <c r="J99" s="547">
        <f>H99/DAY(B2)</f>
        <v>8.75</v>
      </c>
      <c r="K99" s="377"/>
      <c r="L99" s="374"/>
      <c r="N99" s="716"/>
      <c r="O99" s="723"/>
      <c r="P99" s="709"/>
    </row>
    <row r="100" spans="1:17" ht="27.75">
      <c r="A100" s="1392" t="s">
        <v>20</v>
      </c>
      <c r="B100" s="1393"/>
      <c r="C100" s="1393"/>
      <c r="D100" s="518" t="s">
        <v>209</v>
      </c>
      <c r="E100" s="479">
        <f>'11'!F100</f>
        <v>7506</v>
      </c>
      <c r="F100" s="473">
        <v>7514</v>
      </c>
      <c r="G100" s="468">
        <f t="shared" si="10"/>
        <v>8</v>
      </c>
      <c r="H100" s="455">
        <f>G100+'11'!H100</f>
        <v>145</v>
      </c>
      <c r="I100" s="475"/>
      <c r="J100" s="547">
        <f>H100/DAY(B2)</f>
        <v>12.083333333333334</v>
      </c>
      <c r="K100" s="377"/>
      <c r="L100" s="374"/>
      <c r="N100" s="714"/>
      <c r="O100" s="723"/>
      <c r="P100" s="709"/>
    </row>
    <row r="101" spans="1:17" ht="27.75">
      <c r="A101" s="1392" t="s">
        <v>21</v>
      </c>
      <c r="B101" s="1393"/>
      <c r="C101" s="1393"/>
      <c r="D101" s="518" t="s">
        <v>209</v>
      </c>
      <c r="E101" s="479">
        <f>'11'!F101</f>
        <v>5463</v>
      </c>
      <c r="F101" s="473">
        <v>5489</v>
      </c>
      <c r="G101" s="468">
        <f t="shared" si="10"/>
        <v>26</v>
      </c>
      <c r="H101" s="455">
        <f>G101+'11'!H101</f>
        <v>98</v>
      </c>
      <c r="I101" s="475"/>
      <c r="J101" s="547">
        <f>H101/DAY(B2)</f>
        <v>8.1666666666666661</v>
      </c>
      <c r="K101" s="377"/>
      <c r="L101" s="374"/>
      <c r="N101" s="714"/>
      <c r="O101" s="723"/>
      <c r="P101" s="709"/>
    </row>
    <row r="102" spans="1:17">
      <c r="A102" s="1447" t="s">
        <v>277</v>
      </c>
      <c r="B102" s="1448"/>
      <c r="C102" s="1449"/>
      <c r="D102" s="519"/>
      <c r="E102" s="479"/>
      <c r="F102" s="519"/>
      <c r="G102" s="520">
        <f>SUM(G96:G101)</f>
        <v>143</v>
      </c>
      <c r="H102" s="455">
        <f>G102+'11'!H102</f>
        <v>1287</v>
      </c>
      <c r="I102" s="521"/>
      <c r="J102" s="547">
        <f>H102/DAY(B2)</f>
        <v>107.25</v>
      </c>
      <c r="K102" s="377"/>
      <c r="L102" s="374"/>
      <c r="N102" s="714"/>
      <c r="O102" s="723"/>
      <c r="P102" s="709"/>
    </row>
    <row r="103" spans="1:17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14"/>
      <c r="O103" s="723"/>
      <c r="P103" s="709"/>
      <c r="Q103" s="440"/>
    </row>
    <row r="104" spans="1:17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3"/>
      <c r="P104" s="709"/>
      <c r="Q104" s="440"/>
    </row>
    <row r="105" spans="1:17" s="437" customFormat="1" ht="27.75">
      <c r="A105" s="1458" t="s">
        <v>22</v>
      </c>
      <c r="B105" s="1459"/>
      <c r="C105" s="1391"/>
      <c r="D105" s="617" t="s">
        <v>209</v>
      </c>
      <c r="E105" s="479">
        <f>'11'!F105</f>
        <v>7473</v>
      </c>
      <c r="F105" s="654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4.75</v>
      </c>
      <c r="N105" s="714"/>
      <c r="O105" s="723"/>
      <c r="P105" s="709"/>
      <c r="Q105" s="440"/>
    </row>
    <row r="106" spans="1:17" s="437" customFormat="1" ht="27.75">
      <c r="A106" s="1458" t="s">
        <v>23</v>
      </c>
      <c r="B106" s="1459"/>
      <c r="C106" s="1391"/>
      <c r="D106" s="617" t="s">
        <v>209</v>
      </c>
      <c r="E106" s="479">
        <f>'11'!F106</f>
        <v>36006</v>
      </c>
      <c r="F106" s="655">
        <v>36006</v>
      </c>
      <c r="G106" s="527">
        <f t="shared" ref="G106:G107" si="11">F106-E106</f>
        <v>0</v>
      </c>
      <c r="H106" s="528">
        <f>SUM(G106+'1'!G77)</f>
        <v>49</v>
      </c>
      <c r="I106" s="527"/>
      <c r="J106" s="553">
        <f>H106/DAY(B2)</f>
        <v>4.083333333333333</v>
      </c>
      <c r="N106" s="714"/>
      <c r="O106" s="723"/>
      <c r="P106" s="709"/>
      <c r="Q106" s="440"/>
    </row>
    <row r="107" spans="1:17" s="437" customFormat="1" ht="27.75">
      <c r="A107" s="1458" t="s">
        <v>24</v>
      </c>
      <c r="B107" s="1460"/>
      <c r="C107" s="1459"/>
      <c r="D107" s="617" t="s">
        <v>209</v>
      </c>
      <c r="E107" s="479">
        <f>'11'!F107</f>
        <v>19742</v>
      </c>
      <c r="F107" s="655">
        <v>19746</v>
      </c>
      <c r="G107" s="527">
        <f t="shared" si="11"/>
        <v>4</v>
      </c>
      <c r="H107" s="528">
        <f>SUM(G107+'1'!G78)</f>
        <v>59</v>
      </c>
      <c r="I107" s="527"/>
      <c r="J107" s="553">
        <f>H107/DAY(B2)</f>
        <v>4.916666666666667</v>
      </c>
      <c r="N107" s="714"/>
      <c r="O107" s="723"/>
      <c r="P107" s="709"/>
      <c r="Q107" s="440"/>
    </row>
    <row r="108" spans="1:17" s="437" customFormat="1" ht="27.75">
      <c r="A108" s="1461" t="s">
        <v>102</v>
      </c>
      <c r="B108" s="1462"/>
      <c r="C108" s="1391"/>
      <c r="D108" s="617"/>
      <c r="E108" s="479"/>
      <c r="F108" s="655"/>
      <c r="G108" s="527">
        <f>SUM(G105:G107)</f>
        <v>4</v>
      </c>
      <c r="H108" s="528">
        <f>SUM(G108+'1'!G79)</f>
        <v>159</v>
      </c>
      <c r="I108" s="527"/>
      <c r="J108" s="553">
        <f>H108/DAY(B2)</f>
        <v>13.25</v>
      </c>
      <c r="N108" s="714"/>
      <c r="O108" s="723"/>
      <c r="P108" s="709"/>
      <c r="Q108" s="440"/>
    </row>
    <row r="109" spans="1:17" s="437" customFormat="1" ht="27.75">
      <c r="A109" s="1463" t="s">
        <v>120</v>
      </c>
      <c r="B109" s="1464"/>
      <c r="C109" s="1391"/>
      <c r="D109" s="617" t="s">
        <v>209</v>
      </c>
      <c r="E109" s="479"/>
      <c r="F109" s="655"/>
      <c r="G109" s="527"/>
      <c r="H109" s="528"/>
      <c r="I109" s="527"/>
      <c r="J109" s="553"/>
      <c r="N109" s="714"/>
      <c r="O109" s="723"/>
      <c r="P109" s="709"/>
      <c r="Q109" s="440"/>
    </row>
    <row r="110" spans="1:17" s="437" customFormat="1" ht="27.75">
      <c r="A110" s="1458" t="s">
        <v>25</v>
      </c>
      <c r="B110" s="1459"/>
      <c r="C110" s="1391"/>
      <c r="D110" s="617" t="s">
        <v>209</v>
      </c>
      <c r="E110" s="479">
        <f>'11'!F110</f>
        <v>63516</v>
      </c>
      <c r="F110" s="655">
        <v>63549</v>
      </c>
      <c r="G110" s="527">
        <f>F110-E110</f>
        <v>33</v>
      </c>
      <c r="H110" s="528">
        <f>SUM(G110+'1'!G81)</f>
        <v>127</v>
      </c>
      <c r="I110" s="527"/>
      <c r="J110" s="553">
        <f>H110/DAY(B2)</f>
        <v>10.583333333333334</v>
      </c>
      <c r="N110" s="714"/>
      <c r="O110" s="723"/>
      <c r="P110" s="709"/>
      <c r="Q110" s="440"/>
    </row>
    <row r="111" spans="1:17" s="437" customFormat="1" ht="27.75">
      <c r="A111" s="1458" t="s">
        <v>26</v>
      </c>
      <c r="B111" s="1459"/>
      <c r="C111" s="1391"/>
      <c r="D111" s="617" t="s">
        <v>209</v>
      </c>
      <c r="E111" s="479">
        <f>'11'!F111</f>
        <v>32675</v>
      </c>
      <c r="F111" s="655">
        <v>32697</v>
      </c>
      <c r="G111" s="527">
        <f t="shared" ref="G111:G112" si="12">F111-E111</f>
        <v>22</v>
      </c>
      <c r="H111" s="528">
        <f>SUM(G111+'1'!G82)</f>
        <v>33</v>
      </c>
      <c r="I111" s="527"/>
      <c r="J111" s="553">
        <f>H111/DAY(B2)</f>
        <v>2.75</v>
      </c>
      <c r="N111" s="714"/>
      <c r="O111" s="723"/>
      <c r="P111" s="709"/>
      <c r="Q111" s="440"/>
    </row>
    <row r="112" spans="1:17" s="437" customFormat="1" ht="27.75">
      <c r="A112" s="1458" t="s">
        <v>27</v>
      </c>
      <c r="B112" s="1459"/>
      <c r="C112" s="1391"/>
      <c r="D112" s="617" t="s">
        <v>209</v>
      </c>
      <c r="E112" s="479">
        <f>'11'!F112</f>
        <v>4621</v>
      </c>
      <c r="F112" s="655">
        <v>4621</v>
      </c>
      <c r="G112" s="527">
        <f t="shared" si="12"/>
        <v>0</v>
      </c>
      <c r="H112" s="528">
        <f>SUM(G112+'1'!G83)</f>
        <v>152</v>
      </c>
      <c r="I112" s="527"/>
      <c r="J112" s="553">
        <f>H112/DAY(B2)</f>
        <v>12.666666666666666</v>
      </c>
      <c r="N112" s="714"/>
      <c r="O112" s="723"/>
      <c r="P112" s="709"/>
      <c r="Q112" s="440"/>
    </row>
    <row r="113" spans="1:17" s="437" customFormat="1" ht="27.75">
      <c r="A113" s="1461" t="s">
        <v>174</v>
      </c>
      <c r="B113" s="1462"/>
      <c r="C113" s="1391"/>
      <c r="D113" s="617"/>
      <c r="E113" s="479"/>
      <c r="F113" s="655"/>
      <c r="G113" s="527">
        <f>SUM(G110:G112)</f>
        <v>55</v>
      </c>
      <c r="H113" s="528">
        <f>SUM(G113+'1'!G84)</f>
        <v>882</v>
      </c>
      <c r="I113" s="527"/>
      <c r="J113" s="553">
        <f>H113/DAY(B2)</f>
        <v>73.5</v>
      </c>
      <c r="N113" s="714"/>
      <c r="O113" s="723"/>
      <c r="P113" s="709"/>
      <c r="Q113" s="440"/>
    </row>
    <row r="114" spans="1:17" s="437" customFormat="1" ht="27.75">
      <c r="A114" s="1463" t="s">
        <v>280</v>
      </c>
      <c r="B114" s="1464"/>
      <c r="C114" s="1391"/>
      <c r="D114" s="617"/>
      <c r="E114" s="479"/>
      <c r="F114" s="655"/>
      <c r="G114" s="527"/>
      <c r="H114" s="528"/>
      <c r="I114" s="527"/>
      <c r="J114" s="553">
        <f>H114/DAY(B2)</f>
        <v>0</v>
      </c>
      <c r="N114" s="714"/>
      <c r="O114" s="723"/>
      <c r="P114" s="709"/>
      <c r="Q114" s="440"/>
    </row>
    <row r="115" spans="1:17" s="437" customFormat="1" ht="27.75">
      <c r="A115" s="1458" t="s">
        <v>28</v>
      </c>
      <c r="B115" s="1459"/>
      <c r="C115" s="569"/>
      <c r="D115" s="617" t="s">
        <v>209</v>
      </c>
      <c r="E115" s="479">
        <f>'11'!F115</f>
        <v>11666</v>
      </c>
      <c r="F115" s="655">
        <v>11677</v>
      </c>
      <c r="G115" s="529">
        <f>F115-E115</f>
        <v>11</v>
      </c>
      <c r="H115" s="528">
        <f>SUM(G115+'1'!G92)</f>
        <v>11</v>
      </c>
      <c r="I115" s="527"/>
      <c r="J115" s="553">
        <f>H115/DAY(B2)</f>
        <v>0.91666666666666663</v>
      </c>
      <c r="N115" s="714"/>
      <c r="O115" s="723"/>
      <c r="P115" s="709"/>
      <c r="Q115" s="440"/>
    </row>
    <row r="116" spans="1:17" s="437" customFormat="1" ht="27.75">
      <c r="A116" s="1458" t="s">
        <v>29</v>
      </c>
      <c r="B116" s="1459"/>
      <c r="C116" s="569"/>
      <c r="D116" s="617" t="s">
        <v>209</v>
      </c>
      <c r="E116" s="479">
        <f>'11'!F116</f>
        <v>8376</v>
      </c>
      <c r="F116" s="655">
        <v>8397</v>
      </c>
      <c r="G116" s="529">
        <f t="shared" ref="G116:G117" si="13">F116-E116</f>
        <v>21</v>
      </c>
      <c r="H116" s="528">
        <f>SUM(G116+'1'!G93)</f>
        <v>39</v>
      </c>
      <c r="I116" s="527"/>
      <c r="J116" s="553">
        <f>H116/DAY(B2)</f>
        <v>3.25</v>
      </c>
      <c r="N116" s="714"/>
      <c r="O116" s="723"/>
      <c r="P116" s="709"/>
      <c r="Q116" s="440"/>
    </row>
    <row r="117" spans="1:17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528">
        <f>SUM(G117+'1'!G94)</f>
        <v>58</v>
      </c>
      <c r="I117" s="527"/>
      <c r="J117" s="553">
        <f>H117/DAY(B2)</f>
        <v>4.833333333333333</v>
      </c>
      <c r="N117" s="714"/>
      <c r="O117" s="723"/>
      <c r="P117" s="709"/>
      <c r="Q117" s="440"/>
    </row>
    <row r="118" spans="1:17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32</v>
      </c>
      <c r="H118" s="528">
        <f>SUM(G118+'1'!G96)</f>
        <v>72</v>
      </c>
      <c r="I118" s="529"/>
      <c r="J118" s="553">
        <f>H118/DAY(B2)</f>
        <v>6</v>
      </c>
      <c r="N118" s="714"/>
      <c r="O118" s="723"/>
      <c r="P118" s="709"/>
    </row>
    <row r="119" spans="1:17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120</v>
      </c>
      <c r="G119" s="531">
        <f>SUM(G19+G93)</f>
        <v>120</v>
      </c>
      <c r="H119" s="528">
        <f>SUM(G119+'1'!G97)</f>
        <v>133</v>
      </c>
      <c r="I119" s="530"/>
      <c r="J119" s="554">
        <f>H119/DAY(B2)</f>
        <v>11.083333333333334</v>
      </c>
      <c r="N119" s="714"/>
      <c r="O119" s="723"/>
      <c r="P119" s="709"/>
    </row>
    <row r="120" spans="1:17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123</v>
      </c>
      <c r="G120" s="531">
        <f>SUM(G96,G97,G98,G100,G101)</f>
        <v>123</v>
      </c>
      <c r="H120" s="528">
        <f>SUM(G120+'1'!G99)</f>
        <v>130</v>
      </c>
      <c r="I120" s="530"/>
      <c r="J120" s="554">
        <f>H120/DAY(B2)</f>
        <v>10.833333333333334</v>
      </c>
      <c r="N120" s="714"/>
      <c r="O120" s="723"/>
      <c r="P120" s="709"/>
    </row>
    <row r="121" spans="1:17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55</v>
      </c>
      <c r="G121" s="529">
        <f>SUM(G113)</f>
        <v>55</v>
      </c>
      <c r="H121" s="528">
        <f>SUM(G121+'1'!G101)</f>
        <v>59</v>
      </c>
      <c r="I121" s="530"/>
      <c r="J121" s="554">
        <f>H121/DAY(B2)</f>
        <v>4.916666666666667</v>
      </c>
      <c r="N121" s="714"/>
      <c r="O121" s="723"/>
      <c r="P121" s="709"/>
    </row>
    <row r="122" spans="1:17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3"/>
      <c r="P122" s="709"/>
      <c r="Q122" s="440"/>
    </row>
    <row r="123" spans="1:17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3"/>
      <c r="P123" s="709"/>
    </row>
    <row r="124" spans="1:17" ht="27.75">
      <c r="A124" s="1392" t="s">
        <v>286</v>
      </c>
      <c r="B124" s="1393"/>
      <c r="C124" s="1393"/>
      <c r="D124" s="518" t="s">
        <v>206</v>
      </c>
      <c r="E124" s="473">
        <f>'11'!F124</f>
        <v>834449</v>
      </c>
      <c r="F124" s="473">
        <v>834687</v>
      </c>
      <c r="G124" s="468">
        <f t="shared" ref="G124:G128" si="14">F124-E124</f>
        <v>238</v>
      </c>
      <c r="H124" s="455">
        <f>G124+'11'!H124</f>
        <v>2321</v>
      </c>
      <c r="I124" s="521"/>
      <c r="J124" s="547">
        <f>H124/DAY(B2)</f>
        <v>193.41666666666666</v>
      </c>
      <c r="K124" s="377"/>
      <c r="L124" s="374"/>
      <c r="N124" s="714"/>
      <c r="O124" s="723"/>
      <c r="P124" s="709"/>
    </row>
    <row r="125" spans="1:17" ht="27.75">
      <c r="A125" s="1392" t="s">
        <v>287</v>
      </c>
      <c r="B125" s="1393"/>
      <c r="C125" s="1393"/>
      <c r="D125" s="518" t="s">
        <v>206</v>
      </c>
      <c r="E125" s="621">
        <f>'11'!F125</f>
        <v>73583.399999999994</v>
      </c>
      <c r="F125" s="621">
        <v>73583</v>
      </c>
      <c r="G125" s="468">
        <f t="shared" si="14"/>
        <v>-0.39999999999417923</v>
      </c>
      <c r="H125" s="455">
        <f>G125+'11'!H125</f>
        <v>-0.39999999999417923</v>
      </c>
      <c r="I125" s="521"/>
      <c r="J125" s="547">
        <f>H125/DAY(B2)</f>
        <v>-3.3333333332848269E-2</v>
      </c>
      <c r="K125" s="377"/>
      <c r="L125" s="374"/>
      <c r="N125" s="714"/>
      <c r="O125" s="723"/>
      <c r="P125" s="709"/>
    </row>
    <row r="126" spans="1:17" ht="27.75">
      <c r="A126" s="1450" t="s">
        <v>288</v>
      </c>
      <c r="B126" s="1451"/>
      <c r="C126" s="1452"/>
      <c r="D126" s="518" t="s">
        <v>206</v>
      </c>
      <c r="E126" s="473">
        <f>'11'!F126</f>
        <v>147185</v>
      </c>
      <c r="F126" s="473">
        <v>147247</v>
      </c>
      <c r="G126" s="468">
        <f t="shared" si="14"/>
        <v>62</v>
      </c>
      <c r="H126" s="455">
        <f>G126+'11'!H126</f>
        <v>756</v>
      </c>
      <c r="I126" s="521"/>
      <c r="J126" s="547">
        <f>H126/DAY(B2)</f>
        <v>63</v>
      </c>
      <c r="K126" s="377"/>
      <c r="L126" s="374"/>
      <c r="N126" s="714"/>
      <c r="O126" s="723"/>
      <c r="P126" s="709"/>
    </row>
    <row r="127" spans="1:17" ht="27.75">
      <c r="A127" s="604" t="s">
        <v>289</v>
      </c>
      <c r="B127" s="1393"/>
      <c r="C127" s="1393"/>
      <c r="D127" s="518" t="s">
        <v>206</v>
      </c>
      <c r="E127" s="621">
        <f>'11'!F127</f>
        <v>31409</v>
      </c>
      <c r="F127" s="621">
        <v>31409</v>
      </c>
      <c r="G127" s="468">
        <f t="shared" si="14"/>
        <v>0</v>
      </c>
      <c r="H127" s="455">
        <f>G127+'11'!H127</f>
        <v>3</v>
      </c>
      <c r="I127" s="521"/>
      <c r="J127" s="547">
        <f>H127/DAY(B2)</f>
        <v>0.25</v>
      </c>
      <c r="K127" s="377"/>
      <c r="L127" s="374"/>
      <c r="N127" s="714"/>
      <c r="O127" s="723"/>
      <c r="P127" s="709"/>
    </row>
    <row r="128" spans="1:17" ht="27.75">
      <c r="A128" s="604" t="s">
        <v>290</v>
      </c>
      <c r="B128" s="1393"/>
      <c r="C128" s="1393"/>
      <c r="D128" s="518" t="s">
        <v>206</v>
      </c>
      <c r="E128" s="621">
        <f>'11'!F128</f>
        <v>8972</v>
      </c>
      <c r="F128" s="621">
        <v>8972</v>
      </c>
      <c r="G128" s="468">
        <f t="shared" si="14"/>
        <v>0</v>
      </c>
      <c r="H128" s="455">
        <f>G128+'11'!H128</f>
        <v>0</v>
      </c>
      <c r="I128" s="475"/>
      <c r="J128" s="547">
        <f>H128/DAY(B2)</f>
        <v>0</v>
      </c>
      <c r="K128" s="377"/>
      <c r="L128" s="374"/>
      <c r="N128" s="714"/>
      <c r="O128" s="723"/>
      <c r="P128" s="709"/>
    </row>
    <row r="129" spans="1:17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160.39999999999418</v>
      </c>
      <c r="H129" s="455">
        <f>H15-SUM(H124:H128)</f>
        <v>2491.3999999999942</v>
      </c>
      <c r="I129" s="475"/>
      <c r="J129" s="547"/>
      <c r="K129" s="361"/>
      <c r="L129" s="289"/>
      <c r="N129" s="714"/>
      <c r="O129" s="723"/>
      <c r="P129" s="709"/>
      <c r="Q129" s="706"/>
    </row>
    <row r="130" spans="1:17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3"/>
      <c r="P130" s="709"/>
    </row>
    <row r="131" spans="1:17" ht="27.75">
      <c r="A131" s="1392" t="s">
        <v>293</v>
      </c>
      <c r="B131" s="1393"/>
      <c r="C131" s="1393"/>
      <c r="D131" s="518" t="s">
        <v>294</v>
      </c>
      <c r="E131" s="479">
        <f>'11'!F131</f>
        <v>0</v>
      </c>
      <c r="F131" s="473">
        <v>0</v>
      </c>
      <c r="G131" s="468">
        <f t="shared" ref="G131:G141" si="15">F131-E131</f>
        <v>0</v>
      </c>
      <c r="H131" s="455">
        <f>G131+'11'!H131</f>
        <v>0</v>
      </c>
      <c r="I131" s="475"/>
      <c r="J131" s="547">
        <f>H131/DAY(B2)</f>
        <v>0</v>
      </c>
      <c r="N131" s="714"/>
      <c r="O131" s="723"/>
      <c r="P131" s="709"/>
    </row>
    <row r="132" spans="1:17" ht="27.75">
      <c r="A132" s="1392" t="s">
        <v>295</v>
      </c>
      <c r="B132" s="1393"/>
      <c r="C132" s="1393"/>
      <c r="D132" s="518" t="s">
        <v>294</v>
      </c>
      <c r="E132" s="479">
        <f>'11'!F132</f>
        <v>0</v>
      </c>
      <c r="F132" s="473">
        <v>0</v>
      </c>
      <c r="G132" s="468">
        <f t="shared" si="15"/>
        <v>0</v>
      </c>
      <c r="H132" s="455">
        <f>G132+'11'!H132</f>
        <v>0</v>
      </c>
      <c r="I132" s="475"/>
      <c r="J132" s="547">
        <f>H132/DAY(B2)</f>
        <v>0</v>
      </c>
      <c r="N132" s="714"/>
      <c r="O132" s="723"/>
      <c r="P132" s="709"/>
    </row>
    <row r="133" spans="1:17" ht="27.75">
      <c r="A133" s="1392" t="s">
        <v>296</v>
      </c>
      <c r="B133" s="1393"/>
      <c r="C133" s="1393"/>
      <c r="D133" s="518" t="s">
        <v>294</v>
      </c>
      <c r="E133" s="536">
        <f>'11'!F133</f>
        <v>40146.47</v>
      </c>
      <c r="F133" s="647">
        <v>40170.449999999997</v>
      </c>
      <c r="G133" s="468">
        <f t="shared" si="15"/>
        <v>23.979999999995925</v>
      </c>
      <c r="H133" s="455">
        <f>G133+'11'!H133</f>
        <v>135.34999999999854</v>
      </c>
      <c r="I133" s="475"/>
      <c r="J133" s="547">
        <f>H133/DAY(B2)</f>
        <v>11.279166666666546</v>
      </c>
      <c r="N133" s="714"/>
      <c r="O133" s="723"/>
      <c r="P133" s="709"/>
    </row>
    <row r="134" spans="1:17" ht="27.75">
      <c r="A134" s="1392" t="s">
        <v>297</v>
      </c>
      <c r="B134" s="1393"/>
      <c r="C134" s="1393"/>
      <c r="D134" s="518" t="s">
        <v>294</v>
      </c>
      <c r="E134" s="697">
        <f>'11'!F134</f>
        <v>300</v>
      </c>
      <c r="F134" s="621">
        <v>300</v>
      </c>
      <c r="G134" s="468">
        <f t="shared" si="15"/>
        <v>0</v>
      </c>
      <c r="H134" s="455">
        <f>G134+'11'!H134</f>
        <v>0</v>
      </c>
      <c r="I134" s="475">
        <f>G131+G132+G133+G134</f>
        <v>23.979999999995925</v>
      </c>
      <c r="J134" s="547">
        <f>H134/DAY(B2)</f>
        <v>0</v>
      </c>
      <c r="N134" s="714"/>
      <c r="O134" s="723"/>
      <c r="P134" s="709"/>
    </row>
    <row r="135" spans="1:17" ht="27.75">
      <c r="A135" s="1392" t="s">
        <v>298</v>
      </c>
      <c r="B135" s="1393"/>
      <c r="C135" s="1393"/>
      <c r="D135" s="518" t="s">
        <v>294</v>
      </c>
      <c r="E135" s="697">
        <f>'11'!F135</f>
        <v>41730.449999999997</v>
      </c>
      <c r="F135" s="621">
        <v>41730.449999999997</v>
      </c>
      <c r="G135" s="468">
        <f t="shared" si="15"/>
        <v>0</v>
      </c>
      <c r="H135" s="455">
        <f>G135+'11'!H135</f>
        <v>0.44999999999708962</v>
      </c>
      <c r="I135" s="475"/>
      <c r="J135" s="547">
        <f>H135/DAY(B2)</f>
        <v>3.749999999975747E-2</v>
      </c>
      <c r="N135" s="714"/>
      <c r="O135" s="723"/>
      <c r="P135" s="709"/>
    </row>
    <row r="136" spans="1:17" ht="27.75">
      <c r="A136" s="1392" t="s">
        <v>299</v>
      </c>
      <c r="B136" s="1393"/>
      <c r="C136" s="1393"/>
      <c r="D136" s="518" t="s">
        <v>294</v>
      </c>
      <c r="E136" s="517">
        <f>'11'!F136</f>
        <v>32874</v>
      </c>
      <c r="F136" s="647">
        <v>32874</v>
      </c>
      <c r="G136" s="468">
        <f t="shared" si="15"/>
        <v>0</v>
      </c>
      <c r="H136" s="455">
        <f>G136+'11'!H136</f>
        <v>159</v>
      </c>
      <c r="I136" s="475"/>
      <c r="J136" s="547">
        <f>H136/DAY(B2)</f>
        <v>13.25</v>
      </c>
      <c r="N136" s="714"/>
      <c r="O136" s="723"/>
      <c r="P136" s="709"/>
    </row>
    <row r="137" spans="1:17" ht="27.75">
      <c r="A137" s="1392" t="s">
        <v>300</v>
      </c>
      <c r="B137" s="1393"/>
      <c r="C137" s="1393"/>
      <c r="D137" s="518" t="s">
        <v>294</v>
      </c>
      <c r="E137" s="536">
        <f>'11'!F137</f>
        <v>22833.51</v>
      </c>
      <c r="F137" s="647">
        <v>22833.51</v>
      </c>
      <c r="G137" s="468">
        <f t="shared" si="15"/>
        <v>0</v>
      </c>
      <c r="H137" s="455">
        <f>G137+'11'!H137</f>
        <v>26.269999999996799</v>
      </c>
      <c r="I137" s="475">
        <f>G135+G136+G137</f>
        <v>0</v>
      </c>
      <c r="J137" s="547">
        <f>H137/DAY(B2)</f>
        <v>2.1891666666664</v>
      </c>
      <c r="N137" s="714"/>
      <c r="O137" s="723"/>
      <c r="P137" s="709"/>
    </row>
    <row r="138" spans="1:17" ht="27.75">
      <c r="A138" s="1392" t="s">
        <v>301</v>
      </c>
      <c r="B138" s="1393"/>
      <c r="C138" s="1393"/>
      <c r="D138" s="518" t="s">
        <v>294</v>
      </c>
      <c r="E138" s="536">
        <f>'11'!F138</f>
        <v>25051.82</v>
      </c>
      <c r="F138" s="647">
        <v>25051.82</v>
      </c>
      <c r="G138" s="468">
        <f t="shared" si="15"/>
        <v>0</v>
      </c>
      <c r="H138" s="455">
        <f>G138+'11'!H138</f>
        <v>0</v>
      </c>
      <c r="I138" s="475"/>
      <c r="J138" s="547">
        <f>H138/DAY(B2)</f>
        <v>0</v>
      </c>
      <c r="N138" s="714"/>
      <c r="O138" s="723"/>
      <c r="P138" s="709"/>
    </row>
    <row r="139" spans="1:17" ht="27.75">
      <c r="A139" s="1392" t="s">
        <v>302</v>
      </c>
      <c r="B139" s="1393"/>
      <c r="C139" s="1393"/>
      <c r="D139" s="518" t="s">
        <v>294</v>
      </c>
      <c r="E139" s="536">
        <f>'11'!F139</f>
        <v>70456</v>
      </c>
      <c r="F139" s="647">
        <v>70460.649999999994</v>
      </c>
      <c r="G139" s="468">
        <f t="shared" si="15"/>
        <v>4.6499999999941792</v>
      </c>
      <c r="H139" s="455">
        <f>G139+'11'!H139</f>
        <v>48.909999999988941</v>
      </c>
      <c r="I139" s="475">
        <f>G138+G139</f>
        <v>4.6499999999941792</v>
      </c>
      <c r="J139" s="547">
        <f>H139/DAY(B2)</f>
        <v>4.0758333333324117</v>
      </c>
      <c r="N139" s="714"/>
      <c r="O139" s="723"/>
      <c r="P139" s="709"/>
    </row>
    <row r="140" spans="1:17" ht="27.75">
      <c r="A140" s="1392" t="s">
        <v>303</v>
      </c>
      <c r="B140" s="1393"/>
      <c r="C140" s="1393"/>
      <c r="D140" s="518" t="s">
        <v>294</v>
      </c>
      <c r="E140" s="697">
        <f>'11'!F140</f>
        <v>1934.29</v>
      </c>
      <c r="F140" s="621">
        <v>1943.38</v>
      </c>
      <c r="G140" s="468">
        <f t="shared" si="15"/>
        <v>9.0900000000001455</v>
      </c>
      <c r="H140" s="455">
        <f>G140+'11'!H140</f>
        <v>89.080000000000155</v>
      </c>
      <c r="I140" s="537"/>
      <c r="J140" s="547">
        <f>H140/DAY(B2)</f>
        <v>7.4233333333333462</v>
      </c>
      <c r="N140" s="714"/>
      <c r="O140" s="723"/>
      <c r="P140" s="709"/>
    </row>
    <row r="141" spans="1:17" ht="27.75">
      <c r="A141" s="1392" t="s">
        <v>304</v>
      </c>
      <c r="B141" s="1393"/>
      <c r="C141" s="1393"/>
      <c r="D141" s="518" t="s">
        <v>294</v>
      </c>
      <c r="E141" s="479">
        <f>'11'!F141</f>
        <v>4636.88</v>
      </c>
      <c r="F141" s="473">
        <v>4636.88</v>
      </c>
      <c r="G141" s="468">
        <f t="shared" si="15"/>
        <v>0</v>
      </c>
      <c r="H141" s="455">
        <f>G141+'11'!H141</f>
        <v>-0.11999999999989086</v>
      </c>
      <c r="I141" s="537"/>
      <c r="J141" s="547">
        <f>H141/DAY(B2)</f>
        <v>-9.9999999999909051E-3</v>
      </c>
      <c r="N141" s="714"/>
      <c r="O141" s="723"/>
      <c r="P141" s="709"/>
    </row>
    <row r="142" spans="1:17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3"/>
      <c r="P142" s="709"/>
    </row>
    <row r="143" spans="1:17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4936</v>
      </c>
      <c r="H143" s="455">
        <f>G143+'11'!H143</f>
        <v>57671.130000000005</v>
      </c>
      <c r="I143" s="475"/>
      <c r="J143" s="547">
        <f>H143/DAY(B2)</f>
        <v>4805.9275000000007</v>
      </c>
      <c r="K143" s="377"/>
      <c r="L143" s="374"/>
      <c r="N143" s="714"/>
      <c r="O143" s="723"/>
      <c r="P143" s="709"/>
    </row>
    <row r="144" spans="1:17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0.26309898193060072</v>
      </c>
      <c r="H144" s="455">
        <f>G144+'11'!H144</f>
        <v>3.3308671611790284</v>
      </c>
      <c r="I144" s="539"/>
      <c r="J144" s="547">
        <f>H144/DAY(B2)</f>
        <v>0.2775722634315857</v>
      </c>
      <c r="K144" s="377"/>
      <c r="L144" s="374"/>
      <c r="N144" s="714"/>
      <c r="O144" s="723"/>
      <c r="P144" s="70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5598</v>
      </c>
      <c r="H145" s="455">
        <f>G145+'11'!H145</f>
        <v>59877.55</v>
      </c>
      <c r="I145" s="475"/>
      <c r="J145" s="547">
        <f>H145/DAY(B2)</f>
        <v>4989.7958333333336</v>
      </c>
      <c r="K145" s="377"/>
      <c r="L145" s="374"/>
      <c r="N145" s="714"/>
      <c r="O145" s="723"/>
      <c r="P145" s="70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0.29838494749746813</v>
      </c>
      <c r="H146" s="455">
        <f>G146+'11'!H146</f>
        <v>3.4500421373692278</v>
      </c>
      <c r="I146" s="539"/>
      <c r="J146" s="547">
        <f>H146/DAY(B2)</f>
        <v>0.28750351144743563</v>
      </c>
      <c r="K146" s="377"/>
      <c r="L146" s="374"/>
      <c r="N146" s="714"/>
      <c r="O146" s="723"/>
      <c r="P146" s="70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3517</v>
      </c>
      <c r="H147" s="455">
        <f>G147+'11'!H147</f>
        <v>35586</v>
      </c>
      <c r="I147" s="540"/>
      <c r="J147" s="547">
        <f>H147/DAY(B2)</f>
        <v>2965.5</v>
      </c>
      <c r="K147" s="377"/>
      <c r="L147" s="374"/>
      <c r="N147" s="714"/>
      <c r="O147" s="723"/>
      <c r="P147" s="70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0.18746335483183199</v>
      </c>
      <c r="H148" s="455">
        <f>G148+'11'!H148</f>
        <v>2.0482137084320637</v>
      </c>
      <c r="I148" s="540"/>
      <c r="J148" s="547">
        <f>H148/DAY(B2)</f>
        <v>0.17068447570267198</v>
      </c>
      <c r="N148" s="714"/>
      <c r="O148" s="723"/>
      <c r="P148" s="70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1383</v>
      </c>
      <c r="H149" s="455">
        <f>G149+'11'!H149</f>
        <v>14760.069999999949</v>
      </c>
      <c r="I149" s="475"/>
      <c r="J149" s="547">
        <f>H149/DAY(B2)</f>
        <v>1230.0058333333291</v>
      </c>
      <c r="K149" s="378"/>
      <c r="N149" s="714"/>
      <c r="O149" s="723"/>
      <c r="P149" s="70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7.3716752838334842E-2</v>
      </c>
      <c r="H150" s="455">
        <f>G150+'11'!H150</f>
        <v>0.85045401731064607</v>
      </c>
      <c r="I150" s="540"/>
      <c r="J150" s="547">
        <f>H150/DAY(B2)</f>
        <v>7.0871168109220506E-2</v>
      </c>
      <c r="N150" s="714"/>
      <c r="O150" s="723"/>
      <c r="P150" s="70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1483</v>
      </c>
      <c r="H151" s="455">
        <f>G151+'11'!H151</f>
        <v>18053</v>
      </c>
      <c r="I151" s="540"/>
      <c r="J151" s="547">
        <f>H151/DAY(B2)</f>
        <v>1504.4166666666667</v>
      </c>
      <c r="N151" s="714"/>
      <c r="O151" s="723"/>
      <c r="P151" s="70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7.9046959117317836E-2</v>
      </c>
      <c r="H152" s="455">
        <f>G152+'11'!H152</f>
        <v>1.0361566257617822</v>
      </c>
      <c r="I152" s="475"/>
      <c r="J152" s="547">
        <f>H152/DAY(B2)</f>
        <v>8.6346385480148516E-2</v>
      </c>
      <c r="N152" s="714"/>
      <c r="O152" s="723"/>
      <c r="P152" s="70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1461</v>
      </c>
      <c r="H153" s="455">
        <f>G153+'11'!H153</f>
        <v>16052.869999999995</v>
      </c>
      <c r="I153" s="475"/>
      <c r="J153" s="547">
        <f>H153/DAY(B2)</f>
        <v>1337.7391666666663</v>
      </c>
      <c r="N153" s="714"/>
      <c r="O153" s="723"/>
      <c r="P153" s="70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7.7874313735941586E-2</v>
      </c>
      <c r="H154" s="455">
        <f>G154+'11'!H154</f>
        <v>0.92687270369796415</v>
      </c>
      <c r="I154" s="563"/>
      <c r="J154" s="564">
        <f>H154/DAY(B2)</f>
        <v>7.7239391974830346E-2</v>
      </c>
      <c r="N154" s="714"/>
      <c r="O154" s="723"/>
      <c r="P154" s="70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80" t="s">
        <v>318</v>
      </c>
      <c r="B161" s="781"/>
      <c r="C161" s="781"/>
      <c r="D161" s="506" t="s">
        <v>253</v>
      </c>
      <c r="E161" s="536">
        <f>'11'!F161</f>
        <v>39318</v>
      </c>
      <c r="F161" s="654">
        <v>39400</v>
      </c>
      <c r="G161" s="468">
        <f t="shared" ref="G161:G164" si="16">F161-E161</f>
        <v>82</v>
      </c>
      <c r="N161" s="714"/>
    </row>
    <row r="162" spans="1:14">
      <c r="A162" s="780" t="s">
        <v>319</v>
      </c>
      <c r="B162" s="781"/>
      <c r="C162" s="781"/>
      <c r="D162" s="506" t="s">
        <v>253</v>
      </c>
      <c r="E162" s="536">
        <f>'11'!F162</f>
        <v>99314</v>
      </c>
      <c r="F162" s="654">
        <v>99749</v>
      </c>
      <c r="G162" s="468">
        <f t="shared" si="16"/>
        <v>435</v>
      </c>
      <c r="N162" s="714"/>
    </row>
    <row r="163" spans="1:14">
      <c r="A163" s="780" t="s">
        <v>320</v>
      </c>
      <c r="B163" s="781"/>
      <c r="C163" s="781"/>
      <c r="D163" s="506" t="s">
        <v>253</v>
      </c>
      <c r="E163" s="536">
        <f>'11'!F163</f>
        <v>47234</v>
      </c>
      <c r="F163" s="654">
        <v>47444</v>
      </c>
      <c r="G163" s="468">
        <f t="shared" si="16"/>
        <v>210</v>
      </c>
      <c r="N163" s="714"/>
    </row>
    <row r="164" spans="1:14">
      <c r="A164" s="780" t="s">
        <v>321</v>
      </c>
      <c r="B164" s="781"/>
      <c r="C164" s="781"/>
      <c r="D164" s="506" t="s">
        <v>253</v>
      </c>
      <c r="E164" s="536">
        <f>'11'!F164</f>
        <v>6657</v>
      </c>
      <c r="F164" s="654">
        <v>6671</v>
      </c>
      <c r="G164" s="468">
        <f t="shared" si="16"/>
        <v>14</v>
      </c>
      <c r="N164" s="714"/>
    </row>
    <row r="165" spans="1:14">
      <c r="A165" s="782" t="s">
        <v>252</v>
      </c>
      <c r="B165" s="599"/>
      <c r="C165" s="599"/>
      <c r="D165" s="506" t="s">
        <v>253</v>
      </c>
      <c r="E165" s="509">
        <f>E62</f>
        <v>0</v>
      </c>
      <c r="F165" s="509">
        <f>F62</f>
        <v>0</v>
      </c>
      <c r="G165" s="468">
        <f t="shared" ref="G165:G172" si="17">F165-E165</f>
        <v>0</v>
      </c>
      <c r="N165" s="714"/>
    </row>
    <row r="166" spans="1:14">
      <c r="A166" s="782" t="s">
        <v>254</v>
      </c>
      <c r="B166" s="599"/>
      <c r="C166" s="599"/>
      <c r="D166" s="506" t="s">
        <v>253</v>
      </c>
      <c r="E166" s="509">
        <f t="shared" ref="E166:E172" si="18">E63</f>
        <v>0</v>
      </c>
      <c r="F166" s="509">
        <f t="shared" ref="F166:F172" si="19">F63</f>
        <v>0</v>
      </c>
      <c r="G166" s="468">
        <f t="shared" si="17"/>
        <v>0</v>
      </c>
      <c r="N166" s="714"/>
    </row>
    <row r="167" spans="1:14" ht="33" customHeight="1">
      <c r="A167" s="1502" t="s">
        <v>161</v>
      </c>
      <c r="B167" s="1502"/>
      <c r="C167" s="1502"/>
      <c r="D167" s="518" t="s">
        <v>253</v>
      </c>
      <c r="E167" s="509">
        <f t="shared" si="18"/>
        <v>163000</v>
      </c>
      <c r="F167" s="509">
        <f t="shared" si="19"/>
        <v>163334</v>
      </c>
      <c r="G167" s="468">
        <f t="shared" si="17"/>
        <v>334</v>
      </c>
      <c r="N167" s="714"/>
    </row>
    <row r="168" spans="1:14" ht="33" customHeight="1">
      <c r="A168" s="1502" t="s">
        <v>162</v>
      </c>
      <c r="B168" s="1502"/>
      <c r="C168" s="1502"/>
      <c r="D168" s="518" t="s">
        <v>253</v>
      </c>
      <c r="E168" s="509">
        <f t="shared" si="18"/>
        <v>163635</v>
      </c>
      <c r="F168" s="509">
        <f t="shared" si="19"/>
        <v>164001</v>
      </c>
      <c r="G168" s="468">
        <f t="shared" si="17"/>
        <v>366</v>
      </c>
      <c r="N168" s="714"/>
    </row>
    <row r="169" spans="1:14" ht="41.25" customHeight="1">
      <c r="A169" s="1502" t="s">
        <v>255</v>
      </c>
      <c r="B169" s="1502"/>
      <c r="C169" s="1502"/>
      <c r="D169" s="518" t="s">
        <v>253</v>
      </c>
      <c r="E169" s="509">
        <f t="shared" si="18"/>
        <v>60644</v>
      </c>
      <c r="F169" s="509">
        <f t="shared" si="19"/>
        <v>61071</v>
      </c>
      <c r="G169" s="468">
        <f t="shared" si="17"/>
        <v>427</v>
      </c>
      <c r="N169" s="714"/>
    </row>
    <row r="170" spans="1:14" ht="26.25" customHeight="1">
      <c r="A170" s="1502" t="s">
        <v>157</v>
      </c>
      <c r="B170" s="1502"/>
      <c r="C170" s="1502"/>
      <c r="D170" s="518" t="s">
        <v>253</v>
      </c>
      <c r="E170" s="509">
        <f t="shared" si="18"/>
        <v>256499</v>
      </c>
      <c r="F170" s="509">
        <f t="shared" si="19"/>
        <v>256958</v>
      </c>
      <c r="G170" s="468">
        <f t="shared" si="17"/>
        <v>459</v>
      </c>
      <c r="N170" s="714"/>
    </row>
    <row r="171" spans="1:14" ht="24" customHeight="1">
      <c r="A171" s="1502" t="s">
        <v>164</v>
      </c>
      <c r="B171" s="1502"/>
      <c r="C171" s="1502"/>
      <c r="D171" s="518" t="s">
        <v>253</v>
      </c>
      <c r="E171" s="509">
        <f t="shared" si="18"/>
        <v>85321</v>
      </c>
      <c r="F171" s="509">
        <f t="shared" si="19"/>
        <v>85321</v>
      </c>
      <c r="G171" s="468">
        <f t="shared" si="17"/>
        <v>0</v>
      </c>
      <c r="N171" s="714"/>
    </row>
    <row r="172" spans="1:14" ht="27.75">
      <c r="A172" s="1502" t="s">
        <v>165</v>
      </c>
      <c r="B172" s="1502"/>
      <c r="C172" s="1502"/>
      <c r="D172" s="518" t="s">
        <v>253</v>
      </c>
      <c r="E172" s="509">
        <f t="shared" si="18"/>
        <v>83077</v>
      </c>
      <c r="F172" s="509">
        <f t="shared" si="19"/>
        <v>83304</v>
      </c>
      <c r="G172" s="468">
        <f t="shared" si="17"/>
        <v>227</v>
      </c>
      <c r="N172" s="714"/>
    </row>
    <row r="173" spans="1:14">
      <c r="A173" s="1512" t="s">
        <v>329</v>
      </c>
      <c r="B173" s="1495"/>
      <c r="C173" s="781"/>
      <c r="D173" s="518" t="s">
        <v>253</v>
      </c>
      <c r="E173" s="537"/>
      <c r="F173" s="537"/>
      <c r="G173" s="537"/>
      <c r="N173" s="714"/>
    </row>
    <row r="174" spans="1:14">
      <c r="A174" s="1512" t="s">
        <v>332</v>
      </c>
      <c r="B174" s="1495"/>
      <c r="C174" s="781"/>
      <c r="D174" s="518" t="s">
        <v>253</v>
      </c>
      <c r="E174" s="537"/>
      <c r="F174" s="537"/>
      <c r="G174" s="537"/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18.75" customHeight="1">
      <c r="N178" s="714"/>
    </row>
    <row r="179" spans="14:14" ht="18.75" customHeight="1">
      <c r="N179" s="714"/>
    </row>
    <row r="180" spans="14:14" ht="18" customHeight="1">
      <c r="N180" s="714"/>
    </row>
    <row r="181" spans="14:14" ht="18.75" customHeight="1">
      <c r="N181" s="714"/>
    </row>
    <row r="182" spans="14:14" ht="18.75" customHeight="1">
      <c r="N182" s="714"/>
    </row>
    <row r="183" spans="14:14" ht="18" customHeight="1">
      <c r="N183" s="714"/>
    </row>
    <row r="184" spans="14:14" ht="18" customHeight="1">
      <c r="N184" s="714"/>
    </row>
    <row r="185" spans="14:14" ht="18" customHeight="1">
      <c r="N185" s="714"/>
    </row>
    <row r="186" spans="14:14" ht="18" customHeight="1">
      <c r="N186" s="714"/>
    </row>
    <row r="187" spans="14:14" ht="18" customHeight="1">
      <c r="N187" s="714"/>
    </row>
    <row r="188" spans="14:14" ht="18" customHeight="1">
      <c r="N188" s="714"/>
    </row>
    <row r="189" spans="14:14" ht="18" customHeight="1">
      <c r="N189" s="714"/>
    </row>
    <row r="190" spans="14:14" ht="18.75" customHeight="1">
      <c r="N190" s="714"/>
    </row>
    <row r="191" spans="14:14" ht="18.75" customHeight="1">
      <c r="N191" s="714"/>
    </row>
    <row r="192" spans="14:14" ht="18.75" customHeight="1">
      <c r="N192" s="714"/>
    </row>
    <row r="193" spans="14:14" ht="18.75" customHeight="1">
      <c r="N193" s="714"/>
    </row>
    <row r="194" spans="14:14" ht="18.75" customHeight="1">
      <c r="N194" s="714"/>
    </row>
    <row r="195" spans="14:14" ht="18.75" customHeight="1">
      <c r="N195" s="714"/>
    </row>
    <row r="196" spans="14:14" ht="18.75" customHeight="1">
      <c r="N196" s="714"/>
    </row>
    <row r="197" spans="14:14" ht="18.75" customHeight="1">
      <c r="N197" s="714"/>
    </row>
    <row r="198" spans="14:14" ht="18.75" customHeight="1">
      <c r="N198" s="714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3" zoomScale="55" zoomScaleSheetLayoutView="55" workbookViewId="0">
      <selection activeCell="F173" sqref="F173"/>
    </sheetView>
  </sheetViews>
  <sheetFormatPr defaultColWidth="22.33203125" defaultRowHeight="29.25"/>
  <cols>
    <col min="1" max="1" width="40.6640625" style="449" customWidth="1"/>
    <col min="2" max="2" width="28.55468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719"/>
    <col min="16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340</v>
      </c>
      <c r="B2" s="1028">
        <v>44360</v>
      </c>
      <c r="C2" s="1394" t="s">
        <v>111</v>
      </c>
      <c r="D2" s="606">
        <v>0.26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720"/>
    </row>
    <row r="3" spans="1:16" s="278" customFormat="1" ht="27">
      <c r="A3" s="565"/>
      <c r="B3" s="609"/>
      <c r="C3" s="1394" t="s">
        <v>186</v>
      </c>
      <c r="D3" s="607">
        <v>27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13"/>
      <c r="O3" s="720"/>
    </row>
    <row r="4" spans="1:16" s="278" customFormat="1" ht="27">
      <c r="A4" s="571"/>
      <c r="B4" s="611"/>
      <c r="C4" s="1394" t="s">
        <v>188</v>
      </c>
      <c r="D4" s="606">
        <v>0.92</v>
      </c>
      <c r="E4" s="459"/>
      <c r="F4" s="459"/>
      <c r="G4" s="459"/>
      <c r="H4" s="459"/>
      <c r="I4" s="460"/>
      <c r="J4" s="610"/>
      <c r="K4" s="369"/>
      <c r="L4" s="289"/>
      <c r="N4" s="713"/>
      <c r="O4" s="720"/>
    </row>
    <row r="5" spans="1:16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'12'!F7</f>
        <v>552607</v>
      </c>
      <c r="F7" s="450">
        <v>572941</v>
      </c>
      <c r="G7" s="674">
        <f>F7-E7</f>
        <v>20334</v>
      </c>
      <c r="H7" s="675">
        <f>G7+'12'!H7</f>
        <v>228529</v>
      </c>
      <c r="I7" s="676">
        <f>'1'!I7</f>
        <v>12000</v>
      </c>
      <c r="J7" s="677">
        <f>H7/DAY(B2)</f>
        <v>17579.153846153848</v>
      </c>
      <c r="K7" s="544"/>
      <c r="L7" s="374"/>
      <c r="N7" s="725">
        <f>G7/G8</f>
        <v>0.99466810155065299</v>
      </c>
      <c r="O7" s="721">
        <f>F7+200</f>
        <v>573141</v>
      </c>
      <c r="P7" s="724"/>
    </row>
    <row r="8" spans="1:16" ht="27.75" thickBot="1">
      <c r="A8" s="678" t="s">
        <v>199</v>
      </c>
      <c r="B8" s="679"/>
      <c r="C8" s="680"/>
      <c r="D8" s="681" t="s">
        <v>59</v>
      </c>
      <c r="E8" s="628">
        <f>'12'!F8</f>
        <v>555552</v>
      </c>
      <c r="F8" s="470">
        <v>575995</v>
      </c>
      <c r="G8" s="685">
        <f>F8-E8</f>
        <v>20443</v>
      </c>
      <c r="H8" s="675">
        <f>G8+'12'!H8</f>
        <v>229485</v>
      </c>
      <c r="I8" s="682">
        <f>'1'!I8</f>
        <v>12000</v>
      </c>
      <c r="J8" s="677">
        <f>H8/DAY(B2)</f>
        <v>17652.692307692309</v>
      </c>
      <c r="K8" s="544"/>
      <c r="L8" s="421"/>
      <c r="M8" s="435"/>
      <c r="N8" s="714"/>
      <c r="O8" s="721">
        <f>F8+200</f>
        <v>576195</v>
      </c>
      <c r="P8" s="379"/>
    </row>
    <row r="9" spans="1:16">
      <c r="A9" s="683" t="s">
        <v>200</v>
      </c>
      <c r="B9" s="684"/>
      <c r="C9" s="684"/>
      <c r="D9" s="633" t="s">
        <v>198</v>
      </c>
      <c r="E9" s="628">
        <f>'12'!F9</f>
        <v>1675297</v>
      </c>
      <c r="F9" s="473">
        <v>1694972</v>
      </c>
      <c r="G9" s="698">
        <f t="shared" ref="G9:G12" si="0">F9-E9</f>
        <v>19675</v>
      </c>
      <c r="H9" s="675">
        <f>G9+'12'!H9</f>
        <v>221282</v>
      </c>
      <c r="I9" s="686">
        <f>I7-J7</f>
        <v>-5579.1538461538476</v>
      </c>
      <c r="J9" s="677">
        <f>H9/DAY(B2)</f>
        <v>17021.692307692309</v>
      </c>
      <c r="K9" s="424"/>
      <c r="L9" s="374"/>
      <c r="N9" s="714"/>
      <c r="O9" s="721"/>
      <c r="P9" s="379"/>
    </row>
    <row r="10" spans="1:16">
      <c r="A10" s="672" t="s">
        <v>201</v>
      </c>
      <c r="B10" s="673"/>
      <c r="C10" s="673"/>
      <c r="D10" s="633" t="s">
        <v>198</v>
      </c>
      <c r="E10" s="628">
        <f>'12'!F10</f>
        <v>2606.5500000000002</v>
      </c>
      <c r="F10" s="473">
        <v>2606.5500000000002</v>
      </c>
      <c r="G10" s="685">
        <f t="shared" si="0"/>
        <v>0</v>
      </c>
      <c r="H10" s="675">
        <f>G10+'12'!H10</f>
        <v>0.42000000000007276</v>
      </c>
      <c r="I10" s="687"/>
      <c r="J10" s="677">
        <f>H10/DAY(B2)</f>
        <v>3.2307692307697908E-2</v>
      </c>
      <c r="K10" s="424"/>
      <c r="L10" s="374"/>
      <c r="N10" s="714"/>
      <c r="O10" s="721"/>
      <c r="P10" s="379"/>
    </row>
    <row r="11" spans="1:16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G11+'12'!H11</f>
        <v>0</v>
      </c>
      <c r="I11" s="687"/>
      <c r="J11" s="677">
        <f>H11/DAY(B2)</f>
        <v>0</v>
      </c>
      <c r="K11" s="424"/>
      <c r="L11" s="374"/>
      <c r="N11" s="714"/>
      <c r="O11" s="721"/>
      <c r="P11" s="379"/>
    </row>
    <row r="12" spans="1:16">
      <c r="A12" s="672" t="s">
        <v>203</v>
      </c>
      <c r="B12" s="673"/>
      <c r="C12" s="673"/>
      <c r="D12" s="633" t="s">
        <v>198</v>
      </c>
      <c r="E12" s="628">
        <f>'5'!E12</f>
        <v>40010</v>
      </c>
      <c r="F12" s="473">
        <v>40010</v>
      </c>
      <c r="G12" s="685">
        <f t="shared" si="0"/>
        <v>0</v>
      </c>
      <c r="H12" s="675">
        <f>G12+'12'!H12</f>
        <v>0</v>
      </c>
      <c r="I12" s="687"/>
      <c r="J12" s="677">
        <f>H12/DAY(B2)</f>
        <v>0</v>
      </c>
      <c r="K12" s="424"/>
      <c r="L12" s="374"/>
      <c r="N12" s="714"/>
      <c r="O12" s="721"/>
      <c r="P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19675</v>
      </c>
      <c r="H13" s="675">
        <f>G13+'12'!H13</f>
        <v>204757.41999999998</v>
      </c>
      <c r="I13" s="691">
        <f>G7-G13</f>
        <v>659</v>
      </c>
      <c r="J13" s="677">
        <f>H13/DAY(B2)</f>
        <v>15750.570769230768</v>
      </c>
      <c r="K13" s="424"/>
      <c r="L13" s="374"/>
      <c r="N13" s="714"/>
      <c r="O13" s="721"/>
      <c r="P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714"/>
      <c r="O14" s="721"/>
      <c r="P14" s="379"/>
    </row>
    <row r="15" spans="1:16">
      <c r="A15" s="788" t="s">
        <v>133</v>
      </c>
      <c r="B15" s="789"/>
      <c r="C15" s="789"/>
      <c r="D15" s="519" t="s">
        <v>206</v>
      </c>
      <c r="E15" s="480">
        <f>'12'!F15</f>
        <v>1690095</v>
      </c>
      <c r="F15" s="480">
        <v>1690832</v>
      </c>
      <c r="G15" s="660">
        <f>(F15-E15)</f>
        <v>737</v>
      </c>
      <c r="H15" s="481">
        <f>G15+'12'!H15</f>
        <v>6308</v>
      </c>
      <c r="I15" s="469">
        <v>800</v>
      </c>
      <c r="J15" s="548">
        <f>H15/DAY(B2)</f>
        <v>485.23076923076923</v>
      </c>
      <c r="K15" s="424"/>
      <c r="L15" s="374"/>
      <c r="N15" s="714"/>
      <c r="O15" s="721"/>
      <c r="P15" s="379"/>
    </row>
    <row r="16" spans="1:16">
      <c r="A16" s="582"/>
      <c r="B16" s="583"/>
      <c r="C16" s="583"/>
      <c r="D16" s="519"/>
      <c r="E16" s="480"/>
      <c r="F16" s="480"/>
      <c r="G16" s="665"/>
      <c r="H16" s="481"/>
      <c r="I16" s="477">
        <f>I15-J15</f>
        <v>314.76923076923077</v>
      </c>
      <c r="J16" s="548"/>
      <c r="K16" s="424"/>
      <c r="L16" s="374"/>
      <c r="N16" s="714"/>
      <c r="O16" s="721"/>
      <c r="P16" s="379"/>
    </row>
    <row r="17" spans="1:16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1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0">
        <f>'12'!F18</f>
        <v>6</v>
      </c>
      <c r="F18" s="473">
        <v>13</v>
      </c>
      <c r="G18" s="690">
        <f>F18*10</f>
        <v>130</v>
      </c>
      <c r="H18" s="675">
        <f>G18+'12'!H18</f>
        <v>760</v>
      </c>
      <c r="I18" s="676">
        <f>'1'!I18</f>
        <v>65</v>
      </c>
      <c r="J18" s="677">
        <f>H18/DAY(B2)</f>
        <v>58.46153846153846</v>
      </c>
      <c r="K18" s="424"/>
      <c r="L18" s="374"/>
      <c r="N18" s="714"/>
      <c r="O18" s="721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0">
        <f>'12'!F19</f>
        <v>140368</v>
      </c>
      <c r="F19" s="473">
        <v>140432</v>
      </c>
      <c r="G19" s="685">
        <f t="shared" ref="G19" si="1">F19-E19</f>
        <v>64</v>
      </c>
      <c r="H19" s="675">
        <f>G19+'12'!H19</f>
        <v>820</v>
      </c>
      <c r="I19" s="692"/>
      <c r="J19" s="677">
        <f>H19/DAY(B2)</f>
        <v>63.07692307692308</v>
      </c>
      <c r="K19" s="424"/>
      <c r="L19" s="374"/>
      <c r="N19" s="714"/>
      <c r="O19" s="721"/>
      <c r="P19" s="379"/>
    </row>
    <row r="20" spans="1:16">
      <c r="A20" s="688" t="s">
        <v>210</v>
      </c>
      <c r="B20" s="689"/>
      <c r="C20" s="689"/>
      <c r="D20" s="633"/>
      <c r="E20" s="633"/>
      <c r="F20" s="705"/>
      <c r="G20" s="693">
        <f>G18+G19</f>
        <v>194</v>
      </c>
      <c r="H20" s="675">
        <f>G20+'12'!H20</f>
        <v>1580</v>
      </c>
      <c r="I20" s="694">
        <f>I18-J20</f>
        <v>-56.538461538461533</v>
      </c>
      <c r="J20" s="677">
        <f>H20/DAY(B2)</f>
        <v>121.53846153846153</v>
      </c>
      <c r="K20" s="424"/>
      <c r="L20" s="374"/>
      <c r="N20" s="714"/>
      <c r="O20" s="721"/>
      <c r="P20" s="379"/>
    </row>
    <row r="21" spans="1:16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1"/>
      <c r="P21" s="379"/>
    </row>
    <row r="22" spans="1:16">
      <c r="A22" s="1392" t="s">
        <v>212</v>
      </c>
      <c r="B22" s="584"/>
      <c r="C22" s="584"/>
      <c r="D22" s="518" t="s">
        <v>213</v>
      </c>
      <c r="E22" s="630">
        <v>2970</v>
      </c>
      <c r="F22" s="473">
        <v>2970</v>
      </c>
      <c r="G22" s="476">
        <f t="shared" ref="G22" si="2">(F22-E22)</f>
        <v>0</v>
      </c>
      <c r="H22" s="455">
        <v>0</v>
      </c>
      <c r="I22" s="475"/>
      <c r="J22" s="547">
        <f>H22/DAY(B2)</f>
        <v>0</v>
      </c>
      <c r="K22" s="424"/>
      <c r="L22" s="374"/>
      <c r="N22" s="714"/>
      <c r="O22" s="721"/>
      <c r="P22" s="379"/>
    </row>
    <row r="23" spans="1:16">
      <c r="A23" s="1392" t="s">
        <v>214</v>
      </c>
      <c r="B23" s="584"/>
      <c r="C23" s="584"/>
      <c r="D23" s="518" t="s">
        <v>213</v>
      </c>
      <c r="E23" s="630">
        <v>2000</v>
      </c>
      <c r="F23" s="473">
        <v>2000</v>
      </c>
      <c r="G23" s="476">
        <v>0</v>
      </c>
      <c r="H23" s="455">
        <f>G23+'12'!H23</f>
        <v>120</v>
      </c>
      <c r="I23" s="475"/>
      <c r="J23" s="547">
        <f>H23/DAY(B2)</f>
        <v>9.2307692307692299</v>
      </c>
      <c r="K23" s="424"/>
      <c r="L23" s="374"/>
      <c r="N23" s="714"/>
      <c r="O23" s="721"/>
      <c r="P23" s="379"/>
    </row>
    <row r="24" spans="1:16">
      <c r="A24" s="585" t="s">
        <v>215</v>
      </c>
      <c r="B24" s="586"/>
      <c r="C24" s="586"/>
      <c r="D24" s="506" t="s">
        <v>213</v>
      </c>
      <c r="E24" s="488">
        <v>4970</v>
      </c>
      <c r="F24" s="480">
        <v>4970</v>
      </c>
      <c r="G24" s="476">
        <v>0</v>
      </c>
      <c r="H24" s="455">
        <f>G24+'12'!H24</f>
        <v>120</v>
      </c>
      <c r="I24" s="475"/>
      <c r="J24" s="547">
        <f>H24/DAY(B2)</f>
        <v>9.2307692307692299</v>
      </c>
      <c r="K24" s="424"/>
      <c r="L24" s="374"/>
      <c r="N24" s="714"/>
      <c r="O24" s="721"/>
      <c r="P24" s="379"/>
    </row>
    <row r="25" spans="1:16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1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1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695">
        <f>G8</f>
        <v>20443</v>
      </c>
      <c r="F27" s="496">
        <v>9</v>
      </c>
      <c r="G27" s="497">
        <f>E27*F27</f>
        <v>183987</v>
      </c>
      <c r="H27" s="455">
        <f>G27+'12'!H27</f>
        <v>2064528</v>
      </c>
      <c r="I27" s="498"/>
      <c r="J27" s="547">
        <f>H27/DAY(B2)</f>
        <v>158809.84615384616</v>
      </c>
      <c r="K27" s="370"/>
      <c r="L27" s="438"/>
      <c r="N27" s="714"/>
      <c r="O27" s="721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695">
        <f>G15</f>
        <v>737</v>
      </c>
      <c r="F28" s="496">
        <v>52</v>
      </c>
      <c r="G28" s="497">
        <f>E28*F28</f>
        <v>38324</v>
      </c>
      <c r="H28" s="455">
        <f>G28+'12'!H28</f>
        <v>328016</v>
      </c>
      <c r="I28" s="500"/>
      <c r="J28" s="547">
        <f>H28/DAY(B2)</f>
        <v>25232</v>
      </c>
      <c r="K28" s="370"/>
      <c r="L28" s="438"/>
      <c r="N28" s="714"/>
      <c r="O28" s="721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G29+'12'!H29</f>
        <v>8280</v>
      </c>
      <c r="I29" s="500"/>
      <c r="J29" s="547">
        <f>H29/DAY(B2)</f>
        <v>636.92307692307691</v>
      </c>
      <c r="K29" s="370"/>
      <c r="L29" s="438"/>
      <c r="N29" s="714"/>
      <c r="O29" s="721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695">
        <f>G19</f>
        <v>64</v>
      </c>
      <c r="F30" s="496">
        <v>146</v>
      </c>
      <c r="G30" s="497">
        <f>E30*F30</f>
        <v>9344</v>
      </c>
      <c r="H30" s="455">
        <f>G30+'12'!H30</f>
        <v>119720</v>
      </c>
      <c r="I30" s="500"/>
      <c r="J30" s="547">
        <f>H30/DAY(B2)</f>
        <v>9209.2307692307695</v>
      </c>
      <c r="K30" s="370"/>
      <c r="L30" s="438"/>
      <c r="N30" s="714"/>
      <c r="O30" s="721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695">
        <f>G18</f>
        <v>130</v>
      </c>
      <c r="F31" s="496">
        <v>80</v>
      </c>
      <c r="G31" s="497">
        <f>E31*F31</f>
        <v>10400</v>
      </c>
      <c r="H31" s="455">
        <f>G31+'12'!H31</f>
        <v>60800</v>
      </c>
      <c r="I31" s="500"/>
      <c r="J31" s="547">
        <f>H31/DAY(B2)</f>
        <v>4676.9230769230771</v>
      </c>
      <c r="K31" s="370"/>
      <c r="L31" s="438"/>
      <c r="N31" s="714"/>
      <c r="O31" s="721"/>
      <c r="P31" s="379"/>
    </row>
    <row r="32" spans="1:16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242055</v>
      </c>
      <c r="H32" s="455">
        <f>G32+'12'!H32</f>
        <v>2581344</v>
      </c>
      <c r="I32" s="504"/>
      <c r="J32" s="547">
        <f>H32/DAY(B2)</f>
        <v>198564.92307692306</v>
      </c>
      <c r="K32" s="370"/>
      <c r="L32" s="438"/>
      <c r="N32" s="714"/>
      <c r="O32" s="721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1"/>
      <c r="P33" s="37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1"/>
      <c r="P34" s="379"/>
    </row>
    <row r="35" spans="1:16">
      <c r="A35" s="573" t="s">
        <v>229</v>
      </c>
      <c r="B35" s="574"/>
      <c r="C35" s="574"/>
      <c r="D35" s="518" t="s">
        <v>198</v>
      </c>
      <c r="E35" s="505">
        <f>'12'!F35</f>
        <v>979277</v>
      </c>
      <c r="F35" s="505">
        <v>981892</v>
      </c>
      <c r="G35" s="468">
        <f t="shared" ref="G35:G46" si="3">F35-E35</f>
        <v>2615</v>
      </c>
      <c r="H35" s="455">
        <f>G35+'12'!H35</f>
        <v>31404</v>
      </c>
      <c r="I35" s="450"/>
      <c r="J35" s="547">
        <f>H35/DAY(B2)</f>
        <v>2415.6923076923076</v>
      </c>
      <c r="K35" s="424"/>
      <c r="L35" s="374"/>
      <c r="N35" s="714"/>
      <c r="O35" s="722"/>
      <c r="P35" s="379"/>
    </row>
    <row r="36" spans="1:16">
      <c r="A36" s="573" t="s">
        <v>230</v>
      </c>
      <c r="B36" s="574"/>
      <c r="C36" s="574"/>
      <c r="D36" s="518" t="s">
        <v>198</v>
      </c>
      <c r="E36" s="505">
        <f>'12'!F36</f>
        <v>6954</v>
      </c>
      <c r="F36" s="505">
        <v>7511</v>
      </c>
      <c r="G36" s="468">
        <f t="shared" si="3"/>
        <v>557</v>
      </c>
      <c r="H36" s="455">
        <f>G36+'12'!H36</f>
        <v>7338</v>
      </c>
      <c r="I36" s="450"/>
      <c r="J36" s="547">
        <f>H36/DAY(B2)</f>
        <v>564.46153846153845</v>
      </c>
      <c r="K36" s="424"/>
      <c r="L36" s="374"/>
      <c r="N36" s="715"/>
      <c r="O36" s="722"/>
      <c r="P36" s="379"/>
    </row>
    <row r="37" spans="1:16">
      <c r="A37" s="573" t="s">
        <v>231</v>
      </c>
      <c r="B37" s="574"/>
      <c r="C37" s="574"/>
      <c r="D37" s="518" t="s">
        <v>198</v>
      </c>
      <c r="E37" s="505">
        <f>'12'!F37</f>
        <v>150289</v>
      </c>
      <c r="F37" s="505">
        <v>151702</v>
      </c>
      <c r="G37" s="468">
        <f t="shared" si="3"/>
        <v>1413</v>
      </c>
      <c r="H37" s="455">
        <f>G37+'12'!H37</f>
        <v>17466</v>
      </c>
      <c r="I37" s="450"/>
      <c r="J37" s="547">
        <f>H37/DAY(B2)</f>
        <v>1343.5384615384614</v>
      </c>
      <c r="K37" s="424"/>
      <c r="L37" s="374"/>
      <c r="N37" s="715"/>
      <c r="O37" s="722"/>
      <c r="P37" s="379"/>
    </row>
    <row r="38" spans="1:16">
      <c r="A38" s="573" t="s">
        <v>232</v>
      </c>
      <c r="B38" s="574"/>
      <c r="C38" s="574"/>
      <c r="D38" s="518" t="s">
        <v>198</v>
      </c>
      <c r="E38" s="505">
        <f>'12'!F38</f>
        <v>171165</v>
      </c>
      <c r="F38" s="464">
        <v>172659</v>
      </c>
      <c r="G38" s="468">
        <f t="shared" si="3"/>
        <v>1494</v>
      </c>
      <c r="H38" s="455">
        <f>G38+'12'!H38</f>
        <v>16254</v>
      </c>
      <c r="I38" s="450"/>
      <c r="J38" s="547">
        <f>H38/DAY(B2)</f>
        <v>1250.3076923076924</v>
      </c>
      <c r="K38" s="424"/>
      <c r="L38" s="374"/>
      <c r="N38" s="714"/>
      <c r="O38" s="721"/>
      <c r="P38" s="379"/>
    </row>
    <row r="39" spans="1:16">
      <c r="A39" s="573" t="s">
        <v>233</v>
      </c>
      <c r="B39" s="574"/>
      <c r="C39" s="574"/>
      <c r="D39" s="518" t="s">
        <v>198</v>
      </c>
      <c r="E39" s="505">
        <f>'12'!F39</f>
        <v>342095</v>
      </c>
      <c r="F39" s="505">
        <v>345464</v>
      </c>
      <c r="G39" s="468">
        <f t="shared" si="3"/>
        <v>3369</v>
      </c>
      <c r="H39" s="455">
        <f>G39+'12'!H39</f>
        <v>37291</v>
      </c>
      <c r="I39" s="450"/>
      <c r="J39" s="547">
        <f>H39/DAY(B2)</f>
        <v>2868.5384615384614</v>
      </c>
      <c r="K39" s="424"/>
      <c r="L39" s="374"/>
      <c r="N39" s="714"/>
      <c r="O39" s="722"/>
      <c r="P39" s="379"/>
    </row>
    <row r="40" spans="1:16">
      <c r="A40" s="594" t="s">
        <v>234</v>
      </c>
      <c r="B40" s="595"/>
      <c r="C40" s="595"/>
      <c r="D40" s="518" t="s">
        <v>198</v>
      </c>
      <c r="E40" s="505">
        <f>'12'!F40</f>
        <v>1057</v>
      </c>
      <c r="F40" s="505">
        <v>1226</v>
      </c>
      <c r="G40" s="468">
        <f t="shared" si="3"/>
        <v>169</v>
      </c>
      <c r="H40" s="455">
        <f>G40+'12'!H40</f>
        <v>337</v>
      </c>
      <c r="I40" s="450"/>
      <c r="J40" s="547">
        <f>H40/DAY(B2)</f>
        <v>25.923076923076923</v>
      </c>
      <c r="K40" s="425"/>
      <c r="L40" s="374"/>
      <c r="N40" s="714"/>
      <c r="O40" s="721"/>
      <c r="P40" s="379"/>
    </row>
    <row r="41" spans="1:16">
      <c r="A41" s="573" t="s">
        <v>235</v>
      </c>
      <c r="B41" s="574"/>
      <c r="C41" s="574"/>
      <c r="D41" s="518" t="s">
        <v>198</v>
      </c>
      <c r="E41" s="505">
        <f>'12'!F41</f>
        <v>268701</v>
      </c>
      <c r="F41" s="505">
        <v>274199</v>
      </c>
      <c r="G41" s="468">
        <f t="shared" si="3"/>
        <v>5498</v>
      </c>
      <c r="H41" s="455">
        <f>G41+'12'!H41</f>
        <v>33721</v>
      </c>
      <c r="I41" s="450"/>
      <c r="J41" s="547">
        <f>H41/DAY(B2)</f>
        <v>2593.9230769230771</v>
      </c>
      <c r="K41" s="424"/>
      <c r="L41" s="374"/>
      <c r="N41" s="714"/>
      <c r="O41" s="723"/>
      <c r="P41" s="717"/>
    </row>
    <row r="42" spans="1:16">
      <c r="A42" s="573" t="s">
        <v>236</v>
      </c>
      <c r="B42" s="574"/>
      <c r="C42" s="574"/>
      <c r="D42" s="518" t="s">
        <v>198</v>
      </c>
      <c r="E42" s="505">
        <f>'12'!F42</f>
        <v>59211</v>
      </c>
      <c r="F42" s="505">
        <v>59211</v>
      </c>
      <c r="G42" s="468">
        <f t="shared" si="3"/>
        <v>0</v>
      </c>
      <c r="H42" s="455">
        <f>G42+'12'!H42</f>
        <v>12.029999999998836</v>
      </c>
      <c r="I42" s="450"/>
      <c r="J42" s="547">
        <f>H42/DAY(B2)</f>
        <v>0.92538461538452588</v>
      </c>
      <c r="K42" s="424"/>
      <c r="L42" s="374"/>
      <c r="N42" s="714"/>
      <c r="O42" s="721"/>
      <c r="P42" s="379"/>
    </row>
    <row r="43" spans="1:16">
      <c r="A43" s="573" t="s">
        <v>237</v>
      </c>
      <c r="B43" s="574"/>
      <c r="C43" s="574"/>
      <c r="D43" s="518" t="s">
        <v>198</v>
      </c>
      <c r="E43" s="505">
        <f>'12'!F43</f>
        <v>1071126</v>
      </c>
      <c r="F43" s="505">
        <v>1073773</v>
      </c>
      <c r="G43" s="468">
        <f t="shared" si="3"/>
        <v>2647</v>
      </c>
      <c r="H43" s="455">
        <f>G43+'12'!H43</f>
        <v>31529</v>
      </c>
      <c r="I43" s="450"/>
      <c r="J43" s="547">
        <f>H43/DAY(B2)</f>
        <v>2425.3076923076924</v>
      </c>
      <c r="K43" s="424"/>
      <c r="L43" s="374"/>
      <c r="N43" s="714"/>
      <c r="O43" s="722"/>
      <c r="P43" s="379"/>
    </row>
    <row r="44" spans="1:16">
      <c r="A44" s="573" t="s">
        <v>238</v>
      </c>
      <c r="B44" s="574"/>
      <c r="C44" s="574"/>
      <c r="D44" s="518" t="s">
        <v>198</v>
      </c>
      <c r="E44" s="505">
        <f>'12'!F44</f>
        <v>0</v>
      </c>
      <c r="F44" s="505">
        <v>0</v>
      </c>
      <c r="G44" s="468">
        <f t="shared" si="3"/>
        <v>0</v>
      </c>
      <c r="H44" s="455">
        <f>G44+'12'!H44</f>
        <v>0</v>
      </c>
      <c r="I44" s="450"/>
      <c r="J44" s="547">
        <f>H44/DAY(B2)</f>
        <v>0</v>
      </c>
      <c r="K44" s="424"/>
      <c r="L44" s="374"/>
      <c r="N44" s="714"/>
      <c r="O44" s="721"/>
      <c r="P44" s="379"/>
    </row>
    <row r="45" spans="1:16">
      <c r="A45" s="573" t="s">
        <v>239</v>
      </c>
      <c r="B45" s="574"/>
      <c r="C45" s="574"/>
      <c r="D45" s="518" t="s">
        <v>198</v>
      </c>
      <c r="E45" s="505">
        <v>614</v>
      </c>
      <c r="F45" s="505">
        <v>614</v>
      </c>
      <c r="G45" s="468">
        <f t="shared" si="3"/>
        <v>0</v>
      </c>
      <c r="H45" s="455">
        <f>G45+'12'!H45</f>
        <v>0</v>
      </c>
      <c r="I45" s="450"/>
      <c r="J45" s="547">
        <f>H45/DAY(B2)</f>
        <v>0</v>
      </c>
      <c r="K45" s="424"/>
      <c r="L45" s="374"/>
      <c r="N45" s="718"/>
      <c r="O45" s="721"/>
      <c r="P45" s="379"/>
    </row>
    <row r="46" spans="1:16">
      <c r="A46" s="573" t="s">
        <v>240</v>
      </c>
      <c r="B46" s="574"/>
      <c r="C46" s="574"/>
      <c r="D46" s="518" t="s">
        <v>198</v>
      </c>
      <c r="E46" s="505">
        <v>187.49</v>
      </c>
      <c r="F46" s="505">
        <v>187.49</v>
      </c>
      <c r="G46" s="468">
        <f t="shared" si="3"/>
        <v>0</v>
      </c>
      <c r="H46" s="455">
        <f>G46+'12'!H46</f>
        <v>0</v>
      </c>
      <c r="I46" s="450"/>
      <c r="J46" s="547">
        <f>H46/DAY(B2)</f>
        <v>0</v>
      </c>
      <c r="K46" s="424"/>
      <c r="L46" s="374"/>
      <c r="N46" s="714"/>
      <c r="O46" s="721"/>
      <c r="P46" s="379"/>
    </row>
    <row r="47" spans="1:16">
      <c r="A47" s="580" t="s">
        <v>241</v>
      </c>
      <c r="B47" s="581"/>
      <c r="C47" s="581"/>
      <c r="D47" s="465"/>
      <c r="E47" s="506"/>
      <c r="F47" s="506" t="s">
        <v>326</v>
      </c>
      <c r="G47" s="476">
        <f>G35+G36+G37+G38+G39+G40+G41+G42+G43+G44+G45+G46</f>
        <v>17762</v>
      </c>
      <c r="H47" s="455">
        <f>G47+'12'!H47</f>
        <v>175352.52</v>
      </c>
      <c r="I47" s="450"/>
      <c r="J47" s="547">
        <f>H47/DAY(B2)</f>
        <v>13488.655384615384</v>
      </c>
      <c r="K47" s="424"/>
      <c r="L47" s="374"/>
      <c r="N47" s="714"/>
      <c r="O47" s="721"/>
      <c r="P47" s="37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1"/>
      <c r="P48" s="379"/>
    </row>
    <row r="49" spans="1:16">
      <c r="A49" s="573" t="s">
        <v>229</v>
      </c>
      <c r="B49" s="596"/>
      <c r="C49" s="596"/>
      <c r="D49" s="518" t="s">
        <v>198</v>
      </c>
      <c r="E49" s="505">
        <f>'12'!F49</f>
        <v>260732.13</v>
      </c>
      <c r="F49" s="505">
        <v>260732.13</v>
      </c>
      <c r="G49" s="468">
        <f t="shared" ref="G49:G58" si="4">F49-E49</f>
        <v>0</v>
      </c>
      <c r="H49" s="455">
        <f>G49+'12'!H49</f>
        <v>0.13000000000465661</v>
      </c>
      <c r="I49" s="450"/>
      <c r="J49" s="547">
        <f>H49/DAY(B2)</f>
        <v>1.0000000000358202E-2</v>
      </c>
      <c r="K49" s="424"/>
      <c r="L49" s="374"/>
      <c r="N49" s="714"/>
      <c r="O49" s="721"/>
      <c r="P49" s="379"/>
    </row>
    <row r="50" spans="1:16">
      <c r="A50" s="573" t="s">
        <v>243</v>
      </c>
      <c r="B50" s="596"/>
      <c r="C50" s="596"/>
      <c r="D50" s="518" t="s">
        <v>198</v>
      </c>
      <c r="E50" s="505">
        <f>'12'!F50</f>
        <v>513808</v>
      </c>
      <c r="F50" s="505">
        <v>514858</v>
      </c>
      <c r="G50" s="468">
        <f t="shared" si="4"/>
        <v>1050</v>
      </c>
      <c r="H50" s="455">
        <f>G50+'12'!H50</f>
        <v>11432</v>
      </c>
      <c r="I50" s="450"/>
      <c r="J50" s="547">
        <f>H50/DAY(B2)</f>
        <v>879.38461538461536</v>
      </c>
      <c r="K50" s="424"/>
      <c r="L50" s="374"/>
      <c r="N50" s="714"/>
      <c r="O50" s="722"/>
      <c r="P50" s="379"/>
    </row>
    <row r="51" spans="1:16">
      <c r="A51" s="573" t="s">
        <v>231</v>
      </c>
      <c r="B51" s="596"/>
      <c r="C51" s="596"/>
      <c r="D51" s="518" t="s">
        <v>198</v>
      </c>
      <c r="E51" s="505">
        <f>'12'!F51</f>
        <v>144639.87</v>
      </c>
      <c r="F51" s="505">
        <v>144639.87</v>
      </c>
      <c r="G51" s="468">
        <f t="shared" si="4"/>
        <v>0</v>
      </c>
      <c r="H51" s="455">
        <f>G51+'12'!H51</f>
        <v>-0.13000000000465661</v>
      </c>
      <c r="I51" s="450"/>
      <c r="J51" s="547">
        <f>H51/DAY(B2)</f>
        <v>-1.0000000000358202E-2</v>
      </c>
      <c r="K51" s="424"/>
      <c r="L51" s="374"/>
      <c r="N51" s="714"/>
      <c r="O51" s="721"/>
      <c r="P51" s="379"/>
    </row>
    <row r="52" spans="1:16">
      <c r="A52" s="573" t="s">
        <v>244</v>
      </c>
      <c r="B52" s="596"/>
      <c r="C52" s="596"/>
      <c r="D52" s="518" t="s">
        <v>198</v>
      </c>
      <c r="E52" s="505">
        <f>'12'!F52</f>
        <v>539606.06999999995</v>
      </c>
      <c r="F52" s="505">
        <v>539606.06999999995</v>
      </c>
      <c r="G52" s="468">
        <f t="shared" si="4"/>
        <v>0</v>
      </c>
      <c r="H52" s="455">
        <v>0</v>
      </c>
      <c r="I52" s="450"/>
      <c r="J52" s="547">
        <f>H52/DAY(B2)</f>
        <v>0</v>
      </c>
      <c r="K52" s="424"/>
      <c r="L52" s="374"/>
      <c r="N52" s="714"/>
      <c r="O52" s="721"/>
      <c r="P52" s="379"/>
    </row>
    <row r="53" spans="1:16">
      <c r="A53" s="573" t="s">
        <v>233</v>
      </c>
      <c r="B53" s="596"/>
      <c r="C53" s="596"/>
      <c r="D53" s="518" t="s">
        <v>198</v>
      </c>
      <c r="E53" s="505">
        <f>'12'!F53</f>
        <v>434232</v>
      </c>
      <c r="F53" s="505">
        <v>434232</v>
      </c>
      <c r="G53" s="468">
        <f t="shared" si="4"/>
        <v>0</v>
      </c>
      <c r="H53" s="455">
        <f>G53+'12'!H53</f>
        <v>1663.6699999999837</v>
      </c>
      <c r="I53" s="450"/>
      <c r="J53" s="547">
        <f>H53/DAY(B2)</f>
        <v>127.97461538461413</v>
      </c>
      <c r="K53" s="424"/>
      <c r="L53" s="374"/>
      <c r="N53" s="714"/>
      <c r="O53" s="721"/>
      <c r="P53" s="379"/>
    </row>
    <row r="54" spans="1:16">
      <c r="A54" s="573" t="s">
        <v>245</v>
      </c>
      <c r="B54" s="596"/>
      <c r="C54" s="596"/>
      <c r="D54" s="518" t="s">
        <v>198</v>
      </c>
      <c r="E54" s="505">
        <f>'12'!F54</f>
        <v>14744</v>
      </c>
      <c r="F54" s="505">
        <v>14825</v>
      </c>
      <c r="G54" s="468">
        <f t="shared" si="4"/>
        <v>81</v>
      </c>
      <c r="H54" s="455">
        <f>G54+'12'!H54</f>
        <v>996</v>
      </c>
      <c r="I54" s="450"/>
      <c r="J54" s="547">
        <f>H54/DAY(B2)</f>
        <v>76.615384615384613</v>
      </c>
      <c r="K54" s="424"/>
      <c r="L54" s="374"/>
      <c r="N54" s="714"/>
      <c r="O54" s="721"/>
      <c r="P54" s="379"/>
    </row>
    <row r="55" spans="1:16">
      <c r="A55" s="573" t="s">
        <v>246</v>
      </c>
      <c r="B55" s="596"/>
      <c r="C55" s="596"/>
      <c r="D55" s="518" t="s">
        <v>198</v>
      </c>
      <c r="E55" s="505">
        <f>'12'!F55</f>
        <v>68136.52</v>
      </c>
      <c r="F55" s="649">
        <v>69298</v>
      </c>
      <c r="G55" s="648">
        <f t="shared" si="4"/>
        <v>1161.4799999999959</v>
      </c>
      <c r="H55" s="701">
        <f>G55+'12'!H55</f>
        <v>1187</v>
      </c>
      <c r="I55" s="702"/>
      <c r="J55" s="703">
        <f>H55/DAY(B2)</f>
        <v>91.307692307692307</v>
      </c>
      <c r="K55" s="424"/>
      <c r="L55" s="374"/>
      <c r="N55" s="714"/>
      <c r="O55" s="721"/>
      <c r="P55" s="379"/>
    </row>
    <row r="56" spans="1:16">
      <c r="A56" s="573" t="s">
        <v>247</v>
      </c>
      <c r="B56" s="596"/>
      <c r="C56" s="596"/>
      <c r="D56" s="518" t="s">
        <v>248</v>
      </c>
      <c r="E56" s="505">
        <f>'12'!F56</f>
        <v>648815</v>
      </c>
      <c r="F56" s="649">
        <v>648857</v>
      </c>
      <c r="G56" s="468">
        <f t="shared" si="4"/>
        <v>42</v>
      </c>
      <c r="H56" s="455">
        <f>G56+'12'!H56</f>
        <v>31659</v>
      </c>
      <c r="I56" s="450"/>
      <c r="J56" s="547">
        <f>H56/DAY(B2)</f>
        <v>2435.3076923076924</v>
      </c>
      <c r="K56" s="423"/>
      <c r="L56" s="374"/>
      <c r="N56" s="714"/>
      <c r="O56" s="723"/>
      <c r="P56" s="379"/>
    </row>
    <row r="57" spans="1:16">
      <c r="A57" s="573" t="s">
        <v>237</v>
      </c>
      <c r="B57" s="596"/>
      <c r="C57" s="596"/>
      <c r="D57" s="518" t="s">
        <v>198</v>
      </c>
      <c r="E57" s="505">
        <f>'12'!F57</f>
        <v>7711</v>
      </c>
      <c r="F57" s="505">
        <v>7711.33</v>
      </c>
      <c r="G57" s="468">
        <f t="shared" si="4"/>
        <v>0.32999999999992724</v>
      </c>
      <c r="H57" s="455">
        <f>G57+'12'!H57</f>
        <v>0.32999999999992724</v>
      </c>
      <c r="I57" s="450"/>
      <c r="J57" s="547">
        <f>H57/DAY(B2)</f>
        <v>2.5384615384609788E-2</v>
      </c>
      <c r="K57" s="424"/>
      <c r="L57" s="374"/>
      <c r="N57" s="714"/>
      <c r="O57" s="721"/>
      <c r="P57" s="379"/>
    </row>
    <row r="58" spans="1:16">
      <c r="A58" s="573" t="s">
        <v>249</v>
      </c>
      <c r="B58" s="596"/>
      <c r="C58" s="596"/>
      <c r="D58" s="518" t="s">
        <v>198</v>
      </c>
      <c r="E58" s="505">
        <f>'12'!F58</f>
        <v>50934</v>
      </c>
      <c r="F58" s="649">
        <v>51172</v>
      </c>
      <c r="G58" s="468">
        <f t="shared" si="4"/>
        <v>238</v>
      </c>
      <c r="H58" s="455">
        <f>G58+'12'!H58</f>
        <v>1307.7900000000009</v>
      </c>
      <c r="I58" s="450"/>
      <c r="J58" s="547">
        <f>H58/DAY(B2)</f>
        <v>100.59923076923084</v>
      </c>
      <c r="K58" s="424"/>
      <c r="L58" s="374"/>
      <c r="N58" s="714"/>
      <c r="O58" s="721"/>
      <c r="P58" s="37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2572.8099999999959</v>
      </c>
      <c r="H59" s="455">
        <f>G59+'12'!H59</f>
        <v>48245.859999999935</v>
      </c>
      <c r="I59" s="450">
        <f>G7-G60</f>
        <v>-0.80999999999767169</v>
      </c>
      <c r="J59" s="547">
        <f>H59/DAY(B2)</f>
        <v>3711.2199999999948</v>
      </c>
      <c r="K59" s="424"/>
      <c r="L59" s="374"/>
      <c r="N59" s="714"/>
      <c r="O59" s="721"/>
      <c r="P59" s="37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20334.809999999998</v>
      </c>
      <c r="H60" s="455">
        <f>G60+'12'!H60</f>
        <v>224806.91999999995</v>
      </c>
      <c r="I60" s="450">
        <f>G13-G60</f>
        <v>-659.80999999999767</v>
      </c>
      <c r="J60" s="547">
        <f>H60/DAY(B2)</f>
        <v>17292.839999999997</v>
      </c>
      <c r="K60" s="424"/>
      <c r="L60" s="374"/>
      <c r="N60" s="714"/>
      <c r="O60" s="721"/>
      <c r="P60" s="37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1"/>
      <c r="P61" s="379"/>
    </row>
    <row r="62" spans="1:16">
      <c r="A62" s="598" t="s">
        <v>252</v>
      </c>
      <c r="B62" s="599"/>
      <c r="C62" s="599"/>
      <c r="D62" s="506" t="s">
        <v>253</v>
      </c>
      <c r="E62" s="509">
        <f>'12'!F62</f>
        <v>0</v>
      </c>
      <c r="F62" s="509">
        <v>0</v>
      </c>
      <c r="G62" s="468">
        <f t="shared" ref="G62:G70" si="5">F62-E62</f>
        <v>0</v>
      </c>
      <c r="H62" s="455">
        <f>G62+'12'!H62</f>
        <v>1.9999999967694748E-3</v>
      </c>
      <c r="I62" s="510"/>
      <c r="J62" s="547">
        <f>H62/DAY(B2)</f>
        <v>1.5384615359765192E-4</v>
      </c>
      <c r="K62" s="424"/>
      <c r="L62" s="374"/>
      <c r="N62" s="714"/>
      <c r="O62" s="721"/>
      <c r="P62" s="379"/>
    </row>
    <row r="63" spans="1:16">
      <c r="A63" s="598" t="s">
        <v>254</v>
      </c>
      <c r="B63" s="599"/>
      <c r="C63" s="599"/>
      <c r="D63" s="506" t="s">
        <v>253</v>
      </c>
      <c r="E63" s="509">
        <f>'12'!F63</f>
        <v>0</v>
      </c>
      <c r="F63" s="509">
        <v>0</v>
      </c>
      <c r="G63" s="468">
        <f t="shared" si="5"/>
        <v>0</v>
      </c>
      <c r="H63" s="455">
        <f>G63+'12'!H63</f>
        <v>0</v>
      </c>
      <c r="I63" s="510"/>
      <c r="J63" s="547">
        <f>H63/DAY(B2)</f>
        <v>0</v>
      </c>
      <c r="K63" s="424"/>
      <c r="L63" s="374"/>
      <c r="N63" s="714"/>
      <c r="O63" s="721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509">
        <f>'12'!F64</f>
        <v>163334</v>
      </c>
      <c r="F64" s="473">
        <v>163686</v>
      </c>
      <c r="G64" s="468">
        <f t="shared" si="5"/>
        <v>352</v>
      </c>
      <c r="H64" s="455">
        <f>G64+'12'!H64</f>
        <v>3754</v>
      </c>
      <c r="I64" s="475"/>
      <c r="J64" s="547">
        <f>H64/DAY(B2)</f>
        <v>288.76923076923077</v>
      </c>
      <c r="K64" s="424"/>
      <c r="L64" s="374"/>
      <c r="N64" s="714"/>
      <c r="O64" s="721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509">
        <f>'12'!F65</f>
        <v>164001</v>
      </c>
      <c r="F65" s="647">
        <v>164412</v>
      </c>
      <c r="G65" s="468">
        <f t="shared" si="5"/>
        <v>411</v>
      </c>
      <c r="H65" s="455">
        <f>G65+'12'!H65</f>
        <v>3414</v>
      </c>
      <c r="I65" s="484"/>
      <c r="J65" s="547">
        <f>H65/DAY(B2)</f>
        <v>262.61538461538464</v>
      </c>
      <c r="K65" s="424"/>
      <c r="L65" s="374"/>
      <c r="N65" s="714"/>
      <c r="O65" s="722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509">
        <f>'12'!F66</f>
        <v>61071</v>
      </c>
      <c r="F66" s="473">
        <v>61447</v>
      </c>
      <c r="G66" s="468">
        <f t="shared" si="5"/>
        <v>376</v>
      </c>
      <c r="H66" s="455">
        <f>G66+'12'!H66</f>
        <v>4642</v>
      </c>
      <c r="I66" s="475"/>
      <c r="J66" s="547">
        <f>H66/DAY(B2)</f>
        <v>357.07692307692309</v>
      </c>
      <c r="K66" s="424"/>
      <c r="L66" s="374"/>
      <c r="N66" s="714"/>
      <c r="O66" s="721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509">
        <f>'12'!F67</f>
        <v>256958</v>
      </c>
      <c r="F67" s="473">
        <v>257387</v>
      </c>
      <c r="G67" s="468">
        <f t="shared" si="5"/>
        <v>429</v>
      </c>
      <c r="H67" s="455">
        <f>G67+'12'!H67</f>
        <v>5195</v>
      </c>
      <c r="I67" s="484"/>
      <c r="J67" s="547">
        <f>H67/DAY(B2)</f>
        <v>399.61538461538464</v>
      </c>
      <c r="K67" s="425"/>
      <c r="L67" s="374"/>
      <c r="N67" s="714"/>
      <c r="O67" s="721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509">
        <f>'12'!F68</f>
        <v>85321</v>
      </c>
      <c r="F68" s="473">
        <v>85321</v>
      </c>
      <c r="G68" s="468">
        <f t="shared" si="5"/>
        <v>0</v>
      </c>
      <c r="H68" s="455">
        <f>G68+'12'!H68</f>
        <v>0</v>
      </c>
      <c r="I68" s="511"/>
      <c r="J68" s="547">
        <f>H68/DAY(B2)</f>
        <v>0</v>
      </c>
      <c r="K68" s="426"/>
      <c r="L68" s="374"/>
      <c r="N68" s="714"/>
      <c r="O68" s="721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509">
        <f>'12'!F69</f>
        <v>83304</v>
      </c>
      <c r="F69" s="473">
        <v>83521</v>
      </c>
      <c r="G69" s="468">
        <f t="shared" si="5"/>
        <v>217</v>
      </c>
      <c r="H69" s="455">
        <f>G69+'12'!H69</f>
        <v>1772</v>
      </c>
      <c r="I69" s="511"/>
      <c r="J69" s="547">
        <f>H69/DAY(B2)</f>
        <v>136.30769230769232</v>
      </c>
      <c r="K69" s="427"/>
      <c r="L69" s="374"/>
      <c r="N69" s="714"/>
      <c r="O69" s="721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513">
        <f>'12'!F70</f>
        <v>0</v>
      </c>
      <c r="F70" s="513">
        <v>0</v>
      </c>
      <c r="G70" s="513">
        <f t="shared" si="5"/>
        <v>0</v>
      </c>
      <c r="H70" s="455">
        <f>G70+'12'!H70</f>
        <v>0</v>
      </c>
      <c r="I70" s="513"/>
      <c r="J70" s="551">
        <f>H70/DAY(B2)</f>
        <v>0</v>
      </c>
      <c r="K70" s="427"/>
      <c r="L70" s="374"/>
      <c r="N70" s="714"/>
      <c r="O70" s="721"/>
      <c r="P70" s="379"/>
    </row>
    <row r="71" spans="1:16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1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4">
        <f>'12'!F72</f>
        <v>856001</v>
      </c>
      <c r="F72" s="650">
        <v>856044</v>
      </c>
      <c r="G72" s="468">
        <f t="shared" ref="G72:G84" si="6">F72-E72</f>
        <v>43</v>
      </c>
      <c r="H72" s="455">
        <f>G72+'12'!H72</f>
        <v>201</v>
      </c>
      <c r="I72" s="475"/>
      <c r="J72" s="547">
        <f>H72/DAY(B2)</f>
        <v>15.461538461538462</v>
      </c>
      <c r="K72" s="427"/>
      <c r="L72" s="374"/>
      <c r="N72" s="714"/>
      <c r="O72" s="721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4">
        <f>'12'!F73</f>
        <v>885951</v>
      </c>
      <c r="F73" s="651">
        <v>885952</v>
      </c>
      <c r="G73" s="648">
        <f t="shared" si="6"/>
        <v>1</v>
      </c>
      <c r="H73" s="455">
        <f>G73+'12'!H73</f>
        <v>15</v>
      </c>
      <c r="I73" s="475"/>
      <c r="J73" s="547">
        <f>H73/DAY(B2)</f>
        <v>1.1538461538461537</v>
      </c>
      <c r="K73" s="426"/>
      <c r="L73" s="374"/>
      <c r="N73" s="714"/>
      <c r="O73" s="721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4">
        <f>'12'!F74</f>
        <v>2599.96</v>
      </c>
      <c r="F74" s="651">
        <v>2599.96</v>
      </c>
      <c r="G74" s="468">
        <f t="shared" si="6"/>
        <v>0</v>
      </c>
      <c r="H74" s="455">
        <f>G74+'12'!H74</f>
        <v>13.960000000000036</v>
      </c>
      <c r="I74" s="475"/>
      <c r="J74" s="547">
        <f>H74/DAY(B2)</f>
        <v>1.0738461538461566</v>
      </c>
      <c r="K74" s="427"/>
      <c r="L74" s="374"/>
      <c r="N74" s="714"/>
      <c r="O74" s="721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4">
        <f>'12'!F75</f>
        <v>13508</v>
      </c>
      <c r="F75" s="651">
        <v>13637</v>
      </c>
      <c r="G75" s="468">
        <f t="shared" si="6"/>
        <v>129</v>
      </c>
      <c r="H75" s="455">
        <f>G75+'12'!H75</f>
        <v>968</v>
      </c>
      <c r="I75" s="475"/>
      <c r="J75" s="547">
        <f>H75/DAY(B2)</f>
        <v>74.461538461538467</v>
      </c>
      <c r="K75" s="426"/>
      <c r="L75" s="374"/>
      <c r="N75" s="714"/>
      <c r="O75" s="721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4">
        <f>'12'!F76</f>
        <v>8119</v>
      </c>
      <c r="F76" s="651">
        <v>8174</v>
      </c>
      <c r="G76" s="468">
        <f t="shared" si="6"/>
        <v>55</v>
      </c>
      <c r="H76" s="455">
        <f>G76+'12'!H76</f>
        <v>755</v>
      </c>
      <c r="I76" s="500"/>
      <c r="J76" s="547">
        <f>H76/DAY(B2)</f>
        <v>58.07692307692308</v>
      </c>
      <c r="K76" s="426"/>
      <c r="L76" s="374"/>
      <c r="N76" s="714"/>
      <c r="O76" s="721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4">
        <f>'12'!F77</f>
        <v>703432</v>
      </c>
      <c r="F77" s="651">
        <v>703488</v>
      </c>
      <c r="G77" s="648">
        <f t="shared" si="6"/>
        <v>56</v>
      </c>
      <c r="H77" s="455">
        <f>G77+'12'!H77</f>
        <v>649</v>
      </c>
      <c r="I77" s="500"/>
      <c r="J77" s="547">
        <f>H77/DAY(B2)</f>
        <v>49.92307692307692</v>
      </c>
      <c r="K77" s="426"/>
      <c r="L77" s="374"/>
      <c r="N77" s="714"/>
      <c r="O77" s="721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4">
        <f>'12'!F78</f>
        <v>673895</v>
      </c>
      <c r="F78" s="652">
        <v>673925</v>
      </c>
      <c r="G78" s="468">
        <f t="shared" si="6"/>
        <v>30</v>
      </c>
      <c r="H78" s="455">
        <f>G78+'12'!H78</f>
        <v>893</v>
      </c>
      <c r="I78" s="500"/>
      <c r="J78" s="547">
        <f>H78/DAY(B2)</f>
        <v>68.692307692307693</v>
      </c>
      <c r="K78" s="426"/>
      <c r="L78" s="374"/>
      <c r="N78" s="714"/>
      <c r="O78" s="721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4">
        <f>'12'!F79</f>
        <v>832779</v>
      </c>
      <c r="F79" s="652">
        <v>832915</v>
      </c>
      <c r="G79" s="468">
        <f t="shared" si="6"/>
        <v>136</v>
      </c>
      <c r="H79" s="455">
        <f>G79+'12'!H79</f>
        <v>1905</v>
      </c>
      <c r="I79" s="500"/>
      <c r="J79" s="547">
        <f>H79/DAY(B2)</f>
        <v>146.53846153846155</v>
      </c>
      <c r="K79" s="426"/>
      <c r="L79" s="374"/>
      <c r="N79" s="714"/>
      <c r="O79" s="721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4">
        <f>'12'!F80</f>
        <v>532070</v>
      </c>
      <c r="F80" s="651">
        <v>532450.52</v>
      </c>
      <c r="G80" s="468">
        <f t="shared" si="6"/>
        <v>380.52000000001863</v>
      </c>
      <c r="H80" s="455">
        <f>G80+'12'!H80</f>
        <v>4792.5200000000186</v>
      </c>
      <c r="I80" s="500"/>
      <c r="J80" s="547">
        <f>H80/DAY(B2)</f>
        <v>368.65538461538603</v>
      </c>
      <c r="K80" s="426"/>
      <c r="L80" s="374"/>
      <c r="N80" s="714"/>
      <c r="O80" s="721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4">
        <f>'12'!F81</f>
        <v>640219</v>
      </c>
      <c r="F81" s="651">
        <v>640343.80000000005</v>
      </c>
      <c r="G81" s="468">
        <f t="shared" si="6"/>
        <v>124.80000000004657</v>
      </c>
      <c r="H81" s="455">
        <f>G81+'12'!H81</f>
        <v>1445.8000000000466</v>
      </c>
      <c r="I81" s="500"/>
      <c r="J81" s="547">
        <f>H81/DAY(B2)</f>
        <v>111.2153846153882</v>
      </c>
      <c r="K81" s="426"/>
      <c r="L81" s="374"/>
      <c r="N81" s="714"/>
      <c r="O81" s="721"/>
      <c r="P81" s="379"/>
    </row>
    <row r="82" spans="1:16" ht="27.75">
      <c r="A82" s="1499" t="s">
        <v>267</v>
      </c>
      <c r="B82" s="1500"/>
      <c r="C82" s="1501"/>
      <c r="D82" s="480" t="s">
        <v>198</v>
      </c>
      <c r="E82" s="514">
        <f>'12'!F82</f>
        <v>108348</v>
      </c>
      <c r="F82" s="647">
        <v>108359</v>
      </c>
      <c r="G82" s="468">
        <f t="shared" si="6"/>
        <v>11</v>
      </c>
      <c r="H82" s="455">
        <f>G82+'12'!H82</f>
        <v>201</v>
      </c>
      <c r="I82" s="481"/>
      <c r="J82" s="547">
        <f>H82/DAY(B2)</f>
        <v>15.461538461538462</v>
      </c>
      <c r="K82" s="426"/>
      <c r="L82" s="374"/>
      <c r="N82" s="714"/>
      <c r="O82" s="721"/>
      <c r="P82" s="379"/>
    </row>
    <row r="83" spans="1:16" ht="27.75">
      <c r="A83" s="1499" t="s">
        <v>268</v>
      </c>
      <c r="B83" s="1500"/>
      <c r="C83" s="1501"/>
      <c r="D83" s="615" t="s">
        <v>198</v>
      </c>
      <c r="E83" s="514">
        <f>'12'!F83</f>
        <v>22884</v>
      </c>
      <c r="F83" s="506">
        <v>23120</v>
      </c>
      <c r="G83" s="468">
        <f t="shared" si="6"/>
        <v>236</v>
      </c>
      <c r="H83" s="455">
        <f>G83+'12'!H83</f>
        <v>2614</v>
      </c>
      <c r="I83" s="476"/>
      <c r="J83" s="547">
        <f>H83/DAY(B2)</f>
        <v>201.07692307692307</v>
      </c>
      <c r="K83" s="425"/>
      <c r="L83" s="374"/>
      <c r="N83" s="714"/>
      <c r="O83" s="721"/>
      <c r="P83" s="379"/>
    </row>
    <row r="84" spans="1:16">
      <c r="A84" s="1396" t="s">
        <v>166</v>
      </c>
      <c r="B84" s="566"/>
      <c r="C84" s="566"/>
      <c r="D84" s="473" t="s">
        <v>198</v>
      </c>
      <c r="E84" s="514">
        <f>'12'!F84</f>
        <v>509052</v>
      </c>
      <c r="F84" s="622">
        <v>509739</v>
      </c>
      <c r="G84" s="468">
        <f t="shared" si="6"/>
        <v>687</v>
      </c>
      <c r="H84" s="455">
        <f>G84+'12'!H84</f>
        <v>9445</v>
      </c>
      <c r="I84" s="476"/>
      <c r="J84" s="547">
        <f>H84/DAY(B2)</f>
        <v>726.53846153846155</v>
      </c>
      <c r="K84" s="377"/>
      <c r="L84" s="374"/>
      <c r="N84" s="714"/>
      <c r="O84" s="721"/>
      <c r="P84" s="379"/>
    </row>
    <row r="85" spans="1:16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SUM(G71:G84)</f>
        <v>1889.3200000000652</v>
      </c>
      <c r="H85" s="455">
        <f>G85+'12'!H85</f>
        <v>23898.280000000064</v>
      </c>
      <c r="I85" s="476"/>
      <c r="J85" s="547">
        <f>H85/DAY(B2)</f>
        <v>1838.3292307692357</v>
      </c>
      <c r="K85" s="377"/>
      <c r="L85" s="375"/>
      <c r="N85" s="714"/>
      <c r="O85" s="721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'12'!F86</f>
        <v>461307</v>
      </c>
      <c r="F86" s="643">
        <v>461336.44</v>
      </c>
      <c r="G86" s="701">
        <f t="shared" ref="G86:G91" si="7">F86-E86</f>
        <v>29.440000000002328</v>
      </c>
      <c r="H86" s="701">
        <f t="shared" ref="H86:H88" si="8">G86</f>
        <v>29.440000000002328</v>
      </c>
      <c r="I86" s="648"/>
      <c r="J86" s="703">
        <f>H86/DAY(B2)</f>
        <v>2.2646153846155639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'12'!F87</f>
        <v>81615</v>
      </c>
      <c r="F87" s="643">
        <v>81626</v>
      </c>
      <c r="G87" s="701">
        <f t="shared" si="7"/>
        <v>11</v>
      </c>
      <c r="H87" s="701">
        <f t="shared" si="8"/>
        <v>11</v>
      </c>
      <c r="I87" s="648"/>
      <c r="J87" s="703">
        <f>H87/DAY(B2)</f>
        <v>0.84615384615384615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'12'!F88</f>
        <v>153516</v>
      </c>
      <c r="F88" s="643">
        <v>153538.73000000001</v>
      </c>
      <c r="G88" s="701">
        <f t="shared" si="7"/>
        <v>22.730000000010477</v>
      </c>
      <c r="H88" s="701">
        <f t="shared" si="8"/>
        <v>22.730000000010477</v>
      </c>
      <c r="I88" s="648"/>
      <c r="J88" s="703">
        <f>H88/DAY(B2)</f>
        <v>1.7484615384623443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'12'!F89</f>
        <v>65381</v>
      </c>
      <c r="F89" s="643">
        <v>65397.8</v>
      </c>
      <c r="G89" s="701">
        <f t="shared" si="7"/>
        <v>16.80000000000291</v>
      </c>
      <c r="H89" s="701">
        <f>G89</f>
        <v>16.80000000000291</v>
      </c>
      <c r="I89" s="648"/>
      <c r="J89" s="703">
        <f>H89/DAY(B2)</f>
        <v>1.2923076923079162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'12'!F90</f>
        <v>3290</v>
      </c>
      <c r="F90" s="643">
        <v>3291.9</v>
      </c>
      <c r="G90" s="701">
        <f t="shared" si="7"/>
        <v>1.9000000000000909</v>
      </c>
      <c r="H90" s="701">
        <f>G90</f>
        <v>1.9000000000000909</v>
      </c>
      <c r="I90" s="648"/>
      <c r="J90" s="703">
        <f>H90/DAY(B2)</f>
        <v>0.14615384615385316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/>
      <c r="E91" s="622">
        <f>'12'!F91</f>
        <v>28112</v>
      </c>
      <c r="F91" s="643">
        <v>28113</v>
      </c>
      <c r="G91" s="701">
        <f t="shared" si="7"/>
        <v>1</v>
      </c>
      <c r="H91" s="701">
        <f>G91</f>
        <v>1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14"/>
      <c r="O92" s="721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479">
        <f>'12'!F93</f>
        <v>245956</v>
      </c>
      <c r="F93" s="473">
        <v>246080</v>
      </c>
      <c r="G93" s="468">
        <f t="shared" ref="G93:G94" si="9">F93-E93</f>
        <v>124</v>
      </c>
      <c r="H93" s="455">
        <f>G93+'12'!H93</f>
        <v>592</v>
      </c>
      <c r="I93" s="475"/>
      <c r="J93" s="547">
        <f>H93/DAY(B2)</f>
        <v>45.53846153846154</v>
      </c>
      <c r="K93" s="425"/>
      <c r="L93" s="374"/>
      <c r="N93" s="714"/>
      <c r="O93" s="721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479">
        <f>'12'!F94</f>
        <v>187288</v>
      </c>
      <c r="F94" s="473">
        <v>187397</v>
      </c>
      <c r="G94" s="468">
        <f t="shared" si="9"/>
        <v>109</v>
      </c>
      <c r="H94" s="455">
        <f>G94+'12'!H94</f>
        <v>1276</v>
      </c>
      <c r="I94" s="475"/>
      <c r="J94" s="547">
        <f>H94/DAY(B2)</f>
        <v>98.15384615384616</v>
      </c>
      <c r="K94" s="377"/>
      <c r="L94" s="374"/>
      <c r="N94" s="714"/>
      <c r="O94" s="721"/>
      <c r="P94" s="379"/>
    </row>
    <row r="95" spans="1:16">
      <c r="A95" s="1447" t="s">
        <v>276</v>
      </c>
      <c r="B95" s="1448"/>
      <c r="C95" s="1449"/>
      <c r="D95" s="518"/>
      <c r="E95" s="479">
        <f>'12'!F95</f>
        <v>0</v>
      </c>
      <c r="F95" s="473"/>
      <c r="G95" s="468">
        <f>G93+G94</f>
        <v>233</v>
      </c>
      <c r="H95" s="455">
        <f>G95+'12'!H95</f>
        <v>1792</v>
      </c>
      <c r="I95" s="475"/>
      <c r="J95" s="547">
        <f>H95/DAY(B2)</f>
        <v>137.84615384615384</v>
      </c>
      <c r="K95" s="377"/>
      <c r="L95" s="374"/>
      <c r="N95" s="714"/>
      <c r="O95" s="721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479">
        <f>'12'!F96</f>
        <v>414846</v>
      </c>
      <c r="F96" s="473">
        <v>414910</v>
      </c>
      <c r="G96" s="468">
        <f t="shared" ref="G96:G101" si="10">F96-E96</f>
        <v>64</v>
      </c>
      <c r="H96" s="455">
        <f>G96+'12'!H96</f>
        <v>627</v>
      </c>
      <c r="I96" s="475"/>
      <c r="J96" s="547">
        <f>H96/DAY(B2)</f>
        <v>48.230769230769234</v>
      </c>
      <c r="K96" s="377"/>
      <c r="L96" s="374"/>
      <c r="N96" s="714"/>
      <c r="O96" s="721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479">
        <f>'12'!F97</f>
        <v>102786</v>
      </c>
      <c r="F97" s="473">
        <v>102820</v>
      </c>
      <c r="G97" s="468">
        <f t="shared" si="10"/>
        <v>34</v>
      </c>
      <c r="H97" s="455">
        <f>G97+'12'!H97</f>
        <v>172</v>
      </c>
      <c r="I97" s="475"/>
      <c r="J97" s="547">
        <f>H97/DAY(B2)</f>
        <v>13.23076923076923</v>
      </c>
      <c r="K97" s="423"/>
      <c r="L97" s="374"/>
      <c r="N97" s="714"/>
      <c r="O97" s="721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479">
        <f>'12'!F98</f>
        <v>98188</v>
      </c>
      <c r="F98" s="473">
        <v>98235</v>
      </c>
      <c r="G98" s="468">
        <f t="shared" si="10"/>
        <v>47</v>
      </c>
      <c r="H98" s="455">
        <f>G98+'12'!H98</f>
        <v>285</v>
      </c>
      <c r="I98" s="475"/>
      <c r="J98" s="547">
        <f>H98/DAY(B2)</f>
        <v>21.923076923076923</v>
      </c>
      <c r="K98" s="428"/>
      <c r="L98" s="374"/>
      <c r="N98" s="714"/>
      <c r="O98" s="721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479">
        <f>'12'!F99</f>
        <v>149957</v>
      </c>
      <c r="F99" s="473">
        <v>149965</v>
      </c>
      <c r="G99" s="468">
        <f t="shared" si="10"/>
        <v>8</v>
      </c>
      <c r="H99" s="455">
        <f>G99+'12'!H99</f>
        <v>113</v>
      </c>
      <c r="I99" s="475"/>
      <c r="J99" s="547">
        <f>H99/DAY(B2)</f>
        <v>8.6923076923076916</v>
      </c>
      <c r="K99" s="377"/>
      <c r="L99" s="374"/>
      <c r="N99" s="716"/>
      <c r="O99" s="721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479">
        <f>'12'!F100</f>
        <v>7514</v>
      </c>
      <c r="F100" s="473">
        <v>7527</v>
      </c>
      <c r="G100" s="468">
        <f t="shared" si="10"/>
        <v>13</v>
      </c>
      <c r="H100" s="455">
        <f>G100+'12'!H100</f>
        <v>158</v>
      </c>
      <c r="I100" s="475"/>
      <c r="J100" s="547">
        <f>H100/DAY(B2)</f>
        <v>12.153846153846153</v>
      </c>
      <c r="K100" s="377"/>
      <c r="L100" s="374"/>
      <c r="N100" s="714"/>
      <c r="O100" s="721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479">
        <f>'12'!F101</f>
        <v>5489</v>
      </c>
      <c r="F101" s="621">
        <v>5501</v>
      </c>
      <c r="G101" s="468">
        <f t="shared" si="10"/>
        <v>12</v>
      </c>
      <c r="H101" s="455">
        <f>G101+'12'!H101</f>
        <v>110</v>
      </c>
      <c r="I101" s="475"/>
      <c r="J101" s="547">
        <f>H101/DAY(B2)</f>
        <v>8.4615384615384617</v>
      </c>
      <c r="K101" s="377"/>
      <c r="L101" s="374"/>
      <c r="N101" s="714"/>
      <c r="O101" s="721"/>
      <c r="P101" s="379"/>
    </row>
    <row r="102" spans="1:16">
      <c r="A102" s="1447" t="s">
        <v>277</v>
      </c>
      <c r="B102" s="1448"/>
      <c r="C102" s="1449"/>
      <c r="D102" s="519"/>
      <c r="E102" s="479"/>
      <c r="F102" s="519"/>
      <c r="G102" s="520">
        <f>SUM(G96:G101)</f>
        <v>178</v>
      </c>
      <c r="H102" s="455">
        <f>G102+'12'!H102</f>
        <v>1465</v>
      </c>
      <c r="I102" s="521"/>
      <c r="J102" s="547">
        <f>H102/DAY(B2)</f>
        <v>112.69230769230769</v>
      </c>
      <c r="K102" s="377"/>
      <c r="L102" s="374"/>
      <c r="N102" s="714"/>
      <c r="O102" s="721"/>
      <c r="P102" s="379"/>
    </row>
    <row r="103" spans="1:16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14"/>
      <c r="O103" s="721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1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479">
        <f>'12'!F105</f>
        <v>7473</v>
      </c>
      <c r="F105" s="655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4.384615384615385</v>
      </c>
      <c r="N105" s="714"/>
      <c r="O105" s="721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479">
        <f>'12'!F106</f>
        <v>36006</v>
      </c>
      <c r="F106" s="655">
        <v>36019</v>
      </c>
      <c r="G106" s="527">
        <f t="shared" ref="G106:G107" si="11">F106-E106</f>
        <v>13</v>
      </c>
      <c r="H106" s="528">
        <f>SUM(G106+'1'!G77)</f>
        <v>62</v>
      </c>
      <c r="I106" s="527"/>
      <c r="J106" s="553">
        <f>H106/DAY(B2)</f>
        <v>4.7692307692307692</v>
      </c>
      <c r="N106" s="714"/>
      <c r="O106" s="721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479">
        <f>'12'!F107</f>
        <v>19746</v>
      </c>
      <c r="F107" s="655">
        <v>19751</v>
      </c>
      <c r="G107" s="527">
        <f t="shared" si="11"/>
        <v>5</v>
      </c>
      <c r="H107" s="528">
        <f>SUM(G107+'1'!G78)</f>
        <v>60</v>
      </c>
      <c r="I107" s="527"/>
      <c r="J107" s="553">
        <f>H107/DAY(B2)</f>
        <v>4.615384615384615</v>
      </c>
      <c r="N107" s="714"/>
      <c r="O107" s="721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479"/>
      <c r="F108" s="655"/>
      <c r="G108" s="527">
        <f>SUM(G105:G107)</f>
        <v>18</v>
      </c>
      <c r="H108" s="528">
        <f>SUM(G108+'1'!G79)</f>
        <v>173</v>
      </c>
      <c r="I108" s="527"/>
      <c r="J108" s="553">
        <f>H108/DAY(B2)</f>
        <v>13.307692307692308</v>
      </c>
      <c r="N108" s="714"/>
      <c r="O108" s="721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479"/>
      <c r="F109" s="655"/>
      <c r="G109" s="527"/>
      <c r="H109" s="528"/>
      <c r="I109" s="527"/>
      <c r="J109" s="553"/>
      <c r="N109" s="714"/>
      <c r="O109" s="721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479">
        <f>'12'!F110</f>
        <v>63549</v>
      </c>
      <c r="F110" s="655">
        <v>63612</v>
      </c>
      <c r="G110" s="527">
        <f>F110-E110</f>
        <v>63</v>
      </c>
      <c r="H110" s="528">
        <f>SUM(G110+'1'!G81)</f>
        <v>157</v>
      </c>
      <c r="I110" s="527"/>
      <c r="J110" s="553">
        <f>H110/DAY(B2)</f>
        <v>12.076923076923077</v>
      </c>
      <c r="N110" s="714"/>
      <c r="O110" s="721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479">
        <f>'12'!F111</f>
        <v>32697</v>
      </c>
      <c r="F111" s="655">
        <v>32697</v>
      </c>
      <c r="G111" s="527">
        <f t="shared" ref="G111:G112" si="12">F111-E111</f>
        <v>0</v>
      </c>
      <c r="H111" s="528">
        <f>SUM(G111+'1'!G82)</f>
        <v>11</v>
      </c>
      <c r="I111" s="527"/>
      <c r="J111" s="553">
        <f>H111/DAY(B2)</f>
        <v>0.84615384615384615</v>
      </c>
      <c r="N111" s="714"/>
      <c r="O111" s="721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479">
        <f>'12'!F112</f>
        <v>4621</v>
      </c>
      <c r="F112" s="655">
        <v>4621</v>
      </c>
      <c r="G112" s="527">
        <f t="shared" si="12"/>
        <v>0</v>
      </c>
      <c r="H112" s="528">
        <f>SUM(G112+'1'!G83)</f>
        <v>152</v>
      </c>
      <c r="I112" s="527"/>
      <c r="J112" s="553">
        <f>H112/DAY(B2)</f>
        <v>11.692307692307692</v>
      </c>
      <c r="N112" s="714"/>
      <c r="O112" s="721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479"/>
      <c r="F113" s="655"/>
      <c r="G113" s="527">
        <f>SUM(G110:G112)</f>
        <v>63</v>
      </c>
      <c r="H113" s="528">
        <f>SUM(G113+'1'!G84)</f>
        <v>890</v>
      </c>
      <c r="I113" s="527"/>
      <c r="J113" s="553">
        <f>H113/DAY(B2)</f>
        <v>68.461538461538467</v>
      </c>
      <c r="N113" s="714"/>
      <c r="O113" s="721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479"/>
      <c r="F114" s="655"/>
      <c r="G114" s="527"/>
      <c r="H114" s="528"/>
      <c r="I114" s="527"/>
      <c r="J114" s="553">
        <f>H114/DAY(B2)</f>
        <v>0</v>
      </c>
      <c r="N114" s="714"/>
      <c r="O114" s="721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479">
        <f>'12'!F115</f>
        <v>11677</v>
      </c>
      <c r="F115" s="655">
        <v>11693</v>
      </c>
      <c r="G115" s="529">
        <f>F115-E115</f>
        <v>16</v>
      </c>
      <c r="H115" s="528">
        <f>SUM(G115+'1'!G92)</f>
        <v>16</v>
      </c>
      <c r="I115" s="527"/>
      <c r="J115" s="553">
        <f>H115/DAY(B2)</f>
        <v>1.2307692307692308</v>
      </c>
      <c r="N115" s="714"/>
      <c r="O115" s="721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479">
        <f>'12'!F116</f>
        <v>8397</v>
      </c>
      <c r="F116" s="655">
        <v>8412</v>
      </c>
      <c r="G116" s="529">
        <f t="shared" ref="G116:G117" si="13">F116-E116</f>
        <v>15</v>
      </c>
      <c r="H116" s="528">
        <f>SUM(G116+'1'!G93)</f>
        <v>33</v>
      </c>
      <c r="I116" s="527"/>
      <c r="J116" s="553">
        <f>H116/DAY(B2)</f>
        <v>2.5384615384615383</v>
      </c>
      <c r="N116" s="714"/>
      <c r="O116" s="721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528">
        <f>SUM(G117+'1'!G94)</f>
        <v>58</v>
      </c>
      <c r="I117" s="527"/>
      <c r="J117" s="553">
        <f>H117/DAY(B2)</f>
        <v>4.4615384615384617</v>
      </c>
      <c r="N117" s="714"/>
      <c r="O117" s="721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31</v>
      </c>
      <c r="H118" s="528">
        <f>SUM(G118+'1'!G96)</f>
        <v>71</v>
      </c>
      <c r="I118" s="529"/>
      <c r="J118" s="553">
        <f>H118/DAY(B2)</f>
        <v>5.4615384615384617</v>
      </c>
      <c r="N118" s="714"/>
      <c r="O118" s="721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188</v>
      </c>
      <c r="G119" s="531">
        <f>SUM(G19+G93)</f>
        <v>188</v>
      </c>
      <c r="H119" s="528">
        <f>SUM(G119+'1'!G97)</f>
        <v>201</v>
      </c>
      <c r="I119" s="530"/>
      <c r="J119" s="554">
        <f>H119/DAY(B2)</f>
        <v>15.461538461538462</v>
      </c>
      <c r="N119" s="714"/>
      <c r="O119" s="721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170</v>
      </c>
      <c r="G120" s="531">
        <f>SUM(G96,G97,G98,G100,G101)</f>
        <v>170</v>
      </c>
      <c r="H120" s="528">
        <f>SUM(G120+'1'!G99)</f>
        <v>177</v>
      </c>
      <c r="I120" s="530"/>
      <c r="J120" s="554">
        <f>H120/DAY(B2)</f>
        <v>13.615384615384615</v>
      </c>
      <c r="N120" s="714"/>
      <c r="O120" s="721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63</v>
      </c>
      <c r="G121" s="529">
        <f>SUM(G113)</f>
        <v>63</v>
      </c>
      <c r="H121" s="528">
        <f>SUM(G121+'1'!G101)</f>
        <v>67</v>
      </c>
      <c r="I121" s="530"/>
      <c r="J121" s="554">
        <f>H121/DAY(B2)</f>
        <v>5.1538461538461542</v>
      </c>
      <c r="N121" s="714"/>
      <c r="O121" s="721"/>
      <c r="P121" s="379"/>
    </row>
    <row r="122" spans="1:16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1"/>
      <c r="P122" s="379"/>
    </row>
    <row r="123" spans="1:16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1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473">
        <f>'12'!F124</f>
        <v>834687</v>
      </c>
      <c r="F124" s="473">
        <v>834932</v>
      </c>
      <c r="G124" s="468">
        <f t="shared" ref="G124:G128" si="14">F124-E124</f>
        <v>245</v>
      </c>
      <c r="H124" s="455">
        <f>G124+'12'!H124</f>
        <v>2566</v>
      </c>
      <c r="I124" s="521"/>
      <c r="J124" s="547">
        <f>H124/DAY(B2)</f>
        <v>197.38461538461539</v>
      </c>
      <c r="K124" s="377"/>
      <c r="L124" s="374"/>
      <c r="N124" s="714"/>
      <c r="O124" s="721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621">
        <f>'12'!F125</f>
        <v>73583</v>
      </c>
      <c r="F125" s="621">
        <v>73583</v>
      </c>
      <c r="G125" s="468">
        <f t="shared" si="14"/>
        <v>0</v>
      </c>
      <c r="H125" s="455">
        <f>G125+'12'!H125</f>
        <v>-0.39999999999417923</v>
      </c>
      <c r="I125" s="521"/>
      <c r="J125" s="547">
        <f>H125/DAY(B2)</f>
        <v>-3.0769230768783018E-2</v>
      </c>
      <c r="K125" s="377"/>
      <c r="L125" s="374"/>
      <c r="N125" s="714"/>
      <c r="O125" s="721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473">
        <f>'12'!F126</f>
        <v>147247</v>
      </c>
      <c r="F126" s="473">
        <v>147307</v>
      </c>
      <c r="G126" s="468">
        <f t="shared" si="14"/>
        <v>60</v>
      </c>
      <c r="H126" s="455">
        <f>G126+'12'!H126</f>
        <v>816</v>
      </c>
      <c r="I126" s="521"/>
      <c r="J126" s="547">
        <f>H126/DAY(B2)</f>
        <v>62.769230769230766</v>
      </c>
      <c r="K126" s="377"/>
      <c r="L126" s="374"/>
      <c r="N126" s="714"/>
      <c r="O126" s="721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621">
        <f>'12'!F127</f>
        <v>31409</v>
      </c>
      <c r="F127" s="621">
        <v>31477</v>
      </c>
      <c r="G127" s="468">
        <f t="shared" si="14"/>
        <v>68</v>
      </c>
      <c r="H127" s="455">
        <f>G127+'12'!H127</f>
        <v>71</v>
      </c>
      <c r="I127" s="521"/>
      <c r="J127" s="547">
        <f>H127/DAY(B2)</f>
        <v>5.4615384615384617</v>
      </c>
      <c r="K127" s="377"/>
      <c r="L127" s="374"/>
      <c r="N127" s="714"/>
      <c r="O127" s="721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621">
        <f>'12'!F128</f>
        <v>8972</v>
      </c>
      <c r="F128" s="621">
        <v>8974</v>
      </c>
      <c r="G128" s="468">
        <f t="shared" si="14"/>
        <v>2</v>
      </c>
      <c r="H128" s="455">
        <f>G128+'12'!H128</f>
        <v>2</v>
      </c>
      <c r="I128" s="475"/>
      <c r="J128" s="547">
        <f>H128/DAY(B2)</f>
        <v>0.15384615384615385</v>
      </c>
      <c r="K128" s="377"/>
      <c r="L128" s="374"/>
      <c r="N128" s="714"/>
      <c r="O128" s="721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362</v>
      </c>
      <c r="H129" s="455"/>
      <c r="I129" s="475"/>
      <c r="J129" s="547"/>
      <c r="K129" s="361"/>
      <c r="L129" s="289"/>
      <c r="N129" s="714"/>
      <c r="O129" s="721"/>
      <c r="P129" s="379"/>
    </row>
    <row r="130" spans="1:16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1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479">
        <f>'12'!F131</f>
        <v>0</v>
      </c>
      <c r="F131" s="473">
        <v>0</v>
      </c>
      <c r="G131" s="468">
        <f t="shared" ref="G131:G141" si="15">F131-E131</f>
        <v>0</v>
      </c>
      <c r="H131" s="455">
        <f>G131+'12'!H131</f>
        <v>0</v>
      </c>
      <c r="I131" s="475"/>
      <c r="J131" s="547">
        <f>H131/DAY(B2)</f>
        <v>0</v>
      </c>
      <c r="N131" s="714"/>
      <c r="O131" s="721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479">
        <f>'12'!F132</f>
        <v>0</v>
      </c>
      <c r="F132" s="473">
        <v>0</v>
      </c>
      <c r="G132" s="468">
        <f t="shared" si="15"/>
        <v>0</v>
      </c>
      <c r="H132" s="455">
        <f>G132+'12'!H132</f>
        <v>0</v>
      </c>
      <c r="I132" s="475"/>
      <c r="J132" s="547">
        <f>H132/DAY(B2)</f>
        <v>0</v>
      </c>
      <c r="N132" s="714"/>
      <c r="O132" s="721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536">
        <f>'12'!F133</f>
        <v>40170.449999999997</v>
      </c>
      <c r="F133" s="647">
        <v>40194</v>
      </c>
      <c r="G133" s="468">
        <f t="shared" si="15"/>
        <v>23.55000000000291</v>
      </c>
      <c r="H133" s="455">
        <f>G133+'12'!H133</f>
        <v>158.90000000000146</v>
      </c>
      <c r="I133" s="475"/>
      <c r="J133" s="547">
        <f>H133/DAY(B2)</f>
        <v>12.223076923077034</v>
      </c>
      <c r="N133" s="714"/>
      <c r="O133" s="721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697">
        <f>'12'!F134</f>
        <v>300</v>
      </c>
      <c r="F134" s="621">
        <v>300</v>
      </c>
      <c r="G134" s="468">
        <f t="shared" si="15"/>
        <v>0</v>
      </c>
      <c r="H134" s="455">
        <f>G134+'12'!H134</f>
        <v>0</v>
      </c>
      <c r="I134" s="475">
        <f>G131+G132+G133+G134</f>
        <v>23.55000000000291</v>
      </c>
      <c r="J134" s="547">
        <f>H134/DAY(B2)</f>
        <v>0</v>
      </c>
      <c r="N134" s="714"/>
      <c r="O134" s="721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697">
        <f>'12'!F135</f>
        <v>41730.449999999997</v>
      </c>
      <c r="F135" s="621">
        <v>41736</v>
      </c>
      <c r="G135" s="468">
        <f t="shared" si="15"/>
        <v>5.5500000000029104</v>
      </c>
      <c r="H135" s="455">
        <f>G135+'12'!H135</f>
        <v>6</v>
      </c>
      <c r="I135" s="475"/>
      <c r="J135" s="547">
        <f>H135/DAY(B2)</f>
        <v>0.46153846153846156</v>
      </c>
      <c r="N135" s="714"/>
      <c r="O135" s="721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536">
        <f>'12'!F136</f>
        <v>32874</v>
      </c>
      <c r="F136" s="647">
        <v>32874</v>
      </c>
      <c r="G136" s="468">
        <f t="shared" si="15"/>
        <v>0</v>
      </c>
      <c r="H136" s="455">
        <f>G136+'12'!H136</f>
        <v>159</v>
      </c>
      <c r="I136" s="475"/>
      <c r="J136" s="547">
        <f>H136/DAY(B2)</f>
        <v>12.23076923076923</v>
      </c>
      <c r="N136" s="714"/>
      <c r="O136" s="721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536">
        <f>'12'!F137</f>
        <v>22833.51</v>
      </c>
      <c r="F137" s="647">
        <v>22841.51</v>
      </c>
      <c r="G137" s="468">
        <f t="shared" si="15"/>
        <v>8</v>
      </c>
      <c r="H137" s="455">
        <f>G137+'12'!H137</f>
        <v>34.269999999996799</v>
      </c>
      <c r="I137" s="475">
        <f>G135+G136+G137</f>
        <v>13.55000000000291</v>
      </c>
      <c r="J137" s="547">
        <f>H137/DAY(B2)</f>
        <v>2.6361538461535998</v>
      </c>
      <c r="N137" s="714"/>
      <c r="O137" s="721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536">
        <f>'12'!F138</f>
        <v>25051.82</v>
      </c>
      <c r="F138" s="647">
        <v>25051.82</v>
      </c>
      <c r="G138" s="468">
        <f t="shared" si="15"/>
        <v>0</v>
      </c>
      <c r="H138" s="455">
        <f>G138+'12'!H138</f>
        <v>0</v>
      </c>
      <c r="I138" s="475"/>
      <c r="J138" s="547">
        <f>H138/DAY(B2)</f>
        <v>0</v>
      </c>
      <c r="N138" s="714"/>
      <c r="O138" s="721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536">
        <f>'12'!F139</f>
        <v>70460.649999999994</v>
      </c>
      <c r="F139" s="647">
        <v>70460.649999999994</v>
      </c>
      <c r="G139" s="468">
        <f t="shared" si="15"/>
        <v>0</v>
      </c>
      <c r="H139" s="455">
        <f>G139+'12'!H139</f>
        <v>48.909999999988941</v>
      </c>
      <c r="I139" s="475">
        <f>G138+G139</f>
        <v>0</v>
      </c>
      <c r="J139" s="547">
        <f>H139/DAY(B2)</f>
        <v>3.7623076923068415</v>
      </c>
      <c r="N139" s="714"/>
      <c r="O139" s="721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697">
        <f>'12'!F140</f>
        <v>1943.38</v>
      </c>
      <c r="F140" s="621">
        <v>1952.6</v>
      </c>
      <c r="G140" s="468">
        <f t="shared" si="15"/>
        <v>9.2199999999997999</v>
      </c>
      <c r="H140" s="455">
        <f>G140+'12'!H140</f>
        <v>98.299999999999955</v>
      </c>
      <c r="I140" s="537"/>
      <c r="J140" s="547">
        <f>H140/DAY(B2)</f>
        <v>7.5615384615384578</v>
      </c>
      <c r="N140" s="714"/>
      <c r="O140" s="721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479">
        <f>'12'!F141</f>
        <v>4636.88</v>
      </c>
      <c r="F141" s="473">
        <v>4636.88</v>
      </c>
      <c r="G141" s="468">
        <f t="shared" si="15"/>
        <v>0</v>
      </c>
      <c r="H141" s="455">
        <f>G141+'12'!H141</f>
        <v>-0.11999999999989086</v>
      </c>
      <c r="I141" s="537"/>
      <c r="J141" s="547">
        <f>H141/DAY(B2)</f>
        <v>-9.2307692307608356E-3</v>
      </c>
      <c r="N141" s="714"/>
      <c r="O141" s="721"/>
      <c r="P141" s="379"/>
    </row>
    <row r="142" spans="1:16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1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5262.33</v>
      </c>
      <c r="H143" s="455">
        <f>G143+'12'!H143</f>
        <v>62933.460000000006</v>
      </c>
      <c r="I143" s="475"/>
      <c r="J143" s="547">
        <f>H143/DAY(B2)</f>
        <v>4841.0353846153848</v>
      </c>
      <c r="K143" s="377"/>
      <c r="L143" s="374"/>
      <c r="N143" s="714"/>
      <c r="O143" s="721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0.25879462968427264</v>
      </c>
      <c r="H144" s="455">
        <f>G144+'12'!H144</f>
        <v>3.5896617908633011</v>
      </c>
      <c r="I144" s="539"/>
      <c r="J144" s="547">
        <f>H144/DAY(B2)</f>
        <v>0.27612783006640779</v>
      </c>
      <c r="K144" s="377"/>
      <c r="L144" s="374"/>
      <c r="N144" s="714"/>
      <c r="O144" s="721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6701.4799999999959</v>
      </c>
      <c r="H145" s="455">
        <f>G145+'12'!H145</f>
        <v>66579.03</v>
      </c>
      <c r="I145" s="475"/>
      <c r="J145" s="547">
        <f>H145/DAY(B2)</f>
        <v>5121.4638461538461</v>
      </c>
      <c r="K145" s="377"/>
      <c r="L145" s="374"/>
      <c r="N145" s="714"/>
      <c r="O145" s="721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0.32957017802694971</v>
      </c>
      <c r="H146" s="455">
        <f>G146+'12'!H146</f>
        <v>3.7796123153961774</v>
      </c>
      <c r="I146" s="539"/>
      <c r="J146" s="547">
        <f>H146/DAY(B2)</f>
        <v>0.29073940887662902</v>
      </c>
      <c r="K146" s="377"/>
      <c r="L146" s="374"/>
      <c r="N146" s="714"/>
      <c r="O146" s="721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3369</v>
      </c>
      <c r="H147" s="455">
        <f>G147+'12'!H147</f>
        <v>38955</v>
      </c>
      <c r="I147" s="540"/>
      <c r="J147" s="547">
        <f>H147/DAY(B2)</f>
        <v>2996.5384615384614</v>
      </c>
      <c r="K147" s="377"/>
      <c r="L147" s="374"/>
      <c r="N147" s="714"/>
      <c r="O147" s="721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0.16568309235762763</v>
      </c>
      <c r="H148" s="455">
        <f>G148+'12'!H148</f>
        <v>2.2138968007896915</v>
      </c>
      <c r="I148" s="540"/>
      <c r="J148" s="547">
        <f>H148/DAY(B2)</f>
        <v>0.17029975390689936</v>
      </c>
      <c r="N148" s="714"/>
      <c r="O148" s="721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1494</v>
      </c>
      <c r="H149" s="455">
        <f>G149+'12'!H149</f>
        <v>16254.069999999949</v>
      </c>
      <c r="I149" s="475"/>
      <c r="J149" s="547">
        <f>H149/DAY(B2)</f>
        <v>1250.3130769230729</v>
      </c>
      <c r="K149" s="378"/>
      <c r="N149" s="714"/>
      <c r="O149" s="721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7.3473000885216883E-2</v>
      </c>
      <c r="H150" s="455">
        <f>G150+'12'!H150</f>
        <v>0.92392701819586298</v>
      </c>
      <c r="I150" s="540"/>
      <c r="J150" s="547">
        <f>H150/DAY(B2)</f>
        <v>7.1071309091989457E-2</v>
      </c>
      <c r="N150" s="714"/>
      <c r="O150" s="721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1607</v>
      </c>
      <c r="H151" s="455">
        <f>G151+'12'!H151</f>
        <v>19660</v>
      </c>
      <c r="I151" s="540"/>
      <c r="J151" s="547">
        <f>H151/DAY(B2)</f>
        <v>1512.3076923076924</v>
      </c>
      <c r="N151" s="714"/>
      <c r="O151" s="721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7.90301957312875E-2</v>
      </c>
      <c r="H152" s="455">
        <f>G152+'12'!H152</f>
        <v>1.1151868214930698</v>
      </c>
      <c r="I152" s="475"/>
      <c r="J152" s="547">
        <f>H152/DAY(B2)</f>
        <v>8.5783601653313057E-2</v>
      </c>
      <c r="N152" s="714"/>
      <c r="O152" s="721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1413</v>
      </c>
      <c r="H153" s="455">
        <f>G153+'12'!H153</f>
        <v>17465.869999999995</v>
      </c>
      <c r="I153" s="475"/>
      <c r="J153" s="547">
        <f>H153/DAY(B2)</f>
        <v>1343.5284615384612</v>
      </c>
      <c r="N153" s="714"/>
      <c r="O153" s="721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6.9489524933608729E-2</v>
      </c>
      <c r="H154" s="455">
        <f>G154+'12'!H154</f>
        <v>0.99636222863157287</v>
      </c>
      <c r="I154" s="563"/>
      <c r="J154" s="564">
        <f>H154/DAY(B2)</f>
        <v>7.664324835627484E-2</v>
      </c>
      <c r="N154" s="714"/>
      <c r="O154" s="721"/>
      <c r="P154" s="37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90" t="s">
        <v>318</v>
      </c>
      <c r="B161" s="791"/>
      <c r="C161" s="791"/>
      <c r="D161" s="615" t="s">
        <v>253</v>
      </c>
      <c r="E161" s="517">
        <f>'12'!F161</f>
        <v>39400</v>
      </c>
      <c r="F161" s="799">
        <v>39481</v>
      </c>
      <c r="G161" s="468">
        <f t="shared" ref="G161:G164" si="16">F161-E161</f>
        <v>81</v>
      </c>
      <c r="N161" s="714"/>
    </row>
    <row r="162" spans="1:14">
      <c r="A162" s="790" t="s">
        <v>319</v>
      </c>
      <c r="B162" s="791"/>
      <c r="C162" s="791"/>
      <c r="D162" s="615" t="s">
        <v>253</v>
      </c>
      <c r="E162" s="517">
        <f>'12'!F162</f>
        <v>99749</v>
      </c>
      <c r="F162" s="799">
        <v>100170</v>
      </c>
      <c r="G162" s="468">
        <f t="shared" si="16"/>
        <v>421</v>
      </c>
      <c r="N162" s="714"/>
    </row>
    <row r="163" spans="1:14">
      <c r="A163" s="790" t="s">
        <v>320</v>
      </c>
      <c r="B163" s="791"/>
      <c r="C163" s="791"/>
      <c r="D163" s="615" t="s">
        <v>253</v>
      </c>
      <c r="E163" s="517">
        <f>'12'!F163</f>
        <v>47444</v>
      </c>
      <c r="F163" s="799">
        <v>47650</v>
      </c>
      <c r="G163" s="468">
        <f t="shared" si="16"/>
        <v>206</v>
      </c>
      <c r="N163" s="714"/>
    </row>
    <row r="164" spans="1:14">
      <c r="A164" s="790" t="s">
        <v>321</v>
      </c>
      <c r="B164" s="791"/>
      <c r="C164" s="791"/>
      <c r="D164" s="615" t="s">
        <v>253</v>
      </c>
      <c r="E164" s="517">
        <f>'12'!F164</f>
        <v>6671</v>
      </c>
      <c r="F164" s="799">
        <v>6679</v>
      </c>
      <c r="G164" s="468">
        <f t="shared" si="16"/>
        <v>8</v>
      </c>
      <c r="N164" s="714"/>
    </row>
    <row r="165" spans="1:14">
      <c r="A165" s="792" t="s">
        <v>252</v>
      </c>
      <c r="B165" s="793"/>
      <c r="C165" s="793"/>
      <c r="D165" s="615" t="s">
        <v>253</v>
      </c>
      <c r="E165" s="509">
        <f>E62</f>
        <v>0</v>
      </c>
      <c r="F165" s="509">
        <f>F62</f>
        <v>0</v>
      </c>
      <c r="G165" s="468">
        <f t="shared" ref="G165:G174" si="17">F165-E165</f>
        <v>0</v>
      </c>
      <c r="N165" s="714"/>
    </row>
    <row r="166" spans="1:14">
      <c r="A166" s="792" t="s">
        <v>254</v>
      </c>
      <c r="B166" s="793"/>
      <c r="C166" s="793"/>
      <c r="D166" s="615" t="s">
        <v>253</v>
      </c>
      <c r="E166" s="509">
        <f t="shared" ref="E166:E172" si="18">E63</f>
        <v>0</v>
      </c>
      <c r="F166" s="509">
        <f t="shared" ref="F166:F172" si="19">F63</f>
        <v>0</v>
      </c>
      <c r="G166" s="468">
        <f t="shared" si="17"/>
        <v>0</v>
      </c>
      <c r="N166" s="714"/>
    </row>
    <row r="167" spans="1:14" ht="21.75" customHeight="1">
      <c r="A167" s="1515" t="s">
        <v>161</v>
      </c>
      <c r="B167" s="1515"/>
      <c r="C167" s="1515"/>
      <c r="D167" s="519" t="s">
        <v>253</v>
      </c>
      <c r="E167" s="509">
        <f t="shared" si="18"/>
        <v>163334</v>
      </c>
      <c r="F167" s="509">
        <f t="shared" si="19"/>
        <v>163686</v>
      </c>
      <c r="G167" s="468">
        <f t="shared" si="17"/>
        <v>352</v>
      </c>
      <c r="N167" s="714"/>
    </row>
    <row r="168" spans="1:14" ht="21.75" customHeight="1">
      <c r="A168" s="1515" t="s">
        <v>162</v>
      </c>
      <c r="B168" s="1515"/>
      <c r="C168" s="1515"/>
      <c r="D168" s="519" t="s">
        <v>253</v>
      </c>
      <c r="E168" s="509">
        <f t="shared" si="18"/>
        <v>164001</v>
      </c>
      <c r="F168" s="509">
        <f t="shared" si="19"/>
        <v>164412</v>
      </c>
      <c r="G168" s="468">
        <f t="shared" si="17"/>
        <v>411</v>
      </c>
      <c r="N168" s="714"/>
    </row>
    <row r="169" spans="1:14" ht="21.75" customHeight="1">
      <c r="A169" s="1515" t="s">
        <v>255</v>
      </c>
      <c r="B169" s="1515"/>
      <c r="C169" s="1515"/>
      <c r="D169" s="519" t="s">
        <v>253</v>
      </c>
      <c r="E169" s="509">
        <f t="shared" si="18"/>
        <v>61071</v>
      </c>
      <c r="F169" s="509">
        <f t="shared" si="19"/>
        <v>61447</v>
      </c>
      <c r="G169" s="468">
        <f t="shared" si="17"/>
        <v>376</v>
      </c>
      <c r="N169" s="714"/>
    </row>
    <row r="170" spans="1:14" ht="26.25" customHeight="1">
      <c r="A170" s="1515" t="s">
        <v>157</v>
      </c>
      <c r="B170" s="1515"/>
      <c r="C170" s="1515"/>
      <c r="D170" s="519" t="s">
        <v>253</v>
      </c>
      <c r="E170" s="509">
        <f t="shared" si="18"/>
        <v>256958</v>
      </c>
      <c r="F170" s="509">
        <f t="shared" si="19"/>
        <v>257387</v>
      </c>
      <c r="G170" s="468">
        <f t="shared" si="17"/>
        <v>429</v>
      </c>
      <c r="N170" s="714"/>
    </row>
    <row r="171" spans="1:14" ht="24" customHeight="1">
      <c r="A171" s="1515" t="s">
        <v>164</v>
      </c>
      <c r="B171" s="1515"/>
      <c r="C171" s="1515"/>
      <c r="D171" s="519" t="s">
        <v>253</v>
      </c>
      <c r="E171" s="509">
        <f t="shared" si="18"/>
        <v>85321</v>
      </c>
      <c r="F171" s="509">
        <f t="shared" si="19"/>
        <v>85321</v>
      </c>
      <c r="G171" s="468">
        <f t="shared" si="17"/>
        <v>0</v>
      </c>
      <c r="N171" s="714"/>
    </row>
    <row r="172" spans="1:14" ht="27.75">
      <c r="A172" s="1515" t="s">
        <v>165</v>
      </c>
      <c r="B172" s="1515"/>
      <c r="C172" s="1515"/>
      <c r="D172" s="519" t="s">
        <v>253</v>
      </c>
      <c r="E172" s="509">
        <f t="shared" si="18"/>
        <v>83304</v>
      </c>
      <c r="F172" s="509">
        <f t="shared" si="19"/>
        <v>83521</v>
      </c>
      <c r="G172" s="468">
        <f t="shared" si="17"/>
        <v>217</v>
      </c>
      <c r="N172" s="714"/>
    </row>
    <row r="173" spans="1:14">
      <c r="A173" s="1512" t="s">
        <v>329</v>
      </c>
      <c r="B173" s="1495"/>
      <c r="C173" s="781"/>
      <c r="D173" s="518" t="s">
        <v>253</v>
      </c>
      <c r="E173" s="527">
        <v>189285</v>
      </c>
      <c r="F173" s="537">
        <v>189285</v>
      </c>
      <c r="G173" s="468">
        <f t="shared" si="17"/>
        <v>0</v>
      </c>
      <c r="N173" s="714"/>
    </row>
    <row r="174" spans="1:14">
      <c r="A174" s="1512" t="s">
        <v>332</v>
      </c>
      <c r="B174" s="1495"/>
      <c r="C174" s="781"/>
      <c r="D174" s="518" t="s">
        <v>253</v>
      </c>
      <c r="E174" s="527">
        <v>275511</v>
      </c>
      <c r="F174" s="537">
        <v>275556</v>
      </c>
      <c r="G174" s="468">
        <f t="shared" si="17"/>
        <v>45</v>
      </c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18.75" customHeight="1">
      <c r="N178" s="714"/>
    </row>
    <row r="179" spans="14:14" ht="18.75" customHeight="1">
      <c r="N179" s="714"/>
    </row>
    <row r="180" spans="14:14" ht="18" customHeight="1">
      <c r="N180" s="714"/>
    </row>
    <row r="181" spans="14:14" ht="18.75" customHeight="1">
      <c r="N181" s="714"/>
    </row>
    <row r="182" spans="14:14" ht="18.75" customHeight="1">
      <c r="N182" s="714"/>
    </row>
    <row r="183" spans="14:14" ht="18" customHeight="1">
      <c r="N183" s="714"/>
    </row>
    <row r="184" spans="14:14" ht="18" customHeight="1">
      <c r="N184" s="714"/>
    </row>
    <row r="185" spans="14:14" ht="18" customHeight="1">
      <c r="N185" s="714"/>
    </row>
    <row r="186" spans="14:14" ht="18" customHeight="1">
      <c r="N186" s="714"/>
    </row>
    <row r="187" spans="14:14" ht="18" customHeight="1">
      <c r="N187" s="714"/>
    </row>
    <row r="188" spans="14:14" ht="18" customHeight="1">
      <c r="N188" s="714"/>
    </row>
    <row r="189" spans="14:14" ht="18" customHeight="1">
      <c r="N189" s="714"/>
    </row>
    <row r="190" spans="14:14" ht="18.75" customHeight="1">
      <c r="N190" s="714"/>
    </row>
    <row r="191" spans="14:14" ht="18.75" customHeight="1">
      <c r="N191" s="714"/>
    </row>
    <row r="192" spans="14:14" ht="18.75" customHeight="1">
      <c r="N192" s="714"/>
    </row>
    <row r="193" spans="14:14" ht="18.75" customHeight="1">
      <c r="N193" s="714"/>
    </row>
    <row r="194" spans="14:14" ht="18.75" customHeight="1">
      <c r="N194" s="714"/>
    </row>
    <row r="195" spans="14:14" ht="18.75" customHeight="1">
      <c r="N195" s="714"/>
    </row>
    <row r="196" spans="14:14" ht="18.75" customHeight="1">
      <c r="N196" s="714"/>
    </row>
    <row r="197" spans="14:14" ht="18.75" customHeight="1">
      <c r="N197" s="714"/>
    </row>
    <row r="198" spans="14:14" ht="18.75" customHeight="1">
      <c r="N198" s="714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95:C95"/>
    <mergeCell ref="A104:B104"/>
    <mergeCell ref="A105:B105"/>
    <mergeCell ref="A106:B106"/>
    <mergeCell ref="A107:C107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SheetLayoutView="55" workbookViewId="0">
      <selection activeCell="A33" sqref="A33:J33"/>
    </sheetView>
  </sheetViews>
  <sheetFormatPr defaultColWidth="22.33203125" defaultRowHeight="29.25"/>
  <cols>
    <col min="1" max="1" width="40.6640625" style="449" customWidth="1"/>
    <col min="2" max="2" width="28.55468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719"/>
    <col min="16" max="16384" width="22.33203125" style="373"/>
  </cols>
  <sheetData>
    <row r="1" spans="1:16" ht="33.75">
      <c r="A1" s="1465" t="s">
        <v>341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342</v>
      </c>
      <c r="B2" s="1028">
        <v>44330</v>
      </c>
      <c r="C2" s="1394" t="s">
        <v>111</v>
      </c>
      <c r="D2" s="606">
        <v>0.63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720"/>
    </row>
    <row r="3" spans="1:16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13"/>
      <c r="O3" s="720"/>
    </row>
    <row r="4" spans="1:16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 t="s">
        <v>182</v>
      </c>
      <c r="K4" s="369"/>
      <c r="L4" s="289"/>
      <c r="N4" s="713"/>
      <c r="O4" s="720"/>
    </row>
    <row r="5" spans="1:16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'13'!F7</f>
        <v>572941</v>
      </c>
      <c r="F7" s="450">
        <f>E7+17000</f>
        <v>589941</v>
      </c>
      <c r="G7" s="674">
        <f>F7-E7</f>
        <v>17000</v>
      </c>
      <c r="H7" s="675">
        <f>G7+'13'!H7</f>
        <v>245529</v>
      </c>
      <c r="I7" s="676">
        <f>'1'!I7</f>
        <v>12000</v>
      </c>
      <c r="J7" s="677">
        <f>H7/DAY(B2)</f>
        <v>17537.785714285714</v>
      </c>
      <c r="K7" s="544"/>
      <c r="L7" s="374"/>
      <c r="N7" s="725"/>
      <c r="O7" s="721"/>
      <c r="P7" s="724"/>
    </row>
    <row r="8" spans="1:16" ht="27.75" thickBot="1">
      <c r="A8" s="678" t="s">
        <v>199</v>
      </c>
      <c r="B8" s="679"/>
      <c r="C8" s="680"/>
      <c r="D8" s="681" t="s">
        <v>59</v>
      </c>
      <c r="E8" s="628">
        <f>'13'!F8</f>
        <v>575995</v>
      </c>
      <c r="F8" s="470">
        <f>E8+17150</f>
        <v>593145</v>
      </c>
      <c r="G8" s="685">
        <f>F8-E8</f>
        <v>17150</v>
      </c>
      <c r="H8" s="675">
        <f>G8+'13'!H8</f>
        <v>246635</v>
      </c>
      <c r="I8" s="682">
        <f>'1'!I8</f>
        <v>12000</v>
      </c>
      <c r="J8" s="677">
        <f>H8/DAY(B2)</f>
        <v>17616.785714285714</v>
      </c>
      <c r="K8" s="544"/>
      <c r="L8" s="421"/>
      <c r="M8" s="435"/>
      <c r="N8" s="714"/>
      <c r="O8" s="721"/>
      <c r="P8" s="379"/>
    </row>
    <row r="9" spans="1:16">
      <c r="A9" s="683" t="s">
        <v>200</v>
      </c>
      <c r="B9" s="684"/>
      <c r="C9" s="684"/>
      <c r="D9" s="633" t="s">
        <v>198</v>
      </c>
      <c r="E9" s="628">
        <f>'13'!F9</f>
        <v>1694972</v>
      </c>
      <c r="F9" s="473">
        <f>E9+16950</f>
        <v>1711922</v>
      </c>
      <c r="G9" s="698">
        <f t="shared" ref="G9:G12" si="0">F9-E9</f>
        <v>16950</v>
      </c>
      <c r="H9" s="675">
        <f>G9+'13'!H9</f>
        <v>238232</v>
      </c>
      <c r="I9" s="686">
        <f>I7-J7</f>
        <v>-5537.7857142857138</v>
      </c>
      <c r="J9" s="677">
        <f>H9/DAY(B2)</f>
        <v>17016.571428571428</v>
      </c>
      <c r="K9" s="424"/>
      <c r="L9" s="374"/>
      <c r="N9" s="714"/>
      <c r="O9" s="721"/>
      <c r="P9" s="379"/>
    </row>
    <row r="10" spans="1:16">
      <c r="A10" s="672" t="s">
        <v>201</v>
      </c>
      <c r="B10" s="673"/>
      <c r="C10" s="673"/>
      <c r="D10" s="633" t="s">
        <v>198</v>
      </c>
      <c r="E10" s="628">
        <f>'13'!F10</f>
        <v>2606.5500000000002</v>
      </c>
      <c r="F10" s="473"/>
      <c r="G10" s="685">
        <f t="shared" si="0"/>
        <v>-2606.5500000000002</v>
      </c>
      <c r="H10" s="675">
        <f>G10+'13'!H10</f>
        <v>-2606.13</v>
      </c>
      <c r="I10" s="687"/>
      <c r="J10" s="677">
        <f>H10/DAY(B2)</f>
        <v>-186.15214285714288</v>
      </c>
      <c r="K10" s="424"/>
      <c r="L10" s="374"/>
      <c r="N10" s="714"/>
      <c r="O10" s="721"/>
      <c r="P10" s="379"/>
    </row>
    <row r="11" spans="1:16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G11+'13'!H11</f>
        <v>0</v>
      </c>
      <c r="I11" s="687"/>
      <c r="J11" s="677">
        <f>H11/DAY(B2)</f>
        <v>0</v>
      </c>
      <c r="K11" s="424"/>
      <c r="L11" s="374"/>
      <c r="N11" s="714"/>
      <c r="O11" s="721"/>
      <c r="P11" s="379"/>
    </row>
    <row r="12" spans="1:16">
      <c r="A12" s="672" t="s">
        <v>203</v>
      </c>
      <c r="B12" s="673"/>
      <c r="C12" s="673"/>
      <c r="D12" s="633" t="s">
        <v>198</v>
      </c>
      <c r="E12" s="628">
        <f>'5'!E12</f>
        <v>40010</v>
      </c>
      <c r="F12" s="473">
        <v>40010</v>
      </c>
      <c r="G12" s="685">
        <f t="shared" si="0"/>
        <v>0</v>
      </c>
      <c r="H12" s="675">
        <f>G12+'13'!H12</f>
        <v>0</v>
      </c>
      <c r="I12" s="687"/>
      <c r="J12" s="677">
        <f>H12/DAY(B2)</f>
        <v>0</v>
      </c>
      <c r="K12" s="424"/>
      <c r="L12" s="374" t="s">
        <v>326</v>
      </c>
      <c r="N12" s="714"/>
      <c r="O12" s="721">
        <v>0</v>
      </c>
      <c r="P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14343.45</v>
      </c>
      <c r="H13" s="675">
        <f>G13+'13'!H13</f>
        <v>219100.87</v>
      </c>
      <c r="I13" s="691">
        <f>G7-G13</f>
        <v>2656.5499999999993</v>
      </c>
      <c r="J13" s="677">
        <f>H13/DAY(B2)</f>
        <v>15650.062142857143</v>
      </c>
      <c r="K13" s="424"/>
      <c r="L13" s="374"/>
      <c r="N13" s="714"/>
      <c r="O13" s="721"/>
      <c r="P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714"/>
      <c r="O14" s="721"/>
      <c r="P14" s="379"/>
    </row>
    <row r="15" spans="1:16">
      <c r="A15" s="788" t="s">
        <v>133</v>
      </c>
      <c r="B15" s="789"/>
      <c r="C15" s="789"/>
      <c r="D15" s="519" t="s">
        <v>206</v>
      </c>
      <c r="E15" s="480">
        <f>'13'!F15</f>
        <v>1690832</v>
      </c>
      <c r="F15" s="480">
        <f>E15+550</f>
        <v>1691382</v>
      </c>
      <c r="G15" s="660">
        <f>(F15-E15)</f>
        <v>550</v>
      </c>
      <c r="H15" s="481">
        <f>G15+'13'!H15</f>
        <v>6858</v>
      </c>
      <c r="I15" s="469">
        <v>800</v>
      </c>
      <c r="J15" s="548">
        <f>H15/DAY(B2)</f>
        <v>489.85714285714283</v>
      </c>
      <c r="K15" s="424"/>
      <c r="L15" s="374"/>
      <c r="N15" s="714"/>
      <c r="O15" s="721"/>
      <c r="P15" s="379"/>
    </row>
    <row r="16" spans="1:16">
      <c r="A16" s="582"/>
      <c r="B16" s="583"/>
      <c r="C16" s="583"/>
      <c r="D16" s="519"/>
      <c r="E16" s="480"/>
      <c r="F16" s="480"/>
      <c r="G16" s="665"/>
      <c r="H16" s="481"/>
      <c r="I16" s="477">
        <f>I15-J15</f>
        <v>310.14285714285717</v>
      </c>
      <c r="J16" s="548"/>
      <c r="K16" s="424"/>
      <c r="L16" s="374"/>
      <c r="N16" s="714"/>
      <c r="O16" s="721"/>
      <c r="P16" s="379"/>
    </row>
    <row r="17" spans="1:16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1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0">
        <f>'13'!F18</f>
        <v>13</v>
      </c>
      <c r="F18" s="473">
        <v>2</v>
      </c>
      <c r="G18" s="690">
        <f>F18*10</f>
        <v>20</v>
      </c>
      <c r="H18" s="675">
        <f>G18+'13'!H18</f>
        <v>780</v>
      </c>
      <c r="I18" s="676">
        <f>'1'!I18</f>
        <v>65</v>
      </c>
      <c r="J18" s="677">
        <f>H18/DAY(B2)</f>
        <v>55.714285714285715</v>
      </c>
      <c r="K18" s="424"/>
      <c r="L18" s="374"/>
      <c r="N18" s="714"/>
      <c r="O18" s="721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0">
        <f>'13'!F19</f>
        <v>140432</v>
      </c>
      <c r="F19" s="473">
        <v>138575</v>
      </c>
      <c r="G19" s="685">
        <f t="shared" ref="G19" si="1">F19-E19</f>
        <v>-1857</v>
      </c>
      <c r="H19" s="675">
        <f>G19+'13'!H19</f>
        <v>-1037</v>
      </c>
      <c r="I19" s="692"/>
      <c r="J19" s="677">
        <f>H19/DAY(B2)</f>
        <v>-74.071428571428569</v>
      </c>
      <c r="K19" s="424"/>
      <c r="L19" s="374"/>
      <c r="N19" s="714"/>
      <c r="O19" s="721"/>
      <c r="P19" s="379"/>
    </row>
    <row r="20" spans="1:16">
      <c r="A20" s="688" t="s">
        <v>210</v>
      </c>
      <c r="B20" s="689"/>
      <c r="C20" s="689"/>
      <c r="D20" s="633"/>
      <c r="E20" s="633"/>
      <c r="F20" s="705"/>
      <c r="G20" s="693">
        <f>G18+G19</f>
        <v>-1837</v>
      </c>
      <c r="H20" s="675">
        <f>G20+'13'!H20</f>
        <v>-257</v>
      </c>
      <c r="I20" s="694">
        <f>I18-J20</f>
        <v>83.357142857142861</v>
      </c>
      <c r="J20" s="677">
        <f>H20/DAY(B2)</f>
        <v>-18.357142857142858</v>
      </c>
      <c r="K20" s="424"/>
      <c r="L20" s="374"/>
      <c r="N20" s="714"/>
      <c r="O20" s="721"/>
      <c r="P20" s="379"/>
    </row>
    <row r="21" spans="1:16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1"/>
      <c r="P21" s="379"/>
    </row>
    <row r="22" spans="1:16">
      <c r="A22" s="1392" t="s">
        <v>212</v>
      </c>
      <c r="B22" s="584"/>
      <c r="C22" s="584"/>
      <c r="D22" s="518" t="s">
        <v>213</v>
      </c>
      <c r="E22" s="630">
        <f>'13'!F22</f>
        <v>2970</v>
      </c>
      <c r="F22" s="473">
        <v>2970</v>
      </c>
      <c r="G22" s="476">
        <f t="shared" ref="G22" si="2">(F22-E22)</f>
        <v>0</v>
      </c>
      <c r="H22" s="455">
        <f>G22+'13'!H22</f>
        <v>0</v>
      </c>
      <c r="I22" s="475"/>
      <c r="J22" s="547">
        <f>H22/DAY(B2)</f>
        <v>0</v>
      </c>
      <c r="K22" s="424"/>
      <c r="L22" s="374"/>
      <c r="N22" s="714"/>
      <c r="O22" s="721"/>
      <c r="P22" s="379"/>
    </row>
    <row r="23" spans="1:16">
      <c r="A23" s="1392" t="s">
        <v>214</v>
      </c>
      <c r="B23" s="584"/>
      <c r="C23" s="584"/>
      <c r="D23" s="518" t="s">
        <v>213</v>
      </c>
      <c r="E23" s="630">
        <f>'13'!F23</f>
        <v>2000</v>
      </c>
      <c r="F23" s="473">
        <v>2900</v>
      </c>
      <c r="G23" s="476">
        <v>0</v>
      </c>
      <c r="H23" s="455">
        <f>G23+'13'!H23</f>
        <v>120</v>
      </c>
      <c r="I23" s="475"/>
      <c r="J23" s="547">
        <f>H23/DAY(B2)</f>
        <v>8.5714285714285712</v>
      </c>
      <c r="K23" s="424"/>
      <c r="L23" s="374"/>
      <c r="N23" s="714"/>
      <c r="O23" s="721"/>
      <c r="P23" s="379"/>
    </row>
    <row r="24" spans="1:16">
      <c r="A24" s="585" t="s">
        <v>215</v>
      </c>
      <c r="B24" s="586"/>
      <c r="C24" s="586"/>
      <c r="D24" s="506" t="s">
        <v>213</v>
      </c>
      <c r="E24" s="488">
        <f>'13'!F24</f>
        <v>4970</v>
      </c>
      <c r="F24" s="480">
        <v>4250</v>
      </c>
      <c r="G24" s="476">
        <v>0</v>
      </c>
      <c r="H24" s="455">
        <f>G24+'13'!H24</f>
        <v>120</v>
      </c>
      <c r="I24" s="475"/>
      <c r="J24" s="547">
        <f>H24/DAY(B2)</f>
        <v>8.5714285714285712</v>
      </c>
      <c r="K24" s="424"/>
      <c r="L24" s="374"/>
      <c r="N24" s="714"/>
      <c r="O24" s="721"/>
      <c r="P24" s="379"/>
    </row>
    <row r="25" spans="1:16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1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1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G27+'13'!H27</f>
        <v>2218878</v>
      </c>
      <c r="I27" s="498"/>
      <c r="J27" s="547">
        <f>H27/DAY(B2)</f>
        <v>158491.28571428571</v>
      </c>
      <c r="K27" s="370"/>
      <c r="L27" s="438"/>
      <c r="N27" s="714"/>
      <c r="O27" s="721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G28+'13'!H28</f>
        <v>356616</v>
      </c>
      <c r="I28" s="500"/>
      <c r="J28" s="547">
        <f>H28/DAY(B2)</f>
        <v>25472.571428571428</v>
      </c>
      <c r="K28" s="370"/>
      <c r="L28" s="438"/>
      <c r="N28" s="714"/>
      <c r="O28" s="721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G29+'13'!H29</f>
        <v>8280</v>
      </c>
      <c r="I29" s="500"/>
      <c r="J29" s="547">
        <f>H29/DAY(B2)</f>
        <v>591.42857142857144</v>
      </c>
      <c r="K29" s="370"/>
      <c r="L29" s="438"/>
      <c r="N29" s="714"/>
      <c r="O29" s="721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695">
        <f>G19</f>
        <v>-1857</v>
      </c>
      <c r="F30" s="496">
        <v>146</v>
      </c>
      <c r="G30" s="497">
        <f>E30*F30</f>
        <v>-271122</v>
      </c>
      <c r="H30" s="455">
        <f>G30+'13'!H30</f>
        <v>-151402</v>
      </c>
      <c r="I30" s="500"/>
      <c r="J30" s="547">
        <f>H30/DAY(B2)</f>
        <v>-10814.428571428571</v>
      </c>
      <c r="K30" s="370"/>
      <c r="L30" s="438"/>
      <c r="N30" s="714"/>
      <c r="O30" s="721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695">
        <f>G18</f>
        <v>20</v>
      </c>
      <c r="F31" s="496">
        <v>80</v>
      </c>
      <c r="G31" s="497">
        <f>E31*F31</f>
        <v>1600</v>
      </c>
      <c r="H31" s="455">
        <f>G31+'13'!H31</f>
        <v>62400</v>
      </c>
      <c r="I31" s="500"/>
      <c r="J31" s="547">
        <f>H31/DAY(B2)</f>
        <v>4457.1428571428569</v>
      </c>
      <c r="K31" s="370"/>
      <c r="L31" s="438"/>
      <c r="N31" s="714"/>
      <c r="O31" s="721"/>
      <c r="P31" s="379"/>
    </row>
    <row r="32" spans="1:16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-86572</v>
      </c>
      <c r="H32" s="455">
        <f>G32+'13'!H32</f>
        <v>2494772</v>
      </c>
      <c r="I32" s="504"/>
      <c r="J32" s="547">
        <f>H32/DAY(B2)</f>
        <v>178198</v>
      </c>
      <c r="K32" s="370"/>
      <c r="L32" s="438"/>
      <c r="N32" s="714"/>
      <c r="O32" s="721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1"/>
      <c r="P33" s="37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1"/>
      <c r="P34" s="379"/>
    </row>
    <row r="35" spans="1:16">
      <c r="A35" s="573" t="s">
        <v>229</v>
      </c>
      <c r="B35" s="574"/>
      <c r="C35" s="574"/>
      <c r="D35" s="518" t="s">
        <v>198</v>
      </c>
      <c r="E35" s="505">
        <f>'13'!F35</f>
        <v>981892</v>
      </c>
      <c r="F35" s="505">
        <v>915038.95</v>
      </c>
      <c r="G35" s="468">
        <f t="shared" ref="G35:G46" si="3">F35-E35</f>
        <v>-66853.050000000047</v>
      </c>
      <c r="H35" s="455">
        <f>G35+'13'!H35</f>
        <v>-35449.050000000047</v>
      </c>
      <c r="I35" s="450"/>
      <c r="J35" s="547">
        <f>H35/DAY(B2)</f>
        <v>-2532.0750000000035</v>
      </c>
      <c r="K35" s="424"/>
      <c r="L35" s="374"/>
      <c r="N35" s="714"/>
      <c r="O35" s="722" t="s">
        <v>326</v>
      </c>
      <c r="P35" s="379"/>
    </row>
    <row r="36" spans="1:16">
      <c r="A36" s="573" t="s">
        <v>230</v>
      </c>
      <c r="B36" s="574"/>
      <c r="C36" s="574"/>
      <c r="D36" s="518" t="s">
        <v>198</v>
      </c>
      <c r="E36" s="505">
        <f>'13'!F36</f>
        <v>7511</v>
      </c>
      <c r="F36" s="505">
        <v>347065</v>
      </c>
      <c r="G36" s="468">
        <f t="shared" si="3"/>
        <v>339554</v>
      </c>
      <c r="H36" s="455">
        <f>G36+'13'!H36</f>
        <v>346892</v>
      </c>
      <c r="I36" s="450"/>
      <c r="J36" s="547">
        <f>H36/DAY(B2)</f>
        <v>24778</v>
      </c>
      <c r="K36" s="424"/>
      <c r="L36" s="374"/>
      <c r="N36" s="715"/>
      <c r="O36" s="722" t="s">
        <v>343</v>
      </c>
      <c r="P36" s="379"/>
    </row>
    <row r="37" spans="1:16">
      <c r="A37" s="573" t="s">
        <v>231</v>
      </c>
      <c r="B37" s="574"/>
      <c r="C37" s="574"/>
      <c r="D37" s="518" t="s">
        <v>198</v>
      </c>
      <c r="E37" s="505">
        <f>'13'!F37</f>
        <v>151702</v>
      </c>
      <c r="F37" s="505">
        <v>112266.91</v>
      </c>
      <c r="G37" s="468">
        <f t="shared" si="3"/>
        <v>-39435.089999999997</v>
      </c>
      <c r="H37" s="455">
        <f>G37+'13'!H37</f>
        <v>-21969.089999999997</v>
      </c>
      <c r="I37" s="450"/>
      <c r="J37" s="547">
        <f>H37/DAY(B2)</f>
        <v>-1569.2207142857139</v>
      </c>
      <c r="K37" s="424"/>
      <c r="L37" s="374"/>
      <c r="N37" s="715"/>
      <c r="O37" s="722"/>
      <c r="P37" s="379"/>
    </row>
    <row r="38" spans="1:16">
      <c r="A38" s="573" t="s">
        <v>232</v>
      </c>
      <c r="B38" s="574"/>
      <c r="C38" s="574"/>
      <c r="D38" s="518" t="s">
        <v>198</v>
      </c>
      <c r="E38" s="505">
        <f>'13'!F38</f>
        <v>172659</v>
      </c>
      <c r="F38" s="464">
        <v>136320.97</v>
      </c>
      <c r="G38" s="468">
        <f t="shared" si="3"/>
        <v>-36338.03</v>
      </c>
      <c r="H38" s="455">
        <f>G38+'13'!H38</f>
        <v>-20084.03</v>
      </c>
      <c r="I38" s="450"/>
      <c r="J38" s="547">
        <f>H38/DAY(B2)</f>
        <v>-1434.5735714285713</v>
      </c>
      <c r="K38" s="424"/>
      <c r="L38" s="374"/>
      <c r="N38" s="714"/>
      <c r="O38" s="721"/>
      <c r="P38" s="379"/>
    </row>
    <row r="39" spans="1:16">
      <c r="A39" s="573" t="s">
        <v>233</v>
      </c>
      <c r="B39" s="574"/>
      <c r="C39" s="574"/>
      <c r="D39" s="518" t="s">
        <v>198</v>
      </c>
      <c r="E39" s="505">
        <f>'13'!F39</f>
        <v>345464</v>
      </c>
      <c r="F39" s="505">
        <v>271010.89</v>
      </c>
      <c r="G39" s="468">
        <f t="shared" si="3"/>
        <v>-74453.109999999986</v>
      </c>
      <c r="H39" s="455">
        <f>G39+'13'!H39</f>
        <v>-37162.109999999986</v>
      </c>
      <c r="I39" s="450"/>
      <c r="J39" s="547">
        <f>H39/DAY(B2)</f>
        <v>-2654.4364285714278</v>
      </c>
      <c r="K39" s="424"/>
      <c r="L39" s="374"/>
      <c r="N39" s="714"/>
      <c r="O39" s="722"/>
      <c r="P39" s="379"/>
    </row>
    <row r="40" spans="1:16">
      <c r="A40" s="594" t="s">
        <v>234</v>
      </c>
      <c r="B40" s="595"/>
      <c r="C40" s="595"/>
      <c r="D40" s="518" t="s">
        <v>198</v>
      </c>
      <c r="E40" s="505">
        <f>'13'!F40</f>
        <v>1226</v>
      </c>
      <c r="F40" s="505">
        <v>263.02999999999997</v>
      </c>
      <c r="G40" s="468">
        <f t="shared" si="3"/>
        <v>-962.97</v>
      </c>
      <c r="H40" s="455">
        <f>G40+'13'!H40</f>
        <v>-625.97</v>
      </c>
      <c r="I40" s="450"/>
      <c r="J40" s="547">
        <f>H40/DAY(B2)</f>
        <v>-44.712142857142858</v>
      </c>
      <c r="K40" s="425"/>
      <c r="L40" s="374"/>
      <c r="N40" s="714"/>
      <c r="O40" s="721"/>
      <c r="P40" s="379"/>
    </row>
    <row r="41" spans="1:16">
      <c r="A41" s="573" t="s">
        <v>235</v>
      </c>
      <c r="B41" s="574"/>
      <c r="C41" s="574" t="s">
        <v>182</v>
      </c>
      <c r="D41" s="518" t="s">
        <v>198</v>
      </c>
      <c r="E41" s="505">
        <f>'13'!F41</f>
        <v>274199</v>
      </c>
      <c r="F41" s="505">
        <v>239196.55</v>
      </c>
      <c r="G41" s="468">
        <f t="shared" si="3"/>
        <v>-35002.450000000012</v>
      </c>
      <c r="H41" s="455">
        <f>G41+'13'!H41</f>
        <v>-1281.4500000000116</v>
      </c>
      <c r="I41" s="450"/>
      <c r="J41" s="547">
        <f>H41/DAY(B2)</f>
        <v>-91.532142857143683</v>
      </c>
      <c r="K41" s="424"/>
      <c r="L41" s="374"/>
      <c r="N41" s="714"/>
      <c r="O41" s="723"/>
      <c r="P41" s="717"/>
    </row>
    <row r="42" spans="1:16">
      <c r="A42" s="573" t="s">
        <v>236</v>
      </c>
      <c r="B42" s="574"/>
      <c r="C42" s="574"/>
      <c r="D42" s="518" t="s">
        <v>198</v>
      </c>
      <c r="E42" s="505">
        <f>'13'!F42</f>
        <v>59211</v>
      </c>
      <c r="F42" s="505">
        <v>59200.08</v>
      </c>
      <c r="G42" s="468">
        <f t="shared" si="3"/>
        <v>-10.919999999998254</v>
      </c>
      <c r="H42" s="455">
        <f>G42+'13'!H42</f>
        <v>1.1100000000005821</v>
      </c>
      <c r="I42" s="450"/>
      <c r="J42" s="547">
        <f>H42/DAY(B2)</f>
        <v>7.9285714285755857E-2</v>
      </c>
      <c r="K42" s="424"/>
      <c r="L42" s="374"/>
      <c r="N42" s="714"/>
      <c r="O42" s="721"/>
      <c r="P42" s="379"/>
    </row>
    <row r="43" spans="1:16">
      <c r="A43" s="573" t="s">
        <v>237</v>
      </c>
      <c r="B43" s="574"/>
      <c r="C43" s="574"/>
      <c r="D43" s="518" t="s">
        <v>198</v>
      </c>
      <c r="E43" s="505">
        <f>'13'!F43</f>
        <v>1073773</v>
      </c>
      <c r="F43" s="505">
        <v>1004558.2</v>
      </c>
      <c r="G43" s="468">
        <f t="shared" si="3"/>
        <v>-69214.800000000047</v>
      </c>
      <c r="H43" s="455">
        <f>G43+'13'!H43</f>
        <v>-37685.800000000047</v>
      </c>
      <c r="I43" s="450"/>
      <c r="J43" s="547">
        <f>H43/DAY(B2)</f>
        <v>-2691.8428571428603</v>
      </c>
      <c r="K43" s="424"/>
      <c r="L43" s="374"/>
      <c r="N43" s="714"/>
      <c r="O43" s="722"/>
      <c r="P43" s="379"/>
    </row>
    <row r="44" spans="1:16">
      <c r="A44" s="573" t="s">
        <v>238</v>
      </c>
      <c r="B44" s="574"/>
      <c r="C44" s="574"/>
      <c r="D44" s="518" t="s">
        <v>198</v>
      </c>
      <c r="E44" s="505">
        <f>'13'!F44</f>
        <v>0</v>
      </c>
      <c r="F44" s="505">
        <v>0</v>
      </c>
      <c r="G44" s="468">
        <f t="shared" si="3"/>
        <v>0</v>
      </c>
      <c r="H44" s="455">
        <f>G44+'13'!H44</f>
        <v>0</v>
      </c>
      <c r="I44" s="450"/>
      <c r="J44" s="547">
        <f>H44/DAY(B2)</f>
        <v>0</v>
      </c>
      <c r="K44" s="424"/>
      <c r="L44" s="374"/>
      <c r="N44" s="714"/>
      <c r="O44" s="721"/>
      <c r="P44" s="379"/>
    </row>
    <row r="45" spans="1:16">
      <c r="A45" s="573" t="s">
        <v>239</v>
      </c>
      <c r="B45" s="574"/>
      <c r="C45" s="574"/>
      <c r="D45" s="518" t="s">
        <v>198</v>
      </c>
      <c r="E45" s="505">
        <v>0</v>
      </c>
      <c r="F45" s="505">
        <v>0</v>
      </c>
      <c r="G45" s="468">
        <f t="shared" si="3"/>
        <v>0</v>
      </c>
      <c r="H45" s="455">
        <f>G45+'13'!H45</f>
        <v>0</v>
      </c>
      <c r="I45" s="450"/>
      <c r="J45" s="547">
        <f>H45/DAY(B2)</f>
        <v>0</v>
      </c>
      <c r="K45" s="424"/>
      <c r="L45" s="374"/>
      <c r="N45" s="718"/>
      <c r="O45" s="721"/>
      <c r="P45" s="379"/>
    </row>
    <row r="46" spans="1:16">
      <c r="A46" s="573" t="s">
        <v>240</v>
      </c>
      <c r="B46" s="574"/>
      <c r="C46" s="574"/>
      <c r="D46" s="518" t="s">
        <v>198</v>
      </c>
      <c r="E46" s="505">
        <v>0</v>
      </c>
      <c r="F46" s="505">
        <v>0</v>
      </c>
      <c r="G46" s="468">
        <f t="shared" si="3"/>
        <v>0</v>
      </c>
      <c r="H46" s="455">
        <f>G46+'13'!H46</f>
        <v>0</v>
      </c>
      <c r="I46" s="450"/>
      <c r="J46" s="547">
        <f>H46/DAY(B2)</f>
        <v>0</v>
      </c>
      <c r="K46" s="424"/>
      <c r="L46" s="374"/>
      <c r="N46" s="714"/>
      <c r="O46" s="721"/>
      <c r="P46" s="379"/>
    </row>
    <row r="47" spans="1:16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17283.579999999914</v>
      </c>
      <c r="H47" s="455">
        <f>G47+'13'!H47</f>
        <v>192636.09999999992</v>
      </c>
      <c r="I47" s="450"/>
      <c r="J47" s="547">
        <f>H47/DAY(B2)</f>
        <v>13759.721428571424</v>
      </c>
      <c r="K47" s="424"/>
      <c r="L47" s="374"/>
      <c r="N47" s="714"/>
      <c r="O47" s="721"/>
      <c r="P47" s="37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1"/>
      <c r="P48" s="379"/>
    </row>
    <row r="49" spans="1:16">
      <c r="A49" s="573" t="s">
        <v>229</v>
      </c>
      <c r="B49" s="596"/>
      <c r="C49" s="596"/>
      <c r="D49" s="518" t="s">
        <v>198</v>
      </c>
      <c r="E49" s="505">
        <f>'13'!F49</f>
        <v>260732.13</v>
      </c>
      <c r="F49" s="505">
        <v>260732.13</v>
      </c>
      <c r="G49" s="468">
        <f t="shared" ref="G49:G58" si="4">F49-E49</f>
        <v>0</v>
      </c>
      <c r="H49" s="455">
        <f>G49+'13'!H49</f>
        <v>0.13000000000465661</v>
      </c>
      <c r="I49" s="450"/>
      <c r="J49" s="547">
        <f>H49/DAY(B2)</f>
        <v>9.2857142860469002E-3</v>
      </c>
      <c r="K49" s="424"/>
      <c r="L49" s="374"/>
      <c r="N49" s="714"/>
      <c r="O49" s="721"/>
      <c r="P49" s="379"/>
    </row>
    <row r="50" spans="1:16">
      <c r="A50" s="573" t="s">
        <v>243</v>
      </c>
      <c r="B50" s="596"/>
      <c r="C50" s="596"/>
      <c r="D50" s="518" t="s">
        <v>198</v>
      </c>
      <c r="E50" s="505">
        <f>'13'!F50</f>
        <v>514858</v>
      </c>
      <c r="F50" s="505">
        <v>487528.99</v>
      </c>
      <c r="G50" s="468">
        <f t="shared" si="4"/>
        <v>-27329.010000000009</v>
      </c>
      <c r="H50" s="455">
        <f>G50+'13'!H50</f>
        <v>-15897.010000000009</v>
      </c>
      <c r="I50" s="450"/>
      <c r="J50" s="547">
        <f>H50/DAY(B2)</f>
        <v>-1135.500714285715</v>
      </c>
      <c r="K50" s="424"/>
      <c r="L50" s="374"/>
      <c r="N50" s="714"/>
      <c r="O50" s="722"/>
      <c r="P50" s="379"/>
    </row>
    <row r="51" spans="1:16">
      <c r="A51" s="573" t="s">
        <v>231</v>
      </c>
      <c r="B51" s="596"/>
      <c r="C51" s="596"/>
      <c r="D51" s="518" t="s">
        <v>198</v>
      </c>
      <c r="E51" s="505">
        <f>'13'!F51</f>
        <v>144639.87</v>
      </c>
      <c r="F51" s="505">
        <v>144639.87</v>
      </c>
      <c r="G51" s="468">
        <f t="shared" si="4"/>
        <v>0</v>
      </c>
      <c r="H51" s="455">
        <f>G51+'13'!H51</f>
        <v>-0.13000000000465661</v>
      </c>
      <c r="I51" s="450"/>
      <c r="J51" s="547">
        <f>H51/DAY(B2)</f>
        <v>-9.2857142860469002E-3</v>
      </c>
      <c r="K51" s="424"/>
      <c r="L51" s="374"/>
      <c r="N51" s="714"/>
      <c r="O51" s="721"/>
      <c r="P51" s="379"/>
    </row>
    <row r="52" spans="1:16">
      <c r="A52" s="573" t="s">
        <v>244</v>
      </c>
      <c r="B52" s="596"/>
      <c r="C52" s="596"/>
      <c r="D52" s="518" t="s">
        <v>198</v>
      </c>
      <c r="E52" s="505">
        <f>'13'!F52</f>
        <v>539606.06999999995</v>
      </c>
      <c r="F52" s="505">
        <v>539606.06999999995</v>
      </c>
      <c r="G52" s="468">
        <f t="shared" si="4"/>
        <v>0</v>
      </c>
      <c r="H52" s="455">
        <f>G52+'13'!H52</f>
        <v>0</v>
      </c>
      <c r="I52" s="450"/>
      <c r="J52" s="547">
        <f>H52/DAY(B2)</f>
        <v>0</v>
      </c>
      <c r="K52" s="424"/>
      <c r="L52" s="374"/>
      <c r="N52" s="714"/>
      <c r="O52" s="721"/>
      <c r="P52" s="379"/>
    </row>
    <row r="53" spans="1:16">
      <c r="A53" s="573" t="s">
        <v>233</v>
      </c>
      <c r="B53" s="596"/>
      <c r="C53" s="596"/>
      <c r="D53" s="518" t="s">
        <v>198</v>
      </c>
      <c r="E53" s="505">
        <f>'13'!F53</f>
        <v>434232</v>
      </c>
      <c r="F53" s="505">
        <v>423524.29</v>
      </c>
      <c r="G53" s="468">
        <f t="shared" si="4"/>
        <v>-10707.710000000021</v>
      </c>
      <c r="H53" s="455">
        <f>G53+'13'!H53</f>
        <v>-9044.0400000000373</v>
      </c>
      <c r="I53" s="450"/>
      <c r="J53" s="547">
        <f>H53/DAY(B2)</f>
        <v>-646.00285714285985</v>
      </c>
      <c r="K53" s="424"/>
      <c r="L53" s="374"/>
      <c r="N53" s="714"/>
      <c r="O53" s="721"/>
      <c r="P53" s="379"/>
    </row>
    <row r="54" spans="1:16">
      <c r="A54" s="573" t="s">
        <v>245</v>
      </c>
      <c r="B54" s="596"/>
      <c r="C54" s="596"/>
      <c r="D54" s="518" t="s">
        <v>198</v>
      </c>
      <c r="E54" s="505">
        <f>'13'!F54</f>
        <v>14825</v>
      </c>
      <c r="F54" s="505">
        <v>12398.01</v>
      </c>
      <c r="G54" s="468">
        <f t="shared" si="4"/>
        <v>-2426.9899999999998</v>
      </c>
      <c r="H54" s="455">
        <f>G54+'13'!H54</f>
        <v>-1430.9899999999998</v>
      </c>
      <c r="I54" s="450"/>
      <c r="J54" s="547">
        <f>H54/DAY(B2)</f>
        <v>-102.21357142857141</v>
      </c>
      <c r="K54" s="424"/>
      <c r="L54" s="374"/>
      <c r="N54" s="714"/>
      <c r="O54" s="721"/>
      <c r="P54" s="379"/>
    </row>
    <row r="55" spans="1:16">
      <c r="A55" s="573" t="s">
        <v>246</v>
      </c>
      <c r="B55" s="596"/>
      <c r="C55" s="596"/>
      <c r="D55" s="518" t="s">
        <v>198</v>
      </c>
      <c r="E55" s="505">
        <f>'13'!F55</f>
        <v>69298</v>
      </c>
      <c r="F55" s="649">
        <v>9724.99</v>
      </c>
      <c r="G55" s="648">
        <f t="shared" si="4"/>
        <v>-59573.01</v>
      </c>
      <c r="H55" s="701">
        <f>G55+'13'!H55</f>
        <v>-58386.01</v>
      </c>
      <c r="I55" s="702"/>
      <c r="J55" s="703">
        <f>H55/DAY(B2)</f>
        <v>-4170.4292857142855</v>
      </c>
      <c r="K55" s="424"/>
      <c r="L55" s="374"/>
      <c r="N55" s="714"/>
      <c r="O55" s="721"/>
      <c r="P55" s="379"/>
    </row>
    <row r="56" spans="1:16">
      <c r="A56" s="573" t="s">
        <v>247</v>
      </c>
      <c r="B56" s="596"/>
      <c r="C56" s="596"/>
      <c r="D56" s="518" t="s">
        <v>248</v>
      </c>
      <c r="E56" s="505">
        <f>'13'!F56</f>
        <v>648857</v>
      </c>
      <c r="F56" s="649">
        <v>589424.71</v>
      </c>
      <c r="G56" s="468">
        <f t="shared" si="4"/>
        <v>-59432.290000000037</v>
      </c>
      <c r="H56" s="455">
        <f>G56+'13'!H56</f>
        <v>-27773.290000000037</v>
      </c>
      <c r="I56" s="450"/>
      <c r="J56" s="547">
        <f>H56/DAY(B2)</f>
        <v>-1983.8064285714313</v>
      </c>
      <c r="K56" s="423"/>
      <c r="L56" s="374"/>
      <c r="N56" s="714"/>
      <c r="O56" s="723"/>
      <c r="P56" s="379"/>
    </row>
    <row r="57" spans="1:16">
      <c r="A57" s="573" t="s">
        <v>237</v>
      </c>
      <c r="B57" s="596"/>
      <c r="C57" s="596"/>
      <c r="D57" s="518" t="s">
        <v>198</v>
      </c>
      <c r="E57" s="505">
        <f>'13'!F57</f>
        <v>7711.33</v>
      </c>
      <c r="F57" s="505">
        <v>7711.33</v>
      </c>
      <c r="G57" s="468">
        <f t="shared" si="4"/>
        <v>0</v>
      </c>
      <c r="H57" s="455">
        <f>G57+'13'!H57</f>
        <v>0.32999999999992724</v>
      </c>
      <c r="I57" s="450"/>
      <c r="J57" s="547">
        <f>H57/DAY(B2)</f>
        <v>2.3571428571423376E-2</v>
      </c>
      <c r="K57" s="424"/>
      <c r="L57" s="374"/>
      <c r="N57" s="714"/>
      <c r="O57" s="721"/>
      <c r="P57" s="379"/>
    </row>
    <row r="58" spans="1:16">
      <c r="A58" s="573" t="s">
        <v>249</v>
      </c>
      <c r="B58" s="596"/>
      <c r="C58" s="596"/>
      <c r="D58" s="518" t="s">
        <v>198</v>
      </c>
      <c r="E58" s="505">
        <f>'13'!F58</f>
        <v>51172</v>
      </c>
      <c r="F58" s="649">
        <v>47868.27</v>
      </c>
      <c r="G58" s="468">
        <f t="shared" si="4"/>
        <v>-3303.7300000000032</v>
      </c>
      <c r="H58" s="455">
        <f>G58+'13'!H58</f>
        <v>-1995.9400000000023</v>
      </c>
      <c r="I58" s="450"/>
      <c r="J58" s="547">
        <f>H58/DAY(B2)</f>
        <v>-142.56714285714301</v>
      </c>
      <c r="K58" s="424"/>
      <c r="L58" s="374"/>
      <c r="N58" s="714"/>
      <c r="O58" s="721"/>
      <c r="P58" s="37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-162772.74000000008</v>
      </c>
      <c r="H59" s="455">
        <f>G59+'13'!H59</f>
        <v>-114526.88000000015</v>
      </c>
      <c r="I59" s="450">
        <f>G7-G60</f>
        <v>162489.16000000015</v>
      </c>
      <c r="J59" s="547">
        <f>H59/DAY(B2)</f>
        <v>-8180.4914285714394</v>
      </c>
      <c r="K59" s="424"/>
      <c r="L59" s="374"/>
      <c r="N59" s="714"/>
      <c r="O59" s="721"/>
      <c r="P59" s="37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-145489.16000000015</v>
      </c>
      <c r="H60" s="455">
        <f>G60+'13'!H60</f>
        <v>79317.759999999806</v>
      </c>
      <c r="I60" s="450">
        <f>G13-G60</f>
        <v>159832.61000000016</v>
      </c>
      <c r="J60" s="547">
        <f>H60/DAY(B2)</f>
        <v>5665.5542857142718</v>
      </c>
      <c r="K60" s="424"/>
      <c r="L60" s="374"/>
      <c r="N60" s="714"/>
      <c r="O60" s="721"/>
      <c r="P60" s="37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1"/>
      <c r="P61" s="379"/>
    </row>
    <row r="62" spans="1:16">
      <c r="A62" s="598" t="s">
        <v>252</v>
      </c>
      <c r="B62" s="599"/>
      <c r="C62" s="599"/>
      <c r="D62" s="506" t="s">
        <v>253</v>
      </c>
      <c r="E62" s="509">
        <v>0</v>
      </c>
      <c r="F62" s="509">
        <v>0</v>
      </c>
      <c r="G62" s="468">
        <f t="shared" ref="G62:G69" si="5">F62-E62</f>
        <v>0</v>
      </c>
      <c r="H62" s="455">
        <f>G62+'13'!H62</f>
        <v>1.9999999967694748E-3</v>
      </c>
      <c r="I62" s="510"/>
      <c r="J62" s="547">
        <f>H62/DAY(B2)</f>
        <v>1.4285714262639106E-4</v>
      </c>
      <c r="K62" s="424"/>
      <c r="L62" s="374"/>
      <c r="N62" s="714"/>
      <c r="O62" s="721"/>
      <c r="P62" s="379"/>
    </row>
    <row r="63" spans="1:16">
      <c r="A63" s="598" t="s">
        <v>254</v>
      </c>
      <c r="B63" s="599"/>
      <c r="C63" s="599"/>
      <c r="D63" s="506" t="s">
        <v>253</v>
      </c>
      <c r="E63" s="509">
        <f>'13'!F63</f>
        <v>0</v>
      </c>
      <c r="F63" s="509">
        <v>2412.15</v>
      </c>
      <c r="G63" s="468">
        <f t="shared" si="5"/>
        <v>2412.15</v>
      </c>
      <c r="H63" s="455">
        <f>G63+'13'!H63</f>
        <v>2412.15</v>
      </c>
      <c r="I63" s="510"/>
      <c r="J63" s="547">
        <f>H63/DAY(B2)</f>
        <v>172.29642857142858</v>
      </c>
      <c r="K63" s="424"/>
      <c r="L63" s="374"/>
      <c r="N63" s="714"/>
      <c r="O63" s="721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509">
        <f>'13'!F64</f>
        <v>163686</v>
      </c>
      <c r="F64" s="473">
        <v>156201.04999999999</v>
      </c>
      <c r="G64" s="468">
        <f t="shared" si="5"/>
        <v>-7484.9500000000116</v>
      </c>
      <c r="H64" s="455">
        <f>G64+'13'!H64</f>
        <v>-3730.9500000000116</v>
      </c>
      <c r="I64" s="475"/>
      <c r="J64" s="547">
        <f>H64/DAY(B2)</f>
        <v>-266.49642857142942</v>
      </c>
      <c r="K64" s="424"/>
      <c r="L64" s="374"/>
      <c r="N64" s="714"/>
      <c r="O64" s="721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509">
        <f>'13'!F65</f>
        <v>164412</v>
      </c>
      <c r="F65" s="647">
        <v>157101.17000000001</v>
      </c>
      <c r="G65" s="468">
        <f t="shared" si="5"/>
        <v>-7310.8299999999872</v>
      </c>
      <c r="H65" s="455">
        <f>G65+'13'!H65</f>
        <v>-3896.8299999999872</v>
      </c>
      <c r="I65" s="484"/>
      <c r="J65" s="547">
        <f>H65/DAY(B2)</f>
        <v>-278.34499999999906</v>
      </c>
      <c r="K65" s="424"/>
      <c r="L65" s="374"/>
      <c r="N65" s="714"/>
      <c r="O65" s="722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509">
        <f>'13'!F66</f>
        <v>61447</v>
      </c>
      <c r="F66" s="473">
        <v>52175.54</v>
      </c>
      <c r="G66" s="468">
        <f t="shared" si="5"/>
        <v>-9271.4599999999991</v>
      </c>
      <c r="H66" s="455">
        <f>G66+'13'!H66</f>
        <v>-4629.4599999999991</v>
      </c>
      <c r="I66" s="475"/>
      <c r="J66" s="547">
        <f>H66/DAY(B2)</f>
        <v>-330.67571428571421</v>
      </c>
      <c r="K66" s="424"/>
      <c r="L66" s="374"/>
      <c r="N66" s="714"/>
      <c r="O66" s="721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509">
        <f>'13'!F67</f>
        <v>257387</v>
      </c>
      <c r="F67" s="473">
        <v>245401.59</v>
      </c>
      <c r="G67" s="468">
        <f t="shared" si="5"/>
        <v>-11985.410000000003</v>
      </c>
      <c r="H67" s="455">
        <f>G67+'13'!H67</f>
        <v>-6790.4100000000035</v>
      </c>
      <c r="I67" s="484"/>
      <c r="J67" s="547">
        <f>H67/DAY(B2)</f>
        <v>-485.02928571428595</v>
      </c>
      <c r="K67" s="425"/>
      <c r="L67" s="374"/>
      <c r="N67" s="714"/>
      <c r="O67" s="721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509">
        <f>'13'!F68</f>
        <v>85321</v>
      </c>
      <c r="F68" s="473">
        <v>85321</v>
      </c>
      <c r="G68" s="468">
        <f t="shared" si="5"/>
        <v>0</v>
      </c>
      <c r="H68" s="455">
        <f>G68+'13'!H68</f>
        <v>0</v>
      </c>
      <c r="I68" s="511"/>
      <c r="J68" s="547">
        <f>H68/DAY(B2)</f>
        <v>0</v>
      </c>
      <c r="K68" s="426"/>
      <c r="L68" s="374"/>
      <c r="N68" s="714"/>
      <c r="O68" s="721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509">
        <f>'13'!F69</f>
        <v>83521</v>
      </c>
      <c r="F69" s="473">
        <v>80000.070000000007</v>
      </c>
      <c r="G69" s="468">
        <f t="shared" si="5"/>
        <v>-3520.929999999993</v>
      </c>
      <c r="H69" s="455">
        <f>G69+'13'!H69</f>
        <v>-1748.929999999993</v>
      </c>
      <c r="I69" s="511"/>
      <c r="J69" s="547">
        <f>H69/DAY(B2)</f>
        <v>-124.92357142857092</v>
      </c>
      <c r="K69" s="427"/>
      <c r="L69" s="374"/>
      <c r="N69" s="714"/>
      <c r="O69" s="721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>G70+'13'!H70</f>
        <v>0</v>
      </c>
      <c r="I70" s="513"/>
      <c r="J70" s="551"/>
      <c r="K70" s="427"/>
      <c r="L70" s="374"/>
      <c r="N70" s="714"/>
      <c r="O70" s="721"/>
      <c r="P70" s="379"/>
    </row>
    <row r="71" spans="1:16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1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4">
        <f>'13'!F72</f>
        <v>856044</v>
      </c>
      <c r="F72" s="650">
        <v>855665</v>
      </c>
      <c r="G72" s="468">
        <f t="shared" ref="G72" si="6">F72-E72</f>
        <v>-379</v>
      </c>
      <c r="H72" s="455">
        <f>G72+'12'!H72</f>
        <v>-221</v>
      </c>
      <c r="I72" s="475"/>
      <c r="J72" s="547">
        <f>H72/DAY(B2)</f>
        <v>-15.785714285714286</v>
      </c>
      <c r="K72" s="427"/>
      <c r="L72" s="374"/>
      <c r="N72" s="714"/>
      <c r="O72" s="721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4">
        <f>'13'!F73</f>
        <v>885952</v>
      </c>
      <c r="F73" s="651">
        <v>885891</v>
      </c>
      <c r="G73" s="648">
        <f t="shared" ref="G73:G84" si="7">F73-E73</f>
        <v>-61</v>
      </c>
      <c r="H73" s="455">
        <f>G73+'13'!H72</f>
        <v>140</v>
      </c>
      <c r="I73" s="475"/>
      <c r="J73" s="547">
        <f>H73/DAY(B2)</f>
        <v>10</v>
      </c>
      <c r="K73" s="426"/>
      <c r="L73" s="374"/>
      <c r="N73" s="714"/>
      <c r="O73" s="721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4">
        <f>'13'!F74</f>
        <v>2599.96</v>
      </c>
      <c r="F74" s="651">
        <v>2473.16</v>
      </c>
      <c r="G74" s="468">
        <f t="shared" si="7"/>
        <v>-126.80000000000018</v>
      </c>
      <c r="H74" s="455">
        <f>G74+'13'!H74</f>
        <v>-112.84000000000015</v>
      </c>
      <c r="I74" s="475"/>
      <c r="J74" s="547">
        <f>H74/DAY(B2)</f>
        <v>-8.0600000000000112</v>
      </c>
      <c r="K74" s="427"/>
      <c r="L74" s="374"/>
      <c r="N74" s="714"/>
      <c r="O74" s="721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4">
        <f>'13'!F75</f>
        <v>13637</v>
      </c>
      <c r="F75" s="651">
        <v>11714.59</v>
      </c>
      <c r="G75" s="468">
        <f t="shared" si="7"/>
        <v>-1922.4099999999999</v>
      </c>
      <c r="H75" s="455">
        <f>G75+'13'!H75</f>
        <v>-954.40999999999985</v>
      </c>
      <c r="I75" s="475"/>
      <c r="J75" s="547">
        <f>H75/DAY(B2)</f>
        <v>-68.172142857142845</v>
      </c>
      <c r="K75" s="426"/>
      <c r="L75" s="374"/>
      <c r="N75" s="714"/>
      <c r="O75" s="721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4">
        <f>'13'!F76</f>
        <v>8174</v>
      </c>
      <c r="F76" s="651">
        <v>6464.57</v>
      </c>
      <c r="G76" s="468">
        <f t="shared" si="7"/>
        <v>-1709.4300000000003</v>
      </c>
      <c r="H76" s="455">
        <f>G76+'13'!H75</f>
        <v>-741.43000000000029</v>
      </c>
      <c r="I76" s="500"/>
      <c r="J76" s="547">
        <f>H76/DAY(B2)</f>
        <v>-52.959285714285734</v>
      </c>
      <c r="K76" s="426"/>
      <c r="L76" s="374"/>
      <c r="N76" s="714"/>
      <c r="O76" s="721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4">
        <f>'13'!F77</f>
        <v>703488</v>
      </c>
      <c r="F77" s="651">
        <v>702211</v>
      </c>
      <c r="G77" s="648">
        <f t="shared" si="7"/>
        <v>-1277</v>
      </c>
      <c r="H77" s="455">
        <f>G77+'13'!H77</f>
        <v>-628</v>
      </c>
      <c r="I77" s="500"/>
      <c r="J77" s="547">
        <f>H77/DAY(B2)</f>
        <v>-44.857142857142854</v>
      </c>
      <c r="K77" s="426"/>
      <c r="L77" s="374"/>
      <c r="N77" s="714"/>
      <c r="O77" s="721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4">
        <f>'13'!F78</f>
        <v>673925</v>
      </c>
      <c r="F78" s="652">
        <v>671123</v>
      </c>
      <c r="G78" s="468">
        <f t="shared" si="7"/>
        <v>-2802</v>
      </c>
      <c r="H78" s="455">
        <f>G78+'13'!H78</f>
        <v>-1909</v>
      </c>
      <c r="I78" s="500"/>
      <c r="J78" s="547">
        <f>H78/DAY(B2)</f>
        <v>-136.35714285714286</v>
      </c>
      <c r="K78" s="426"/>
      <c r="L78" s="374"/>
      <c r="N78" s="714"/>
      <c r="O78" s="721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4">
        <f>'13'!F79</f>
        <v>832915</v>
      </c>
      <c r="F79" s="652">
        <v>828805</v>
      </c>
      <c r="G79" s="468">
        <f t="shared" si="7"/>
        <v>-4110</v>
      </c>
      <c r="H79" s="455">
        <f>G79+'13'!H78</f>
        <v>-3217</v>
      </c>
      <c r="I79" s="500"/>
      <c r="J79" s="547">
        <f>H79/DAY(B2)</f>
        <v>-229.78571428571428</v>
      </c>
      <c r="K79" s="426"/>
      <c r="L79" s="374"/>
      <c r="N79" s="714"/>
      <c r="O79" s="721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4">
        <f>'13'!F80</f>
        <v>532450.52</v>
      </c>
      <c r="F80" s="651">
        <v>521713.32</v>
      </c>
      <c r="G80" s="468">
        <f t="shared" si="7"/>
        <v>-10737.200000000012</v>
      </c>
      <c r="H80" s="455">
        <f>G80+'13'!H79</f>
        <v>-8832.2000000000116</v>
      </c>
      <c r="I80" s="500"/>
      <c r="J80" s="547">
        <f>H80/DAY(B2)</f>
        <v>-630.87142857142942</v>
      </c>
      <c r="K80" s="426"/>
      <c r="L80" s="374"/>
      <c r="N80" s="714"/>
      <c r="O80" s="721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4">
        <f>'13'!F81</f>
        <v>640343.80000000005</v>
      </c>
      <c r="F81" s="651">
        <v>637518.84</v>
      </c>
      <c r="G81" s="468">
        <f t="shared" si="7"/>
        <v>-2824.9600000000792</v>
      </c>
      <c r="H81" s="455">
        <f>G81+'13'!H81</f>
        <v>-1379.1600000000326</v>
      </c>
      <c r="I81" s="500"/>
      <c r="J81" s="547">
        <f>H81/DAY(B2)</f>
        <v>-98.511428571430898</v>
      </c>
      <c r="K81" s="426"/>
      <c r="L81" s="374"/>
      <c r="N81" s="714"/>
      <c r="O81" s="721"/>
      <c r="P81" s="379"/>
    </row>
    <row r="82" spans="1:16" ht="27.75">
      <c r="A82" s="1499" t="s">
        <v>267</v>
      </c>
      <c r="B82" s="1500"/>
      <c r="C82" s="1501"/>
      <c r="D82" s="480" t="s">
        <v>198</v>
      </c>
      <c r="E82" s="514">
        <f>'13'!F82</f>
        <v>108359</v>
      </c>
      <c r="F82" s="647">
        <v>107871.05</v>
      </c>
      <c r="G82" s="468">
        <f t="shared" si="7"/>
        <v>-487.94999999999709</v>
      </c>
      <c r="H82" s="455">
        <f>G82+'13'!H82</f>
        <v>-286.94999999999709</v>
      </c>
      <c r="I82" s="481"/>
      <c r="J82" s="547">
        <f>H82/DAY(B2)</f>
        <v>-20.496428571428364</v>
      </c>
      <c r="K82" s="426"/>
      <c r="L82" s="374"/>
      <c r="N82" s="714"/>
      <c r="O82" s="721"/>
      <c r="P82" s="379"/>
    </row>
    <row r="83" spans="1:16" ht="27.75">
      <c r="A83" s="1499" t="s">
        <v>268</v>
      </c>
      <c r="B83" s="1500"/>
      <c r="C83" s="1501"/>
      <c r="D83" s="615" t="s">
        <v>198</v>
      </c>
      <c r="E83" s="514">
        <f>'13'!F83</f>
        <v>23120</v>
      </c>
      <c r="F83" s="506">
        <v>17536</v>
      </c>
      <c r="G83" s="468">
        <f t="shared" si="7"/>
        <v>-5584</v>
      </c>
      <c r="H83" s="455">
        <f>G83+'13'!H83</f>
        <v>-2970</v>
      </c>
      <c r="I83" s="476"/>
      <c r="J83" s="547">
        <f>H83/DAY(B2)</f>
        <v>-212.14285714285714</v>
      </c>
      <c r="K83" s="425"/>
      <c r="L83" s="374"/>
      <c r="N83" s="714"/>
      <c r="O83" s="721"/>
      <c r="P83" s="379"/>
    </row>
    <row r="84" spans="1:16">
      <c r="A84" s="1396" t="s">
        <v>166</v>
      </c>
      <c r="B84" s="566"/>
      <c r="C84" s="566"/>
      <c r="D84" s="473" t="s">
        <v>198</v>
      </c>
      <c r="E84" s="514">
        <f>'13'!F84</f>
        <v>509739</v>
      </c>
      <c r="F84" s="622">
        <v>490097</v>
      </c>
      <c r="G84" s="468">
        <f t="shared" si="7"/>
        <v>-19642</v>
      </c>
      <c r="H84" s="455">
        <f>G84+'13'!H84</f>
        <v>-10197</v>
      </c>
      <c r="I84" s="476"/>
      <c r="J84" s="547">
        <f>H84/DAY(B2)</f>
        <v>-728.35714285714289</v>
      </c>
      <c r="K84" s="377"/>
      <c r="L84" s="374"/>
      <c r="N84" s="714"/>
      <c r="O84" s="721"/>
      <c r="P84" s="379"/>
    </row>
    <row r="85" spans="1:16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-51663.750000000087</v>
      </c>
      <c r="H85" s="455">
        <f>G85+'13'!H85</f>
        <v>-27765.470000000023</v>
      </c>
      <c r="I85" s="476"/>
      <c r="J85" s="547">
        <f>H85/DAY(B2)</f>
        <v>-1983.2478571428587</v>
      </c>
      <c r="K85" s="377"/>
      <c r="L85" s="375"/>
      <c r="N85" s="714"/>
      <c r="O85" s="721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'13'!F86</f>
        <v>461336.44</v>
      </c>
      <c r="F86" s="643">
        <v>460333.4</v>
      </c>
      <c r="G86" s="701">
        <f t="shared" ref="G86:G91" si="8">F86-E86</f>
        <v>-1003.039999999979</v>
      </c>
      <c r="H86" s="701">
        <f t="shared" ref="H86:H88" si="9">G86</f>
        <v>-1003.039999999979</v>
      </c>
      <c r="I86" s="648"/>
      <c r="J86" s="703">
        <f>H86/DAY(B2)</f>
        <v>-71.645714285712785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'13'!F87</f>
        <v>81626</v>
      </c>
      <c r="F87" s="643">
        <v>81097.8</v>
      </c>
      <c r="G87" s="701">
        <f t="shared" si="8"/>
        <v>-528.19999999999709</v>
      </c>
      <c r="H87" s="701">
        <f t="shared" si="9"/>
        <v>-528.19999999999709</v>
      </c>
      <c r="I87" s="648"/>
      <c r="J87" s="703">
        <f>H87/DAY(B2)</f>
        <v>-37.728571428571222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'13'!F88</f>
        <v>153538.73000000001</v>
      </c>
      <c r="F88" s="643">
        <v>152441</v>
      </c>
      <c r="G88" s="701">
        <f t="shared" si="8"/>
        <v>-1097.7300000000105</v>
      </c>
      <c r="H88" s="701">
        <f t="shared" si="9"/>
        <v>-1097.7300000000105</v>
      </c>
      <c r="I88" s="648"/>
      <c r="J88" s="703">
        <f>H88/DAY(B2)</f>
        <v>-78.409285714286469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'13'!F89</f>
        <v>65397.8</v>
      </c>
      <c r="F89" s="643">
        <v>64924.5</v>
      </c>
      <c r="G89" s="701">
        <f t="shared" si="8"/>
        <v>-473.30000000000291</v>
      </c>
      <c r="H89" s="701">
        <f>G89</f>
        <v>-473.30000000000291</v>
      </c>
      <c r="I89" s="648"/>
      <c r="J89" s="703">
        <f>H89/DAY(B2)</f>
        <v>-33.807142857143063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'13'!F90</f>
        <v>3291.9</v>
      </c>
      <c r="F90" s="643">
        <v>3272.5</v>
      </c>
      <c r="G90" s="701">
        <f t="shared" si="8"/>
        <v>-19.400000000000091</v>
      </c>
      <c r="H90" s="701">
        <f>G90</f>
        <v>-19.400000000000091</v>
      </c>
      <c r="I90" s="648"/>
      <c r="J90" s="703">
        <f>H90/DAY(B2)</f>
        <v>-1.3857142857142921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/>
      <c r="E91" s="622">
        <f>'13'!F91</f>
        <v>28113</v>
      </c>
      <c r="F91" s="643">
        <v>27949.93</v>
      </c>
      <c r="G91" s="701">
        <f t="shared" si="8"/>
        <v>-163.06999999999971</v>
      </c>
      <c r="H91" s="701">
        <f>G91</f>
        <v>-163.06999999999971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14"/>
      <c r="O92" s="721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479">
        <f>'13'!F93</f>
        <v>246080</v>
      </c>
      <c r="F93" s="473">
        <v>244879</v>
      </c>
      <c r="G93" s="468">
        <f t="shared" ref="G93:G94" si="10">F93-E93</f>
        <v>-1201</v>
      </c>
      <c r="H93" s="455">
        <f>G93+'13'!H93</f>
        <v>-609</v>
      </c>
      <c r="I93" s="475"/>
      <c r="J93" s="547">
        <f>H93/DAY(B2)</f>
        <v>-43.5</v>
      </c>
      <c r="K93" s="425"/>
      <c r="L93" s="374"/>
      <c r="N93" s="714"/>
      <c r="O93" s="721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479">
        <f>'13'!F94</f>
        <v>187397</v>
      </c>
      <c r="F94" s="647">
        <v>184662</v>
      </c>
      <c r="G94" s="468">
        <f t="shared" si="10"/>
        <v>-2735</v>
      </c>
      <c r="H94" s="455">
        <f>G94+'13'!H94</f>
        <v>-1459</v>
      </c>
      <c r="I94" s="475"/>
      <c r="J94" s="547">
        <f>H94/DAY(B2)</f>
        <v>-104.21428571428571</v>
      </c>
      <c r="K94" s="377"/>
      <c r="L94" s="374"/>
      <c r="N94" s="714"/>
      <c r="O94" s="721"/>
      <c r="P94" s="379"/>
    </row>
    <row r="95" spans="1:16">
      <c r="A95" s="1447" t="s">
        <v>276</v>
      </c>
      <c r="B95" s="1448"/>
      <c r="C95" s="1449"/>
      <c r="D95" s="518"/>
      <c r="E95" s="479">
        <f>'13'!F95</f>
        <v>0</v>
      </c>
      <c r="F95" s="473"/>
      <c r="G95" s="468">
        <f>G93+G94</f>
        <v>-3936</v>
      </c>
      <c r="H95" s="455">
        <f>G95+'13'!H95</f>
        <v>-2144</v>
      </c>
      <c r="I95" s="475"/>
      <c r="J95" s="547">
        <f>H95/DAY(B2)</f>
        <v>-153.14285714285714</v>
      </c>
      <c r="K95" s="377"/>
      <c r="L95" s="374"/>
      <c r="N95" s="714"/>
      <c r="O95" s="721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479">
        <f>'13'!F96</f>
        <v>414910</v>
      </c>
      <c r="F96" s="473">
        <v>413525</v>
      </c>
      <c r="G96" s="468">
        <f t="shared" ref="G96:G101" si="11">F96-E96</f>
        <v>-1385</v>
      </c>
      <c r="H96" s="455">
        <f>G96+'13'!H96</f>
        <v>-758</v>
      </c>
      <c r="I96" s="475"/>
      <c r="J96" s="547">
        <f>H96/DAY(B2)</f>
        <v>-54.142857142857146</v>
      </c>
      <c r="K96" s="377"/>
      <c r="L96" s="374"/>
      <c r="N96" s="714"/>
      <c r="O96" s="721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479">
        <f>'13'!F97</f>
        <v>102820</v>
      </c>
      <c r="F97" s="473">
        <v>102473</v>
      </c>
      <c r="G97" s="468">
        <f t="shared" si="11"/>
        <v>-347</v>
      </c>
      <c r="H97" s="455">
        <f>G97+'13'!H97</f>
        <v>-175</v>
      </c>
      <c r="I97" s="475"/>
      <c r="J97" s="547">
        <f>H97/DAY(B2)</f>
        <v>-12.5</v>
      </c>
      <c r="K97" s="423"/>
      <c r="L97" s="374"/>
      <c r="N97" s="714"/>
      <c r="O97" s="721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479">
        <f>'13'!F98</f>
        <v>98235</v>
      </c>
      <c r="F98" s="473">
        <v>97610</v>
      </c>
      <c r="G98" s="468">
        <f t="shared" si="11"/>
        <v>-625</v>
      </c>
      <c r="H98" s="455">
        <f>G98+'13'!H98</f>
        <v>-340</v>
      </c>
      <c r="I98" s="475"/>
      <c r="J98" s="547">
        <f>H98/DAY(B2)</f>
        <v>-24.285714285714285</v>
      </c>
      <c r="K98" s="428"/>
      <c r="L98" s="374"/>
      <c r="N98" s="714"/>
      <c r="O98" s="721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479">
        <f>'13'!F99</f>
        <v>149965</v>
      </c>
      <c r="F99" s="473">
        <v>149695</v>
      </c>
      <c r="G99" s="468">
        <f t="shared" si="11"/>
        <v>-270</v>
      </c>
      <c r="H99" s="455">
        <f>G99+'13'!H99</f>
        <v>-157</v>
      </c>
      <c r="I99" s="475"/>
      <c r="J99" s="547">
        <f>H99/DAY(B2)</f>
        <v>-11.214285714285714</v>
      </c>
      <c r="K99" s="377"/>
      <c r="L99" s="374"/>
      <c r="N99" s="716"/>
      <c r="O99" s="721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479">
        <f>'13'!F100</f>
        <v>7527</v>
      </c>
      <c r="F100" s="473">
        <v>7238</v>
      </c>
      <c r="G100" s="468">
        <f t="shared" si="11"/>
        <v>-289</v>
      </c>
      <c r="H100" s="455">
        <f>G100+'13'!H100</f>
        <v>-131</v>
      </c>
      <c r="I100" s="475"/>
      <c r="J100" s="547">
        <f>H100/DAY(B2)</f>
        <v>-9.3571428571428577</v>
      </c>
      <c r="K100" s="377"/>
      <c r="L100" s="374"/>
      <c r="N100" s="714"/>
      <c r="O100" s="721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479">
        <f>'13'!F101</f>
        <v>5501</v>
      </c>
      <c r="F101" s="473">
        <v>5232</v>
      </c>
      <c r="G101" s="468">
        <f t="shared" si="11"/>
        <v>-269</v>
      </c>
      <c r="H101" s="455">
        <f>G101+'13'!H101</f>
        <v>-159</v>
      </c>
      <c r="I101" s="475"/>
      <c r="J101" s="547">
        <f>H101/DAY(B2)</f>
        <v>-11.357142857142858</v>
      </c>
      <c r="K101" s="377"/>
      <c r="L101" s="374"/>
      <c r="N101" s="714"/>
      <c r="O101" s="721"/>
      <c r="P101" s="379"/>
    </row>
    <row r="102" spans="1:16">
      <c r="A102" s="1447" t="s">
        <v>277</v>
      </c>
      <c r="B102" s="1448"/>
      <c r="C102" s="1449"/>
      <c r="D102" s="519"/>
      <c r="E102" s="479"/>
      <c r="F102" s="519"/>
      <c r="G102" s="520">
        <f>SUM(G96:G101)</f>
        <v>-3185</v>
      </c>
      <c r="H102" s="455">
        <f>G102+'13'!H102</f>
        <v>-1720</v>
      </c>
      <c r="I102" s="521"/>
      <c r="J102" s="547">
        <f>H102/DAY(B2)</f>
        <v>-122.85714285714286</v>
      </c>
      <c r="K102" s="377"/>
      <c r="L102" s="374"/>
      <c r="N102" s="714"/>
      <c r="O102" s="721"/>
      <c r="P102" s="379"/>
    </row>
    <row r="103" spans="1:16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14"/>
      <c r="O103" s="721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1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479">
        <f>'13'!F105</f>
        <v>7473</v>
      </c>
      <c r="F105" s="654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4.0714285714285712</v>
      </c>
      <c r="N105" s="714"/>
      <c r="O105" s="721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479">
        <f>'13'!F106</f>
        <v>36019</v>
      </c>
      <c r="F106" s="655">
        <v>35875</v>
      </c>
      <c r="G106" s="527">
        <f t="shared" ref="G106:G107" si="12">F106-E106</f>
        <v>-144</v>
      </c>
      <c r="H106" s="528">
        <f>SUM(G106+'1'!G77)</f>
        <v>-95</v>
      </c>
      <c r="I106" s="527"/>
      <c r="J106" s="553">
        <f>H106/DAY(B2)</f>
        <v>-6.7857142857142856</v>
      </c>
      <c r="N106" s="714"/>
      <c r="O106" s="721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479">
        <f>'13'!F107</f>
        <v>19751</v>
      </c>
      <c r="F107" s="655">
        <v>19660</v>
      </c>
      <c r="G107" s="527">
        <f t="shared" si="12"/>
        <v>-91</v>
      </c>
      <c r="H107" s="528">
        <f>SUM(G107+'1'!G78)</f>
        <v>-36</v>
      </c>
      <c r="I107" s="527"/>
      <c r="J107" s="553">
        <f>H107/DAY(B2)</f>
        <v>-2.5714285714285716</v>
      </c>
      <c r="N107" s="714"/>
      <c r="O107" s="721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479">
        <f>'13'!F108</f>
        <v>0</v>
      </c>
      <c r="F108" s="655"/>
      <c r="G108" s="527">
        <f>SUM(G105:G107)</f>
        <v>-235</v>
      </c>
      <c r="H108" s="528">
        <f>SUM(G108+'1'!G79)</f>
        <v>-80</v>
      </c>
      <c r="I108" s="527"/>
      <c r="J108" s="553">
        <f>H108/DAY(B2)</f>
        <v>-5.7142857142857144</v>
      </c>
      <c r="N108" s="714"/>
      <c r="O108" s="721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479">
        <f>'13'!F109</f>
        <v>0</v>
      </c>
      <c r="F109" s="655"/>
      <c r="G109" s="527"/>
      <c r="H109" s="528"/>
      <c r="I109" s="527"/>
      <c r="J109" s="553"/>
      <c r="N109" s="714"/>
      <c r="O109" s="721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479">
        <f>'13'!F110</f>
        <v>63612</v>
      </c>
      <c r="F110" s="655">
        <v>61870</v>
      </c>
      <c r="G110" s="527">
        <f>F110-E110</f>
        <v>-1742</v>
      </c>
      <c r="H110" s="528">
        <f>SUM(G110+'1'!G81)</f>
        <v>-1648</v>
      </c>
      <c r="I110" s="527"/>
      <c r="J110" s="553">
        <f>H110/DAY(B2)</f>
        <v>-117.71428571428571</v>
      </c>
      <c r="N110" s="714"/>
      <c r="O110" s="721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479">
        <f>'13'!F111</f>
        <v>32697</v>
      </c>
      <c r="F111" s="655">
        <v>32371</v>
      </c>
      <c r="G111" s="527">
        <f t="shared" ref="G111:G112" si="13">F111-E111</f>
        <v>-326</v>
      </c>
      <c r="H111" s="528">
        <f>SUM(G111+'1'!G82)</f>
        <v>-315</v>
      </c>
      <c r="I111" s="527"/>
      <c r="J111" s="553">
        <f>H111/DAY(B2)</f>
        <v>-22.5</v>
      </c>
      <c r="N111" s="714"/>
      <c r="O111" s="721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479">
        <f>'13'!F112</f>
        <v>4621</v>
      </c>
      <c r="F112" s="655">
        <v>4492</v>
      </c>
      <c r="G112" s="527">
        <f t="shared" si="13"/>
        <v>-129</v>
      </c>
      <c r="H112" s="528">
        <f>SUM(G112+'1'!G83)</f>
        <v>23</v>
      </c>
      <c r="I112" s="527"/>
      <c r="J112" s="553">
        <f>H112/DAY(B2)</f>
        <v>1.6428571428571428</v>
      </c>
      <c r="N112" s="714"/>
      <c r="O112" s="721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479">
        <f>'13'!F113</f>
        <v>0</v>
      </c>
      <c r="F113" s="655"/>
      <c r="G113" s="527">
        <f>SUM(G110:G112)</f>
        <v>-2197</v>
      </c>
      <c r="H113" s="528">
        <f>SUM(G113+'1'!G84)</f>
        <v>-1370</v>
      </c>
      <c r="I113" s="527"/>
      <c r="J113" s="553">
        <f>H113/DAY(B2)</f>
        <v>-97.857142857142861</v>
      </c>
      <c r="N113" s="714"/>
      <c r="O113" s="721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479">
        <f>'13'!F114</f>
        <v>0</v>
      </c>
      <c r="F114" s="655"/>
      <c r="G114" s="527"/>
      <c r="H114" s="528"/>
      <c r="I114" s="527"/>
      <c r="J114" s="553">
        <f>H114/DAY(B2)</f>
        <v>0</v>
      </c>
      <c r="N114" s="714"/>
      <c r="O114" s="721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479">
        <f>'13'!F115</f>
        <v>11693</v>
      </c>
      <c r="F115" s="655">
        <v>11332</v>
      </c>
      <c r="G115" s="529">
        <f>F115-E115</f>
        <v>-361</v>
      </c>
      <c r="H115" s="528">
        <f>SUM(G115+'1'!G92)</f>
        <v>-361</v>
      </c>
      <c r="I115" s="527"/>
      <c r="J115" s="553">
        <f>H115/DAY(B2)</f>
        <v>-25.785714285714285</v>
      </c>
      <c r="N115" s="714"/>
      <c r="O115" s="721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479">
        <f>'13'!F116</f>
        <v>8412</v>
      </c>
      <c r="F116" s="655">
        <v>8198</v>
      </c>
      <c r="G116" s="529">
        <f t="shared" ref="G116:G117" si="14">F116-E116</f>
        <v>-214</v>
      </c>
      <c r="H116" s="528">
        <f>SUM(G116+'1'!G93)</f>
        <v>-196</v>
      </c>
      <c r="I116" s="527"/>
      <c r="J116" s="553">
        <f>H116/DAY(B2)</f>
        <v>-14</v>
      </c>
      <c r="N116" s="714"/>
      <c r="O116" s="721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4"/>
        <v>0</v>
      </c>
      <c r="H117" s="528">
        <f>SUM(G117+'1'!G94)</f>
        <v>58</v>
      </c>
      <c r="I117" s="527"/>
      <c r="J117" s="553">
        <f>H117/DAY(B2)</f>
        <v>4.1428571428571432</v>
      </c>
      <c r="N117" s="714"/>
      <c r="O117" s="721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-575</v>
      </c>
      <c r="H118" s="528">
        <f>SUM(G118+'1'!G96)</f>
        <v>-535</v>
      </c>
      <c r="I118" s="529"/>
      <c r="J118" s="553">
        <f>H118/DAY(B2)</f>
        <v>-38.214285714285715</v>
      </c>
      <c r="N118" s="714"/>
      <c r="O118" s="721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/>
      <c r="G119" s="531">
        <f>SUM(G19+G93)</f>
        <v>-3058</v>
      </c>
      <c r="H119" s="528">
        <f>SUM(G119+'1'!G97)</f>
        <v>-3045</v>
      </c>
      <c r="I119" s="530"/>
      <c r="J119" s="554">
        <f>H119/DAY(B2)</f>
        <v>-217.5</v>
      </c>
      <c r="N119" s="714"/>
      <c r="O119" s="721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-2915</v>
      </c>
      <c r="G120" s="531">
        <f>SUM(G96,G97,G98,G100,G101)</f>
        <v>-2915</v>
      </c>
      <c r="H120" s="528">
        <f>SUM(G120+'1'!G99)</f>
        <v>-2908</v>
      </c>
      <c r="I120" s="530"/>
      <c r="J120" s="554">
        <f>H120/DAY(B2)</f>
        <v>-207.71428571428572</v>
      </c>
      <c r="N120" s="714"/>
      <c r="O120" s="721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-2197</v>
      </c>
      <c r="G121" s="529">
        <f>SUM(G113)</f>
        <v>-2197</v>
      </c>
      <c r="H121" s="528">
        <f>SUM(G121+'1'!G101)</f>
        <v>-2193</v>
      </c>
      <c r="I121" s="530"/>
      <c r="J121" s="554">
        <f>H121/DAY(B2)</f>
        <v>-156.64285714285714</v>
      </c>
      <c r="N121" s="714"/>
      <c r="O121" s="721"/>
      <c r="P121" s="379"/>
    </row>
    <row r="122" spans="1:16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1"/>
      <c r="P122" s="379"/>
    </row>
    <row r="123" spans="1:16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1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473">
        <f>'13'!F124</f>
        <v>834932</v>
      </c>
      <c r="F124" s="473">
        <v>828928.09</v>
      </c>
      <c r="G124" s="468">
        <f t="shared" ref="G124:G128" si="15">F124-E124</f>
        <v>-6003.9100000000326</v>
      </c>
      <c r="H124" s="455">
        <f>G124+'13'!H124</f>
        <v>-3437.9100000000326</v>
      </c>
      <c r="I124" s="521"/>
      <c r="J124" s="547">
        <f>H124/DAY(B2)</f>
        <v>-245.56500000000233</v>
      </c>
      <c r="K124" s="377"/>
      <c r="L124" s="374"/>
      <c r="N124" s="714"/>
      <c r="O124" s="721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621">
        <f>'13'!F125</f>
        <v>73583</v>
      </c>
      <c r="F125" s="621">
        <v>73583</v>
      </c>
      <c r="G125" s="468">
        <f t="shared" si="15"/>
        <v>0</v>
      </c>
      <c r="H125" s="455">
        <f>G125+'13'!H125</f>
        <v>-0.39999999999417923</v>
      </c>
      <c r="I125" s="521"/>
      <c r="J125" s="547">
        <f>H125/DAY(B2)</f>
        <v>-2.8571428571012802E-2</v>
      </c>
      <c r="K125" s="377"/>
      <c r="L125" s="374"/>
      <c r="N125" s="714"/>
      <c r="O125" s="721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473">
        <f>'13'!F126</f>
        <v>147307</v>
      </c>
      <c r="F126" s="473">
        <v>145491</v>
      </c>
      <c r="G126" s="468">
        <f t="shared" si="15"/>
        <v>-1816</v>
      </c>
      <c r="H126" s="455">
        <f>G126+'13'!H126</f>
        <v>-1000</v>
      </c>
      <c r="I126" s="521"/>
      <c r="J126" s="547">
        <f>H126/DAY(B2)</f>
        <v>-71.428571428571431</v>
      </c>
      <c r="K126" s="377"/>
      <c r="L126" s="374"/>
      <c r="N126" s="714"/>
      <c r="O126" s="721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621">
        <f>'13'!F127</f>
        <v>31477</v>
      </c>
      <c r="F127" s="621">
        <v>31404</v>
      </c>
      <c r="G127" s="468">
        <f t="shared" si="15"/>
        <v>-73</v>
      </c>
      <c r="H127" s="455">
        <f>G127+'13'!H127</f>
        <v>-2</v>
      </c>
      <c r="I127" s="521"/>
      <c r="J127" s="547">
        <f>H127/DAY(B2)</f>
        <v>-0.14285714285714285</v>
      </c>
      <c r="K127" s="377"/>
      <c r="L127" s="374"/>
      <c r="N127" s="714"/>
      <c r="O127" s="721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621">
        <f>'13'!F128</f>
        <v>8974</v>
      </c>
      <c r="F128" s="621">
        <v>8971</v>
      </c>
      <c r="G128" s="468">
        <f t="shared" si="15"/>
        <v>-3</v>
      </c>
      <c r="H128" s="455">
        <f>G128+'13'!H128</f>
        <v>-1</v>
      </c>
      <c r="I128" s="475"/>
      <c r="J128" s="547">
        <f>H128/DAY(B2)</f>
        <v>-7.1428571428571425E-2</v>
      </c>
      <c r="K128" s="377"/>
      <c r="L128" s="374"/>
      <c r="N128" s="714"/>
      <c r="O128" s="721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8445.9100000000326</v>
      </c>
      <c r="H129" s="455"/>
      <c r="I129" s="475"/>
      <c r="J129" s="547"/>
      <c r="K129" s="361"/>
      <c r="L129" s="289"/>
      <c r="N129" s="714"/>
      <c r="O129" s="721"/>
      <c r="P129" s="379"/>
    </row>
    <row r="130" spans="1:16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1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479">
        <f>'13'!F131</f>
        <v>0</v>
      </c>
      <c r="F131" s="473">
        <v>0</v>
      </c>
      <c r="G131" s="468">
        <f t="shared" ref="G131:G141" si="16">F131-E131</f>
        <v>0</v>
      </c>
      <c r="H131" s="455">
        <f>G131+'13'!H131</f>
        <v>0</v>
      </c>
      <c r="I131" s="475"/>
      <c r="J131" s="547">
        <f>H131/DAY(B2)</f>
        <v>0</v>
      </c>
      <c r="N131" s="714"/>
      <c r="O131" s="721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479">
        <f>'13'!F132</f>
        <v>0</v>
      </c>
      <c r="F132" s="473">
        <v>0</v>
      </c>
      <c r="G132" s="468">
        <f t="shared" si="16"/>
        <v>0</v>
      </c>
      <c r="H132" s="455">
        <f>G132+'13'!H132</f>
        <v>0</v>
      </c>
      <c r="I132" s="475"/>
      <c r="J132" s="547">
        <f>H132/DAY(B2)</f>
        <v>0</v>
      </c>
      <c r="N132" s="714"/>
      <c r="O132" s="721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536">
        <f>'13'!F133</f>
        <v>40194</v>
      </c>
      <c r="F133" s="647">
        <v>40029.35</v>
      </c>
      <c r="G133" s="468">
        <f t="shared" si="16"/>
        <v>-164.65000000000146</v>
      </c>
      <c r="H133" s="455">
        <f>G133+'13'!H133</f>
        <v>-5.75</v>
      </c>
      <c r="I133" s="475"/>
      <c r="J133" s="547">
        <f>H133/DAY(B2)</f>
        <v>-0.4107142857142857</v>
      </c>
      <c r="N133" s="714"/>
      <c r="O133" s="721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697">
        <f>'13'!F134</f>
        <v>300</v>
      </c>
      <c r="F134" s="621">
        <v>300</v>
      </c>
      <c r="G134" s="468">
        <f t="shared" si="16"/>
        <v>0</v>
      </c>
      <c r="H134" s="455">
        <f>G134+'13'!H134</f>
        <v>0</v>
      </c>
      <c r="I134" s="475">
        <f>G131+G132+G133+G134</f>
        <v>-164.65000000000146</v>
      </c>
      <c r="J134" s="547">
        <f>H134/DAY(B2)</f>
        <v>0</v>
      </c>
      <c r="N134" s="714"/>
      <c r="O134" s="721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697">
        <f>'13'!F135</f>
        <v>41736</v>
      </c>
      <c r="F135" s="621">
        <v>41445.129999999997</v>
      </c>
      <c r="G135" s="468">
        <f t="shared" si="16"/>
        <v>-290.87000000000262</v>
      </c>
      <c r="H135" s="455">
        <f>G135+'13'!H135</f>
        <v>-284.87000000000262</v>
      </c>
      <c r="I135" s="475"/>
      <c r="J135" s="547">
        <f>H135/DAY(B2)</f>
        <v>-20.347857142857329</v>
      </c>
      <c r="N135" s="714"/>
      <c r="O135" s="721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536">
        <f>'13'!F136</f>
        <v>32874</v>
      </c>
      <c r="F136" s="647">
        <v>32582.98</v>
      </c>
      <c r="G136" s="468">
        <f t="shared" si="16"/>
        <v>-291.02000000000044</v>
      </c>
      <c r="H136" s="455">
        <f>G136+'13'!H136</f>
        <v>-132.02000000000044</v>
      </c>
      <c r="I136" s="475"/>
      <c r="J136" s="547">
        <f>H136/DAY(B2)</f>
        <v>-9.4300000000000317</v>
      </c>
      <c r="N136" s="714"/>
      <c r="O136" s="721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536">
        <f>'13'!F137</f>
        <v>22841.51</v>
      </c>
      <c r="F137" s="647">
        <v>22766.92</v>
      </c>
      <c r="G137" s="468">
        <f t="shared" si="16"/>
        <v>-74.590000000000146</v>
      </c>
      <c r="H137" s="455">
        <f>G137+'13'!H137</f>
        <v>-40.320000000003347</v>
      </c>
      <c r="I137" s="475">
        <f>G135+G136+G137</f>
        <v>-656.4800000000032</v>
      </c>
      <c r="J137" s="547">
        <f>H137/DAY(B2)</f>
        <v>-2.8800000000002393</v>
      </c>
      <c r="N137" s="714"/>
      <c r="O137" s="721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536">
        <f>'13'!F138</f>
        <v>25051.82</v>
      </c>
      <c r="F138" s="647">
        <v>25051.72</v>
      </c>
      <c r="G138" s="468">
        <f t="shared" si="16"/>
        <v>-9.9999999998544808E-2</v>
      </c>
      <c r="H138" s="455">
        <f>G138+'13'!H138</f>
        <v>-9.9999999998544808E-2</v>
      </c>
      <c r="I138" s="475"/>
      <c r="J138" s="547">
        <f>H138/DAY(B2)</f>
        <v>-7.1428571427532006E-3</v>
      </c>
      <c r="N138" s="714"/>
      <c r="O138" s="721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536">
        <f>'13'!F139</f>
        <v>70460.649999999994</v>
      </c>
      <c r="F139" s="647">
        <v>70351.94</v>
      </c>
      <c r="G139" s="468">
        <f t="shared" si="16"/>
        <v>-108.70999999999185</v>
      </c>
      <c r="H139" s="455">
        <f>G139+'13'!H139</f>
        <v>-59.80000000000291</v>
      </c>
      <c r="I139" s="475">
        <f>G138+G139</f>
        <v>-108.8099999999904</v>
      </c>
      <c r="J139" s="547">
        <f>H139/DAY(B2)</f>
        <v>-4.2714285714287792</v>
      </c>
      <c r="N139" s="714"/>
      <c r="O139" s="721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697">
        <f>'13'!F140</f>
        <v>1952.6</v>
      </c>
      <c r="F140" s="621">
        <v>1723.89</v>
      </c>
      <c r="G140" s="468">
        <f t="shared" si="16"/>
        <v>-228.70999999999981</v>
      </c>
      <c r="H140" s="455">
        <f>G140+'13'!H140</f>
        <v>-130.40999999999985</v>
      </c>
      <c r="I140" s="537"/>
      <c r="J140" s="547">
        <f>H140/DAY(B2)</f>
        <v>-9.3149999999999888</v>
      </c>
      <c r="N140" s="714"/>
      <c r="O140" s="721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479">
        <f>'13'!F141</f>
        <v>4636.88</v>
      </c>
      <c r="F141" s="473">
        <v>4636.88</v>
      </c>
      <c r="G141" s="468">
        <f t="shared" si="16"/>
        <v>0</v>
      </c>
      <c r="H141" s="455">
        <f>G141+'13'!H141</f>
        <v>-0.11999999999989086</v>
      </c>
      <c r="I141" s="537"/>
      <c r="J141" s="547">
        <f>H141/DAY(B2)</f>
        <v>-8.571428571420776E-3</v>
      </c>
      <c r="N141" s="714"/>
      <c r="O141" s="721"/>
      <c r="P141" s="379"/>
    </row>
    <row r="142" spans="1:16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1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-136067.85000000009</v>
      </c>
      <c r="H143" s="455">
        <f>G143+'13'!H143</f>
        <v>-73134.390000000087</v>
      </c>
      <c r="I143" s="475"/>
      <c r="J143" s="547">
        <f>H143/DAY(B2)</f>
        <v>-5223.8850000000066</v>
      </c>
      <c r="K143" s="377"/>
      <c r="L143" s="374"/>
      <c r="N143" s="714"/>
      <c r="O143" s="721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-8.0039911764705938</v>
      </c>
      <c r="H144" s="455">
        <f>G144+'13'!H144</f>
        <v>-4.4143293856072923</v>
      </c>
      <c r="I144" s="539"/>
      <c r="J144" s="547">
        <f>H144/DAY(B2)</f>
        <v>-0.31530924182909231</v>
      </c>
      <c r="K144" s="377"/>
      <c r="L144" s="374"/>
      <c r="N144" s="714"/>
      <c r="O144" s="721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-154018.67000000004</v>
      </c>
      <c r="H145" s="455">
        <f>G145+'13'!H145</f>
        <v>-87439.640000000043</v>
      </c>
      <c r="I145" s="475"/>
      <c r="J145" s="547">
        <f>H145/DAY(B2)</f>
        <v>-6245.6885714285745</v>
      </c>
      <c r="K145" s="377"/>
      <c r="L145" s="374"/>
      <c r="N145" s="714"/>
      <c r="O145" s="721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-9.0599217647058854</v>
      </c>
      <c r="H146" s="455">
        <f>G146+'13'!H146</f>
        <v>-5.2803094493097085</v>
      </c>
      <c r="I146" s="539"/>
      <c r="J146" s="547">
        <f>H146/DAY(B2)</f>
        <v>-0.37716496066497918</v>
      </c>
      <c r="K146" s="377"/>
      <c r="L146" s="374"/>
      <c r="N146" s="714"/>
      <c r="O146" s="721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-85160.82</v>
      </c>
      <c r="H147" s="455">
        <f>G147+'13'!H147</f>
        <v>-46205.820000000007</v>
      </c>
      <c r="I147" s="540"/>
      <c r="J147" s="547">
        <f>H147/DAY(B2)</f>
        <v>-3300.4157142857148</v>
      </c>
      <c r="K147" s="377"/>
      <c r="L147" s="374"/>
      <c r="N147" s="714"/>
      <c r="O147" s="721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-5.0094600000000007</v>
      </c>
      <c r="H148" s="455">
        <f>G148+'13'!H148</f>
        <v>-2.7955631992103092</v>
      </c>
      <c r="I148" s="540"/>
      <c r="J148" s="547">
        <f>H148/DAY(B2)</f>
        <v>-0.19968308565787923</v>
      </c>
      <c r="N148" s="714"/>
      <c r="O148" s="721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-36338.03</v>
      </c>
      <c r="H149" s="455">
        <f>G149+'13'!H149</f>
        <v>-20083.96000000005</v>
      </c>
      <c r="I149" s="475"/>
      <c r="J149" s="547">
        <f>H149/DAY(B2)</f>
        <v>-1434.5685714285751</v>
      </c>
      <c r="K149" s="378"/>
      <c r="N149" s="714"/>
      <c r="O149" s="721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-2.137531176470588</v>
      </c>
      <c r="H150" s="455">
        <f>G150+'13'!H150</f>
        <v>-1.213604158274725</v>
      </c>
      <c r="I150" s="540"/>
      <c r="J150" s="547">
        <f>H150/DAY(B2)</f>
        <v>-8.6686011305337499E-2</v>
      </c>
      <c r="N150" s="714"/>
      <c r="O150" s="721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312224.99</v>
      </c>
      <c r="H151" s="455">
        <f>G151+'13'!H151</f>
        <v>331884.99</v>
      </c>
      <c r="I151" s="540"/>
      <c r="J151" s="547">
        <f>H151/DAY(B2)</f>
        <v>23706.070714285714</v>
      </c>
      <c r="N151" s="714"/>
      <c r="O151" s="721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18.366175882352941</v>
      </c>
      <c r="H152" s="455">
        <f>G152+'13'!H152</f>
        <v>19.48136270384601</v>
      </c>
      <c r="I152" s="475"/>
      <c r="J152" s="547">
        <f>H152/DAY(B2)</f>
        <v>1.3915259074175721</v>
      </c>
      <c r="N152" s="714"/>
      <c r="O152" s="721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-39435.089999999997</v>
      </c>
      <c r="H153" s="455">
        <f>G153+'13'!H153</f>
        <v>-21969.22</v>
      </c>
      <c r="I153" s="475"/>
      <c r="J153" s="547">
        <f>H153/DAY(B2)</f>
        <v>-1569.23</v>
      </c>
      <c r="N153" s="714"/>
      <c r="O153" s="721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-2.3197111764705882</v>
      </c>
      <c r="H154" s="455">
        <f>G154+'13'!H154</f>
        <v>-1.3233489478390155</v>
      </c>
      <c r="I154" s="563"/>
      <c r="J154" s="564">
        <f>H154/DAY(B2)</f>
        <v>-9.4524924845643968E-2</v>
      </c>
      <c r="N154" s="714"/>
      <c r="O154" s="721"/>
      <c r="P154" s="37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90" t="s">
        <v>318</v>
      </c>
      <c r="B161" s="791"/>
      <c r="C161" s="791"/>
      <c r="D161" s="615" t="s">
        <v>253</v>
      </c>
      <c r="E161" s="517">
        <f>'13'!F161</f>
        <v>39481</v>
      </c>
      <c r="F161" s="799">
        <v>37071.870000000003</v>
      </c>
      <c r="G161" s="468">
        <f t="shared" ref="G161:G164" si="17">F161-E161</f>
        <v>-2409.1299999999974</v>
      </c>
      <c r="N161" s="714"/>
    </row>
    <row r="162" spans="1:14" ht="21.75" customHeight="1">
      <c r="A162" s="790" t="s">
        <v>319</v>
      </c>
      <c r="B162" s="791"/>
      <c r="C162" s="791"/>
      <c r="D162" s="615" t="s">
        <v>253</v>
      </c>
      <c r="E162" s="517">
        <f>'13'!F162</f>
        <v>100170</v>
      </c>
      <c r="F162" s="799">
        <v>88224.68</v>
      </c>
      <c r="G162" s="468">
        <f t="shared" si="17"/>
        <v>-11945.320000000007</v>
      </c>
      <c r="N162" s="714"/>
    </row>
    <row r="163" spans="1:14" ht="21.75" customHeight="1">
      <c r="A163" s="790" t="s">
        <v>320</v>
      </c>
      <c r="B163" s="791"/>
      <c r="C163" s="791"/>
      <c r="D163" s="615" t="s">
        <v>253</v>
      </c>
      <c r="E163" s="517">
        <f>'13'!F163</f>
        <v>47650</v>
      </c>
      <c r="F163" s="799">
        <v>41418.35</v>
      </c>
      <c r="G163" s="468">
        <f t="shared" si="17"/>
        <v>-6231.6500000000015</v>
      </c>
      <c r="N163" s="714"/>
    </row>
    <row r="164" spans="1:14" ht="21.75" customHeight="1">
      <c r="A164" s="790" t="s">
        <v>321</v>
      </c>
      <c r="B164" s="791"/>
      <c r="C164" s="791"/>
      <c r="D164" s="615" t="s">
        <v>253</v>
      </c>
      <c r="E164" s="517">
        <f>'13'!F164</f>
        <v>6679</v>
      </c>
      <c r="F164" s="799">
        <v>6378.14</v>
      </c>
      <c r="G164" s="468">
        <f t="shared" si="17"/>
        <v>-300.85999999999967</v>
      </c>
      <c r="N164" s="714"/>
    </row>
    <row r="165" spans="1:14" ht="21.75" customHeight="1">
      <c r="A165" s="792" t="s">
        <v>252</v>
      </c>
      <c r="B165" s="793"/>
      <c r="C165" s="793"/>
      <c r="D165" s="615" t="s">
        <v>253</v>
      </c>
      <c r="E165" s="509">
        <f>E62</f>
        <v>0</v>
      </c>
      <c r="F165" s="509">
        <f>F62</f>
        <v>0</v>
      </c>
      <c r="G165" s="468">
        <f t="shared" ref="G165:G172" si="18">F165-E165</f>
        <v>0</v>
      </c>
      <c r="N165" s="714"/>
    </row>
    <row r="166" spans="1:14" ht="21.75" customHeight="1">
      <c r="A166" s="792" t="s">
        <v>254</v>
      </c>
      <c r="B166" s="793"/>
      <c r="C166" s="793"/>
      <c r="D166" s="615" t="s">
        <v>253</v>
      </c>
      <c r="E166" s="509">
        <f t="shared" ref="E166:E172" si="19">E63</f>
        <v>0</v>
      </c>
      <c r="F166" s="509">
        <f t="shared" ref="F166:F172" si="20">F63</f>
        <v>2412.15</v>
      </c>
      <c r="G166" s="468">
        <f t="shared" si="18"/>
        <v>2412.15</v>
      </c>
      <c r="N166" s="714"/>
    </row>
    <row r="167" spans="1:14" ht="21.75" customHeight="1">
      <c r="A167" s="1515" t="s">
        <v>161</v>
      </c>
      <c r="B167" s="1515"/>
      <c r="C167" s="1515"/>
      <c r="D167" s="519" t="s">
        <v>253</v>
      </c>
      <c r="E167" s="509">
        <f t="shared" si="19"/>
        <v>163686</v>
      </c>
      <c r="F167" s="509">
        <f t="shared" si="20"/>
        <v>156201.04999999999</v>
      </c>
      <c r="G167" s="468">
        <f t="shared" si="18"/>
        <v>-7484.9500000000116</v>
      </c>
      <c r="N167" s="714"/>
    </row>
    <row r="168" spans="1:14" ht="21.75" customHeight="1">
      <c r="A168" s="1515" t="s">
        <v>162</v>
      </c>
      <c r="B168" s="1515"/>
      <c r="C168" s="1515"/>
      <c r="D168" s="519" t="s">
        <v>253</v>
      </c>
      <c r="E168" s="509">
        <f t="shared" si="19"/>
        <v>164412</v>
      </c>
      <c r="F168" s="509">
        <f t="shared" si="20"/>
        <v>157101.17000000001</v>
      </c>
      <c r="G168" s="468">
        <f t="shared" si="18"/>
        <v>-7310.8299999999872</v>
      </c>
      <c r="N168" s="714"/>
    </row>
    <row r="169" spans="1:14" ht="21.75" customHeight="1">
      <c r="A169" s="1515" t="s">
        <v>255</v>
      </c>
      <c r="B169" s="1515"/>
      <c r="C169" s="1515"/>
      <c r="D169" s="519" t="s">
        <v>253</v>
      </c>
      <c r="E169" s="509">
        <f t="shared" si="19"/>
        <v>61447</v>
      </c>
      <c r="F169" s="509">
        <f t="shared" si="20"/>
        <v>52175.54</v>
      </c>
      <c r="G169" s="468">
        <f t="shared" si="18"/>
        <v>-9271.4599999999991</v>
      </c>
      <c r="N169" s="714"/>
    </row>
    <row r="170" spans="1:14" ht="21.75" customHeight="1">
      <c r="A170" s="1515" t="s">
        <v>157</v>
      </c>
      <c r="B170" s="1515"/>
      <c r="C170" s="1515"/>
      <c r="D170" s="519" t="s">
        <v>253</v>
      </c>
      <c r="E170" s="509">
        <f t="shared" si="19"/>
        <v>257387</v>
      </c>
      <c r="F170" s="509">
        <f t="shared" si="20"/>
        <v>245401.59</v>
      </c>
      <c r="G170" s="468">
        <f t="shared" si="18"/>
        <v>-11985.410000000003</v>
      </c>
      <c r="N170" s="714"/>
    </row>
    <row r="171" spans="1:14" ht="24" customHeight="1">
      <c r="A171" s="1515" t="s">
        <v>164</v>
      </c>
      <c r="B171" s="1515"/>
      <c r="C171" s="1515"/>
      <c r="D171" s="519" t="s">
        <v>253</v>
      </c>
      <c r="E171" s="509">
        <f t="shared" si="19"/>
        <v>85321</v>
      </c>
      <c r="F171" s="509">
        <f t="shared" si="20"/>
        <v>85321</v>
      </c>
      <c r="G171" s="468">
        <f t="shared" si="18"/>
        <v>0</v>
      </c>
      <c r="N171" s="714"/>
    </row>
    <row r="172" spans="1:14" ht="27.75">
      <c r="A172" s="1515" t="s">
        <v>165</v>
      </c>
      <c r="B172" s="1515"/>
      <c r="C172" s="1515"/>
      <c r="D172" s="519" t="s">
        <v>253</v>
      </c>
      <c r="E172" s="509">
        <f t="shared" si="19"/>
        <v>83521</v>
      </c>
      <c r="F172" s="509">
        <f t="shared" si="20"/>
        <v>80000.070000000007</v>
      </c>
      <c r="G172" s="468">
        <f t="shared" si="18"/>
        <v>-3520.929999999993</v>
      </c>
      <c r="N172" s="714"/>
    </row>
    <row r="173" spans="1:14">
      <c r="A173" s="794"/>
      <c r="B173" s="795"/>
      <c r="C173" s="795"/>
      <c r="D173" s="796"/>
      <c r="E173" s="796"/>
      <c r="F173" s="797"/>
      <c r="G173" s="798">
        <f>SUM(G161:G172)</f>
        <v>-58048.39</v>
      </c>
      <c r="N173" s="714"/>
    </row>
    <row r="174" spans="1:14"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22.5" customHeight="1">
      <c r="N178" s="714"/>
    </row>
    <row r="179" spans="14:14" ht="22.5" customHeight="1">
      <c r="N179" s="714"/>
    </row>
    <row r="180" spans="14:14" ht="22.5" customHeight="1">
      <c r="N180" s="714"/>
    </row>
    <row r="181" spans="14:14" ht="22.5" customHeight="1">
      <c r="N181" s="714"/>
    </row>
    <row r="182" spans="14:14" ht="22.5" customHeight="1">
      <c r="N182" s="714"/>
    </row>
    <row r="183" spans="14:14" ht="22.5" customHeight="1">
      <c r="N183" s="714"/>
    </row>
    <row r="184" spans="14:14" ht="22.5" customHeight="1">
      <c r="N184" s="714"/>
    </row>
    <row r="185" spans="14:14" ht="22.5" customHeight="1">
      <c r="N185" s="714"/>
    </row>
    <row r="186" spans="14:14" ht="22.5" customHeight="1">
      <c r="N186" s="714"/>
    </row>
    <row r="187" spans="14:14" ht="22.5" customHeight="1">
      <c r="N187" s="714"/>
    </row>
    <row r="188" spans="14:14" ht="22.5" customHeight="1">
      <c r="N188" s="714"/>
    </row>
    <row r="189" spans="14:14" ht="22.5" customHeight="1">
      <c r="N189" s="714"/>
    </row>
    <row r="190" spans="14:14" ht="22.5" customHeight="1">
      <c r="N190" s="714"/>
    </row>
    <row r="191" spans="14:14" ht="22.5" customHeight="1">
      <c r="N191" s="714"/>
    </row>
    <row r="192" spans="14:14" ht="22.5" customHeight="1">
      <c r="N192" s="714"/>
    </row>
    <row r="193" spans="14:14" ht="22.5" customHeight="1">
      <c r="N193" s="714"/>
    </row>
    <row r="194" spans="14:14" ht="22.5" customHeight="1">
      <c r="N194" s="714"/>
    </row>
    <row r="195" spans="14:14" ht="22.5" customHeight="1">
      <c r="N195" s="714"/>
    </row>
    <row r="196" spans="14:14" ht="22.5" customHeight="1">
      <c r="N196" s="714"/>
    </row>
    <row r="197" spans="14:14" ht="22.5" customHeight="1">
      <c r="N197" s="714"/>
    </row>
    <row r="198" spans="14:14" ht="22.5" customHeight="1">
      <c r="N198" s="714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2:C102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3" zoomScale="55" zoomScaleNormal="80" zoomScaleSheetLayoutView="55" workbookViewId="0">
      <selection activeCell="A33" sqref="A33:J33"/>
    </sheetView>
  </sheetViews>
  <sheetFormatPr defaultColWidth="22.33203125" defaultRowHeight="29.25"/>
  <cols>
    <col min="1" max="1" width="40.6640625" style="449" customWidth="1"/>
    <col min="2" max="2" width="28.55468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719"/>
    <col min="16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344</v>
      </c>
      <c r="B2" s="1028">
        <v>44331</v>
      </c>
      <c r="C2" s="1394" t="s">
        <v>111</v>
      </c>
      <c r="D2" s="606">
        <v>0.83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720"/>
    </row>
    <row r="3" spans="1:16" s="278" customFormat="1" ht="27">
      <c r="A3" s="565"/>
      <c r="B3" s="609"/>
      <c r="C3" s="1394" t="s">
        <v>186</v>
      </c>
      <c r="D3" s="607">
        <v>31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13"/>
      <c r="O3" s="720"/>
    </row>
    <row r="4" spans="1:16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/>
      <c r="K4" s="369"/>
      <c r="L4" s="289"/>
      <c r="N4" s="713"/>
      <c r="O4" s="720"/>
    </row>
    <row r="5" spans="1:16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'14'!F7</f>
        <v>589941</v>
      </c>
      <c r="F7" s="450">
        <f>E7+17000</f>
        <v>606941</v>
      </c>
      <c r="G7" s="674">
        <f t="shared" ref="G7:G12" si="0">F7-E7</f>
        <v>17000</v>
      </c>
      <c r="H7" s="675">
        <f>G7+'14'!H7</f>
        <v>262529</v>
      </c>
      <c r="I7" s="676">
        <f>'1'!I7</f>
        <v>12000</v>
      </c>
      <c r="J7" s="677">
        <f>H7/DAY(B2)</f>
        <v>17501.933333333334</v>
      </c>
      <c r="K7" s="544"/>
      <c r="L7" s="374"/>
      <c r="N7" s="725"/>
      <c r="O7" s="721"/>
      <c r="P7" s="724"/>
    </row>
    <row r="8" spans="1:16" ht="27.75" thickBot="1">
      <c r="A8" s="678" t="s">
        <v>199</v>
      </c>
      <c r="B8" s="679"/>
      <c r="C8" s="680"/>
      <c r="D8" s="681" t="s">
        <v>59</v>
      </c>
      <c r="E8" s="628">
        <f>'14'!F8</f>
        <v>593145</v>
      </c>
      <c r="F8" s="470">
        <f>E8+17150</f>
        <v>610295</v>
      </c>
      <c r="G8" s="685">
        <f t="shared" si="0"/>
        <v>17150</v>
      </c>
      <c r="H8" s="675">
        <f>G8+'14'!H8</f>
        <v>263785</v>
      </c>
      <c r="I8" s="682">
        <f>'1'!I8</f>
        <v>12000</v>
      </c>
      <c r="J8" s="677">
        <f>H8/DAY(B2)</f>
        <v>17585.666666666668</v>
      </c>
      <c r="K8" s="544"/>
      <c r="L8" s="421"/>
      <c r="M8" s="435"/>
      <c r="N8" s="714"/>
      <c r="O8" s="721"/>
      <c r="P8" s="379"/>
    </row>
    <row r="9" spans="1:16">
      <c r="A9" s="683" t="s">
        <v>200</v>
      </c>
      <c r="B9" s="684"/>
      <c r="C9" s="684"/>
      <c r="D9" s="633" t="s">
        <v>198</v>
      </c>
      <c r="E9" s="628">
        <f>'14'!F9</f>
        <v>1711922</v>
      </c>
      <c r="F9" s="473">
        <f>E9+16950</f>
        <v>1728872</v>
      </c>
      <c r="G9" s="698">
        <f t="shared" si="0"/>
        <v>16950</v>
      </c>
      <c r="H9" s="675">
        <f>G9+'14'!H9</f>
        <v>255182</v>
      </c>
      <c r="I9" s="686">
        <f>I7-J7</f>
        <v>-5501.9333333333343</v>
      </c>
      <c r="J9" s="677">
        <f>H9/DAY(B2)</f>
        <v>17012.133333333335</v>
      </c>
      <c r="K9" s="424"/>
      <c r="L9" s="374"/>
      <c r="N9" s="714"/>
      <c r="O9" s="721"/>
      <c r="P9" s="379"/>
    </row>
    <row r="10" spans="1:16">
      <c r="A10" s="672" t="s">
        <v>201</v>
      </c>
      <c r="B10" s="673"/>
      <c r="C10" s="673"/>
      <c r="D10" s="633" t="s">
        <v>198</v>
      </c>
      <c r="E10" s="628">
        <f>'14'!F10</f>
        <v>0</v>
      </c>
      <c r="F10" s="473"/>
      <c r="G10" s="685">
        <f t="shared" si="0"/>
        <v>0</v>
      </c>
      <c r="H10" s="675">
        <f>G10+'14'!H10</f>
        <v>-2606.13</v>
      </c>
      <c r="I10" s="687"/>
      <c r="J10" s="677">
        <f>H10/DAY(B2)</f>
        <v>-173.74200000000002</v>
      </c>
      <c r="K10" s="424"/>
      <c r="L10" s="374"/>
      <c r="N10" s="714"/>
      <c r="O10" s="721"/>
      <c r="P10" s="379"/>
    </row>
    <row r="11" spans="1:16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G11+'14'!H11</f>
        <v>0</v>
      </c>
      <c r="I11" s="687"/>
      <c r="J11" s="677">
        <f>H11/DAY(B2)</f>
        <v>0</v>
      </c>
      <c r="K11" s="424"/>
      <c r="L11" s="374"/>
      <c r="N11" s="714"/>
      <c r="O11" s="721"/>
      <c r="P11" s="379"/>
    </row>
    <row r="12" spans="1:16">
      <c r="A12" s="672" t="s">
        <v>203</v>
      </c>
      <c r="B12" s="673"/>
      <c r="C12" s="673"/>
      <c r="D12" s="633" t="s">
        <v>198</v>
      </c>
      <c r="E12" s="628">
        <f>'5'!E12</f>
        <v>40010</v>
      </c>
      <c r="F12" s="473">
        <v>40010</v>
      </c>
      <c r="G12" s="685">
        <f t="shared" si="0"/>
        <v>0</v>
      </c>
      <c r="H12" s="675">
        <f>G12+'14'!H12</f>
        <v>0</v>
      </c>
      <c r="I12" s="687"/>
      <c r="J12" s="677">
        <f>H12/DAY(B2)</f>
        <v>0</v>
      </c>
      <c r="K12" s="424"/>
      <c r="L12" s="374"/>
      <c r="N12" s="714"/>
      <c r="O12" s="721"/>
      <c r="P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16950</v>
      </c>
      <c r="H13" s="675">
        <f>G13+'14'!H13</f>
        <v>236050.87</v>
      </c>
      <c r="I13" s="691">
        <f>G7-G13</f>
        <v>50</v>
      </c>
      <c r="J13" s="677">
        <f>H13/DAY(B2)</f>
        <v>15736.724666666667</v>
      </c>
      <c r="K13" s="424"/>
      <c r="L13" s="374"/>
      <c r="N13" s="714"/>
      <c r="O13" s="721"/>
      <c r="P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1146"/>
      <c r="K14" s="425"/>
      <c r="L14" s="374"/>
      <c r="N14" s="714"/>
      <c r="O14" s="721"/>
      <c r="P14" s="379"/>
    </row>
    <row r="15" spans="1:16">
      <c r="A15" s="788" t="s">
        <v>133</v>
      </c>
      <c r="B15" s="789"/>
      <c r="C15" s="789"/>
      <c r="D15" s="519" t="s">
        <v>206</v>
      </c>
      <c r="E15" s="480">
        <f>'14'!F15</f>
        <v>1691382</v>
      </c>
      <c r="F15" s="621">
        <f>E15+550</f>
        <v>1691932</v>
      </c>
      <c r="G15" s="660">
        <f>(F15-E15)</f>
        <v>550</v>
      </c>
      <c r="H15" s="481">
        <f>G15+'14'!H15</f>
        <v>7408</v>
      </c>
      <c r="I15" s="469">
        <v>800</v>
      </c>
      <c r="J15" s="548">
        <f>H15/DAY(B2)</f>
        <v>493.86666666666667</v>
      </c>
      <c r="K15" s="424"/>
      <c r="L15" s="374"/>
      <c r="N15" s="714"/>
      <c r="O15" s="721"/>
      <c r="P15" s="379"/>
    </row>
    <row r="16" spans="1:16">
      <c r="A16" s="582"/>
      <c r="B16" s="583"/>
      <c r="C16" s="583"/>
      <c r="D16" s="519"/>
      <c r="E16" s="480"/>
      <c r="F16" s="480"/>
      <c r="G16" s="665"/>
      <c r="H16" s="481"/>
      <c r="I16" s="477">
        <f>I15-J15</f>
        <v>306.13333333333333</v>
      </c>
      <c r="J16" s="548"/>
      <c r="K16" s="424"/>
      <c r="L16" s="374"/>
      <c r="N16" s="714"/>
      <c r="O16" s="721"/>
      <c r="P16" s="379"/>
    </row>
    <row r="17" spans="1:16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1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0">
        <f>'14'!F18</f>
        <v>2</v>
      </c>
      <c r="F18" s="473">
        <v>6</v>
      </c>
      <c r="G18" s="690">
        <f>F18*10</f>
        <v>60</v>
      </c>
      <c r="H18" s="675">
        <f>G18+'14'!H18</f>
        <v>840</v>
      </c>
      <c r="I18" s="676">
        <f>'1'!I18</f>
        <v>65</v>
      </c>
      <c r="J18" s="677">
        <f>H18/DAY(B2)</f>
        <v>56</v>
      </c>
      <c r="K18" s="424"/>
      <c r="L18" s="374"/>
      <c r="N18" s="714"/>
      <c r="O18" s="721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0">
        <f>'14'!F19</f>
        <v>138575</v>
      </c>
      <c r="F19" s="473">
        <v>138631</v>
      </c>
      <c r="G19" s="685">
        <f t="shared" ref="G19" si="1">F19-E19</f>
        <v>56</v>
      </c>
      <c r="H19" s="675">
        <f>G19+'14'!H19</f>
        <v>-981</v>
      </c>
      <c r="I19" s="692"/>
      <c r="J19" s="677">
        <f>H19/DAY(B2)</f>
        <v>-65.400000000000006</v>
      </c>
      <c r="K19" s="424"/>
      <c r="L19" s="374"/>
      <c r="N19" s="714"/>
      <c r="O19" s="721"/>
      <c r="P19" s="379"/>
    </row>
    <row r="20" spans="1:16">
      <c r="A20" s="688" t="s">
        <v>210</v>
      </c>
      <c r="B20" s="689"/>
      <c r="C20" s="689"/>
      <c r="D20" s="633"/>
      <c r="E20" s="633"/>
      <c r="F20" s="705"/>
      <c r="G20" s="693">
        <f>G18+G19</f>
        <v>116</v>
      </c>
      <c r="H20" s="675">
        <f>G20+'14'!H20</f>
        <v>-141</v>
      </c>
      <c r="I20" s="694">
        <f>I18-J20</f>
        <v>74.400000000000006</v>
      </c>
      <c r="J20" s="677">
        <f>H20/DAY(B2)</f>
        <v>-9.4</v>
      </c>
      <c r="K20" s="424"/>
      <c r="L20" s="374"/>
      <c r="N20" s="714"/>
      <c r="O20" s="721"/>
      <c r="P20" s="379"/>
    </row>
    <row r="21" spans="1:16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1"/>
      <c r="P21" s="379"/>
    </row>
    <row r="22" spans="1:16">
      <c r="A22" s="1392" t="s">
        <v>212</v>
      </c>
      <c r="B22" s="584"/>
      <c r="C22" s="584"/>
      <c r="D22" s="518" t="s">
        <v>213</v>
      </c>
      <c r="E22" s="630">
        <f>'14'!F22</f>
        <v>2970</v>
      </c>
      <c r="F22" s="473">
        <v>2970</v>
      </c>
      <c r="G22" s="476">
        <f t="shared" ref="G22" si="2">(F22-E22)</f>
        <v>0</v>
      </c>
      <c r="H22" s="455">
        <f>G22+'14'!H22</f>
        <v>0</v>
      </c>
      <c r="I22" s="475"/>
      <c r="J22" s="547">
        <f>H22/DAY(B2)</f>
        <v>0</v>
      </c>
      <c r="K22" s="424"/>
      <c r="L22" s="374"/>
      <c r="N22" s="714"/>
      <c r="O22" s="721"/>
      <c r="P22" s="379"/>
    </row>
    <row r="23" spans="1:16">
      <c r="A23" s="1392" t="s">
        <v>214</v>
      </c>
      <c r="B23" s="584"/>
      <c r="C23" s="584"/>
      <c r="D23" s="518" t="s">
        <v>213</v>
      </c>
      <c r="E23" s="630">
        <f>'14'!F23</f>
        <v>2900</v>
      </c>
      <c r="F23" s="473">
        <v>2900</v>
      </c>
      <c r="G23" s="476">
        <v>0</v>
      </c>
      <c r="H23" s="455">
        <f>G23+'14'!H23</f>
        <v>120</v>
      </c>
      <c r="I23" s="475"/>
      <c r="J23" s="547">
        <f>H23/DAY(B2)</f>
        <v>8</v>
      </c>
      <c r="K23" s="424"/>
      <c r="L23" s="374"/>
      <c r="N23" s="714"/>
      <c r="O23" s="721"/>
      <c r="P23" s="379"/>
    </row>
    <row r="24" spans="1:16">
      <c r="A24" s="585" t="s">
        <v>215</v>
      </c>
      <c r="B24" s="586"/>
      <c r="C24" s="586"/>
      <c r="D24" s="506" t="s">
        <v>213</v>
      </c>
      <c r="E24" s="488">
        <f>'14'!F24</f>
        <v>4250</v>
      </c>
      <c r="F24" s="480">
        <v>4250</v>
      </c>
      <c r="G24" s="476">
        <v>0</v>
      </c>
      <c r="H24" s="455">
        <f>G24+'14'!H24</f>
        <v>120</v>
      </c>
      <c r="I24" s="475"/>
      <c r="J24" s="547">
        <f>H24/DAY(B2)</f>
        <v>8</v>
      </c>
      <c r="K24" s="424"/>
      <c r="L24" s="374"/>
      <c r="N24" s="714"/>
      <c r="O24" s="721"/>
      <c r="P24" s="379"/>
    </row>
    <row r="25" spans="1:16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1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1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G27+'14'!H27</f>
        <v>2373228</v>
      </c>
      <c r="I27" s="498"/>
      <c r="J27" s="547">
        <f>H27/DAY(B2)</f>
        <v>158215.20000000001</v>
      </c>
      <c r="K27" s="370"/>
      <c r="L27" s="438"/>
      <c r="N27" s="714"/>
      <c r="O27" s="721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G28+'14'!H28</f>
        <v>385216</v>
      </c>
      <c r="I28" s="500"/>
      <c r="J28" s="547">
        <f>H28/DAY(B2)</f>
        <v>25681.066666666666</v>
      </c>
      <c r="K28" s="370"/>
      <c r="L28" s="438"/>
      <c r="N28" s="714"/>
      <c r="O28" s="721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G29+'14'!H29</f>
        <v>8280</v>
      </c>
      <c r="I29" s="500"/>
      <c r="J29" s="547">
        <f>H29/DAY(B2)</f>
        <v>552</v>
      </c>
      <c r="K29" s="370"/>
      <c r="L29" s="438"/>
      <c r="N29" s="714"/>
      <c r="O29" s="721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695">
        <f>G19</f>
        <v>56</v>
      </c>
      <c r="F30" s="496">
        <v>146</v>
      </c>
      <c r="G30" s="497">
        <f>E30*F30</f>
        <v>8176</v>
      </c>
      <c r="H30" s="455">
        <f>G30+'14'!H30</f>
        <v>-143226</v>
      </c>
      <c r="I30" s="500"/>
      <c r="J30" s="547">
        <f>H30/DAY(B2)</f>
        <v>-9548.4</v>
      </c>
      <c r="K30" s="370"/>
      <c r="L30" s="438"/>
      <c r="N30" s="714"/>
      <c r="O30" s="721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695">
        <f>G18</f>
        <v>60</v>
      </c>
      <c r="F31" s="496">
        <v>80</v>
      </c>
      <c r="G31" s="497">
        <f>E31*F31</f>
        <v>4800</v>
      </c>
      <c r="H31" s="455">
        <f>G31+'14'!H31</f>
        <v>67200</v>
      </c>
      <c r="I31" s="500"/>
      <c r="J31" s="547"/>
      <c r="K31" s="370"/>
      <c r="L31" s="438"/>
      <c r="N31" s="714"/>
      <c r="O31" s="721"/>
      <c r="P31" s="379"/>
    </row>
    <row r="32" spans="1:16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195926</v>
      </c>
      <c r="H32" s="455">
        <f>G32+'14'!H32</f>
        <v>2690698</v>
      </c>
      <c r="I32" s="504"/>
      <c r="J32" s="547">
        <f>H32/DAY(B2)</f>
        <v>179379.86666666667</v>
      </c>
      <c r="K32" s="370"/>
      <c r="L32" s="438"/>
      <c r="N32" s="714"/>
      <c r="O32" s="721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1"/>
      <c r="P33" s="37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1"/>
      <c r="P34" s="379"/>
    </row>
    <row r="35" spans="1:16">
      <c r="A35" s="573" t="s">
        <v>229</v>
      </c>
      <c r="B35" s="574"/>
      <c r="C35" s="574"/>
      <c r="D35" s="518" t="s">
        <v>198</v>
      </c>
      <c r="E35" s="505">
        <f>'14'!F35</f>
        <v>915038.95</v>
      </c>
      <c r="F35" s="505">
        <v>917046</v>
      </c>
      <c r="G35" s="468">
        <f t="shared" ref="G35:G46" si="3">F35-E35</f>
        <v>2007.0500000000466</v>
      </c>
      <c r="H35" s="455">
        <f>G35+'14'!H35</f>
        <v>-33442</v>
      </c>
      <c r="I35" s="450"/>
      <c r="J35" s="547">
        <f>H35/DAY(B2)</f>
        <v>-2229.4666666666667</v>
      </c>
      <c r="K35" s="424"/>
      <c r="L35" s="374"/>
      <c r="N35" s="714"/>
      <c r="O35" s="722"/>
      <c r="P35" s="379"/>
    </row>
    <row r="36" spans="1:16">
      <c r="A36" s="573" t="s">
        <v>230</v>
      </c>
      <c r="B36" s="574"/>
      <c r="C36" s="574"/>
      <c r="D36" s="518" t="s">
        <v>198</v>
      </c>
      <c r="E36" s="505">
        <f>'14'!F36</f>
        <v>347065</v>
      </c>
      <c r="F36" s="505">
        <v>347065</v>
      </c>
      <c r="G36" s="468">
        <f t="shared" si="3"/>
        <v>0</v>
      </c>
      <c r="H36" s="455">
        <f>G36+'14'!H36</f>
        <v>346892</v>
      </c>
      <c r="I36" s="450"/>
      <c r="J36" s="547">
        <f>H36/DAY(B2)</f>
        <v>23126.133333333335</v>
      </c>
      <c r="K36" s="424"/>
      <c r="L36" s="374"/>
      <c r="N36" s="715"/>
      <c r="O36" s="722"/>
      <c r="P36" s="379"/>
    </row>
    <row r="37" spans="1:16">
      <c r="A37" s="573" t="s">
        <v>231</v>
      </c>
      <c r="B37" s="574"/>
      <c r="C37" s="574"/>
      <c r="D37" s="518" t="s">
        <v>198</v>
      </c>
      <c r="E37" s="505">
        <f>'14'!F37</f>
        <v>112266.91</v>
      </c>
      <c r="F37" s="505">
        <v>113564</v>
      </c>
      <c r="G37" s="468">
        <f t="shared" si="3"/>
        <v>1297.0899999999965</v>
      </c>
      <c r="H37" s="455">
        <f>G37+'14'!H37</f>
        <v>-20672</v>
      </c>
      <c r="I37" s="450"/>
      <c r="J37" s="547">
        <f>H37/DAY(B2)</f>
        <v>-1378.1333333333334</v>
      </c>
      <c r="K37" s="424"/>
      <c r="L37" s="374"/>
      <c r="N37" s="715"/>
      <c r="O37" s="722"/>
      <c r="P37" s="379"/>
    </row>
    <row r="38" spans="1:16">
      <c r="A38" s="573" t="s">
        <v>232</v>
      </c>
      <c r="B38" s="574"/>
      <c r="C38" s="574"/>
      <c r="D38" s="518" t="s">
        <v>198</v>
      </c>
      <c r="E38" s="505">
        <f>'14'!F38</f>
        <v>136320.97</v>
      </c>
      <c r="F38" s="464">
        <v>137637</v>
      </c>
      <c r="G38" s="468">
        <f t="shared" si="3"/>
        <v>1316.0299999999988</v>
      </c>
      <c r="H38" s="455">
        <f>G38+'14'!H38</f>
        <v>-18768</v>
      </c>
      <c r="I38" s="450"/>
      <c r="J38" s="547">
        <f>H38/DAY(B2)</f>
        <v>-1251.2</v>
      </c>
      <c r="K38" s="424"/>
      <c r="L38" s="374"/>
      <c r="N38" s="714"/>
      <c r="O38" s="721"/>
      <c r="P38" s="379"/>
    </row>
    <row r="39" spans="1:16">
      <c r="A39" s="573" t="s">
        <v>233</v>
      </c>
      <c r="B39" s="574"/>
      <c r="C39" s="574"/>
      <c r="D39" s="518" t="s">
        <v>198</v>
      </c>
      <c r="E39" s="505">
        <f>'14'!F39</f>
        <v>271010.89</v>
      </c>
      <c r="F39" s="505">
        <v>273184</v>
      </c>
      <c r="G39" s="468">
        <f t="shared" si="3"/>
        <v>2173.109999999986</v>
      </c>
      <c r="H39" s="455">
        <f>G39+'14'!H39</f>
        <v>-34989</v>
      </c>
      <c r="I39" s="450"/>
      <c r="J39" s="547">
        <f>H39/DAY(B2)</f>
        <v>-2332.6</v>
      </c>
      <c r="K39" s="424"/>
      <c r="L39" s="374"/>
      <c r="N39" s="714"/>
      <c r="O39" s="722"/>
      <c r="P39" s="379"/>
    </row>
    <row r="40" spans="1:16">
      <c r="A40" s="594" t="s">
        <v>234</v>
      </c>
      <c r="B40" s="595"/>
      <c r="C40" s="595"/>
      <c r="D40" s="518" t="s">
        <v>198</v>
      </c>
      <c r="E40" s="505">
        <f>'14'!F40</f>
        <v>263.02999999999997</v>
      </c>
      <c r="F40" s="505">
        <v>298</v>
      </c>
      <c r="G40" s="468">
        <f t="shared" si="3"/>
        <v>34.970000000000027</v>
      </c>
      <c r="H40" s="455">
        <f>G40+'14'!H40</f>
        <v>-591</v>
      </c>
      <c r="I40" s="450"/>
      <c r="J40" s="547">
        <f>H40/DAY(B2)</f>
        <v>-39.4</v>
      </c>
      <c r="K40" s="425"/>
      <c r="L40" s="374"/>
      <c r="N40" s="714"/>
      <c r="O40" s="721"/>
      <c r="P40" s="379"/>
    </row>
    <row r="41" spans="1:16">
      <c r="A41" s="573" t="s">
        <v>235</v>
      </c>
      <c r="B41" s="574"/>
      <c r="C41" s="574"/>
      <c r="D41" s="518" t="s">
        <v>198</v>
      </c>
      <c r="E41" s="505">
        <f>'14'!F41</f>
        <v>239196.55</v>
      </c>
      <c r="F41" s="505">
        <v>239668</v>
      </c>
      <c r="G41" s="468">
        <f t="shared" si="3"/>
        <v>471.45000000001164</v>
      </c>
      <c r="H41" s="455">
        <f>G41+'14'!H41</f>
        <v>-810</v>
      </c>
      <c r="I41" s="450"/>
      <c r="J41" s="547">
        <f>H41/DAY(B2)</f>
        <v>-54</v>
      </c>
      <c r="K41" s="424"/>
      <c r="L41" s="374"/>
      <c r="N41" s="714"/>
      <c r="O41" s="723"/>
      <c r="P41" s="717"/>
    </row>
    <row r="42" spans="1:16">
      <c r="A42" s="573" t="s">
        <v>236</v>
      </c>
      <c r="B42" s="574"/>
      <c r="C42" s="574"/>
      <c r="D42" s="518" t="s">
        <v>198</v>
      </c>
      <c r="E42" s="505">
        <f>'14'!F42</f>
        <v>59200.08</v>
      </c>
      <c r="F42" s="505">
        <v>59200</v>
      </c>
      <c r="G42" s="468">
        <f t="shared" si="3"/>
        <v>-8.000000000174623E-2</v>
      </c>
      <c r="H42" s="455">
        <f>G42+'14'!H42</f>
        <v>1.0299999999988358</v>
      </c>
      <c r="I42" s="450"/>
      <c r="J42" s="547">
        <f>H42/DAY(B2)</f>
        <v>6.8666666666589063E-2</v>
      </c>
      <c r="K42" s="424"/>
      <c r="L42" s="374"/>
      <c r="N42" s="714"/>
      <c r="O42" s="721"/>
      <c r="P42" s="379"/>
    </row>
    <row r="43" spans="1:16">
      <c r="A43" s="573" t="s">
        <v>237</v>
      </c>
      <c r="B43" s="574"/>
      <c r="C43" s="574"/>
      <c r="D43" s="518" t="s">
        <v>198</v>
      </c>
      <c r="E43" s="505">
        <f>'14'!F43</f>
        <v>1004558.2</v>
      </c>
      <c r="F43" s="505">
        <v>1006633</v>
      </c>
      <c r="G43" s="468">
        <f t="shared" si="3"/>
        <v>2074.8000000000466</v>
      </c>
      <c r="H43" s="455">
        <f>G43+'14'!H43</f>
        <v>-35611</v>
      </c>
      <c r="I43" s="450"/>
      <c r="J43" s="547">
        <f>H43/DAY(B2)</f>
        <v>-2374.0666666666666</v>
      </c>
      <c r="K43" s="424"/>
      <c r="L43" s="374"/>
      <c r="N43" s="714"/>
      <c r="O43" s="722"/>
      <c r="P43" s="379"/>
    </row>
    <row r="44" spans="1:16">
      <c r="A44" s="573" t="s">
        <v>238</v>
      </c>
      <c r="B44" s="574"/>
      <c r="C44" s="574"/>
      <c r="D44" s="518" t="s">
        <v>198</v>
      </c>
      <c r="E44" s="505">
        <f>'14'!F44</f>
        <v>0</v>
      </c>
      <c r="F44" s="505">
        <v>0</v>
      </c>
      <c r="G44" s="468">
        <f t="shared" si="3"/>
        <v>0</v>
      </c>
      <c r="H44" s="455">
        <f>G44+'14'!H44</f>
        <v>0</v>
      </c>
      <c r="I44" s="450"/>
      <c r="J44" s="547">
        <f>H44/DAY(B2)</f>
        <v>0</v>
      </c>
      <c r="K44" s="424"/>
      <c r="L44" s="374"/>
      <c r="N44" s="714"/>
      <c r="O44" s="721"/>
      <c r="P44" s="379"/>
    </row>
    <row r="45" spans="1:16">
      <c r="A45" s="573" t="s">
        <v>239</v>
      </c>
      <c r="B45" s="574"/>
      <c r="C45" s="574"/>
      <c r="D45" s="518" t="s">
        <v>198</v>
      </c>
      <c r="E45" s="505">
        <v>614</v>
      </c>
      <c r="F45" s="505">
        <v>614</v>
      </c>
      <c r="G45" s="468">
        <f t="shared" si="3"/>
        <v>0</v>
      </c>
      <c r="H45" s="455">
        <f>G45+'14'!H45</f>
        <v>0</v>
      </c>
      <c r="I45" s="450"/>
      <c r="J45" s="547">
        <f>H45/DAY(B2)</f>
        <v>0</v>
      </c>
      <c r="K45" s="424"/>
      <c r="L45" s="374"/>
      <c r="N45" s="718"/>
      <c r="O45" s="721"/>
      <c r="P45" s="379"/>
    </row>
    <row r="46" spans="1:16">
      <c r="A46" s="573" t="s">
        <v>240</v>
      </c>
      <c r="B46" s="574"/>
      <c r="C46" s="574"/>
      <c r="D46" s="518" t="s">
        <v>198</v>
      </c>
      <c r="E46" s="505">
        <v>187.49</v>
      </c>
      <c r="F46" s="505">
        <v>187.49</v>
      </c>
      <c r="G46" s="468">
        <f t="shared" si="3"/>
        <v>0</v>
      </c>
      <c r="H46" s="455">
        <f>G46+'14'!H46</f>
        <v>0</v>
      </c>
      <c r="I46" s="450"/>
      <c r="J46" s="547">
        <f>H46/DAY(B2)</f>
        <v>0</v>
      </c>
      <c r="K46" s="424"/>
      <c r="L46" s="374"/>
      <c r="N46" s="714"/>
      <c r="O46" s="721"/>
      <c r="P46" s="379"/>
    </row>
    <row r="47" spans="1:16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9374.4200000000856</v>
      </c>
      <c r="H47" s="455">
        <f>G47+'14'!H47</f>
        <v>202010.52000000002</v>
      </c>
      <c r="I47" s="450"/>
      <c r="J47" s="547">
        <f>H47/DAY(B2)</f>
        <v>13467.368</v>
      </c>
      <c r="K47" s="424"/>
      <c r="L47" s="374"/>
      <c r="N47" s="714"/>
      <c r="O47" s="721"/>
      <c r="P47" s="37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1"/>
      <c r="P48" s="379"/>
    </row>
    <row r="49" spans="1:16">
      <c r="A49" s="573" t="s">
        <v>229</v>
      </c>
      <c r="B49" s="596"/>
      <c r="C49" s="596"/>
      <c r="D49" s="518" t="s">
        <v>198</v>
      </c>
      <c r="E49" s="505">
        <f>'14'!F49</f>
        <v>260732.13</v>
      </c>
      <c r="F49" s="505">
        <v>260732</v>
      </c>
      <c r="G49" s="468">
        <f t="shared" ref="G49:G58" si="4">F49-E49</f>
        <v>-0.13000000000465661</v>
      </c>
      <c r="H49" s="455">
        <f>G49+'14'!H49</f>
        <v>0</v>
      </c>
      <c r="I49" s="450"/>
      <c r="J49" s="547">
        <f>H49/DAY(B2)</f>
        <v>0</v>
      </c>
      <c r="K49" s="424">
        <f>E49+242</f>
        <v>260974.13</v>
      </c>
      <c r="L49" s="374"/>
      <c r="N49" s="714"/>
      <c r="O49" s="721"/>
      <c r="P49" s="379"/>
    </row>
    <row r="50" spans="1:16">
      <c r="A50" s="573" t="s">
        <v>243</v>
      </c>
      <c r="B50" s="596"/>
      <c r="C50" s="596"/>
      <c r="D50" s="518" t="s">
        <v>198</v>
      </c>
      <c r="E50" s="505">
        <f>'14'!F50</f>
        <v>487528.99</v>
      </c>
      <c r="F50" s="505">
        <v>488424</v>
      </c>
      <c r="G50" s="468">
        <f t="shared" si="4"/>
        <v>895.01000000000931</v>
      </c>
      <c r="H50" s="455">
        <f>G50+'14'!H50</f>
        <v>-15002</v>
      </c>
      <c r="I50" s="450"/>
      <c r="J50" s="547">
        <f>H50/DAY(B2)</f>
        <v>-1000.1333333333333</v>
      </c>
      <c r="K50" s="424"/>
      <c r="L50" s="374"/>
      <c r="N50" s="714"/>
      <c r="O50" s="722"/>
      <c r="P50" s="379"/>
    </row>
    <row r="51" spans="1:16">
      <c r="A51" s="573" t="s">
        <v>231</v>
      </c>
      <c r="B51" s="596"/>
      <c r="C51" s="596"/>
      <c r="D51" s="518" t="s">
        <v>198</v>
      </c>
      <c r="E51" s="505">
        <f>'14'!F51</f>
        <v>144639.87</v>
      </c>
      <c r="F51" s="505">
        <v>144639.87</v>
      </c>
      <c r="G51" s="468">
        <f t="shared" si="4"/>
        <v>0</v>
      </c>
      <c r="H51" s="455">
        <f>G51+'14'!H51</f>
        <v>-0.13000000000465661</v>
      </c>
      <c r="I51" s="450"/>
      <c r="J51" s="547">
        <f>H51/DAY(B2)</f>
        <v>-8.6666666669771072E-3</v>
      </c>
      <c r="K51" s="424"/>
      <c r="L51" s="374"/>
      <c r="N51" s="714"/>
      <c r="O51" s="721"/>
      <c r="P51" s="379"/>
    </row>
    <row r="52" spans="1:16">
      <c r="A52" s="573" t="s">
        <v>244</v>
      </c>
      <c r="B52" s="596"/>
      <c r="C52" s="596"/>
      <c r="D52" s="518" t="s">
        <v>198</v>
      </c>
      <c r="E52" s="505">
        <f>'14'!F52</f>
        <v>539606.06999999995</v>
      </c>
      <c r="F52" s="505">
        <v>539606</v>
      </c>
      <c r="G52" s="468">
        <f t="shared" si="4"/>
        <v>-6.9999999948777258E-2</v>
      </c>
      <c r="H52" s="455">
        <f>G52+'14'!H52</f>
        <v>-6.9999999948777258E-2</v>
      </c>
      <c r="I52" s="450"/>
      <c r="J52" s="547">
        <f>H52/DAY(B2)</f>
        <v>-4.6666666632518171E-3</v>
      </c>
      <c r="K52" s="424"/>
      <c r="L52" s="374"/>
      <c r="N52" s="714"/>
      <c r="O52" s="721"/>
      <c r="P52" s="379"/>
    </row>
    <row r="53" spans="1:16">
      <c r="A53" s="573" t="s">
        <v>233</v>
      </c>
      <c r="B53" s="596"/>
      <c r="C53" s="596"/>
      <c r="D53" s="518" t="s">
        <v>198</v>
      </c>
      <c r="E53" s="505">
        <f>'14'!F53</f>
        <v>423524.29</v>
      </c>
      <c r="F53" s="505">
        <v>423999</v>
      </c>
      <c r="G53" s="468">
        <f t="shared" si="4"/>
        <v>474.71000000002095</v>
      </c>
      <c r="H53" s="455">
        <f>G53+'14'!H53</f>
        <v>-8569.3300000000163</v>
      </c>
      <c r="I53" s="450"/>
      <c r="J53" s="547">
        <f>H53/DAY(B2)</f>
        <v>-571.28866666666772</v>
      </c>
      <c r="K53" s="424"/>
      <c r="L53" s="374"/>
      <c r="N53" s="714"/>
      <c r="O53" s="721"/>
      <c r="P53" s="379"/>
    </row>
    <row r="54" spans="1:16">
      <c r="A54" s="573" t="s">
        <v>245</v>
      </c>
      <c r="B54" s="596"/>
      <c r="C54" s="596"/>
      <c r="D54" s="518" t="s">
        <v>198</v>
      </c>
      <c r="E54" s="505">
        <f>'14'!F54</f>
        <v>12398.01</v>
      </c>
      <c r="F54" s="505">
        <v>12469</v>
      </c>
      <c r="G54" s="468">
        <f t="shared" si="4"/>
        <v>70.989999999999782</v>
      </c>
      <c r="H54" s="455">
        <f>G54+'14'!H54</f>
        <v>-1360</v>
      </c>
      <c r="I54" s="450"/>
      <c r="J54" s="547">
        <f>H54/DAY(B2)</f>
        <v>-90.666666666666671</v>
      </c>
      <c r="K54" s="424"/>
      <c r="L54" s="374"/>
      <c r="N54" s="714"/>
      <c r="O54" s="721"/>
      <c r="P54" s="379"/>
    </row>
    <row r="55" spans="1:16">
      <c r="A55" s="573" t="s">
        <v>246</v>
      </c>
      <c r="B55" s="596"/>
      <c r="C55" s="596"/>
      <c r="D55" s="518" t="s">
        <v>198</v>
      </c>
      <c r="E55" s="505">
        <f>'14'!F55</f>
        <v>9724.99</v>
      </c>
      <c r="F55" s="649">
        <v>15098</v>
      </c>
      <c r="G55" s="648">
        <f t="shared" si="4"/>
        <v>5373.01</v>
      </c>
      <c r="H55" s="701">
        <f>G55+'14'!H55</f>
        <v>-53013</v>
      </c>
      <c r="I55" s="702"/>
      <c r="J55" s="703">
        <f>H55/DAY(B2)</f>
        <v>-3534.2</v>
      </c>
      <c r="K55" s="424"/>
      <c r="L55" s="374"/>
      <c r="N55" s="714"/>
      <c r="O55" s="721"/>
      <c r="P55" s="379"/>
    </row>
    <row r="56" spans="1:16">
      <c r="A56" s="573" t="s">
        <v>247</v>
      </c>
      <c r="B56" s="596"/>
      <c r="C56" s="596"/>
      <c r="D56" s="518" t="s">
        <v>248</v>
      </c>
      <c r="E56" s="505">
        <f>'14'!F56</f>
        <v>589424.71</v>
      </c>
      <c r="F56" s="649">
        <v>589435.47</v>
      </c>
      <c r="G56" s="468">
        <f t="shared" si="4"/>
        <v>10.760000000009313</v>
      </c>
      <c r="H56" s="455">
        <f>G56+'14'!H56</f>
        <v>-27762.530000000028</v>
      </c>
      <c r="I56" s="450"/>
      <c r="J56" s="547">
        <f>H56/DAY(B2)</f>
        <v>-1850.8353333333353</v>
      </c>
      <c r="K56" s="423"/>
      <c r="L56" s="374"/>
      <c r="N56" s="714"/>
      <c r="O56" s="723"/>
      <c r="P56" s="379"/>
    </row>
    <row r="57" spans="1:16">
      <c r="A57" s="573" t="s">
        <v>237</v>
      </c>
      <c r="B57" s="596"/>
      <c r="C57" s="596"/>
      <c r="D57" s="518" t="s">
        <v>198</v>
      </c>
      <c r="E57" s="505">
        <f>'14'!F57</f>
        <v>7711.33</v>
      </c>
      <c r="F57" s="505">
        <v>7711.33</v>
      </c>
      <c r="G57" s="468">
        <f t="shared" si="4"/>
        <v>0</v>
      </c>
      <c r="H57" s="455">
        <f>G57+'14'!H57</f>
        <v>0.32999999999992724</v>
      </c>
      <c r="I57" s="450"/>
      <c r="J57" s="547">
        <f>H57/DAY(B2)</f>
        <v>2.1999999999995148E-2</v>
      </c>
      <c r="K57" s="424"/>
      <c r="L57" s="374"/>
      <c r="N57" s="714"/>
      <c r="O57" s="721"/>
      <c r="P57" s="379"/>
    </row>
    <row r="58" spans="1:16">
      <c r="A58" s="573" t="s">
        <v>249</v>
      </c>
      <c r="B58" s="596"/>
      <c r="C58" s="596"/>
      <c r="D58" s="518" t="s">
        <v>198</v>
      </c>
      <c r="E58" s="505">
        <f>'14'!F58</f>
        <v>47868.27</v>
      </c>
      <c r="F58" s="649">
        <v>47905</v>
      </c>
      <c r="G58" s="468">
        <f t="shared" si="4"/>
        <v>36.730000000003201</v>
      </c>
      <c r="H58" s="455">
        <f>G58+'14'!H58</f>
        <v>-1959.2099999999991</v>
      </c>
      <c r="I58" s="450"/>
      <c r="J58" s="547">
        <f>H58/DAY(B2)</f>
        <v>-130.61399999999995</v>
      </c>
      <c r="K58" s="424"/>
      <c r="L58" s="374"/>
      <c r="N58" s="714"/>
      <c r="O58" s="721"/>
      <c r="P58" s="37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6861.0100000000893</v>
      </c>
      <c r="H59" s="455">
        <f>G59+'14'!H59</f>
        <v>-107665.87000000005</v>
      </c>
      <c r="I59" s="450">
        <f>G7-G60</f>
        <v>764.56999999982509</v>
      </c>
      <c r="J59" s="547">
        <f>H59/DAY(B2)</f>
        <v>-7177.7246666666706</v>
      </c>
      <c r="K59" s="424"/>
      <c r="L59" s="374"/>
      <c r="N59" s="714"/>
      <c r="O59" s="721"/>
      <c r="P59" s="37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16235.430000000175</v>
      </c>
      <c r="H60" s="455">
        <f>G60+'14'!H60</f>
        <v>95553.189999999973</v>
      </c>
      <c r="I60" s="450">
        <f>G13-G60</f>
        <v>714.56999999982509</v>
      </c>
      <c r="J60" s="547">
        <f>H60/DAY(B2)</f>
        <v>6370.2126666666645</v>
      </c>
      <c r="K60" s="424"/>
      <c r="L60" s="374"/>
      <c r="N60" s="714"/>
      <c r="O60" s="721"/>
      <c r="P60" s="37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1"/>
      <c r="P61" s="379"/>
    </row>
    <row r="62" spans="1:16">
      <c r="A62" s="598" t="s">
        <v>252</v>
      </c>
      <c r="B62" s="599"/>
      <c r="C62" s="599"/>
      <c r="D62" s="506" t="s">
        <v>253</v>
      </c>
      <c r="E62" s="509">
        <v>20419</v>
      </c>
      <c r="F62" s="509">
        <v>20419.18</v>
      </c>
      <c r="G62" s="468">
        <f t="shared" ref="G62:G69" si="5">F62-E62</f>
        <v>0.18000000000029104</v>
      </c>
      <c r="H62" s="455">
        <f>G62+'14'!H62</f>
        <v>0.18199999999706051</v>
      </c>
      <c r="I62" s="510"/>
      <c r="J62" s="547">
        <f>H62/DAY(B2)</f>
        <v>1.2133333333137368E-2</v>
      </c>
      <c r="K62" s="424"/>
      <c r="L62" s="374"/>
      <c r="N62" s="714"/>
      <c r="O62" s="721"/>
      <c r="P62" s="379"/>
    </row>
    <row r="63" spans="1:16">
      <c r="A63" s="598" t="s">
        <v>254</v>
      </c>
      <c r="B63" s="599"/>
      <c r="C63" s="599"/>
      <c r="D63" s="506" t="s">
        <v>253</v>
      </c>
      <c r="E63" s="509">
        <f>'14'!F63</f>
        <v>2412.15</v>
      </c>
      <c r="F63" s="509">
        <v>2415</v>
      </c>
      <c r="G63" s="468">
        <f t="shared" si="5"/>
        <v>2.8499999999999091</v>
      </c>
      <c r="H63" s="455">
        <f>G63+'14'!H63</f>
        <v>2415</v>
      </c>
      <c r="I63" s="510"/>
      <c r="J63" s="547">
        <f>H63/DAY(B2)</f>
        <v>161</v>
      </c>
      <c r="K63" s="424"/>
      <c r="L63" s="374"/>
      <c r="N63" s="714"/>
      <c r="O63" s="721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509">
        <f>'14'!F64</f>
        <v>156201.04999999999</v>
      </c>
      <c r="F64" s="473">
        <v>156403</v>
      </c>
      <c r="G64" s="468">
        <f t="shared" si="5"/>
        <v>201.95000000001164</v>
      </c>
      <c r="H64" s="455">
        <f>G64+'14'!H64</f>
        <v>-3529</v>
      </c>
      <c r="I64" s="475"/>
      <c r="J64" s="547">
        <f>H64/DAY(B2)</f>
        <v>-235.26666666666668</v>
      </c>
      <c r="K64" s="424"/>
      <c r="L64" s="374"/>
      <c r="N64" s="714"/>
      <c r="O64" s="721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509">
        <f>'14'!F65</f>
        <v>157101.17000000001</v>
      </c>
      <c r="F65" s="647">
        <v>157372</v>
      </c>
      <c r="G65" s="468">
        <f t="shared" si="5"/>
        <v>270.82999999998719</v>
      </c>
      <c r="H65" s="455">
        <f>G65+'14'!H65</f>
        <v>-3626</v>
      </c>
      <c r="I65" s="484"/>
      <c r="J65" s="547">
        <f>H65/DAY(B2)</f>
        <v>-241.73333333333332</v>
      </c>
      <c r="K65" s="424"/>
      <c r="L65" s="374"/>
      <c r="N65" s="714"/>
      <c r="O65" s="722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509">
        <f>'14'!F66</f>
        <v>52175.54</v>
      </c>
      <c r="F66" s="473">
        <v>52447</v>
      </c>
      <c r="G66" s="468">
        <f t="shared" si="5"/>
        <v>271.45999999999913</v>
      </c>
      <c r="H66" s="455">
        <f>G66+'14'!H66</f>
        <v>-4358</v>
      </c>
      <c r="I66" s="475"/>
      <c r="J66" s="547">
        <f>H66/DAY(B2)</f>
        <v>-290.53333333333336</v>
      </c>
      <c r="K66" s="424"/>
      <c r="L66" s="374"/>
      <c r="N66" s="714"/>
      <c r="O66" s="721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509">
        <f>'14'!F67</f>
        <v>245401.59</v>
      </c>
      <c r="F67" s="473">
        <v>245741</v>
      </c>
      <c r="G67" s="468">
        <f t="shared" si="5"/>
        <v>339.41000000000349</v>
      </c>
      <c r="H67" s="455">
        <f>G67+'14'!H67</f>
        <v>-6451</v>
      </c>
      <c r="I67" s="484"/>
      <c r="J67" s="547">
        <f>H67/DAY(B2)</f>
        <v>-430.06666666666666</v>
      </c>
      <c r="K67" s="425"/>
      <c r="L67" s="374"/>
      <c r="N67" s="714"/>
      <c r="O67" s="721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509">
        <f>'14'!F68</f>
        <v>85321</v>
      </c>
      <c r="F68" s="473">
        <v>85321</v>
      </c>
      <c r="G68" s="468">
        <f t="shared" si="5"/>
        <v>0</v>
      </c>
      <c r="H68" s="455">
        <f>G68+'14'!H68</f>
        <v>0</v>
      </c>
      <c r="I68" s="511"/>
      <c r="J68" s="547">
        <f>H68/DAY(B2)</f>
        <v>0</v>
      </c>
      <c r="K68" s="426"/>
      <c r="L68" s="374"/>
      <c r="N68" s="714"/>
      <c r="O68" s="721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509">
        <f>'14'!F69</f>
        <v>80000.070000000007</v>
      </c>
      <c r="F69" s="473">
        <v>80090</v>
      </c>
      <c r="G69" s="468">
        <f t="shared" si="5"/>
        <v>89.929999999993015</v>
      </c>
      <c r="H69" s="455">
        <f>G69+'14'!H69</f>
        <v>-1659</v>
      </c>
      <c r="I69" s="511"/>
      <c r="J69" s="547">
        <f>H69/DAY(B2)</f>
        <v>-110.6</v>
      </c>
      <c r="K69" s="427"/>
      <c r="L69" s="374"/>
      <c r="N69" s="714"/>
      <c r="O69" s="721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N70" s="714"/>
      <c r="O70" s="721"/>
      <c r="P70" s="379"/>
    </row>
    <row r="71" spans="1:16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1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4">
        <f>'14'!F72</f>
        <v>855665</v>
      </c>
      <c r="F72" s="650">
        <v>855675</v>
      </c>
      <c r="G72" s="468">
        <f t="shared" ref="G72:G84" si="6">F72-E72</f>
        <v>10</v>
      </c>
      <c r="H72" s="455">
        <f>G72+'14'!H72</f>
        <v>-211</v>
      </c>
      <c r="I72" s="475"/>
      <c r="J72" s="547">
        <f>H72/DAY(B2)</f>
        <v>-14.066666666666666</v>
      </c>
      <c r="K72" s="427"/>
      <c r="L72" s="374"/>
      <c r="N72" s="714"/>
      <c r="O72" s="721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4">
        <f>'14'!F73</f>
        <v>885891</v>
      </c>
      <c r="F73" s="651">
        <v>885892</v>
      </c>
      <c r="G73" s="648">
        <f t="shared" si="6"/>
        <v>1</v>
      </c>
      <c r="H73" s="455">
        <f>G73+'14'!H73</f>
        <v>141</v>
      </c>
      <c r="I73" s="475"/>
      <c r="J73" s="547">
        <f>H73/DAY(B2)</f>
        <v>9.4</v>
      </c>
      <c r="K73" s="426"/>
      <c r="L73" s="374"/>
      <c r="N73" s="714"/>
      <c r="O73" s="721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4">
        <f>'14'!F74</f>
        <v>2473.16</v>
      </c>
      <c r="F74" s="651">
        <v>2480</v>
      </c>
      <c r="G74" s="468">
        <f t="shared" si="6"/>
        <v>6.8400000000001455</v>
      </c>
      <c r="H74" s="455">
        <f>G74+'14'!H74</f>
        <v>-106</v>
      </c>
      <c r="I74" s="475"/>
      <c r="J74" s="547">
        <f>H74/DAY(B2)</f>
        <v>-7.0666666666666664</v>
      </c>
      <c r="K74" s="427"/>
      <c r="L74" s="374"/>
      <c r="N74" s="714"/>
      <c r="O74" s="721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4">
        <f>'14'!F75</f>
        <v>11714.59</v>
      </c>
      <c r="F75" s="651">
        <v>11767</v>
      </c>
      <c r="G75" s="468">
        <f t="shared" si="6"/>
        <v>52.409999999999854</v>
      </c>
      <c r="H75" s="455">
        <f>G75+'14'!H75</f>
        <v>-902</v>
      </c>
      <c r="I75" s="475"/>
      <c r="J75" s="547">
        <f>H75/DAY(B2)</f>
        <v>-60.133333333333333</v>
      </c>
      <c r="K75" s="426"/>
      <c r="L75" s="374"/>
      <c r="N75" s="714"/>
      <c r="O75" s="721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4">
        <f>'14'!F76</f>
        <v>6464.57</v>
      </c>
      <c r="F76" s="651">
        <v>6522</v>
      </c>
      <c r="G76" s="468">
        <f t="shared" si="6"/>
        <v>57.430000000000291</v>
      </c>
      <c r="H76" s="455">
        <f>G76+'14'!H76</f>
        <v>-684</v>
      </c>
      <c r="I76" s="500"/>
      <c r="J76" s="547">
        <f>H76/DAY(B2)</f>
        <v>-45.6</v>
      </c>
      <c r="K76" s="426"/>
      <c r="L76" s="374"/>
      <c r="N76" s="714"/>
      <c r="O76" s="721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4">
        <f>'14'!F77</f>
        <v>702211</v>
      </c>
      <c r="F77" s="651">
        <v>702236</v>
      </c>
      <c r="G77" s="648">
        <f t="shared" si="6"/>
        <v>25</v>
      </c>
      <c r="H77" s="455">
        <f>G77+'14'!H77</f>
        <v>-603</v>
      </c>
      <c r="I77" s="500"/>
      <c r="J77" s="547">
        <f>H77/DAY(B2)</f>
        <v>-40.200000000000003</v>
      </c>
      <c r="K77" s="426"/>
      <c r="L77" s="374"/>
      <c r="N77" s="714"/>
      <c r="O77" s="721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4">
        <f>'14'!F78</f>
        <v>671123</v>
      </c>
      <c r="F78" s="652">
        <v>671267</v>
      </c>
      <c r="G78" s="468">
        <f t="shared" si="6"/>
        <v>144</v>
      </c>
      <c r="H78" s="455">
        <f>G78+'14'!H78</f>
        <v>-1765</v>
      </c>
      <c r="I78" s="500"/>
      <c r="J78" s="547">
        <f>H78/DAY(B2)</f>
        <v>-117.66666666666667</v>
      </c>
      <c r="K78" s="426"/>
      <c r="L78" s="374"/>
      <c r="N78" s="714"/>
      <c r="O78" s="721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4">
        <f>'14'!F79</f>
        <v>828805</v>
      </c>
      <c r="F79" s="652">
        <v>828930</v>
      </c>
      <c r="G79" s="468">
        <f t="shared" si="6"/>
        <v>125</v>
      </c>
      <c r="H79" s="455">
        <f>G79+'14'!H79</f>
        <v>-3092</v>
      </c>
      <c r="I79" s="500"/>
      <c r="J79" s="547">
        <f>H79/DAY(B2)</f>
        <v>-206.13333333333333</v>
      </c>
      <c r="K79" s="426"/>
      <c r="L79" s="374"/>
      <c r="N79" s="714"/>
      <c r="O79" s="721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4">
        <f>'14'!F80</f>
        <v>521713.32</v>
      </c>
      <c r="F80" s="651">
        <v>522087</v>
      </c>
      <c r="G80" s="468">
        <f t="shared" si="6"/>
        <v>373.67999999999302</v>
      </c>
      <c r="H80" s="455">
        <f>G80+'14'!H80</f>
        <v>-8458.5200000000186</v>
      </c>
      <c r="I80" s="500"/>
      <c r="J80" s="547">
        <f>H80/DAY(B2)</f>
        <v>-563.90133333333461</v>
      </c>
      <c r="K80" s="426"/>
      <c r="L80" s="374"/>
      <c r="N80" s="714"/>
      <c r="O80" s="721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4">
        <f>'14'!F81</f>
        <v>637518.84</v>
      </c>
      <c r="F81" s="651">
        <v>637594</v>
      </c>
      <c r="G81" s="468">
        <f t="shared" si="6"/>
        <v>75.160000000032596</v>
      </c>
      <c r="H81" s="455">
        <f>G81+'14'!H81</f>
        <v>-1304</v>
      </c>
      <c r="I81" s="500"/>
      <c r="J81" s="547">
        <f>H81/DAY(B2)</f>
        <v>-86.933333333333337</v>
      </c>
      <c r="K81" s="426"/>
      <c r="L81" s="374"/>
      <c r="N81" s="714"/>
      <c r="O81" s="721"/>
      <c r="P81" s="379"/>
    </row>
    <row r="82" spans="1:16" s="771" customFormat="1" ht="27.75">
      <c r="A82" s="1516" t="s">
        <v>267</v>
      </c>
      <c r="B82" s="1517"/>
      <c r="C82" s="1518"/>
      <c r="D82" s="480" t="s">
        <v>198</v>
      </c>
      <c r="E82" s="514">
        <f>'14'!F82</f>
        <v>107871.05</v>
      </c>
      <c r="F82" s="480">
        <v>107909</v>
      </c>
      <c r="G82" s="468">
        <f t="shared" si="6"/>
        <v>37.94999999999709</v>
      </c>
      <c r="H82" s="481">
        <f>G82+'14'!H82</f>
        <v>-249</v>
      </c>
      <c r="I82" s="481"/>
      <c r="J82" s="548">
        <f>H82/DAY(B2)</f>
        <v>-16.600000000000001</v>
      </c>
      <c r="K82" s="1144"/>
      <c r="L82" s="1145"/>
      <c r="N82" s="718"/>
      <c r="O82" s="722"/>
      <c r="P82" s="717"/>
    </row>
    <row r="83" spans="1:16" s="771" customFormat="1" ht="27.75">
      <c r="A83" s="1519" t="s">
        <v>268</v>
      </c>
      <c r="B83" s="1520"/>
      <c r="C83" s="1521"/>
      <c r="D83" s="1216" t="s">
        <v>198</v>
      </c>
      <c r="E83" s="778">
        <f>'14'!F83</f>
        <v>17536</v>
      </c>
      <c r="F83" s="1216">
        <v>17788</v>
      </c>
      <c r="G83" s="769">
        <f t="shared" si="6"/>
        <v>252</v>
      </c>
      <c r="H83" s="474">
        <f>G83+'14'!H83</f>
        <v>-2718</v>
      </c>
      <c r="I83" s="769"/>
      <c r="J83" s="770">
        <f>H83/DAY(B2)</f>
        <v>-181.2</v>
      </c>
      <c r="K83" s="1217"/>
      <c r="L83" s="1145"/>
      <c r="N83" s="718"/>
      <c r="O83" s="722"/>
      <c r="P83" s="717"/>
    </row>
    <row r="84" spans="1:16">
      <c r="A84" s="1396" t="s">
        <v>166</v>
      </c>
      <c r="B84" s="566"/>
      <c r="C84" s="566"/>
      <c r="D84" s="473" t="s">
        <v>198</v>
      </c>
      <c r="E84" s="514">
        <f>'14'!F84</f>
        <v>490097</v>
      </c>
      <c r="F84" s="622">
        <v>490696</v>
      </c>
      <c r="G84" s="468">
        <f t="shared" si="6"/>
        <v>599</v>
      </c>
      <c r="H84" s="455">
        <f>G84+'14'!H84</f>
        <v>-9598</v>
      </c>
      <c r="I84" s="476"/>
      <c r="J84" s="547">
        <f>H84/DAY(B2)</f>
        <v>-639.86666666666667</v>
      </c>
      <c r="K84" s="377"/>
      <c r="L84" s="374"/>
      <c r="N84" s="714"/>
      <c r="O84" s="721"/>
      <c r="P84" s="379"/>
    </row>
    <row r="85" spans="1:16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1759.470000000023</v>
      </c>
      <c r="H85" s="455">
        <f>G85+'14'!H85</f>
        <v>-26006</v>
      </c>
      <c r="I85" s="476"/>
      <c r="J85" s="547">
        <f>H85/DAY(B2)</f>
        <v>-1733.7333333333333</v>
      </c>
      <c r="K85" s="377"/>
      <c r="L85" s="375"/>
      <c r="N85" s="714"/>
      <c r="O85" s="721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'14'!F86</f>
        <v>460333.4</v>
      </c>
      <c r="F86" s="643">
        <v>460414</v>
      </c>
      <c r="G86" s="701">
        <f t="shared" ref="G86:G91" si="7">F86-E86</f>
        <v>80.599999999976717</v>
      </c>
      <c r="H86" s="701">
        <f t="shared" ref="H86:H88" si="8">G86</f>
        <v>80.599999999976717</v>
      </c>
      <c r="I86" s="648"/>
      <c r="J86" s="703">
        <f>H86/DAY(B2)</f>
        <v>5.3733333333317814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'14'!F87</f>
        <v>81097.8</v>
      </c>
      <c r="F87" s="643">
        <v>81105</v>
      </c>
      <c r="G87" s="701">
        <f t="shared" si="7"/>
        <v>7.1999999999970896</v>
      </c>
      <c r="H87" s="701">
        <f t="shared" si="8"/>
        <v>7.1999999999970896</v>
      </c>
      <c r="I87" s="648"/>
      <c r="J87" s="703">
        <f>H87/DAY(B2)</f>
        <v>0.47999999999980597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'14'!F88</f>
        <v>152441</v>
      </c>
      <c r="F88" s="1350">
        <v>152445</v>
      </c>
      <c r="G88" s="701">
        <f t="shared" si="7"/>
        <v>4</v>
      </c>
      <c r="H88" s="701">
        <f t="shared" si="8"/>
        <v>4</v>
      </c>
      <c r="I88" s="648"/>
      <c r="J88" s="703">
        <f>H88/DAY(B2)</f>
        <v>0.26666666666666666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'14'!F89</f>
        <v>64924.5</v>
      </c>
      <c r="F89" s="643">
        <v>64930</v>
      </c>
      <c r="G89" s="701">
        <f t="shared" si="7"/>
        <v>5.5</v>
      </c>
      <c r="H89" s="701">
        <f>G89</f>
        <v>5.5</v>
      </c>
      <c r="I89" s="648"/>
      <c r="J89" s="703">
        <f>H89/DAY(B2)</f>
        <v>0.36666666666666664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'14'!F90</f>
        <v>3272.5</v>
      </c>
      <c r="F90" s="643">
        <v>3272.5</v>
      </c>
      <c r="G90" s="701">
        <f t="shared" si="7"/>
        <v>0</v>
      </c>
      <c r="H90" s="701">
        <f>G90</f>
        <v>0</v>
      </c>
      <c r="I90" s="648"/>
      <c r="J90" s="703">
        <f>H90/DAY(B2)</f>
        <v>0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/>
      <c r="E91" s="622">
        <f>'14'!F91</f>
        <v>27949.93</v>
      </c>
      <c r="F91" s="643">
        <v>27954</v>
      </c>
      <c r="G91" s="701">
        <f t="shared" si="7"/>
        <v>4.069999999999709</v>
      </c>
      <c r="H91" s="701">
        <f>G91</f>
        <v>4.069999999999709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14"/>
      <c r="O92" s="721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479">
        <f>'14'!F93</f>
        <v>244879</v>
      </c>
      <c r="F93" s="473">
        <v>245032</v>
      </c>
      <c r="G93" s="468">
        <f t="shared" ref="G93:G94" si="9">F93-E93</f>
        <v>153</v>
      </c>
      <c r="H93" s="455">
        <f>G93+'14'!H93</f>
        <v>-456</v>
      </c>
      <c r="I93" s="475"/>
      <c r="J93" s="547">
        <f>H93/DAY(B2)</f>
        <v>-30.4</v>
      </c>
      <c r="K93" s="425"/>
      <c r="L93" s="374"/>
      <c r="N93" s="714"/>
      <c r="O93" s="721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479">
        <f>'14'!F94</f>
        <v>184662</v>
      </c>
      <c r="F94" s="473">
        <v>184793</v>
      </c>
      <c r="G94" s="468">
        <f t="shared" si="9"/>
        <v>131</v>
      </c>
      <c r="H94" s="455">
        <f>G94+'14'!H94</f>
        <v>-1328</v>
      </c>
      <c r="I94" s="475"/>
      <c r="J94" s="547">
        <f>H94/DAY(B2)</f>
        <v>-88.533333333333331</v>
      </c>
      <c r="K94" s="377"/>
      <c r="L94" s="374"/>
      <c r="N94" s="714"/>
      <c r="O94" s="721"/>
      <c r="P94" s="379"/>
    </row>
    <row r="95" spans="1:16">
      <c r="A95" s="1447" t="s">
        <v>276</v>
      </c>
      <c r="B95" s="1448"/>
      <c r="C95" s="1449"/>
      <c r="D95" s="518"/>
      <c r="E95" s="479"/>
      <c r="F95" s="473"/>
      <c r="G95" s="468">
        <f>G93+G94</f>
        <v>284</v>
      </c>
      <c r="H95" s="455">
        <f>G95+'14'!H95</f>
        <v>-1860</v>
      </c>
      <c r="I95" s="475"/>
      <c r="J95" s="547">
        <f>H95/DAY(B2)</f>
        <v>-124</v>
      </c>
      <c r="K95" s="377"/>
      <c r="L95" s="374"/>
      <c r="N95" s="714"/>
      <c r="O95" s="721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479">
        <f>'14'!F96</f>
        <v>413525</v>
      </c>
      <c r="F96" s="473">
        <v>413567</v>
      </c>
      <c r="G96" s="468">
        <f t="shared" ref="G96:G101" si="10">F96-E96</f>
        <v>42</v>
      </c>
      <c r="H96" s="455">
        <f>G96+'14'!H96</f>
        <v>-716</v>
      </c>
      <c r="I96" s="475"/>
      <c r="J96" s="547">
        <f>H96/DAY(B2)</f>
        <v>-47.733333333333334</v>
      </c>
      <c r="K96" s="377"/>
      <c r="L96" s="374"/>
      <c r="N96" s="714"/>
      <c r="O96" s="721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479">
        <f>'14'!F97</f>
        <v>102473</v>
      </c>
      <c r="F97" s="473">
        <v>102483</v>
      </c>
      <c r="G97" s="468">
        <f t="shared" si="10"/>
        <v>10</v>
      </c>
      <c r="H97" s="455">
        <f>G97+'14'!H97</f>
        <v>-165</v>
      </c>
      <c r="I97" s="475"/>
      <c r="J97" s="547">
        <f>H97/DAY(B2)</f>
        <v>-11</v>
      </c>
      <c r="K97" s="423"/>
      <c r="L97" s="374"/>
      <c r="N97" s="714"/>
      <c r="O97" s="721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479">
        <f>'14'!F98</f>
        <v>97610</v>
      </c>
      <c r="F98" s="473">
        <v>97643</v>
      </c>
      <c r="G98" s="468">
        <f t="shared" si="10"/>
        <v>33</v>
      </c>
      <c r="H98" s="455">
        <f>G98+'14'!H98</f>
        <v>-307</v>
      </c>
      <c r="I98" s="475"/>
      <c r="J98" s="547">
        <f>H98/DAY(B2)</f>
        <v>-20.466666666666665</v>
      </c>
      <c r="K98" s="428"/>
      <c r="L98" s="374"/>
      <c r="N98" s="714"/>
      <c r="O98" s="721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479">
        <f>'14'!F99</f>
        <v>149695</v>
      </c>
      <c r="F99" s="473">
        <v>149718</v>
      </c>
      <c r="G99" s="468">
        <f t="shared" si="10"/>
        <v>23</v>
      </c>
      <c r="H99" s="455">
        <f>G99+'14'!H99</f>
        <v>-134</v>
      </c>
      <c r="I99" s="475"/>
      <c r="J99" s="547">
        <f>H99/DAY(B2)</f>
        <v>-8.9333333333333336</v>
      </c>
      <c r="K99" s="377"/>
      <c r="L99" s="374"/>
      <c r="N99" s="716"/>
      <c r="O99" s="721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479">
        <f>'14'!F100</f>
        <v>7238</v>
      </c>
      <c r="F100" s="473">
        <v>7243</v>
      </c>
      <c r="G100" s="468">
        <f t="shared" si="10"/>
        <v>5</v>
      </c>
      <c r="H100" s="455">
        <f>G100+'14'!H100</f>
        <v>-126</v>
      </c>
      <c r="I100" s="475"/>
      <c r="J100" s="547">
        <f>H100/DAY(B2)</f>
        <v>-8.4</v>
      </c>
      <c r="K100" s="377"/>
      <c r="L100" s="374"/>
      <c r="N100" s="714"/>
      <c r="O100" s="721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479">
        <f>'14'!F101</f>
        <v>5232</v>
      </c>
      <c r="F101" s="473">
        <v>5237</v>
      </c>
      <c r="G101" s="468">
        <f t="shared" si="10"/>
        <v>5</v>
      </c>
      <c r="H101" s="455">
        <f>G101+'14'!H101</f>
        <v>-154</v>
      </c>
      <c r="I101" s="475"/>
      <c r="J101" s="547">
        <f>H101/DAY(B2)</f>
        <v>-10.266666666666667</v>
      </c>
      <c r="K101" s="377"/>
      <c r="L101" s="374"/>
      <c r="N101" s="714"/>
      <c r="O101" s="721"/>
      <c r="P101" s="379"/>
    </row>
    <row r="102" spans="1:16">
      <c r="A102" s="1447" t="s">
        <v>277</v>
      </c>
      <c r="B102" s="1448"/>
      <c r="C102" s="1449"/>
      <c r="D102" s="519"/>
      <c r="E102" s="479"/>
      <c r="F102" s="519"/>
      <c r="G102" s="520">
        <f>SUM(G96:G101)</f>
        <v>118</v>
      </c>
      <c r="H102" s="455">
        <f>G102+'14'!H102</f>
        <v>-1602</v>
      </c>
      <c r="I102" s="521"/>
      <c r="J102" s="547">
        <f>H102/DAY(B2)</f>
        <v>-106.8</v>
      </c>
      <c r="K102" s="377"/>
      <c r="L102" s="374"/>
      <c r="N102" s="714"/>
      <c r="O102" s="721"/>
      <c r="P102" s="379"/>
    </row>
    <row r="103" spans="1:16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>
        <v>3</v>
      </c>
      <c r="N103" s="714"/>
      <c r="O103" s="721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1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479">
        <f>'14'!F105</f>
        <v>7473</v>
      </c>
      <c r="F105" s="654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3.8</v>
      </c>
      <c r="N105" s="714"/>
      <c r="O105" s="721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479">
        <f>'14'!F106</f>
        <v>35875</v>
      </c>
      <c r="F106" s="655">
        <v>35875</v>
      </c>
      <c r="G106" s="527">
        <f t="shared" ref="G106:G107" si="11">F106-E106</f>
        <v>0</v>
      </c>
      <c r="H106" s="528">
        <f>SUM(G106+'1'!G77)</f>
        <v>49</v>
      </c>
      <c r="I106" s="527"/>
      <c r="J106" s="553">
        <f>H106/DAY(B2)</f>
        <v>3.2666666666666666</v>
      </c>
      <c r="N106" s="714"/>
      <c r="O106" s="721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479">
        <f>'14'!F107</f>
        <v>19660</v>
      </c>
      <c r="F107" s="655">
        <v>19663</v>
      </c>
      <c r="G107" s="527">
        <f t="shared" si="11"/>
        <v>3</v>
      </c>
      <c r="H107" s="528">
        <f>SUM(G107+'1'!G78)</f>
        <v>58</v>
      </c>
      <c r="I107" s="527"/>
      <c r="J107" s="553">
        <f>H107/DAY(B2)</f>
        <v>3.8666666666666667</v>
      </c>
      <c r="N107" s="714"/>
      <c r="O107" s="721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479">
        <f>'14'!F108</f>
        <v>0</v>
      </c>
      <c r="F108" s="655"/>
      <c r="G108" s="527">
        <f>SUM(G105:G107)</f>
        <v>3</v>
      </c>
      <c r="H108" s="528">
        <f>SUM(G108+'1'!G79)</f>
        <v>158</v>
      </c>
      <c r="I108" s="527"/>
      <c r="J108" s="553">
        <f>H108/DAY(B2)</f>
        <v>10.533333333333333</v>
      </c>
      <c r="N108" s="714"/>
      <c r="O108" s="721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479">
        <f>'14'!F109</f>
        <v>0</v>
      </c>
      <c r="F109" s="655"/>
      <c r="G109" s="527"/>
      <c r="H109" s="528"/>
      <c r="I109" s="527"/>
      <c r="J109" s="553"/>
      <c r="N109" s="714"/>
      <c r="O109" s="721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479">
        <f>'14'!F110</f>
        <v>61870</v>
      </c>
      <c r="F110" s="655">
        <v>61912</v>
      </c>
      <c r="G110" s="527">
        <f>F110-E110</f>
        <v>42</v>
      </c>
      <c r="H110" s="528">
        <f>SUM(G110+'1'!G81)</f>
        <v>136</v>
      </c>
      <c r="I110" s="527"/>
      <c r="J110" s="553">
        <f>H110/DAY(B2)</f>
        <v>9.0666666666666664</v>
      </c>
      <c r="N110" s="714"/>
      <c r="O110" s="721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479">
        <f>'14'!F111</f>
        <v>32371</v>
      </c>
      <c r="F111" s="655">
        <v>32401</v>
      </c>
      <c r="G111" s="527">
        <f t="shared" ref="G111:G112" si="12">F111-E111</f>
        <v>30</v>
      </c>
      <c r="H111" s="528">
        <f>SUM(G111+'1'!G82)</f>
        <v>41</v>
      </c>
      <c r="I111" s="527"/>
      <c r="J111" s="553">
        <f>H111/DAY(B2)</f>
        <v>2.7333333333333334</v>
      </c>
      <c r="N111" s="714"/>
      <c r="O111" s="721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479">
        <f>'14'!F112</f>
        <v>4492</v>
      </c>
      <c r="F112" s="655">
        <v>4509</v>
      </c>
      <c r="G112" s="527">
        <f t="shared" si="12"/>
        <v>17</v>
      </c>
      <c r="H112" s="528">
        <f>SUM(G112+'1'!G83)</f>
        <v>169</v>
      </c>
      <c r="I112" s="527"/>
      <c r="J112" s="553">
        <f>H112/DAY(B2)</f>
        <v>11.266666666666667</v>
      </c>
      <c r="N112" s="714"/>
      <c r="O112" s="721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479">
        <f>'14'!F113</f>
        <v>0</v>
      </c>
      <c r="F113" s="655"/>
      <c r="G113" s="527">
        <f>SUM(G110:G112)</f>
        <v>89</v>
      </c>
      <c r="H113" s="528">
        <f>SUM(G113+'1'!G84)</f>
        <v>916</v>
      </c>
      <c r="I113" s="527"/>
      <c r="J113" s="553">
        <f>H113/DAY(B2)</f>
        <v>61.06666666666667</v>
      </c>
      <c r="N113" s="714"/>
      <c r="O113" s="721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479">
        <f>'14'!F114</f>
        <v>0</v>
      </c>
      <c r="F114" s="655"/>
      <c r="G114" s="527"/>
      <c r="H114" s="528"/>
      <c r="I114" s="527"/>
      <c r="J114" s="553">
        <f>H114/DAY(B2)</f>
        <v>0</v>
      </c>
      <c r="N114" s="714"/>
      <c r="O114" s="721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479">
        <f>'14'!F115</f>
        <v>11332</v>
      </c>
      <c r="F115" s="655">
        <v>11339</v>
      </c>
      <c r="G115" s="529">
        <f>F115-E115</f>
        <v>7</v>
      </c>
      <c r="H115" s="528">
        <f>SUM(G115+'1'!G92)</f>
        <v>7</v>
      </c>
      <c r="I115" s="527"/>
      <c r="J115" s="553">
        <f>H115/DAY(B2)</f>
        <v>0.46666666666666667</v>
      </c>
      <c r="N115" s="714"/>
      <c r="O115" s="721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479">
        <f>'14'!F116</f>
        <v>8198</v>
      </c>
      <c r="F116" s="655">
        <v>8199</v>
      </c>
      <c r="G116" s="529">
        <f t="shared" ref="G116:G117" si="13">F116-E116</f>
        <v>1</v>
      </c>
      <c r="H116" s="528">
        <f>SUM(G116+'1'!G93)</f>
        <v>19</v>
      </c>
      <c r="I116" s="527"/>
      <c r="J116" s="553">
        <f>H116/DAY(B2)</f>
        <v>1.2666666666666666</v>
      </c>
      <c r="N116" s="714"/>
      <c r="O116" s="721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>
        <f>'14'!F117</f>
        <v>0</v>
      </c>
      <c r="F117" s="655">
        <v>0</v>
      </c>
      <c r="G117" s="529">
        <f t="shared" si="13"/>
        <v>0</v>
      </c>
      <c r="H117" s="528">
        <f>SUM(G117+'1'!G94)</f>
        <v>58</v>
      </c>
      <c r="I117" s="527"/>
      <c r="J117" s="553">
        <f>H117/DAY(B2)</f>
        <v>3.8666666666666667</v>
      </c>
      <c r="N117" s="714"/>
      <c r="O117" s="721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8</v>
      </c>
      <c r="H118" s="528">
        <f>SUM(G118+'1'!G96)</f>
        <v>48</v>
      </c>
      <c r="I118" s="529"/>
      <c r="J118" s="553">
        <f>H118/DAY(B2)</f>
        <v>3.2</v>
      </c>
      <c r="N118" s="714"/>
      <c r="O118" s="721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209</v>
      </c>
      <c r="G119" s="531">
        <f>SUM(G19+G93)</f>
        <v>209</v>
      </c>
      <c r="H119" s="528">
        <f>SUM(G119+'1'!G97)</f>
        <v>222</v>
      </c>
      <c r="I119" s="530"/>
      <c r="J119" s="554">
        <f>H119/DAY(B2)</f>
        <v>14.8</v>
      </c>
      <c r="N119" s="714"/>
      <c r="O119" s="721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95</v>
      </c>
      <c r="G120" s="531">
        <f>SUM(G96,G97,G98,G100,G101)</f>
        <v>95</v>
      </c>
      <c r="H120" s="528">
        <f>SUM(G120+'1'!G99)</f>
        <v>102</v>
      </c>
      <c r="I120" s="530"/>
      <c r="J120" s="554">
        <f>H120/DAY(B2)</f>
        <v>6.8</v>
      </c>
      <c r="N120" s="714"/>
      <c r="O120" s="721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89</v>
      </c>
      <c r="G121" s="529">
        <f>SUM(G113)</f>
        <v>89</v>
      </c>
      <c r="H121" s="528">
        <f>SUM(G121+'1'!G101)</f>
        <v>93</v>
      </c>
      <c r="I121" s="530"/>
      <c r="J121" s="554">
        <f>H121/DAY(B2)</f>
        <v>6.2</v>
      </c>
      <c r="N121" s="714"/>
      <c r="O121" s="721"/>
      <c r="P121" s="379"/>
    </row>
    <row r="122" spans="1:16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1"/>
      <c r="P122" s="379"/>
    </row>
    <row r="123" spans="1:16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1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473">
        <f>'14'!F124</f>
        <v>828928.09</v>
      </c>
      <c r="F124" s="473">
        <v>829129</v>
      </c>
      <c r="G124" s="468">
        <f>F124-E124</f>
        <v>200.9100000000326</v>
      </c>
      <c r="H124" s="455">
        <f>G124+'14'!H124</f>
        <v>-3237</v>
      </c>
      <c r="I124" s="521"/>
      <c r="J124" s="547">
        <f>H124/DAY(B2)</f>
        <v>-215.8</v>
      </c>
      <c r="K124" s="377"/>
      <c r="L124" s="374"/>
      <c r="N124" s="714"/>
      <c r="O124" s="721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621">
        <f>'14'!F125</f>
        <v>73583</v>
      </c>
      <c r="F125" s="621">
        <v>73583.399999999994</v>
      </c>
      <c r="G125" s="468">
        <f t="shared" ref="G125:G128" si="14">F125-E125</f>
        <v>0.39999999999417923</v>
      </c>
      <c r="H125" s="455">
        <f>G125+'14'!H125</f>
        <v>0</v>
      </c>
      <c r="I125" s="521"/>
      <c r="J125" s="547">
        <f>H125/DAY(B2)</f>
        <v>0</v>
      </c>
      <c r="K125" s="377"/>
      <c r="L125" s="374"/>
      <c r="N125" s="714"/>
      <c r="O125" s="721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473">
        <f>'14'!F126</f>
        <v>145491</v>
      </c>
      <c r="F126" s="473">
        <v>145536</v>
      </c>
      <c r="G126" s="468">
        <f t="shared" si="14"/>
        <v>45</v>
      </c>
      <c r="H126" s="455">
        <f>G126+'14'!H126</f>
        <v>-955</v>
      </c>
      <c r="I126" s="521"/>
      <c r="J126" s="547">
        <f>H126/DAY(B2)</f>
        <v>-63.666666666666664</v>
      </c>
      <c r="K126" s="377"/>
      <c r="L126" s="374"/>
      <c r="N126" s="714"/>
      <c r="O126" s="721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621">
        <f>'14'!F127</f>
        <v>31404</v>
      </c>
      <c r="F127" s="621">
        <v>31404</v>
      </c>
      <c r="G127" s="468">
        <f t="shared" si="14"/>
        <v>0</v>
      </c>
      <c r="H127" s="455">
        <f>G127+'14'!H127</f>
        <v>-2</v>
      </c>
      <c r="I127" s="521"/>
      <c r="J127" s="547">
        <f>H127/DAY(B2)</f>
        <v>-0.13333333333333333</v>
      </c>
      <c r="K127" s="377"/>
      <c r="L127" s="374"/>
      <c r="N127" s="714"/>
      <c r="O127" s="721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621">
        <f>'14'!F128</f>
        <v>8971</v>
      </c>
      <c r="F128" s="621">
        <v>8971</v>
      </c>
      <c r="G128" s="468">
        <f t="shared" si="14"/>
        <v>0</v>
      </c>
      <c r="H128" s="455">
        <f>G128+'14'!H128</f>
        <v>-1</v>
      </c>
      <c r="I128" s="475"/>
      <c r="J128" s="547">
        <f>H128/DAY(B2)</f>
        <v>-6.6666666666666666E-2</v>
      </c>
      <c r="K128" s="377"/>
      <c r="L128" s="374"/>
      <c r="N128" s="714"/>
      <c r="O128" s="721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303.68999999997322</v>
      </c>
      <c r="H129" s="455"/>
      <c r="I129" s="475"/>
      <c r="J129" s="547"/>
      <c r="K129" s="361"/>
      <c r="L129" s="289"/>
      <c r="N129" s="714"/>
      <c r="O129" s="721"/>
      <c r="P129" s="379"/>
    </row>
    <row r="130" spans="1:16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1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479">
        <f>'14'!F131</f>
        <v>0</v>
      </c>
      <c r="F131" s="473">
        <v>0</v>
      </c>
      <c r="G131" s="468">
        <f t="shared" ref="G131:G141" si="15">F131-E131</f>
        <v>0</v>
      </c>
      <c r="H131" s="455">
        <f>G131+'14'!H131</f>
        <v>0</v>
      </c>
      <c r="I131" s="475"/>
      <c r="J131" s="547">
        <f>H131/DAY(B2)</f>
        <v>0</v>
      </c>
      <c r="N131" s="714"/>
      <c r="O131" s="721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479">
        <f>'14'!F132</f>
        <v>0</v>
      </c>
      <c r="F132" s="473">
        <v>0</v>
      </c>
      <c r="G132" s="468">
        <f t="shared" si="15"/>
        <v>0</v>
      </c>
      <c r="H132" s="455">
        <f>G132+'14'!H132</f>
        <v>0</v>
      </c>
      <c r="I132" s="475"/>
      <c r="J132" s="547">
        <f>H132/DAY(B2)</f>
        <v>0</v>
      </c>
      <c r="N132" s="714"/>
      <c r="O132" s="721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479">
        <f>'14'!F133</f>
        <v>40029.35</v>
      </c>
      <c r="F133" s="647">
        <v>40031.519999999997</v>
      </c>
      <c r="G133" s="468">
        <f t="shared" si="15"/>
        <v>2.1699999999982538</v>
      </c>
      <c r="H133" s="455">
        <f>G133+'14'!H133</f>
        <v>-3.5800000000017462</v>
      </c>
      <c r="I133" s="475"/>
      <c r="J133" s="547">
        <f>H133/DAY(B2)</f>
        <v>-0.23866666666678307</v>
      </c>
      <c r="N133" s="714"/>
      <c r="O133" s="721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479">
        <f>'14'!F134</f>
        <v>300</v>
      </c>
      <c r="F134" s="621">
        <v>300</v>
      </c>
      <c r="G134" s="468">
        <f t="shared" si="15"/>
        <v>0</v>
      </c>
      <c r="H134" s="455">
        <f>G134+'14'!H134</f>
        <v>0</v>
      </c>
      <c r="I134" s="475">
        <f>G131+G132+G133+G134</f>
        <v>2.1699999999982538</v>
      </c>
      <c r="J134" s="547">
        <f>H134/DAY(B2)</f>
        <v>0</v>
      </c>
      <c r="N134" s="714"/>
      <c r="O134" s="721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479">
        <f>'14'!F135</f>
        <v>41445.129999999997</v>
      </c>
      <c r="F135" s="621">
        <v>41469.06</v>
      </c>
      <c r="G135" s="468">
        <f t="shared" si="15"/>
        <v>23.930000000000291</v>
      </c>
      <c r="H135" s="455">
        <f>G135+'14'!H135</f>
        <v>-260.94000000000233</v>
      </c>
      <c r="I135" s="475"/>
      <c r="J135" s="547">
        <f>H135/DAY(B2)</f>
        <v>-17.396000000000154</v>
      </c>
      <c r="N135" s="714"/>
      <c r="O135" s="721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479">
        <f>'14'!F136</f>
        <v>32582.98</v>
      </c>
      <c r="F136" s="647">
        <v>32582.98</v>
      </c>
      <c r="G136" s="468">
        <f t="shared" si="15"/>
        <v>0</v>
      </c>
      <c r="H136" s="455">
        <f>G136+'14'!H136</f>
        <v>-132.02000000000044</v>
      </c>
      <c r="I136" s="475"/>
      <c r="J136" s="547">
        <f>H136/DAY(B2)</f>
        <v>-8.8013333333333623</v>
      </c>
      <c r="N136" s="714"/>
      <c r="O136" s="721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479">
        <f>'14'!F137</f>
        <v>22766.92</v>
      </c>
      <c r="F137" s="647">
        <v>22766.92</v>
      </c>
      <c r="G137" s="468">
        <f t="shared" si="15"/>
        <v>0</v>
      </c>
      <c r="H137" s="455">
        <f>G137+'14'!H137</f>
        <v>-40.320000000003347</v>
      </c>
      <c r="I137" s="475">
        <f>G135+G136+G137</f>
        <v>23.930000000000291</v>
      </c>
      <c r="J137" s="547">
        <f>H137/DAY(B2)</f>
        <v>-2.6880000000002231</v>
      </c>
      <c r="N137" s="714"/>
      <c r="O137" s="721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479">
        <f>'14'!F138</f>
        <v>25051.72</v>
      </c>
      <c r="F138" s="647">
        <v>25051.72</v>
      </c>
      <c r="G138" s="468">
        <f t="shared" si="15"/>
        <v>0</v>
      </c>
      <c r="H138" s="455">
        <f>G138+'14'!H138</f>
        <v>-9.9999999998544808E-2</v>
      </c>
      <c r="I138" s="475"/>
      <c r="J138" s="547">
        <f>H138/DAY(B2)</f>
        <v>-6.6666666665696536E-3</v>
      </c>
      <c r="N138" s="714"/>
      <c r="O138" s="721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479">
        <f>'14'!F139</f>
        <v>70351.94</v>
      </c>
      <c r="F139" s="647">
        <v>70361.47</v>
      </c>
      <c r="G139" s="468">
        <f t="shared" si="15"/>
        <v>9.5299999999988358</v>
      </c>
      <c r="H139" s="455">
        <f>G139+'14'!H139</f>
        <v>-50.270000000004075</v>
      </c>
      <c r="I139" s="475">
        <f>G138+G139</f>
        <v>9.5299999999988358</v>
      </c>
      <c r="J139" s="547">
        <f>H139/DAY(B2)</f>
        <v>-3.3513333333336051</v>
      </c>
      <c r="N139" s="714"/>
      <c r="O139" s="721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479">
        <f>'14'!F140</f>
        <v>1723.89</v>
      </c>
      <c r="F140" s="621">
        <v>1731.51</v>
      </c>
      <c r="G140" s="468">
        <f t="shared" si="15"/>
        <v>7.6199999999998909</v>
      </c>
      <c r="H140" s="455">
        <f>G140+'14'!H140</f>
        <v>-122.78999999999996</v>
      </c>
      <c r="I140" s="537"/>
      <c r="J140" s="547">
        <f>H140/DAY(B2)</f>
        <v>-8.1859999999999982</v>
      </c>
      <c r="N140" s="714"/>
      <c r="O140" s="721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479">
        <f>'14'!F141</f>
        <v>4636.88</v>
      </c>
      <c r="F141" s="473">
        <v>4636.88</v>
      </c>
      <c r="G141" s="468">
        <f t="shared" si="15"/>
        <v>0</v>
      </c>
      <c r="H141" s="455">
        <f>G141+'14'!H141</f>
        <v>-0.11999999999989086</v>
      </c>
      <c r="I141" s="537"/>
      <c r="J141" s="547">
        <f>H141/DAY(B2)</f>
        <v>-7.9999999999927247E-3</v>
      </c>
      <c r="N141" s="714"/>
      <c r="O141" s="721"/>
      <c r="P141" s="379"/>
    </row>
    <row r="142" spans="1:16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1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4081.7200000000885</v>
      </c>
      <c r="H143" s="455">
        <f>G143+'14'!H143</f>
        <v>-69052.67</v>
      </c>
      <c r="I143" s="475"/>
      <c r="J143" s="547">
        <f>H143/DAY(B2)</f>
        <v>-4603.5113333333329</v>
      </c>
      <c r="K143" s="377"/>
      <c r="L143" s="374"/>
      <c r="N143" s="714"/>
      <c r="O143" s="721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0.24010117647059345</v>
      </c>
      <c r="H144" s="455">
        <f>G144+'14'!H144</f>
        <v>-4.1742282091366985</v>
      </c>
      <c r="I144" s="539"/>
      <c r="J144" s="547">
        <f>H144/DAY(B2)</f>
        <v>-0.27828188060911324</v>
      </c>
      <c r="K144" s="377"/>
      <c r="L144" s="374"/>
      <c r="N144" s="714"/>
      <c r="O144" s="721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5855.1400000000194</v>
      </c>
      <c r="H145" s="455">
        <f>G145+'14'!H145</f>
        <v>-81584.500000000029</v>
      </c>
      <c r="I145" s="475"/>
      <c r="J145" s="547">
        <f>H145/DAY(B2)</f>
        <v>-5438.966666666669</v>
      </c>
      <c r="K145" s="377"/>
      <c r="L145" s="374"/>
      <c r="N145" s="714"/>
      <c r="O145" s="721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0.34442000000000117</v>
      </c>
      <c r="H146" s="455">
        <f>G146+'14'!H146</f>
        <v>-4.9358894493097072</v>
      </c>
      <c r="I146" s="539"/>
      <c r="J146" s="547">
        <f>H146/DAY(B2)</f>
        <v>-0.32905929662064715</v>
      </c>
      <c r="K146" s="377"/>
      <c r="L146" s="374"/>
      <c r="N146" s="714"/>
      <c r="O146" s="721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2647.820000000007</v>
      </c>
      <c r="H147" s="455">
        <f>G147+'14'!H147</f>
        <v>-43558</v>
      </c>
      <c r="I147" s="540"/>
      <c r="J147" s="547">
        <f>H147/DAY(B2)</f>
        <v>-2903.8666666666668</v>
      </c>
      <c r="K147" s="377"/>
      <c r="L147" s="374"/>
      <c r="N147" s="714"/>
      <c r="O147" s="721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0.15575411764705924</v>
      </c>
      <c r="H148" s="455">
        <f>G148+'14'!H148</f>
        <v>-2.63980908156325</v>
      </c>
      <c r="I148" s="540"/>
      <c r="J148" s="547">
        <f>H148/DAY(B2)</f>
        <v>-0.17598727210421666</v>
      </c>
      <c r="N148" s="714"/>
      <c r="O148" s="721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1315.9600000000501</v>
      </c>
      <c r="H149" s="455">
        <f>G149+'14'!H149</f>
        <v>-18768</v>
      </c>
      <c r="I149" s="475"/>
      <c r="J149" s="547">
        <f>H149/DAY(B2)</f>
        <v>-1251.2</v>
      </c>
      <c r="K149" s="378"/>
      <c r="N149" s="714"/>
      <c r="O149" s="721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7.7409411764708821E-2</v>
      </c>
      <c r="H150" s="455">
        <f>G150+'14'!H150</f>
        <v>-1.1361947465100162</v>
      </c>
      <c r="I150" s="540"/>
      <c r="J150" s="547">
        <f>H150/DAY(B2)</f>
        <v>-7.5746316434001079E-2</v>
      </c>
      <c r="N150" s="714"/>
      <c r="O150" s="721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895.01000000000931</v>
      </c>
      <c r="H151" s="455">
        <f>G151+'14'!H151</f>
        <v>332780</v>
      </c>
      <c r="I151" s="540"/>
      <c r="J151" s="547">
        <f>H151/DAY(B2)</f>
        <v>22185.333333333332</v>
      </c>
      <c r="N151" s="714"/>
      <c r="O151" s="721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5.2647647058824076E-2</v>
      </c>
      <c r="H152" s="455">
        <f>G152+'14'!H152</f>
        <v>19.534010350904833</v>
      </c>
      <c r="I152" s="475"/>
      <c r="J152" s="547">
        <f>H152/DAY(B2)</f>
        <v>1.3022673567269889</v>
      </c>
      <c r="N152" s="714"/>
      <c r="O152" s="721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1297.0899999999965</v>
      </c>
      <c r="H153" s="455">
        <f>G153+'14'!H153</f>
        <v>-20672.130000000005</v>
      </c>
      <c r="I153" s="475"/>
      <c r="J153" s="547">
        <f>H153/DAY(B2)</f>
        <v>-1378.1420000000003</v>
      </c>
      <c r="N153" s="714"/>
      <c r="O153" s="721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7.6299411764705671E-2</v>
      </c>
      <c r="H154" s="455">
        <f>G154+'14'!H154</f>
        <v>-1.2470495360743099</v>
      </c>
      <c r="I154" s="563"/>
      <c r="J154" s="564">
        <f>H154/DAY(B2)</f>
        <v>-8.3136635738287321E-2</v>
      </c>
      <c r="N154" s="714"/>
      <c r="O154" s="721"/>
      <c r="P154" s="37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90" t="s">
        <v>318</v>
      </c>
      <c r="B161" s="791"/>
      <c r="C161" s="791"/>
      <c r="D161" s="615" t="s">
        <v>253</v>
      </c>
      <c r="E161" s="517">
        <f>'14'!F161</f>
        <v>37071.870000000003</v>
      </c>
      <c r="F161" s="799">
        <v>37152.94</v>
      </c>
      <c r="G161" s="468">
        <f t="shared" ref="G161:G164" si="16">F161-E161</f>
        <v>81.069999999999709</v>
      </c>
      <c r="N161" s="714"/>
    </row>
    <row r="162" spans="1:14" ht="21.75" customHeight="1">
      <c r="A162" s="790" t="s">
        <v>319</v>
      </c>
      <c r="B162" s="791"/>
      <c r="C162" s="791"/>
      <c r="D162" s="615" t="s">
        <v>253</v>
      </c>
      <c r="E162" s="517">
        <f>'14'!F162</f>
        <v>88224.68</v>
      </c>
      <c r="F162" s="799">
        <v>88619</v>
      </c>
      <c r="G162" s="468">
        <f t="shared" si="16"/>
        <v>394.32000000000698</v>
      </c>
      <c r="N162" s="714"/>
    </row>
    <row r="163" spans="1:14" ht="21.75" customHeight="1">
      <c r="A163" s="790" t="s">
        <v>320</v>
      </c>
      <c r="B163" s="791"/>
      <c r="C163" s="791"/>
      <c r="D163" s="615" t="s">
        <v>253</v>
      </c>
      <c r="E163" s="517">
        <f>'14'!F163</f>
        <v>41418.35</v>
      </c>
      <c r="F163" s="799">
        <v>41655</v>
      </c>
      <c r="G163" s="468">
        <f t="shared" si="16"/>
        <v>236.65000000000146</v>
      </c>
      <c r="N163" s="714"/>
    </row>
    <row r="164" spans="1:14" ht="21.75" customHeight="1">
      <c r="A164" s="790" t="s">
        <v>321</v>
      </c>
      <c r="B164" s="791"/>
      <c r="C164" s="791"/>
      <c r="D164" s="615" t="s">
        <v>253</v>
      </c>
      <c r="E164" s="517">
        <f>'14'!F164</f>
        <v>6378.14</v>
      </c>
      <c r="F164" s="799">
        <v>6389</v>
      </c>
      <c r="G164" s="468">
        <f t="shared" si="16"/>
        <v>10.859999999999673</v>
      </c>
      <c r="N164" s="714"/>
    </row>
    <row r="165" spans="1:14" ht="21.75" customHeight="1">
      <c r="A165" s="792" t="s">
        <v>252</v>
      </c>
      <c r="B165" s="793"/>
      <c r="C165" s="793"/>
      <c r="D165" s="615" t="s">
        <v>253</v>
      </c>
      <c r="E165" s="509">
        <f>E62</f>
        <v>20419</v>
      </c>
      <c r="F165" s="509">
        <f>F62</f>
        <v>20419.18</v>
      </c>
      <c r="G165" s="468">
        <f t="shared" ref="G165:G172" si="17">F165-E165</f>
        <v>0.18000000000029104</v>
      </c>
      <c r="N165" s="714"/>
    </row>
    <row r="166" spans="1:14" ht="21.75" customHeight="1">
      <c r="A166" s="792" t="s">
        <v>254</v>
      </c>
      <c r="B166" s="793"/>
      <c r="C166" s="793"/>
      <c r="D166" s="615" t="s">
        <v>253</v>
      </c>
      <c r="E166" s="509">
        <f t="shared" ref="E166:E172" si="18">E63</f>
        <v>2412.15</v>
      </c>
      <c r="F166" s="509">
        <v>2415</v>
      </c>
      <c r="G166" s="468">
        <f t="shared" si="17"/>
        <v>2.8499999999999091</v>
      </c>
      <c r="N166" s="714"/>
    </row>
    <row r="167" spans="1:14" ht="21.75" customHeight="1">
      <c r="A167" s="1515" t="s">
        <v>161</v>
      </c>
      <c r="B167" s="1515"/>
      <c r="C167" s="1515"/>
      <c r="D167" s="519" t="s">
        <v>253</v>
      </c>
      <c r="E167" s="509">
        <f t="shared" si="18"/>
        <v>156201.04999999999</v>
      </c>
      <c r="F167" s="509">
        <f t="shared" ref="F167:F172" si="19">F64</f>
        <v>156403</v>
      </c>
      <c r="G167" s="468">
        <f t="shared" si="17"/>
        <v>201.95000000001164</v>
      </c>
      <c r="N167" s="714"/>
    </row>
    <row r="168" spans="1:14" ht="21.75" customHeight="1">
      <c r="A168" s="1515" t="s">
        <v>162</v>
      </c>
      <c r="B168" s="1515"/>
      <c r="C168" s="1515"/>
      <c r="D168" s="519" t="s">
        <v>253</v>
      </c>
      <c r="E168" s="509">
        <f t="shared" si="18"/>
        <v>157101.17000000001</v>
      </c>
      <c r="F168" s="509">
        <f t="shared" si="19"/>
        <v>157372</v>
      </c>
      <c r="G168" s="468">
        <f t="shared" si="17"/>
        <v>270.82999999998719</v>
      </c>
      <c r="N168" s="714"/>
    </row>
    <row r="169" spans="1:14" ht="21.75" customHeight="1">
      <c r="A169" s="1515" t="s">
        <v>255</v>
      </c>
      <c r="B169" s="1515"/>
      <c r="C169" s="1515"/>
      <c r="D169" s="519" t="s">
        <v>253</v>
      </c>
      <c r="E169" s="509">
        <f t="shared" si="18"/>
        <v>52175.54</v>
      </c>
      <c r="F169" s="509">
        <f t="shared" si="19"/>
        <v>52447</v>
      </c>
      <c r="G169" s="468">
        <f t="shared" si="17"/>
        <v>271.45999999999913</v>
      </c>
      <c r="N169" s="714"/>
    </row>
    <row r="170" spans="1:14" ht="23.25" customHeight="1">
      <c r="A170" s="1515" t="s">
        <v>157</v>
      </c>
      <c r="B170" s="1515"/>
      <c r="C170" s="1515"/>
      <c r="D170" s="519" t="s">
        <v>253</v>
      </c>
      <c r="E170" s="509">
        <f t="shared" si="18"/>
        <v>245401.59</v>
      </c>
      <c r="F170" s="509">
        <f t="shared" si="19"/>
        <v>245741</v>
      </c>
      <c r="G170" s="468">
        <f t="shared" si="17"/>
        <v>339.41000000000349</v>
      </c>
      <c r="N170" s="714"/>
    </row>
    <row r="171" spans="1:14" ht="24" customHeight="1">
      <c r="A171" s="1515" t="s">
        <v>164</v>
      </c>
      <c r="B171" s="1515"/>
      <c r="C171" s="1515"/>
      <c r="D171" s="519" t="s">
        <v>253</v>
      </c>
      <c r="E171" s="509">
        <f t="shared" si="18"/>
        <v>85321</v>
      </c>
      <c r="F171" s="509">
        <f t="shared" si="19"/>
        <v>85321</v>
      </c>
      <c r="G171" s="468">
        <f t="shared" si="17"/>
        <v>0</v>
      </c>
      <c r="N171" s="714"/>
    </row>
    <row r="172" spans="1:14" ht="27.75">
      <c r="A172" s="1515" t="s">
        <v>165</v>
      </c>
      <c r="B172" s="1515"/>
      <c r="C172" s="1515"/>
      <c r="D172" s="519" t="s">
        <v>253</v>
      </c>
      <c r="E172" s="509">
        <f t="shared" si="18"/>
        <v>80000.070000000007</v>
      </c>
      <c r="F172" s="509">
        <f t="shared" si="19"/>
        <v>80090</v>
      </c>
      <c r="G172" s="468">
        <f t="shared" si="17"/>
        <v>89.929999999993015</v>
      </c>
      <c r="N172" s="714"/>
    </row>
    <row r="173" spans="1:14">
      <c r="A173" s="794"/>
      <c r="B173" s="795"/>
      <c r="C173" s="795"/>
      <c r="D173" s="796"/>
      <c r="E173" s="796"/>
      <c r="F173" s="797"/>
      <c r="G173" s="798">
        <f>SUM(G161:G172)</f>
        <v>1899.5100000000025</v>
      </c>
      <c r="N173" s="714"/>
    </row>
    <row r="174" spans="1:14"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27" customHeight="1">
      <c r="N178" s="714"/>
    </row>
    <row r="179" spans="14:14" ht="27" customHeight="1">
      <c r="N179" s="714"/>
    </row>
    <row r="180" spans="14:14" ht="27" customHeight="1">
      <c r="N180" s="714"/>
    </row>
    <row r="181" spans="14:14" ht="27" customHeight="1">
      <c r="N181" s="714"/>
    </row>
    <row r="182" spans="14:14" ht="27" customHeight="1">
      <c r="N182" s="714"/>
    </row>
    <row r="183" spans="14:14" ht="27" customHeight="1">
      <c r="N183" s="714"/>
    </row>
    <row r="184" spans="14:14" ht="27" customHeight="1">
      <c r="N184" s="714"/>
    </row>
    <row r="185" spans="14:14" ht="27" customHeight="1">
      <c r="N185" s="714"/>
    </row>
    <row r="186" spans="14:14" ht="27" customHeight="1">
      <c r="N186" s="714"/>
    </row>
    <row r="187" spans="14:14" ht="27" customHeight="1">
      <c r="N187" s="714"/>
    </row>
    <row r="188" spans="14:14" ht="27" customHeight="1">
      <c r="N188" s="714"/>
    </row>
    <row r="189" spans="14:14" ht="27" customHeight="1">
      <c r="N189" s="714"/>
    </row>
    <row r="190" spans="14:14" ht="27" customHeight="1">
      <c r="N190" s="714"/>
    </row>
    <row r="191" spans="14:14" ht="27" customHeight="1">
      <c r="N191" s="714"/>
    </row>
    <row r="192" spans="14:14" ht="27" customHeight="1">
      <c r="N192" s="714"/>
    </row>
    <row r="193" spans="14:14" ht="27" customHeight="1">
      <c r="N193" s="714"/>
    </row>
    <row r="194" spans="14:14" ht="27" customHeight="1">
      <c r="N194" s="714"/>
    </row>
    <row r="195" spans="14:14" ht="27" customHeight="1">
      <c r="N195" s="714"/>
    </row>
    <row r="196" spans="14:14" ht="27" customHeight="1">
      <c r="N196" s="714"/>
    </row>
    <row r="197" spans="14:14" ht="27" customHeight="1">
      <c r="N197" s="714"/>
    </row>
    <row r="198" spans="14:14" ht="27" customHeight="1">
      <c r="N198" s="714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Normal="90" zoomScaleSheetLayoutView="55" workbookViewId="0">
      <selection activeCell="A33" sqref="A33:J33"/>
    </sheetView>
  </sheetViews>
  <sheetFormatPr defaultColWidth="22.33203125" defaultRowHeight="29.25"/>
  <cols>
    <col min="1" max="1" width="59.6640625" style="449" customWidth="1"/>
    <col min="2" max="2" width="20" style="452" bestFit="1" customWidth="1"/>
    <col min="3" max="3" width="16.109375" style="452" bestFit="1" customWidth="1"/>
    <col min="4" max="4" width="23.109375" style="532" bestFit="1" customWidth="1"/>
    <col min="5" max="5" width="27.21875" style="532" customWidth="1"/>
    <col min="6" max="6" width="25.5546875" style="659" customWidth="1"/>
    <col min="7" max="7" width="27" style="532" customWidth="1"/>
    <col min="8" max="8" width="21.88671875" style="533" customWidth="1"/>
    <col min="9" max="9" width="24.77734375" style="532" customWidth="1"/>
    <col min="10" max="10" width="23.5546875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719"/>
    <col min="16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345</v>
      </c>
      <c r="B2" s="1028">
        <v>44332</v>
      </c>
      <c r="C2" s="1394" t="s">
        <v>111</v>
      </c>
      <c r="D2" s="606">
        <v>0.52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720"/>
    </row>
    <row r="3" spans="1:16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13"/>
      <c r="O3" s="720"/>
    </row>
    <row r="4" spans="1:16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/>
      <c r="K4" s="369"/>
      <c r="L4" s="289"/>
      <c r="N4" s="713"/>
      <c r="O4" s="720"/>
    </row>
    <row r="5" spans="1:16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'15'!F7</f>
        <v>606941</v>
      </c>
      <c r="F7" s="450">
        <f>E7+17000</f>
        <v>623941</v>
      </c>
      <c r="G7" s="674">
        <f>F7-E7</f>
        <v>17000</v>
      </c>
      <c r="H7" s="675">
        <f>G7+'15'!H7</f>
        <v>279529</v>
      </c>
      <c r="I7" s="676">
        <f>'1'!I7</f>
        <v>12000</v>
      </c>
      <c r="J7" s="677">
        <f>H7/DAY(B2)</f>
        <v>17470.5625</v>
      </c>
      <c r="K7" s="544">
        <f>'1'!E7-'16'!F7</f>
        <v>-279529</v>
      </c>
      <c r="L7" s="374"/>
      <c r="N7" s="725"/>
      <c r="O7" s="721"/>
      <c r="P7" s="724"/>
    </row>
    <row r="8" spans="1:16" ht="27.75" thickBot="1">
      <c r="A8" s="678" t="s">
        <v>199</v>
      </c>
      <c r="B8" s="679"/>
      <c r="C8" s="680"/>
      <c r="D8" s="681" t="s">
        <v>59</v>
      </c>
      <c r="E8" s="628">
        <f>'15'!F8</f>
        <v>610295</v>
      </c>
      <c r="F8" s="470">
        <f>E8+17150</f>
        <v>627445</v>
      </c>
      <c r="G8" s="685">
        <f>F8-E8</f>
        <v>17150</v>
      </c>
      <c r="H8" s="675">
        <f>G8+'15'!H8</f>
        <v>280935</v>
      </c>
      <c r="I8" s="682">
        <f>'1'!I8</f>
        <v>12000</v>
      </c>
      <c r="J8" s="677">
        <f>H8/DAY(B2)</f>
        <v>17558.4375</v>
      </c>
      <c r="K8" s="544">
        <f>'1'!E8-'16'!F8</f>
        <v>-280935</v>
      </c>
      <c r="L8" s="421"/>
      <c r="M8" s="435"/>
      <c r="N8" s="714"/>
      <c r="O8" s="721"/>
      <c r="P8" s="379"/>
    </row>
    <row r="9" spans="1:16">
      <c r="A9" s="683" t="s">
        <v>200</v>
      </c>
      <c r="B9" s="684"/>
      <c r="C9" s="684"/>
      <c r="D9" s="633" t="s">
        <v>198</v>
      </c>
      <c r="E9" s="628">
        <f>'15'!F9</f>
        <v>1728872</v>
      </c>
      <c r="F9" s="473">
        <f>E9+16950</f>
        <v>1745822</v>
      </c>
      <c r="G9" s="698">
        <f t="shared" ref="G9:G12" si="0">F9-E9</f>
        <v>16950</v>
      </c>
      <c r="H9" s="675">
        <f>G9+'15'!H9</f>
        <v>272132</v>
      </c>
      <c r="I9" s="686">
        <f>I7-J7</f>
        <v>-5470.5625</v>
      </c>
      <c r="J9" s="677">
        <f>H9/DAY(B2)</f>
        <v>17008.25</v>
      </c>
      <c r="K9" s="424">
        <f>'1'!E9-'16'!F9</f>
        <v>-272132</v>
      </c>
      <c r="L9" s="374"/>
      <c r="N9" s="714"/>
      <c r="O9" s="721"/>
      <c r="P9" s="379"/>
    </row>
    <row r="10" spans="1:16">
      <c r="A10" s="672" t="s">
        <v>201</v>
      </c>
      <c r="B10" s="673"/>
      <c r="C10" s="673"/>
      <c r="D10" s="633" t="s">
        <v>198</v>
      </c>
      <c r="E10" s="628">
        <f>'15'!F10</f>
        <v>0</v>
      </c>
      <c r="F10" s="473"/>
      <c r="G10" s="685">
        <f t="shared" si="0"/>
        <v>0</v>
      </c>
      <c r="H10" s="675">
        <f>G10+'15'!H10</f>
        <v>-2606.13</v>
      </c>
      <c r="I10" s="687"/>
      <c r="J10" s="677">
        <f>H10/DAY(B2)</f>
        <v>-162.88312500000001</v>
      </c>
      <c r="K10" s="424"/>
      <c r="L10" s="374"/>
      <c r="N10" s="714"/>
      <c r="O10" s="721"/>
      <c r="P10" s="379"/>
    </row>
    <row r="11" spans="1:16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G11+'15'!H11</f>
        <v>0</v>
      </c>
      <c r="I11" s="687"/>
      <c r="J11" s="677">
        <f>H11/DAY(B2)</f>
        <v>0</v>
      </c>
      <c r="K11" s="424"/>
      <c r="L11" s="374"/>
      <c r="N11" s="714">
        <f>G8-G10</f>
        <v>17150</v>
      </c>
      <c r="O11" s="721"/>
      <c r="P11" s="379"/>
    </row>
    <row r="12" spans="1:16">
      <c r="A12" s="672" t="s">
        <v>203</v>
      </c>
      <c r="B12" s="673"/>
      <c r="C12" s="673"/>
      <c r="D12" s="633" t="s">
        <v>198</v>
      </c>
      <c r="E12" s="628">
        <f>'5'!E12</f>
        <v>40010</v>
      </c>
      <c r="F12" s="473">
        <v>40010</v>
      </c>
      <c r="G12" s="685">
        <f t="shared" si="0"/>
        <v>0</v>
      </c>
      <c r="H12" s="675">
        <f>G12+'15'!H12</f>
        <v>0</v>
      </c>
      <c r="I12" s="687"/>
      <c r="J12" s="677">
        <f>H12/DAY(B2)</f>
        <v>0</v>
      </c>
      <c r="K12" s="424"/>
      <c r="L12" s="374"/>
      <c r="N12" s="714"/>
      <c r="O12" s="721"/>
      <c r="P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16950</v>
      </c>
      <c r="H13" s="675">
        <f>G13+'15'!H13</f>
        <v>253000.87</v>
      </c>
      <c r="I13" s="691">
        <f>G7-G13</f>
        <v>50</v>
      </c>
      <c r="J13" s="677">
        <f>H13/DAY(B2)</f>
        <v>15812.554375</v>
      </c>
      <c r="K13" s="424"/>
      <c r="L13" s="374"/>
      <c r="N13" s="714"/>
      <c r="O13" s="721"/>
      <c r="P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1146"/>
      <c r="K14" s="425"/>
      <c r="L14" s="374"/>
      <c r="N14" s="714"/>
      <c r="O14" s="721"/>
      <c r="P14" s="379"/>
    </row>
    <row r="15" spans="1:16">
      <c r="A15" s="788" t="s">
        <v>133</v>
      </c>
      <c r="B15" s="789"/>
      <c r="C15" s="789"/>
      <c r="D15" s="519" t="s">
        <v>206</v>
      </c>
      <c r="E15" s="480">
        <f>'15'!F15</f>
        <v>1691932</v>
      </c>
      <c r="F15" s="480">
        <f>E15+550</f>
        <v>1692482</v>
      </c>
      <c r="G15" s="660">
        <f>(F15-E15)</f>
        <v>550</v>
      </c>
      <c r="H15" s="481">
        <f>G15+'15'!H15</f>
        <v>7958</v>
      </c>
      <c r="I15" s="469">
        <f>'1'!I15</f>
        <v>800</v>
      </c>
      <c r="J15" s="548">
        <f>H15/DAY(B2)</f>
        <v>497.375</v>
      </c>
      <c r="K15" s="424"/>
      <c r="L15" s="374"/>
      <c r="N15" s="714"/>
      <c r="O15" s="721"/>
      <c r="P15" s="379"/>
    </row>
    <row r="16" spans="1:16">
      <c r="A16" s="582"/>
      <c r="B16" s="583"/>
      <c r="C16" s="583"/>
      <c r="D16" s="519"/>
      <c r="E16" s="480"/>
      <c r="F16" s="480" t="s">
        <v>346</v>
      </c>
      <c r="G16" s="665"/>
      <c r="H16" s="481"/>
      <c r="I16" s="477">
        <f>I15-J15</f>
        <v>302.625</v>
      </c>
      <c r="J16" s="548"/>
      <c r="K16" s="424"/>
      <c r="L16" s="374"/>
      <c r="N16" s="714"/>
      <c r="O16" s="721"/>
      <c r="P16" s="379"/>
    </row>
    <row r="17" spans="1:16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1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0">
        <f>'15'!F18</f>
        <v>6</v>
      </c>
      <c r="F18" s="473">
        <v>6</v>
      </c>
      <c r="G18" s="690">
        <f>F18*10</f>
        <v>60</v>
      </c>
      <c r="H18" s="675">
        <f>G18+'15'!H18</f>
        <v>900</v>
      </c>
      <c r="I18" s="676">
        <f>'1'!I18</f>
        <v>65</v>
      </c>
      <c r="J18" s="677">
        <f>H18/DAY(B2)</f>
        <v>56.25</v>
      </c>
      <c r="K18" s="424"/>
      <c r="L18" s="374"/>
      <c r="N18" s="714"/>
      <c r="O18" s="721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0">
        <f>'15'!F19</f>
        <v>138631</v>
      </c>
      <c r="F19" s="473">
        <v>138688</v>
      </c>
      <c r="G19" s="685">
        <f t="shared" ref="G19" si="1">F19-E19</f>
        <v>57</v>
      </c>
      <c r="H19" s="675">
        <f>G19+'15'!H19</f>
        <v>-924</v>
      </c>
      <c r="I19" s="692"/>
      <c r="J19" s="677">
        <f>H19/DAY(B2)</f>
        <v>-57.75</v>
      </c>
      <c r="K19" s="424"/>
      <c r="L19" s="374"/>
      <c r="N19" s="714"/>
      <c r="O19" s="721"/>
      <c r="P19" s="379"/>
    </row>
    <row r="20" spans="1:16">
      <c r="A20" s="688" t="s">
        <v>210</v>
      </c>
      <c r="B20" s="689"/>
      <c r="C20" s="689"/>
      <c r="D20" s="633"/>
      <c r="E20" s="633"/>
      <c r="F20" s="705"/>
      <c r="G20" s="693">
        <f>G18+G19</f>
        <v>117</v>
      </c>
      <c r="H20" s="675">
        <f>G20+'15'!H20</f>
        <v>-24</v>
      </c>
      <c r="I20" s="694">
        <f>I18-J20</f>
        <v>66.5</v>
      </c>
      <c r="J20" s="677">
        <f>H20/DAY(B2)</f>
        <v>-1.5</v>
      </c>
      <c r="K20" s="424"/>
      <c r="L20" s="374"/>
      <c r="N20" s="714"/>
      <c r="O20" s="721"/>
      <c r="P20" s="379"/>
    </row>
    <row r="21" spans="1:16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1"/>
      <c r="P21" s="379"/>
    </row>
    <row r="22" spans="1:16">
      <c r="A22" s="1392" t="s">
        <v>212</v>
      </c>
      <c r="B22" s="584"/>
      <c r="C22" s="584"/>
      <c r="D22" s="518" t="s">
        <v>213</v>
      </c>
      <c r="E22" s="630">
        <f>'15'!F22</f>
        <v>2970</v>
      </c>
      <c r="F22" s="473">
        <v>2970</v>
      </c>
      <c r="G22" s="476">
        <f t="shared" ref="G22" si="2">(F22-E22)</f>
        <v>0</v>
      </c>
      <c r="H22" s="455">
        <f>G22+'15'!H22</f>
        <v>0</v>
      </c>
      <c r="I22" s="475"/>
      <c r="J22" s="547">
        <f>H22/DAY(B2)</f>
        <v>0</v>
      </c>
      <c r="K22" s="424"/>
      <c r="L22" s="374"/>
      <c r="N22" s="714"/>
      <c r="O22" s="721"/>
      <c r="P22" s="379"/>
    </row>
    <row r="23" spans="1:16">
      <c r="A23" s="1392" t="s">
        <v>214</v>
      </c>
      <c r="B23" s="584"/>
      <c r="C23" s="584"/>
      <c r="D23" s="518" t="s">
        <v>213</v>
      </c>
      <c r="E23" s="630">
        <f>'15'!F23</f>
        <v>2900</v>
      </c>
      <c r="F23" s="473">
        <v>2900</v>
      </c>
      <c r="G23" s="476">
        <v>0</v>
      </c>
      <c r="H23" s="455">
        <f>G23+'15'!H23</f>
        <v>120</v>
      </c>
      <c r="I23" s="475"/>
      <c r="J23" s="547">
        <f>H23/DAY(B2)</f>
        <v>7.5</v>
      </c>
      <c r="K23" s="424"/>
      <c r="L23" s="374"/>
      <c r="N23" s="714"/>
      <c r="O23" s="721"/>
      <c r="P23" s="379"/>
    </row>
    <row r="24" spans="1:16">
      <c r="A24" s="585" t="s">
        <v>215</v>
      </c>
      <c r="B24" s="586"/>
      <c r="C24" s="586"/>
      <c r="D24" s="506" t="s">
        <v>213</v>
      </c>
      <c r="E24" s="488">
        <f>'15'!F24</f>
        <v>4250</v>
      </c>
      <c r="F24" s="480">
        <v>4250</v>
      </c>
      <c r="G24" s="476">
        <v>0</v>
      </c>
      <c r="H24" s="455">
        <f>G24+'15'!H24</f>
        <v>120</v>
      </c>
      <c r="I24" s="475"/>
      <c r="J24" s="547">
        <f>H24/DAY(B2)</f>
        <v>7.5</v>
      </c>
      <c r="K24" s="424"/>
      <c r="L24" s="374"/>
      <c r="N24" s="714"/>
      <c r="O24" s="721"/>
      <c r="P24" s="379"/>
    </row>
    <row r="25" spans="1:16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1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1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G27+'15'!H27</f>
        <v>2527578</v>
      </c>
      <c r="I27" s="498"/>
      <c r="J27" s="547">
        <f>H27/DAY(B2)</f>
        <v>157973.625</v>
      </c>
      <c r="K27" s="370"/>
      <c r="L27" s="438"/>
      <c r="N27" s="714"/>
      <c r="O27" s="721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G28+'15'!H28</f>
        <v>413816</v>
      </c>
      <c r="I28" s="500"/>
      <c r="J28" s="547">
        <f>H28/DAY(B2)</f>
        <v>25863.5</v>
      </c>
      <c r="K28" s="370"/>
      <c r="L28" s="438"/>
      <c r="N28" s="714"/>
      <c r="O28" s="721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G29+'15'!H29</f>
        <v>8280</v>
      </c>
      <c r="I29" s="500"/>
      <c r="J29" s="547">
        <f>H29/DAY(B2)</f>
        <v>517.5</v>
      </c>
      <c r="K29" s="370"/>
      <c r="L29" s="438"/>
      <c r="N29" s="714"/>
      <c r="O29" s="721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695">
        <f>G19</f>
        <v>57</v>
      </c>
      <c r="F30" s="496">
        <v>146</v>
      </c>
      <c r="G30" s="497">
        <f>E30*F30</f>
        <v>8322</v>
      </c>
      <c r="H30" s="455">
        <f>G30+'15'!H30</f>
        <v>-134904</v>
      </c>
      <c r="I30" s="500"/>
      <c r="J30" s="547">
        <f>H30/DAY(B2)</f>
        <v>-8431.5</v>
      </c>
      <c r="K30" s="370"/>
      <c r="L30" s="438"/>
      <c r="N30" s="714"/>
      <c r="O30" s="721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695">
        <f>G18</f>
        <v>60</v>
      </c>
      <c r="F31" s="496">
        <v>80</v>
      </c>
      <c r="G31" s="497">
        <f>E31*F31</f>
        <v>4800</v>
      </c>
      <c r="H31" s="455">
        <f>G31+'15'!H31</f>
        <v>72000</v>
      </c>
      <c r="I31" s="500"/>
      <c r="J31" s="547"/>
      <c r="K31" s="370"/>
      <c r="L31" s="438"/>
      <c r="N31" s="714"/>
      <c r="O31" s="721"/>
      <c r="P31" s="379"/>
    </row>
    <row r="32" spans="1:16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196072</v>
      </c>
      <c r="H32" s="455">
        <f>G32+'15'!H32</f>
        <v>2886770</v>
      </c>
      <c r="I32" s="504"/>
      <c r="J32" s="547">
        <f>H32/DAY(B2)</f>
        <v>180423.125</v>
      </c>
      <c r="K32" s="370"/>
      <c r="L32" s="438"/>
      <c r="N32" s="714"/>
      <c r="O32" s="721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1"/>
      <c r="P33" s="37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1"/>
      <c r="P34" s="379"/>
    </row>
    <row r="35" spans="1:16">
      <c r="A35" s="573" t="s">
        <v>229</v>
      </c>
      <c r="B35" s="574"/>
      <c r="C35" s="574"/>
      <c r="D35" s="518" t="s">
        <v>198</v>
      </c>
      <c r="E35" s="505">
        <f>'15'!F35</f>
        <v>917046</v>
      </c>
      <c r="F35" s="505">
        <v>918972</v>
      </c>
      <c r="G35" s="468">
        <f t="shared" ref="G35:G46" si="3">F35-E35</f>
        <v>1926</v>
      </c>
      <c r="H35" s="455">
        <f>G35+'15'!H35</f>
        <v>-31516</v>
      </c>
      <c r="I35" s="450"/>
      <c r="J35" s="547">
        <f>H35/DAY(B2)</f>
        <v>-1969.75</v>
      </c>
      <c r="K35" s="424"/>
      <c r="L35" s="374"/>
      <c r="N35" s="714"/>
      <c r="O35" s="722"/>
      <c r="P35" s="379"/>
    </row>
    <row r="36" spans="1:16">
      <c r="A36" s="573" t="s">
        <v>230</v>
      </c>
      <c r="B36" s="574"/>
      <c r="C36" s="574"/>
      <c r="D36" s="518" t="s">
        <v>198</v>
      </c>
      <c r="E36" s="505">
        <f>'15'!F36</f>
        <v>347065</v>
      </c>
      <c r="F36" s="505">
        <v>347065</v>
      </c>
      <c r="G36" s="468">
        <f t="shared" si="3"/>
        <v>0</v>
      </c>
      <c r="H36" s="455">
        <f>G36+'15'!H36</f>
        <v>346892</v>
      </c>
      <c r="I36" s="450"/>
      <c r="J36" s="547">
        <f>H36/DAY(B2)</f>
        <v>21680.75</v>
      </c>
      <c r="K36" s="424"/>
      <c r="L36" s="374"/>
      <c r="N36" s="715"/>
      <c r="O36" s="722"/>
      <c r="P36" s="379"/>
    </row>
    <row r="37" spans="1:16">
      <c r="A37" s="573" t="s">
        <v>231</v>
      </c>
      <c r="B37" s="574"/>
      <c r="C37" s="574"/>
      <c r="D37" s="518" t="s">
        <v>198</v>
      </c>
      <c r="E37" s="505">
        <f>'15'!F37</f>
        <v>113564</v>
      </c>
      <c r="F37" s="505">
        <v>114803</v>
      </c>
      <c r="G37" s="468">
        <f t="shared" si="3"/>
        <v>1239</v>
      </c>
      <c r="H37" s="455">
        <f>G37+'15'!H37</f>
        <v>-19433</v>
      </c>
      <c r="I37" s="450"/>
      <c r="J37" s="547">
        <f>H37/DAY(B2)</f>
        <v>-1214.5625</v>
      </c>
      <c r="K37" s="424"/>
      <c r="L37" s="374"/>
      <c r="N37" s="715"/>
      <c r="O37" s="722"/>
      <c r="P37" s="379"/>
    </row>
    <row r="38" spans="1:16">
      <c r="A38" s="573" t="s">
        <v>232</v>
      </c>
      <c r="B38" s="574"/>
      <c r="C38" s="574"/>
      <c r="D38" s="518" t="s">
        <v>198</v>
      </c>
      <c r="E38" s="505">
        <f>'15'!F38</f>
        <v>137637</v>
      </c>
      <c r="F38" s="464">
        <v>138734</v>
      </c>
      <c r="G38" s="468">
        <f t="shared" si="3"/>
        <v>1097</v>
      </c>
      <c r="H38" s="455">
        <f>G38+'15'!H38</f>
        <v>-17671</v>
      </c>
      <c r="I38" s="450"/>
      <c r="J38" s="547">
        <f>H38/DAY(B2)</f>
        <v>-1104.4375</v>
      </c>
      <c r="K38" s="424"/>
      <c r="L38" s="374"/>
      <c r="N38" s="714"/>
      <c r="O38" s="721"/>
      <c r="P38" s="379"/>
    </row>
    <row r="39" spans="1:16">
      <c r="A39" s="573" t="s">
        <v>233</v>
      </c>
      <c r="B39" s="574"/>
      <c r="C39" s="574"/>
      <c r="D39" s="518" t="s">
        <v>198</v>
      </c>
      <c r="E39" s="505">
        <f>'15'!F39</f>
        <v>273184</v>
      </c>
      <c r="F39" s="505">
        <v>275338</v>
      </c>
      <c r="G39" s="468">
        <f t="shared" si="3"/>
        <v>2154</v>
      </c>
      <c r="H39" s="455">
        <f>G39+'15'!H39</f>
        <v>-32835</v>
      </c>
      <c r="I39" s="450"/>
      <c r="J39" s="547">
        <f>H39/DAY(B2)</f>
        <v>-2052.1875</v>
      </c>
      <c r="K39" s="424"/>
      <c r="L39" s="374"/>
      <c r="N39" s="714"/>
      <c r="O39" s="722"/>
      <c r="P39" s="379"/>
    </row>
    <row r="40" spans="1:16">
      <c r="A40" s="594" t="s">
        <v>234</v>
      </c>
      <c r="B40" s="595"/>
      <c r="C40" s="595"/>
      <c r="D40" s="518" t="s">
        <v>198</v>
      </c>
      <c r="E40" s="505">
        <f>'15'!F40</f>
        <v>298</v>
      </c>
      <c r="F40" s="505">
        <v>350</v>
      </c>
      <c r="G40" s="468">
        <f t="shared" si="3"/>
        <v>52</v>
      </c>
      <c r="H40" s="455">
        <f>G40+'15'!H40</f>
        <v>-539</v>
      </c>
      <c r="I40" s="450"/>
      <c r="J40" s="547">
        <f>H40/DAY(B2)</f>
        <v>-33.6875</v>
      </c>
      <c r="K40" s="425"/>
      <c r="L40" s="374"/>
      <c r="N40" s="714"/>
      <c r="O40" s="721"/>
      <c r="P40" s="379"/>
    </row>
    <row r="41" spans="1:16">
      <c r="A41" s="573" t="s">
        <v>235</v>
      </c>
      <c r="B41" s="574"/>
      <c r="C41" s="574"/>
      <c r="D41" s="518" t="s">
        <v>198</v>
      </c>
      <c r="E41" s="505">
        <f>'15'!F41</f>
        <v>239668</v>
      </c>
      <c r="F41" s="505">
        <v>239668</v>
      </c>
      <c r="G41" s="468">
        <f t="shared" si="3"/>
        <v>0</v>
      </c>
      <c r="H41" s="455">
        <f>G41+'15'!H41</f>
        <v>-810</v>
      </c>
      <c r="I41" s="450"/>
      <c r="J41" s="547">
        <f>H41/DAY(B2)</f>
        <v>-50.625</v>
      </c>
      <c r="K41" s="424"/>
      <c r="L41" s="374"/>
      <c r="N41" s="714"/>
      <c r="O41" s="723"/>
      <c r="P41" s="717"/>
    </row>
    <row r="42" spans="1:16">
      <c r="A42" s="573" t="s">
        <v>236</v>
      </c>
      <c r="B42" s="574"/>
      <c r="C42" s="574"/>
      <c r="D42" s="518" t="s">
        <v>198</v>
      </c>
      <c r="E42" s="505">
        <f>'15'!F42</f>
        <v>59200</v>
      </c>
      <c r="F42" s="505">
        <v>59200</v>
      </c>
      <c r="G42" s="468">
        <f>F42-E42</f>
        <v>0</v>
      </c>
      <c r="H42" s="455">
        <f>G42+'15'!H42</f>
        <v>1.0299999999988358</v>
      </c>
      <c r="I42" s="450"/>
      <c r="J42" s="547">
        <f>H42/DAY(B2)</f>
        <v>6.437499999992724E-2</v>
      </c>
      <c r="K42" s="424"/>
      <c r="L42" s="374"/>
      <c r="N42" s="714"/>
      <c r="O42" s="721"/>
      <c r="P42" s="379"/>
    </row>
    <row r="43" spans="1:16">
      <c r="A43" s="573" t="s">
        <v>237</v>
      </c>
      <c r="B43" s="574"/>
      <c r="C43" s="574"/>
      <c r="D43" s="518" t="s">
        <v>198</v>
      </c>
      <c r="E43" s="505">
        <f>'15'!F43</f>
        <v>1006633</v>
      </c>
      <c r="F43" s="505">
        <v>1008759</v>
      </c>
      <c r="G43" s="468">
        <f t="shared" si="3"/>
        <v>2126</v>
      </c>
      <c r="H43" s="455">
        <f>G43+'15'!H43</f>
        <v>-33485</v>
      </c>
      <c r="I43" s="450"/>
      <c r="J43" s="547">
        <f>H43/DAY(B2)</f>
        <v>-2092.8125</v>
      </c>
      <c r="K43" s="424"/>
      <c r="L43" s="374"/>
      <c r="N43" s="714"/>
      <c r="O43" s="722"/>
      <c r="P43" s="379"/>
    </row>
    <row r="44" spans="1:16">
      <c r="A44" s="573" t="s">
        <v>238</v>
      </c>
      <c r="B44" s="574"/>
      <c r="C44" s="574"/>
      <c r="D44" s="518" t="s">
        <v>198</v>
      </c>
      <c r="E44" s="505">
        <f>'15'!F44</f>
        <v>0</v>
      </c>
      <c r="F44" s="505">
        <v>0</v>
      </c>
      <c r="G44" s="468">
        <f t="shared" si="3"/>
        <v>0</v>
      </c>
      <c r="H44" s="455">
        <f>G44+'15'!H44</f>
        <v>0</v>
      </c>
      <c r="I44" s="450"/>
      <c r="J44" s="547">
        <f>H44/DAY(B2)</f>
        <v>0</v>
      </c>
      <c r="K44" s="424"/>
      <c r="L44" s="374"/>
      <c r="N44" s="714"/>
      <c r="O44" s="721"/>
      <c r="P44" s="379"/>
    </row>
    <row r="45" spans="1:16">
      <c r="A45" s="573" t="s">
        <v>239</v>
      </c>
      <c r="B45" s="574"/>
      <c r="C45" s="574"/>
      <c r="D45" s="518" t="s">
        <v>198</v>
      </c>
      <c r="E45" s="505">
        <f>'15'!F45</f>
        <v>614</v>
      </c>
      <c r="F45" s="505">
        <v>614</v>
      </c>
      <c r="G45" s="468">
        <f t="shared" si="3"/>
        <v>0</v>
      </c>
      <c r="H45" s="455">
        <f>G45+'15'!H45</f>
        <v>0</v>
      </c>
      <c r="I45" s="450"/>
      <c r="J45" s="547">
        <f>H45/DAY(B2)</f>
        <v>0</v>
      </c>
      <c r="K45" s="424"/>
      <c r="L45" s="374"/>
      <c r="N45" s="718"/>
      <c r="O45" s="721"/>
      <c r="P45" s="379"/>
    </row>
    <row r="46" spans="1:16">
      <c r="A46" s="573" t="s">
        <v>240</v>
      </c>
      <c r="B46" s="574"/>
      <c r="C46" s="574"/>
      <c r="D46" s="518" t="s">
        <v>198</v>
      </c>
      <c r="E46" s="505">
        <f>'15'!F46</f>
        <v>187.49</v>
      </c>
      <c r="F46" s="505">
        <v>187.49</v>
      </c>
      <c r="G46" s="468">
        <f t="shared" si="3"/>
        <v>0</v>
      </c>
      <c r="H46" s="455">
        <f>G46+'15'!H46</f>
        <v>0</v>
      </c>
      <c r="I46" s="450"/>
      <c r="J46" s="547">
        <f>H46/DAY(B2)</f>
        <v>0</v>
      </c>
      <c r="K46" s="424"/>
      <c r="L46" s="374"/>
      <c r="N46" s="714"/>
      <c r="O46" s="721"/>
      <c r="P46" s="379"/>
    </row>
    <row r="47" spans="1:16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8594</v>
      </c>
      <c r="H47" s="455">
        <f>G47+'15'!H47</f>
        <v>210604.52000000002</v>
      </c>
      <c r="I47" s="450"/>
      <c r="J47" s="547">
        <f>H47/DAY(B2)</f>
        <v>13162.782500000001</v>
      </c>
      <c r="K47" s="424"/>
      <c r="L47" s="374"/>
      <c r="N47" s="714"/>
      <c r="O47" s="721"/>
      <c r="P47" s="37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1"/>
      <c r="P48" s="379"/>
    </row>
    <row r="49" spans="1:16">
      <c r="A49" s="573" t="s">
        <v>229</v>
      </c>
      <c r="B49" s="596"/>
      <c r="C49" s="596"/>
      <c r="D49" s="518" t="s">
        <v>198</v>
      </c>
      <c r="E49" s="505">
        <f>'15'!F49</f>
        <v>260732</v>
      </c>
      <c r="F49" s="505">
        <v>260732.13</v>
      </c>
      <c r="G49" s="468">
        <f t="shared" ref="G49:G58" si="4">F49-E49</f>
        <v>0.13000000000465661</v>
      </c>
      <c r="H49" s="455">
        <f>G49+'15'!H49</f>
        <v>0.13000000000465661</v>
      </c>
      <c r="I49" s="450"/>
      <c r="J49" s="547">
        <f>H49/DAY(B2)</f>
        <v>8.1250000002910383E-3</v>
      </c>
      <c r="K49" s="424">
        <f>E49+244</f>
        <v>260976</v>
      </c>
      <c r="L49" s="374"/>
      <c r="N49" s="714"/>
      <c r="O49" s="721"/>
      <c r="P49" s="379"/>
    </row>
    <row r="50" spans="1:16">
      <c r="A50" s="573" t="s">
        <v>243</v>
      </c>
      <c r="B50" s="596"/>
      <c r="C50" s="596"/>
      <c r="D50" s="518" t="s">
        <v>198</v>
      </c>
      <c r="E50" s="505">
        <f>'15'!F50</f>
        <v>488424</v>
      </c>
      <c r="F50" s="505">
        <v>489245</v>
      </c>
      <c r="G50" s="468">
        <f t="shared" si="4"/>
        <v>821</v>
      </c>
      <c r="H50" s="455">
        <f>G50+'15'!H50</f>
        <v>-14181</v>
      </c>
      <c r="I50" s="450"/>
      <c r="J50" s="547">
        <f>H50/DAY(B2)</f>
        <v>-886.3125</v>
      </c>
      <c r="K50" s="424"/>
      <c r="L50" s="374"/>
      <c r="N50" s="714"/>
      <c r="O50" s="722"/>
      <c r="P50" s="379"/>
    </row>
    <row r="51" spans="1:16">
      <c r="A51" s="573" t="s">
        <v>231</v>
      </c>
      <c r="B51" s="596"/>
      <c r="C51" s="596"/>
      <c r="D51" s="518" t="s">
        <v>198</v>
      </c>
      <c r="E51" s="505">
        <f>'15'!F51</f>
        <v>144639.87</v>
      </c>
      <c r="F51" s="505">
        <v>144639.87</v>
      </c>
      <c r="G51" s="468">
        <f t="shared" si="4"/>
        <v>0</v>
      </c>
      <c r="H51" s="455">
        <f>G51+'15'!H51</f>
        <v>-0.13000000000465661</v>
      </c>
      <c r="I51" s="450"/>
      <c r="J51" s="547">
        <f>H51/DAY(B2)</f>
        <v>-8.1250000002910383E-3</v>
      </c>
      <c r="K51" s="424"/>
      <c r="L51" s="374"/>
      <c r="N51" s="714"/>
      <c r="O51" s="721"/>
      <c r="P51" s="379"/>
    </row>
    <row r="52" spans="1:16">
      <c r="A52" s="573" t="s">
        <v>244</v>
      </c>
      <c r="B52" s="596"/>
      <c r="C52" s="596"/>
      <c r="D52" s="518" t="s">
        <v>198</v>
      </c>
      <c r="E52" s="505">
        <f>'15'!F52</f>
        <v>539606</v>
      </c>
      <c r="F52" s="505">
        <v>539606</v>
      </c>
      <c r="G52" s="468">
        <f t="shared" si="4"/>
        <v>0</v>
      </c>
      <c r="H52" s="455">
        <f>G52+'15'!H52</f>
        <v>-6.9999999948777258E-2</v>
      </c>
      <c r="I52" s="450"/>
      <c r="J52" s="547">
        <f>H52/DAY(B2)</f>
        <v>-4.3749999967985786E-3</v>
      </c>
      <c r="K52" s="424"/>
      <c r="L52" s="374"/>
      <c r="N52" s="714"/>
      <c r="O52" s="721"/>
      <c r="P52" s="379"/>
    </row>
    <row r="53" spans="1:16">
      <c r="A53" s="573" t="s">
        <v>233</v>
      </c>
      <c r="B53" s="596"/>
      <c r="C53" s="596"/>
      <c r="D53" s="518" t="s">
        <v>198</v>
      </c>
      <c r="E53" s="505">
        <f>'15'!F53</f>
        <v>423999</v>
      </c>
      <c r="F53" s="505">
        <v>424453</v>
      </c>
      <c r="G53" s="468">
        <f t="shared" si="4"/>
        <v>454</v>
      </c>
      <c r="H53" s="455">
        <f>G53+'15'!H53</f>
        <v>-8115.3300000000163</v>
      </c>
      <c r="I53" s="450"/>
      <c r="J53" s="547">
        <f>H53/DAY(B2)</f>
        <v>-507.20812500000102</v>
      </c>
      <c r="K53" s="424"/>
      <c r="L53" s="374"/>
      <c r="N53" s="714"/>
      <c r="O53" s="721"/>
      <c r="P53" s="379"/>
    </row>
    <row r="54" spans="1:16">
      <c r="A54" s="573" t="s">
        <v>245</v>
      </c>
      <c r="B54" s="596"/>
      <c r="C54" s="596"/>
      <c r="D54" s="518" t="s">
        <v>198</v>
      </c>
      <c r="E54" s="505">
        <f>'15'!F54</f>
        <v>12469</v>
      </c>
      <c r="F54" s="505">
        <v>12542</v>
      </c>
      <c r="G54" s="468">
        <f t="shared" si="4"/>
        <v>73</v>
      </c>
      <c r="H54" s="455">
        <f>G54+'15'!H54</f>
        <v>-1287</v>
      </c>
      <c r="I54" s="450"/>
      <c r="J54" s="547">
        <f>H54/DAY(B2)</f>
        <v>-80.4375</v>
      </c>
      <c r="K54" s="424"/>
      <c r="L54" s="374"/>
      <c r="N54" s="714"/>
      <c r="O54" s="721"/>
      <c r="P54" s="379"/>
    </row>
    <row r="55" spans="1:16">
      <c r="A55" s="573" t="s">
        <v>246</v>
      </c>
      <c r="B55" s="596"/>
      <c r="C55" s="596"/>
      <c r="D55" s="518" t="s">
        <v>198</v>
      </c>
      <c r="E55" s="505">
        <f>'15'!F55</f>
        <v>15098</v>
      </c>
      <c r="F55" s="649">
        <v>19546</v>
      </c>
      <c r="G55" s="648">
        <f t="shared" si="4"/>
        <v>4448</v>
      </c>
      <c r="H55" s="701">
        <f>G55+'15'!H55</f>
        <v>-48565</v>
      </c>
      <c r="I55" s="702"/>
      <c r="J55" s="703">
        <f>H55/DAY(B2)</f>
        <v>-3035.3125</v>
      </c>
      <c r="K55" s="424"/>
      <c r="L55" s="374"/>
      <c r="N55" s="714"/>
      <c r="O55" s="721"/>
      <c r="P55" s="379"/>
    </row>
    <row r="56" spans="1:16">
      <c r="A56" s="573" t="s">
        <v>247</v>
      </c>
      <c r="B56" s="596"/>
      <c r="C56" s="596"/>
      <c r="D56" s="518" t="s">
        <v>248</v>
      </c>
      <c r="E56" s="505">
        <f>'15'!F56</f>
        <v>589435.47</v>
      </c>
      <c r="F56" s="649">
        <v>589435.47</v>
      </c>
      <c r="G56" s="468">
        <f t="shared" si="4"/>
        <v>0</v>
      </c>
      <c r="H56" s="455">
        <f>G56+'15'!H56</f>
        <v>-27762.530000000028</v>
      </c>
      <c r="I56" s="450"/>
      <c r="J56" s="547">
        <f>H56/DAY(B2)</f>
        <v>-1735.1581250000017</v>
      </c>
      <c r="K56" s="423"/>
      <c r="L56" s="374"/>
      <c r="N56" s="714"/>
      <c r="O56" s="723"/>
      <c r="P56" s="379"/>
    </row>
    <row r="57" spans="1:16">
      <c r="A57" s="573" t="s">
        <v>237</v>
      </c>
      <c r="B57" s="596"/>
      <c r="C57" s="596"/>
      <c r="D57" s="518" t="s">
        <v>198</v>
      </c>
      <c r="E57" s="505">
        <f>'15'!F57</f>
        <v>7711.33</v>
      </c>
      <c r="F57" s="505">
        <v>7711.33</v>
      </c>
      <c r="G57" s="468">
        <f t="shared" si="4"/>
        <v>0</v>
      </c>
      <c r="H57" s="455">
        <f>G57+'15'!H57</f>
        <v>0.32999999999992724</v>
      </c>
      <c r="I57" s="450"/>
      <c r="J57" s="547">
        <f>H57/DAY(B2)</f>
        <v>2.0624999999995453E-2</v>
      </c>
      <c r="K57" s="424"/>
      <c r="L57" s="374"/>
      <c r="N57" s="714"/>
      <c r="O57" s="721"/>
      <c r="P57" s="379"/>
    </row>
    <row r="58" spans="1:16">
      <c r="A58" s="573" t="s">
        <v>249</v>
      </c>
      <c r="B58" s="596"/>
      <c r="C58" s="596"/>
      <c r="D58" s="518" t="s">
        <v>198</v>
      </c>
      <c r="E58" s="505">
        <f>'15'!F58</f>
        <v>47905</v>
      </c>
      <c r="F58" s="649">
        <v>47905</v>
      </c>
      <c r="G58" s="468">
        <f t="shared" si="4"/>
        <v>0</v>
      </c>
      <c r="H58" s="455">
        <f>G58+'15'!H58</f>
        <v>-1959.2099999999991</v>
      </c>
      <c r="I58" s="450"/>
      <c r="J58" s="547">
        <f>H58/DAY(B2)</f>
        <v>-122.45062499999995</v>
      </c>
      <c r="K58" s="424"/>
      <c r="L58" s="374"/>
      <c r="N58" s="714"/>
      <c r="O58" s="721"/>
      <c r="P58" s="37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5796.1300000000047</v>
      </c>
      <c r="H59" s="455">
        <f>G59+'15'!H59</f>
        <v>-101869.74000000005</v>
      </c>
      <c r="I59" s="450">
        <f>G7-G60</f>
        <v>2609.8699999999953</v>
      </c>
      <c r="J59" s="547">
        <f>H59/DAY(B2)</f>
        <v>-6366.8587500000031</v>
      </c>
      <c r="K59" s="424"/>
      <c r="L59" s="374"/>
      <c r="N59" s="714"/>
      <c r="O59" s="721"/>
      <c r="P59" s="37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14390.130000000005</v>
      </c>
      <c r="H60" s="455">
        <f>G60+'15'!H60</f>
        <v>109943.31999999998</v>
      </c>
      <c r="I60" s="450">
        <f>G13-G60</f>
        <v>2559.8699999999953</v>
      </c>
      <c r="J60" s="547">
        <f>H60/DAY(B2)</f>
        <v>6871.4574999999986</v>
      </c>
      <c r="K60" s="424"/>
      <c r="L60" s="374"/>
      <c r="N60" s="714"/>
      <c r="O60" s="721"/>
      <c r="P60" s="37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1"/>
      <c r="P61" s="379"/>
    </row>
    <row r="62" spans="1:16">
      <c r="A62" s="598" t="s">
        <v>252</v>
      </c>
      <c r="B62" s="599"/>
      <c r="C62" s="599"/>
      <c r="D62" s="506" t="s">
        <v>253</v>
      </c>
      <c r="E62" s="509">
        <f>'15'!F62</f>
        <v>20419.18</v>
      </c>
      <c r="F62" s="509">
        <v>20419.18</v>
      </c>
      <c r="G62" s="468">
        <f t="shared" ref="G62:G69" si="5">F62-E62</f>
        <v>0</v>
      </c>
      <c r="H62" s="455">
        <f>G62+'15'!H62</f>
        <v>0.18199999999706051</v>
      </c>
      <c r="I62" s="510"/>
      <c r="J62" s="547">
        <f>H62/DAY(B2)</f>
        <v>1.1374999999816282E-2</v>
      </c>
      <c r="K62" s="424"/>
      <c r="L62" s="374"/>
      <c r="N62" s="714"/>
      <c r="O62" s="721"/>
      <c r="P62" s="379"/>
    </row>
    <row r="63" spans="1:16">
      <c r="A63" s="598" t="s">
        <v>254</v>
      </c>
      <c r="B63" s="599"/>
      <c r="C63" s="599"/>
      <c r="D63" s="506" t="s">
        <v>253</v>
      </c>
      <c r="E63" s="509">
        <f>'15'!F63</f>
        <v>2415</v>
      </c>
      <c r="F63" s="509">
        <v>2419</v>
      </c>
      <c r="G63" s="468">
        <f t="shared" si="5"/>
        <v>4</v>
      </c>
      <c r="H63" s="455">
        <f>G63+'15'!H63</f>
        <v>2419</v>
      </c>
      <c r="I63" s="510"/>
      <c r="J63" s="547">
        <f>H63/DAY(B2)</f>
        <v>151.1875</v>
      </c>
      <c r="K63" s="424"/>
      <c r="L63" s="374"/>
      <c r="N63" s="714"/>
      <c r="O63" s="721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1147">
        <f>'15'!F64</f>
        <v>156403</v>
      </c>
      <c r="F64" s="621">
        <v>156604</v>
      </c>
      <c r="G64" s="769">
        <f t="shared" si="5"/>
        <v>201</v>
      </c>
      <c r="H64" s="455">
        <f>G64+'15'!H64</f>
        <v>-3328</v>
      </c>
      <c r="I64" s="475"/>
      <c r="J64" s="547">
        <f>H64/DAY(B2)</f>
        <v>-208</v>
      </c>
      <c r="K64" s="424"/>
      <c r="L64" s="374"/>
      <c r="N64" s="714"/>
      <c r="O64" s="721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509">
        <f>'15'!F65</f>
        <v>157372</v>
      </c>
      <c r="F65" s="647">
        <v>157667</v>
      </c>
      <c r="G65" s="468">
        <f t="shared" si="5"/>
        <v>295</v>
      </c>
      <c r="H65" s="455">
        <f>G65+'15'!H65</f>
        <v>-3331</v>
      </c>
      <c r="I65" s="484"/>
      <c r="J65" s="547">
        <f>H65/DAY(B2)</f>
        <v>-208.1875</v>
      </c>
      <c r="K65" s="424"/>
      <c r="L65" s="374"/>
      <c r="N65" s="714"/>
      <c r="O65" s="722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509">
        <f>'15'!F66</f>
        <v>52447</v>
      </c>
      <c r="F66" s="473">
        <v>52707</v>
      </c>
      <c r="G66" s="468">
        <f t="shared" si="5"/>
        <v>260</v>
      </c>
      <c r="H66" s="455">
        <f>G66+'15'!H66</f>
        <v>-4098</v>
      </c>
      <c r="I66" s="475"/>
      <c r="J66" s="547">
        <f>H66/DAY(B2)</f>
        <v>-256.125</v>
      </c>
      <c r="K66" s="424"/>
      <c r="L66" s="374"/>
      <c r="N66" s="714"/>
      <c r="O66" s="721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509">
        <f>'15'!F67</f>
        <v>245741</v>
      </c>
      <c r="F67" s="473">
        <v>246073</v>
      </c>
      <c r="G67" s="468">
        <f t="shared" si="5"/>
        <v>332</v>
      </c>
      <c r="H67" s="455">
        <f>G67+'15'!H67</f>
        <v>-6119</v>
      </c>
      <c r="I67" s="484"/>
      <c r="J67" s="547">
        <f>H67/DAY(B2)</f>
        <v>-382.4375</v>
      </c>
      <c r="K67" s="425"/>
      <c r="L67" s="374"/>
      <c r="N67" s="714"/>
      <c r="O67" s="721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509">
        <f>'15'!F68</f>
        <v>85321</v>
      </c>
      <c r="F68" s="473">
        <v>85321</v>
      </c>
      <c r="G68" s="468">
        <f t="shared" si="5"/>
        <v>0</v>
      </c>
      <c r="H68" s="455">
        <f>G68+'15'!H68</f>
        <v>0</v>
      </c>
      <c r="I68" s="511"/>
      <c r="J68" s="547">
        <f>H68/DAY(B2)</f>
        <v>0</v>
      </c>
      <c r="K68" s="426"/>
      <c r="L68" s="374"/>
      <c r="N68" s="714"/>
      <c r="O68" s="721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509">
        <f>'15'!F69</f>
        <v>80090</v>
      </c>
      <c r="F69" s="473">
        <v>80185</v>
      </c>
      <c r="G69" s="468">
        <f t="shared" si="5"/>
        <v>95</v>
      </c>
      <c r="H69" s="455">
        <f>G69+'15'!H69</f>
        <v>-1564</v>
      </c>
      <c r="I69" s="511"/>
      <c r="J69" s="547">
        <f>H69/DAY(B2)</f>
        <v>-97.75</v>
      </c>
      <c r="K69" s="427"/>
      <c r="L69" s="374"/>
      <c r="N69" s="714"/>
      <c r="O69" s="721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/>
      <c r="I70" s="513"/>
      <c r="J70" s="551"/>
      <c r="K70" s="427"/>
      <c r="L70" s="374"/>
      <c r="N70" s="714"/>
      <c r="O70" s="721"/>
      <c r="P70" s="379"/>
    </row>
    <row r="71" spans="1:16" ht="31.5">
      <c r="A71" s="1496"/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1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4">
        <f>'15'!F72</f>
        <v>855675</v>
      </c>
      <c r="F72" s="650">
        <v>855682</v>
      </c>
      <c r="G72" s="468">
        <f t="shared" ref="G72:G84" si="6">F72-E72</f>
        <v>7</v>
      </c>
      <c r="H72" s="455">
        <f>G72+'15'!H72</f>
        <v>-204</v>
      </c>
      <c r="I72" s="475"/>
      <c r="J72" s="547">
        <f>H72/DAY(B2)</f>
        <v>-12.75</v>
      </c>
      <c r="K72" s="427"/>
      <c r="L72" s="374"/>
      <c r="N72" s="714"/>
      <c r="O72" s="721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4">
        <f>'15'!F73</f>
        <v>885892</v>
      </c>
      <c r="F73" s="651">
        <v>885892</v>
      </c>
      <c r="G73" s="648">
        <f t="shared" si="6"/>
        <v>0</v>
      </c>
      <c r="H73" s="455">
        <f>G73+'15'!H73</f>
        <v>141</v>
      </c>
      <c r="I73" s="475"/>
      <c r="J73" s="547">
        <f>H73/DAY(B2)</f>
        <v>8.8125</v>
      </c>
      <c r="K73" s="426"/>
      <c r="L73" s="374"/>
      <c r="N73" s="714"/>
      <c r="O73" s="721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4">
        <f>'15'!F74</f>
        <v>2480</v>
      </c>
      <c r="F74" s="651">
        <v>2489</v>
      </c>
      <c r="G74" s="468">
        <f t="shared" si="6"/>
        <v>9</v>
      </c>
      <c r="H74" s="455">
        <f>G74+'15'!H74</f>
        <v>-97</v>
      </c>
      <c r="I74" s="475"/>
      <c r="J74" s="547">
        <f>H74/DAY(B2)</f>
        <v>-6.0625</v>
      </c>
      <c r="K74" s="427"/>
      <c r="L74" s="374"/>
      <c r="N74" s="714"/>
      <c r="O74" s="721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4">
        <f>'15'!F75</f>
        <v>11767</v>
      </c>
      <c r="F75" s="651">
        <v>11821</v>
      </c>
      <c r="G75" s="468">
        <f t="shared" si="6"/>
        <v>54</v>
      </c>
      <c r="H75" s="455">
        <f>G75+'15'!H75</f>
        <v>-848</v>
      </c>
      <c r="I75" s="475"/>
      <c r="J75" s="547">
        <f>H75/DAY(B2)</f>
        <v>-53</v>
      </c>
      <c r="K75" s="426"/>
      <c r="L75" s="374"/>
      <c r="N75" s="714"/>
      <c r="O75" s="721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4">
        <f>'15'!F76</f>
        <v>6522</v>
      </c>
      <c r="F76" s="651">
        <v>6578</v>
      </c>
      <c r="G76" s="468">
        <f t="shared" si="6"/>
        <v>56</v>
      </c>
      <c r="H76" s="455">
        <f>G76+'15'!H76</f>
        <v>-628</v>
      </c>
      <c r="I76" s="500"/>
      <c r="J76" s="547">
        <f>H76/DAY(B2)</f>
        <v>-39.25</v>
      </c>
      <c r="K76" s="426"/>
      <c r="L76" s="374"/>
      <c r="N76" s="714"/>
      <c r="O76" s="721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4">
        <f>'15'!F77</f>
        <v>702236</v>
      </c>
      <c r="F77" s="651">
        <v>702265</v>
      </c>
      <c r="G77" s="648">
        <f t="shared" si="6"/>
        <v>29</v>
      </c>
      <c r="H77" s="455">
        <f>G77+'15'!H77</f>
        <v>-574</v>
      </c>
      <c r="I77" s="500"/>
      <c r="J77" s="547">
        <f>H77/DAY(B2)</f>
        <v>-35.875</v>
      </c>
      <c r="K77" s="426"/>
      <c r="L77" s="374"/>
      <c r="N77" s="714"/>
      <c r="O77" s="721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4">
        <f>'15'!F78</f>
        <v>671267</v>
      </c>
      <c r="F78" s="652">
        <v>671385</v>
      </c>
      <c r="G78" s="468">
        <f t="shared" si="6"/>
        <v>118</v>
      </c>
      <c r="H78" s="455">
        <f>G78+'15'!H78</f>
        <v>-1647</v>
      </c>
      <c r="I78" s="500"/>
      <c r="J78" s="547">
        <f>H78/DAY(B2)</f>
        <v>-102.9375</v>
      </c>
      <c r="K78" s="426"/>
      <c r="L78" s="374"/>
      <c r="N78" s="714"/>
      <c r="O78" s="721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4">
        <f>'15'!F79</f>
        <v>828930</v>
      </c>
      <c r="F79" s="652">
        <v>829050</v>
      </c>
      <c r="G79" s="468">
        <f t="shared" si="6"/>
        <v>120</v>
      </c>
      <c r="H79" s="455">
        <f>G79+'15'!H79</f>
        <v>-2972</v>
      </c>
      <c r="I79" s="500"/>
      <c r="J79" s="547">
        <f>H79/DAY(B2)</f>
        <v>-185.75</v>
      </c>
      <c r="K79" s="426"/>
      <c r="L79" s="374"/>
      <c r="N79" s="714"/>
      <c r="O79" s="721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4">
        <f>'15'!F80</f>
        <v>522087</v>
      </c>
      <c r="F80" s="651">
        <v>522420</v>
      </c>
      <c r="G80" s="468">
        <f t="shared" si="6"/>
        <v>333</v>
      </c>
      <c r="H80" s="455">
        <f>G80+'15'!H80</f>
        <v>-8125.5200000000186</v>
      </c>
      <c r="I80" s="500"/>
      <c r="J80" s="547">
        <f>H80/DAY(B2)</f>
        <v>-507.84500000000116</v>
      </c>
      <c r="K80" s="426"/>
      <c r="L80" s="374"/>
      <c r="N80" s="714"/>
      <c r="O80" s="721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4">
        <f>'15'!F81</f>
        <v>637594</v>
      </c>
      <c r="F81" s="651">
        <v>637676</v>
      </c>
      <c r="G81" s="468">
        <f t="shared" si="6"/>
        <v>82</v>
      </c>
      <c r="H81" s="455">
        <f>G81+'15'!H81</f>
        <v>-1222</v>
      </c>
      <c r="I81" s="500"/>
      <c r="J81" s="547">
        <f>H81/DAY(B2)</f>
        <v>-76.375</v>
      </c>
      <c r="K81" s="426"/>
      <c r="L81" s="374"/>
      <c r="N81" s="714"/>
      <c r="O81" s="721"/>
      <c r="P81" s="379"/>
    </row>
    <row r="82" spans="1:16" s="436" customFormat="1" ht="27.75">
      <c r="A82" s="1522" t="s">
        <v>267</v>
      </c>
      <c r="B82" s="1523"/>
      <c r="C82" s="1524"/>
      <c r="D82" s="647" t="s">
        <v>198</v>
      </c>
      <c r="E82" s="515">
        <f>'15'!F82</f>
        <v>107909</v>
      </c>
      <c r="F82" s="647">
        <v>107919</v>
      </c>
      <c r="G82" s="648">
        <f t="shared" si="6"/>
        <v>10</v>
      </c>
      <c r="H82" s="701">
        <f>G82+'15'!H82</f>
        <v>-239</v>
      </c>
      <c r="I82" s="701"/>
      <c r="J82" s="703">
        <f>H82/DAY(B2)</f>
        <v>-14.9375</v>
      </c>
      <c r="K82" s="1219"/>
      <c r="L82" s="1102"/>
      <c r="N82" s="714"/>
      <c r="O82" s="723"/>
      <c r="P82" s="709"/>
    </row>
    <row r="83" spans="1:16" ht="27.75">
      <c r="A83" s="1499" t="s">
        <v>268</v>
      </c>
      <c r="B83" s="1500"/>
      <c r="C83" s="1501"/>
      <c r="D83" s="615" t="s">
        <v>198</v>
      </c>
      <c r="E83" s="514">
        <f>'15'!F83</f>
        <v>17788</v>
      </c>
      <c r="F83" s="506">
        <v>17904</v>
      </c>
      <c r="G83" s="468">
        <f t="shared" si="6"/>
        <v>116</v>
      </c>
      <c r="H83" s="455">
        <f>G83+'15'!H83</f>
        <v>-2602</v>
      </c>
      <c r="I83" s="476"/>
      <c r="J83" s="547">
        <f>H83/DAY(B2)</f>
        <v>-162.625</v>
      </c>
      <c r="K83" s="425"/>
      <c r="L83" s="374"/>
      <c r="N83" s="714"/>
      <c r="O83" s="721"/>
      <c r="P83" s="379"/>
    </row>
    <row r="84" spans="1:16">
      <c r="A84" s="1396" t="s">
        <v>166</v>
      </c>
      <c r="B84" s="566"/>
      <c r="C84" s="566"/>
      <c r="D84" s="473" t="s">
        <v>198</v>
      </c>
      <c r="E84" s="514">
        <f>'15'!F84</f>
        <v>490696</v>
      </c>
      <c r="F84" s="622">
        <v>491207</v>
      </c>
      <c r="G84" s="468">
        <f t="shared" si="6"/>
        <v>511</v>
      </c>
      <c r="H84" s="455">
        <f>G84+'15'!H84</f>
        <v>-9087</v>
      </c>
      <c r="I84" s="476"/>
      <c r="J84" s="547">
        <f>H84/DAY(B2)</f>
        <v>-567.9375</v>
      </c>
      <c r="K84" s="377"/>
      <c r="L84" s="374"/>
      <c r="N84" s="714"/>
      <c r="O84" s="721"/>
      <c r="P84" s="379"/>
    </row>
    <row r="85" spans="1:16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1445</v>
      </c>
      <c r="H85" s="455">
        <f>G85+'15'!H85</f>
        <v>-24561</v>
      </c>
      <c r="I85" s="476"/>
      <c r="J85" s="547">
        <f>H85/DAY(B2)</f>
        <v>-1535.0625</v>
      </c>
      <c r="K85" s="377"/>
      <c r="L85" s="375"/>
      <c r="N85" s="714"/>
      <c r="O85" s="721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'15'!F86</f>
        <v>460414</v>
      </c>
      <c r="F86" s="643">
        <v>460442</v>
      </c>
      <c r="G86" s="701">
        <f t="shared" ref="G86:G91" si="7">F86-E86</f>
        <v>28</v>
      </c>
      <c r="H86" s="701">
        <f t="shared" ref="H86:H88" si="8">G86</f>
        <v>28</v>
      </c>
      <c r="I86" s="648"/>
      <c r="J86" s="703">
        <f>H86/DAY(B2)</f>
        <v>1.75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'15'!F87</f>
        <v>81105</v>
      </c>
      <c r="F87" s="643">
        <v>81109</v>
      </c>
      <c r="G87" s="701">
        <f t="shared" si="7"/>
        <v>4</v>
      </c>
      <c r="H87" s="701">
        <f t="shared" si="8"/>
        <v>4</v>
      </c>
      <c r="I87" s="648"/>
      <c r="J87" s="703">
        <f>H87/DAY(B2)</f>
        <v>0.25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'15'!F88</f>
        <v>152445</v>
      </c>
      <c r="F88" s="1350">
        <v>152454</v>
      </c>
      <c r="G88" s="701">
        <f t="shared" si="7"/>
        <v>9</v>
      </c>
      <c r="H88" s="701">
        <f t="shared" si="8"/>
        <v>9</v>
      </c>
      <c r="I88" s="648"/>
      <c r="J88" s="703">
        <f>H88/DAY(B2)</f>
        <v>0.5625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'15'!F89</f>
        <v>64930</v>
      </c>
      <c r="F89" s="643">
        <v>64937</v>
      </c>
      <c r="G89" s="701">
        <f t="shared" si="7"/>
        <v>7</v>
      </c>
      <c r="H89" s="701">
        <f>G89</f>
        <v>7</v>
      </c>
      <c r="I89" s="648"/>
      <c r="J89" s="703">
        <f>H89/DAY(B2)</f>
        <v>0.4375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'15'!F90</f>
        <v>3272.5</v>
      </c>
      <c r="F90" s="643">
        <v>3272.5</v>
      </c>
      <c r="G90" s="701">
        <f t="shared" si="7"/>
        <v>0</v>
      </c>
      <c r="H90" s="701">
        <f>G90</f>
        <v>0</v>
      </c>
      <c r="I90" s="648"/>
      <c r="J90" s="703">
        <f>H90/DAY(B2)</f>
        <v>0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/>
      <c r="E91" s="622">
        <f>'15'!F91</f>
        <v>27954</v>
      </c>
      <c r="F91" s="643">
        <v>27954</v>
      </c>
      <c r="G91" s="701">
        <f t="shared" si="7"/>
        <v>0</v>
      </c>
      <c r="H91" s="701">
        <f>G91</f>
        <v>0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14"/>
      <c r="O92" s="721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479">
        <f>'15'!F93</f>
        <v>245032</v>
      </c>
      <c r="F93" s="473">
        <v>245077</v>
      </c>
      <c r="G93" s="468">
        <f t="shared" ref="G93:G94" si="9">F93-E93</f>
        <v>45</v>
      </c>
      <c r="H93" s="455">
        <f>G93+'15'!H93</f>
        <v>-411</v>
      </c>
      <c r="I93" s="475"/>
      <c r="J93" s="547">
        <f>H93/DAY(B2)</f>
        <v>-25.6875</v>
      </c>
      <c r="K93" s="425"/>
      <c r="L93" s="374"/>
      <c r="N93" s="714"/>
      <c r="O93" s="721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479">
        <f>'15'!F94</f>
        <v>184793</v>
      </c>
      <c r="F94" s="473">
        <v>184822</v>
      </c>
      <c r="G94" s="468">
        <f t="shared" si="9"/>
        <v>29</v>
      </c>
      <c r="H94" s="455">
        <f>G94+'15'!H94</f>
        <v>-1299</v>
      </c>
      <c r="I94" s="475"/>
      <c r="J94" s="547">
        <f>H94/DAY(B2)</f>
        <v>-81.1875</v>
      </c>
      <c r="K94" s="377"/>
      <c r="L94" s="374"/>
      <c r="N94" s="714"/>
      <c r="O94" s="721"/>
      <c r="P94" s="379"/>
    </row>
    <row r="95" spans="1:16">
      <c r="A95" s="1447" t="s">
        <v>276</v>
      </c>
      <c r="B95" s="1448"/>
      <c r="C95" s="1449"/>
      <c r="D95" s="518"/>
      <c r="E95" s="479">
        <f>'15'!F95</f>
        <v>0</v>
      </c>
      <c r="F95" s="473">
        <v>0</v>
      </c>
      <c r="G95" s="468">
        <f>G93+G94</f>
        <v>74</v>
      </c>
      <c r="H95" s="455">
        <f>G95+'15'!H95</f>
        <v>-1786</v>
      </c>
      <c r="I95" s="475"/>
      <c r="J95" s="547">
        <f>H95/DAY(B2)</f>
        <v>-111.625</v>
      </c>
      <c r="K95" s="377"/>
      <c r="L95" s="374"/>
      <c r="N95" s="714"/>
      <c r="O95" s="721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479">
        <f>'15'!F96</f>
        <v>413567</v>
      </c>
      <c r="F96" s="473">
        <v>413594</v>
      </c>
      <c r="G96" s="468">
        <f t="shared" ref="G96:G101" si="10">F96-E96</f>
        <v>27</v>
      </c>
      <c r="H96" s="455">
        <f>G96+'15'!H96</f>
        <v>-689</v>
      </c>
      <c r="I96" s="475"/>
      <c r="J96" s="547">
        <f>H96/DAY(B2)</f>
        <v>-43.0625</v>
      </c>
      <c r="K96" s="377"/>
      <c r="L96" s="374"/>
      <c r="N96" s="714"/>
      <c r="O96" s="721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479">
        <f>'15'!F97</f>
        <v>102483</v>
      </c>
      <c r="F97" s="473">
        <v>102497</v>
      </c>
      <c r="G97" s="468">
        <f t="shared" si="10"/>
        <v>14</v>
      </c>
      <c r="H97" s="455">
        <f>G97+'15'!H97</f>
        <v>-151</v>
      </c>
      <c r="I97" s="475"/>
      <c r="J97" s="547">
        <f>H97/DAY(B2)</f>
        <v>-9.4375</v>
      </c>
      <c r="K97" s="423"/>
      <c r="L97" s="374"/>
      <c r="N97" s="714"/>
      <c r="O97" s="721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479">
        <f>'15'!F98</f>
        <v>97643</v>
      </c>
      <c r="F98" s="473">
        <v>97662</v>
      </c>
      <c r="G98" s="468">
        <f t="shared" si="10"/>
        <v>19</v>
      </c>
      <c r="H98" s="455">
        <f>G98+'15'!H98</f>
        <v>-288</v>
      </c>
      <c r="I98" s="475"/>
      <c r="J98" s="547">
        <f>H98/DAY(B2)</f>
        <v>-18</v>
      </c>
      <c r="K98" s="428"/>
      <c r="L98" s="374"/>
      <c r="N98" s="714">
        <v>96617</v>
      </c>
      <c r="O98" s="721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479">
        <f>'15'!F99</f>
        <v>149718</v>
      </c>
      <c r="F99" s="473">
        <v>149723</v>
      </c>
      <c r="G99" s="468">
        <f t="shared" si="10"/>
        <v>5</v>
      </c>
      <c r="H99" s="455">
        <f>G99+'15'!H99</f>
        <v>-129</v>
      </c>
      <c r="I99" s="475"/>
      <c r="J99" s="547">
        <f>H99/DAY(B2)</f>
        <v>-8.0625</v>
      </c>
      <c r="K99" s="377"/>
      <c r="L99" s="374"/>
      <c r="N99" s="716"/>
      <c r="O99" s="721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479">
        <f>'15'!F100</f>
        <v>7243</v>
      </c>
      <c r="F100" s="473">
        <v>7267</v>
      </c>
      <c r="G100" s="468">
        <f t="shared" si="10"/>
        <v>24</v>
      </c>
      <c r="H100" s="455">
        <f>G100+'15'!H100</f>
        <v>-102</v>
      </c>
      <c r="I100" s="475"/>
      <c r="J100" s="547">
        <f>H100/DAY(B2)</f>
        <v>-6.375</v>
      </c>
      <c r="K100" s="377"/>
      <c r="L100" s="374"/>
      <c r="N100" s="714"/>
      <c r="O100" s="721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479">
        <f>'15'!F101</f>
        <v>5237</v>
      </c>
      <c r="F101" s="473">
        <v>5247</v>
      </c>
      <c r="G101" s="468">
        <f t="shared" si="10"/>
        <v>10</v>
      </c>
      <c r="H101" s="455">
        <f>G101+'15'!H101</f>
        <v>-144</v>
      </c>
      <c r="I101" s="475"/>
      <c r="J101" s="547">
        <f>H101/DAY(B2)</f>
        <v>-9</v>
      </c>
      <c r="K101" s="377"/>
      <c r="L101" s="374"/>
      <c r="N101" s="714"/>
      <c r="O101" s="721"/>
      <c r="P101" s="379"/>
    </row>
    <row r="102" spans="1:16">
      <c r="A102" s="1447" t="s">
        <v>277</v>
      </c>
      <c r="B102" s="1448"/>
      <c r="C102" s="1449"/>
      <c r="D102" s="519"/>
      <c r="E102" s="479"/>
      <c r="F102" s="519"/>
      <c r="G102" s="520">
        <f>SUM(G96:G101)</f>
        <v>99</v>
      </c>
      <c r="H102" s="455">
        <f>G102+'15'!H102</f>
        <v>-1503</v>
      </c>
      <c r="I102" s="521"/>
      <c r="J102" s="547">
        <f>H102/DAY(B2)</f>
        <v>-93.9375</v>
      </c>
      <c r="K102" s="377"/>
      <c r="L102" s="374"/>
      <c r="N102" s="714"/>
      <c r="O102" s="721"/>
      <c r="P102" s="379"/>
    </row>
    <row r="103" spans="1:16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14"/>
      <c r="O103" s="721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1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479">
        <f>'15'!F105</f>
        <v>7473</v>
      </c>
      <c r="F105" s="1218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3.5625</v>
      </c>
      <c r="N105" s="714"/>
      <c r="O105" s="721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479">
        <f>'15'!F106</f>
        <v>35875</v>
      </c>
      <c r="F106" s="655">
        <v>35875</v>
      </c>
      <c r="G106" s="527">
        <f t="shared" ref="G106:G107" si="11">F106-E106</f>
        <v>0</v>
      </c>
      <c r="H106" s="528">
        <f>SUM(G106+'1'!G77)</f>
        <v>49</v>
      </c>
      <c r="I106" s="527"/>
      <c r="J106" s="553">
        <f>H106/DAY(B2)</f>
        <v>3.0625</v>
      </c>
      <c r="N106" s="714"/>
      <c r="O106" s="721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479">
        <f>'15'!F107</f>
        <v>19663</v>
      </c>
      <c r="F107" s="655">
        <v>19663</v>
      </c>
      <c r="G107" s="527">
        <f t="shared" si="11"/>
        <v>0</v>
      </c>
      <c r="H107" s="528">
        <f>SUM(G107+'1'!G78)</f>
        <v>55</v>
      </c>
      <c r="I107" s="527"/>
      <c r="J107" s="553">
        <f>H107/DAY(B2)</f>
        <v>3.4375</v>
      </c>
      <c r="N107" s="714"/>
      <c r="O107" s="721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479">
        <f>'15'!F108</f>
        <v>0</v>
      </c>
      <c r="F108" s="655"/>
      <c r="G108" s="527">
        <f>SUM(G105:G107)</f>
        <v>0</v>
      </c>
      <c r="H108" s="528">
        <f>SUM(G108+'1'!G79)</f>
        <v>155</v>
      </c>
      <c r="I108" s="527"/>
      <c r="J108" s="553">
        <f>H108/DAY(B2)</f>
        <v>9.6875</v>
      </c>
      <c r="N108" s="714"/>
      <c r="O108" s="721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479">
        <f>'15'!F109</f>
        <v>0</v>
      </c>
      <c r="F109" s="655"/>
      <c r="G109" s="527"/>
      <c r="H109" s="528"/>
      <c r="I109" s="527"/>
      <c r="J109" s="553"/>
      <c r="N109" s="714"/>
      <c r="O109" s="721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479">
        <f>'15'!F110</f>
        <v>61912</v>
      </c>
      <c r="F110" s="655">
        <v>62019</v>
      </c>
      <c r="G110" s="527">
        <f>F110-E110</f>
        <v>107</v>
      </c>
      <c r="H110" s="528">
        <f>SUM(G110+'1'!G81)</f>
        <v>201</v>
      </c>
      <c r="I110" s="527"/>
      <c r="J110" s="553">
        <f>H110/DAY(B2)</f>
        <v>12.5625</v>
      </c>
      <c r="N110" s="714"/>
      <c r="O110" s="721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479">
        <f>'15'!F111</f>
        <v>32401</v>
      </c>
      <c r="F111" s="655">
        <v>32401</v>
      </c>
      <c r="G111" s="527">
        <f t="shared" ref="G111:G112" si="12">F111-E111</f>
        <v>0</v>
      </c>
      <c r="H111" s="528">
        <f>SUM(G111+'1'!G82)</f>
        <v>11</v>
      </c>
      <c r="I111" s="527"/>
      <c r="J111" s="553">
        <f>H111/DAY(B2)</f>
        <v>0.6875</v>
      </c>
      <c r="N111" s="714"/>
      <c r="O111" s="721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479">
        <f>'15'!F112</f>
        <v>4509</v>
      </c>
      <c r="F112" s="655">
        <v>4509</v>
      </c>
      <c r="G112" s="527">
        <f t="shared" si="12"/>
        <v>0</v>
      </c>
      <c r="H112" s="528">
        <f>SUM(G112+'1'!G83)</f>
        <v>152</v>
      </c>
      <c r="I112" s="527"/>
      <c r="J112" s="553">
        <f>H112/DAY(B2)</f>
        <v>9.5</v>
      </c>
      <c r="N112" s="714"/>
      <c r="O112" s="721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479">
        <f>'15'!F113</f>
        <v>0</v>
      </c>
      <c r="F113" s="655"/>
      <c r="G113" s="527">
        <f>SUM(G110:G112)</f>
        <v>107</v>
      </c>
      <c r="H113" s="528">
        <f>SUM(G113+'1'!G84)</f>
        <v>934</v>
      </c>
      <c r="I113" s="527"/>
      <c r="J113" s="553">
        <f>H113/DAY(B2)</f>
        <v>58.375</v>
      </c>
      <c r="N113" s="714"/>
      <c r="O113" s="721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479">
        <f>'15'!F114</f>
        <v>0</v>
      </c>
      <c r="F114" s="655"/>
      <c r="G114" s="527"/>
      <c r="H114" s="528"/>
      <c r="I114" s="527"/>
      <c r="J114" s="553">
        <f>H114/DAY(B2)</f>
        <v>0</v>
      </c>
      <c r="N114" s="714"/>
      <c r="O114" s="721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479">
        <f>'15'!F115</f>
        <v>11339</v>
      </c>
      <c r="F115" s="655">
        <v>11367</v>
      </c>
      <c r="G115" s="529">
        <f>F115-E115</f>
        <v>28</v>
      </c>
      <c r="H115" s="528">
        <f>SUM(G115+'1'!G92)</f>
        <v>28</v>
      </c>
      <c r="I115" s="527"/>
      <c r="J115" s="553">
        <f>H115/DAY(B2)</f>
        <v>1.75</v>
      </c>
      <c r="N115" s="714"/>
      <c r="O115" s="721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479">
        <f>'15'!F116</f>
        <v>8199</v>
      </c>
      <c r="F116" s="655">
        <v>8206</v>
      </c>
      <c r="G116" s="529">
        <f t="shared" ref="G116:G117" si="13">F116-E116</f>
        <v>7</v>
      </c>
      <c r="H116" s="528">
        <f>SUM(G116+'1'!G93)</f>
        <v>25</v>
      </c>
      <c r="I116" s="527"/>
      <c r="J116" s="553">
        <f>H116/DAY(B2)</f>
        <v>1.5625</v>
      </c>
      <c r="N116" s="714"/>
      <c r="O116" s="721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528">
        <f>SUM(G117+'1'!G94)</f>
        <v>58</v>
      </c>
      <c r="I117" s="527"/>
      <c r="J117" s="553">
        <f>H117/DAY(B2)</f>
        <v>3.625</v>
      </c>
      <c r="N117" s="714"/>
      <c r="O117" s="721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35</v>
      </c>
      <c r="H118" s="528">
        <f>SUM(G118+'1'!G96)</f>
        <v>75</v>
      </c>
      <c r="I118" s="529"/>
      <c r="J118" s="553">
        <f>H118/DAY(B2)</f>
        <v>4.6875</v>
      </c>
      <c r="N118" s="714"/>
      <c r="O118" s="721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102</v>
      </c>
      <c r="G119" s="531">
        <f>SUM(G19+G93)</f>
        <v>102</v>
      </c>
      <c r="H119" s="528">
        <f>SUM(G119+'1'!G97)</f>
        <v>115</v>
      </c>
      <c r="I119" s="530"/>
      <c r="J119" s="554">
        <f>H119/DAY(B2)</f>
        <v>7.1875</v>
      </c>
      <c r="N119" s="714"/>
      <c r="O119" s="721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94</v>
      </c>
      <c r="G120" s="531">
        <f>SUM(G96,G97,G98,G100,G101)</f>
        <v>94</v>
      </c>
      <c r="H120" s="528">
        <f>SUM(G120+'1'!G99)</f>
        <v>101</v>
      </c>
      <c r="I120" s="530"/>
      <c r="J120" s="554">
        <f>H120/DAY(B2)</f>
        <v>6.3125</v>
      </c>
      <c r="N120" s="714"/>
      <c r="O120" s="721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107</v>
      </c>
      <c r="G121" s="529">
        <f>SUM(G113)</f>
        <v>107</v>
      </c>
      <c r="H121" s="528">
        <f>SUM(G121+'1'!G101)</f>
        <v>111</v>
      </c>
      <c r="I121" s="530"/>
      <c r="J121" s="554">
        <f>H121/DAY(B2)</f>
        <v>6.9375</v>
      </c>
      <c r="N121" s="714"/>
      <c r="O121" s="721"/>
      <c r="P121" s="379"/>
    </row>
    <row r="122" spans="1:16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1"/>
      <c r="P122" s="379"/>
    </row>
    <row r="123" spans="1:16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1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473">
        <f>'15'!F124</f>
        <v>829129</v>
      </c>
      <c r="F124" s="473">
        <v>829338</v>
      </c>
      <c r="G124" s="468">
        <f t="shared" ref="G124:G128" si="14">F124-E124</f>
        <v>209</v>
      </c>
      <c r="H124" s="455">
        <f>G124+'15'!H124</f>
        <v>-3028</v>
      </c>
      <c r="I124" s="521"/>
      <c r="J124" s="547">
        <f>H124/DAY(B2)</f>
        <v>-189.25</v>
      </c>
      <c r="K124" s="377"/>
      <c r="L124" s="374"/>
      <c r="N124" s="714"/>
      <c r="O124" s="721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621">
        <f>'15'!F125</f>
        <v>73583.399999999994</v>
      </c>
      <c r="F125" s="621">
        <v>73583.399999999994</v>
      </c>
      <c r="G125" s="468">
        <f t="shared" si="14"/>
        <v>0</v>
      </c>
      <c r="H125" s="455">
        <f>G125+'15'!H125</f>
        <v>0</v>
      </c>
      <c r="I125" s="521"/>
      <c r="J125" s="547">
        <f>H125/DAY(B2)</f>
        <v>0</v>
      </c>
      <c r="K125" s="377"/>
      <c r="L125" s="374"/>
      <c r="N125" s="714"/>
      <c r="O125" s="721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473">
        <f>'15'!F126</f>
        <v>145536</v>
      </c>
      <c r="F126" s="473">
        <v>145593</v>
      </c>
      <c r="G126" s="468">
        <f t="shared" si="14"/>
        <v>57</v>
      </c>
      <c r="H126" s="455">
        <f>G126+'15'!H126</f>
        <v>-898</v>
      </c>
      <c r="I126" s="521"/>
      <c r="J126" s="547">
        <f>H126/DAY(B2)</f>
        <v>-56.125</v>
      </c>
      <c r="K126" s="377"/>
      <c r="L126" s="374"/>
      <c r="N126" s="714"/>
      <c r="O126" s="721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621">
        <f>'15'!F127</f>
        <v>31404</v>
      </c>
      <c r="F127" s="621">
        <v>31404</v>
      </c>
      <c r="G127" s="468">
        <f t="shared" si="14"/>
        <v>0</v>
      </c>
      <c r="H127" s="455">
        <f>G127+'15'!H127</f>
        <v>-2</v>
      </c>
      <c r="I127" s="521"/>
      <c r="J127" s="547">
        <f>H127/DAY(B2)</f>
        <v>-0.125</v>
      </c>
      <c r="K127" s="377"/>
      <c r="L127" s="374"/>
      <c r="N127" s="714"/>
      <c r="O127" s="721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621">
        <f>'15'!F128</f>
        <v>8971</v>
      </c>
      <c r="F128" s="621">
        <v>8971</v>
      </c>
      <c r="G128" s="468">
        <f t="shared" si="14"/>
        <v>0</v>
      </c>
      <c r="H128" s="455">
        <f>G128+'15'!H128</f>
        <v>-1</v>
      </c>
      <c r="I128" s="475"/>
      <c r="J128" s="547">
        <f>H128/DAY(B2)</f>
        <v>-6.25E-2</v>
      </c>
      <c r="K128" s="377"/>
      <c r="L128" s="374"/>
      <c r="N128" s="714"/>
      <c r="O128" s="721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284</v>
      </c>
      <c r="H129" s="455">
        <f>G129+'15'!H129</f>
        <v>284</v>
      </c>
      <c r="I129" s="475"/>
      <c r="J129" s="547">
        <f>H129/DAY(B2)</f>
        <v>17.75</v>
      </c>
      <c r="K129" s="361"/>
      <c r="L129" s="289"/>
      <c r="N129" s="714"/>
      <c r="O129" s="721"/>
      <c r="P129" s="379"/>
    </row>
    <row r="130" spans="1:16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1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479">
        <f>'15'!F131</f>
        <v>0</v>
      </c>
      <c r="F131" s="473">
        <v>0</v>
      </c>
      <c r="G131" s="468">
        <f t="shared" ref="G131:G141" si="15">F131-E131</f>
        <v>0</v>
      </c>
      <c r="H131" s="455">
        <f>G131+'15'!H131</f>
        <v>0</v>
      </c>
      <c r="I131" s="475"/>
      <c r="J131" s="547">
        <f>H131/DAY(B2)</f>
        <v>0</v>
      </c>
      <c r="N131" s="714"/>
      <c r="O131" s="721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479">
        <f>'15'!F132</f>
        <v>0</v>
      </c>
      <c r="F132" s="473">
        <v>0</v>
      </c>
      <c r="G132" s="468">
        <f t="shared" si="15"/>
        <v>0</v>
      </c>
      <c r="H132" s="455">
        <f>G132+'15'!H132</f>
        <v>0</v>
      </c>
      <c r="I132" s="475"/>
      <c r="J132" s="547">
        <f>H132/DAY(B2)</f>
        <v>0</v>
      </c>
      <c r="N132" s="714"/>
      <c r="O132" s="721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536">
        <f>'15'!F133</f>
        <v>40031.519999999997</v>
      </c>
      <c r="F133" s="647">
        <v>40031.519999999997</v>
      </c>
      <c r="G133" s="468">
        <f t="shared" si="15"/>
        <v>0</v>
      </c>
      <c r="H133" s="455">
        <f>G133+'15'!H133</f>
        <v>-3.5800000000017462</v>
      </c>
      <c r="I133" s="475"/>
      <c r="J133" s="547">
        <f>H133/DAY(B2)</f>
        <v>-0.22375000000010914</v>
      </c>
      <c r="N133" s="714"/>
      <c r="O133" s="721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697">
        <f>'15'!F134</f>
        <v>300</v>
      </c>
      <c r="F134" s="621">
        <v>300</v>
      </c>
      <c r="G134" s="468">
        <f t="shared" si="15"/>
        <v>0</v>
      </c>
      <c r="H134" s="455">
        <f>G134+'15'!H134</f>
        <v>0</v>
      </c>
      <c r="I134" s="475">
        <f>G131+G132+G133+G134</f>
        <v>0</v>
      </c>
      <c r="J134" s="547">
        <f>H134/DAY(B2)</f>
        <v>0</v>
      </c>
      <c r="N134" s="714"/>
      <c r="O134" s="721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697">
        <f>'15'!F135</f>
        <v>41469.06</v>
      </c>
      <c r="F135" s="621">
        <v>41492.65</v>
      </c>
      <c r="G135" s="468">
        <f t="shared" si="15"/>
        <v>23.590000000003783</v>
      </c>
      <c r="H135" s="455">
        <f>G135+'15'!H135</f>
        <v>-237.34999999999854</v>
      </c>
      <c r="I135" s="475"/>
      <c r="J135" s="547">
        <f>H135/DAY(B2)</f>
        <v>-14.834374999999909</v>
      </c>
      <c r="N135" s="714"/>
      <c r="O135" s="721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536">
        <f>'15'!F136</f>
        <v>32582.98</v>
      </c>
      <c r="F136" s="647">
        <v>32582.98</v>
      </c>
      <c r="G136" s="468">
        <f t="shared" si="15"/>
        <v>0</v>
      </c>
      <c r="H136" s="455">
        <f>G136+'15'!H136</f>
        <v>-132.02000000000044</v>
      </c>
      <c r="I136" s="475"/>
      <c r="J136" s="547">
        <f>H136/DAY(B2)</f>
        <v>-8.2512500000000273</v>
      </c>
      <c r="N136" s="714"/>
      <c r="O136" s="721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536">
        <f>'15'!F137</f>
        <v>22766.92</v>
      </c>
      <c r="F137" s="647">
        <v>22766.92</v>
      </c>
      <c r="G137" s="468">
        <f t="shared" si="15"/>
        <v>0</v>
      </c>
      <c r="H137" s="455">
        <f>G137+'15'!H137</f>
        <v>-40.320000000003347</v>
      </c>
      <c r="I137" s="475">
        <f>G135+G136+G137</f>
        <v>23.590000000003783</v>
      </c>
      <c r="J137" s="547">
        <f>H137/DAY(B2)</f>
        <v>-2.5200000000002092</v>
      </c>
      <c r="N137" s="714"/>
      <c r="O137" s="721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536">
        <f>'15'!F138</f>
        <v>25051.72</v>
      </c>
      <c r="F138" s="647">
        <v>25051.72</v>
      </c>
      <c r="G138" s="468">
        <f t="shared" si="15"/>
        <v>0</v>
      </c>
      <c r="H138" s="455">
        <f>G138+'15'!H138</f>
        <v>-9.9999999998544808E-2</v>
      </c>
      <c r="I138" s="475"/>
      <c r="J138" s="547">
        <f>H138/DAY(B2)</f>
        <v>-6.2499999999090505E-3</v>
      </c>
      <c r="N138" s="714"/>
      <c r="O138" s="721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536">
        <f>'15'!F139</f>
        <v>70361.47</v>
      </c>
      <c r="F139" s="647">
        <v>70361.47</v>
      </c>
      <c r="G139" s="468">
        <f t="shared" si="15"/>
        <v>0</v>
      </c>
      <c r="H139" s="455">
        <f>G139+'15'!H139</f>
        <v>-50.270000000004075</v>
      </c>
      <c r="I139" s="475">
        <f>G138+G139</f>
        <v>0</v>
      </c>
      <c r="J139" s="547">
        <f>H139/DAY(B2)</f>
        <v>-3.1418750000002547</v>
      </c>
      <c r="N139" s="714"/>
      <c r="O139" s="721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697">
        <f>'15'!F140</f>
        <v>1731.51</v>
      </c>
      <c r="F140" s="621">
        <v>1739.48</v>
      </c>
      <c r="G140" s="468">
        <f t="shared" si="15"/>
        <v>7.9700000000000273</v>
      </c>
      <c r="H140" s="455">
        <f>G140+'15'!H140</f>
        <v>-114.81999999999994</v>
      </c>
      <c r="I140" s="537"/>
      <c r="J140" s="547">
        <f>H140/DAY(B2)</f>
        <v>-7.176249999999996</v>
      </c>
      <c r="N140" s="714"/>
      <c r="O140" s="721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479">
        <f>'15'!F141</f>
        <v>4636.88</v>
      </c>
      <c r="F141" s="473">
        <v>4636.88</v>
      </c>
      <c r="G141" s="468">
        <f t="shared" si="15"/>
        <v>0</v>
      </c>
      <c r="H141" s="455">
        <f>G141+'15'!H141</f>
        <v>-0.11999999999989086</v>
      </c>
      <c r="I141" s="537"/>
      <c r="J141" s="547">
        <f>H141/DAY(B2)</f>
        <v>-7.4999999999931788E-3</v>
      </c>
      <c r="N141" s="714"/>
      <c r="O141" s="721"/>
      <c r="P141" s="379"/>
    </row>
    <row r="142" spans="1:16">
      <c r="A142" s="1488" t="s">
        <v>347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1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4052.1300000000047</v>
      </c>
      <c r="H143" s="455">
        <f>G143+'15'!H143</f>
        <v>-65000.539999999994</v>
      </c>
      <c r="I143" s="475"/>
      <c r="J143" s="547">
        <f>H143/DAY(B2)</f>
        <v>-4062.5337499999996</v>
      </c>
      <c r="K143" s="377"/>
      <c r="L143" s="374"/>
      <c r="N143" s="714"/>
      <c r="O143" s="721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0.23836058823529438</v>
      </c>
      <c r="H144" s="455">
        <f>G144+'15'!H144</f>
        <v>-3.9358676209014041</v>
      </c>
      <c r="I144" s="539"/>
      <c r="J144" s="547">
        <f>H144/DAY(B2)</f>
        <v>-0.24599172630633775</v>
      </c>
      <c r="K144" s="377"/>
      <c r="L144" s="374"/>
      <c r="N144" s="714"/>
      <c r="O144" s="721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4448</v>
      </c>
      <c r="H145" s="455">
        <f>G145+'15'!H145</f>
        <v>-77136.500000000029</v>
      </c>
      <c r="I145" s="475"/>
      <c r="J145" s="547">
        <f>H145/DAY(B2)</f>
        <v>-4821.0312500000018</v>
      </c>
      <c r="K145" s="377"/>
      <c r="L145" s="374"/>
      <c r="N145" s="714"/>
      <c r="O145" s="721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0.2616470588235294</v>
      </c>
      <c r="H146" s="455">
        <f>G146+'15'!H146</f>
        <v>-4.6742423904861781</v>
      </c>
      <c r="I146" s="539"/>
      <c r="J146" s="547">
        <f>H146/DAY(B2)</f>
        <v>-0.29214014940538613</v>
      </c>
      <c r="K146" s="377"/>
      <c r="L146" s="374"/>
      <c r="N146" s="714"/>
      <c r="O146" s="721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2608</v>
      </c>
      <c r="H147" s="455">
        <f>G147+'15'!H147</f>
        <v>-40950</v>
      </c>
      <c r="I147" s="540"/>
      <c r="J147" s="547">
        <f>H147/DAY(B2)</f>
        <v>-2559.375</v>
      </c>
      <c r="K147" s="377"/>
      <c r="L147" s="374"/>
      <c r="N147" s="714"/>
      <c r="O147" s="721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0.15341176470588236</v>
      </c>
      <c r="H148" s="455">
        <f>G148+'15'!H148</f>
        <v>-2.4863973168573676</v>
      </c>
      <c r="I148" s="540"/>
      <c r="J148" s="547">
        <f>H148/DAY(B2)</f>
        <v>-0.15539983230358548</v>
      </c>
      <c r="N148" s="714"/>
      <c r="O148" s="721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1097</v>
      </c>
      <c r="H149" s="455">
        <f>G149+'15'!H149</f>
        <v>-17671</v>
      </c>
      <c r="I149" s="475"/>
      <c r="J149" s="547">
        <f>H149/DAY(B2)</f>
        <v>-1104.4375</v>
      </c>
      <c r="K149" s="378"/>
      <c r="N149" s="714"/>
      <c r="O149" s="721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6.4529411764705877E-2</v>
      </c>
      <c r="H150" s="455">
        <f>G150+'15'!H150</f>
        <v>-1.0716653347453102</v>
      </c>
      <c r="I150" s="540"/>
      <c r="J150" s="547">
        <f>H150/DAY(B2)</f>
        <v>-6.6979083421581889E-2</v>
      </c>
      <c r="N150" s="714"/>
      <c r="O150" s="721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821</v>
      </c>
      <c r="H151" s="455">
        <f>G151+'15'!H151</f>
        <v>333601</v>
      </c>
      <c r="I151" s="540"/>
      <c r="J151" s="547">
        <f>H151/DAY(B2)</f>
        <v>20850.0625</v>
      </c>
      <c r="N151" s="714"/>
      <c r="O151" s="721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4.8294117647058821E-2</v>
      </c>
      <c r="H152" s="455">
        <f>G152+'15'!H152</f>
        <v>19.582304468551893</v>
      </c>
      <c r="I152" s="475"/>
      <c r="J152" s="547">
        <f>H152/DAY(B2)</f>
        <v>1.2238940292844933</v>
      </c>
      <c r="N152" s="714"/>
      <c r="O152" s="721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1239</v>
      </c>
      <c r="H153" s="455">
        <f>G153+'15'!H153</f>
        <v>-19433.130000000005</v>
      </c>
      <c r="I153" s="475"/>
      <c r="J153" s="547">
        <f>H153/DAY(B2)</f>
        <v>-1214.5706250000003</v>
      </c>
      <c r="N153" s="714"/>
      <c r="O153" s="721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7.2882352941176468E-2</v>
      </c>
      <c r="H154" s="455">
        <f>G154+'15'!H154</f>
        <v>-1.1741671831331335</v>
      </c>
      <c r="I154" s="563"/>
      <c r="J154" s="564">
        <f>H154/DAY(B2)</f>
        <v>-7.3385448945820844E-2</v>
      </c>
      <c r="N154" s="714"/>
      <c r="O154" s="721"/>
      <c r="P154" s="37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90" t="s">
        <v>318</v>
      </c>
      <c r="B161" s="791"/>
      <c r="C161" s="791"/>
      <c r="D161" s="615" t="s">
        <v>253</v>
      </c>
      <c r="E161" s="517">
        <f>'15'!F161</f>
        <v>37152.94</v>
      </c>
      <c r="F161" s="799">
        <v>37232</v>
      </c>
      <c r="G161" s="468">
        <f t="shared" ref="G161:G164" si="16">F161-E161</f>
        <v>79.059999999997672</v>
      </c>
      <c r="N161" s="714"/>
    </row>
    <row r="162" spans="1:14">
      <c r="A162" s="790" t="s">
        <v>319</v>
      </c>
      <c r="B162" s="791"/>
      <c r="C162" s="791"/>
      <c r="D162" s="615" t="s">
        <v>253</v>
      </c>
      <c r="E162" s="517">
        <f>'15'!F162</f>
        <v>88619</v>
      </c>
      <c r="F162" s="799">
        <v>89007</v>
      </c>
      <c r="G162" s="468">
        <f t="shared" si="16"/>
        <v>388</v>
      </c>
      <c r="N162" s="714"/>
    </row>
    <row r="163" spans="1:14">
      <c r="A163" s="790" t="s">
        <v>320</v>
      </c>
      <c r="B163" s="791"/>
      <c r="C163" s="791"/>
      <c r="D163" s="615" t="s">
        <v>253</v>
      </c>
      <c r="E163" s="517">
        <f>'15'!F163</f>
        <v>41655</v>
      </c>
      <c r="F163" s="779">
        <v>41864</v>
      </c>
      <c r="G163" s="468">
        <f t="shared" si="16"/>
        <v>209</v>
      </c>
      <c r="N163" s="714"/>
    </row>
    <row r="164" spans="1:14">
      <c r="A164" s="790" t="s">
        <v>321</v>
      </c>
      <c r="B164" s="791"/>
      <c r="C164" s="791"/>
      <c r="D164" s="615" t="s">
        <v>253</v>
      </c>
      <c r="E164" s="517">
        <f>'15'!F164</f>
        <v>6389</v>
      </c>
      <c r="F164" s="799">
        <v>6402</v>
      </c>
      <c r="G164" s="468">
        <f t="shared" si="16"/>
        <v>13</v>
      </c>
      <c r="N164" s="714"/>
    </row>
    <row r="165" spans="1:14">
      <c r="A165" s="792" t="s">
        <v>252</v>
      </c>
      <c r="B165" s="793"/>
      <c r="C165" s="793"/>
      <c r="D165" s="615" t="s">
        <v>253</v>
      </c>
      <c r="E165" s="517">
        <f>'15'!F165</f>
        <v>20419.18</v>
      </c>
      <c r="F165" s="509">
        <f>F62</f>
        <v>20419.18</v>
      </c>
      <c r="G165" s="468">
        <f t="shared" ref="G165:G172" si="17">F165-E165</f>
        <v>0</v>
      </c>
      <c r="N165" s="714"/>
    </row>
    <row r="166" spans="1:14">
      <c r="A166" s="792" t="s">
        <v>254</v>
      </c>
      <c r="B166" s="793"/>
      <c r="C166" s="793"/>
      <c r="D166" s="615" t="s">
        <v>253</v>
      </c>
      <c r="E166" s="517">
        <f>'15'!F166</f>
        <v>2415</v>
      </c>
      <c r="F166" s="509">
        <f t="shared" ref="F166:F172" si="18">F63</f>
        <v>2419</v>
      </c>
      <c r="G166" s="468">
        <f t="shared" si="17"/>
        <v>4</v>
      </c>
      <c r="N166" s="714"/>
    </row>
    <row r="167" spans="1:14" ht="27.75">
      <c r="A167" s="1515" t="s">
        <v>161</v>
      </c>
      <c r="B167" s="1515"/>
      <c r="C167" s="1515"/>
      <c r="D167" s="519" t="s">
        <v>253</v>
      </c>
      <c r="E167" s="517">
        <f>'15'!F167</f>
        <v>156403</v>
      </c>
      <c r="F167" s="509">
        <f t="shared" si="18"/>
        <v>156604</v>
      </c>
      <c r="G167" s="468">
        <f t="shared" si="17"/>
        <v>201</v>
      </c>
      <c r="N167" s="714"/>
    </row>
    <row r="168" spans="1:14" ht="27.75">
      <c r="A168" s="1515" t="s">
        <v>162</v>
      </c>
      <c r="B168" s="1515"/>
      <c r="C168" s="1515"/>
      <c r="D168" s="519" t="s">
        <v>253</v>
      </c>
      <c r="E168" s="517">
        <f>'15'!F168</f>
        <v>157372</v>
      </c>
      <c r="F168" s="509">
        <f t="shared" si="18"/>
        <v>157667</v>
      </c>
      <c r="G168" s="468">
        <f t="shared" si="17"/>
        <v>295</v>
      </c>
      <c r="N168" s="714"/>
    </row>
    <row r="169" spans="1:14" ht="27.75">
      <c r="A169" s="1515" t="s">
        <v>255</v>
      </c>
      <c r="B169" s="1515"/>
      <c r="C169" s="1515"/>
      <c r="D169" s="519" t="s">
        <v>253</v>
      </c>
      <c r="E169" s="517">
        <f>'15'!F169</f>
        <v>52447</v>
      </c>
      <c r="F169" s="509">
        <f t="shared" si="18"/>
        <v>52707</v>
      </c>
      <c r="G169" s="468">
        <f t="shared" si="17"/>
        <v>260</v>
      </c>
      <c r="N169" s="714"/>
    </row>
    <row r="170" spans="1:14" ht="27.75">
      <c r="A170" s="1515" t="s">
        <v>157</v>
      </c>
      <c r="B170" s="1515"/>
      <c r="C170" s="1515"/>
      <c r="D170" s="519" t="s">
        <v>253</v>
      </c>
      <c r="E170" s="517">
        <f>'15'!F170</f>
        <v>245741</v>
      </c>
      <c r="F170" s="509">
        <f t="shared" si="18"/>
        <v>246073</v>
      </c>
      <c r="G170" s="468">
        <f t="shared" si="17"/>
        <v>332</v>
      </c>
      <c r="N170" s="714"/>
    </row>
    <row r="171" spans="1:14" ht="27.75">
      <c r="A171" s="1515" t="s">
        <v>164</v>
      </c>
      <c r="B171" s="1515"/>
      <c r="C171" s="1515"/>
      <c r="D171" s="519" t="s">
        <v>253</v>
      </c>
      <c r="E171" s="517">
        <f>'15'!F171</f>
        <v>85321</v>
      </c>
      <c r="F171" s="509">
        <f t="shared" si="18"/>
        <v>85321</v>
      </c>
      <c r="G171" s="468">
        <f t="shared" si="17"/>
        <v>0</v>
      </c>
      <c r="N171" s="714"/>
    </row>
    <row r="172" spans="1:14" ht="27.75">
      <c r="A172" s="1515" t="s">
        <v>165</v>
      </c>
      <c r="B172" s="1515"/>
      <c r="C172" s="1515"/>
      <c r="D172" s="519" t="s">
        <v>253</v>
      </c>
      <c r="E172" s="517">
        <f>'15'!F172</f>
        <v>80090</v>
      </c>
      <c r="F172" s="509">
        <f t="shared" si="18"/>
        <v>80185</v>
      </c>
      <c r="G172" s="468">
        <f t="shared" si="17"/>
        <v>95</v>
      </c>
      <c r="N172" s="714"/>
    </row>
    <row r="173" spans="1:14">
      <c r="A173" s="794"/>
      <c r="B173" s="795"/>
      <c r="C173" s="795"/>
      <c r="D173" s="796"/>
      <c r="E173" s="796"/>
      <c r="F173" s="797"/>
      <c r="G173" s="798">
        <f>SUM(G161:G172)</f>
        <v>1876.0599999999977</v>
      </c>
      <c r="N173" s="714"/>
    </row>
    <row r="174" spans="1:14"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23.25" customHeight="1">
      <c r="N178" s="714"/>
    </row>
    <row r="179" spans="14:14" ht="23.25" customHeight="1">
      <c r="N179" s="714"/>
    </row>
    <row r="180" spans="14:14" ht="23.25" customHeight="1">
      <c r="N180" s="714"/>
    </row>
    <row r="181" spans="14:14" ht="23.25" customHeight="1">
      <c r="N181" s="714"/>
    </row>
    <row r="182" spans="14:14" ht="23.25" customHeight="1">
      <c r="N182" s="714"/>
    </row>
    <row r="183" spans="14:14" ht="23.25" customHeight="1">
      <c r="N183" s="714"/>
    </row>
    <row r="184" spans="14:14" ht="23.25" customHeight="1">
      <c r="N184" s="714"/>
    </row>
    <row r="185" spans="14:14" ht="23.25" customHeight="1">
      <c r="N185" s="714"/>
    </row>
    <row r="186" spans="14:14" ht="23.25" customHeight="1">
      <c r="N186" s="714"/>
    </row>
    <row r="187" spans="14:14" ht="23.25" customHeight="1">
      <c r="N187" s="714"/>
    </row>
    <row r="188" spans="14:14" ht="23.25" customHeight="1">
      <c r="N188" s="714"/>
    </row>
    <row r="189" spans="14:14" ht="23.25" customHeight="1">
      <c r="N189" s="714"/>
    </row>
    <row r="190" spans="14:14" ht="23.25" customHeight="1">
      <c r="N190" s="714"/>
    </row>
    <row r="191" spans="14:14" ht="23.25" customHeight="1">
      <c r="N191" s="714"/>
    </row>
    <row r="192" spans="14:14" ht="23.25" customHeight="1">
      <c r="N192" s="714"/>
    </row>
    <row r="193" spans="14:14" ht="23.25" customHeight="1">
      <c r="N193" s="714"/>
    </row>
    <row r="194" spans="14:14" ht="23.25" customHeight="1">
      <c r="N194" s="714"/>
    </row>
    <row r="195" spans="14:14" ht="23.25" customHeight="1">
      <c r="N195" s="714"/>
    </row>
    <row r="196" spans="14:14" ht="23.25" customHeight="1">
      <c r="N196" s="714"/>
    </row>
    <row r="197" spans="14:14" ht="23.25" customHeight="1">
      <c r="N197" s="714"/>
    </row>
    <row r="198" spans="14:14" ht="23.25" customHeight="1">
      <c r="N198" s="714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96:C96"/>
    <mergeCell ref="A81:C81"/>
    <mergeCell ref="A82:C82"/>
    <mergeCell ref="A83:C83"/>
    <mergeCell ref="A93:C93"/>
    <mergeCell ref="A76:C76"/>
    <mergeCell ref="A77:C77"/>
    <mergeCell ref="A79:C79"/>
    <mergeCell ref="A80:C80"/>
    <mergeCell ref="A94:C94"/>
    <mergeCell ref="A69:C69"/>
    <mergeCell ref="A72:C72"/>
    <mergeCell ref="A73:C73"/>
    <mergeCell ref="A74:C74"/>
    <mergeCell ref="A75:C75"/>
    <mergeCell ref="A70:C70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7" zoomScale="55" zoomScaleSheetLayoutView="55" zoomScalePageLayoutView="60" workbookViewId="0">
      <selection activeCell="A33" sqref="A33:J33"/>
    </sheetView>
  </sheetViews>
  <sheetFormatPr defaultColWidth="22.33203125" defaultRowHeight="29.25"/>
  <cols>
    <col min="1" max="1" width="59.6640625" style="449" bestFit="1" customWidth="1"/>
    <col min="2" max="2" width="28.5546875" style="452" customWidth="1"/>
    <col min="3" max="3" width="15.88671875" style="452" customWidth="1"/>
    <col min="4" max="4" width="17.88671875" style="532" customWidth="1"/>
    <col min="5" max="5" width="27.21875" style="532" customWidth="1"/>
    <col min="6" max="6" width="26.21875" style="659" customWidth="1"/>
    <col min="7" max="7" width="24.44140625" style="532" customWidth="1"/>
    <col min="8" max="8" width="22.88671875" style="533" customWidth="1"/>
    <col min="9" max="9" width="16.88671875" style="532" bestFit="1" customWidth="1"/>
    <col min="10" max="10" width="23.21875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719"/>
    <col min="16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344</v>
      </c>
      <c r="B2" s="1028">
        <v>44333</v>
      </c>
      <c r="C2" s="1394" t="s">
        <v>111</v>
      </c>
      <c r="D2" s="606">
        <v>0.6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720"/>
    </row>
    <row r="3" spans="1:16" s="278" customFormat="1" ht="27">
      <c r="A3" s="565"/>
      <c r="B3" s="609"/>
      <c r="C3" s="1394" t="s">
        <v>186</v>
      </c>
      <c r="D3" s="607">
        <v>29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13"/>
      <c r="O3" s="720"/>
    </row>
    <row r="4" spans="1:16" s="278" customFormat="1" ht="27">
      <c r="A4" s="571"/>
      <c r="B4" s="611"/>
      <c r="C4" s="1394" t="s">
        <v>188</v>
      </c>
      <c r="D4" s="606">
        <v>0.8</v>
      </c>
      <c r="E4" s="459"/>
      <c r="F4" s="459"/>
      <c r="G4" s="459"/>
      <c r="H4" s="459"/>
      <c r="I4" s="460"/>
      <c r="J4" s="610"/>
      <c r="K4" s="369"/>
      <c r="L4" s="289"/>
      <c r="N4" s="713"/>
      <c r="O4" s="720"/>
    </row>
    <row r="5" spans="1:16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'16'!F7</f>
        <v>623941</v>
      </c>
      <c r="F7" s="450">
        <f>E7+17000</f>
        <v>640941</v>
      </c>
      <c r="G7" s="674">
        <f>F7-E7</f>
        <v>17000</v>
      </c>
      <c r="H7" s="675">
        <f>G7+'16'!H7</f>
        <v>296529</v>
      </c>
      <c r="I7" s="676">
        <f>'1'!I7</f>
        <v>12000</v>
      </c>
      <c r="J7" s="677">
        <f>H7/DAY(B2)</f>
        <v>17442.882352941175</v>
      </c>
      <c r="K7" s="544"/>
      <c r="L7" s="374"/>
      <c r="N7" s="725"/>
      <c r="O7" s="721"/>
      <c r="P7" s="724"/>
    </row>
    <row r="8" spans="1:16" ht="27.75" thickBot="1">
      <c r="A8" s="678" t="s">
        <v>199</v>
      </c>
      <c r="B8" s="679"/>
      <c r="C8" s="680"/>
      <c r="D8" s="681" t="s">
        <v>59</v>
      </c>
      <c r="E8" s="628">
        <f>'16'!F8</f>
        <v>627445</v>
      </c>
      <c r="F8" s="470">
        <f>E8+17150</f>
        <v>644595</v>
      </c>
      <c r="G8" s="685">
        <f>F8-E8</f>
        <v>17150</v>
      </c>
      <c r="H8" s="675">
        <f>G8+'16'!H8</f>
        <v>298085</v>
      </c>
      <c r="I8" s="682">
        <f>'1'!I8</f>
        <v>12000</v>
      </c>
      <c r="J8" s="677">
        <f>H8/DAY(B2)</f>
        <v>17534.411764705881</v>
      </c>
      <c r="K8" s="544"/>
      <c r="L8" s="421"/>
      <c r="M8" s="435"/>
      <c r="N8" s="714"/>
      <c r="O8" s="721"/>
      <c r="P8" s="379"/>
    </row>
    <row r="9" spans="1:16">
      <c r="A9" s="683" t="s">
        <v>200</v>
      </c>
      <c r="B9" s="684"/>
      <c r="C9" s="684"/>
      <c r="D9" s="633" t="s">
        <v>198</v>
      </c>
      <c r="E9" s="628">
        <f>'16'!F9</f>
        <v>1745822</v>
      </c>
      <c r="F9" s="473">
        <f>E9+16950</f>
        <v>1762772</v>
      </c>
      <c r="G9" s="698">
        <f t="shared" ref="G9:G12" si="0">F9-E9</f>
        <v>16950</v>
      </c>
      <c r="H9" s="675">
        <f>G9+'16'!H9</f>
        <v>289082</v>
      </c>
      <c r="I9" s="686">
        <f>I7-J7</f>
        <v>-5442.8823529411748</v>
      </c>
      <c r="J9" s="677">
        <f>H9/DAY(B2)</f>
        <v>17004.823529411766</v>
      </c>
      <c r="K9" s="424"/>
      <c r="L9" s="374"/>
      <c r="N9" s="714"/>
      <c r="O9" s="721"/>
      <c r="P9" s="379"/>
    </row>
    <row r="10" spans="1:16">
      <c r="A10" s="672" t="s">
        <v>201</v>
      </c>
      <c r="B10" s="673"/>
      <c r="C10" s="673"/>
      <c r="D10" s="633" t="s">
        <v>198</v>
      </c>
      <c r="E10" s="628">
        <f>'16'!F10</f>
        <v>0</v>
      </c>
      <c r="F10" s="473"/>
      <c r="G10" s="685">
        <f t="shared" si="0"/>
        <v>0</v>
      </c>
      <c r="H10" s="675">
        <f>G10+'16'!H10</f>
        <v>-2606.13</v>
      </c>
      <c r="I10" s="687"/>
      <c r="J10" s="677">
        <f>H10/DAY(B2)</f>
        <v>-153.30176470588236</v>
      </c>
      <c r="K10" s="424"/>
      <c r="L10" s="374"/>
      <c r="N10" s="714"/>
      <c r="O10" s="721"/>
      <c r="P10" s="379"/>
    </row>
    <row r="11" spans="1:16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G11+'16'!H11</f>
        <v>0</v>
      </c>
      <c r="I11" s="687"/>
      <c r="J11" s="677">
        <f>H11/DAY(B2)</f>
        <v>0</v>
      </c>
      <c r="K11" s="424"/>
      <c r="L11" s="374"/>
      <c r="N11" s="714">
        <f>G8-866</f>
        <v>16284</v>
      </c>
      <c r="O11" s="721"/>
      <c r="P11" s="379"/>
    </row>
    <row r="12" spans="1:16">
      <c r="A12" s="672" t="s">
        <v>203</v>
      </c>
      <c r="B12" s="673"/>
      <c r="C12" s="673"/>
      <c r="D12" s="633" t="s">
        <v>198</v>
      </c>
      <c r="E12" s="628">
        <f>'5'!E12</f>
        <v>40010</v>
      </c>
      <c r="F12" s="473">
        <v>40010</v>
      </c>
      <c r="G12" s="685">
        <f t="shared" si="0"/>
        <v>0</v>
      </c>
      <c r="H12" s="675">
        <f>G12+'16'!H12</f>
        <v>0</v>
      </c>
      <c r="I12" s="687"/>
      <c r="J12" s="677">
        <f>H12/DAY(B2)</f>
        <v>0</v>
      </c>
      <c r="K12" s="424"/>
      <c r="L12" s="374"/>
      <c r="N12" s="714"/>
      <c r="O12" s="721"/>
      <c r="P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16950</v>
      </c>
      <c r="H13" s="675">
        <f>G13+'16'!H13</f>
        <v>269950.87</v>
      </c>
      <c r="I13" s="691">
        <f>G7-G13</f>
        <v>50</v>
      </c>
      <c r="J13" s="677">
        <f>H13/DAY(B2)</f>
        <v>15879.462941176471</v>
      </c>
      <c r="K13" s="424"/>
      <c r="L13" s="374"/>
      <c r="N13" s="714"/>
      <c r="O13" s="721"/>
      <c r="P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1146"/>
      <c r="K14" s="425"/>
      <c r="L14" s="374"/>
      <c r="N14" s="714"/>
      <c r="O14" s="721"/>
      <c r="P14" s="379"/>
    </row>
    <row r="15" spans="1:16">
      <c r="A15" s="788" t="s">
        <v>133</v>
      </c>
      <c r="B15" s="789"/>
      <c r="C15" s="789"/>
      <c r="D15" s="519" t="s">
        <v>206</v>
      </c>
      <c r="E15" s="480">
        <f>'16'!F15</f>
        <v>1692482</v>
      </c>
      <c r="F15" s="480">
        <f>E15+550</f>
        <v>1693032</v>
      </c>
      <c r="G15" s="660">
        <f>(F15-E15)</f>
        <v>550</v>
      </c>
      <c r="H15" s="481">
        <f>G15+'16'!H15</f>
        <v>8508</v>
      </c>
      <c r="I15" s="469">
        <f>'1'!I15</f>
        <v>800</v>
      </c>
      <c r="J15" s="548">
        <f>H15/DAY(B2)</f>
        <v>500.47058823529414</v>
      </c>
      <c r="K15" s="424"/>
      <c r="L15" s="374"/>
      <c r="N15" s="714"/>
      <c r="O15" s="721"/>
      <c r="P15" s="379"/>
    </row>
    <row r="16" spans="1:16">
      <c r="A16" s="582"/>
      <c r="B16" s="583"/>
      <c r="C16" s="583"/>
      <c r="D16" s="519"/>
      <c r="E16" s="480"/>
      <c r="F16" s="480"/>
      <c r="G16" s="665"/>
      <c r="H16" s="481"/>
      <c r="I16" s="477">
        <f>I15-J15</f>
        <v>299.52941176470586</v>
      </c>
      <c r="J16" s="548"/>
      <c r="K16" s="424"/>
      <c r="L16" s="374"/>
      <c r="N16" s="714"/>
      <c r="O16" s="721"/>
      <c r="P16" s="379"/>
    </row>
    <row r="17" spans="1:16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1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0">
        <f>'16'!F18</f>
        <v>6</v>
      </c>
      <c r="F18" s="473">
        <v>2</v>
      </c>
      <c r="G18" s="690">
        <f>F18*10</f>
        <v>20</v>
      </c>
      <c r="H18" s="675">
        <f>G18+'16'!H18</f>
        <v>920</v>
      </c>
      <c r="I18" s="676">
        <f>'1'!I18</f>
        <v>65</v>
      </c>
      <c r="J18" s="677">
        <f>H18/DAY(B2)</f>
        <v>54.117647058823529</v>
      </c>
      <c r="K18" s="424"/>
      <c r="L18" s="374"/>
      <c r="N18" s="714"/>
      <c r="O18" s="721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0">
        <f>'16'!F19</f>
        <v>138688</v>
      </c>
      <c r="F19" s="473">
        <v>138744</v>
      </c>
      <c r="G19" s="685">
        <f>F19-E19</f>
        <v>56</v>
      </c>
      <c r="H19" s="675">
        <f>G19+'16'!H19</f>
        <v>-868</v>
      </c>
      <c r="I19" s="692"/>
      <c r="J19" s="677">
        <f>H19/DAY(B2)</f>
        <v>-51.058823529411768</v>
      </c>
      <c r="K19" s="424"/>
      <c r="L19" s="374"/>
      <c r="N19" s="714"/>
      <c r="O19" s="721"/>
      <c r="P19" s="379"/>
    </row>
    <row r="20" spans="1:16">
      <c r="A20" s="688" t="s">
        <v>210</v>
      </c>
      <c r="B20" s="689"/>
      <c r="C20" s="689"/>
      <c r="D20" s="633"/>
      <c r="E20" s="633"/>
      <c r="F20" s="705"/>
      <c r="G20" s="693">
        <f>G18+G19</f>
        <v>76</v>
      </c>
      <c r="H20" s="675">
        <f>G20+'16'!H20</f>
        <v>52</v>
      </c>
      <c r="I20" s="694">
        <f>I18-J20</f>
        <v>61.941176470588232</v>
      </c>
      <c r="J20" s="677">
        <f>H20/DAY(B2)</f>
        <v>3.0588235294117645</v>
      </c>
      <c r="K20" s="424"/>
      <c r="L20" s="374"/>
      <c r="N20" s="714"/>
      <c r="O20" s="721"/>
      <c r="P20" s="379"/>
    </row>
    <row r="21" spans="1:16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1"/>
      <c r="P21" s="379"/>
    </row>
    <row r="22" spans="1:16">
      <c r="A22" s="1392" t="s">
        <v>212</v>
      </c>
      <c r="B22" s="584"/>
      <c r="C22" s="584"/>
      <c r="D22" s="518" t="s">
        <v>213</v>
      </c>
      <c r="E22" s="630">
        <f>'16'!F22</f>
        <v>2970</v>
      </c>
      <c r="F22" s="473">
        <v>2970</v>
      </c>
      <c r="G22" s="476">
        <v>0</v>
      </c>
      <c r="H22" s="455">
        <f>G22+'16'!H22</f>
        <v>0</v>
      </c>
      <c r="I22" s="475"/>
      <c r="J22" s="547">
        <f>H22/DAY(B2)</f>
        <v>0</v>
      </c>
      <c r="K22" s="424"/>
      <c r="L22" s="374"/>
      <c r="N22" s="714"/>
      <c r="O22" s="721"/>
      <c r="P22" s="379"/>
    </row>
    <row r="23" spans="1:16">
      <c r="A23" s="1392" t="s">
        <v>214</v>
      </c>
      <c r="B23" s="584"/>
      <c r="C23" s="584"/>
      <c r="D23" s="518" t="s">
        <v>213</v>
      </c>
      <c r="E23" s="630">
        <f>'16'!F23</f>
        <v>2900</v>
      </c>
      <c r="F23" s="473">
        <v>2900</v>
      </c>
      <c r="G23" s="476">
        <v>0</v>
      </c>
      <c r="H23" s="455">
        <f>G23+'16'!H23</f>
        <v>120</v>
      </c>
      <c r="I23" s="475"/>
      <c r="J23" s="547">
        <f>H23/DAY(B2)</f>
        <v>7.0588235294117645</v>
      </c>
      <c r="K23" s="424"/>
      <c r="L23" s="374"/>
      <c r="N23" s="714"/>
      <c r="O23" s="721"/>
      <c r="P23" s="379"/>
    </row>
    <row r="24" spans="1:16">
      <c r="A24" s="585" t="s">
        <v>215</v>
      </c>
      <c r="B24" s="586"/>
      <c r="C24" s="586"/>
      <c r="D24" s="506" t="s">
        <v>213</v>
      </c>
      <c r="E24" s="488">
        <f>'16'!F24</f>
        <v>4250</v>
      </c>
      <c r="F24" s="480">
        <v>4250</v>
      </c>
      <c r="G24" s="476">
        <v>0</v>
      </c>
      <c r="H24" s="455">
        <v>0</v>
      </c>
      <c r="I24" s="475"/>
      <c r="J24" s="547">
        <f>H24/DAY(B2)</f>
        <v>0</v>
      </c>
      <c r="K24" s="424"/>
      <c r="L24" s="374"/>
      <c r="N24" s="714"/>
      <c r="O24" s="721"/>
      <c r="P24" s="379"/>
    </row>
    <row r="25" spans="1:16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1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1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G27+'16'!H27</f>
        <v>2681928</v>
      </c>
      <c r="I27" s="498"/>
      <c r="J27" s="547">
        <f>H27/DAY(B2)</f>
        <v>157760.4705882353</v>
      </c>
      <c r="K27" s="370"/>
      <c r="L27" s="438"/>
      <c r="N27" s="714"/>
      <c r="O27" s="721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G28+'16'!H28</f>
        <v>442416</v>
      </c>
      <c r="I28" s="500"/>
      <c r="J28" s="547">
        <f>H28/DAY(B2)</f>
        <v>26024.470588235294</v>
      </c>
      <c r="K28" s="370"/>
      <c r="L28" s="438"/>
      <c r="N28" s="714"/>
      <c r="O28" s="721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G29+'16'!H29</f>
        <v>8280</v>
      </c>
      <c r="I29" s="500"/>
      <c r="J29" s="547">
        <f>H29/DAY(B2)</f>
        <v>487.05882352941177</v>
      </c>
      <c r="K29" s="370"/>
      <c r="L29" s="438"/>
      <c r="N29" s="714"/>
      <c r="O29" s="721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695">
        <f>G19</f>
        <v>56</v>
      </c>
      <c r="F30" s="496">
        <v>146</v>
      </c>
      <c r="G30" s="497">
        <f>E30*F30</f>
        <v>8176</v>
      </c>
      <c r="H30" s="455">
        <f>G30+'16'!H30</f>
        <v>-126728</v>
      </c>
      <c r="I30" s="500"/>
      <c r="J30" s="547">
        <f>H30/DAY(B2)</f>
        <v>-7454.588235294118</v>
      </c>
      <c r="K30" s="370"/>
      <c r="L30" s="438"/>
      <c r="N30" s="714"/>
      <c r="O30" s="721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695">
        <f>G18</f>
        <v>20</v>
      </c>
      <c r="F31" s="496">
        <v>80</v>
      </c>
      <c r="G31" s="497">
        <f>E31*F31</f>
        <v>1600</v>
      </c>
      <c r="H31" s="455">
        <f>G31+'16'!H31</f>
        <v>73600</v>
      </c>
      <c r="I31" s="500"/>
      <c r="J31" s="547"/>
      <c r="K31" s="370">
        <f>E31*80%</f>
        <v>16</v>
      </c>
      <c r="L31" s="438"/>
      <c r="N31" s="714"/>
      <c r="O31" s="721"/>
      <c r="P31" s="379"/>
    </row>
    <row r="32" spans="1:16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192726</v>
      </c>
      <c r="H32" s="455">
        <f>G32+'16'!H32</f>
        <v>3079496</v>
      </c>
      <c r="I32" s="504"/>
      <c r="J32" s="547">
        <f>H32/DAY(B2)</f>
        <v>181146.82352941178</v>
      </c>
      <c r="K32" s="370"/>
      <c r="L32" s="438"/>
      <c r="N32" s="714"/>
      <c r="O32" s="721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1"/>
      <c r="P33" s="37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1"/>
      <c r="P34" s="379"/>
    </row>
    <row r="35" spans="1:16">
      <c r="A35" s="573" t="s">
        <v>229</v>
      </c>
      <c r="B35" s="574"/>
      <c r="C35" s="574"/>
      <c r="D35" s="518" t="s">
        <v>198</v>
      </c>
      <c r="E35" s="505">
        <f>'16'!F35</f>
        <v>918972</v>
      </c>
      <c r="F35" s="505">
        <v>920574</v>
      </c>
      <c r="G35" s="468">
        <f t="shared" ref="G35:G46" si="1">F35-E35</f>
        <v>1602</v>
      </c>
      <c r="H35" s="455">
        <f>G35+'16'!H35</f>
        <v>-29914</v>
      </c>
      <c r="I35" s="450"/>
      <c r="J35" s="547">
        <f>H35/DAY(B2)</f>
        <v>-1759.6470588235295</v>
      </c>
      <c r="K35" s="424"/>
      <c r="L35" s="374"/>
      <c r="N35" s="714"/>
      <c r="O35" s="722"/>
      <c r="P35" s="379"/>
    </row>
    <row r="36" spans="1:16">
      <c r="A36" s="573" t="s">
        <v>230</v>
      </c>
      <c r="B36" s="574"/>
      <c r="C36" s="574"/>
      <c r="D36" s="518" t="s">
        <v>198</v>
      </c>
      <c r="E36" s="505">
        <f>'16'!F36</f>
        <v>347065</v>
      </c>
      <c r="F36" s="505">
        <v>347065</v>
      </c>
      <c r="G36" s="468">
        <f t="shared" si="1"/>
        <v>0</v>
      </c>
      <c r="H36" s="455">
        <f>G36+'16'!H36</f>
        <v>346892</v>
      </c>
      <c r="I36" s="450"/>
      <c r="J36" s="547">
        <f>H36/DAY(B2)</f>
        <v>20405.411764705881</v>
      </c>
      <c r="K36" s="424"/>
      <c r="L36" s="374"/>
      <c r="N36" s="715"/>
      <c r="O36" s="722"/>
      <c r="P36" s="379"/>
    </row>
    <row r="37" spans="1:16">
      <c r="A37" s="573" t="s">
        <v>231</v>
      </c>
      <c r="B37" s="574"/>
      <c r="C37" s="574"/>
      <c r="D37" s="518" t="s">
        <v>198</v>
      </c>
      <c r="E37" s="505">
        <f>'16'!F37</f>
        <v>114803</v>
      </c>
      <c r="F37" s="505">
        <v>116141</v>
      </c>
      <c r="G37" s="468">
        <f t="shared" si="1"/>
        <v>1338</v>
      </c>
      <c r="H37" s="455">
        <f>G37+'16'!H37</f>
        <v>-18095</v>
      </c>
      <c r="I37" s="450"/>
      <c r="J37" s="547">
        <f>H37/DAY(B2)</f>
        <v>-1064.4117647058824</v>
      </c>
      <c r="K37" s="424"/>
      <c r="L37" s="374"/>
      <c r="N37" s="715"/>
      <c r="O37" s="722"/>
      <c r="P37" s="379"/>
    </row>
    <row r="38" spans="1:16">
      <c r="A38" s="573" t="s">
        <v>232</v>
      </c>
      <c r="B38" s="574"/>
      <c r="C38" s="574"/>
      <c r="D38" s="518" t="s">
        <v>198</v>
      </c>
      <c r="E38" s="505">
        <f>'16'!F38</f>
        <v>138734</v>
      </c>
      <c r="F38" s="464">
        <v>139784</v>
      </c>
      <c r="G38" s="468">
        <f t="shared" si="1"/>
        <v>1050</v>
      </c>
      <c r="H38" s="455">
        <f>G38+'16'!H38</f>
        <v>-16621</v>
      </c>
      <c r="I38" s="450"/>
      <c r="J38" s="547">
        <f>H38/DAY(B2)</f>
        <v>-977.70588235294122</v>
      </c>
      <c r="K38" s="424"/>
      <c r="L38" s="374"/>
      <c r="N38" s="714"/>
      <c r="O38" s="721"/>
      <c r="P38" s="379"/>
    </row>
    <row r="39" spans="1:16">
      <c r="A39" s="573" t="s">
        <v>233</v>
      </c>
      <c r="B39" s="574"/>
      <c r="C39" s="574"/>
      <c r="D39" s="518" t="s">
        <v>198</v>
      </c>
      <c r="E39" s="505">
        <f>'16'!F39</f>
        <v>275338</v>
      </c>
      <c r="F39" s="505">
        <v>277493</v>
      </c>
      <c r="G39" s="468">
        <f>F39-E39</f>
        <v>2155</v>
      </c>
      <c r="H39" s="455">
        <f>G39+'16'!H39</f>
        <v>-30680</v>
      </c>
      <c r="I39" s="450"/>
      <c r="J39" s="547">
        <f>H39/DAY(B2)</f>
        <v>-1804.7058823529412</v>
      </c>
      <c r="K39" s="424"/>
      <c r="L39" s="374"/>
      <c r="N39" s="714"/>
      <c r="O39" s="722"/>
      <c r="P39" s="379"/>
    </row>
    <row r="40" spans="1:16">
      <c r="A40" s="594" t="s">
        <v>234</v>
      </c>
      <c r="B40" s="595"/>
      <c r="C40" s="595"/>
      <c r="D40" s="518" t="s">
        <v>198</v>
      </c>
      <c r="E40" s="505">
        <f>'16'!F40</f>
        <v>350</v>
      </c>
      <c r="F40" s="505">
        <v>430</v>
      </c>
      <c r="G40" s="468">
        <f t="shared" si="1"/>
        <v>80</v>
      </c>
      <c r="H40" s="455">
        <f>G40+'16'!H40</f>
        <v>-459</v>
      </c>
      <c r="I40" s="450"/>
      <c r="J40" s="547">
        <f>H40/DAY(B2)</f>
        <v>-27</v>
      </c>
      <c r="K40" s="425"/>
      <c r="L40" s="374"/>
      <c r="N40" s="714"/>
      <c r="O40" s="721"/>
      <c r="P40" s="379"/>
    </row>
    <row r="41" spans="1:16">
      <c r="A41" s="573" t="s">
        <v>235</v>
      </c>
      <c r="B41" s="574"/>
      <c r="C41" s="574"/>
      <c r="D41" s="518" t="s">
        <v>198</v>
      </c>
      <c r="E41" s="505">
        <f>'16'!F41</f>
        <v>239668</v>
      </c>
      <c r="F41" s="505">
        <v>239668</v>
      </c>
      <c r="G41" s="468">
        <f t="shared" si="1"/>
        <v>0</v>
      </c>
      <c r="H41" s="455">
        <f>G41+'16'!H41</f>
        <v>-810</v>
      </c>
      <c r="I41" s="450"/>
      <c r="J41" s="547">
        <f>H41/DAY(B2)</f>
        <v>-47.647058823529413</v>
      </c>
      <c r="K41" s="424"/>
      <c r="L41" s="374"/>
      <c r="N41" s="714"/>
      <c r="O41" s="723"/>
      <c r="P41" s="717"/>
    </row>
    <row r="42" spans="1:16">
      <c r="A42" s="573" t="s">
        <v>236</v>
      </c>
      <c r="B42" s="574"/>
      <c r="C42" s="574"/>
      <c r="D42" s="518" t="s">
        <v>198</v>
      </c>
      <c r="E42" s="505">
        <f>'16'!F42</f>
        <v>59200</v>
      </c>
      <c r="F42" s="505">
        <v>59200</v>
      </c>
      <c r="G42" s="468">
        <f>F42-E42</f>
        <v>0</v>
      </c>
      <c r="H42" s="455">
        <f>G42+'16'!H42</f>
        <v>1.0299999999988358</v>
      </c>
      <c r="I42" s="450"/>
      <c r="J42" s="547">
        <f>H42/DAY(B2)</f>
        <v>6.0588235294049164E-2</v>
      </c>
      <c r="K42" s="424"/>
      <c r="L42" s="374"/>
      <c r="N42" s="714"/>
      <c r="O42" s="721"/>
      <c r="P42" s="379"/>
    </row>
    <row r="43" spans="1:16">
      <c r="A43" s="573" t="s">
        <v>237</v>
      </c>
      <c r="B43" s="574"/>
      <c r="C43" s="574"/>
      <c r="D43" s="518" t="s">
        <v>198</v>
      </c>
      <c r="E43" s="505">
        <f>'16'!F43</f>
        <v>1008759</v>
      </c>
      <c r="F43" s="505">
        <v>1010795</v>
      </c>
      <c r="G43" s="468">
        <f t="shared" si="1"/>
        <v>2036</v>
      </c>
      <c r="H43" s="455">
        <f>G43+'16'!H43</f>
        <v>-31449</v>
      </c>
      <c r="I43" s="450"/>
      <c r="J43" s="547">
        <f>H43/DAY(B2)</f>
        <v>-1849.9411764705883</v>
      </c>
      <c r="K43" s="424"/>
      <c r="L43" s="374"/>
      <c r="N43" s="714"/>
      <c r="O43" s="722"/>
      <c r="P43" s="379"/>
    </row>
    <row r="44" spans="1:16">
      <c r="A44" s="573" t="s">
        <v>238</v>
      </c>
      <c r="B44" s="574"/>
      <c r="C44" s="574"/>
      <c r="D44" s="518" t="s">
        <v>198</v>
      </c>
      <c r="E44" s="505">
        <f>'16'!F44</f>
        <v>0</v>
      </c>
      <c r="F44" s="505">
        <v>0</v>
      </c>
      <c r="G44" s="468">
        <f t="shared" si="1"/>
        <v>0</v>
      </c>
      <c r="H44" s="455">
        <f>G44+'16'!H44</f>
        <v>0</v>
      </c>
      <c r="I44" s="450"/>
      <c r="J44" s="547">
        <f>H44/DAY(B2)</f>
        <v>0</v>
      </c>
      <c r="K44" s="424"/>
      <c r="L44" s="374"/>
      <c r="N44" s="714"/>
      <c r="O44" s="721"/>
      <c r="P44" s="379"/>
    </row>
    <row r="45" spans="1:16">
      <c r="A45" s="573" t="s">
        <v>239</v>
      </c>
      <c r="B45" s="574"/>
      <c r="C45" s="574"/>
      <c r="D45" s="518" t="s">
        <v>198</v>
      </c>
      <c r="E45" s="505">
        <f>'16'!F45</f>
        <v>614</v>
      </c>
      <c r="F45" s="505">
        <v>614</v>
      </c>
      <c r="G45" s="468">
        <f t="shared" si="1"/>
        <v>0</v>
      </c>
      <c r="H45" s="455">
        <f>G45+'16'!H45</f>
        <v>0</v>
      </c>
      <c r="I45" s="450"/>
      <c r="J45" s="547">
        <f>H45/DAY(B2)</f>
        <v>0</v>
      </c>
      <c r="K45" s="424"/>
      <c r="L45" s="374"/>
      <c r="N45" s="718"/>
      <c r="O45" s="721"/>
      <c r="P45" s="379"/>
    </row>
    <row r="46" spans="1:16">
      <c r="A46" s="573" t="s">
        <v>240</v>
      </c>
      <c r="B46" s="574"/>
      <c r="C46" s="574"/>
      <c r="D46" s="518" t="s">
        <v>198</v>
      </c>
      <c r="E46" s="505">
        <f>'16'!F46</f>
        <v>187.49</v>
      </c>
      <c r="F46" s="505">
        <v>187.49</v>
      </c>
      <c r="G46" s="468">
        <f t="shared" si="1"/>
        <v>0</v>
      </c>
      <c r="H46" s="455">
        <f>G46+'16'!H46</f>
        <v>0</v>
      </c>
      <c r="I46" s="450"/>
      <c r="J46" s="547">
        <f>H46/DAY(B2)</f>
        <v>0</v>
      </c>
      <c r="K46" s="424"/>
      <c r="L46" s="374"/>
      <c r="N46" s="714"/>
      <c r="O46" s="721"/>
      <c r="P46" s="379"/>
    </row>
    <row r="47" spans="1:16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8261</v>
      </c>
      <c r="H47" s="455">
        <f>G47+'16'!H47</f>
        <v>218865.52000000002</v>
      </c>
      <c r="I47" s="450"/>
      <c r="J47" s="547">
        <f>H47/DAY(B2)</f>
        <v>12874.442352941178</v>
      </c>
      <c r="K47" s="424"/>
      <c r="L47" s="374"/>
      <c r="N47" s="714"/>
      <c r="O47" s="721"/>
      <c r="P47" s="37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1"/>
      <c r="P48" s="379"/>
    </row>
    <row r="49" spans="1:16">
      <c r="A49" s="573" t="s">
        <v>229</v>
      </c>
      <c r="B49" s="596"/>
      <c r="C49" s="596"/>
      <c r="D49" s="518" t="s">
        <v>198</v>
      </c>
      <c r="E49" s="505">
        <f>'16'!F49</f>
        <v>260732.13</v>
      </c>
      <c r="F49" s="505">
        <v>260732.13</v>
      </c>
      <c r="G49" s="468">
        <f t="shared" ref="G49:G58" si="2">F49-E49</f>
        <v>0</v>
      </c>
      <c r="H49" s="455">
        <f>G49+'16'!H49</f>
        <v>0.13000000000465661</v>
      </c>
      <c r="I49" s="450"/>
      <c r="J49" s="547">
        <f>H49/DAY(B2)</f>
        <v>7.6470588238033302E-3</v>
      </c>
      <c r="K49" s="424">
        <f>E49+242</f>
        <v>260974.13</v>
      </c>
      <c r="L49" s="374"/>
      <c r="N49" s="714"/>
      <c r="O49" s="721"/>
      <c r="P49" s="379"/>
    </row>
    <row r="50" spans="1:16">
      <c r="A50" s="573" t="s">
        <v>243</v>
      </c>
      <c r="B50" s="596"/>
      <c r="C50" s="596"/>
      <c r="D50" s="518" t="s">
        <v>198</v>
      </c>
      <c r="E50" s="505">
        <f>'16'!F50</f>
        <v>489245</v>
      </c>
      <c r="F50" s="505">
        <v>490007</v>
      </c>
      <c r="G50" s="468">
        <f t="shared" si="2"/>
        <v>762</v>
      </c>
      <c r="H50" s="455">
        <f>G50+'16'!H50</f>
        <v>-13419</v>
      </c>
      <c r="I50" s="450"/>
      <c r="J50" s="547">
        <f>H50/DAY(B2)</f>
        <v>-789.35294117647061</v>
      </c>
      <c r="K50" s="424"/>
      <c r="L50" s="374"/>
      <c r="N50" s="714"/>
      <c r="O50" s="722"/>
      <c r="P50" s="379"/>
    </row>
    <row r="51" spans="1:16">
      <c r="A51" s="573" t="s">
        <v>231</v>
      </c>
      <c r="B51" s="596"/>
      <c r="C51" s="596"/>
      <c r="D51" s="518" t="s">
        <v>198</v>
      </c>
      <c r="E51" s="505">
        <f>'16'!F51</f>
        <v>144639.87</v>
      </c>
      <c r="F51" s="505">
        <v>144640</v>
      </c>
      <c r="G51" s="468">
        <f t="shared" si="2"/>
        <v>0.13000000000465661</v>
      </c>
      <c r="H51" s="455">
        <f>G51+'16'!H51</f>
        <v>0</v>
      </c>
      <c r="I51" s="450"/>
      <c r="J51" s="547">
        <f>H51/DAY(B2)</f>
        <v>0</v>
      </c>
      <c r="K51" s="424"/>
      <c r="L51" s="374"/>
      <c r="N51" s="714"/>
      <c r="O51" s="721"/>
      <c r="P51" s="379"/>
    </row>
    <row r="52" spans="1:16">
      <c r="A52" s="573" t="s">
        <v>244</v>
      </c>
      <c r="B52" s="596"/>
      <c r="C52" s="596"/>
      <c r="D52" s="518" t="s">
        <v>198</v>
      </c>
      <c r="E52" s="505">
        <f>'16'!F52</f>
        <v>539606</v>
      </c>
      <c r="F52" s="505">
        <v>539606</v>
      </c>
      <c r="G52" s="468">
        <f t="shared" si="2"/>
        <v>0</v>
      </c>
      <c r="H52" s="455">
        <f>G52+'16'!H52</f>
        <v>-6.9999999948777258E-2</v>
      </c>
      <c r="I52" s="450"/>
      <c r="J52" s="547">
        <f>H52/DAY(B2)</f>
        <v>-4.1176470558104269E-3</v>
      </c>
      <c r="K52" s="424"/>
      <c r="L52" s="374"/>
      <c r="N52" s="714"/>
      <c r="O52" s="721"/>
      <c r="P52" s="379"/>
    </row>
    <row r="53" spans="1:16">
      <c r="A53" s="573" t="s">
        <v>233</v>
      </c>
      <c r="B53" s="596"/>
      <c r="C53" s="596"/>
      <c r="D53" s="518" t="s">
        <v>198</v>
      </c>
      <c r="E53" s="505">
        <f>'16'!F53</f>
        <v>424453</v>
      </c>
      <c r="F53" s="505">
        <v>424944</v>
      </c>
      <c r="G53" s="468">
        <f t="shared" si="2"/>
        <v>491</v>
      </c>
      <c r="H53" s="455">
        <f>G53+'16'!H53</f>
        <v>-7624.3300000000163</v>
      </c>
      <c r="I53" s="450"/>
      <c r="J53" s="547">
        <f>H53/DAY(B2)</f>
        <v>-448.49000000000098</v>
      </c>
      <c r="K53" s="424"/>
      <c r="L53" s="374"/>
      <c r="N53" s="714"/>
      <c r="O53" s="721"/>
      <c r="P53" s="379"/>
    </row>
    <row r="54" spans="1:16">
      <c r="A54" s="573" t="s">
        <v>245</v>
      </c>
      <c r="B54" s="596"/>
      <c r="C54" s="596"/>
      <c r="D54" s="518" t="s">
        <v>198</v>
      </c>
      <c r="E54" s="505">
        <f>'16'!F54</f>
        <v>12542</v>
      </c>
      <c r="F54" s="505">
        <v>12622</v>
      </c>
      <c r="G54" s="468">
        <f t="shared" si="2"/>
        <v>80</v>
      </c>
      <c r="H54" s="455">
        <f>G54+'16'!H54</f>
        <v>-1207</v>
      </c>
      <c r="I54" s="450"/>
      <c r="J54" s="547">
        <f>H54/DAY(B2)</f>
        <v>-71</v>
      </c>
      <c r="K54" s="424"/>
      <c r="L54" s="374"/>
      <c r="N54" s="714"/>
      <c r="O54" s="721"/>
      <c r="P54" s="379"/>
    </row>
    <row r="55" spans="1:16">
      <c r="A55" s="573" t="s">
        <v>246</v>
      </c>
      <c r="B55" s="596"/>
      <c r="C55" s="596"/>
      <c r="D55" s="518" t="s">
        <v>198</v>
      </c>
      <c r="E55" s="505">
        <f>'16'!F55</f>
        <v>19546</v>
      </c>
      <c r="F55" s="649">
        <v>24040</v>
      </c>
      <c r="G55" s="648">
        <f t="shared" si="2"/>
        <v>4494</v>
      </c>
      <c r="H55" s="701">
        <f>G55+'16'!H55</f>
        <v>-44071</v>
      </c>
      <c r="I55" s="702"/>
      <c r="J55" s="703">
        <f>H55/DAY(B2)</f>
        <v>-2592.4117647058824</v>
      </c>
      <c r="K55" s="424"/>
      <c r="L55" s="374"/>
      <c r="N55" s="714"/>
      <c r="O55" s="721"/>
      <c r="P55" s="379"/>
    </row>
    <row r="56" spans="1:16">
      <c r="A56" s="573" t="s">
        <v>247</v>
      </c>
      <c r="B56" s="596"/>
      <c r="C56" s="596"/>
      <c r="D56" s="518" t="s">
        <v>248</v>
      </c>
      <c r="E56" s="505">
        <f>'16'!F56</f>
        <v>589435.47</v>
      </c>
      <c r="F56" s="649">
        <v>589435.47</v>
      </c>
      <c r="G56" s="468">
        <f>F56-E56</f>
        <v>0</v>
      </c>
      <c r="H56" s="455">
        <f>G56+'16'!H56</f>
        <v>-27762.530000000028</v>
      </c>
      <c r="I56" s="450"/>
      <c r="J56" s="547">
        <f>H56/DAY(B2)</f>
        <v>-1633.0900000000017</v>
      </c>
      <c r="K56" s="423"/>
      <c r="L56" s="374"/>
      <c r="N56" s="714"/>
      <c r="O56" s="723"/>
      <c r="P56" s="379"/>
    </row>
    <row r="57" spans="1:16">
      <c r="A57" s="573" t="s">
        <v>237</v>
      </c>
      <c r="B57" s="596"/>
      <c r="C57" s="596"/>
      <c r="D57" s="518" t="s">
        <v>198</v>
      </c>
      <c r="E57" s="505">
        <f>'16'!F57</f>
        <v>7711.33</v>
      </c>
      <c r="F57" s="505">
        <v>7711.33</v>
      </c>
      <c r="G57" s="468">
        <f>F57-E57</f>
        <v>0</v>
      </c>
      <c r="H57" s="455">
        <f>G57+'16'!H57</f>
        <v>0.32999999999992724</v>
      </c>
      <c r="I57" s="450"/>
      <c r="J57" s="547">
        <f>H57/DAY(B2)</f>
        <v>1.9411764705878073E-2</v>
      </c>
      <c r="K57" s="424"/>
      <c r="L57" s="374"/>
      <c r="N57" s="714"/>
      <c r="O57" s="721"/>
      <c r="P57" s="379"/>
    </row>
    <row r="58" spans="1:16">
      <c r="A58" s="573" t="s">
        <v>249</v>
      </c>
      <c r="B58" s="596"/>
      <c r="C58" s="596"/>
      <c r="D58" s="518" t="s">
        <v>198</v>
      </c>
      <c r="E58" s="505">
        <f>'16'!F58</f>
        <v>47905</v>
      </c>
      <c r="F58" s="649">
        <v>48104</v>
      </c>
      <c r="G58" s="468">
        <f t="shared" si="2"/>
        <v>199</v>
      </c>
      <c r="H58" s="455">
        <f>G58+'16'!H58</f>
        <v>-1760.2099999999991</v>
      </c>
      <c r="I58" s="450"/>
      <c r="J58" s="547">
        <f>H58/DAY(B2)</f>
        <v>-103.5417647058823</v>
      </c>
      <c r="K58" s="424"/>
      <c r="L58" s="374"/>
      <c r="N58" s="714"/>
      <c r="O58" s="721"/>
      <c r="P58" s="37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6026.1300000000047</v>
      </c>
      <c r="H59" s="455">
        <f>G59+'16'!H59</f>
        <v>-95843.610000000044</v>
      </c>
      <c r="I59" s="450">
        <f>G7-G60</f>
        <v>2712.8699999999953</v>
      </c>
      <c r="J59" s="547">
        <f>H59/DAY(B2)</f>
        <v>-5637.8594117647081</v>
      </c>
      <c r="K59" s="424"/>
      <c r="L59" s="374"/>
      <c r="N59" s="714"/>
      <c r="O59" s="721"/>
      <c r="P59" s="37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14287.130000000005</v>
      </c>
      <c r="H60" s="455">
        <f>G60+'16'!H60</f>
        <v>124230.44999999998</v>
      </c>
      <c r="I60" s="450">
        <f>G13-G60</f>
        <v>2662.8699999999953</v>
      </c>
      <c r="J60" s="547">
        <f>H60/DAY(B2)</f>
        <v>7307.6735294117634</v>
      </c>
      <c r="K60" s="424"/>
      <c r="L60" s="374"/>
      <c r="N60" s="714"/>
      <c r="O60" s="721"/>
      <c r="P60" s="37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1"/>
      <c r="P61" s="379"/>
    </row>
    <row r="62" spans="1:16">
      <c r="A62" s="598" t="s">
        <v>252</v>
      </c>
      <c r="B62" s="599"/>
      <c r="C62" s="599"/>
      <c r="D62" s="506" t="s">
        <v>253</v>
      </c>
      <c r="E62" s="509">
        <f>'16'!F62</f>
        <v>20419.18</v>
      </c>
      <c r="F62" s="509">
        <v>20419</v>
      </c>
      <c r="G62" s="468">
        <f t="shared" ref="G62:G69" si="3">F62-E62</f>
        <v>-0.18000000000029104</v>
      </c>
      <c r="H62" s="455">
        <f>G62+'16'!H62</f>
        <v>1.9999999967694748E-3</v>
      </c>
      <c r="I62" s="510"/>
      <c r="J62" s="547">
        <f>H62/DAY(B2)</f>
        <v>1.1764705863349852E-4</v>
      </c>
      <c r="K62" s="424"/>
      <c r="L62" s="374"/>
      <c r="N62" s="714"/>
      <c r="O62" s="721"/>
      <c r="P62" s="379"/>
    </row>
    <row r="63" spans="1:16">
      <c r="A63" s="598" t="s">
        <v>254</v>
      </c>
      <c r="B63" s="599"/>
      <c r="C63" s="599"/>
      <c r="D63" s="506" t="s">
        <v>253</v>
      </c>
      <c r="E63" s="509">
        <f>'16'!F63</f>
        <v>2419</v>
      </c>
      <c r="F63" s="509">
        <v>2423</v>
      </c>
      <c r="G63" s="468">
        <f t="shared" si="3"/>
        <v>4</v>
      </c>
      <c r="H63" s="455">
        <f>G63+'16'!H63</f>
        <v>2423</v>
      </c>
      <c r="I63" s="510"/>
      <c r="J63" s="547">
        <f>H63/DAY(B2)</f>
        <v>142.52941176470588</v>
      </c>
      <c r="K63" s="424"/>
      <c r="L63" s="374"/>
      <c r="N63" s="714"/>
      <c r="O63" s="721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1147">
        <f>'16'!F64</f>
        <v>156604</v>
      </c>
      <c r="F64" s="621">
        <v>156870</v>
      </c>
      <c r="G64" s="769">
        <f t="shared" si="3"/>
        <v>266</v>
      </c>
      <c r="H64" s="455">
        <f>G64+'16'!H64</f>
        <v>-3062</v>
      </c>
      <c r="I64" s="475"/>
      <c r="J64" s="547">
        <f>H64/DAY(B2)</f>
        <v>-180.11764705882354</v>
      </c>
      <c r="K64" s="424"/>
      <c r="L64" s="374"/>
      <c r="N64" s="714"/>
      <c r="O64" s="721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509">
        <f>'16'!F65</f>
        <v>157667</v>
      </c>
      <c r="F65" s="647">
        <v>157951</v>
      </c>
      <c r="G65" s="468">
        <f t="shared" si="3"/>
        <v>284</v>
      </c>
      <c r="H65" s="455">
        <f>G65+'16'!H65</f>
        <v>-3047</v>
      </c>
      <c r="I65" s="484"/>
      <c r="J65" s="547">
        <f>H65/DAY(B2)</f>
        <v>-179.23529411764707</v>
      </c>
      <c r="K65" s="424"/>
      <c r="L65" s="374"/>
      <c r="N65" s="714"/>
      <c r="O65" s="722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509">
        <f>'16'!F66</f>
        <v>52707</v>
      </c>
      <c r="F66" s="473">
        <v>52979</v>
      </c>
      <c r="G66" s="468">
        <f t="shared" si="3"/>
        <v>272</v>
      </c>
      <c r="H66" s="455">
        <f>G66+'16'!H66</f>
        <v>-3826</v>
      </c>
      <c r="I66" s="475"/>
      <c r="J66" s="547">
        <f>H66/DAY(B2)</f>
        <v>-225.05882352941177</v>
      </c>
      <c r="K66" s="424"/>
      <c r="L66" s="374"/>
      <c r="N66" s="714"/>
      <c r="O66" s="721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509">
        <f>'16'!F67</f>
        <v>246073</v>
      </c>
      <c r="F67" s="473">
        <v>246395</v>
      </c>
      <c r="G67" s="468">
        <f t="shared" si="3"/>
        <v>322</v>
      </c>
      <c r="H67" s="455">
        <f>G67+'16'!H67</f>
        <v>-5797</v>
      </c>
      <c r="I67" s="484"/>
      <c r="J67" s="547">
        <f>H67/DAY(B2)</f>
        <v>-341</v>
      </c>
      <c r="K67" s="425"/>
      <c r="L67" s="374"/>
      <c r="N67" s="714"/>
      <c r="O67" s="721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509">
        <f>'16'!F68</f>
        <v>85321</v>
      </c>
      <c r="F68" s="473">
        <v>85321</v>
      </c>
      <c r="G68" s="468">
        <f t="shared" si="3"/>
        <v>0</v>
      </c>
      <c r="H68" s="455">
        <f>G68+'16'!H68</f>
        <v>0</v>
      </c>
      <c r="I68" s="511"/>
      <c r="J68" s="547">
        <f>H68/DAY(B2)</f>
        <v>0</v>
      </c>
      <c r="K68" s="426"/>
      <c r="L68" s="374"/>
      <c r="N68" s="714"/>
      <c r="O68" s="721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509">
        <f>'16'!F69</f>
        <v>80185</v>
      </c>
      <c r="F69" s="473">
        <v>80272</v>
      </c>
      <c r="G69" s="468">
        <f t="shared" si="3"/>
        <v>87</v>
      </c>
      <c r="H69" s="455">
        <f>G69+'16'!H69</f>
        <v>-1477</v>
      </c>
      <c r="I69" s="511"/>
      <c r="J69" s="547">
        <f>H69/DAY(B2)</f>
        <v>-86.882352941176464</v>
      </c>
      <c r="K69" s="427"/>
      <c r="L69" s="374"/>
      <c r="N69" s="714"/>
      <c r="O69" s="721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>G70+'13'!H70</f>
        <v>0</v>
      </c>
      <c r="I70" s="513"/>
      <c r="J70" s="551"/>
      <c r="K70" s="427"/>
      <c r="L70" s="374"/>
      <c r="N70" s="714"/>
      <c r="O70" s="721"/>
      <c r="P70" s="379"/>
    </row>
    <row r="71" spans="1:16" ht="31.5">
      <c r="A71" s="1496">
        <v>855695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1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4">
        <f>'16'!F72</f>
        <v>855682</v>
      </c>
      <c r="F72" s="650">
        <v>855696</v>
      </c>
      <c r="G72" s="468">
        <f t="shared" ref="G72:G84" si="4">F72-E72</f>
        <v>14</v>
      </c>
      <c r="H72" s="455">
        <f>G72+'16'!H72</f>
        <v>-190</v>
      </c>
      <c r="I72" s="475"/>
      <c r="J72" s="547">
        <f>H72/DAY(B2)</f>
        <v>-11.176470588235293</v>
      </c>
      <c r="K72" s="427"/>
      <c r="L72" s="374"/>
      <c r="N72" s="714"/>
      <c r="O72" s="721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4">
        <f>'16'!F73</f>
        <v>885892</v>
      </c>
      <c r="F73" s="651">
        <v>885893</v>
      </c>
      <c r="G73" s="648">
        <f t="shared" si="4"/>
        <v>1</v>
      </c>
      <c r="H73" s="455">
        <f>G73+'16'!H73</f>
        <v>142</v>
      </c>
      <c r="I73" s="475"/>
      <c r="J73" s="547">
        <f>H73/DAY(B2)</f>
        <v>8.3529411764705888</v>
      </c>
      <c r="K73" s="426"/>
      <c r="L73" s="374"/>
      <c r="N73" s="714"/>
      <c r="O73" s="721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4">
        <f>'16'!F74</f>
        <v>2489</v>
      </c>
      <c r="F74" s="651">
        <v>2495</v>
      </c>
      <c r="G74" s="468">
        <f t="shared" si="4"/>
        <v>6</v>
      </c>
      <c r="H74" s="455">
        <f>G74+'16'!H74</f>
        <v>-91</v>
      </c>
      <c r="I74" s="475"/>
      <c r="J74" s="547">
        <f>H74/DAY(B2)</f>
        <v>-5.3529411764705879</v>
      </c>
      <c r="K74" s="427"/>
      <c r="L74" s="374"/>
      <c r="N74" s="714"/>
      <c r="O74" s="721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4">
        <f>'16'!F75</f>
        <v>11821</v>
      </c>
      <c r="F75" s="651">
        <v>11880</v>
      </c>
      <c r="G75" s="468">
        <f t="shared" si="4"/>
        <v>59</v>
      </c>
      <c r="H75" s="455">
        <f>G75+'16'!H75</f>
        <v>-789</v>
      </c>
      <c r="I75" s="475"/>
      <c r="J75" s="547">
        <f>H75/DAY(B2)</f>
        <v>-46.411764705882355</v>
      </c>
      <c r="K75" s="426"/>
      <c r="L75" s="374"/>
      <c r="N75" s="714"/>
      <c r="O75" s="721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4">
        <f>'16'!F76</f>
        <v>6578</v>
      </c>
      <c r="F76" s="651">
        <v>6635</v>
      </c>
      <c r="G76" s="468">
        <f t="shared" si="4"/>
        <v>57</v>
      </c>
      <c r="H76" s="455">
        <f>G76+'16'!H76</f>
        <v>-571</v>
      </c>
      <c r="I76" s="500"/>
      <c r="J76" s="547">
        <f>H76/DAY(B2)</f>
        <v>-33.588235294117645</v>
      </c>
      <c r="K76" s="426"/>
      <c r="L76" s="374"/>
      <c r="N76" s="714"/>
      <c r="O76" s="721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4">
        <f>'16'!F77</f>
        <v>702265</v>
      </c>
      <c r="F77" s="651">
        <v>702294</v>
      </c>
      <c r="G77" s="648">
        <f t="shared" si="4"/>
        <v>29</v>
      </c>
      <c r="H77" s="455">
        <f>G77+'16'!H77</f>
        <v>-545</v>
      </c>
      <c r="I77" s="500"/>
      <c r="J77" s="547">
        <f>H77/DAY(B2)</f>
        <v>-32.058823529411768</v>
      </c>
      <c r="K77" s="426"/>
      <c r="L77" s="374"/>
      <c r="N77" s="714"/>
      <c r="O77" s="721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4">
        <f>'16'!F78</f>
        <v>671385</v>
      </c>
      <c r="F78" s="652">
        <v>671474</v>
      </c>
      <c r="G78" s="468">
        <f t="shared" si="4"/>
        <v>89</v>
      </c>
      <c r="H78" s="455">
        <f>G78+'16'!H78</f>
        <v>-1558</v>
      </c>
      <c r="I78" s="500"/>
      <c r="J78" s="547">
        <f>H78/DAY(B2)</f>
        <v>-91.647058823529406</v>
      </c>
      <c r="K78" s="426"/>
      <c r="L78" s="374"/>
      <c r="N78" s="714"/>
      <c r="O78" s="721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4">
        <f>'16'!F79</f>
        <v>829050</v>
      </c>
      <c r="F79" s="652">
        <v>829167</v>
      </c>
      <c r="G79" s="468">
        <f t="shared" si="4"/>
        <v>117</v>
      </c>
      <c r="H79" s="455">
        <f>G79+'16'!H79</f>
        <v>-2855</v>
      </c>
      <c r="I79" s="500"/>
      <c r="J79" s="547">
        <f>H79/DAY(B2)</f>
        <v>-167.94117647058823</v>
      </c>
      <c r="K79" s="426"/>
      <c r="L79" s="374"/>
      <c r="N79" s="714"/>
      <c r="O79" s="721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4">
        <f>'16'!F80</f>
        <v>522420</v>
      </c>
      <c r="F80" s="651">
        <v>522731</v>
      </c>
      <c r="G80" s="468">
        <f t="shared" si="4"/>
        <v>311</v>
      </c>
      <c r="H80" s="455">
        <f>G80+'16'!H80</f>
        <v>-7814.5200000000186</v>
      </c>
      <c r="I80" s="500"/>
      <c r="J80" s="547">
        <f>H80/DAY(B2)</f>
        <v>-459.67764705882462</v>
      </c>
      <c r="K80" s="426"/>
      <c r="L80" s="374"/>
      <c r="N80" s="714"/>
      <c r="O80" s="721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4">
        <f>'16'!F81</f>
        <v>637676</v>
      </c>
      <c r="F81" s="651">
        <v>637752</v>
      </c>
      <c r="G81" s="468">
        <f t="shared" si="4"/>
        <v>76</v>
      </c>
      <c r="H81" s="455">
        <f>G81+'16'!H81</f>
        <v>-1146</v>
      </c>
      <c r="I81" s="500"/>
      <c r="J81" s="547">
        <f>H81/DAY(B2)</f>
        <v>-67.411764705882348</v>
      </c>
      <c r="K81" s="426"/>
      <c r="L81" s="374"/>
      <c r="N81" s="714"/>
      <c r="O81" s="721"/>
      <c r="P81" s="379"/>
    </row>
    <row r="82" spans="1:16" s="771" customFormat="1" ht="27.75">
      <c r="A82" s="1519" t="s">
        <v>267</v>
      </c>
      <c r="B82" s="1520"/>
      <c r="C82" s="1521"/>
      <c r="D82" s="621" t="s">
        <v>198</v>
      </c>
      <c r="E82" s="514">
        <f>'16'!F82</f>
        <v>107919</v>
      </c>
      <c r="F82" s="621">
        <v>107930</v>
      </c>
      <c r="G82" s="769">
        <f t="shared" si="4"/>
        <v>11</v>
      </c>
      <c r="H82" s="474">
        <f>G82+'16'!H82</f>
        <v>-228</v>
      </c>
      <c r="I82" s="474"/>
      <c r="J82" s="770">
        <f>H82/DAY(B2)</f>
        <v>-13.411764705882353</v>
      </c>
      <c r="K82" s="1144"/>
      <c r="L82" s="1145"/>
      <c r="N82" s="718"/>
      <c r="O82" s="722"/>
      <c r="P82" s="717"/>
    </row>
    <row r="83" spans="1:16" ht="27.75">
      <c r="A83" s="1499" t="s">
        <v>268</v>
      </c>
      <c r="B83" s="1500"/>
      <c r="C83" s="1501"/>
      <c r="D83" s="615" t="s">
        <v>198</v>
      </c>
      <c r="E83" s="514">
        <f>'16'!F83</f>
        <v>17904</v>
      </c>
      <c r="F83" s="506">
        <v>18079</v>
      </c>
      <c r="G83" s="468">
        <f t="shared" si="4"/>
        <v>175</v>
      </c>
      <c r="H83" s="455">
        <f>G83+'16'!H83</f>
        <v>-2427</v>
      </c>
      <c r="I83" s="476"/>
      <c r="J83" s="547">
        <f>H83/DAY(B2)</f>
        <v>-142.76470588235293</v>
      </c>
      <c r="K83" s="425"/>
      <c r="L83" s="374"/>
      <c r="N83" s="714"/>
      <c r="O83" s="721"/>
      <c r="P83" s="379"/>
    </row>
    <row r="84" spans="1:16">
      <c r="A84" s="1396" t="s">
        <v>166</v>
      </c>
      <c r="B84" s="566"/>
      <c r="C84" s="566"/>
      <c r="D84" s="473" t="s">
        <v>198</v>
      </c>
      <c r="E84" s="514">
        <f>'16'!F84</f>
        <v>491207</v>
      </c>
      <c r="F84" s="622">
        <v>491626</v>
      </c>
      <c r="G84" s="468">
        <f t="shared" si="4"/>
        <v>419</v>
      </c>
      <c r="H84" s="455">
        <f>G84+'16'!H84</f>
        <v>-8668</v>
      </c>
      <c r="I84" s="476"/>
      <c r="J84" s="547">
        <f>H84/DAY(B2)</f>
        <v>-509.88235294117646</v>
      </c>
      <c r="K84" s="377"/>
      <c r="L84" s="374"/>
      <c r="N84" s="714"/>
      <c r="O84" s="721"/>
      <c r="P84" s="379"/>
    </row>
    <row r="85" spans="1:16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1364</v>
      </c>
      <c r="H85" s="455">
        <f>G85+'16'!H85</f>
        <v>-23197</v>
      </c>
      <c r="I85" s="476"/>
      <c r="J85" s="547">
        <f>H85/DAY(B2)</f>
        <v>-1364.5294117647059</v>
      </c>
      <c r="K85" s="377"/>
      <c r="L85" s="375"/>
      <c r="N85" s="714"/>
      <c r="O85" s="721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'16'!F86</f>
        <v>460442</v>
      </c>
      <c r="F86" s="1350">
        <v>460478</v>
      </c>
      <c r="G86" s="701">
        <f t="shared" ref="G86:G91" si="5">F86-E86</f>
        <v>36</v>
      </c>
      <c r="H86" s="701">
        <f t="shared" ref="H86:H88" si="6">G86</f>
        <v>36</v>
      </c>
      <c r="I86" s="648"/>
      <c r="J86" s="703">
        <f>H86/DAY(B2)</f>
        <v>2.1176470588235294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'16'!F87</f>
        <v>81109</v>
      </c>
      <c r="F87" s="643">
        <v>81116</v>
      </c>
      <c r="G87" s="701">
        <f t="shared" si="5"/>
        <v>7</v>
      </c>
      <c r="H87" s="701">
        <f t="shared" si="6"/>
        <v>7</v>
      </c>
      <c r="I87" s="648"/>
      <c r="J87" s="703">
        <f>H87/DAY(B2)</f>
        <v>0.41176470588235292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'16'!F88</f>
        <v>152454</v>
      </c>
      <c r="F88" s="643">
        <v>152520</v>
      </c>
      <c r="G88" s="701">
        <f t="shared" si="5"/>
        <v>66</v>
      </c>
      <c r="H88" s="701">
        <f t="shared" si="6"/>
        <v>66</v>
      </c>
      <c r="I88" s="648"/>
      <c r="J88" s="703">
        <f>H88/DAY(B2)</f>
        <v>3.8823529411764706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'16'!F89</f>
        <v>64937</v>
      </c>
      <c r="F89" s="643">
        <v>64943</v>
      </c>
      <c r="G89" s="701">
        <f t="shared" si="5"/>
        <v>6</v>
      </c>
      <c r="H89" s="701">
        <f>G89</f>
        <v>6</v>
      </c>
      <c r="I89" s="648"/>
      <c r="J89" s="703">
        <f>H89/DAY(B2)</f>
        <v>0.35294117647058826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'16'!F90</f>
        <v>3272.5</v>
      </c>
      <c r="F90" s="643">
        <v>3272.5</v>
      </c>
      <c r="G90" s="701">
        <f t="shared" si="5"/>
        <v>0</v>
      </c>
      <c r="H90" s="701">
        <f>G90</f>
        <v>0</v>
      </c>
      <c r="I90" s="648"/>
      <c r="J90" s="703">
        <f>H90/DAY(B2)</f>
        <v>0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/>
      <c r="E91" s="622">
        <f>'16'!F91</f>
        <v>27954</v>
      </c>
      <c r="F91" s="643">
        <v>27957</v>
      </c>
      <c r="G91" s="701">
        <f t="shared" si="5"/>
        <v>3</v>
      </c>
      <c r="H91" s="701">
        <f>G91</f>
        <v>3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467"/>
      <c r="F92" s="467" t="s">
        <v>326</v>
      </c>
      <c r="G92" s="483"/>
      <c r="H92" s="467"/>
      <c r="I92" s="467"/>
      <c r="J92" s="546"/>
      <c r="K92" s="377"/>
      <c r="L92" s="375"/>
      <c r="N92" s="714"/>
      <c r="O92" s="721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479">
        <f>'16'!F93</f>
        <v>245077</v>
      </c>
      <c r="F93" s="473">
        <v>245077</v>
      </c>
      <c r="G93" s="468">
        <f t="shared" ref="G93:G94" si="7">F93-E93</f>
        <v>0</v>
      </c>
      <c r="H93" s="455">
        <f>G93+'16'!H93</f>
        <v>-411</v>
      </c>
      <c r="I93" s="475"/>
      <c r="J93" s="547">
        <f>H93/DAY(B2)</f>
        <v>-24.176470588235293</v>
      </c>
      <c r="K93" s="425"/>
      <c r="L93" s="374"/>
      <c r="N93" s="714"/>
      <c r="O93" s="721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479">
        <f>'16'!F94</f>
        <v>184822</v>
      </c>
      <c r="F94" s="473">
        <v>184915</v>
      </c>
      <c r="G94" s="468">
        <f t="shared" si="7"/>
        <v>93</v>
      </c>
      <c r="H94" s="455">
        <f>G94+'16'!H94</f>
        <v>-1206</v>
      </c>
      <c r="I94" s="475"/>
      <c r="J94" s="547">
        <f>H94/DAY(B2)</f>
        <v>-70.941176470588232</v>
      </c>
      <c r="K94" s="377"/>
      <c r="L94" s="374"/>
      <c r="N94" s="714"/>
      <c r="O94" s="721"/>
      <c r="P94" s="379"/>
    </row>
    <row r="95" spans="1:16">
      <c r="A95" s="1447" t="s">
        <v>276</v>
      </c>
      <c r="B95" s="1448"/>
      <c r="C95" s="1449"/>
      <c r="D95" s="518"/>
      <c r="E95" s="479">
        <f>'16'!F95</f>
        <v>0</v>
      </c>
      <c r="F95" s="473"/>
      <c r="G95" s="468">
        <f>G93+G94</f>
        <v>93</v>
      </c>
      <c r="H95" s="455">
        <f>G95+'16'!H95</f>
        <v>-1693</v>
      </c>
      <c r="I95" s="475"/>
      <c r="J95" s="547">
        <f>H95/DAY(B2)</f>
        <v>-99.588235294117652</v>
      </c>
      <c r="K95" s="377"/>
      <c r="L95" s="374"/>
      <c r="N95" s="714"/>
      <c r="O95" s="721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479">
        <f>'16'!F96</f>
        <v>413594</v>
      </c>
      <c r="F96" s="473">
        <v>413639</v>
      </c>
      <c r="G96" s="468">
        <f t="shared" ref="G96:G101" si="8">F96-E96</f>
        <v>45</v>
      </c>
      <c r="H96" s="455">
        <f>G96+'16'!H96</f>
        <v>-644</v>
      </c>
      <c r="I96" s="475"/>
      <c r="J96" s="547">
        <f>H96/DAY(B2)</f>
        <v>-37.882352941176471</v>
      </c>
      <c r="K96" s="377"/>
      <c r="L96" s="374"/>
      <c r="N96" s="714"/>
      <c r="O96" s="721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479">
        <f>'16'!F97</f>
        <v>102497</v>
      </c>
      <c r="F97" s="473">
        <v>102504</v>
      </c>
      <c r="G97" s="468">
        <f t="shared" si="8"/>
        <v>7</v>
      </c>
      <c r="H97" s="455">
        <f>G97+'16'!H97</f>
        <v>-144</v>
      </c>
      <c r="I97" s="475"/>
      <c r="J97" s="547">
        <f>H97/DAY(B2)</f>
        <v>-8.4705882352941178</v>
      </c>
      <c r="K97" s="423"/>
      <c r="L97" s="374"/>
      <c r="N97" s="714"/>
      <c r="O97" s="721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479">
        <f>'16'!F98</f>
        <v>97662</v>
      </c>
      <c r="F98" s="473">
        <v>97668</v>
      </c>
      <c r="G98" s="468">
        <f t="shared" si="8"/>
        <v>6</v>
      </c>
      <c r="H98" s="455">
        <f>G98+'16'!H98</f>
        <v>-282</v>
      </c>
      <c r="I98" s="475"/>
      <c r="J98" s="547">
        <f>H98/DAY(B2)</f>
        <v>-16.588235294117649</v>
      </c>
      <c r="K98" s="428"/>
      <c r="L98" s="374"/>
      <c r="N98" s="714"/>
      <c r="O98" s="721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479">
        <f>'16'!F99</f>
        <v>149723</v>
      </c>
      <c r="F99" s="473">
        <v>149725</v>
      </c>
      <c r="G99" s="468">
        <f t="shared" si="8"/>
        <v>2</v>
      </c>
      <c r="H99" s="455">
        <f>G99+'16'!H99</f>
        <v>-127</v>
      </c>
      <c r="I99" s="475"/>
      <c r="J99" s="547">
        <f>H99/DAY(B2)</f>
        <v>-7.4705882352941178</v>
      </c>
      <c r="K99" s="377"/>
      <c r="L99" s="374"/>
      <c r="N99" s="716"/>
      <c r="O99" s="721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479">
        <f>'16'!F100</f>
        <v>7267</v>
      </c>
      <c r="F100" s="473">
        <v>7287</v>
      </c>
      <c r="G100" s="468">
        <f t="shared" si="8"/>
        <v>20</v>
      </c>
      <c r="H100" s="455">
        <f>G100+'16'!H100</f>
        <v>-82</v>
      </c>
      <c r="I100" s="475"/>
      <c r="J100" s="547">
        <f>H100/DAY(B2)</f>
        <v>-4.8235294117647056</v>
      </c>
      <c r="K100" s="377"/>
      <c r="L100" s="374"/>
      <c r="N100" s="714"/>
      <c r="O100" s="721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479">
        <f>'16'!F101</f>
        <v>5247</v>
      </c>
      <c r="F101" s="473">
        <v>5250</v>
      </c>
      <c r="G101" s="468">
        <f t="shared" si="8"/>
        <v>3</v>
      </c>
      <c r="H101" s="455">
        <f>G101+'16'!H101</f>
        <v>-141</v>
      </c>
      <c r="I101" s="475"/>
      <c r="J101" s="547">
        <f>H101/DAY(B2)</f>
        <v>-8.2941176470588243</v>
      </c>
      <c r="K101" s="377"/>
      <c r="L101" s="374"/>
      <c r="N101" s="714"/>
      <c r="O101" s="721"/>
      <c r="P101" s="379"/>
    </row>
    <row r="102" spans="1:16">
      <c r="A102" s="1447" t="s">
        <v>277</v>
      </c>
      <c r="B102" s="1448"/>
      <c r="C102" s="1449"/>
      <c r="D102" s="519"/>
      <c r="E102" s="479"/>
      <c r="F102" s="519"/>
      <c r="G102" s="520">
        <f>SUM(G96:G101)</f>
        <v>83</v>
      </c>
      <c r="H102" s="455">
        <f>G102+'16'!H102</f>
        <v>-1420</v>
      </c>
      <c r="I102" s="521"/>
      <c r="J102" s="547">
        <f>H102/DAY(B2)</f>
        <v>-83.529411764705884</v>
      </c>
      <c r="K102" s="377"/>
      <c r="L102" s="374"/>
      <c r="N102" s="714"/>
      <c r="O102" s="721"/>
      <c r="P102" s="379"/>
    </row>
    <row r="103" spans="1:16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14"/>
      <c r="O103" s="721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1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479">
        <f>'16'!F105</f>
        <v>7473</v>
      </c>
      <c r="F105" s="654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3.3529411764705883</v>
      </c>
      <c r="N105" s="714"/>
      <c r="O105" s="721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479">
        <f>'16'!F106</f>
        <v>35875</v>
      </c>
      <c r="F106" s="655">
        <v>35889</v>
      </c>
      <c r="G106" s="527">
        <f t="shared" ref="G106:G107" si="9">F106-E106</f>
        <v>14</v>
      </c>
      <c r="H106" s="528">
        <f>SUM(G106+'1'!G77)</f>
        <v>63</v>
      </c>
      <c r="I106" s="527"/>
      <c r="J106" s="553">
        <f>H106/DAY(B2)</f>
        <v>3.7058823529411766</v>
      </c>
      <c r="N106" s="714"/>
      <c r="O106" s="721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479">
        <f>'16'!F107</f>
        <v>19663</v>
      </c>
      <c r="F107" s="655">
        <v>19669</v>
      </c>
      <c r="G107" s="527">
        <f t="shared" si="9"/>
        <v>6</v>
      </c>
      <c r="H107" s="528">
        <f>SUM(G107+'1'!G78)</f>
        <v>61</v>
      </c>
      <c r="I107" s="527"/>
      <c r="J107" s="553">
        <f>H107/DAY(B2)</f>
        <v>3.5882352941176472</v>
      </c>
      <c r="N107" s="714"/>
      <c r="O107" s="721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479">
        <f>'16'!F108</f>
        <v>0</v>
      </c>
      <c r="F108" s="655"/>
      <c r="G108" s="527">
        <f>SUM(G105:G107)</f>
        <v>20</v>
      </c>
      <c r="H108" s="528">
        <f>SUM(G108+'1'!G79)</f>
        <v>175</v>
      </c>
      <c r="I108" s="527"/>
      <c r="J108" s="553">
        <f>H108/DAY(B2)</f>
        <v>10.294117647058824</v>
      </c>
      <c r="N108" s="714"/>
      <c r="O108" s="721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479">
        <f>'16'!F109</f>
        <v>0</v>
      </c>
      <c r="F109" s="655"/>
      <c r="G109" s="527"/>
      <c r="H109" s="528"/>
      <c r="I109" s="527"/>
      <c r="J109" s="553"/>
      <c r="N109" s="714"/>
      <c r="O109" s="721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479">
        <f>'16'!F110</f>
        <v>62019</v>
      </c>
      <c r="F110" s="655">
        <v>62039</v>
      </c>
      <c r="G110" s="527">
        <f>F110-E110</f>
        <v>20</v>
      </c>
      <c r="H110" s="528">
        <f>SUM(G110+'1'!G81)</f>
        <v>114</v>
      </c>
      <c r="I110" s="527"/>
      <c r="J110" s="553">
        <f>H110/DAY(B2)</f>
        <v>6.7058823529411766</v>
      </c>
      <c r="N110" s="714"/>
      <c r="O110" s="721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479">
        <f>'16'!F111</f>
        <v>32401</v>
      </c>
      <c r="F111" s="655">
        <v>32401</v>
      </c>
      <c r="G111" s="527">
        <f t="shared" ref="G111:G112" si="10">F111-E111</f>
        <v>0</v>
      </c>
      <c r="H111" s="528">
        <f>SUM(G111+'1'!G82)</f>
        <v>11</v>
      </c>
      <c r="I111" s="527"/>
      <c r="J111" s="553">
        <f>H111/DAY(B2)</f>
        <v>0.6470588235294118</v>
      </c>
      <c r="N111" s="714"/>
      <c r="O111" s="721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479">
        <f>'16'!F112</f>
        <v>4509</v>
      </c>
      <c r="F112" s="655">
        <v>4509</v>
      </c>
      <c r="G112" s="527">
        <f t="shared" si="10"/>
        <v>0</v>
      </c>
      <c r="H112" s="528">
        <f>SUM(G112+'1'!G83)</f>
        <v>152</v>
      </c>
      <c r="I112" s="527"/>
      <c r="J112" s="553">
        <f>H112/DAY(B2)</f>
        <v>8.9411764705882355</v>
      </c>
      <c r="N112" s="714"/>
      <c r="O112" s="721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479">
        <f>'16'!F113</f>
        <v>0</v>
      </c>
      <c r="F113" s="655"/>
      <c r="G113" s="527">
        <f>SUM(G110:G112)</f>
        <v>20</v>
      </c>
      <c r="H113" s="528">
        <f>SUM(G113+'1'!G84)</f>
        <v>847</v>
      </c>
      <c r="I113" s="527"/>
      <c r="J113" s="553">
        <f>H113/DAY(B2)</f>
        <v>49.823529411764703</v>
      </c>
      <c r="N113" s="714"/>
      <c r="O113" s="721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479">
        <f>'16'!F114</f>
        <v>0</v>
      </c>
      <c r="F114" s="655"/>
      <c r="G114" s="527"/>
      <c r="H114" s="528"/>
      <c r="I114" s="527"/>
      <c r="J114" s="553">
        <f>H114/DAY(B2)</f>
        <v>0</v>
      </c>
      <c r="N114" s="714"/>
      <c r="O114" s="721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479">
        <f>'16'!F115</f>
        <v>11367</v>
      </c>
      <c r="F115" s="655">
        <v>11389</v>
      </c>
      <c r="G115" s="529">
        <f>F115-E115</f>
        <v>22</v>
      </c>
      <c r="H115" s="528">
        <f>SUM(G115+'1'!G92)</f>
        <v>22</v>
      </c>
      <c r="I115" s="527"/>
      <c r="J115" s="553">
        <f>H115/DAY(B2)</f>
        <v>1.2941176470588236</v>
      </c>
      <c r="N115" s="714"/>
      <c r="O115" s="721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479">
        <f>'16'!F116</f>
        <v>8206</v>
      </c>
      <c r="F116" s="655">
        <v>8214</v>
      </c>
      <c r="G116" s="529">
        <f t="shared" ref="G116:G117" si="11">F116-E116</f>
        <v>8</v>
      </c>
      <c r="H116" s="528">
        <f>SUM(G116+'1'!G93)</f>
        <v>26</v>
      </c>
      <c r="I116" s="527"/>
      <c r="J116" s="553">
        <f>H116/DAY(B2)</f>
        <v>1.5294117647058822</v>
      </c>
      <c r="N116" s="714"/>
      <c r="O116" s="721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1"/>
        <v>0</v>
      </c>
      <c r="H117" s="528">
        <f>SUM(G117+'1'!G94)</f>
        <v>58</v>
      </c>
      <c r="I117" s="527"/>
      <c r="J117" s="553">
        <f>H117/DAY(B2)</f>
        <v>3.4117647058823528</v>
      </c>
      <c r="N117" s="714"/>
      <c r="O117" s="721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30</v>
      </c>
      <c r="H118" s="528">
        <f>SUM(G118+'1'!G96)</f>
        <v>70</v>
      </c>
      <c r="I118" s="529"/>
      <c r="J118" s="553">
        <f>H118/DAY(B2)</f>
        <v>4.117647058823529</v>
      </c>
      <c r="N118" s="714"/>
      <c r="O118" s="721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56</v>
      </c>
      <c r="G119" s="531">
        <f>SUM(G19+G93)</f>
        <v>56</v>
      </c>
      <c r="H119" s="528">
        <f>SUM(G119+'1'!G97)</f>
        <v>69</v>
      </c>
      <c r="I119" s="530"/>
      <c r="J119" s="554">
        <f>H119/DAY(B2)</f>
        <v>4.0588235294117645</v>
      </c>
      <c r="N119" s="714"/>
      <c r="O119" s="721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81</v>
      </c>
      <c r="G120" s="531">
        <f>SUM(G96,G97,G98,G100,G101)</f>
        <v>81</v>
      </c>
      <c r="H120" s="528">
        <f>SUM(G120+'1'!G99)</f>
        <v>88</v>
      </c>
      <c r="I120" s="530"/>
      <c r="J120" s="554">
        <f>H120/DAY(B2)</f>
        <v>5.1764705882352944</v>
      </c>
      <c r="N120" s="714"/>
      <c r="O120" s="721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20</v>
      </c>
      <c r="G121" s="529">
        <f>SUM(G113)</f>
        <v>20</v>
      </c>
      <c r="H121" s="528">
        <f>SUM(G121+'1'!G101)</f>
        <v>24</v>
      </c>
      <c r="I121" s="530"/>
      <c r="J121" s="554">
        <f>H121/DAY(B2)</f>
        <v>1.411764705882353</v>
      </c>
      <c r="N121" s="714"/>
      <c r="O121" s="721"/>
      <c r="P121" s="379"/>
    </row>
    <row r="122" spans="1:16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1"/>
      <c r="P122" s="379"/>
    </row>
    <row r="123" spans="1:16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1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473">
        <f>'16'!F124</f>
        <v>829338</v>
      </c>
      <c r="F124" s="473">
        <v>829552</v>
      </c>
      <c r="G124" s="468">
        <f t="shared" ref="G124:G128" si="12">F124-E124</f>
        <v>214</v>
      </c>
      <c r="H124" s="455">
        <f>G124+'16'!H124</f>
        <v>-2814</v>
      </c>
      <c r="I124" s="521"/>
      <c r="J124" s="547">
        <f>H124/DAY(B2)</f>
        <v>-165.52941176470588</v>
      </c>
      <c r="K124" s="377"/>
      <c r="L124" s="374"/>
      <c r="N124" s="714"/>
      <c r="O124" s="721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621">
        <f>'16'!F125</f>
        <v>73583.399999999994</v>
      </c>
      <c r="F125" s="621">
        <v>73583.399999999994</v>
      </c>
      <c r="G125" s="468">
        <f t="shared" si="12"/>
        <v>0</v>
      </c>
      <c r="H125" s="455">
        <f>G125+'16'!H125</f>
        <v>0</v>
      </c>
      <c r="I125" s="521"/>
      <c r="J125" s="547">
        <f>H125/DAY(B2)</f>
        <v>0</v>
      </c>
      <c r="K125" s="377"/>
      <c r="L125" s="374"/>
      <c r="N125" s="714"/>
      <c r="O125" s="721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473">
        <f>'16'!F126</f>
        <v>145593</v>
      </c>
      <c r="F126" s="473">
        <v>145639</v>
      </c>
      <c r="G126" s="468">
        <f t="shared" si="12"/>
        <v>46</v>
      </c>
      <c r="H126" s="455">
        <f>G126+'16'!H126</f>
        <v>-852</v>
      </c>
      <c r="I126" s="521"/>
      <c r="J126" s="547">
        <f>H126/DAY(B2)</f>
        <v>-50.117647058823529</v>
      </c>
      <c r="K126" s="377"/>
      <c r="L126" s="374"/>
      <c r="N126" s="714"/>
      <c r="O126" s="721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621">
        <f>'16'!F127</f>
        <v>31404</v>
      </c>
      <c r="F127" s="621">
        <v>31404</v>
      </c>
      <c r="G127" s="468">
        <f t="shared" si="12"/>
        <v>0</v>
      </c>
      <c r="H127" s="455">
        <f>G127+'16'!H127</f>
        <v>-2</v>
      </c>
      <c r="I127" s="521"/>
      <c r="J127" s="547">
        <f>H127/DAY(B2)</f>
        <v>-0.11764705882352941</v>
      </c>
      <c r="K127" s="377"/>
      <c r="L127" s="374"/>
      <c r="N127" s="714"/>
      <c r="O127" s="721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621">
        <f>'16'!F128</f>
        <v>8971</v>
      </c>
      <c r="F128" s="621">
        <v>8971</v>
      </c>
      <c r="G128" s="468">
        <f t="shared" si="12"/>
        <v>0</v>
      </c>
      <c r="H128" s="455">
        <f>G128+'16'!H128</f>
        <v>-1</v>
      </c>
      <c r="I128" s="475"/>
      <c r="J128" s="547">
        <f>H128/DAY(B2)</f>
        <v>-5.8823529411764705E-2</v>
      </c>
      <c r="K128" s="377"/>
      <c r="L128" s="374"/>
      <c r="N128" s="714"/>
      <c r="O128" s="721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290</v>
      </c>
      <c r="H129" s="455">
        <f>G129+'16'!H129</f>
        <v>574</v>
      </c>
      <c r="I129" s="475"/>
      <c r="J129" s="547">
        <f>H129/DAY(B2)</f>
        <v>33.764705882352942</v>
      </c>
      <c r="K129" s="361"/>
      <c r="L129" s="289"/>
      <c r="N129" s="714"/>
      <c r="O129" s="721"/>
      <c r="P129" s="379"/>
    </row>
    <row r="130" spans="1:16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1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479">
        <f>'16'!F131</f>
        <v>0</v>
      </c>
      <c r="F131" s="473">
        <v>0</v>
      </c>
      <c r="G131" s="468">
        <f t="shared" ref="G131:G141" si="13">F131-E131</f>
        <v>0</v>
      </c>
      <c r="H131" s="455">
        <f>G131+'16'!H131</f>
        <v>0</v>
      </c>
      <c r="I131" s="475"/>
      <c r="J131" s="547">
        <f>H131/DAY(B2)</f>
        <v>0</v>
      </c>
      <c r="N131" s="714"/>
      <c r="O131" s="721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479">
        <f>'16'!F132</f>
        <v>0</v>
      </c>
      <c r="F132" s="473">
        <v>0</v>
      </c>
      <c r="G132" s="468">
        <f t="shared" si="13"/>
        <v>0</v>
      </c>
      <c r="H132" s="455">
        <f>G132+'16'!H132</f>
        <v>0</v>
      </c>
      <c r="I132" s="475"/>
      <c r="J132" s="547">
        <f>H132/DAY(B2)</f>
        <v>0</v>
      </c>
      <c r="N132" s="714"/>
      <c r="O132" s="721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536">
        <f>'16'!F133</f>
        <v>40031.519999999997</v>
      </c>
      <c r="F133" s="647">
        <v>40031.519999999997</v>
      </c>
      <c r="G133" s="468">
        <f t="shared" si="13"/>
        <v>0</v>
      </c>
      <c r="H133" s="455">
        <f>G133+'16'!H133</f>
        <v>-3.5800000000017462</v>
      </c>
      <c r="I133" s="475"/>
      <c r="J133" s="547">
        <f>H133/DAY(B2)</f>
        <v>-0.21058823529422036</v>
      </c>
      <c r="N133" s="714"/>
      <c r="O133" s="721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697">
        <f>'16'!F134</f>
        <v>300</v>
      </c>
      <c r="F134" s="621">
        <v>300</v>
      </c>
      <c r="G134" s="468">
        <f t="shared" si="13"/>
        <v>0</v>
      </c>
      <c r="H134" s="455">
        <f>G134+'16'!H134</f>
        <v>0</v>
      </c>
      <c r="I134" s="475">
        <f>G131+G132+G133+G134</f>
        <v>0</v>
      </c>
      <c r="J134" s="547">
        <f>H134/DAY(B2)</f>
        <v>0</v>
      </c>
      <c r="N134" s="714"/>
      <c r="O134" s="721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697">
        <f>'16'!F135</f>
        <v>41492.65</v>
      </c>
      <c r="F135" s="621">
        <v>41517.1</v>
      </c>
      <c r="G135" s="468">
        <f t="shared" si="13"/>
        <v>24.44999999999709</v>
      </c>
      <c r="H135" s="455">
        <f>G135+'16'!H135</f>
        <v>-212.90000000000146</v>
      </c>
      <c r="I135" s="475"/>
      <c r="J135" s="547">
        <f>H135/DAY(B2)</f>
        <v>-12.523529411764791</v>
      </c>
      <c r="N135" s="714"/>
      <c r="O135" s="721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536">
        <f>'16'!F136</f>
        <v>32582.98</v>
      </c>
      <c r="F136" s="647">
        <v>32582.98</v>
      </c>
      <c r="G136" s="468">
        <f t="shared" si="13"/>
        <v>0</v>
      </c>
      <c r="H136" s="455">
        <f>G136+'16'!H136</f>
        <v>-132.02000000000044</v>
      </c>
      <c r="I136" s="475"/>
      <c r="J136" s="547">
        <f>H136/DAY(B2)</f>
        <v>-7.765882352941202</v>
      </c>
      <c r="N136" s="714"/>
      <c r="O136" s="721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536">
        <f>'16'!F137</f>
        <v>22766.92</v>
      </c>
      <c r="F137" s="647">
        <v>22773.200000000001</v>
      </c>
      <c r="G137" s="468">
        <f t="shared" si="13"/>
        <v>6.2800000000024738</v>
      </c>
      <c r="H137" s="455">
        <f>G137+'16'!H137</f>
        <v>-34.040000000000873</v>
      </c>
      <c r="I137" s="475">
        <f>G135+G136+G137</f>
        <v>30.729999999999563</v>
      </c>
      <c r="J137" s="547">
        <f>H137/DAY(B2)</f>
        <v>-2.0023529411765217</v>
      </c>
      <c r="N137" s="714"/>
      <c r="O137" s="721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536">
        <f>'16'!F138</f>
        <v>25051.72</v>
      </c>
      <c r="F138" s="647">
        <v>25051.72</v>
      </c>
      <c r="G138" s="468">
        <f t="shared" si="13"/>
        <v>0</v>
      </c>
      <c r="H138" s="455">
        <f>G138+'16'!H138</f>
        <v>-9.9999999998544808E-2</v>
      </c>
      <c r="I138" s="475"/>
      <c r="J138" s="547">
        <f>H138/DAY(B2)</f>
        <v>-5.8823529410908714E-3</v>
      </c>
      <c r="N138" s="714"/>
      <c r="O138" s="721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536">
        <f>'16'!F139</f>
        <v>70361.47</v>
      </c>
      <c r="F139" s="647">
        <v>70361.47</v>
      </c>
      <c r="G139" s="468">
        <f t="shared" si="13"/>
        <v>0</v>
      </c>
      <c r="H139" s="455">
        <f>G139+'16'!H139</f>
        <v>-50.270000000004075</v>
      </c>
      <c r="I139" s="475">
        <f>G138+G139</f>
        <v>0</v>
      </c>
      <c r="J139" s="547">
        <f>H139/DAY(B2)</f>
        <v>-2.9570588235296515</v>
      </c>
      <c r="N139" s="714"/>
      <c r="O139" s="721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697">
        <f>'16'!F140</f>
        <v>1739.48</v>
      </c>
      <c r="F140" s="621">
        <v>1747.53</v>
      </c>
      <c r="G140" s="468">
        <f t="shared" si="13"/>
        <v>8.0499999999999545</v>
      </c>
      <c r="H140" s="455">
        <f>G140+'16'!H140</f>
        <v>-106.76999999999998</v>
      </c>
      <c r="I140" s="537"/>
      <c r="J140" s="547">
        <f>H140/DAY(B2)</f>
        <v>-6.2805882352941165</v>
      </c>
      <c r="N140" s="714"/>
      <c r="O140" s="721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479">
        <f>'16'!F141</f>
        <v>4636.88</v>
      </c>
      <c r="F141" s="473">
        <v>4636.88</v>
      </c>
      <c r="G141" s="468">
        <f t="shared" si="13"/>
        <v>0</v>
      </c>
      <c r="H141" s="455">
        <f>G141+'16'!H141</f>
        <v>-0.11999999999989086</v>
      </c>
      <c r="I141" s="537"/>
      <c r="J141" s="547">
        <f>H141/DAY(B2)</f>
        <v>-7.0588235294053447E-3</v>
      </c>
      <c r="N141" s="714"/>
      <c r="O141" s="721"/>
      <c r="P141" s="379"/>
    </row>
    <row r="142" spans="1:16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1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v>3349</v>
      </c>
      <c r="H143" s="455">
        <f>G143+'16'!H143</f>
        <v>-61651.539999999994</v>
      </c>
      <c r="I143" s="475"/>
      <c r="J143" s="547">
        <f>H143/DAY(B2)</f>
        <v>-3626.5611764705877</v>
      </c>
      <c r="K143" s="377"/>
      <c r="L143" s="374"/>
      <c r="N143" s="714"/>
      <c r="O143" s="721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0.19700000000000001</v>
      </c>
      <c r="H144" s="455">
        <f>G144+'16'!H144</f>
        <v>-3.738867620901404</v>
      </c>
      <c r="I144" s="539"/>
      <c r="J144" s="547">
        <f>H144/DAY(B2)</f>
        <v>-0.21993338946478846</v>
      </c>
      <c r="K144" s="377"/>
      <c r="L144" s="374"/>
      <c r="N144" s="714"/>
      <c r="O144" s="721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4494</v>
      </c>
      <c r="H145" s="455">
        <f>G145+'16'!H145</f>
        <v>-72642.500000000029</v>
      </c>
      <c r="I145" s="475"/>
      <c r="J145" s="547">
        <f>H145/DAY(B2)</f>
        <v>-4273.0882352941189</v>
      </c>
      <c r="K145" s="377"/>
      <c r="L145" s="374"/>
      <c r="N145" s="714"/>
      <c r="O145" s="721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0.26435294117647057</v>
      </c>
      <c r="H146" s="455">
        <f>G146+'16'!H146</f>
        <v>-4.4098894493097074</v>
      </c>
      <c r="I146" s="539"/>
      <c r="J146" s="547">
        <f>H146/DAY(B2)</f>
        <v>-0.25940526172410044</v>
      </c>
      <c r="K146" s="377"/>
      <c r="L146" s="374"/>
      <c r="N146" s="714"/>
      <c r="O146" s="721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2646</v>
      </c>
      <c r="H147" s="455">
        <f>G147+'16'!H147</f>
        <v>-38304</v>
      </c>
      <c r="I147" s="540"/>
      <c r="J147" s="547">
        <f>H147/DAY(B2)</f>
        <v>-2253.1764705882351</v>
      </c>
      <c r="K147" s="377"/>
      <c r="L147" s="374"/>
      <c r="N147" s="714"/>
      <c r="O147" s="721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0.15564705882352942</v>
      </c>
      <c r="H148" s="455">
        <f>G148+'16'!H148</f>
        <v>-2.3307502580338384</v>
      </c>
      <c r="I148" s="540"/>
      <c r="J148" s="547">
        <f>H148/DAY(B2)</f>
        <v>-0.13710295635493167</v>
      </c>
      <c r="N148" s="714"/>
      <c r="O148" s="721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1050</v>
      </c>
      <c r="H149" s="455">
        <f>G149+'16'!H149</f>
        <v>-16621</v>
      </c>
      <c r="I149" s="475"/>
      <c r="J149" s="547">
        <f>H149/DAY(B2)</f>
        <v>-977.70588235294122</v>
      </c>
      <c r="K149" s="378"/>
      <c r="N149" s="714"/>
      <c r="O149" s="721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6.1764705882352944E-2</v>
      </c>
      <c r="H150" s="455">
        <f>G150+'16'!H150</f>
        <v>-1.0099006288629573</v>
      </c>
      <c r="I150" s="540"/>
      <c r="J150" s="547">
        <f>H150/DAY(B2)</f>
        <v>-5.9405919344879841E-2</v>
      </c>
      <c r="N150" s="714"/>
      <c r="O150" s="721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762</v>
      </c>
      <c r="H151" s="455">
        <f>G151+'16'!H151</f>
        <v>334363</v>
      </c>
      <c r="I151" s="540"/>
      <c r="J151" s="547">
        <f>H151/DAY(B2)</f>
        <v>19668.411764705881</v>
      </c>
      <c r="N151" s="714"/>
      <c r="O151" s="721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4.4823529411764707E-2</v>
      </c>
      <c r="H152" s="455">
        <f>G152+'16'!H152</f>
        <v>19.627127997963658</v>
      </c>
      <c r="I152" s="475"/>
      <c r="J152" s="547">
        <f>H152/DAY(B2)</f>
        <v>1.1545369410566857</v>
      </c>
      <c r="N152" s="714"/>
      <c r="O152" s="721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1338.1300000000047</v>
      </c>
      <c r="H153" s="455">
        <f>G153+'16'!H153</f>
        <v>-18095</v>
      </c>
      <c r="I153" s="475"/>
      <c r="J153" s="547">
        <f>H153/DAY(B2)</f>
        <v>-1064.4117647058824</v>
      </c>
      <c r="N153" s="714"/>
      <c r="O153" s="721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7.8713529411764974E-2</v>
      </c>
      <c r="H154" s="455">
        <f>G154+'16'!H154</f>
        <v>-1.0954536537213686</v>
      </c>
      <c r="I154" s="563"/>
      <c r="J154" s="564">
        <f>H154/DAY(B2)</f>
        <v>-6.4438450218904042E-2</v>
      </c>
      <c r="N154" s="714"/>
      <c r="O154" s="721"/>
      <c r="P154" s="37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90" t="s">
        <v>318</v>
      </c>
      <c r="B161" s="791"/>
      <c r="C161" s="791"/>
      <c r="D161" s="615" t="s">
        <v>253</v>
      </c>
      <c r="E161" s="517">
        <f>'16'!F161</f>
        <v>37232</v>
      </c>
      <c r="F161" s="799">
        <v>37311</v>
      </c>
      <c r="G161" s="468">
        <f t="shared" ref="G161:G164" si="14">F161-E161</f>
        <v>79</v>
      </c>
      <c r="N161" s="714"/>
    </row>
    <row r="162" spans="1:14">
      <c r="A162" s="790" t="s">
        <v>319</v>
      </c>
      <c r="B162" s="791"/>
      <c r="C162" s="791"/>
      <c r="D162" s="615" t="s">
        <v>253</v>
      </c>
      <c r="E162" s="517">
        <f>'16'!F162</f>
        <v>89007</v>
      </c>
      <c r="F162" s="799">
        <v>89400</v>
      </c>
      <c r="G162" s="468">
        <f t="shared" si="14"/>
        <v>393</v>
      </c>
      <c r="N162" s="714"/>
    </row>
    <row r="163" spans="1:14">
      <c r="A163" s="790" t="s">
        <v>320</v>
      </c>
      <c r="B163" s="791"/>
      <c r="C163" s="791"/>
      <c r="D163" s="615" t="s">
        <v>253</v>
      </c>
      <c r="E163" s="517">
        <f>'16'!F163</f>
        <v>41864</v>
      </c>
      <c r="F163" s="779">
        <v>42078</v>
      </c>
      <c r="G163" s="468">
        <f t="shared" si="14"/>
        <v>214</v>
      </c>
      <c r="N163" s="714"/>
    </row>
    <row r="164" spans="1:14">
      <c r="A164" s="790" t="s">
        <v>321</v>
      </c>
      <c r="B164" s="791"/>
      <c r="C164" s="791"/>
      <c r="D164" s="615" t="s">
        <v>253</v>
      </c>
      <c r="E164" s="517">
        <f>'16'!F164</f>
        <v>6402</v>
      </c>
      <c r="F164" s="799">
        <v>6420</v>
      </c>
      <c r="G164" s="468">
        <f t="shared" si="14"/>
        <v>18</v>
      </c>
      <c r="N164" s="714"/>
    </row>
    <row r="165" spans="1:14">
      <c r="A165" s="792" t="s">
        <v>252</v>
      </c>
      <c r="B165" s="793"/>
      <c r="C165" s="793"/>
      <c r="D165" s="615" t="s">
        <v>253</v>
      </c>
      <c r="E165" s="517">
        <f>E62</f>
        <v>20419.18</v>
      </c>
      <c r="F165" s="509">
        <f>F62</f>
        <v>20419</v>
      </c>
      <c r="G165" s="468">
        <f t="shared" ref="G165:G172" si="15">F165-E165</f>
        <v>-0.18000000000029104</v>
      </c>
      <c r="N165" s="714"/>
    </row>
    <row r="166" spans="1:14">
      <c r="A166" s="792" t="s">
        <v>254</v>
      </c>
      <c r="B166" s="793"/>
      <c r="C166" s="793"/>
      <c r="D166" s="615" t="s">
        <v>253</v>
      </c>
      <c r="E166" s="517">
        <f t="shared" ref="E166:E172" si="16">E63</f>
        <v>2419</v>
      </c>
      <c r="F166" s="509">
        <f t="shared" ref="F166:F172" si="17">F63</f>
        <v>2423</v>
      </c>
      <c r="G166" s="468">
        <f t="shared" si="15"/>
        <v>4</v>
      </c>
      <c r="N166" s="714"/>
    </row>
    <row r="167" spans="1:14" ht="27.75">
      <c r="A167" s="1515" t="s">
        <v>161</v>
      </c>
      <c r="B167" s="1515"/>
      <c r="C167" s="1515"/>
      <c r="D167" s="519" t="s">
        <v>253</v>
      </c>
      <c r="E167" s="517">
        <f t="shared" si="16"/>
        <v>156604</v>
      </c>
      <c r="F167" s="509">
        <f t="shared" si="17"/>
        <v>156870</v>
      </c>
      <c r="G167" s="468">
        <f t="shared" si="15"/>
        <v>266</v>
      </c>
      <c r="N167" s="714"/>
    </row>
    <row r="168" spans="1:14" ht="27.75">
      <c r="A168" s="1515" t="s">
        <v>162</v>
      </c>
      <c r="B168" s="1515"/>
      <c r="C168" s="1515"/>
      <c r="D168" s="519" t="s">
        <v>253</v>
      </c>
      <c r="E168" s="517">
        <f t="shared" si="16"/>
        <v>157667</v>
      </c>
      <c r="F168" s="509">
        <v>157951</v>
      </c>
      <c r="G168" s="468">
        <f t="shared" si="15"/>
        <v>284</v>
      </c>
      <c r="N168" s="714"/>
    </row>
    <row r="169" spans="1:14" ht="27.75">
      <c r="A169" s="1515" t="s">
        <v>255</v>
      </c>
      <c r="B169" s="1515"/>
      <c r="C169" s="1515"/>
      <c r="D169" s="519" t="s">
        <v>253</v>
      </c>
      <c r="E169" s="517">
        <f t="shared" si="16"/>
        <v>52707</v>
      </c>
      <c r="F169" s="509">
        <f t="shared" si="17"/>
        <v>52979</v>
      </c>
      <c r="G169" s="468">
        <f t="shared" si="15"/>
        <v>272</v>
      </c>
      <c r="N169" s="714"/>
    </row>
    <row r="170" spans="1:14" ht="27.75">
      <c r="A170" s="1515" t="s">
        <v>157</v>
      </c>
      <c r="B170" s="1515"/>
      <c r="C170" s="1515"/>
      <c r="D170" s="519" t="s">
        <v>253</v>
      </c>
      <c r="E170" s="517">
        <f t="shared" si="16"/>
        <v>246073</v>
      </c>
      <c r="F170" s="509">
        <f t="shared" si="17"/>
        <v>246395</v>
      </c>
      <c r="G170" s="468">
        <f t="shared" si="15"/>
        <v>322</v>
      </c>
      <c r="N170" s="714"/>
    </row>
    <row r="171" spans="1:14" ht="27.75">
      <c r="A171" s="1515" t="s">
        <v>164</v>
      </c>
      <c r="B171" s="1515"/>
      <c r="C171" s="1515"/>
      <c r="D171" s="519" t="s">
        <v>253</v>
      </c>
      <c r="E171" s="517">
        <f t="shared" si="16"/>
        <v>85321</v>
      </c>
      <c r="F171" s="509">
        <f t="shared" si="17"/>
        <v>85321</v>
      </c>
      <c r="G171" s="468">
        <f t="shared" si="15"/>
        <v>0</v>
      </c>
      <c r="N171" s="714"/>
    </row>
    <row r="172" spans="1:14" ht="27.75">
      <c r="A172" s="1515" t="s">
        <v>165</v>
      </c>
      <c r="B172" s="1515"/>
      <c r="C172" s="1515"/>
      <c r="D172" s="519" t="s">
        <v>253</v>
      </c>
      <c r="E172" s="517">
        <f t="shared" si="16"/>
        <v>80185</v>
      </c>
      <c r="F172" s="509">
        <f t="shared" si="17"/>
        <v>80272</v>
      </c>
      <c r="G172" s="468">
        <f t="shared" si="15"/>
        <v>87</v>
      </c>
      <c r="N172" s="714"/>
    </row>
    <row r="173" spans="1:14">
      <c r="A173" s="794"/>
      <c r="B173" s="795"/>
      <c r="C173" s="795"/>
      <c r="D173" s="796"/>
      <c r="E173" s="796"/>
      <c r="F173" s="797"/>
      <c r="G173" s="798">
        <f>SUM(G161:G172)</f>
        <v>1938.8199999999997</v>
      </c>
      <c r="N173" s="714"/>
    </row>
    <row r="174" spans="1:14">
      <c r="N174" s="714"/>
    </row>
    <row r="175" spans="1:14">
      <c r="N175" s="714"/>
    </row>
    <row r="176" spans="1:14">
      <c r="N176" s="714"/>
    </row>
    <row r="177" spans="14:14" ht="18.75" customHeight="1">
      <c r="N177" s="714"/>
    </row>
    <row r="178" spans="14:14" ht="18.75" customHeight="1">
      <c r="N178" s="714"/>
    </row>
    <row r="179" spans="14:14" ht="17.25" customHeight="1">
      <c r="N179" s="714"/>
    </row>
    <row r="180" spans="14:14" ht="18.75" customHeight="1">
      <c r="N180" s="714"/>
    </row>
    <row r="181" spans="14:14" ht="18.75" customHeight="1">
      <c r="N181" s="714"/>
    </row>
    <row r="182" spans="14:14" ht="17.25" customHeight="1">
      <c r="N182" s="714"/>
    </row>
    <row r="183" spans="14:14" ht="18.75" customHeight="1">
      <c r="N183" s="714"/>
    </row>
    <row r="184" spans="14:14" ht="18.75" customHeight="1">
      <c r="N184" s="714"/>
    </row>
    <row r="185" spans="14:14" ht="17.25" customHeight="1">
      <c r="N185" s="714"/>
    </row>
    <row r="186" spans="14:14" ht="17.25" customHeight="1">
      <c r="N186" s="714"/>
    </row>
    <row r="187" spans="14:14" ht="17.25" customHeight="1">
      <c r="N187" s="714"/>
    </row>
    <row r="188" spans="14:14" ht="17.25" customHeight="1">
      <c r="N188" s="714"/>
    </row>
    <row r="189" spans="14:14" ht="17.25" customHeight="1">
      <c r="N189" s="714"/>
    </row>
    <row r="190" spans="14:14" ht="17.25" customHeight="1">
      <c r="N190" s="714"/>
    </row>
    <row r="191" spans="14:14" ht="17.25" customHeight="1">
      <c r="N191" s="714"/>
    </row>
    <row r="192" spans="14:14" ht="18.75" customHeight="1">
      <c r="N192" s="714"/>
    </row>
    <row r="193" spans="14:14" ht="18.75" customHeight="1">
      <c r="N193" s="714"/>
    </row>
    <row r="194" spans="14:14" ht="18.75" customHeight="1">
      <c r="N194" s="714"/>
    </row>
    <row r="195" spans="14:14" ht="18.75" customHeight="1">
      <c r="N195" s="714"/>
    </row>
    <row r="196" spans="14:14" ht="18.75" customHeight="1">
      <c r="N196" s="714"/>
    </row>
    <row r="197" spans="14:14" ht="18.75" customHeight="1">
      <c r="N197" s="714"/>
    </row>
    <row r="198" spans="14:14" ht="18.75" customHeight="1">
      <c r="N198" s="714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6" zoomScale="55" zoomScaleNormal="68" zoomScaleSheetLayoutView="55" workbookViewId="0">
      <selection activeCell="A33" sqref="A33:J33"/>
    </sheetView>
  </sheetViews>
  <sheetFormatPr defaultColWidth="22.33203125" defaultRowHeight="29.25"/>
  <cols>
    <col min="1" max="1" width="59.6640625" style="449" bestFit="1" customWidth="1"/>
    <col min="2" max="2" width="28.5546875" style="452" customWidth="1"/>
    <col min="3" max="3" width="15.88671875" style="452" customWidth="1"/>
    <col min="4" max="4" width="17.88671875" style="532" customWidth="1"/>
    <col min="5" max="5" width="27.21875" style="532" customWidth="1"/>
    <col min="6" max="6" width="26.21875" style="659" customWidth="1"/>
    <col min="7" max="7" width="24.44140625" style="532" customWidth="1"/>
    <col min="8" max="8" width="22.88671875" style="533" customWidth="1"/>
    <col min="9" max="9" width="18.109375" style="532" bestFit="1" customWidth="1"/>
    <col min="10" max="10" width="23.21875" style="534" customWidth="1"/>
    <col min="11" max="11" width="43.21875" style="373" hidden="1" customWidth="1"/>
    <col min="12" max="13" width="22.33203125" style="373" hidden="1" customWidth="1"/>
    <col min="14" max="14" width="25.5546875" style="712" customWidth="1"/>
    <col min="15" max="15" width="22.33203125" style="719"/>
    <col min="16" max="16384" width="22.33203125" style="373"/>
  </cols>
  <sheetData>
    <row r="1" spans="1:16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6" s="278" customFormat="1" ht="27">
      <c r="A2" s="570" t="s">
        <v>348</v>
      </c>
      <c r="B2" s="1028">
        <v>44334</v>
      </c>
      <c r="C2" s="1394" t="s">
        <v>111</v>
      </c>
      <c r="D2" s="606">
        <v>0.54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N2" s="713"/>
      <c r="O2" s="720"/>
    </row>
    <row r="3" spans="1:16" s="278" customFormat="1" ht="27">
      <c r="A3" s="565"/>
      <c r="B3" s="609"/>
      <c r="C3" s="1394" t="s">
        <v>186</v>
      </c>
      <c r="D3" s="607">
        <v>29</v>
      </c>
      <c r="E3" s="1474" t="s">
        <v>187</v>
      </c>
      <c r="F3" s="1475"/>
      <c r="G3" s="457">
        <f>'1'!G3</f>
        <v>0</v>
      </c>
      <c r="H3" s="458">
        <f>'1'!H3</f>
        <v>0</v>
      </c>
      <c r="I3" s="458">
        <f>'1'!I3</f>
        <v>0</v>
      </c>
      <c r="J3" s="610">
        <f>'1'!J3</f>
        <v>0</v>
      </c>
      <c r="K3" s="368"/>
      <c r="L3" s="289"/>
      <c r="N3" s="713"/>
      <c r="O3" s="720"/>
    </row>
    <row r="4" spans="1:16" s="278" customFormat="1" ht="27">
      <c r="A4" s="571"/>
      <c r="B4" s="611"/>
      <c r="C4" s="1394" t="s">
        <v>188</v>
      </c>
      <c r="D4" s="606">
        <v>0.79</v>
      </c>
      <c r="E4" s="459"/>
      <c r="F4" s="459"/>
      <c r="G4" s="459"/>
      <c r="H4" s="459"/>
      <c r="I4" s="460"/>
      <c r="J4" s="610"/>
      <c r="K4" s="369"/>
      <c r="L4" s="289"/>
      <c r="N4" s="713"/>
      <c r="O4" s="720"/>
    </row>
    <row r="5" spans="1:16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6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6" ht="30" thickBot="1">
      <c r="A7" s="672" t="s">
        <v>197</v>
      </c>
      <c r="B7" s="673"/>
      <c r="C7" s="673"/>
      <c r="D7" s="633" t="s">
        <v>198</v>
      </c>
      <c r="E7" s="628">
        <f>'17'!F7</f>
        <v>640941</v>
      </c>
      <c r="F7" s="450">
        <f>E7+17000</f>
        <v>657941</v>
      </c>
      <c r="G7" s="674">
        <f>F7-E7</f>
        <v>17000</v>
      </c>
      <c r="H7" s="675">
        <f>G7+'17'!H7</f>
        <v>313529</v>
      </c>
      <c r="I7" s="676">
        <f>'1'!I7</f>
        <v>12000</v>
      </c>
      <c r="J7" s="677">
        <f>H7/DAY(B2)</f>
        <v>17418.277777777777</v>
      </c>
      <c r="K7" s="544"/>
      <c r="L7" s="374"/>
      <c r="N7" s="725"/>
      <c r="O7" s="721"/>
      <c r="P7" s="724"/>
    </row>
    <row r="8" spans="1:16" ht="27.75" thickBot="1">
      <c r="A8" s="678" t="s">
        <v>199</v>
      </c>
      <c r="B8" s="679"/>
      <c r="C8" s="680"/>
      <c r="D8" s="681" t="s">
        <v>59</v>
      </c>
      <c r="E8" s="628">
        <f>'17'!F8</f>
        <v>644595</v>
      </c>
      <c r="F8" s="470">
        <f>E8+17150</f>
        <v>661745</v>
      </c>
      <c r="G8" s="685">
        <f>F8-E8</f>
        <v>17150</v>
      </c>
      <c r="H8" s="675">
        <f>G8+'17'!H8</f>
        <v>315235</v>
      </c>
      <c r="I8" s="682">
        <f>'1'!I8</f>
        <v>12000</v>
      </c>
      <c r="J8" s="677">
        <f>H8/DAY(B2)</f>
        <v>17513.055555555555</v>
      </c>
      <c r="K8" s="544"/>
      <c r="L8" s="421"/>
      <c r="M8" s="435"/>
      <c r="N8" s="714"/>
      <c r="O8" s="721"/>
      <c r="P8" s="379"/>
    </row>
    <row r="9" spans="1:16">
      <c r="A9" s="683" t="s">
        <v>200</v>
      </c>
      <c r="B9" s="684"/>
      <c r="C9" s="684"/>
      <c r="D9" s="633" t="s">
        <v>198</v>
      </c>
      <c r="E9" s="628">
        <f>'17'!F9</f>
        <v>1762772</v>
      </c>
      <c r="F9" s="473">
        <f>E9+16950</f>
        <v>1779722</v>
      </c>
      <c r="G9" s="698">
        <f t="shared" ref="G9:G12" si="0">F9-E9</f>
        <v>16950</v>
      </c>
      <c r="H9" s="675">
        <f>G9+'17'!H9</f>
        <v>306032</v>
      </c>
      <c r="I9" s="686">
        <f>I7-J7</f>
        <v>-5418.2777777777774</v>
      </c>
      <c r="J9" s="677">
        <f>H9/DAY(B2)</f>
        <v>17001.777777777777</v>
      </c>
      <c r="K9" s="424"/>
      <c r="L9" s="374"/>
      <c r="N9" s="714"/>
      <c r="O9" s="721"/>
      <c r="P9" s="379"/>
    </row>
    <row r="10" spans="1:16">
      <c r="A10" s="672" t="s">
        <v>201</v>
      </c>
      <c r="B10" s="673"/>
      <c r="C10" s="673"/>
      <c r="D10" s="633" t="s">
        <v>198</v>
      </c>
      <c r="E10" s="628">
        <f>'17'!F10</f>
        <v>0</v>
      </c>
      <c r="F10" s="473"/>
      <c r="G10" s="685">
        <f t="shared" si="0"/>
        <v>0</v>
      </c>
      <c r="H10" s="675">
        <f>G10+'17'!H10</f>
        <v>-2606.13</v>
      </c>
      <c r="I10" s="687"/>
      <c r="J10" s="677">
        <f>H10/DAY(B2)</f>
        <v>-144.785</v>
      </c>
      <c r="K10" s="424"/>
      <c r="L10" s="374"/>
      <c r="N10" s="714"/>
      <c r="O10" s="721"/>
      <c r="P10" s="379"/>
    </row>
    <row r="11" spans="1:16">
      <c r="A11" s="672" t="s">
        <v>202</v>
      </c>
      <c r="B11" s="673"/>
      <c r="C11" s="673"/>
      <c r="D11" s="633" t="s">
        <v>198</v>
      </c>
      <c r="E11" s="628">
        <f>'17'!F11</f>
        <v>37000</v>
      </c>
      <c r="F11" s="450">
        <v>37000</v>
      </c>
      <c r="G11" s="685">
        <f t="shared" si="0"/>
        <v>0</v>
      </c>
      <c r="H11" s="675">
        <f>G11+'17'!H11</f>
        <v>0</v>
      </c>
      <c r="I11" s="687"/>
      <c r="J11" s="677">
        <f>H11/DAY(B2)</f>
        <v>0</v>
      </c>
      <c r="K11" s="424"/>
      <c r="L11" s="374"/>
      <c r="N11" s="714">
        <f>G8-866</f>
        <v>16284</v>
      </c>
      <c r="O11" s="721"/>
      <c r="P11" s="379"/>
    </row>
    <row r="12" spans="1:16">
      <c r="A12" s="672" t="s">
        <v>203</v>
      </c>
      <c r="B12" s="673"/>
      <c r="C12" s="673"/>
      <c r="D12" s="633" t="s">
        <v>198</v>
      </c>
      <c r="E12" s="628">
        <f>'17'!F12</f>
        <v>40010</v>
      </c>
      <c r="F12" s="473">
        <v>40010</v>
      </c>
      <c r="G12" s="685">
        <f t="shared" si="0"/>
        <v>0</v>
      </c>
      <c r="H12" s="675">
        <f>G12+'17'!H12</f>
        <v>0</v>
      </c>
      <c r="I12" s="687"/>
      <c r="J12" s="677">
        <f>H12/DAY(B2)</f>
        <v>0</v>
      </c>
      <c r="K12" s="424"/>
      <c r="L12" s="374"/>
      <c r="N12" s="714"/>
      <c r="O12" s="721"/>
      <c r="P12" s="379"/>
    </row>
    <row r="13" spans="1:16">
      <c r="A13" s="688" t="s">
        <v>204</v>
      </c>
      <c r="B13" s="689"/>
      <c r="C13" s="689"/>
      <c r="D13" s="633"/>
      <c r="E13" s="628"/>
      <c r="F13" s="450"/>
      <c r="G13" s="690">
        <f>G9+G10+G11+G12</f>
        <v>16950</v>
      </c>
      <c r="H13" s="675">
        <f>G13+'17'!H13</f>
        <v>286900.87</v>
      </c>
      <c r="I13" s="691">
        <f>G7-G13</f>
        <v>50</v>
      </c>
      <c r="J13" s="677">
        <f>H13/DAY(B2)</f>
        <v>15938.937222222223</v>
      </c>
      <c r="K13" s="424"/>
      <c r="L13" s="374"/>
      <c r="N13" s="714"/>
      <c r="O13" s="721"/>
      <c r="P13" s="379"/>
    </row>
    <row r="14" spans="1:16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1146"/>
      <c r="K14" s="425"/>
      <c r="L14" s="374"/>
      <c r="N14" s="714"/>
      <c r="O14" s="721"/>
      <c r="P14" s="379"/>
    </row>
    <row r="15" spans="1:16">
      <c r="A15" s="788" t="s">
        <v>133</v>
      </c>
      <c r="B15" s="789"/>
      <c r="C15" s="789"/>
      <c r="D15" s="519" t="s">
        <v>206</v>
      </c>
      <c r="E15" s="480">
        <f>'17'!F15</f>
        <v>1693032</v>
      </c>
      <c r="F15" s="480">
        <f>E15+550</f>
        <v>1693582</v>
      </c>
      <c r="G15" s="660">
        <f>(F15-E15)</f>
        <v>550</v>
      </c>
      <c r="H15" s="481">
        <f>G15+'17'!H15</f>
        <v>9058</v>
      </c>
      <c r="I15" s="469">
        <f>'1'!I15</f>
        <v>800</v>
      </c>
      <c r="J15" s="548">
        <f>H15/DAY(B2)</f>
        <v>503.22222222222223</v>
      </c>
      <c r="K15" s="424"/>
      <c r="L15" s="374"/>
      <c r="N15" s="714"/>
      <c r="O15" s="721"/>
      <c r="P15" s="379"/>
    </row>
    <row r="16" spans="1:16">
      <c r="A16" s="582"/>
      <c r="B16" s="583"/>
      <c r="C16" s="583"/>
      <c r="D16" s="519"/>
      <c r="E16" s="480"/>
      <c r="F16" s="480"/>
      <c r="G16" s="665"/>
      <c r="H16" s="481"/>
      <c r="I16" s="477">
        <f>I15-J15</f>
        <v>296.77777777777777</v>
      </c>
      <c r="J16" s="548"/>
      <c r="K16" s="424"/>
      <c r="L16" s="374"/>
      <c r="N16" s="714"/>
      <c r="O16" s="721"/>
      <c r="P16" s="379"/>
    </row>
    <row r="17" spans="1:16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714"/>
      <c r="O17" s="721"/>
      <c r="P17" s="379"/>
    </row>
    <row r="18" spans="1:16" ht="27.75">
      <c r="A18" s="1506" t="s">
        <v>208</v>
      </c>
      <c r="B18" s="1507"/>
      <c r="C18" s="1508"/>
      <c r="D18" s="633" t="s">
        <v>209</v>
      </c>
      <c r="E18" s="630">
        <f>'17'!F18</f>
        <v>2</v>
      </c>
      <c r="F18" s="473">
        <v>0</v>
      </c>
      <c r="G18" s="690">
        <f>F18*10</f>
        <v>0</v>
      </c>
      <c r="H18" s="675">
        <f>G18+'17'!H18</f>
        <v>920</v>
      </c>
      <c r="I18" s="676">
        <f>'1'!I18</f>
        <v>65</v>
      </c>
      <c r="J18" s="677">
        <f>H18/DAY(B2)</f>
        <v>51.111111111111114</v>
      </c>
      <c r="K18" s="424"/>
      <c r="L18" s="374"/>
      <c r="N18" s="714"/>
      <c r="O18" s="721"/>
      <c r="P18" s="379"/>
    </row>
    <row r="19" spans="1:16" ht="27.75">
      <c r="A19" s="1506" t="s">
        <v>113</v>
      </c>
      <c r="B19" s="1507"/>
      <c r="C19" s="1508"/>
      <c r="D19" s="633" t="s">
        <v>209</v>
      </c>
      <c r="E19" s="630">
        <f>'17'!F19</f>
        <v>138744</v>
      </c>
      <c r="F19" s="473">
        <v>138849</v>
      </c>
      <c r="G19" s="685">
        <f t="shared" ref="G19" si="1">F19-E19</f>
        <v>105</v>
      </c>
      <c r="H19" s="675">
        <f>G19+'17'!H19</f>
        <v>-763</v>
      </c>
      <c r="I19" s="692"/>
      <c r="J19" s="677">
        <f>H19/DAY(B2)</f>
        <v>-42.388888888888886</v>
      </c>
      <c r="K19" s="424"/>
      <c r="L19" s="374"/>
      <c r="N19" s="714"/>
      <c r="O19" s="721"/>
      <c r="P19" s="379"/>
    </row>
    <row r="20" spans="1:16">
      <c r="A20" s="688" t="s">
        <v>210</v>
      </c>
      <c r="B20" s="689"/>
      <c r="C20" s="689"/>
      <c r="D20" s="633"/>
      <c r="E20" s="633"/>
      <c r="F20" s="705"/>
      <c r="G20" s="693">
        <f>G18+G19</f>
        <v>105</v>
      </c>
      <c r="H20" s="675">
        <f>G20+'17'!H20</f>
        <v>157</v>
      </c>
      <c r="I20" s="694">
        <f>I18-J20</f>
        <v>56.277777777777779</v>
      </c>
      <c r="J20" s="677">
        <f>H20/DAY(B2)</f>
        <v>8.7222222222222214</v>
      </c>
      <c r="K20" s="424"/>
      <c r="L20" s="374"/>
      <c r="N20" s="714"/>
      <c r="O20" s="721"/>
      <c r="P20" s="379"/>
    </row>
    <row r="21" spans="1:16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714"/>
      <c r="O21" s="721"/>
      <c r="P21" s="379"/>
    </row>
    <row r="22" spans="1:16">
      <c r="A22" s="1392" t="s">
        <v>212</v>
      </c>
      <c r="B22" s="584"/>
      <c r="C22" s="584"/>
      <c r="D22" s="518" t="s">
        <v>213</v>
      </c>
      <c r="E22" s="630">
        <f>'17'!F22</f>
        <v>2970</v>
      </c>
      <c r="F22" s="473">
        <v>2970</v>
      </c>
      <c r="G22" s="476">
        <f t="shared" ref="G22" si="2">F22-E22</f>
        <v>0</v>
      </c>
      <c r="H22" s="455">
        <f>G22+'17'!H22</f>
        <v>0</v>
      </c>
      <c r="I22" s="475"/>
      <c r="J22" s="547">
        <f>H22/DAY(B2)</f>
        <v>0</v>
      </c>
      <c r="K22" s="424"/>
      <c r="L22" s="374"/>
      <c r="N22" s="714"/>
      <c r="O22" s="721"/>
      <c r="P22" s="379"/>
    </row>
    <row r="23" spans="1:16">
      <c r="A23" s="1392" t="s">
        <v>214</v>
      </c>
      <c r="B23" s="584"/>
      <c r="C23" s="584"/>
      <c r="D23" s="518" t="s">
        <v>213</v>
      </c>
      <c r="E23" s="630">
        <f>'17'!F23</f>
        <v>2900</v>
      </c>
      <c r="F23" s="473">
        <v>2900</v>
      </c>
      <c r="G23" s="476">
        <v>0</v>
      </c>
      <c r="H23" s="455">
        <f>G23+'17'!H23</f>
        <v>120</v>
      </c>
      <c r="I23" s="475"/>
      <c r="J23" s="547">
        <f>H23/DAY(B2)</f>
        <v>6.666666666666667</v>
      </c>
      <c r="K23" s="424"/>
      <c r="L23" s="374"/>
      <c r="N23" s="714"/>
      <c r="O23" s="721"/>
      <c r="P23" s="379"/>
    </row>
    <row r="24" spans="1:16">
      <c r="A24" s="585" t="s">
        <v>215</v>
      </c>
      <c r="B24" s="586"/>
      <c r="C24" s="586"/>
      <c r="D24" s="506" t="s">
        <v>213</v>
      </c>
      <c r="E24" s="488">
        <f>'17'!F24</f>
        <v>4250</v>
      </c>
      <c r="F24" s="480">
        <v>4250</v>
      </c>
      <c r="G24" s="476">
        <v>0</v>
      </c>
      <c r="H24" s="455">
        <f>G24+'17'!H24</f>
        <v>0</v>
      </c>
      <c r="I24" s="475"/>
      <c r="J24" s="547">
        <f>H24/DAY(B2)</f>
        <v>0</v>
      </c>
      <c r="K24" s="424"/>
      <c r="L24" s="374"/>
      <c r="N24" s="714"/>
      <c r="O24" s="721"/>
      <c r="P24" s="379"/>
    </row>
    <row r="25" spans="1:16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714"/>
      <c r="O25" s="721"/>
      <c r="P25" s="379"/>
    </row>
    <row r="26" spans="1:16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714"/>
      <c r="O26" s="721"/>
      <c r="P26" s="379"/>
    </row>
    <row r="27" spans="1:16" s="437" customFormat="1" ht="27.75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G27+'17'!H27</f>
        <v>2836278</v>
      </c>
      <c r="I27" s="498"/>
      <c r="J27" s="547">
        <f>H27/DAY(B2)</f>
        <v>157571</v>
      </c>
      <c r="K27" s="370"/>
      <c r="L27" s="438"/>
      <c r="N27" s="714"/>
      <c r="O27" s="721"/>
      <c r="P27" s="379"/>
    </row>
    <row r="28" spans="1:16" s="437" customFormat="1" ht="27.75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G28+'17'!H28</f>
        <v>471016</v>
      </c>
      <c r="I28" s="500"/>
      <c r="J28" s="547">
        <f>H28/DAY(B2)</f>
        <v>26167.555555555555</v>
      </c>
      <c r="K28" s="370"/>
      <c r="L28" s="438"/>
      <c r="N28" s="714"/>
      <c r="O28" s="721"/>
      <c r="P28" s="379"/>
    </row>
    <row r="29" spans="1:16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G29+'17'!H29</f>
        <v>8280</v>
      </c>
      <c r="I29" s="500"/>
      <c r="J29" s="547">
        <f>H29/DAY(B2)</f>
        <v>460</v>
      </c>
      <c r="K29" s="370"/>
      <c r="L29" s="438"/>
      <c r="N29" s="714"/>
      <c r="O29" s="721"/>
      <c r="P29" s="379"/>
    </row>
    <row r="30" spans="1:16" s="437" customFormat="1" ht="27.75">
      <c r="A30" s="587" t="s">
        <v>223</v>
      </c>
      <c r="B30" s="588"/>
      <c r="C30" s="589"/>
      <c r="D30" s="614" t="s">
        <v>224</v>
      </c>
      <c r="E30" s="695">
        <f>G19</f>
        <v>105</v>
      </c>
      <c r="F30" s="496">
        <v>146</v>
      </c>
      <c r="G30" s="497">
        <f>E30*F30</f>
        <v>15330</v>
      </c>
      <c r="H30" s="455">
        <f>G30+'17'!H30</f>
        <v>-111398</v>
      </c>
      <c r="I30" s="500"/>
      <c r="J30" s="547">
        <f>H30/DAY(B2)</f>
        <v>-6188.7777777777774</v>
      </c>
      <c r="K30" s="370"/>
      <c r="L30" s="438"/>
      <c r="N30" s="714"/>
      <c r="O30" s="721"/>
      <c r="P30" s="379"/>
    </row>
    <row r="31" spans="1:16" s="437" customFormat="1" ht="27.75">
      <c r="A31" s="587" t="s">
        <v>225</v>
      </c>
      <c r="B31" s="588"/>
      <c r="C31" s="589"/>
      <c r="D31" s="614" t="s">
        <v>209</v>
      </c>
      <c r="E31" s="695">
        <f>G18</f>
        <v>0</v>
      </c>
      <c r="F31" s="496">
        <v>80</v>
      </c>
      <c r="G31" s="497">
        <f>E31*F31</f>
        <v>0</v>
      </c>
      <c r="H31" s="455">
        <f>G31+'17'!H31</f>
        <v>73600</v>
      </c>
      <c r="I31" s="500"/>
      <c r="J31" s="547"/>
      <c r="K31" s="370"/>
      <c r="L31" s="438"/>
      <c r="N31" s="714"/>
      <c r="O31" s="721"/>
      <c r="P31" s="379"/>
    </row>
    <row r="32" spans="1:16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198280</v>
      </c>
      <c r="H32" s="455">
        <f>G32+'17'!H32</f>
        <v>3277776</v>
      </c>
      <c r="I32" s="504"/>
      <c r="J32" s="547">
        <f>H32/DAY(B2)</f>
        <v>182098.66666666666</v>
      </c>
      <c r="K32" s="370"/>
      <c r="L32" s="438"/>
      <c r="N32" s="714"/>
      <c r="O32" s="721"/>
      <c r="P32" s="379"/>
    </row>
    <row r="33" spans="1:16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714"/>
      <c r="O33" s="721"/>
      <c r="P33" s="379"/>
    </row>
    <row r="34" spans="1:16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714"/>
      <c r="O34" s="721"/>
      <c r="P34" s="379"/>
    </row>
    <row r="35" spans="1:16">
      <c r="A35" s="573" t="s">
        <v>229</v>
      </c>
      <c r="B35" s="574"/>
      <c r="C35" s="574"/>
      <c r="D35" s="518" t="s">
        <v>198</v>
      </c>
      <c r="E35" s="505">
        <f>'17'!F35</f>
        <v>920574</v>
      </c>
      <c r="F35" s="505">
        <v>922104</v>
      </c>
      <c r="G35" s="468">
        <f>F35-E35</f>
        <v>1530</v>
      </c>
      <c r="H35" s="455">
        <f>G35+'17'!H35</f>
        <v>-28384</v>
      </c>
      <c r="I35" s="450"/>
      <c r="J35" s="547">
        <f>H35/DAY(B2)</f>
        <v>-1576.8888888888889</v>
      </c>
      <c r="K35" s="424"/>
      <c r="L35" s="374"/>
      <c r="N35" s="714"/>
      <c r="O35" s="722"/>
      <c r="P35" s="379"/>
    </row>
    <row r="36" spans="1:16">
      <c r="A36" s="573" t="s">
        <v>230</v>
      </c>
      <c r="B36" s="574"/>
      <c r="C36" s="574"/>
      <c r="D36" s="518" t="s">
        <v>198</v>
      </c>
      <c r="E36" s="505">
        <f>'17'!F36</f>
        <v>347065</v>
      </c>
      <c r="F36" s="505">
        <v>347065</v>
      </c>
      <c r="G36" s="468">
        <f t="shared" ref="G36:G46" si="3">F36-E36</f>
        <v>0</v>
      </c>
      <c r="H36" s="455">
        <f>G36+'17'!H36</f>
        <v>346892</v>
      </c>
      <c r="I36" s="450"/>
      <c r="J36" s="547">
        <f>H36/DAY(B2)</f>
        <v>19271.777777777777</v>
      </c>
      <c r="K36" s="424"/>
      <c r="L36" s="374"/>
      <c r="N36" s="715"/>
      <c r="O36" s="722"/>
      <c r="P36" s="379"/>
    </row>
    <row r="37" spans="1:16">
      <c r="A37" s="573" t="s">
        <v>231</v>
      </c>
      <c r="B37" s="574"/>
      <c r="C37" s="574"/>
      <c r="D37" s="518" t="s">
        <v>198</v>
      </c>
      <c r="E37" s="505">
        <f>'17'!F37</f>
        <v>116141</v>
      </c>
      <c r="F37" s="505">
        <v>117395</v>
      </c>
      <c r="G37" s="468">
        <f>F37-E37</f>
        <v>1254</v>
      </c>
      <c r="H37" s="455">
        <f>G37+'17'!H37</f>
        <v>-16841</v>
      </c>
      <c r="I37" s="450"/>
      <c r="J37" s="547">
        <f>H37/DAY(B2)</f>
        <v>-935.61111111111109</v>
      </c>
      <c r="K37" s="424"/>
      <c r="L37" s="374"/>
      <c r="N37" s="715"/>
      <c r="O37" s="722"/>
      <c r="P37" s="379"/>
    </row>
    <row r="38" spans="1:16">
      <c r="A38" s="573" t="s">
        <v>232</v>
      </c>
      <c r="B38" s="574"/>
      <c r="C38" s="574"/>
      <c r="D38" s="518" t="s">
        <v>198</v>
      </c>
      <c r="E38" s="505">
        <f>'17'!F38</f>
        <v>139784</v>
      </c>
      <c r="F38" s="464">
        <v>140865</v>
      </c>
      <c r="G38" s="468">
        <f t="shared" si="3"/>
        <v>1081</v>
      </c>
      <c r="H38" s="455">
        <f>G38+'17'!H38</f>
        <v>-15540</v>
      </c>
      <c r="I38" s="450"/>
      <c r="J38" s="547">
        <f>H38/DAY(B2)</f>
        <v>-863.33333333333337</v>
      </c>
      <c r="K38" s="424"/>
      <c r="L38" s="374"/>
      <c r="N38" s="714"/>
      <c r="O38" s="721"/>
      <c r="P38" s="379"/>
    </row>
    <row r="39" spans="1:16">
      <c r="A39" s="573" t="s">
        <v>233</v>
      </c>
      <c r="B39" s="574"/>
      <c r="C39" s="574"/>
      <c r="D39" s="518" t="s">
        <v>198</v>
      </c>
      <c r="E39" s="505">
        <f>'17'!F39</f>
        <v>277493</v>
      </c>
      <c r="F39" s="505">
        <v>279594</v>
      </c>
      <c r="G39" s="468">
        <f>F39-E39</f>
        <v>2101</v>
      </c>
      <c r="H39" s="455">
        <f>G39+'17'!H39</f>
        <v>-28579</v>
      </c>
      <c r="I39" s="450"/>
      <c r="J39" s="547">
        <f>H39/DAY(B2)</f>
        <v>-1587.7222222222222</v>
      </c>
      <c r="K39" s="424"/>
      <c r="L39" s="374"/>
      <c r="N39" s="714"/>
      <c r="O39" s="722"/>
      <c r="P39" s="379"/>
    </row>
    <row r="40" spans="1:16">
      <c r="A40" s="594" t="s">
        <v>234</v>
      </c>
      <c r="B40" s="595"/>
      <c r="C40" s="595"/>
      <c r="D40" s="518" t="s">
        <v>198</v>
      </c>
      <c r="E40" s="505">
        <f>'17'!F40</f>
        <v>430</v>
      </c>
      <c r="F40" s="505">
        <v>519</v>
      </c>
      <c r="G40" s="468">
        <f t="shared" si="3"/>
        <v>89</v>
      </c>
      <c r="H40" s="455">
        <f>G40+'17'!H40</f>
        <v>-370</v>
      </c>
      <c r="I40" s="450"/>
      <c r="J40" s="547">
        <f>H40/DAY(B2)</f>
        <v>-20.555555555555557</v>
      </c>
      <c r="K40" s="425"/>
      <c r="L40" s="374"/>
      <c r="N40" s="714"/>
      <c r="O40" s="721"/>
      <c r="P40" s="379"/>
    </row>
    <row r="41" spans="1:16">
      <c r="A41" s="573" t="s">
        <v>235</v>
      </c>
      <c r="B41" s="574"/>
      <c r="C41" s="574"/>
      <c r="D41" s="518" t="s">
        <v>198</v>
      </c>
      <c r="E41" s="505">
        <f>'17'!F41</f>
        <v>239668</v>
      </c>
      <c r="F41" s="505">
        <v>239668</v>
      </c>
      <c r="G41" s="468">
        <f t="shared" si="3"/>
        <v>0</v>
      </c>
      <c r="H41" s="455">
        <f>G41+'17'!H41</f>
        <v>-810</v>
      </c>
      <c r="I41" s="450"/>
      <c r="J41" s="547">
        <f>H41/DAY(B2)</f>
        <v>-45</v>
      </c>
      <c r="K41" s="424"/>
      <c r="L41" s="374"/>
      <c r="N41" s="714"/>
      <c r="O41" s="723"/>
      <c r="P41" s="717"/>
    </row>
    <row r="42" spans="1:16">
      <c r="A42" s="573" t="s">
        <v>236</v>
      </c>
      <c r="B42" s="574"/>
      <c r="C42" s="574"/>
      <c r="D42" s="518" t="s">
        <v>198</v>
      </c>
      <c r="E42" s="505">
        <f>'17'!F42</f>
        <v>59200</v>
      </c>
      <c r="F42" s="505">
        <v>59200</v>
      </c>
      <c r="G42" s="468">
        <f t="shared" si="3"/>
        <v>0</v>
      </c>
      <c r="H42" s="455">
        <f>G42+'17'!H42</f>
        <v>1.0299999999988358</v>
      </c>
      <c r="I42" s="450"/>
      <c r="J42" s="547">
        <f>H42/DAY(B2)</f>
        <v>5.7222222222157546E-2</v>
      </c>
      <c r="K42" s="424"/>
      <c r="L42" s="374"/>
      <c r="N42" s="714"/>
      <c r="O42" s="721"/>
      <c r="P42" s="379"/>
    </row>
    <row r="43" spans="1:16">
      <c r="A43" s="573" t="s">
        <v>237</v>
      </c>
      <c r="B43" s="574"/>
      <c r="C43" s="574"/>
      <c r="D43" s="518" t="s">
        <v>198</v>
      </c>
      <c r="E43" s="505">
        <f>'17'!F43</f>
        <v>1010795</v>
      </c>
      <c r="F43" s="505">
        <v>1012910</v>
      </c>
      <c r="G43" s="468">
        <f t="shared" si="3"/>
        <v>2115</v>
      </c>
      <c r="H43" s="455">
        <f>G43+'17'!H43</f>
        <v>-29334</v>
      </c>
      <c r="I43" s="450"/>
      <c r="J43" s="547">
        <f>H43/DAY(B2)</f>
        <v>-1629.6666666666667</v>
      </c>
      <c r="K43" s="424"/>
      <c r="L43" s="374"/>
      <c r="N43" s="714"/>
      <c r="O43" s="722"/>
      <c r="P43" s="379"/>
    </row>
    <row r="44" spans="1:16">
      <c r="A44" s="573" t="s">
        <v>238</v>
      </c>
      <c r="B44" s="574"/>
      <c r="C44" s="574"/>
      <c r="D44" s="518" t="s">
        <v>198</v>
      </c>
      <c r="E44" s="505">
        <f>'17'!F44</f>
        <v>0</v>
      </c>
      <c r="F44" s="505">
        <v>0</v>
      </c>
      <c r="G44" s="468">
        <f t="shared" si="3"/>
        <v>0</v>
      </c>
      <c r="H44" s="455">
        <f>G44+'17'!H44</f>
        <v>0</v>
      </c>
      <c r="I44" s="450"/>
      <c r="J44" s="547">
        <f>H44/DAY(B2)</f>
        <v>0</v>
      </c>
      <c r="K44" s="424"/>
      <c r="L44" s="374"/>
      <c r="N44" s="714"/>
      <c r="O44" s="721"/>
      <c r="P44" s="379"/>
    </row>
    <row r="45" spans="1:16">
      <c r="A45" s="573" t="s">
        <v>239</v>
      </c>
      <c r="B45" s="574"/>
      <c r="C45" s="574"/>
      <c r="D45" s="518" t="s">
        <v>198</v>
      </c>
      <c r="E45" s="505">
        <f>'17'!F45</f>
        <v>614</v>
      </c>
      <c r="F45" s="505">
        <v>614</v>
      </c>
      <c r="G45" s="468">
        <f t="shared" si="3"/>
        <v>0</v>
      </c>
      <c r="H45" s="455">
        <f>G45+'17'!H45</f>
        <v>0</v>
      </c>
      <c r="I45" s="450"/>
      <c r="J45" s="547">
        <f>H45/DAY(B2)</f>
        <v>0</v>
      </c>
      <c r="K45" s="424"/>
      <c r="L45" s="374"/>
      <c r="N45" s="718"/>
      <c r="O45" s="721"/>
      <c r="P45" s="379"/>
    </row>
    <row r="46" spans="1:16">
      <c r="A46" s="573" t="s">
        <v>240</v>
      </c>
      <c r="B46" s="574"/>
      <c r="C46" s="574"/>
      <c r="D46" s="518" t="s">
        <v>198</v>
      </c>
      <c r="E46" s="505">
        <f>'17'!F46</f>
        <v>187.49</v>
      </c>
      <c r="F46" s="505">
        <v>187.44</v>
      </c>
      <c r="G46" s="468">
        <f t="shared" si="3"/>
        <v>-5.0000000000011369E-2</v>
      </c>
      <c r="H46" s="455">
        <f>G46+'17'!H46</f>
        <v>-5.0000000000011369E-2</v>
      </c>
      <c r="I46" s="450"/>
      <c r="J46" s="547">
        <f>H46/DAY(B2)</f>
        <v>-2.7777777777784093E-3</v>
      </c>
      <c r="K46" s="424"/>
      <c r="L46" s="374"/>
      <c r="N46" s="714"/>
      <c r="O46" s="721"/>
      <c r="P46" s="379"/>
    </row>
    <row r="47" spans="1:16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8169.95</v>
      </c>
      <c r="H47" s="455">
        <f>G47+'17'!H47</f>
        <v>227035.47000000003</v>
      </c>
      <c r="I47" s="450"/>
      <c r="J47" s="547">
        <f>H47/DAY(B2)</f>
        <v>12613.081666666669</v>
      </c>
      <c r="K47" s="424"/>
      <c r="L47" s="374"/>
      <c r="N47" s="714"/>
      <c r="O47" s="721"/>
      <c r="P47" s="379"/>
    </row>
    <row r="48" spans="1:16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714"/>
      <c r="O48" s="721"/>
      <c r="P48" s="379"/>
    </row>
    <row r="49" spans="1:16">
      <c r="A49" s="573" t="s">
        <v>229</v>
      </c>
      <c r="B49" s="596"/>
      <c r="C49" s="596"/>
      <c r="D49" s="518" t="s">
        <v>198</v>
      </c>
      <c r="E49" s="505">
        <f>'17'!F49</f>
        <v>260732.13</v>
      </c>
      <c r="F49" s="505">
        <v>260732.13</v>
      </c>
      <c r="G49" s="468">
        <f t="shared" ref="G49:G58" si="4">F49-E49</f>
        <v>0</v>
      </c>
      <c r="H49" s="455">
        <f>G49+'17'!H49</f>
        <v>0.13000000000465661</v>
      </c>
      <c r="I49" s="450"/>
      <c r="J49" s="547">
        <f>H49/DAY(B2)</f>
        <v>7.2222222224809229E-3</v>
      </c>
      <c r="K49" s="424">
        <f>E49+247</f>
        <v>260979.13</v>
      </c>
      <c r="L49" s="374"/>
      <c r="N49" s="714"/>
      <c r="O49" s="721"/>
      <c r="P49" s="379"/>
    </row>
    <row r="50" spans="1:16">
      <c r="A50" s="573" t="s">
        <v>243</v>
      </c>
      <c r="B50" s="596"/>
      <c r="C50" s="596"/>
      <c r="D50" s="518" t="s">
        <v>198</v>
      </c>
      <c r="E50" s="505">
        <f>'17'!F50</f>
        <v>490007</v>
      </c>
      <c r="F50" s="505">
        <v>490809</v>
      </c>
      <c r="G50" s="468">
        <f t="shared" si="4"/>
        <v>802</v>
      </c>
      <c r="H50" s="455">
        <f>G50+'17'!H50</f>
        <v>-12617</v>
      </c>
      <c r="I50" s="450"/>
      <c r="J50" s="547">
        <f>H50/DAY(B2)</f>
        <v>-700.94444444444446</v>
      </c>
      <c r="K50" s="424"/>
      <c r="L50" s="374"/>
      <c r="N50" s="714"/>
      <c r="O50" s="722"/>
      <c r="P50" s="379"/>
    </row>
    <row r="51" spans="1:16">
      <c r="A51" s="573" t="s">
        <v>231</v>
      </c>
      <c r="B51" s="596"/>
      <c r="C51" s="596"/>
      <c r="D51" s="518" t="s">
        <v>198</v>
      </c>
      <c r="E51" s="505">
        <f>'17'!F51</f>
        <v>144640</v>
      </c>
      <c r="F51" s="505">
        <v>144640</v>
      </c>
      <c r="G51" s="468">
        <f t="shared" si="4"/>
        <v>0</v>
      </c>
      <c r="H51" s="455">
        <f>G51+'17'!H51</f>
        <v>0</v>
      </c>
      <c r="I51" s="450"/>
      <c r="J51" s="547">
        <f>H51/DAY(B2)</f>
        <v>0</v>
      </c>
      <c r="K51" s="424"/>
      <c r="L51" s="374"/>
      <c r="N51" s="714"/>
      <c r="O51" s="721"/>
      <c r="P51" s="379"/>
    </row>
    <row r="52" spans="1:16">
      <c r="A52" s="573" t="s">
        <v>244</v>
      </c>
      <c r="B52" s="596"/>
      <c r="C52" s="596"/>
      <c r="D52" s="518" t="s">
        <v>198</v>
      </c>
      <c r="E52" s="505">
        <f>'17'!F52</f>
        <v>539606</v>
      </c>
      <c r="F52" s="505">
        <v>539606</v>
      </c>
      <c r="G52" s="468">
        <f t="shared" si="4"/>
        <v>0</v>
      </c>
      <c r="H52" s="455">
        <f>G52+'17'!H52</f>
        <v>-6.9999999948777258E-2</v>
      </c>
      <c r="I52" s="450"/>
      <c r="J52" s="547">
        <f>H52/DAY(B2)</f>
        <v>-3.8888888860431812E-3</v>
      </c>
      <c r="K52" s="424"/>
      <c r="L52" s="374"/>
      <c r="N52" s="714"/>
      <c r="O52" s="721"/>
      <c r="P52" s="379"/>
    </row>
    <row r="53" spans="1:16">
      <c r="A53" s="573" t="s">
        <v>233</v>
      </c>
      <c r="B53" s="596"/>
      <c r="C53" s="596"/>
      <c r="D53" s="518" t="s">
        <v>198</v>
      </c>
      <c r="E53" s="505">
        <f>'17'!F53</f>
        <v>424944</v>
      </c>
      <c r="F53" s="505">
        <v>425468</v>
      </c>
      <c r="G53" s="468">
        <f t="shared" si="4"/>
        <v>524</v>
      </c>
      <c r="H53" s="455">
        <f>G53+'17'!H53</f>
        <v>-7100.3300000000163</v>
      </c>
      <c r="I53" s="450"/>
      <c r="J53" s="547">
        <f>H53/DAY(B2)</f>
        <v>-394.46277777777868</v>
      </c>
      <c r="K53" s="424"/>
      <c r="L53" s="374"/>
      <c r="N53" s="714"/>
      <c r="O53" s="721"/>
      <c r="P53" s="379"/>
    </row>
    <row r="54" spans="1:16">
      <c r="A54" s="573" t="s">
        <v>245</v>
      </c>
      <c r="B54" s="596"/>
      <c r="C54" s="596"/>
      <c r="D54" s="518" t="s">
        <v>198</v>
      </c>
      <c r="E54" s="505">
        <f>'17'!F54</f>
        <v>12622</v>
      </c>
      <c r="F54" s="505">
        <v>12700</v>
      </c>
      <c r="G54" s="468">
        <f t="shared" si="4"/>
        <v>78</v>
      </c>
      <c r="H54" s="455">
        <f>G54+'17'!H54</f>
        <v>-1129</v>
      </c>
      <c r="I54" s="450"/>
      <c r="J54" s="547">
        <f>H54/DAY(B2)</f>
        <v>-62.722222222222221</v>
      </c>
      <c r="K54" s="424"/>
      <c r="L54" s="374"/>
      <c r="N54" s="714"/>
      <c r="O54" s="721"/>
      <c r="P54" s="379"/>
    </row>
    <row r="55" spans="1:16">
      <c r="A55" s="573" t="s">
        <v>246</v>
      </c>
      <c r="B55" s="596"/>
      <c r="C55" s="596"/>
      <c r="D55" s="518" t="s">
        <v>198</v>
      </c>
      <c r="E55" s="505">
        <f>'17'!F55</f>
        <v>24040</v>
      </c>
      <c r="F55" s="649">
        <v>29124.54</v>
      </c>
      <c r="G55" s="648">
        <f t="shared" si="4"/>
        <v>5084.5400000000009</v>
      </c>
      <c r="H55" s="701">
        <f>G55+'17'!H55</f>
        <v>-38986.46</v>
      </c>
      <c r="I55" s="702"/>
      <c r="J55" s="703">
        <f>H55/DAY(B2)</f>
        <v>-2165.9144444444446</v>
      </c>
      <c r="K55" s="424"/>
      <c r="L55" s="374"/>
      <c r="N55" s="714"/>
      <c r="O55" s="721"/>
      <c r="P55" s="379"/>
    </row>
    <row r="56" spans="1:16">
      <c r="A56" s="573" t="s">
        <v>247</v>
      </c>
      <c r="B56" s="596"/>
      <c r="C56" s="596"/>
      <c r="D56" s="518" t="s">
        <v>248</v>
      </c>
      <c r="E56" s="505">
        <f>'17'!F56</f>
        <v>589435.47</v>
      </c>
      <c r="F56" s="649">
        <v>589435.47</v>
      </c>
      <c r="G56" s="468">
        <f t="shared" si="4"/>
        <v>0</v>
      </c>
      <c r="H56" s="455">
        <f>G56+'17'!H56</f>
        <v>-27762.530000000028</v>
      </c>
      <c r="I56" s="450"/>
      <c r="J56" s="547">
        <f>H56/DAY(B2)</f>
        <v>-1542.3627777777792</v>
      </c>
      <c r="K56" s="423"/>
      <c r="L56" s="374"/>
      <c r="N56" s="714"/>
      <c r="O56" s="723"/>
      <c r="P56" s="379"/>
    </row>
    <row r="57" spans="1:16">
      <c r="A57" s="573" t="s">
        <v>237</v>
      </c>
      <c r="B57" s="596"/>
      <c r="C57" s="596"/>
      <c r="D57" s="518" t="s">
        <v>198</v>
      </c>
      <c r="E57" s="505">
        <f>'17'!F57</f>
        <v>7711.33</v>
      </c>
      <c r="F57" s="505">
        <v>7711.33</v>
      </c>
      <c r="G57" s="468">
        <f t="shared" si="4"/>
        <v>0</v>
      </c>
      <c r="H57" s="455">
        <f>G57+'17'!H57</f>
        <v>0.32999999999992724</v>
      </c>
      <c r="I57" s="450"/>
      <c r="J57" s="547">
        <f>H57/DAY(B2)</f>
        <v>1.8333333333329292E-2</v>
      </c>
      <c r="K57" s="424"/>
      <c r="L57" s="374"/>
      <c r="N57" s="714"/>
      <c r="O57" s="721"/>
      <c r="P57" s="379"/>
    </row>
    <row r="58" spans="1:16">
      <c r="A58" s="573" t="s">
        <v>249</v>
      </c>
      <c r="B58" s="596"/>
      <c r="C58" s="596"/>
      <c r="D58" s="518" t="s">
        <v>198</v>
      </c>
      <c r="E58" s="505">
        <f>'17'!F58</f>
        <v>48104</v>
      </c>
      <c r="F58" s="649">
        <v>48167</v>
      </c>
      <c r="G58" s="468">
        <f t="shared" si="4"/>
        <v>63</v>
      </c>
      <c r="H58" s="455">
        <f>G58+'17'!H58</f>
        <v>-1697.2099999999991</v>
      </c>
      <c r="I58" s="450"/>
      <c r="J58" s="547">
        <f>H58/DAY(B2)</f>
        <v>-94.289444444444399</v>
      </c>
      <c r="K58" s="424"/>
      <c r="L58" s="374"/>
      <c r="N58" s="714"/>
      <c r="O58" s="721"/>
      <c r="P58" s="379"/>
    </row>
    <row r="59" spans="1:16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6551.5400000000009</v>
      </c>
      <c r="H59" s="455">
        <f>G59+'17'!H59</f>
        <v>-89292.070000000036</v>
      </c>
      <c r="I59" s="450">
        <f>G7-G60</f>
        <v>2278.5099999999984</v>
      </c>
      <c r="J59" s="547">
        <f>H59/DAY(B2)</f>
        <v>-4960.6705555555573</v>
      </c>
      <c r="K59" s="424"/>
      <c r="L59" s="374"/>
      <c r="N59" s="714"/>
      <c r="O59" s="721"/>
      <c r="P59" s="379"/>
    </row>
    <row r="60" spans="1:16">
      <c r="A60" s="573"/>
      <c r="B60" s="574"/>
      <c r="C60" s="574"/>
      <c r="D60" s="506" t="s">
        <v>250</v>
      </c>
      <c r="E60" s="506"/>
      <c r="F60" s="506"/>
      <c r="G60" s="476">
        <f>G47+G59</f>
        <v>14721.490000000002</v>
      </c>
      <c r="H60" s="455">
        <f>G60+'17'!H60</f>
        <v>138951.93999999997</v>
      </c>
      <c r="I60" s="450">
        <f>G13-G60</f>
        <v>2228.5099999999984</v>
      </c>
      <c r="J60" s="547">
        <f>H60/DAY(B2)</f>
        <v>7719.5522222222207</v>
      </c>
      <c r="K60" s="424"/>
      <c r="L60" s="374"/>
      <c r="N60" s="714"/>
      <c r="O60" s="721"/>
      <c r="P60" s="379"/>
    </row>
    <row r="61" spans="1:16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714"/>
      <c r="O61" s="721"/>
      <c r="P61" s="379"/>
    </row>
    <row r="62" spans="1:16">
      <c r="A62" s="598" t="s">
        <v>252</v>
      </c>
      <c r="B62" s="599"/>
      <c r="C62" s="599"/>
      <c r="D62" s="506" t="s">
        <v>253</v>
      </c>
      <c r="E62" s="509">
        <f>'17'!F62</f>
        <v>20419</v>
      </c>
      <c r="F62" s="509">
        <v>20419.18</v>
      </c>
      <c r="G62" s="468">
        <f t="shared" ref="G62:G69" si="5">F62-E62</f>
        <v>0.18000000000029104</v>
      </c>
      <c r="H62" s="455">
        <f>G62+'17'!H62</f>
        <v>0.18199999999706051</v>
      </c>
      <c r="I62" s="510"/>
      <c r="J62" s="547">
        <f>H62/DAY(B2)</f>
        <v>1.0111111110947806E-2</v>
      </c>
      <c r="K62" s="424"/>
      <c r="L62" s="374"/>
      <c r="N62" s="714"/>
      <c r="O62" s="721"/>
      <c r="P62" s="379"/>
    </row>
    <row r="63" spans="1:16">
      <c r="A63" s="598" t="s">
        <v>254</v>
      </c>
      <c r="B63" s="599"/>
      <c r="C63" s="599"/>
      <c r="D63" s="506" t="s">
        <v>253</v>
      </c>
      <c r="E63" s="509">
        <f>'17'!F63</f>
        <v>2423</v>
      </c>
      <c r="F63" s="509">
        <v>2427</v>
      </c>
      <c r="G63" s="468">
        <f t="shared" si="5"/>
        <v>4</v>
      </c>
      <c r="H63" s="455">
        <f>G63+'17'!H63</f>
        <v>2427</v>
      </c>
      <c r="I63" s="510"/>
      <c r="J63" s="547">
        <f>H63/DAY(B2)</f>
        <v>134.83333333333334</v>
      </c>
      <c r="K63" s="424"/>
      <c r="L63" s="374"/>
      <c r="N63" s="714"/>
      <c r="O63" s="721"/>
      <c r="P63" s="379"/>
    </row>
    <row r="64" spans="1:16" ht="27.75">
      <c r="A64" s="1450" t="s">
        <v>161</v>
      </c>
      <c r="B64" s="1451"/>
      <c r="C64" s="1452"/>
      <c r="D64" s="518" t="s">
        <v>253</v>
      </c>
      <c r="E64" s="509">
        <f>'17'!F64</f>
        <v>156870</v>
      </c>
      <c r="F64" s="621">
        <v>157207</v>
      </c>
      <c r="G64" s="769">
        <f t="shared" si="5"/>
        <v>337</v>
      </c>
      <c r="H64" s="455">
        <f>G64+'17'!H64</f>
        <v>-2725</v>
      </c>
      <c r="I64" s="475"/>
      <c r="J64" s="547">
        <f>H64/DAY(B2)</f>
        <v>-151.38888888888889</v>
      </c>
      <c r="K64" s="424"/>
      <c r="L64" s="374"/>
      <c r="N64" s="714"/>
      <c r="O64" s="721"/>
      <c r="P64" s="379"/>
    </row>
    <row r="65" spans="1:16" ht="27.75">
      <c r="A65" s="1450" t="s">
        <v>162</v>
      </c>
      <c r="B65" s="1451"/>
      <c r="C65" s="1452"/>
      <c r="D65" s="518" t="s">
        <v>253</v>
      </c>
      <c r="E65" s="509">
        <f>'17'!F65</f>
        <v>157951</v>
      </c>
      <c r="F65" s="647">
        <v>158219</v>
      </c>
      <c r="G65" s="468">
        <f t="shared" si="5"/>
        <v>268</v>
      </c>
      <c r="H65" s="455">
        <f>G65+'17'!H65</f>
        <v>-2779</v>
      </c>
      <c r="I65" s="484"/>
      <c r="J65" s="547">
        <f>H65/DAY(B2)</f>
        <v>-154.38888888888889</v>
      </c>
      <c r="K65" s="424"/>
      <c r="L65" s="374"/>
      <c r="N65" s="714"/>
      <c r="O65" s="722"/>
      <c r="P65" s="379"/>
    </row>
    <row r="66" spans="1:16" ht="27.75">
      <c r="A66" s="1450" t="s">
        <v>255</v>
      </c>
      <c r="B66" s="1451"/>
      <c r="C66" s="1452"/>
      <c r="D66" s="518" t="s">
        <v>253</v>
      </c>
      <c r="E66" s="509">
        <f>'17'!F66</f>
        <v>52979</v>
      </c>
      <c r="F66" s="473">
        <v>53249</v>
      </c>
      <c r="G66" s="468">
        <f t="shared" si="5"/>
        <v>270</v>
      </c>
      <c r="H66" s="455">
        <f>G66+'17'!H66</f>
        <v>-3556</v>
      </c>
      <c r="I66" s="475"/>
      <c r="J66" s="547">
        <f>H66/DAY(B2)</f>
        <v>-197.55555555555554</v>
      </c>
      <c r="K66" s="424"/>
      <c r="L66" s="374"/>
      <c r="N66" s="714"/>
      <c r="O66" s="721"/>
      <c r="P66" s="379"/>
    </row>
    <row r="67" spans="1:16" ht="27.75">
      <c r="A67" s="1450" t="s">
        <v>157</v>
      </c>
      <c r="B67" s="1451"/>
      <c r="C67" s="1452"/>
      <c r="D67" s="518" t="s">
        <v>253</v>
      </c>
      <c r="E67" s="509">
        <f>'17'!F67</f>
        <v>246395</v>
      </c>
      <c r="F67" s="473">
        <v>246695</v>
      </c>
      <c r="G67" s="468">
        <f t="shared" si="5"/>
        <v>300</v>
      </c>
      <c r="H67" s="455">
        <f>G67+'17'!H67</f>
        <v>-5497</v>
      </c>
      <c r="I67" s="484"/>
      <c r="J67" s="547">
        <f>H67/DAY(B2)</f>
        <v>-305.38888888888891</v>
      </c>
      <c r="K67" s="425"/>
      <c r="L67" s="374"/>
      <c r="N67" s="714"/>
      <c r="O67" s="721"/>
      <c r="P67" s="379"/>
    </row>
    <row r="68" spans="1:16" ht="27.75">
      <c r="A68" s="1450" t="s">
        <v>164</v>
      </c>
      <c r="B68" s="1451"/>
      <c r="C68" s="1452"/>
      <c r="D68" s="518" t="s">
        <v>253</v>
      </c>
      <c r="E68" s="509">
        <f>'17'!F68</f>
        <v>85321</v>
      </c>
      <c r="F68" s="473">
        <v>85321</v>
      </c>
      <c r="G68" s="468">
        <f t="shared" si="5"/>
        <v>0</v>
      </c>
      <c r="H68" s="455">
        <f>G68+'17'!H68</f>
        <v>0</v>
      </c>
      <c r="I68" s="511"/>
      <c r="J68" s="547">
        <f>H68/DAY(B2)</f>
        <v>0</v>
      </c>
      <c r="K68" s="426"/>
      <c r="L68" s="374"/>
      <c r="N68" s="714"/>
      <c r="O68" s="721"/>
      <c r="P68" s="379"/>
    </row>
    <row r="69" spans="1:16" ht="27.75">
      <c r="A69" s="1450" t="s">
        <v>165</v>
      </c>
      <c r="B69" s="1451"/>
      <c r="C69" s="1452"/>
      <c r="D69" s="518" t="s">
        <v>253</v>
      </c>
      <c r="E69" s="509">
        <f>'17'!F69</f>
        <v>80272</v>
      </c>
      <c r="F69" s="473">
        <v>80350</v>
      </c>
      <c r="G69" s="468">
        <f t="shared" si="5"/>
        <v>78</v>
      </c>
      <c r="H69" s="455">
        <f>G69+'17'!H69</f>
        <v>-1399</v>
      </c>
      <c r="I69" s="511"/>
      <c r="J69" s="547">
        <f>H69/DAY(B2)</f>
        <v>-77.722222222222229</v>
      </c>
      <c r="K69" s="427"/>
      <c r="L69" s="374"/>
      <c r="N69" s="714"/>
      <c r="O69" s="721"/>
      <c r="P69" s="379"/>
    </row>
    <row r="70" spans="1:16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>G70+'13'!H70</f>
        <v>0</v>
      </c>
      <c r="I70" s="513"/>
      <c r="J70" s="551"/>
      <c r="K70" s="427"/>
      <c r="L70" s="374"/>
      <c r="N70" s="714"/>
      <c r="O70" s="721"/>
      <c r="P70" s="379"/>
    </row>
    <row r="71" spans="1:16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714"/>
      <c r="O71" s="721"/>
      <c r="P71" s="379"/>
    </row>
    <row r="72" spans="1:16" ht="27.75">
      <c r="A72" s="1450" t="s">
        <v>258</v>
      </c>
      <c r="B72" s="1451"/>
      <c r="C72" s="1452"/>
      <c r="D72" s="518" t="s">
        <v>253</v>
      </c>
      <c r="E72" s="514">
        <f>'17'!F72</f>
        <v>855696</v>
      </c>
      <c r="F72" s="650">
        <v>855702</v>
      </c>
      <c r="G72" s="468">
        <f t="shared" ref="G72:G84" si="6">F72-E72</f>
        <v>6</v>
      </c>
      <c r="H72" s="455">
        <f>G72+'17'!H72</f>
        <v>-184</v>
      </c>
      <c r="I72" s="475"/>
      <c r="J72" s="547">
        <f>H72/DAY(B2)</f>
        <v>-10.222222222222221</v>
      </c>
      <c r="K72" s="427"/>
      <c r="L72" s="374"/>
      <c r="N72" s="714"/>
      <c r="O72" s="721"/>
      <c r="P72" s="379"/>
    </row>
    <row r="73" spans="1:16" ht="27.75">
      <c r="A73" s="1450" t="s">
        <v>259</v>
      </c>
      <c r="B73" s="1451"/>
      <c r="C73" s="1452"/>
      <c r="D73" s="518" t="s">
        <v>253</v>
      </c>
      <c r="E73" s="514">
        <f>'17'!F73</f>
        <v>885893</v>
      </c>
      <c r="F73" s="651">
        <v>885895</v>
      </c>
      <c r="G73" s="648">
        <f t="shared" si="6"/>
        <v>2</v>
      </c>
      <c r="H73" s="455">
        <f>G73+'17'!H73</f>
        <v>144</v>
      </c>
      <c r="I73" s="475"/>
      <c r="J73" s="547">
        <f>H73/DAY(B2)</f>
        <v>8</v>
      </c>
      <c r="K73" s="426"/>
      <c r="L73" s="374"/>
      <c r="N73" s="714"/>
      <c r="O73" s="721"/>
      <c r="P73" s="379"/>
    </row>
    <row r="74" spans="1:16" ht="27.75">
      <c r="A74" s="1450" t="s">
        <v>260</v>
      </c>
      <c r="B74" s="1451"/>
      <c r="C74" s="1452"/>
      <c r="D74" s="518" t="s">
        <v>253</v>
      </c>
      <c r="E74" s="514">
        <f>'17'!F74</f>
        <v>2495</v>
      </c>
      <c r="F74" s="651">
        <v>2499</v>
      </c>
      <c r="G74" s="468">
        <f t="shared" si="6"/>
        <v>4</v>
      </c>
      <c r="H74" s="455">
        <f>G74+'17'!H74</f>
        <v>-87</v>
      </c>
      <c r="I74" s="475"/>
      <c r="J74" s="547">
        <f>H74/DAY(B2)</f>
        <v>-4.833333333333333</v>
      </c>
      <c r="K74" s="427"/>
      <c r="L74" s="374"/>
      <c r="N74" s="714"/>
      <c r="O74" s="721"/>
      <c r="P74" s="379"/>
    </row>
    <row r="75" spans="1:16" ht="27.75">
      <c r="A75" s="1499" t="s">
        <v>261</v>
      </c>
      <c r="B75" s="1500"/>
      <c r="C75" s="1501"/>
      <c r="D75" s="518" t="s">
        <v>253</v>
      </c>
      <c r="E75" s="514">
        <f>'17'!F75</f>
        <v>11880</v>
      </c>
      <c r="F75" s="651">
        <v>11933</v>
      </c>
      <c r="G75" s="468">
        <f t="shared" si="6"/>
        <v>53</v>
      </c>
      <c r="H75" s="455">
        <f>G75+'17'!H75</f>
        <v>-736</v>
      </c>
      <c r="I75" s="475"/>
      <c r="J75" s="547">
        <f>H75/DAY(B2)</f>
        <v>-40.888888888888886</v>
      </c>
      <c r="K75" s="426"/>
      <c r="L75" s="374"/>
      <c r="N75" s="714"/>
      <c r="O75" s="721"/>
      <c r="P75" s="379"/>
    </row>
    <row r="76" spans="1:16" ht="27.75">
      <c r="A76" s="1499" t="s">
        <v>262</v>
      </c>
      <c r="B76" s="1500"/>
      <c r="C76" s="1501"/>
      <c r="D76" s="518" t="s">
        <v>253</v>
      </c>
      <c r="E76" s="514">
        <f>'17'!F76</f>
        <v>6635</v>
      </c>
      <c r="F76" s="651">
        <v>6691</v>
      </c>
      <c r="G76" s="468">
        <f t="shared" si="6"/>
        <v>56</v>
      </c>
      <c r="H76" s="455">
        <f>G76+'17'!H76</f>
        <v>-515</v>
      </c>
      <c r="I76" s="500"/>
      <c r="J76" s="547">
        <f>H76/DAY(B2)</f>
        <v>-28.611111111111111</v>
      </c>
      <c r="K76" s="426"/>
      <c r="L76" s="374"/>
      <c r="N76" s="714"/>
      <c r="O76" s="721"/>
      <c r="P76" s="379"/>
    </row>
    <row r="77" spans="1:16" ht="27.75">
      <c r="A77" s="1450" t="s">
        <v>263</v>
      </c>
      <c r="B77" s="1451"/>
      <c r="C77" s="1452"/>
      <c r="D77" s="518" t="s">
        <v>253</v>
      </c>
      <c r="E77" s="514">
        <f>'17'!F77</f>
        <v>702294</v>
      </c>
      <c r="F77" s="651">
        <v>702324</v>
      </c>
      <c r="G77" s="648">
        <f t="shared" si="6"/>
        <v>30</v>
      </c>
      <c r="H77" s="455">
        <f>G77+'17'!H77</f>
        <v>-515</v>
      </c>
      <c r="I77" s="500"/>
      <c r="J77" s="547">
        <f>H77/DAY(B2)</f>
        <v>-28.611111111111111</v>
      </c>
      <c r="K77" s="426"/>
      <c r="L77" s="374"/>
      <c r="N77" s="714"/>
      <c r="O77" s="721"/>
      <c r="P77" s="379"/>
    </row>
    <row r="78" spans="1:16" ht="27.75">
      <c r="A78" s="1395" t="s">
        <v>264</v>
      </c>
      <c r="B78" s="1387"/>
      <c r="C78" s="1387"/>
      <c r="D78" s="518" t="s">
        <v>253</v>
      </c>
      <c r="E78" s="514">
        <f>'17'!F78</f>
        <v>671474</v>
      </c>
      <c r="F78" s="652">
        <v>671549</v>
      </c>
      <c r="G78" s="468">
        <f t="shared" si="6"/>
        <v>75</v>
      </c>
      <c r="H78" s="455">
        <f>G78+'17'!H78</f>
        <v>-1483</v>
      </c>
      <c r="I78" s="500"/>
      <c r="J78" s="547">
        <f>H78/DAY(B2)</f>
        <v>-82.388888888888886</v>
      </c>
      <c r="K78" s="426"/>
      <c r="L78" s="374"/>
      <c r="N78" s="714"/>
      <c r="O78" s="721"/>
      <c r="P78" s="379"/>
    </row>
    <row r="79" spans="1:16" ht="27.75">
      <c r="A79" s="1499" t="s">
        <v>151</v>
      </c>
      <c r="B79" s="1500"/>
      <c r="C79" s="1501"/>
      <c r="D79" s="519" t="s">
        <v>253</v>
      </c>
      <c r="E79" s="514">
        <f>'17'!F79</f>
        <v>829167</v>
      </c>
      <c r="F79" s="652">
        <v>829295</v>
      </c>
      <c r="G79" s="468">
        <f t="shared" si="6"/>
        <v>128</v>
      </c>
      <c r="H79" s="455">
        <f>G79+'17'!H79</f>
        <v>-2727</v>
      </c>
      <c r="I79" s="500"/>
      <c r="J79" s="547">
        <f>H79/DAY(B2)</f>
        <v>-151.5</v>
      </c>
      <c r="K79" s="426"/>
      <c r="L79" s="374"/>
      <c r="N79" s="714"/>
      <c r="O79" s="721"/>
      <c r="P79" s="379"/>
    </row>
    <row r="80" spans="1:16" ht="27.75">
      <c r="A80" s="1499" t="s">
        <v>265</v>
      </c>
      <c r="B80" s="1500"/>
      <c r="C80" s="1501"/>
      <c r="D80" s="519" t="s">
        <v>253</v>
      </c>
      <c r="E80" s="514">
        <f>'17'!F80</f>
        <v>522731</v>
      </c>
      <c r="F80" s="651">
        <v>523031</v>
      </c>
      <c r="G80" s="468">
        <f t="shared" si="6"/>
        <v>300</v>
      </c>
      <c r="H80" s="455">
        <f>G80+'17'!H80</f>
        <v>-7514.5200000000186</v>
      </c>
      <c r="I80" s="500"/>
      <c r="J80" s="547">
        <f>H80/DAY(B2)</f>
        <v>-417.47333333333438</v>
      </c>
      <c r="K80" s="426"/>
      <c r="L80" s="374"/>
      <c r="N80" s="714"/>
      <c r="O80" s="721"/>
      <c r="P80" s="379"/>
    </row>
    <row r="81" spans="1:16" ht="27.75">
      <c r="A81" s="1499" t="s">
        <v>266</v>
      </c>
      <c r="B81" s="1500"/>
      <c r="C81" s="1501"/>
      <c r="D81" s="519" t="s">
        <v>253</v>
      </c>
      <c r="E81" s="514">
        <f>'17'!F81</f>
        <v>637752</v>
      </c>
      <c r="F81" s="651">
        <v>637832</v>
      </c>
      <c r="G81" s="468">
        <f t="shared" si="6"/>
        <v>80</v>
      </c>
      <c r="H81" s="455">
        <f>G81+'17'!H81</f>
        <v>-1066</v>
      </c>
      <c r="I81" s="500"/>
      <c r="J81" s="547">
        <f>H81/DAY(B2)</f>
        <v>-59.222222222222221</v>
      </c>
      <c r="K81" s="426"/>
      <c r="L81" s="374"/>
      <c r="N81" s="714"/>
      <c r="O81" s="721"/>
      <c r="P81" s="379"/>
    </row>
    <row r="82" spans="1:16" s="771" customFormat="1" ht="27.75">
      <c r="A82" s="1519" t="s">
        <v>267</v>
      </c>
      <c r="B82" s="1520"/>
      <c r="C82" s="1521"/>
      <c r="D82" s="621" t="s">
        <v>198</v>
      </c>
      <c r="E82" s="514">
        <f>'17'!F82</f>
        <v>107930</v>
      </c>
      <c r="F82" s="621">
        <v>107956</v>
      </c>
      <c r="G82" s="769">
        <f t="shared" si="6"/>
        <v>26</v>
      </c>
      <c r="H82" s="474">
        <f>G82+'17'!H82</f>
        <v>-202</v>
      </c>
      <c r="I82" s="474"/>
      <c r="J82" s="770">
        <f>H82/DAY(B2)</f>
        <v>-11.222222222222221</v>
      </c>
      <c r="K82" s="1144"/>
      <c r="L82" s="1145"/>
      <c r="N82" s="718"/>
      <c r="O82" s="722"/>
      <c r="P82" s="717"/>
    </row>
    <row r="83" spans="1:16" ht="27.75">
      <c r="A83" s="1499" t="s">
        <v>268</v>
      </c>
      <c r="B83" s="1500"/>
      <c r="C83" s="1501"/>
      <c r="D83" s="615" t="s">
        <v>198</v>
      </c>
      <c r="E83" s="514">
        <f>'17'!F83</f>
        <v>18079</v>
      </c>
      <c r="F83" s="506">
        <v>18319</v>
      </c>
      <c r="G83" s="468">
        <f t="shared" si="6"/>
        <v>240</v>
      </c>
      <c r="H83" s="455">
        <f>G83+'17'!H83</f>
        <v>-2187</v>
      </c>
      <c r="I83" s="476"/>
      <c r="J83" s="547">
        <f>H83/DAY(B2)</f>
        <v>-121.5</v>
      </c>
      <c r="K83" s="425"/>
      <c r="L83" s="374"/>
      <c r="N83" s="714"/>
      <c r="O83" s="721"/>
      <c r="P83" s="379"/>
    </row>
    <row r="84" spans="1:16">
      <c r="A84" s="1396" t="s">
        <v>166</v>
      </c>
      <c r="B84" s="566"/>
      <c r="C84" s="566"/>
      <c r="D84" s="473" t="s">
        <v>198</v>
      </c>
      <c r="E84" s="514">
        <f>'17'!F84</f>
        <v>491626</v>
      </c>
      <c r="F84" s="622">
        <v>491979</v>
      </c>
      <c r="G84" s="468">
        <f t="shared" si="6"/>
        <v>353</v>
      </c>
      <c r="H84" s="455">
        <f>G84+'17'!H84</f>
        <v>-8315</v>
      </c>
      <c r="I84" s="476"/>
      <c r="J84" s="547">
        <f>H84/DAY(B2)</f>
        <v>-461.94444444444446</v>
      </c>
      <c r="K84" s="377"/>
      <c r="L84" s="374"/>
      <c r="N84" s="714"/>
      <c r="O84" s="721"/>
      <c r="P84" s="379"/>
    </row>
    <row r="85" spans="1:16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1353</v>
      </c>
      <c r="H85" s="455">
        <f>G85+'17'!H85</f>
        <v>-21844</v>
      </c>
      <c r="I85" s="476"/>
      <c r="J85" s="547">
        <f>H85/DAY(B2)</f>
        <v>-1213.5555555555557</v>
      </c>
      <c r="K85" s="377"/>
      <c r="L85" s="375"/>
      <c r="N85" s="714"/>
      <c r="O85" s="721"/>
      <c r="P85" s="379"/>
    </row>
    <row r="86" spans="1:16" s="731" customFormat="1">
      <c r="A86" s="726" t="s">
        <v>269</v>
      </c>
      <c r="B86" s="727"/>
      <c r="C86" s="727"/>
      <c r="D86" s="728" t="s">
        <v>248</v>
      </c>
      <c r="E86" s="622">
        <f>'17'!F86</f>
        <v>460478</v>
      </c>
      <c r="F86" s="643">
        <v>460509</v>
      </c>
      <c r="G86" s="701">
        <f t="shared" ref="G86:G91" si="7">F86-E86</f>
        <v>31</v>
      </c>
      <c r="H86" s="701">
        <f t="shared" ref="H86:H88" si="8">G86</f>
        <v>31</v>
      </c>
      <c r="I86" s="648"/>
      <c r="J86" s="703">
        <f>H86/DAY(B2)</f>
        <v>1.7222222222222223</v>
      </c>
      <c r="K86" s="729"/>
      <c r="L86" s="730"/>
      <c r="O86" s="709"/>
    </row>
    <row r="87" spans="1:16" s="731" customFormat="1">
      <c r="A87" s="726" t="s">
        <v>270</v>
      </c>
      <c r="B87" s="727"/>
      <c r="C87" s="727"/>
      <c r="D87" s="728" t="s">
        <v>248</v>
      </c>
      <c r="E87" s="622">
        <f>'17'!F87</f>
        <v>81116</v>
      </c>
      <c r="F87" s="643">
        <v>81130</v>
      </c>
      <c r="G87" s="701">
        <f t="shared" si="7"/>
        <v>14</v>
      </c>
      <c r="H87" s="701">
        <f t="shared" si="8"/>
        <v>14</v>
      </c>
      <c r="I87" s="648"/>
      <c r="J87" s="703">
        <f>H87/DAY(B2)</f>
        <v>0.77777777777777779</v>
      </c>
      <c r="K87" s="729"/>
      <c r="L87" s="730"/>
      <c r="O87" s="709"/>
    </row>
    <row r="88" spans="1:16" s="731" customFormat="1">
      <c r="A88" s="726" t="s">
        <v>158</v>
      </c>
      <c r="B88" s="727"/>
      <c r="C88" s="727"/>
      <c r="D88" s="728" t="s">
        <v>248</v>
      </c>
      <c r="E88" s="622">
        <f>'17'!F88</f>
        <v>152520</v>
      </c>
      <c r="F88" s="643">
        <v>152588</v>
      </c>
      <c r="G88" s="701">
        <f t="shared" si="7"/>
        <v>68</v>
      </c>
      <c r="H88" s="701">
        <f t="shared" si="8"/>
        <v>68</v>
      </c>
      <c r="I88" s="648"/>
      <c r="J88" s="703">
        <f>H88/DAY(B2)</f>
        <v>3.7777777777777777</v>
      </c>
      <c r="K88" s="729"/>
      <c r="L88" s="730"/>
      <c r="O88" s="709"/>
    </row>
    <row r="89" spans="1:16" s="731" customFormat="1">
      <c r="A89" s="726" t="s">
        <v>272</v>
      </c>
      <c r="B89" s="727"/>
      <c r="C89" s="727"/>
      <c r="D89" s="728" t="s">
        <v>248</v>
      </c>
      <c r="E89" s="622">
        <f>'17'!F89</f>
        <v>64943</v>
      </c>
      <c r="F89" s="643">
        <v>64950</v>
      </c>
      <c r="G89" s="701">
        <f t="shared" si="7"/>
        <v>7</v>
      </c>
      <c r="H89" s="701">
        <f>G89</f>
        <v>7</v>
      </c>
      <c r="I89" s="648"/>
      <c r="J89" s="703">
        <f>H89/DAY(B2)</f>
        <v>0.3888888888888889</v>
      </c>
      <c r="K89" s="729"/>
      <c r="L89" s="730"/>
      <c r="N89" s="773"/>
      <c r="O89" s="379"/>
    </row>
    <row r="90" spans="1:16" s="731" customFormat="1">
      <c r="A90" s="726" t="s">
        <v>272</v>
      </c>
      <c r="B90" s="727"/>
      <c r="C90" s="727"/>
      <c r="D90" s="728" t="s">
        <v>248</v>
      </c>
      <c r="E90" s="622">
        <f>'17'!F90</f>
        <v>3272.5</v>
      </c>
      <c r="F90" s="643">
        <v>3272.7</v>
      </c>
      <c r="G90" s="701">
        <f t="shared" si="7"/>
        <v>0.1999999999998181</v>
      </c>
      <c r="H90" s="701">
        <f>G90</f>
        <v>0.1999999999998181</v>
      </c>
      <c r="I90" s="648"/>
      <c r="J90" s="703">
        <f>H90/DAY(B2)</f>
        <v>1.1111111111101005E-2</v>
      </c>
      <c r="K90" s="729"/>
      <c r="L90" s="730"/>
      <c r="N90" s="773"/>
      <c r="O90" s="379"/>
    </row>
    <row r="91" spans="1:16" s="731" customFormat="1">
      <c r="A91" s="726" t="s">
        <v>273</v>
      </c>
      <c r="B91" s="727"/>
      <c r="C91" s="727"/>
      <c r="D91" s="728" t="s">
        <v>198</v>
      </c>
      <c r="E91" s="622">
        <f>'17'!F91</f>
        <v>27957</v>
      </c>
      <c r="F91" s="643">
        <v>27959</v>
      </c>
      <c r="G91" s="701">
        <f t="shared" si="7"/>
        <v>2</v>
      </c>
      <c r="H91" s="701">
        <f>G91</f>
        <v>2</v>
      </c>
      <c r="I91" s="648"/>
      <c r="J91" s="703"/>
      <c r="K91" s="729"/>
      <c r="L91" s="730"/>
      <c r="N91" s="773"/>
      <c r="O91" s="379"/>
    </row>
    <row r="92" spans="1:16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14"/>
      <c r="O92" s="721"/>
      <c r="P92" s="379"/>
    </row>
    <row r="93" spans="1:16" ht="27.75">
      <c r="A93" s="1453" t="s">
        <v>275</v>
      </c>
      <c r="B93" s="1454"/>
      <c r="C93" s="1455"/>
      <c r="D93" s="518" t="s">
        <v>209</v>
      </c>
      <c r="E93" s="479">
        <f>'17'!F93</f>
        <v>245077</v>
      </c>
      <c r="F93" s="473">
        <v>245077</v>
      </c>
      <c r="G93" s="468">
        <f t="shared" ref="G93:G94" si="9">F93-E93</f>
        <v>0</v>
      </c>
      <c r="H93" s="455">
        <f>G93+'17'!H93</f>
        <v>-411</v>
      </c>
      <c r="I93" s="475"/>
      <c r="J93" s="547">
        <f>H93/DAY(B2)</f>
        <v>-22.833333333333332</v>
      </c>
      <c r="K93" s="425"/>
      <c r="L93" s="374"/>
      <c r="N93" s="714"/>
      <c r="O93" s="721"/>
      <c r="P93" s="379"/>
    </row>
    <row r="94" spans="1:16" ht="27.75">
      <c r="A94" s="1453" t="s">
        <v>15</v>
      </c>
      <c r="B94" s="1454"/>
      <c r="C94" s="1455"/>
      <c r="D94" s="518" t="s">
        <v>209</v>
      </c>
      <c r="E94" s="479">
        <f>'17'!F94</f>
        <v>184915</v>
      </c>
      <c r="F94" s="473">
        <v>185061</v>
      </c>
      <c r="G94" s="468">
        <f t="shared" si="9"/>
        <v>146</v>
      </c>
      <c r="H94" s="455">
        <f>G94+'17'!H94</f>
        <v>-1060</v>
      </c>
      <c r="I94" s="475"/>
      <c r="J94" s="547">
        <f>H94/DAY(B2)</f>
        <v>-58.888888888888886</v>
      </c>
      <c r="K94" s="377"/>
      <c r="L94" s="374"/>
      <c r="N94" s="714"/>
      <c r="O94" s="721"/>
      <c r="P94" s="379"/>
    </row>
    <row r="95" spans="1:16">
      <c r="A95" s="1447" t="s">
        <v>276</v>
      </c>
      <c r="B95" s="1448"/>
      <c r="C95" s="1449"/>
      <c r="D95" s="518"/>
      <c r="E95" s="479">
        <f>'17'!F95</f>
        <v>0</v>
      </c>
      <c r="F95" s="473"/>
      <c r="G95" s="468">
        <f>G93+G94</f>
        <v>146</v>
      </c>
      <c r="H95" s="455">
        <f>G95+'17'!H95</f>
        <v>-1547</v>
      </c>
      <c r="I95" s="475"/>
      <c r="J95" s="547">
        <f>H95/DAY(B2)</f>
        <v>-85.944444444444443</v>
      </c>
      <c r="K95" s="377"/>
      <c r="L95" s="374"/>
      <c r="N95" s="714"/>
      <c r="O95" s="721"/>
      <c r="P95" s="379"/>
    </row>
    <row r="96" spans="1:16" ht="27.75">
      <c r="A96" s="1453" t="s">
        <v>16</v>
      </c>
      <c r="B96" s="1454"/>
      <c r="C96" s="1455"/>
      <c r="D96" s="518" t="s">
        <v>209</v>
      </c>
      <c r="E96" s="479">
        <f>'17'!F96</f>
        <v>413639</v>
      </c>
      <c r="F96" s="473">
        <v>413668</v>
      </c>
      <c r="G96" s="468">
        <f t="shared" ref="G96:G101" si="10">F96-E96</f>
        <v>29</v>
      </c>
      <c r="H96" s="455">
        <f>G96+'17'!H96</f>
        <v>-615</v>
      </c>
      <c r="I96" s="475"/>
      <c r="J96" s="547">
        <f>H96/DAY(B2)</f>
        <v>-34.166666666666664</v>
      </c>
      <c r="K96" s="377"/>
      <c r="L96" s="374"/>
      <c r="N96" s="714"/>
      <c r="O96" s="721"/>
      <c r="P96" s="379"/>
    </row>
    <row r="97" spans="1:16" ht="27.75">
      <c r="A97" s="1392" t="s">
        <v>17</v>
      </c>
      <c r="B97" s="1393"/>
      <c r="C97" s="1393"/>
      <c r="D97" s="518" t="s">
        <v>209</v>
      </c>
      <c r="E97" s="479">
        <f>'17'!F97</f>
        <v>102504</v>
      </c>
      <c r="F97" s="473">
        <v>102516</v>
      </c>
      <c r="G97" s="468">
        <f t="shared" si="10"/>
        <v>12</v>
      </c>
      <c r="H97" s="455">
        <f>G97+'17'!H97</f>
        <v>-132</v>
      </c>
      <c r="I97" s="475"/>
      <c r="J97" s="547">
        <f>H97/DAY(B2)</f>
        <v>-7.333333333333333</v>
      </c>
      <c r="K97" s="423"/>
      <c r="L97" s="374"/>
      <c r="N97" s="714"/>
      <c r="O97" s="721"/>
      <c r="P97" s="379"/>
    </row>
    <row r="98" spans="1:16" ht="27.75">
      <c r="A98" s="1392" t="s">
        <v>18</v>
      </c>
      <c r="B98" s="1393"/>
      <c r="C98" s="1393"/>
      <c r="D98" s="518" t="s">
        <v>209</v>
      </c>
      <c r="E98" s="479">
        <f>'17'!F98</f>
        <v>97668</v>
      </c>
      <c r="F98" s="473">
        <v>97676</v>
      </c>
      <c r="G98" s="468">
        <f t="shared" si="10"/>
        <v>8</v>
      </c>
      <c r="H98" s="455">
        <f>G98+'17'!H98</f>
        <v>-274</v>
      </c>
      <c r="I98" s="475"/>
      <c r="J98" s="547">
        <f>H98/DAY(B2)</f>
        <v>-15.222222222222221</v>
      </c>
      <c r="K98" s="428"/>
      <c r="L98" s="374"/>
      <c r="N98" s="714"/>
      <c r="O98" s="721"/>
      <c r="P98" s="379"/>
    </row>
    <row r="99" spans="1:16" ht="27.75">
      <c r="A99" s="1392" t="s">
        <v>19</v>
      </c>
      <c r="B99" s="1393"/>
      <c r="C99" s="1393"/>
      <c r="D99" s="518" t="s">
        <v>209</v>
      </c>
      <c r="E99" s="479">
        <f>'17'!F99</f>
        <v>149725</v>
      </c>
      <c r="F99" s="473">
        <v>149729</v>
      </c>
      <c r="G99" s="468">
        <f t="shared" si="10"/>
        <v>4</v>
      </c>
      <c r="H99" s="455">
        <f>G99+'17'!H99</f>
        <v>-123</v>
      </c>
      <c r="I99" s="475"/>
      <c r="J99" s="547">
        <f>H99/DAY(B2)</f>
        <v>-6.833333333333333</v>
      </c>
      <c r="K99" s="377"/>
      <c r="L99" s="374"/>
      <c r="N99" s="716"/>
      <c r="O99" s="721"/>
      <c r="P99" s="379"/>
    </row>
    <row r="100" spans="1:16" ht="27.75">
      <c r="A100" s="1392" t="s">
        <v>20</v>
      </c>
      <c r="B100" s="1393"/>
      <c r="C100" s="1393"/>
      <c r="D100" s="518" t="s">
        <v>209</v>
      </c>
      <c r="E100" s="479">
        <f>'17'!F100</f>
        <v>7287</v>
      </c>
      <c r="F100" s="473">
        <v>7293</v>
      </c>
      <c r="G100" s="468">
        <f t="shared" si="10"/>
        <v>6</v>
      </c>
      <c r="H100" s="455">
        <f>G100+'17'!H100</f>
        <v>-76</v>
      </c>
      <c r="I100" s="475"/>
      <c r="J100" s="547">
        <f>H100/DAY(B2)</f>
        <v>-4.2222222222222223</v>
      </c>
      <c r="K100" s="377"/>
      <c r="L100" s="374"/>
      <c r="N100" s="714"/>
      <c r="O100" s="721"/>
      <c r="P100" s="379"/>
    </row>
    <row r="101" spans="1:16" ht="27.75">
      <c r="A101" s="1392" t="s">
        <v>21</v>
      </c>
      <c r="B101" s="1393"/>
      <c r="C101" s="1393"/>
      <c r="D101" s="518" t="s">
        <v>209</v>
      </c>
      <c r="E101" s="479">
        <f>'17'!F101</f>
        <v>5250</v>
      </c>
      <c r="F101" s="473">
        <v>5254</v>
      </c>
      <c r="G101" s="468">
        <f t="shared" si="10"/>
        <v>4</v>
      </c>
      <c r="H101" s="455">
        <f>G101+'17'!H101</f>
        <v>-137</v>
      </c>
      <c r="I101" s="475"/>
      <c r="J101" s="547">
        <f>H101/DAY(B2)</f>
        <v>-7.6111111111111107</v>
      </c>
      <c r="K101" s="377"/>
      <c r="L101" s="374"/>
      <c r="N101" s="714"/>
      <c r="O101" s="721"/>
      <c r="P101" s="379"/>
    </row>
    <row r="102" spans="1:16">
      <c r="A102" s="1447" t="s">
        <v>277</v>
      </c>
      <c r="B102" s="1448"/>
      <c r="C102" s="1449"/>
      <c r="D102" s="519"/>
      <c r="E102" s="479"/>
      <c r="F102" s="519"/>
      <c r="G102" s="520">
        <f>SUM(G96:G101)</f>
        <v>63</v>
      </c>
      <c r="H102" s="455">
        <f>G102+'17'!H102</f>
        <v>-1357</v>
      </c>
      <c r="I102" s="521"/>
      <c r="J102" s="547">
        <f>H102/DAY(B2)</f>
        <v>-75.388888888888886</v>
      </c>
      <c r="K102" s="377"/>
      <c r="L102" s="374"/>
      <c r="N102" s="714"/>
      <c r="O102" s="721"/>
      <c r="P102" s="379"/>
    </row>
    <row r="103" spans="1:16" s="437" customFormat="1" ht="27">
      <c r="A103" s="602" t="s">
        <v>278</v>
      </c>
      <c r="B103" s="603"/>
      <c r="C103" s="603"/>
      <c r="D103" s="616"/>
      <c r="E103" s="479"/>
      <c r="F103" s="653"/>
      <c r="G103" s="524"/>
      <c r="H103" s="525"/>
      <c r="I103" s="526"/>
      <c r="J103" s="552"/>
      <c r="N103" s="714"/>
      <c r="O103" s="721"/>
      <c r="P103" s="379"/>
    </row>
    <row r="104" spans="1:16" s="437" customFormat="1" ht="27.75">
      <c r="A104" s="1456" t="s">
        <v>279</v>
      </c>
      <c r="B104" s="1457"/>
      <c r="C104" s="568"/>
      <c r="D104" s="617"/>
      <c r="E104" s="479"/>
      <c r="F104" s="654"/>
      <c r="G104" s="527"/>
      <c r="H104" s="528"/>
      <c r="I104" s="527"/>
      <c r="J104" s="553"/>
      <c r="N104" s="714"/>
      <c r="O104" s="721"/>
      <c r="P104" s="379"/>
    </row>
    <row r="105" spans="1:16" s="437" customFormat="1" ht="27.75">
      <c r="A105" s="1458" t="s">
        <v>22</v>
      </c>
      <c r="B105" s="1459"/>
      <c r="C105" s="1391"/>
      <c r="D105" s="617" t="s">
        <v>209</v>
      </c>
      <c r="E105" s="479">
        <f>'17'!F105</f>
        <v>7473</v>
      </c>
      <c r="F105" s="654">
        <v>7473</v>
      </c>
      <c r="G105" s="527">
        <f>F105-E105</f>
        <v>0</v>
      </c>
      <c r="H105" s="528">
        <f>SUM(G105+'1'!G76)</f>
        <v>57</v>
      </c>
      <c r="I105" s="527"/>
      <c r="J105" s="553">
        <f>H105/DAY(B2)</f>
        <v>3.1666666666666665</v>
      </c>
      <c r="N105" s="714"/>
      <c r="O105" s="721"/>
      <c r="P105" s="379"/>
    </row>
    <row r="106" spans="1:16" s="437" customFormat="1" ht="27.75">
      <c r="A106" s="1458" t="s">
        <v>23</v>
      </c>
      <c r="B106" s="1459"/>
      <c r="C106" s="1391"/>
      <c r="D106" s="617" t="s">
        <v>209</v>
      </c>
      <c r="E106" s="479">
        <f>'17'!F106</f>
        <v>35889</v>
      </c>
      <c r="F106" s="655">
        <v>35889</v>
      </c>
      <c r="G106" s="527">
        <f t="shared" ref="G106:G107" si="11">F106-E106</f>
        <v>0</v>
      </c>
      <c r="H106" s="528">
        <f>SUM(G106+'1'!G77)</f>
        <v>49</v>
      </c>
      <c r="I106" s="527"/>
      <c r="J106" s="553">
        <f>H106/DAY(B2)</f>
        <v>2.7222222222222223</v>
      </c>
      <c r="N106" s="714"/>
      <c r="O106" s="721"/>
      <c r="P106" s="379"/>
    </row>
    <row r="107" spans="1:16" s="437" customFormat="1" ht="27.75">
      <c r="A107" s="1458" t="s">
        <v>24</v>
      </c>
      <c r="B107" s="1460"/>
      <c r="C107" s="1459"/>
      <c r="D107" s="617" t="s">
        <v>209</v>
      </c>
      <c r="E107" s="479">
        <f>'17'!F107</f>
        <v>19669</v>
      </c>
      <c r="F107" s="655">
        <v>19671</v>
      </c>
      <c r="G107" s="527">
        <f t="shared" si="11"/>
        <v>2</v>
      </c>
      <c r="H107" s="528">
        <f>SUM(G107+'1'!G78)</f>
        <v>57</v>
      </c>
      <c r="I107" s="527"/>
      <c r="J107" s="553">
        <f>H107/DAY(B2)</f>
        <v>3.1666666666666665</v>
      </c>
      <c r="N107" s="714"/>
      <c r="O107" s="721"/>
      <c r="P107" s="379"/>
    </row>
    <row r="108" spans="1:16" s="437" customFormat="1" ht="27.75">
      <c r="A108" s="1461" t="s">
        <v>102</v>
      </c>
      <c r="B108" s="1462"/>
      <c r="C108" s="1391"/>
      <c r="D108" s="617"/>
      <c r="E108" s="479">
        <f>'17'!F108</f>
        <v>0</v>
      </c>
      <c r="F108" s="655"/>
      <c r="G108" s="527">
        <f>SUM(G105:G107)</f>
        <v>2</v>
      </c>
      <c r="H108" s="528">
        <f>SUM(G108+'1'!G79)</f>
        <v>157</v>
      </c>
      <c r="I108" s="527"/>
      <c r="J108" s="553">
        <f>H108/DAY(B2)</f>
        <v>8.7222222222222214</v>
      </c>
      <c r="N108" s="714"/>
      <c r="O108" s="721"/>
      <c r="P108" s="379"/>
    </row>
    <row r="109" spans="1:16" s="437" customFormat="1" ht="27.75">
      <c r="A109" s="1463" t="s">
        <v>120</v>
      </c>
      <c r="B109" s="1464"/>
      <c r="C109" s="1391"/>
      <c r="D109" s="617" t="s">
        <v>209</v>
      </c>
      <c r="E109" s="479">
        <f>'17'!F109</f>
        <v>0</v>
      </c>
      <c r="F109" s="655"/>
      <c r="G109" s="527"/>
      <c r="H109" s="528"/>
      <c r="I109" s="527"/>
      <c r="J109" s="553"/>
      <c r="N109" s="714"/>
      <c r="O109" s="721"/>
      <c r="P109" s="379"/>
    </row>
    <row r="110" spans="1:16" s="437" customFormat="1" ht="27.75">
      <c r="A110" s="1458" t="s">
        <v>25</v>
      </c>
      <c r="B110" s="1459"/>
      <c r="C110" s="1391"/>
      <c r="D110" s="617" t="s">
        <v>209</v>
      </c>
      <c r="E110" s="479">
        <f>'17'!F110</f>
        <v>62039</v>
      </c>
      <c r="F110" s="655">
        <v>62112</v>
      </c>
      <c r="G110" s="527">
        <f>F110-E110</f>
        <v>73</v>
      </c>
      <c r="H110" s="528">
        <f>SUM(G110+'1'!G81)</f>
        <v>167</v>
      </c>
      <c r="I110" s="527"/>
      <c r="J110" s="553">
        <f>H110/DAY(B2)</f>
        <v>9.2777777777777786</v>
      </c>
      <c r="N110" s="714"/>
      <c r="O110" s="721"/>
      <c r="P110" s="379"/>
    </row>
    <row r="111" spans="1:16" s="437" customFormat="1" ht="27.75">
      <c r="A111" s="1458" t="s">
        <v>26</v>
      </c>
      <c r="B111" s="1459"/>
      <c r="C111" s="1391"/>
      <c r="D111" s="617" t="s">
        <v>209</v>
      </c>
      <c r="E111" s="479">
        <f>'17'!F111</f>
        <v>32401</v>
      </c>
      <c r="F111" s="655">
        <v>32401</v>
      </c>
      <c r="G111" s="527">
        <f t="shared" ref="G111:G112" si="12">F111-E111</f>
        <v>0</v>
      </c>
      <c r="H111" s="528">
        <f>SUM(G111+'1'!G82)</f>
        <v>11</v>
      </c>
      <c r="I111" s="527"/>
      <c r="J111" s="553">
        <f>H111/DAY(B2)</f>
        <v>0.61111111111111116</v>
      </c>
      <c r="N111" s="714"/>
      <c r="O111" s="721"/>
      <c r="P111" s="379"/>
    </row>
    <row r="112" spans="1:16" s="437" customFormat="1" ht="27.75">
      <c r="A112" s="1458" t="s">
        <v>27</v>
      </c>
      <c r="B112" s="1459"/>
      <c r="C112" s="1391"/>
      <c r="D112" s="617" t="s">
        <v>209</v>
      </c>
      <c r="E112" s="479">
        <f>'17'!F112</f>
        <v>4509</v>
      </c>
      <c r="F112" s="655">
        <v>4513</v>
      </c>
      <c r="G112" s="527">
        <f t="shared" si="12"/>
        <v>4</v>
      </c>
      <c r="H112" s="528">
        <f>SUM(G112+'1'!G83)</f>
        <v>156</v>
      </c>
      <c r="I112" s="527"/>
      <c r="J112" s="553">
        <f>H112/DAY(B2)</f>
        <v>8.6666666666666661</v>
      </c>
      <c r="N112" s="714"/>
      <c r="O112" s="721"/>
      <c r="P112" s="379"/>
    </row>
    <row r="113" spans="1:16" s="437" customFormat="1" ht="27.75">
      <c r="A113" s="1461" t="s">
        <v>174</v>
      </c>
      <c r="B113" s="1462"/>
      <c r="C113" s="1391"/>
      <c r="D113" s="617"/>
      <c r="E113" s="479">
        <f>'17'!F113</f>
        <v>0</v>
      </c>
      <c r="F113" s="655"/>
      <c r="G113" s="527">
        <f>SUM(G110:G112)</f>
        <v>77</v>
      </c>
      <c r="H113" s="528">
        <f>SUM(G113+'1'!G84)</f>
        <v>904</v>
      </c>
      <c r="I113" s="527"/>
      <c r="J113" s="553">
        <f>H113/DAY(B2)</f>
        <v>50.222222222222221</v>
      </c>
      <c r="N113" s="714"/>
      <c r="O113" s="721"/>
      <c r="P113" s="379"/>
    </row>
    <row r="114" spans="1:16" s="437" customFormat="1" ht="27.75">
      <c r="A114" s="1463" t="s">
        <v>280</v>
      </c>
      <c r="B114" s="1464"/>
      <c r="C114" s="1391"/>
      <c r="D114" s="617"/>
      <c r="E114" s="479">
        <f>'17'!F114</f>
        <v>0</v>
      </c>
      <c r="F114" s="655"/>
      <c r="G114" s="527"/>
      <c r="H114" s="528"/>
      <c r="I114" s="527"/>
      <c r="J114" s="553">
        <f>H114/DAY(B2)</f>
        <v>0</v>
      </c>
      <c r="N114" s="714"/>
      <c r="O114" s="721"/>
      <c r="P114" s="379"/>
    </row>
    <row r="115" spans="1:16" s="437" customFormat="1" ht="27.75">
      <c r="A115" s="1458" t="s">
        <v>28</v>
      </c>
      <c r="B115" s="1459"/>
      <c r="C115" s="569"/>
      <c r="D115" s="617" t="s">
        <v>209</v>
      </c>
      <c r="E115" s="479">
        <f>'17'!F115</f>
        <v>11389</v>
      </c>
      <c r="F115" s="655">
        <v>11399</v>
      </c>
      <c r="G115" s="529">
        <f>F115-E115</f>
        <v>10</v>
      </c>
      <c r="H115" s="528">
        <f>SUM(G115+'1'!G92)</f>
        <v>10</v>
      </c>
      <c r="I115" s="527"/>
      <c r="J115" s="553">
        <f>H115/DAY(B2)</f>
        <v>0.55555555555555558</v>
      </c>
      <c r="N115" s="714"/>
      <c r="O115" s="721"/>
      <c r="P115" s="379"/>
    </row>
    <row r="116" spans="1:16" s="437" customFormat="1" ht="27.75">
      <c r="A116" s="1458" t="s">
        <v>29</v>
      </c>
      <c r="B116" s="1459"/>
      <c r="C116" s="569"/>
      <c r="D116" s="617" t="s">
        <v>209</v>
      </c>
      <c r="E116" s="479">
        <f>'17'!F116</f>
        <v>8214</v>
      </c>
      <c r="F116" s="655">
        <v>8214</v>
      </c>
      <c r="G116" s="529">
        <f t="shared" ref="G116:G117" si="13">F116-E116</f>
        <v>0</v>
      </c>
      <c r="H116" s="528">
        <f>SUM(G116+'1'!G93)</f>
        <v>18</v>
      </c>
      <c r="I116" s="527"/>
      <c r="J116" s="553">
        <f>H116/DAY(B2)</f>
        <v>1</v>
      </c>
      <c r="N116" s="714"/>
      <c r="O116" s="721"/>
      <c r="P116" s="379"/>
    </row>
    <row r="117" spans="1:16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528">
        <f>SUM(G117+'1'!G94)</f>
        <v>58</v>
      </c>
      <c r="I117" s="527"/>
      <c r="J117" s="553">
        <f>H117/DAY(B2)</f>
        <v>3.2222222222222223</v>
      </c>
      <c r="N117" s="714"/>
      <c r="O117" s="721"/>
      <c r="P117" s="379"/>
    </row>
    <row r="118" spans="1:16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10</v>
      </c>
      <c r="H118" s="528">
        <f>SUM(G118+'1'!G96)</f>
        <v>50</v>
      </c>
      <c r="I118" s="529"/>
      <c r="J118" s="553">
        <f>H118/DAY(B2)</f>
        <v>2.7777777777777777</v>
      </c>
      <c r="N118" s="714"/>
      <c r="O118" s="721"/>
      <c r="P118" s="379"/>
    </row>
    <row r="119" spans="1:16" s="441" customFormat="1" ht="27.75">
      <c r="A119" s="1492" t="s">
        <v>282</v>
      </c>
      <c r="B119" s="1493"/>
      <c r="C119" s="1389"/>
      <c r="D119" s="619" t="s">
        <v>209</v>
      </c>
      <c r="E119" s="531"/>
      <c r="F119" s="656">
        <f>SUM(G19+G93)</f>
        <v>105</v>
      </c>
      <c r="G119" s="531">
        <f>SUM(G19+G93)</f>
        <v>105</v>
      </c>
      <c r="H119" s="528">
        <f>SUM(G119+'1'!G97)</f>
        <v>118</v>
      </c>
      <c r="I119" s="530"/>
      <c r="J119" s="554">
        <f>H119/DAY(B2)</f>
        <v>6.5555555555555554</v>
      </c>
      <c r="N119" s="714"/>
      <c r="O119" s="721"/>
      <c r="P119" s="379"/>
    </row>
    <row r="120" spans="1:16" s="441" customFormat="1" ht="27.75">
      <c r="A120" s="1492" t="s">
        <v>283</v>
      </c>
      <c r="B120" s="1493"/>
      <c r="C120" s="1389"/>
      <c r="D120" s="619" t="s">
        <v>209</v>
      </c>
      <c r="E120" s="531"/>
      <c r="F120" s="656">
        <f>SUM(G96,G97,G98,G100,G101)</f>
        <v>59</v>
      </c>
      <c r="G120" s="531">
        <f>SUM(G96,G97,G98,G100,G101)</f>
        <v>59</v>
      </c>
      <c r="H120" s="528">
        <f>SUM(G120+'1'!G99)</f>
        <v>66</v>
      </c>
      <c r="I120" s="530"/>
      <c r="J120" s="554">
        <f>H120/DAY(B2)</f>
        <v>3.6666666666666665</v>
      </c>
      <c r="N120" s="714"/>
      <c r="O120" s="721"/>
      <c r="P120" s="379"/>
    </row>
    <row r="121" spans="1:16" s="441" customFormat="1" ht="27.75">
      <c r="A121" s="1492" t="s">
        <v>284</v>
      </c>
      <c r="B121" s="1493"/>
      <c r="C121" s="1389"/>
      <c r="D121" s="619" t="s">
        <v>209</v>
      </c>
      <c r="E121" s="529"/>
      <c r="F121" s="655">
        <f>SUM(G113)</f>
        <v>77</v>
      </c>
      <c r="G121" s="529">
        <f>SUM(G113)</f>
        <v>77</v>
      </c>
      <c r="H121" s="528">
        <f>SUM(G121+'1'!G101)</f>
        <v>81</v>
      </c>
      <c r="I121" s="530"/>
      <c r="J121" s="554">
        <f>H121/DAY(B2)</f>
        <v>4.5</v>
      </c>
      <c r="N121" s="714"/>
      <c r="O121" s="721"/>
      <c r="P121" s="379"/>
    </row>
    <row r="122" spans="1:16" s="437" customFormat="1" ht="27.75">
      <c r="A122" s="1494"/>
      <c r="B122" s="1495"/>
      <c r="C122" s="1390"/>
      <c r="D122" s="555"/>
      <c r="E122" s="555"/>
      <c r="F122" s="657" t="s">
        <v>182</v>
      </c>
      <c r="G122" s="555"/>
      <c r="H122" s="556"/>
      <c r="I122" s="555"/>
      <c r="J122" s="557"/>
      <c r="N122" s="714"/>
      <c r="O122" s="721"/>
      <c r="P122" s="379"/>
    </row>
    <row r="123" spans="1:16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714"/>
      <c r="O123" s="721"/>
      <c r="P123" s="379"/>
    </row>
    <row r="124" spans="1:16" ht="27.75">
      <c r="A124" s="1392" t="s">
        <v>286</v>
      </c>
      <c r="B124" s="1393"/>
      <c r="C124" s="1393"/>
      <c r="D124" s="518" t="s">
        <v>206</v>
      </c>
      <c r="E124" s="473">
        <f>'17'!F124</f>
        <v>829552</v>
      </c>
      <c r="F124" s="473">
        <v>829747</v>
      </c>
      <c r="G124" s="468">
        <f t="shared" ref="G124:G128" si="14">F124-E124</f>
        <v>195</v>
      </c>
      <c r="H124" s="455">
        <f>G124+'17'!H124</f>
        <v>-2619</v>
      </c>
      <c r="I124" s="521"/>
      <c r="J124" s="547">
        <f>H124/DAY(B2)</f>
        <v>-145.5</v>
      </c>
      <c r="K124" s="377"/>
      <c r="L124" s="374"/>
      <c r="N124" s="714"/>
      <c r="O124" s="721"/>
      <c r="P124" s="379"/>
    </row>
    <row r="125" spans="1:16" ht="27.75">
      <c r="A125" s="1392" t="s">
        <v>287</v>
      </c>
      <c r="B125" s="1393"/>
      <c r="C125" s="1393"/>
      <c r="D125" s="518" t="s">
        <v>206</v>
      </c>
      <c r="E125" s="473">
        <f>'17'!F125</f>
        <v>73583.399999999994</v>
      </c>
      <c r="F125" s="621">
        <v>73583.399999999994</v>
      </c>
      <c r="G125" s="468">
        <f t="shared" si="14"/>
        <v>0</v>
      </c>
      <c r="H125" s="455">
        <f>G125+'17'!H125</f>
        <v>0</v>
      </c>
      <c r="I125" s="521"/>
      <c r="J125" s="547">
        <f>H125/DAY(B2)</f>
        <v>0</v>
      </c>
      <c r="K125" s="377"/>
      <c r="L125" s="374"/>
      <c r="N125" s="714"/>
      <c r="O125" s="721"/>
      <c r="P125" s="379"/>
    </row>
    <row r="126" spans="1:16" ht="27.75">
      <c r="A126" s="1450" t="s">
        <v>288</v>
      </c>
      <c r="B126" s="1451"/>
      <c r="C126" s="1452"/>
      <c r="D126" s="518" t="s">
        <v>206</v>
      </c>
      <c r="E126" s="473">
        <f>'17'!F126</f>
        <v>145639</v>
      </c>
      <c r="F126" s="473">
        <v>145684</v>
      </c>
      <c r="G126" s="468">
        <f t="shared" si="14"/>
        <v>45</v>
      </c>
      <c r="H126" s="455">
        <f>G126+'17'!H126</f>
        <v>-807</v>
      </c>
      <c r="I126" s="521"/>
      <c r="J126" s="547">
        <f>H126/DAY(B2)</f>
        <v>-44.833333333333336</v>
      </c>
      <c r="K126" s="377"/>
      <c r="L126" s="374"/>
      <c r="N126" s="714"/>
      <c r="O126" s="721"/>
      <c r="P126" s="379"/>
    </row>
    <row r="127" spans="1:16" ht="27.75">
      <c r="A127" s="604" t="s">
        <v>289</v>
      </c>
      <c r="B127" s="1393"/>
      <c r="C127" s="1393"/>
      <c r="D127" s="518" t="s">
        <v>206</v>
      </c>
      <c r="E127" s="473">
        <f>'17'!F127</f>
        <v>31404</v>
      </c>
      <c r="F127" s="621">
        <v>31404</v>
      </c>
      <c r="G127" s="468">
        <f t="shared" si="14"/>
        <v>0</v>
      </c>
      <c r="H127" s="455">
        <f>G127+'17'!H127</f>
        <v>-2</v>
      </c>
      <c r="I127" s="521"/>
      <c r="J127" s="547">
        <f>H127/DAY(B2)</f>
        <v>-0.1111111111111111</v>
      </c>
      <c r="K127" s="377"/>
      <c r="L127" s="374"/>
      <c r="N127" s="714"/>
      <c r="O127" s="721"/>
      <c r="P127" s="379"/>
    </row>
    <row r="128" spans="1:16" ht="27.75">
      <c r="A128" s="604" t="s">
        <v>290</v>
      </c>
      <c r="B128" s="1393"/>
      <c r="C128" s="1393"/>
      <c r="D128" s="518" t="s">
        <v>206</v>
      </c>
      <c r="E128" s="473">
        <f>'17'!F128</f>
        <v>8971</v>
      </c>
      <c r="F128" s="621">
        <v>8971</v>
      </c>
      <c r="G128" s="468">
        <f t="shared" si="14"/>
        <v>0</v>
      </c>
      <c r="H128" s="455">
        <f>G128+'17'!H128</f>
        <v>-1</v>
      </c>
      <c r="I128" s="475"/>
      <c r="J128" s="547">
        <f>H128/DAY(B2)</f>
        <v>-5.5555555555555552E-2</v>
      </c>
      <c r="K128" s="377"/>
      <c r="L128" s="374"/>
      <c r="N128" s="714"/>
      <c r="O128" s="721"/>
      <c r="P128" s="379"/>
    </row>
    <row r="129" spans="1:16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310</v>
      </c>
      <c r="H129" s="455">
        <f>G129+'17'!H129</f>
        <v>884</v>
      </c>
      <c r="I129" s="475"/>
      <c r="J129" s="547">
        <f>H129/DAY(B2)</f>
        <v>49.111111111111114</v>
      </c>
      <c r="K129" s="361"/>
      <c r="L129" s="289"/>
      <c r="N129" s="714"/>
      <c r="O129" s="721"/>
      <c r="P129" s="379"/>
    </row>
    <row r="130" spans="1:16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714"/>
      <c r="O130" s="721"/>
      <c r="P130" s="379"/>
    </row>
    <row r="131" spans="1:16" ht="27.75">
      <c r="A131" s="1392" t="s">
        <v>293</v>
      </c>
      <c r="B131" s="1393"/>
      <c r="C131" s="1393"/>
      <c r="D131" s="518" t="s">
        <v>294</v>
      </c>
      <c r="E131" s="479">
        <f>'17'!F131</f>
        <v>0</v>
      </c>
      <c r="F131" s="473">
        <v>0</v>
      </c>
      <c r="G131" s="468">
        <f t="shared" ref="G131:G141" si="15">F131-E131</f>
        <v>0</v>
      </c>
      <c r="H131" s="455">
        <f>G131+'17'!H131</f>
        <v>0</v>
      </c>
      <c r="I131" s="475"/>
      <c r="J131" s="547">
        <f>H131/DAY(B2)</f>
        <v>0</v>
      </c>
      <c r="N131" s="714"/>
      <c r="O131" s="721"/>
      <c r="P131" s="379"/>
    </row>
    <row r="132" spans="1:16" ht="27.75">
      <c r="A132" s="1392" t="s">
        <v>295</v>
      </c>
      <c r="B132" s="1393"/>
      <c r="C132" s="1393"/>
      <c r="D132" s="518" t="s">
        <v>294</v>
      </c>
      <c r="E132" s="479">
        <f>'17'!F132</f>
        <v>0</v>
      </c>
      <c r="F132" s="473">
        <v>0</v>
      </c>
      <c r="G132" s="468">
        <f t="shared" si="15"/>
        <v>0</v>
      </c>
      <c r="H132" s="455">
        <f>G132+'17'!H132</f>
        <v>0</v>
      </c>
      <c r="I132" s="475"/>
      <c r="J132" s="547">
        <f>H132/DAY(B2)</f>
        <v>0</v>
      </c>
      <c r="N132" s="714"/>
      <c r="O132" s="721"/>
      <c r="P132" s="379"/>
    </row>
    <row r="133" spans="1:16" ht="27.75">
      <c r="A133" s="1392" t="s">
        <v>296</v>
      </c>
      <c r="B133" s="1393"/>
      <c r="C133" s="1393"/>
      <c r="D133" s="518" t="s">
        <v>294</v>
      </c>
      <c r="E133" s="479">
        <f>'17'!F133</f>
        <v>40031.519999999997</v>
      </c>
      <c r="F133" s="647">
        <v>40031.519999999997</v>
      </c>
      <c r="G133" s="468">
        <v>0</v>
      </c>
      <c r="H133" s="455">
        <f>G133+'17'!H133</f>
        <v>-3.5800000000017462</v>
      </c>
      <c r="I133" s="475"/>
      <c r="J133" s="547">
        <f>H133/DAY(B2)</f>
        <v>-0.1988888888889859</v>
      </c>
      <c r="N133" s="714"/>
      <c r="O133" s="721"/>
      <c r="P133" s="379"/>
    </row>
    <row r="134" spans="1:16" ht="27.75">
      <c r="A134" s="1392" t="s">
        <v>297</v>
      </c>
      <c r="B134" s="1393"/>
      <c r="C134" s="1393"/>
      <c r="D134" s="518" t="s">
        <v>294</v>
      </c>
      <c r="E134" s="479">
        <f>'17'!F134</f>
        <v>300</v>
      </c>
      <c r="F134" s="621">
        <v>300</v>
      </c>
      <c r="G134" s="468">
        <f t="shared" si="15"/>
        <v>0</v>
      </c>
      <c r="H134" s="455">
        <f>G134+'17'!H134</f>
        <v>0</v>
      </c>
      <c r="I134" s="475">
        <f>G131+G132+G133+G134</f>
        <v>0</v>
      </c>
      <c r="J134" s="547">
        <f>H134/DAY(B2)</f>
        <v>0</v>
      </c>
      <c r="N134" s="714"/>
      <c r="O134" s="721"/>
      <c r="P134" s="379"/>
    </row>
    <row r="135" spans="1:16" ht="27.75">
      <c r="A135" s="1392" t="s">
        <v>298</v>
      </c>
      <c r="B135" s="1393"/>
      <c r="C135" s="1393"/>
      <c r="D135" s="518" t="s">
        <v>294</v>
      </c>
      <c r="E135" s="479">
        <f>'17'!F135</f>
        <v>41517.1</v>
      </c>
      <c r="F135" s="621">
        <v>41541</v>
      </c>
      <c r="G135" s="468">
        <f t="shared" si="15"/>
        <v>23.900000000001455</v>
      </c>
      <c r="H135" s="455">
        <f>G135+'17'!H135</f>
        <v>-189</v>
      </c>
      <c r="I135" s="475"/>
      <c r="J135" s="547">
        <f>H135/DAY(B2)</f>
        <v>-10.5</v>
      </c>
      <c r="N135" s="714"/>
      <c r="O135" s="721"/>
      <c r="P135" s="379"/>
    </row>
    <row r="136" spans="1:16" ht="27.75">
      <c r="A136" s="1392" t="s">
        <v>299</v>
      </c>
      <c r="B136" s="1393"/>
      <c r="C136" s="1393"/>
      <c r="D136" s="518" t="s">
        <v>294</v>
      </c>
      <c r="E136" s="479">
        <f>'17'!F136</f>
        <v>32582.98</v>
      </c>
      <c r="F136" s="647">
        <v>32582.98</v>
      </c>
      <c r="G136" s="468">
        <f t="shared" si="15"/>
        <v>0</v>
      </c>
      <c r="H136" s="455">
        <f>G136+'17'!H136</f>
        <v>-132.02000000000044</v>
      </c>
      <c r="I136" s="475"/>
      <c r="J136" s="547">
        <f>H136/DAY(B2)</f>
        <v>-7.3344444444444683</v>
      </c>
      <c r="N136" s="714"/>
      <c r="O136" s="721"/>
      <c r="P136" s="379"/>
    </row>
    <row r="137" spans="1:16" ht="27.75">
      <c r="A137" s="1392" t="s">
        <v>300</v>
      </c>
      <c r="B137" s="1393"/>
      <c r="C137" s="1393"/>
      <c r="D137" s="518" t="s">
        <v>294</v>
      </c>
      <c r="E137" s="479">
        <f>'17'!F137</f>
        <v>22773.200000000001</v>
      </c>
      <c r="F137" s="647">
        <v>22773.200000000001</v>
      </c>
      <c r="G137" s="468">
        <f t="shared" si="15"/>
        <v>0</v>
      </c>
      <c r="H137" s="455">
        <f>G137+'17'!H137</f>
        <v>-34.040000000000873</v>
      </c>
      <c r="I137" s="475">
        <f>G135+G136+G137</f>
        <v>23.900000000001455</v>
      </c>
      <c r="J137" s="547">
        <f>H137/DAY(B2)</f>
        <v>-1.8911111111111596</v>
      </c>
      <c r="N137" s="714"/>
      <c r="O137" s="721"/>
      <c r="P137" s="379"/>
    </row>
    <row r="138" spans="1:16" ht="27.75">
      <c r="A138" s="1392" t="s">
        <v>301</v>
      </c>
      <c r="B138" s="1393"/>
      <c r="C138" s="1393"/>
      <c r="D138" s="518" t="s">
        <v>294</v>
      </c>
      <c r="E138" s="479">
        <f>'17'!F138</f>
        <v>25051.72</v>
      </c>
      <c r="F138" s="647">
        <v>25051.72</v>
      </c>
      <c r="G138" s="468">
        <f t="shared" si="15"/>
        <v>0</v>
      </c>
      <c r="H138" s="455">
        <f>G138+'17'!H138</f>
        <v>-9.9999999998544808E-2</v>
      </c>
      <c r="I138" s="475"/>
      <c r="J138" s="547">
        <f>H138/DAY(B2)</f>
        <v>-5.5555555554747116E-3</v>
      </c>
      <c r="N138" s="714"/>
      <c r="O138" s="721"/>
      <c r="P138" s="379"/>
    </row>
    <row r="139" spans="1:16" ht="27.75">
      <c r="A139" s="1392" t="s">
        <v>302</v>
      </c>
      <c r="B139" s="1393"/>
      <c r="C139" s="1393"/>
      <c r="D139" s="518" t="s">
        <v>294</v>
      </c>
      <c r="E139" s="479">
        <f>'17'!F139</f>
        <v>70361.47</v>
      </c>
      <c r="F139" s="647">
        <v>70370</v>
      </c>
      <c r="G139" s="468">
        <f t="shared" si="15"/>
        <v>8.5299999999988358</v>
      </c>
      <c r="H139" s="455">
        <f>G139+'17'!H139</f>
        <v>-41.740000000005239</v>
      </c>
      <c r="I139" s="475">
        <f>G138+G139</f>
        <v>8.5299999999988358</v>
      </c>
      <c r="J139" s="547">
        <f>H139/DAY(B2)</f>
        <v>-2.3188888888891799</v>
      </c>
      <c r="N139" s="714"/>
      <c r="O139" s="721"/>
      <c r="P139" s="379"/>
    </row>
    <row r="140" spans="1:16" ht="27.75">
      <c r="A140" s="1392" t="s">
        <v>303</v>
      </c>
      <c r="B140" s="1393"/>
      <c r="C140" s="1393"/>
      <c r="D140" s="518" t="s">
        <v>294</v>
      </c>
      <c r="E140" s="479">
        <f>'17'!F140</f>
        <v>1747.53</v>
      </c>
      <c r="F140" s="621">
        <v>1755.27</v>
      </c>
      <c r="G140" s="468">
        <f t="shared" si="15"/>
        <v>7.7400000000000091</v>
      </c>
      <c r="H140" s="455">
        <f>G140+'17'!H140</f>
        <v>-99.029999999999973</v>
      </c>
      <c r="I140" s="537"/>
      <c r="J140" s="547">
        <f>H140/DAY(B2)</f>
        <v>-5.5016666666666652</v>
      </c>
      <c r="N140" s="714"/>
      <c r="O140" s="721"/>
      <c r="P140" s="379"/>
    </row>
    <row r="141" spans="1:16" ht="27.75">
      <c r="A141" s="1392" t="s">
        <v>304</v>
      </c>
      <c r="B141" s="1393"/>
      <c r="C141" s="1393"/>
      <c r="D141" s="518" t="s">
        <v>294</v>
      </c>
      <c r="E141" s="479">
        <f>'17'!F141</f>
        <v>4636.88</v>
      </c>
      <c r="F141" s="473">
        <v>4636.88</v>
      </c>
      <c r="G141" s="468">
        <f t="shared" si="15"/>
        <v>0</v>
      </c>
      <c r="H141" s="455">
        <f>G141+'17'!H141</f>
        <v>-0.11999999999989086</v>
      </c>
      <c r="I141" s="537"/>
      <c r="J141" s="547">
        <f>H141/DAY(B2)</f>
        <v>-6.6666666666606034E-3</v>
      </c>
      <c r="N141" s="714"/>
      <c r="O141" s="721"/>
      <c r="P141" s="379"/>
    </row>
    <row r="142" spans="1:16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N142" s="714"/>
      <c r="O142" s="721"/>
      <c r="P142" s="379"/>
    </row>
    <row r="143" spans="1:16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3645</v>
      </c>
      <c r="H143" s="455">
        <f>G143+'17'!H143</f>
        <v>-58006.539999999994</v>
      </c>
      <c r="I143" s="475"/>
      <c r="J143" s="547">
        <f>H143/DAY(B2)</f>
        <v>-3222.5855555555554</v>
      </c>
      <c r="K143" s="377"/>
      <c r="L143" s="374"/>
      <c r="N143" s="714"/>
      <c r="O143" s="721"/>
      <c r="P143" s="379"/>
    </row>
    <row r="144" spans="1:16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0.21441176470588236</v>
      </c>
      <c r="H144" s="455">
        <f>G144+'17'!H144</f>
        <v>-3.5244558561955217</v>
      </c>
      <c r="I144" s="539"/>
      <c r="J144" s="547">
        <f>H144/DAY(B2)</f>
        <v>-0.19580310312197344</v>
      </c>
      <c r="K144" s="377"/>
      <c r="L144" s="374"/>
      <c r="N144" s="714"/>
      <c r="O144" s="721"/>
      <c r="P144" s="379"/>
    </row>
    <row r="145" spans="1:16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5084.5400000000009</v>
      </c>
      <c r="H145" s="455">
        <f>G145+'17'!H145</f>
        <v>-67557.960000000021</v>
      </c>
      <c r="I145" s="475"/>
      <c r="J145" s="547">
        <f>H145/DAY(B2)</f>
        <v>-3753.2200000000012</v>
      </c>
      <c r="K145" s="377"/>
      <c r="L145" s="374"/>
      <c r="N145" s="714"/>
      <c r="O145" s="721"/>
      <c r="P145" s="379"/>
    </row>
    <row r="146" spans="1:16" ht="27.75">
      <c r="A146" s="1453" t="s">
        <v>309</v>
      </c>
      <c r="B146" s="1454"/>
      <c r="C146" s="1455"/>
      <c r="D146" s="518" t="s">
        <v>58</v>
      </c>
      <c r="E146" s="450"/>
      <c r="F146" s="450" t="s">
        <v>338</v>
      </c>
      <c r="G146" s="538">
        <f>G145/G7</f>
        <v>0.29909058823529416</v>
      </c>
      <c r="H146" s="455">
        <f>G146+'17'!H146</f>
        <v>-4.1107988610744135</v>
      </c>
      <c r="I146" s="539"/>
      <c r="J146" s="547">
        <f>H146/DAY(B2)</f>
        <v>-0.22837771450413408</v>
      </c>
      <c r="K146" s="377"/>
      <c r="L146" s="374"/>
      <c r="N146" s="714"/>
      <c r="O146" s="721"/>
      <c r="P146" s="379"/>
    </row>
    <row r="147" spans="1:16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2625</v>
      </c>
      <c r="H147" s="455">
        <f>G147+'17'!H147</f>
        <v>-35679</v>
      </c>
      <c r="I147" s="540"/>
      <c r="J147" s="547">
        <f>H147/DAY(B2)</f>
        <v>-1982.1666666666667</v>
      </c>
      <c r="K147" s="377"/>
      <c r="L147" s="374"/>
      <c r="N147" s="714"/>
      <c r="O147" s="721"/>
      <c r="P147" s="379"/>
    </row>
    <row r="148" spans="1:16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0.15441176470588236</v>
      </c>
      <c r="H148" s="455">
        <f>G148+'17'!H148</f>
        <v>-2.1763384933279561</v>
      </c>
      <c r="I148" s="540"/>
      <c r="J148" s="547">
        <f>H148/DAY(B2)</f>
        <v>-0.12090769407377534</v>
      </c>
      <c r="N148" s="714"/>
      <c r="O148" s="721"/>
      <c r="P148" s="379"/>
    </row>
    <row r="149" spans="1:16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1081</v>
      </c>
      <c r="H149" s="455">
        <f>G149+'17'!H149</f>
        <v>-15540</v>
      </c>
      <c r="I149" s="475"/>
      <c r="J149" s="547">
        <f>H149/DAY(B2)</f>
        <v>-863.33333333333337</v>
      </c>
      <c r="K149" s="378"/>
      <c r="N149" s="714"/>
      <c r="O149" s="721"/>
      <c r="P149" s="379"/>
    </row>
    <row r="150" spans="1:16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6.3588235294117654E-2</v>
      </c>
      <c r="H150" s="455">
        <f>G150+'17'!H150</f>
        <v>-0.94631239356883967</v>
      </c>
      <c r="I150" s="540"/>
      <c r="J150" s="547">
        <f>H150/DAY(B2)</f>
        <v>-5.2572910753824427E-2</v>
      </c>
      <c r="N150" s="714"/>
      <c r="O150" s="721"/>
      <c r="P150" s="379"/>
    </row>
    <row r="151" spans="1:16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802</v>
      </c>
      <c r="H151" s="455">
        <f>G151+'17'!H151</f>
        <v>335165</v>
      </c>
      <c r="I151" s="540"/>
      <c r="J151" s="547">
        <f>H151/DAY(B2)</f>
        <v>18620.277777777777</v>
      </c>
      <c r="N151" s="714"/>
      <c r="O151" s="721"/>
      <c r="P151" s="379"/>
    </row>
    <row r="152" spans="1:16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4.7176470588235292E-2</v>
      </c>
      <c r="H152" s="455">
        <f>G152+'17'!H152</f>
        <v>19.674304468551892</v>
      </c>
      <c r="I152" s="475"/>
      <c r="J152" s="547">
        <f>H152/DAY(B2)</f>
        <v>1.0930169149195494</v>
      </c>
      <c r="N152" s="714"/>
      <c r="O152" s="721"/>
      <c r="P152" s="379"/>
    </row>
    <row r="153" spans="1:16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1254</v>
      </c>
      <c r="H153" s="455">
        <f>G153+'17'!H153</f>
        <v>-16841</v>
      </c>
      <c r="I153" s="475"/>
      <c r="J153" s="547">
        <f>H153/DAY(B2)</f>
        <v>-935.61111111111109</v>
      </c>
      <c r="N153" s="714"/>
      <c r="O153" s="721"/>
      <c r="P153" s="379"/>
    </row>
    <row r="154" spans="1:16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7.3764705882352941E-2</v>
      </c>
      <c r="H154" s="455">
        <f>G154+'17'!H154</f>
        <v>-1.0216889478390156</v>
      </c>
      <c r="I154" s="563"/>
      <c r="J154" s="564">
        <f>H154/DAY(B2)</f>
        <v>-5.6760497102167538E-2</v>
      </c>
      <c r="N154" s="714"/>
      <c r="O154" s="721"/>
      <c r="P154" s="379"/>
    </row>
    <row r="155" spans="1:16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714"/>
    </row>
    <row r="156" spans="1:16">
      <c r="N156" s="714"/>
    </row>
    <row r="157" spans="1:16">
      <c r="N157" s="714"/>
    </row>
    <row r="158" spans="1:16">
      <c r="N158" s="714"/>
    </row>
    <row r="159" spans="1:16">
      <c r="N159" s="714"/>
    </row>
    <row r="160" spans="1:16">
      <c r="N160" s="714"/>
    </row>
    <row r="161" spans="1:14">
      <c r="A161" s="790" t="s">
        <v>318</v>
      </c>
      <c r="B161" s="791"/>
      <c r="C161" s="791"/>
      <c r="D161" s="615" t="s">
        <v>253</v>
      </c>
      <c r="E161" s="517">
        <f>'17'!F161</f>
        <v>37311</v>
      </c>
      <c r="F161" s="799">
        <v>37386</v>
      </c>
      <c r="G161" s="468">
        <f t="shared" ref="G161:G166" si="16">F161-E161</f>
        <v>75</v>
      </c>
      <c r="N161" s="714"/>
    </row>
    <row r="162" spans="1:14">
      <c r="A162" s="790" t="s">
        <v>319</v>
      </c>
      <c r="B162" s="791"/>
      <c r="C162" s="791"/>
      <c r="D162" s="615" t="s">
        <v>253</v>
      </c>
      <c r="E162" s="517">
        <f>'17'!F162</f>
        <v>89400</v>
      </c>
      <c r="F162" s="799">
        <v>89789</v>
      </c>
      <c r="G162" s="468">
        <f t="shared" si="16"/>
        <v>389</v>
      </c>
      <c r="N162" s="714"/>
    </row>
    <row r="163" spans="1:14">
      <c r="A163" s="790" t="s">
        <v>320</v>
      </c>
      <c r="B163" s="791"/>
      <c r="C163" s="791"/>
      <c r="D163" s="615" t="s">
        <v>253</v>
      </c>
      <c r="E163" s="517">
        <f>'17'!F163</f>
        <v>42078</v>
      </c>
      <c r="F163" s="779">
        <v>42288</v>
      </c>
      <c r="G163" s="468">
        <f t="shared" si="16"/>
        <v>210</v>
      </c>
      <c r="N163" s="714"/>
    </row>
    <row r="164" spans="1:14">
      <c r="A164" s="790" t="s">
        <v>321</v>
      </c>
      <c r="B164" s="791"/>
      <c r="C164" s="791"/>
      <c r="D164" s="615" t="s">
        <v>253</v>
      </c>
      <c r="E164" s="517">
        <f>'17'!F164</f>
        <v>6420</v>
      </c>
      <c r="F164" s="799">
        <v>6441</v>
      </c>
      <c r="G164" s="468">
        <f t="shared" si="16"/>
        <v>21</v>
      </c>
      <c r="N164" s="714"/>
    </row>
    <row r="165" spans="1:14">
      <c r="A165" s="792" t="s">
        <v>252</v>
      </c>
      <c r="B165" s="793"/>
      <c r="C165" s="793"/>
      <c r="D165" s="615" t="s">
        <v>253</v>
      </c>
      <c r="E165" s="517">
        <f>'17'!F165</f>
        <v>20419</v>
      </c>
      <c r="F165" s="509">
        <v>20419</v>
      </c>
      <c r="G165" s="468">
        <f t="shared" si="16"/>
        <v>0</v>
      </c>
      <c r="N165" s="714"/>
    </row>
    <row r="166" spans="1:14">
      <c r="A166" s="792" t="s">
        <v>254</v>
      </c>
      <c r="B166" s="793"/>
      <c r="C166" s="793"/>
      <c r="D166" s="615" t="s">
        <v>253</v>
      </c>
      <c r="E166" s="517">
        <f>'17'!F166</f>
        <v>2423</v>
      </c>
      <c r="F166" s="509">
        <f>F63</f>
        <v>2427</v>
      </c>
      <c r="G166" s="468">
        <f t="shared" si="16"/>
        <v>4</v>
      </c>
      <c r="N166" s="714"/>
    </row>
    <row r="167" spans="1:14" ht="27.75">
      <c r="A167" s="1515" t="s">
        <v>161</v>
      </c>
      <c r="B167" s="1515"/>
      <c r="C167" s="1515"/>
      <c r="D167" s="519" t="s">
        <v>253</v>
      </c>
      <c r="E167" s="517">
        <f>'17'!F167</f>
        <v>156870</v>
      </c>
      <c r="F167" s="509">
        <f t="shared" ref="F167:F172" si="17">F64</f>
        <v>157207</v>
      </c>
      <c r="G167" s="468">
        <f>F64-E64</f>
        <v>337</v>
      </c>
      <c r="N167" s="714"/>
    </row>
    <row r="168" spans="1:14" ht="27.75">
      <c r="A168" s="1515" t="s">
        <v>162</v>
      </c>
      <c r="B168" s="1515"/>
      <c r="C168" s="1515"/>
      <c r="D168" s="519" t="s">
        <v>253</v>
      </c>
      <c r="E168" s="517">
        <f>'17'!F168</f>
        <v>157951</v>
      </c>
      <c r="F168" s="509">
        <f t="shared" si="17"/>
        <v>158219</v>
      </c>
      <c r="G168" s="468">
        <f t="shared" ref="G168:G172" si="18">F65-E65</f>
        <v>268</v>
      </c>
      <c r="N168" s="714"/>
    </row>
    <row r="169" spans="1:14" ht="27.75">
      <c r="A169" s="1515" t="s">
        <v>255</v>
      </c>
      <c r="B169" s="1515"/>
      <c r="C169" s="1515"/>
      <c r="D169" s="519" t="s">
        <v>253</v>
      </c>
      <c r="E169" s="517">
        <f>'17'!F169</f>
        <v>52979</v>
      </c>
      <c r="F169" s="509">
        <f t="shared" si="17"/>
        <v>53249</v>
      </c>
      <c r="G169" s="468">
        <f t="shared" si="18"/>
        <v>270</v>
      </c>
      <c r="N169" s="714"/>
    </row>
    <row r="170" spans="1:14" ht="27.75">
      <c r="A170" s="1515" t="s">
        <v>157</v>
      </c>
      <c r="B170" s="1515"/>
      <c r="C170" s="1515"/>
      <c r="D170" s="519" t="s">
        <v>253</v>
      </c>
      <c r="E170" s="517">
        <f>'17'!F170</f>
        <v>246395</v>
      </c>
      <c r="F170" s="509">
        <f t="shared" si="17"/>
        <v>246695</v>
      </c>
      <c r="G170" s="468">
        <f t="shared" si="18"/>
        <v>300</v>
      </c>
      <c r="N170" s="714"/>
    </row>
    <row r="171" spans="1:14" ht="27.75">
      <c r="A171" s="1515" t="s">
        <v>164</v>
      </c>
      <c r="B171" s="1515"/>
      <c r="C171" s="1515"/>
      <c r="D171" s="519" t="s">
        <v>253</v>
      </c>
      <c r="E171" s="517">
        <f>'17'!F171</f>
        <v>85321</v>
      </c>
      <c r="F171" s="509">
        <f t="shared" si="17"/>
        <v>85321</v>
      </c>
      <c r="G171" s="468">
        <f t="shared" si="18"/>
        <v>0</v>
      </c>
      <c r="N171" s="714"/>
    </row>
    <row r="172" spans="1:14" ht="27.75">
      <c r="A172" s="1515" t="s">
        <v>165</v>
      </c>
      <c r="B172" s="1515"/>
      <c r="C172" s="1515"/>
      <c r="D172" s="519" t="s">
        <v>253</v>
      </c>
      <c r="E172" s="517">
        <f>'17'!F172</f>
        <v>80272</v>
      </c>
      <c r="F172" s="509">
        <f t="shared" si="17"/>
        <v>80350</v>
      </c>
      <c r="G172" s="468">
        <f t="shared" si="18"/>
        <v>78</v>
      </c>
      <c r="N172" s="714"/>
    </row>
    <row r="173" spans="1:14">
      <c r="A173" s="794"/>
      <c r="B173" s="795"/>
      <c r="C173" s="795"/>
      <c r="D173" s="796"/>
      <c r="E173" s="796"/>
      <c r="F173" s="797"/>
      <c r="G173" s="798">
        <f>SUM(G161:G172)</f>
        <v>1952</v>
      </c>
      <c r="N173" s="714"/>
    </row>
    <row r="174" spans="1:14">
      <c r="N174" s="714"/>
    </row>
    <row r="175" spans="1:14">
      <c r="N175" s="714"/>
    </row>
    <row r="176" spans="1:14">
      <c r="N176" s="714"/>
    </row>
    <row r="177" spans="14:14">
      <c r="N177" s="714"/>
    </row>
    <row r="178" spans="14:14" ht="18.75" customHeight="1">
      <c r="N178" s="714"/>
    </row>
    <row r="179" spans="14:14" ht="23.25" customHeight="1">
      <c r="N179" s="714"/>
    </row>
    <row r="180" spans="14:14" ht="23.25" customHeight="1">
      <c r="N180" s="714"/>
    </row>
    <row r="181" spans="14:14" ht="23.25" customHeight="1">
      <c r="N181" s="714"/>
    </row>
    <row r="182" spans="14:14" ht="23.25" customHeight="1">
      <c r="N182" s="714"/>
    </row>
    <row r="183" spans="14:14" ht="23.25" customHeight="1">
      <c r="N183" s="714"/>
    </row>
    <row r="184" spans="14:14" ht="23.25" customHeight="1">
      <c r="N184" s="714"/>
    </row>
    <row r="185" spans="14:14" ht="23.25" customHeight="1">
      <c r="N185" s="714"/>
    </row>
    <row r="186" spans="14:14" ht="23.25" customHeight="1">
      <c r="N186" s="714"/>
    </row>
    <row r="187" spans="14:14" ht="23.25" customHeight="1">
      <c r="N187" s="714"/>
    </row>
    <row r="188" spans="14:14" ht="23.25" customHeight="1">
      <c r="N188" s="714"/>
    </row>
    <row r="189" spans="14:14" ht="23.25" customHeight="1">
      <c r="N189" s="714"/>
    </row>
    <row r="190" spans="14:14" ht="23.25" customHeight="1">
      <c r="N190" s="714"/>
    </row>
    <row r="191" spans="14:14" ht="23.25" customHeight="1">
      <c r="N191" s="714"/>
    </row>
    <row r="192" spans="14:14" ht="23.25" customHeight="1">
      <c r="N192" s="714"/>
    </row>
    <row r="193" spans="14:14" ht="23.25" customHeight="1">
      <c r="N193" s="714"/>
    </row>
    <row r="194" spans="14:14" ht="23.25" customHeight="1">
      <c r="N194" s="714"/>
    </row>
    <row r="195" spans="14:14" ht="23.25" customHeight="1">
      <c r="N195" s="714"/>
    </row>
    <row r="196" spans="14:14" ht="23.25" customHeight="1">
      <c r="N196" s="714"/>
    </row>
    <row r="197" spans="14:14" ht="23.25" customHeight="1">
      <c r="N197" s="714"/>
    </row>
    <row r="198" spans="14:14" ht="23.25" customHeight="1">
      <c r="N198" s="714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52" zoomScale="55" zoomScaleNormal="40" zoomScaleSheetLayoutView="55" zoomScalePageLayoutView="60" workbookViewId="0">
      <selection activeCell="A33" sqref="A33:J33"/>
    </sheetView>
  </sheetViews>
  <sheetFormatPr defaultColWidth="22.33203125" defaultRowHeight="29.25"/>
  <cols>
    <col min="1" max="1" width="48.44140625" style="449" customWidth="1"/>
    <col min="2" max="2" width="30.777343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349</v>
      </c>
      <c r="B2" s="1028">
        <v>44335</v>
      </c>
      <c r="C2" s="1394" t="s">
        <v>111</v>
      </c>
      <c r="D2" s="606">
        <v>0.1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27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0.84</v>
      </c>
      <c r="E4" s="459"/>
      <c r="F4" s="459"/>
      <c r="G4" s="459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5" ht="30" thickBot="1">
      <c r="A7" s="573" t="s">
        <v>197</v>
      </c>
      <c r="B7" s="574"/>
      <c r="C7" s="574"/>
      <c r="D7" s="518" t="s">
        <v>198</v>
      </c>
      <c r="E7" s="450">
        <f>'18'!F7</f>
        <v>657941</v>
      </c>
      <c r="F7" s="450">
        <f>E7+17000</f>
        <v>674941</v>
      </c>
      <c r="G7" s="468">
        <f>F7-E7</f>
        <v>17000</v>
      </c>
      <c r="H7" s="455">
        <f>G7+'18'!H7</f>
        <v>330529</v>
      </c>
      <c r="I7" s="469">
        <f>'1'!I7</f>
        <v>12000</v>
      </c>
      <c r="J7" s="547">
        <f>H7/DAY(B2)</f>
        <v>17396.263157894737</v>
      </c>
      <c r="K7" s="544"/>
      <c r="L7" s="374"/>
      <c r="N7" s="379"/>
      <c r="O7" s="379"/>
    </row>
    <row r="8" spans="1:15" ht="27.75" thickBot="1">
      <c r="A8" s="575" t="s">
        <v>199</v>
      </c>
      <c r="B8" s="576"/>
      <c r="C8" s="577"/>
      <c r="D8" s="612" t="s">
        <v>59</v>
      </c>
      <c r="E8" s="470">
        <f>'18'!F8</f>
        <v>661745</v>
      </c>
      <c r="F8" s="470">
        <f>E8+17150</f>
        <v>678895</v>
      </c>
      <c r="G8" s="471">
        <f>F8-E8</f>
        <v>17150</v>
      </c>
      <c r="H8" s="455">
        <f>G8+'18'!H8</f>
        <v>332385</v>
      </c>
      <c r="I8" s="472">
        <f>'1'!I8</f>
        <v>12000</v>
      </c>
      <c r="J8" s="547">
        <f>H8/DAY(B2)</f>
        <v>17493.947368421053</v>
      </c>
      <c r="K8" s="544"/>
      <c r="L8" s="421"/>
      <c r="M8" s="435"/>
      <c r="N8" s="379"/>
      <c r="O8" s="379"/>
    </row>
    <row r="9" spans="1:15">
      <c r="A9" s="578" t="s">
        <v>200</v>
      </c>
      <c r="B9" s="579"/>
      <c r="C9" s="579"/>
      <c r="D9" s="518" t="s">
        <v>198</v>
      </c>
      <c r="E9" s="473">
        <f>'18'!F9</f>
        <v>1779722</v>
      </c>
      <c r="F9" s="473">
        <f>E9+16950</f>
        <v>1796672</v>
      </c>
      <c r="G9" s="468">
        <f t="shared" ref="G9:G12" si="0">F9-E9</f>
        <v>16950</v>
      </c>
      <c r="H9" s="455">
        <f>G9+'18'!H9</f>
        <v>322982</v>
      </c>
      <c r="I9" s="474">
        <f>I8-J8</f>
        <v>-5493.9473684210534</v>
      </c>
      <c r="J9" s="547">
        <f>H9/DAY(B2)</f>
        <v>16999.052631578947</v>
      </c>
      <c r="K9" s="424"/>
      <c r="L9" s="374"/>
      <c r="N9" s="379"/>
      <c r="O9" s="379"/>
    </row>
    <row r="10" spans="1:15">
      <c r="A10" s="573" t="s">
        <v>201</v>
      </c>
      <c r="B10" s="574"/>
      <c r="C10" s="574"/>
      <c r="D10" s="518" t="s">
        <v>198</v>
      </c>
      <c r="E10" s="473">
        <f>'18'!F10</f>
        <v>0</v>
      </c>
      <c r="F10" s="473"/>
      <c r="G10" s="468">
        <v>0</v>
      </c>
      <c r="H10" s="455">
        <f>G10+'18'!H10</f>
        <v>-2606.13</v>
      </c>
      <c r="I10" s="475"/>
      <c r="J10" s="547">
        <f>H10/DAY(B2)</f>
        <v>-137.16473684210527</v>
      </c>
      <c r="K10" s="424"/>
      <c r="L10" s="374"/>
      <c r="N10" s="379"/>
      <c r="O10" s="379"/>
    </row>
    <row r="11" spans="1:15">
      <c r="A11" s="573" t="s">
        <v>202</v>
      </c>
      <c r="B11" s="574"/>
      <c r="C11" s="574"/>
      <c r="D11" s="518" t="s">
        <v>198</v>
      </c>
      <c r="E11" s="450">
        <f>'5'!E11</f>
        <v>37000</v>
      </c>
      <c r="F11" s="450">
        <v>37000</v>
      </c>
      <c r="G11" s="468">
        <f t="shared" si="0"/>
        <v>0</v>
      </c>
      <c r="H11" s="455">
        <f>G11+'18'!H11</f>
        <v>0</v>
      </c>
      <c r="I11" s="475"/>
      <c r="J11" s="547">
        <f>H11/DAY(B2)</f>
        <v>0</v>
      </c>
      <c r="K11" s="424"/>
      <c r="L11" s="374"/>
      <c r="N11" s="379"/>
      <c r="O11" s="379"/>
    </row>
    <row r="12" spans="1:15">
      <c r="A12" s="573" t="s">
        <v>203</v>
      </c>
      <c r="B12" s="574"/>
      <c r="C12" s="574"/>
      <c r="D12" s="518" t="s">
        <v>198</v>
      </c>
      <c r="E12" s="473">
        <f>'5'!E12</f>
        <v>40010</v>
      </c>
      <c r="F12" s="473">
        <v>40010</v>
      </c>
      <c r="G12" s="468">
        <f t="shared" si="0"/>
        <v>0</v>
      </c>
      <c r="H12" s="455">
        <f>G12+'18'!H12</f>
        <v>0</v>
      </c>
      <c r="I12" s="475"/>
      <c r="J12" s="547">
        <f>H12/DAY(B2)</f>
        <v>0</v>
      </c>
      <c r="K12" s="424"/>
      <c r="L12" s="374"/>
      <c r="N12" s="379"/>
      <c r="O12" s="379"/>
    </row>
    <row r="13" spans="1:15">
      <c r="A13" s="580" t="s">
        <v>204</v>
      </c>
      <c r="B13" s="581"/>
      <c r="C13" s="581"/>
      <c r="D13" s="518"/>
      <c r="E13" s="450"/>
      <c r="F13" s="450"/>
      <c r="G13" s="476">
        <f>G9+G10+G11+G12</f>
        <v>16950</v>
      </c>
      <c r="H13" s="455">
        <f>G13+'18'!H13</f>
        <v>303850.87</v>
      </c>
      <c r="I13" s="477">
        <f>G7-G13</f>
        <v>50</v>
      </c>
      <c r="J13" s="547">
        <f>H13/DAY(B2)</f>
        <v>15992.151052631578</v>
      </c>
      <c r="K13" s="424"/>
      <c r="L13" s="374"/>
      <c r="N13" s="379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  <c r="O14" s="379"/>
    </row>
    <row r="15" spans="1:15">
      <c r="A15" s="1392" t="s">
        <v>133</v>
      </c>
      <c r="B15" s="584"/>
      <c r="C15" s="584"/>
      <c r="D15" s="518" t="s">
        <v>206</v>
      </c>
      <c r="E15" s="479">
        <f>'18'!F15</f>
        <v>1693582</v>
      </c>
      <c r="F15" s="479">
        <f>E15+550</f>
        <v>1694132</v>
      </c>
      <c r="G15" s="775">
        <f>(F15-E15)</f>
        <v>550</v>
      </c>
      <c r="H15" s="455">
        <f>G15+'18'!H15</f>
        <v>9608</v>
      </c>
      <c r="I15" s="469">
        <v>800</v>
      </c>
      <c r="J15" s="547">
        <f>H15/DAY(B2)</f>
        <v>505.68421052631578</v>
      </c>
      <c r="K15" s="424"/>
      <c r="L15" s="374"/>
      <c r="N15" s="379"/>
      <c r="O15" s="717"/>
    </row>
    <row r="16" spans="1:15">
      <c r="A16" s="582"/>
      <c r="B16" s="583"/>
      <c r="C16" s="583"/>
      <c r="D16" s="519"/>
      <c r="E16" s="480"/>
      <c r="F16" s="480"/>
      <c r="G16" s="468"/>
      <c r="H16" s="481"/>
      <c r="I16" s="482">
        <f>I15-J15</f>
        <v>294.31578947368422</v>
      </c>
      <c r="J16" s="548"/>
      <c r="K16" s="424"/>
      <c r="L16" s="374"/>
      <c r="N16" s="379"/>
      <c r="O16" s="379"/>
    </row>
    <row r="17" spans="1:15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79">
        <f>'18'!F18</f>
        <v>0</v>
      </c>
      <c r="F18" s="479">
        <v>0</v>
      </c>
      <c r="G18" s="476">
        <f>F18*10</f>
        <v>0</v>
      </c>
      <c r="H18" s="455">
        <f>G18+'18'!H18</f>
        <v>920</v>
      </c>
      <c r="I18" s="469">
        <f>'1'!I18</f>
        <v>65</v>
      </c>
      <c r="J18" s="547">
        <f>H18/DAY(B2)</f>
        <v>48.421052631578945</v>
      </c>
      <c r="K18" s="424"/>
      <c r="L18" s="374"/>
      <c r="N18" s="379"/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79">
        <f>'18'!F19</f>
        <v>138849</v>
      </c>
      <c r="F19" s="479">
        <v>138909</v>
      </c>
      <c r="G19" s="468">
        <f t="shared" ref="G19" si="1">F19-E19</f>
        <v>60</v>
      </c>
      <c r="H19" s="455">
        <f>G19+'18'!H19</f>
        <v>-703</v>
      </c>
      <c r="I19" s="484"/>
      <c r="J19" s="547">
        <f>H19/DAY(B2)</f>
        <v>-37</v>
      </c>
      <c r="K19" s="424"/>
      <c r="L19" s="374"/>
      <c r="N19" s="379"/>
      <c r="O19" s="379"/>
    </row>
    <row r="20" spans="1:15">
      <c r="A20" s="580" t="s">
        <v>210</v>
      </c>
      <c r="B20" s="581"/>
      <c r="C20" s="581"/>
      <c r="D20" s="485"/>
      <c r="E20" s="485"/>
      <c r="F20" s="485"/>
      <c r="G20" s="486">
        <f>G18+G19</f>
        <v>60</v>
      </c>
      <c r="H20" s="455">
        <f>G20+'18'!H20</f>
        <v>217</v>
      </c>
      <c r="I20" s="487">
        <f>I18-J20</f>
        <v>53.578947368421055</v>
      </c>
      <c r="J20" s="547">
        <f>H20/DAY(B2)</f>
        <v>11.421052631578947</v>
      </c>
      <c r="K20" s="424"/>
      <c r="L20" s="374"/>
      <c r="N20" s="379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  <c r="O21" s="379"/>
    </row>
    <row r="22" spans="1:15">
      <c r="A22" s="1392" t="s">
        <v>212</v>
      </c>
      <c r="B22" s="584"/>
      <c r="C22" s="584"/>
      <c r="D22" s="518" t="s">
        <v>213</v>
      </c>
      <c r="E22" s="473">
        <v>2970</v>
      </c>
      <c r="F22" s="479">
        <v>2970</v>
      </c>
      <c r="G22" s="476">
        <f t="shared" ref="G22" si="2">(F22-E22)</f>
        <v>0</v>
      </c>
      <c r="H22" s="455">
        <v>0</v>
      </c>
      <c r="I22" s="475"/>
      <c r="J22" s="547">
        <f>H22/DAY(B2)</f>
        <v>0</v>
      </c>
      <c r="K22" s="424"/>
      <c r="L22" s="374"/>
      <c r="N22" s="379"/>
      <c r="O22" s="379"/>
    </row>
    <row r="23" spans="1:15">
      <c r="A23" s="1392" t="s">
        <v>214</v>
      </c>
      <c r="B23" s="584"/>
      <c r="C23" s="584"/>
      <c r="D23" s="518" t="s">
        <v>213</v>
      </c>
      <c r="E23" s="473">
        <v>2000</v>
      </c>
      <c r="F23" s="479">
        <v>2000</v>
      </c>
      <c r="G23" s="476">
        <v>0</v>
      </c>
      <c r="H23" s="455">
        <v>0</v>
      </c>
      <c r="I23" s="475"/>
      <c r="J23" s="547">
        <f>H23/DAY(B2)</f>
        <v>0</v>
      </c>
      <c r="K23" s="424"/>
      <c r="L23" s="374"/>
      <c r="N23" s="379"/>
      <c r="O23" s="379"/>
    </row>
    <row r="24" spans="1:15">
      <c r="A24" s="585" t="s">
        <v>215</v>
      </c>
      <c r="B24" s="586"/>
      <c r="C24" s="586"/>
      <c r="D24" s="506" t="s">
        <v>213</v>
      </c>
      <c r="E24" s="480">
        <v>4970</v>
      </c>
      <c r="F24" s="488">
        <v>4970</v>
      </c>
      <c r="G24" s="476">
        <v>0</v>
      </c>
      <c r="H24" s="455">
        <f>G24+'18'!H24</f>
        <v>0</v>
      </c>
      <c r="I24" s="475"/>
      <c r="J24" s="547">
        <f>H24/DAY(B2)</f>
        <v>0</v>
      </c>
      <c r="K24" s="424"/>
      <c r="L24" s="374"/>
      <c r="N24" s="379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439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493"/>
      <c r="H26" s="455"/>
      <c r="I26" s="494"/>
      <c r="J26" s="547"/>
      <c r="K26" s="371"/>
      <c r="L26" s="438"/>
      <c r="N26" s="439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6">
        <f>G8</f>
        <v>17150</v>
      </c>
      <c r="F27" s="496">
        <v>9</v>
      </c>
      <c r="G27" s="497">
        <f>E27*F27</f>
        <v>154350</v>
      </c>
      <c r="H27" s="455">
        <f>G27+'18'!H27</f>
        <v>2990628</v>
      </c>
      <c r="I27" s="498"/>
      <c r="J27" s="547">
        <f>H27/DAY(B2)</f>
        <v>157401.47368421053</v>
      </c>
      <c r="K27" s="370"/>
      <c r="L27" s="438"/>
      <c r="N27" s="439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6">
        <f>G15</f>
        <v>550</v>
      </c>
      <c r="F28" s="496">
        <v>52</v>
      </c>
      <c r="G28" s="497">
        <f>E28*F28</f>
        <v>28600</v>
      </c>
      <c r="H28" s="455">
        <f>G28+'18'!H28</f>
        <v>499616</v>
      </c>
      <c r="I28" s="500"/>
      <c r="J28" s="547">
        <f>H28/DAY(B2)</f>
        <v>26295.57894736842</v>
      </c>
      <c r="K28" s="370"/>
      <c r="L28" s="438"/>
      <c r="N28" s="439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496">
        <f>G24</f>
        <v>0</v>
      </c>
      <c r="F29" s="496">
        <v>69</v>
      </c>
      <c r="G29" s="497">
        <f>E29*F29</f>
        <v>0</v>
      </c>
      <c r="H29" s="455">
        <f>G29+'18'!H29</f>
        <v>8280</v>
      </c>
      <c r="I29" s="500"/>
      <c r="J29" s="547">
        <f>H29/DAY(B2)</f>
        <v>435.78947368421052</v>
      </c>
      <c r="K29" s="370"/>
      <c r="L29" s="438"/>
      <c r="N29" s="439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496">
        <f>G19</f>
        <v>60</v>
      </c>
      <c r="F30" s="496">
        <v>146</v>
      </c>
      <c r="G30" s="497">
        <f>E30*F30</f>
        <v>8760</v>
      </c>
      <c r="H30" s="455">
        <f>G30+'18'!H30</f>
        <v>-102638</v>
      </c>
      <c r="I30" s="500"/>
      <c r="J30" s="547">
        <f>H30/DAY(B2)</f>
        <v>-5402</v>
      </c>
      <c r="K30" s="370"/>
      <c r="L30" s="438"/>
      <c r="N30" s="439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496">
        <f>G18</f>
        <v>0</v>
      </c>
      <c r="F31" s="496">
        <v>80</v>
      </c>
      <c r="G31" s="497">
        <f>E31*F31</f>
        <v>0</v>
      </c>
      <c r="H31" s="455">
        <f>G31+'18'!H31</f>
        <v>73600</v>
      </c>
      <c r="I31" s="500"/>
      <c r="J31" s="547">
        <f>H31/DAY(B2)</f>
        <v>3873.6842105263158</v>
      </c>
      <c r="K31" s="370"/>
      <c r="L31" s="438"/>
      <c r="N31" s="439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503">
        <f>G27+G28+G29+G30+G31</f>
        <v>191710</v>
      </c>
      <c r="H32" s="455">
        <f>G32+'18'!H32</f>
        <v>3469486</v>
      </c>
      <c r="I32" s="504"/>
      <c r="J32" s="547">
        <f>H32/DAY(B2)</f>
        <v>182604.52631578947</v>
      </c>
      <c r="K32" s="370"/>
      <c r="L32" s="438"/>
      <c r="N32" s="439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  <c r="O33" s="379"/>
    </row>
    <row r="34" spans="1:15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379"/>
      <c r="O34" s="379"/>
    </row>
    <row r="35" spans="1:15">
      <c r="A35" s="573" t="s">
        <v>229</v>
      </c>
      <c r="B35" s="574"/>
      <c r="C35" s="574"/>
      <c r="D35" s="518" t="s">
        <v>198</v>
      </c>
      <c r="E35" s="505">
        <f>'18'!F35</f>
        <v>922104</v>
      </c>
      <c r="F35" s="505">
        <v>923755</v>
      </c>
      <c r="G35" s="468">
        <f t="shared" ref="G35:G46" si="3">F35-E35</f>
        <v>1651</v>
      </c>
      <c r="H35" s="455">
        <f>G35+'18'!H35</f>
        <v>-26733</v>
      </c>
      <c r="I35" s="450"/>
      <c r="J35" s="547">
        <f>H35/DAY(B2)</f>
        <v>-1407</v>
      </c>
      <c r="K35" s="424"/>
      <c r="L35" s="374"/>
      <c r="N35" s="379"/>
      <c r="O35" s="623"/>
    </row>
    <row r="36" spans="1:15">
      <c r="A36" s="573" t="s">
        <v>230</v>
      </c>
      <c r="B36" s="574"/>
      <c r="C36" s="574"/>
      <c r="D36" s="518" t="s">
        <v>198</v>
      </c>
      <c r="E36" s="505">
        <f>'18'!F36</f>
        <v>347065</v>
      </c>
      <c r="F36" s="505">
        <v>347065</v>
      </c>
      <c r="G36" s="468">
        <f t="shared" si="3"/>
        <v>0</v>
      </c>
      <c r="H36" s="455">
        <f>G36+'18'!H36</f>
        <v>346892</v>
      </c>
      <c r="I36" s="450"/>
      <c r="J36" s="547">
        <f>H36/DAY(B2)</f>
        <v>18257.473684210527</v>
      </c>
      <c r="K36" s="424"/>
      <c r="L36" s="374"/>
      <c r="N36" s="379"/>
      <c r="O36" s="623"/>
    </row>
    <row r="37" spans="1:15">
      <c r="A37" s="573" t="s">
        <v>231</v>
      </c>
      <c r="B37" s="574"/>
      <c r="C37" s="574"/>
      <c r="D37" s="518" t="s">
        <v>198</v>
      </c>
      <c r="E37" s="505">
        <f>'18'!F37</f>
        <v>117395</v>
      </c>
      <c r="F37" s="505">
        <v>118595</v>
      </c>
      <c r="G37" s="468">
        <f t="shared" si="3"/>
        <v>1200</v>
      </c>
      <c r="H37" s="455">
        <f>G37+'18'!H37</f>
        <v>-15641</v>
      </c>
      <c r="I37" s="450"/>
      <c r="J37" s="547">
        <f>H37/DAY(B2)</f>
        <v>-823.21052631578948</v>
      </c>
      <c r="K37" s="424"/>
      <c r="L37" s="374"/>
      <c r="N37" s="379"/>
      <c r="O37" s="379"/>
    </row>
    <row r="38" spans="1:15">
      <c r="A38" s="573" t="s">
        <v>232</v>
      </c>
      <c r="B38" s="574"/>
      <c r="C38" s="574"/>
      <c r="D38" s="518" t="s">
        <v>198</v>
      </c>
      <c r="E38" s="464">
        <f>'18'!F38</f>
        <v>140865</v>
      </c>
      <c r="F38" s="464">
        <v>141864</v>
      </c>
      <c r="G38" s="468">
        <f t="shared" si="3"/>
        <v>999</v>
      </c>
      <c r="H38" s="455">
        <f>G38+'18'!H38</f>
        <v>-14541</v>
      </c>
      <c r="I38" s="450"/>
      <c r="J38" s="547">
        <f>H38/DAY(B2)</f>
        <v>-765.31578947368416</v>
      </c>
      <c r="K38" s="424"/>
      <c r="L38" s="374"/>
      <c r="N38" s="379"/>
      <c r="O38" s="379"/>
    </row>
    <row r="39" spans="1:15">
      <c r="A39" s="573" t="s">
        <v>233</v>
      </c>
      <c r="B39" s="574"/>
      <c r="C39" s="574"/>
      <c r="D39" s="518" t="s">
        <v>198</v>
      </c>
      <c r="E39" s="505">
        <f>'18'!F39</f>
        <v>279594</v>
      </c>
      <c r="F39" s="505">
        <v>281607</v>
      </c>
      <c r="G39" s="468">
        <f t="shared" si="3"/>
        <v>2013</v>
      </c>
      <c r="H39" s="455">
        <f>G39+'18'!H39</f>
        <v>-26566</v>
      </c>
      <c r="I39" s="450"/>
      <c r="J39" s="547">
        <f>H39/DAY(B2)</f>
        <v>-1398.2105263157894</v>
      </c>
      <c r="K39" s="424"/>
      <c r="L39" s="374"/>
      <c r="N39" s="379"/>
      <c r="O39" s="379"/>
    </row>
    <row r="40" spans="1:15">
      <c r="A40" s="594" t="s">
        <v>234</v>
      </c>
      <c r="B40" s="595"/>
      <c r="C40" s="595"/>
      <c r="D40" s="518" t="s">
        <v>198</v>
      </c>
      <c r="E40" s="505">
        <f>'18'!F40</f>
        <v>519</v>
      </c>
      <c r="F40" s="505">
        <v>587</v>
      </c>
      <c r="G40" s="468">
        <f t="shared" si="3"/>
        <v>68</v>
      </c>
      <c r="H40" s="455">
        <f>G40+'18'!H40</f>
        <v>-302</v>
      </c>
      <c r="I40" s="450"/>
      <c r="J40" s="547">
        <f>H40/DAY(B2)</f>
        <v>-15.894736842105264</v>
      </c>
      <c r="K40" s="425"/>
      <c r="L40" s="374"/>
      <c r="N40" s="379"/>
      <c r="O40" s="379"/>
    </row>
    <row r="41" spans="1:15">
      <c r="A41" s="573" t="s">
        <v>235</v>
      </c>
      <c r="B41" s="574"/>
      <c r="C41" s="574"/>
      <c r="D41" s="518" t="s">
        <v>198</v>
      </c>
      <c r="E41" s="505">
        <f>'18'!F41</f>
        <v>239668</v>
      </c>
      <c r="F41" s="505">
        <v>239668</v>
      </c>
      <c r="G41" s="468">
        <f t="shared" si="3"/>
        <v>0</v>
      </c>
      <c r="H41" s="455">
        <f>G41+'18'!H41</f>
        <v>-810</v>
      </c>
      <c r="I41" s="450"/>
      <c r="J41" s="547">
        <f>H41/DAY(B2)</f>
        <v>-42.631578947368418</v>
      </c>
      <c r="K41" s="424"/>
      <c r="L41" s="374"/>
      <c r="N41" s="379"/>
      <c r="O41" s="717"/>
    </row>
    <row r="42" spans="1:15">
      <c r="A42" s="573" t="s">
        <v>236</v>
      </c>
      <c r="B42" s="574"/>
      <c r="C42" s="574"/>
      <c r="D42" s="518" t="s">
        <v>198</v>
      </c>
      <c r="E42" s="505">
        <f>'18'!F42</f>
        <v>59200</v>
      </c>
      <c r="F42" s="505">
        <v>59200</v>
      </c>
      <c r="G42" s="468">
        <f>F42-E42</f>
        <v>0</v>
      </c>
      <c r="H42" s="455">
        <f>G42+'18'!H42</f>
        <v>1.0299999999988358</v>
      </c>
      <c r="I42" s="450"/>
      <c r="J42" s="547">
        <f>H42/DAY(B2)</f>
        <v>5.4210526315728202E-2</v>
      </c>
      <c r="K42" s="424"/>
      <c r="L42" s="374"/>
      <c r="N42" s="379"/>
      <c r="O42" s="379"/>
    </row>
    <row r="43" spans="1:15">
      <c r="A43" s="573" t="s">
        <v>237</v>
      </c>
      <c r="B43" s="574"/>
      <c r="C43" s="574"/>
      <c r="D43" s="518" t="s">
        <v>198</v>
      </c>
      <c r="E43" s="505">
        <f>'18'!F43</f>
        <v>1012910</v>
      </c>
      <c r="F43" s="505">
        <v>1014999</v>
      </c>
      <c r="G43" s="468">
        <f t="shared" si="3"/>
        <v>2089</v>
      </c>
      <c r="H43" s="455">
        <f>G43+'18'!H43</f>
        <v>-27245</v>
      </c>
      <c r="I43" s="450"/>
      <c r="J43" s="547">
        <f>H43/DAY(B2)</f>
        <v>-1433.9473684210527</v>
      </c>
      <c r="K43" s="424"/>
      <c r="L43" s="374"/>
      <c r="N43" s="379"/>
      <c r="O43" s="379"/>
    </row>
    <row r="44" spans="1:15">
      <c r="A44" s="573" t="s">
        <v>238</v>
      </c>
      <c r="B44" s="574"/>
      <c r="C44" s="574"/>
      <c r="D44" s="518" t="s">
        <v>198</v>
      </c>
      <c r="E44" s="505">
        <f>'18'!F44</f>
        <v>0</v>
      </c>
      <c r="F44" s="505">
        <v>0</v>
      </c>
      <c r="G44" s="468">
        <f t="shared" si="3"/>
        <v>0</v>
      </c>
      <c r="H44" s="455">
        <f>G44+'18'!H44</f>
        <v>0</v>
      </c>
      <c r="I44" s="450"/>
      <c r="J44" s="547">
        <f>H44/DAY(B2)</f>
        <v>0</v>
      </c>
      <c r="K44" s="424"/>
      <c r="L44" s="374"/>
      <c r="N44" s="379"/>
      <c r="O44" s="379"/>
    </row>
    <row r="45" spans="1:15">
      <c r="A45" s="573" t="s">
        <v>239</v>
      </c>
      <c r="B45" s="574"/>
      <c r="C45" s="574"/>
      <c r="D45" s="518" t="s">
        <v>198</v>
      </c>
      <c r="E45" s="505">
        <v>0</v>
      </c>
      <c r="F45" s="505">
        <v>0</v>
      </c>
      <c r="G45" s="468">
        <f t="shared" si="3"/>
        <v>0</v>
      </c>
      <c r="H45" s="455">
        <f>G45+'18'!H45</f>
        <v>0</v>
      </c>
      <c r="I45" s="450"/>
      <c r="J45" s="547">
        <f>H45/DAY(B2)</f>
        <v>0</v>
      </c>
      <c r="K45" s="424"/>
      <c r="L45" s="374"/>
      <c r="N45" s="379"/>
      <c r="O45" s="379"/>
    </row>
    <row r="46" spans="1:15">
      <c r="A46" s="573" t="s">
        <v>240</v>
      </c>
      <c r="B46" s="574"/>
      <c r="C46" s="574"/>
      <c r="D46" s="518" t="s">
        <v>198</v>
      </c>
      <c r="E46" s="505">
        <v>0</v>
      </c>
      <c r="F46" s="505">
        <v>0</v>
      </c>
      <c r="G46" s="468">
        <f t="shared" si="3"/>
        <v>0</v>
      </c>
      <c r="H46" s="455">
        <f>G46+'18'!H46</f>
        <v>-5.0000000000011369E-2</v>
      </c>
      <c r="I46" s="450"/>
      <c r="J46" s="547">
        <f>H46/DAY(B2)</f>
        <v>-2.6315789473690195E-3</v>
      </c>
      <c r="K46" s="424"/>
      <c r="L46" s="374"/>
      <c r="N46" s="379"/>
      <c r="O46" s="379"/>
    </row>
    <row r="47" spans="1:15">
      <c r="A47" s="580" t="s">
        <v>241</v>
      </c>
      <c r="B47" s="581"/>
      <c r="C47" s="581"/>
      <c r="D47" s="465"/>
      <c r="E47" s="506">
        <f>'18'!F47</f>
        <v>0</v>
      </c>
      <c r="F47" s="506">
        <v>0</v>
      </c>
      <c r="G47" s="476">
        <f>G35+G36+G37+G38+G39+G40+G41+G42+G43+G44+G45+G46</f>
        <v>8020</v>
      </c>
      <c r="H47" s="455">
        <f>G47+'18'!H47</f>
        <v>235055.47000000003</v>
      </c>
      <c r="I47" s="450"/>
      <c r="J47" s="547">
        <f>H47/DAY(B2)</f>
        <v>12371.340526315791</v>
      </c>
      <c r="K47" s="424"/>
      <c r="L47" s="374"/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  <c r="O48" s="379"/>
    </row>
    <row r="49" spans="1:15">
      <c r="A49" s="573" t="s">
        <v>229</v>
      </c>
      <c r="B49" s="596"/>
      <c r="C49" s="596"/>
      <c r="D49" s="518" t="s">
        <v>198</v>
      </c>
      <c r="E49" s="505">
        <f>'18'!F49</f>
        <v>260732.13</v>
      </c>
      <c r="F49" s="505">
        <v>260732</v>
      </c>
      <c r="G49" s="468">
        <f t="shared" ref="G49:G58" si="4">F49-E49</f>
        <v>-0.13000000000465661</v>
      </c>
      <c r="H49" s="455">
        <f>G49+'18'!H49</f>
        <v>0</v>
      </c>
      <c r="I49" s="450"/>
      <c r="J49" s="547">
        <f>H49/DAY(B2)</f>
        <v>0</v>
      </c>
      <c r="K49" s="424"/>
      <c r="L49" s="374"/>
      <c r="N49" s="379"/>
      <c r="O49" s="379"/>
    </row>
    <row r="50" spans="1:15">
      <c r="A50" s="573" t="s">
        <v>243</v>
      </c>
      <c r="B50" s="596"/>
      <c r="C50" s="596"/>
      <c r="D50" s="518" t="s">
        <v>198</v>
      </c>
      <c r="E50" s="505">
        <f>'18'!F50</f>
        <v>490809</v>
      </c>
      <c r="F50" s="505">
        <v>491602</v>
      </c>
      <c r="G50" s="468">
        <f t="shared" si="4"/>
        <v>793</v>
      </c>
      <c r="H50" s="455">
        <f>G50+'18'!H50</f>
        <v>-11824</v>
      </c>
      <c r="I50" s="450"/>
      <c r="J50" s="547">
        <f>H50/DAY(B2)</f>
        <v>-622.31578947368416</v>
      </c>
      <c r="K50" s="424"/>
      <c r="L50" s="374"/>
      <c r="N50" s="379"/>
      <c r="O50" s="379"/>
    </row>
    <row r="51" spans="1:15">
      <c r="A51" s="573" t="s">
        <v>231</v>
      </c>
      <c r="B51" s="596"/>
      <c r="C51" s="596"/>
      <c r="D51" s="518" t="s">
        <v>198</v>
      </c>
      <c r="E51" s="505">
        <f>'18'!F51</f>
        <v>144640</v>
      </c>
      <c r="F51" s="505">
        <v>144640</v>
      </c>
      <c r="G51" s="468">
        <f t="shared" si="4"/>
        <v>0</v>
      </c>
      <c r="H51" s="455">
        <f>G51+'18'!H51</f>
        <v>0</v>
      </c>
      <c r="I51" s="450"/>
      <c r="J51" s="547">
        <f>H51/DAY(B2)</f>
        <v>0</v>
      </c>
      <c r="K51" s="424"/>
      <c r="L51" s="374"/>
      <c r="N51" s="379"/>
      <c r="O51" s="379"/>
    </row>
    <row r="52" spans="1:15">
      <c r="A52" s="573" t="s">
        <v>244</v>
      </c>
      <c r="B52" s="596"/>
      <c r="C52" s="596"/>
      <c r="D52" s="518" t="s">
        <v>198</v>
      </c>
      <c r="E52" s="505">
        <f>'18'!F52</f>
        <v>539606</v>
      </c>
      <c r="F52" s="505">
        <v>539606</v>
      </c>
      <c r="G52" s="468">
        <f t="shared" si="4"/>
        <v>0</v>
      </c>
      <c r="H52" s="455">
        <f>G52+'18'!H52</f>
        <v>-6.9999999948777258E-2</v>
      </c>
      <c r="I52" s="450"/>
      <c r="J52" s="547">
        <f>H52/DAY(B2)</f>
        <v>-3.6842105236198556E-3</v>
      </c>
      <c r="K52" s="424"/>
      <c r="L52" s="374"/>
      <c r="N52" s="379"/>
      <c r="O52" s="717"/>
    </row>
    <row r="53" spans="1:15">
      <c r="A53" s="573" t="s">
        <v>233</v>
      </c>
      <c r="B53" s="596"/>
      <c r="C53" s="596"/>
      <c r="D53" s="518" t="s">
        <v>198</v>
      </c>
      <c r="E53" s="505">
        <v>425444</v>
      </c>
      <c r="F53" s="505">
        <v>426010</v>
      </c>
      <c r="G53" s="468">
        <f t="shared" si="4"/>
        <v>566</v>
      </c>
      <c r="H53" s="455">
        <f>G53+'18'!H53</f>
        <v>-6534.3300000000163</v>
      </c>
      <c r="I53" s="450"/>
      <c r="J53" s="547">
        <f>H53/DAY(B2)</f>
        <v>-343.91210526315876</v>
      </c>
      <c r="K53" s="424"/>
      <c r="L53" s="374"/>
      <c r="N53" s="379"/>
      <c r="O53" s="379"/>
    </row>
    <row r="54" spans="1:15">
      <c r="A54" s="573" t="s">
        <v>245</v>
      </c>
      <c r="B54" s="596"/>
      <c r="C54" s="596"/>
      <c r="D54" s="518" t="s">
        <v>198</v>
      </c>
      <c r="E54" s="505">
        <f>'18'!F54</f>
        <v>12700</v>
      </c>
      <c r="F54" s="505">
        <v>12782</v>
      </c>
      <c r="G54" s="468">
        <f t="shared" si="4"/>
        <v>82</v>
      </c>
      <c r="H54" s="455">
        <f>G54+'18'!H54</f>
        <v>-1047</v>
      </c>
      <c r="I54" s="450"/>
      <c r="J54" s="547">
        <f>H54/DAY(B2)</f>
        <v>-55.10526315789474</v>
      </c>
      <c r="K54" s="424"/>
      <c r="L54" s="374"/>
      <c r="N54" s="379"/>
      <c r="O54" s="379"/>
    </row>
    <row r="55" spans="1:15">
      <c r="A55" s="573" t="s">
        <v>246</v>
      </c>
      <c r="B55" s="596"/>
      <c r="C55" s="596"/>
      <c r="D55" s="518" t="s">
        <v>198</v>
      </c>
      <c r="E55" s="505">
        <f>'18'!F55</f>
        <v>29124.54</v>
      </c>
      <c r="F55" s="505">
        <v>33528</v>
      </c>
      <c r="G55" s="468">
        <f t="shared" si="4"/>
        <v>4403.4599999999991</v>
      </c>
      <c r="H55" s="455">
        <f>G55+'18'!H55</f>
        <v>-34583</v>
      </c>
      <c r="I55" s="450"/>
      <c r="J55" s="547">
        <f>H55/DAY(B2)</f>
        <v>-1820.1578947368421</v>
      </c>
      <c r="K55" s="424"/>
      <c r="L55" s="374"/>
      <c r="N55" s="379"/>
      <c r="O55" s="379"/>
    </row>
    <row r="56" spans="1:15">
      <c r="A56" s="573" t="s">
        <v>247</v>
      </c>
      <c r="B56" s="596"/>
      <c r="C56" s="596"/>
      <c r="D56" s="518" t="s">
        <v>248</v>
      </c>
      <c r="E56" s="505">
        <f>'18'!F56</f>
        <v>589435.47</v>
      </c>
      <c r="F56" s="505">
        <v>589484</v>
      </c>
      <c r="G56" s="468">
        <f t="shared" si="4"/>
        <v>48.53000000002794</v>
      </c>
      <c r="H56" s="455">
        <f>G56+'18'!H56</f>
        <v>-27714</v>
      </c>
      <c r="I56" s="450"/>
      <c r="J56" s="547">
        <f>H56/DAY(B2)</f>
        <v>-1458.6315789473683</v>
      </c>
      <c r="K56" s="423"/>
      <c r="L56" s="374"/>
      <c r="N56" s="379"/>
      <c r="O56" s="379"/>
    </row>
    <row r="57" spans="1:15">
      <c r="A57" s="573" t="s">
        <v>237</v>
      </c>
      <c r="B57" s="596"/>
      <c r="C57" s="596"/>
      <c r="D57" s="518" t="s">
        <v>198</v>
      </c>
      <c r="E57" s="505">
        <f>'18'!F57</f>
        <v>7711.33</v>
      </c>
      <c r="F57" s="505">
        <v>7711</v>
      </c>
      <c r="G57" s="468">
        <f t="shared" si="4"/>
        <v>-0.32999999999992724</v>
      </c>
      <c r="H57" s="455">
        <f>G57+'18'!H57</f>
        <v>0</v>
      </c>
      <c r="I57" s="450"/>
      <c r="J57" s="547">
        <f>H57/DAY(B2)</f>
        <v>0</v>
      </c>
      <c r="K57" s="424"/>
      <c r="L57" s="374"/>
      <c r="N57" s="379"/>
      <c r="O57" s="379"/>
    </row>
    <row r="58" spans="1:15">
      <c r="A58" s="573" t="s">
        <v>249</v>
      </c>
      <c r="B58" s="596"/>
      <c r="C58" s="596"/>
      <c r="D58" s="518" t="s">
        <v>198</v>
      </c>
      <c r="E58" s="505">
        <f>'18'!F58</f>
        <v>48167</v>
      </c>
      <c r="F58" s="505">
        <v>48168</v>
      </c>
      <c r="G58" s="468">
        <f t="shared" si="4"/>
        <v>1</v>
      </c>
      <c r="H58" s="455">
        <f>G58+'18'!H58</f>
        <v>-1696.2099999999991</v>
      </c>
      <c r="I58" s="450"/>
      <c r="J58" s="547">
        <f>H58/DAY(B2)</f>
        <v>-89.274210526315741</v>
      </c>
      <c r="K58" s="424"/>
      <c r="L58" s="374"/>
      <c r="N58" s="379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5893.5300000000225</v>
      </c>
      <c r="H59" s="455">
        <f>G59+'18'!H59</f>
        <v>-83398.540000000008</v>
      </c>
      <c r="I59" s="450">
        <f>G7-G60</f>
        <v>3086.4699999999775</v>
      </c>
      <c r="J59" s="547">
        <f>H59/DAY(B2)</f>
        <v>-4389.3968421052632</v>
      </c>
      <c r="K59" s="424"/>
      <c r="L59" s="374"/>
      <c r="N59" s="379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476">
        <f>G47+G59</f>
        <v>13913.530000000022</v>
      </c>
      <c r="H60" s="455">
        <f>G60+'18'!H60</f>
        <v>152865.47</v>
      </c>
      <c r="I60" s="450">
        <f>G13-G60</f>
        <v>3036.4699999999775</v>
      </c>
      <c r="J60" s="547">
        <f>H60/DAY(B2)</f>
        <v>8045.5510526315793</v>
      </c>
      <c r="K60" s="424"/>
      <c r="L60" s="374"/>
      <c r="N60" s="379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f>'18'!F62</f>
        <v>20419.18</v>
      </c>
      <c r="F62" s="509">
        <v>20419.2</v>
      </c>
      <c r="G62" s="468">
        <f t="shared" ref="G62:G69" si="5">F62-E62</f>
        <v>2.0000000000436557E-2</v>
      </c>
      <c r="H62" s="455">
        <f>G62+'18'!H62</f>
        <v>0.20199999999749707</v>
      </c>
      <c r="I62" s="510"/>
      <c r="J62" s="547">
        <f>H62/DAY(B2)</f>
        <v>1.0631578947236688E-2</v>
      </c>
      <c r="K62" s="424"/>
      <c r="L62" s="374"/>
      <c r="N62" s="379"/>
      <c r="O62" s="379"/>
    </row>
    <row r="63" spans="1:15">
      <c r="A63" s="598" t="s">
        <v>254</v>
      </c>
      <c r="B63" s="599"/>
      <c r="C63" s="599"/>
      <c r="D63" s="506" t="s">
        <v>253</v>
      </c>
      <c r="E63" s="509">
        <f>'18'!F63</f>
        <v>2427</v>
      </c>
      <c r="F63" s="509">
        <v>2431</v>
      </c>
      <c r="G63" s="468">
        <f t="shared" si="5"/>
        <v>4</v>
      </c>
      <c r="H63" s="455">
        <f>G63+'18'!H63</f>
        <v>2431</v>
      </c>
      <c r="I63" s="510"/>
      <c r="J63" s="547">
        <f>H63/DAY(B2)</f>
        <v>127.94736842105263</v>
      </c>
      <c r="K63" s="424"/>
      <c r="L63" s="374"/>
      <c r="N63" s="379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79">
        <f>'18'!F64</f>
        <v>157207</v>
      </c>
      <c r="F64" s="479">
        <v>157530</v>
      </c>
      <c r="G64" s="468">
        <f t="shared" si="5"/>
        <v>323</v>
      </c>
      <c r="H64" s="455">
        <f>G64+'18'!H64</f>
        <v>-2402</v>
      </c>
      <c r="I64" s="475"/>
      <c r="J64" s="547">
        <f>H64/DAY(B2)</f>
        <v>-126.42105263157895</v>
      </c>
      <c r="K64" s="424"/>
      <c r="L64" s="374"/>
      <c r="N64" s="379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79">
        <f>'18'!F65</f>
        <v>158219</v>
      </c>
      <c r="F65" s="479">
        <v>158429</v>
      </c>
      <c r="G65" s="468">
        <f t="shared" si="5"/>
        <v>210</v>
      </c>
      <c r="H65" s="455">
        <f>G65+'18'!H65</f>
        <v>-2569</v>
      </c>
      <c r="I65" s="484"/>
      <c r="J65" s="547">
        <f>H65/DAY(B2)</f>
        <v>-135.21052631578948</v>
      </c>
      <c r="K65" s="424"/>
      <c r="L65" s="374"/>
      <c r="N65" s="379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79">
        <f>'18'!F66</f>
        <v>53249</v>
      </c>
      <c r="F66" s="479">
        <v>53483</v>
      </c>
      <c r="G66" s="468">
        <f t="shared" si="5"/>
        <v>234</v>
      </c>
      <c r="H66" s="455">
        <f>G66+'18'!H66</f>
        <v>-3322</v>
      </c>
      <c r="I66" s="475"/>
      <c r="J66" s="547">
        <f>H66/DAY(B2)</f>
        <v>-174.84210526315789</v>
      </c>
      <c r="K66" s="424"/>
      <c r="L66" s="374"/>
      <c r="N66" s="379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79">
        <f>'18'!F67</f>
        <v>246695</v>
      </c>
      <c r="F67" s="479">
        <v>246931</v>
      </c>
      <c r="G67" s="468">
        <f t="shared" si="5"/>
        <v>236</v>
      </c>
      <c r="H67" s="455">
        <f>G67+'18'!H67</f>
        <v>-5261</v>
      </c>
      <c r="I67" s="484"/>
      <c r="J67" s="547">
        <f>H67/DAY(B2)</f>
        <v>-276.89473684210526</v>
      </c>
      <c r="K67" s="425"/>
      <c r="L67" s="374"/>
      <c r="N67" s="379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79">
        <f>'18'!F68</f>
        <v>85321</v>
      </c>
      <c r="F68" s="479">
        <v>85321</v>
      </c>
      <c r="G68" s="468">
        <f t="shared" si="5"/>
        <v>0</v>
      </c>
      <c r="H68" s="455">
        <f>G68+'18'!H68</f>
        <v>0</v>
      </c>
      <c r="I68" s="511"/>
      <c r="J68" s="547">
        <f>H68/DAY(B2)</f>
        <v>0</v>
      </c>
      <c r="K68" s="426"/>
      <c r="L68" s="374"/>
      <c r="N68" s="379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79">
        <f>'18'!F69</f>
        <v>80350</v>
      </c>
      <c r="F69" s="479">
        <v>80454</v>
      </c>
      <c r="G69" s="468">
        <f t="shared" si="5"/>
        <v>104</v>
      </c>
      <c r="H69" s="455">
        <f>G69+'18'!H69</f>
        <v>-1295</v>
      </c>
      <c r="I69" s="511"/>
      <c r="J69" s="547">
        <f>H69/DAY(B2)</f>
        <v>-68.15789473684211</v>
      </c>
      <c r="K69" s="427"/>
      <c r="L69" s="374"/>
      <c r="N69" s="379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>G70+'13'!H70</f>
        <v>0</v>
      </c>
      <c r="I70" s="513"/>
      <c r="J70" s="551"/>
      <c r="K70" s="427"/>
      <c r="L70" s="374"/>
      <c r="N70" s="379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514">
        <f>'18'!F72</f>
        <v>855702</v>
      </c>
      <c r="F72" s="514">
        <v>855712</v>
      </c>
      <c r="G72" s="468">
        <f t="shared" ref="G72:G84" si="6">F72-E72</f>
        <v>10</v>
      </c>
      <c r="H72" s="455">
        <f>G72+'18'!H72</f>
        <v>-174</v>
      </c>
      <c r="I72" s="475"/>
      <c r="J72" s="547">
        <f>H72/DAY(B2)</f>
        <v>-9.1578947368421044</v>
      </c>
      <c r="K72" s="427"/>
      <c r="L72" s="374"/>
      <c r="N72" s="379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515">
        <f>'18'!F73</f>
        <v>885895</v>
      </c>
      <c r="F73" s="515">
        <v>885896</v>
      </c>
      <c r="G73" s="468">
        <f t="shared" si="6"/>
        <v>1</v>
      </c>
      <c r="H73" s="455">
        <f>G73+'18'!H73</f>
        <v>145</v>
      </c>
      <c r="I73" s="475"/>
      <c r="J73" s="547">
        <f>H73/DAY(B2)</f>
        <v>7.6315789473684212</v>
      </c>
      <c r="K73" s="426"/>
      <c r="L73" s="374"/>
      <c r="N73" s="379"/>
      <c r="O73" s="379"/>
    </row>
    <row r="74" spans="1:15" ht="27.75">
      <c r="A74" s="1525" t="s">
        <v>260</v>
      </c>
      <c r="B74" s="1526"/>
      <c r="C74" s="1527"/>
      <c r="D74" s="518" t="s">
        <v>253</v>
      </c>
      <c r="E74" s="516">
        <f>'18'!F74</f>
        <v>2499</v>
      </c>
      <c r="F74" s="516">
        <v>2504</v>
      </c>
      <c r="G74" s="468">
        <f t="shared" si="6"/>
        <v>5</v>
      </c>
      <c r="H74" s="455">
        <f>G74+'18'!H74</f>
        <v>-82</v>
      </c>
      <c r="I74" s="475"/>
      <c r="J74" s="547">
        <f>H74/DAY(B2)</f>
        <v>-4.3157894736842106</v>
      </c>
      <c r="K74" s="427"/>
      <c r="L74" s="374"/>
      <c r="N74" s="379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516">
        <f>'18'!F75</f>
        <v>11933</v>
      </c>
      <c r="F75" s="516">
        <v>11989</v>
      </c>
      <c r="G75" s="468">
        <f t="shared" si="6"/>
        <v>56</v>
      </c>
      <c r="H75" s="455">
        <f>G75+'18'!H75</f>
        <v>-680</v>
      </c>
      <c r="I75" s="475"/>
      <c r="J75" s="547">
        <f>H75/DAY(B2)</f>
        <v>-35.789473684210527</v>
      </c>
      <c r="K75" s="426"/>
      <c r="L75" s="374"/>
      <c r="N75" s="379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515">
        <f>'18'!F76</f>
        <v>6691</v>
      </c>
      <c r="F76" s="515">
        <v>6749</v>
      </c>
      <c r="G76" s="468">
        <f t="shared" si="6"/>
        <v>58</v>
      </c>
      <c r="H76" s="455">
        <f>G76+'18'!H76</f>
        <v>-457</v>
      </c>
      <c r="I76" s="500"/>
      <c r="J76" s="547">
        <f>H76/DAY(B2)</f>
        <v>-24.05263157894737</v>
      </c>
      <c r="K76" s="426"/>
      <c r="L76" s="374"/>
      <c r="N76" s="379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516">
        <f>'18'!F77</f>
        <v>702324</v>
      </c>
      <c r="F77" s="516">
        <v>702353</v>
      </c>
      <c r="G77" s="468">
        <f t="shared" si="6"/>
        <v>29</v>
      </c>
      <c r="H77" s="455">
        <f>G77+'18'!H77</f>
        <v>-486</v>
      </c>
      <c r="I77" s="500"/>
      <c r="J77" s="547">
        <f>H77/DAY(B2)</f>
        <v>-25.578947368421051</v>
      </c>
      <c r="K77" s="426"/>
      <c r="L77" s="374"/>
      <c r="N77" s="379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516">
        <f>'18'!F78</f>
        <v>671549</v>
      </c>
      <c r="F78" s="516">
        <v>671631</v>
      </c>
      <c r="G78" s="468">
        <f t="shared" si="6"/>
        <v>82</v>
      </c>
      <c r="H78" s="455">
        <f>G78+'18'!H78</f>
        <v>-1401</v>
      </c>
      <c r="I78" s="500"/>
      <c r="J78" s="547">
        <f>H78/DAY(B2)</f>
        <v>-73.736842105263165</v>
      </c>
      <c r="K78" s="426"/>
      <c r="L78" s="374"/>
      <c r="N78" s="379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516">
        <f>'18'!F79</f>
        <v>829295</v>
      </c>
      <c r="F79" s="516">
        <v>829418</v>
      </c>
      <c r="G79" s="468">
        <f t="shared" si="6"/>
        <v>123</v>
      </c>
      <c r="H79" s="455">
        <f>G79+'18'!H79</f>
        <v>-2604</v>
      </c>
      <c r="I79" s="500"/>
      <c r="J79" s="547">
        <f>H79/DAY(B2)</f>
        <v>-137.05263157894737</v>
      </c>
      <c r="K79" s="426"/>
      <c r="L79" s="374"/>
      <c r="N79" s="379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515">
        <f>'18'!F80</f>
        <v>523031</v>
      </c>
      <c r="F80" s="515">
        <v>523324</v>
      </c>
      <c r="G80" s="468">
        <f t="shared" si="6"/>
        <v>293</v>
      </c>
      <c r="H80" s="455">
        <f>G80+'18'!H80</f>
        <v>-7221.5200000000186</v>
      </c>
      <c r="I80" s="500"/>
      <c r="J80" s="547">
        <f>H80/DAY(B2)</f>
        <v>-380.08000000000101</v>
      </c>
      <c r="K80" s="426"/>
      <c r="L80" s="374"/>
      <c r="N80" s="379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f>'18'!F81</f>
        <v>637832</v>
      </c>
      <c r="F81" s="515">
        <v>637909</v>
      </c>
      <c r="G81" s="468">
        <f t="shared" si="6"/>
        <v>77</v>
      </c>
      <c r="H81" s="455">
        <f>G81+'18'!H81</f>
        <v>-989</v>
      </c>
      <c r="I81" s="500"/>
      <c r="J81" s="547">
        <f>H81/DAY(B2)</f>
        <v>-52.05263157894737</v>
      </c>
      <c r="K81" s="426"/>
      <c r="L81" s="374"/>
      <c r="N81" s="379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f>'18'!F82</f>
        <v>107956</v>
      </c>
      <c r="F82" s="517">
        <v>107967</v>
      </c>
      <c r="G82" s="468">
        <f t="shared" si="6"/>
        <v>11</v>
      </c>
      <c r="H82" s="455">
        <f>G82+'18'!H82</f>
        <v>-191</v>
      </c>
      <c r="I82" s="481"/>
      <c r="J82" s="547">
        <f>H82/DAY(B2)</f>
        <v>-10.052631578947368</v>
      </c>
      <c r="K82" s="426"/>
      <c r="L82" s="374"/>
      <c r="N82" s="379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f>'18'!F83</f>
        <v>18319</v>
      </c>
      <c r="F83" s="506">
        <v>18472</v>
      </c>
      <c r="G83" s="468">
        <f t="shared" si="6"/>
        <v>153</v>
      </c>
      <c r="H83" s="455">
        <f>G83+'18'!H83</f>
        <v>-2034</v>
      </c>
      <c r="I83" s="476"/>
      <c r="J83" s="547">
        <f>H83/DAY(B2)</f>
        <v>-107.05263157894737</v>
      </c>
      <c r="K83" s="425"/>
      <c r="L83" s="374"/>
      <c r="N83" s="379"/>
      <c r="O83" s="717"/>
    </row>
    <row r="84" spans="1:15">
      <c r="A84" s="1396" t="s">
        <v>166</v>
      </c>
      <c r="B84" s="566"/>
      <c r="C84" s="566"/>
      <c r="D84" s="473" t="s">
        <v>198</v>
      </c>
      <c r="E84" s="622">
        <f>'18'!F84</f>
        <v>491979</v>
      </c>
      <c r="F84" s="622">
        <v>492334</v>
      </c>
      <c r="G84" s="468">
        <f t="shared" si="6"/>
        <v>355</v>
      </c>
      <c r="H84" s="455">
        <f>G84+'18'!H84</f>
        <v>-7960</v>
      </c>
      <c r="I84" s="476"/>
      <c r="J84" s="547">
        <f>H84/DAY(B2)</f>
        <v>-418.94736842105266</v>
      </c>
      <c r="K84" s="377"/>
      <c r="L84" s="374"/>
      <c r="N84" s="379"/>
      <c r="O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1253</v>
      </c>
      <c r="H85" s="455">
        <f>G85+'18'!H85</f>
        <v>-20591</v>
      </c>
      <c r="I85" s="476"/>
      <c r="J85" s="547">
        <f>H85/DAY(B2)</f>
        <v>-1083.7368421052631</v>
      </c>
      <c r="K85" s="377"/>
      <c r="L85" s="375"/>
      <c r="N85" s="772"/>
      <c r="O85" s="717"/>
    </row>
    <row r="86" spans="1:15" s="731" customFormat="1">
      <c r="A86" s="726" t="s">
        <v>269</v>
      </c>
      <c r="B86" s="727"/>
      <c r="C86" s="727"/>
      <c r="D86" s="728" t="s">
        <v>248</v>
      </c>
      <c r="E86" s="643">
        <f>'18'!F86</f>
        <v>460509</v>
      </c>
      <c r="F86" s="643">
        <v>460532</v>
      </c>
      <c r="G86" s="701">
        <f t="shared" ref="G86:G91" si="7">F86-E86</f>
        <v>23</v>
      </c>
      <c r="H86" s="455">
        <f>G86+'18'!H86</f>
        <v>54</v>
      </c>
      <c r="I86" s="648"/>
      <c r="J86" s="703">
        <f>H86/DAY(B2)</f>
        <v>2.8421052631578947</v>
      </c>
      <c r="K86" s="729">
        <v>424609</v>
      </c>
      <c r="L86" s="730">
        <f>K86-F86</f>
        <v>-35923</v>
      </c>
      <c r="N86" s="773"/>
      <c r="O86" s="379"/>
    </row>
    <row r="87" spans="1:15" s="731" customFormat="1">
      <c r="A87" s="726" t="s">
        <v>270</v>
      </c>
      <c r="B87" s="727"/>
      <c r="C87" s="727"/>
      <c r="D87" s="728" t="s">
        <v>248</v>
      </c>
      <c r="E87" s="643">
        <f>'18'!F87</f>
        <v>81130</v>
      </c>
      <c r="F87" s="643">
        <v>81151</v>
      </c>
      <c r="G87" s="701">
        <f t="shared" si="7"/>
        <v>21</v>
      </c>
      <c r="H87" s="455">
        <f>G87+'18'!H87</f>
        <v>35</v>
      </c>
      <c r="I87" s="648"/>
      <c r="J87" s="703">
        <f>H87/DAY(B2)</f>
        <v>1.8421052631578947</v>
      </c>
      <c r="K87" s="729"/>
      <c r="L87" s="730"/>
      <c r="N87" s="773"/>
      <c r="O87" s="379"/>
    </row>
    <row r="88" spans="1:15" s="731" customFormat="1">
      <c r="A88" s="726" t="s">
        <v>158</v>
      </c>
      <c r="B88" s="727"/>
      <c r="C88" s="727"/>
      <c r="D88" s="728" t="s">
        <v>248</v>
      </c>
      <c r="E88" s="643">
        <f>'18'!F88</f>
        <v>152588</v>
      </c>
      <c r="F88" s="643">
        <v>152612</v>
      </c>
      <c r="G88" s="701">
        <f t="shared" si="7"/>
        <v>24</v>
      </c>
      <c r="H88" s="455">
        <f>G88+'18'!H88</f>
        <v>92</v>
      </c>
      <c r="I88" s="648"/>
      <c r="J88" s="703">
        <f>H88/DAY(B2)</f>
        <v>4.8421052631578947</v>
      </c>
      <c r="K88" s="729"/>
      <c r="L88" s="730"/>
      <c r="N88" s="773"/>
      <c r="O88" s="379"/>
    </row>
    <row r="89" spans="1:15" s="731" customFormat="1">
      <c r="A89" s="726" t="s">
        <v>272</v>
      </c>
      <c r="B89" s="727"/>
      <c r="C89" s="727"/>
      <c r="D89" s="728" t="s">
        <v>248</v>
      </c>
      <c r="E89" s="643">
        <f>'18'!F89</f>
        <v>64950</v>
      </c>
      <c r="F89" s="643">
        <v>64956</v>
      </c>
      <c r="G89" s="701">
        <f t="shared" si="7"/>
        <v>6</v>
      </c>
      <c r="H89" s="455">
        <f>G89+'18'!H89</f>
        <v>13</v>
      </c>
      <c r="I89" s="648"/>
      <c r="J89" s="703">
        <f>H89/DAY(B2)</f>
        <v>0.68421052631578949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43">
        <f>'18'!F90</f>
        <v>3272.7</v>
      </c>
      <c r="F90" s="643">
        <v>3272.7</v>
      </c>
      <c r="G90" s="701">
        <f t="shared" si="7"/>
        <v>0</v>
      </c>
      <c r="H90" s="701">
        <f>G90</f>
        <v>0</v>
      </c>
      <c r="I90" s="648"/>
      <c r="J90" s="703">
        <f>H90/DAY(B2)</f>
        <v>0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43">
        <f>'18'!F91</f>
        <v>27959</v>
      </c>
      <c r="F91" s="643">
        <v>27966</v>
      </c>
      <c r="G91" s="701">
        <f t="shared" si="7"/>
        <v>7</v>
      </c>
      <c r="H91" s="701"/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772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v>244977</v>
      </c>
      <c r="F93" s="479">
        <v>244977</v>
      </c>
      <c r="G93" s="468">
        <f t="shared" ref="G93:G94" si="8">F93-E93</f>
        <v>0</v>
      </c>
      <c r="H93" s="455">
        <f>G93+'18'!H93</f>
        <v>-411</v>
      </c>
      <c r="I93" s="475"/>
      <c r="J93" s="547">
        <f>H93/DAY(B2)</f>
        <v>-21.631578947368421</v>
      </c>
      <c r="K93" s="425"/>
      <c r="L93" s="374"/>
      <c r="N93" s="379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'18'!F94</f>
        <v>185061</v>
      </c>
      <c r="F94" s="479">
        <v>185136</v>
      </c>
      <c r="G94" s="468">
        <f t="shared" si="8"/>
        <v>75</v>
      </c>
      <c r="H94" s="455">
        <f>G94+'18'!H94</f>
        <v>-985</v>
      </c>
      <c r="I94" s="475"/>
      <c r="J94" s="547">
        <f>H94/DAY(B2)</f>
        <v>-51.842105263157897</v>
      </c>
      <c r="K94" s="377"/>
      <c r="L94" s="374"/>
      <c r="N94" s="379"/>
      <c r="O94" s="379"/>
    </row>
    <row r="95" spans="1:15">
      <c r="A95" s="1447" t="s">
        <v>276</v>
      </c>
      <c r="B95" s="1448"/>
      <c r="C95" s="1449"/>
      <c r="D95" s="518"/>
      <c r="E95" s="479">
        <f>'18'!F95</f>
        <v>0</v>
      </c>
      <c r="F95" s="479"/>
      <c r="G95" s="468">
        <f>G93+G94</f>
        <v>75</v>
      </c>
      <c r="H95" s="455">
        <f>G95+'18'!H95</f>
        <v>-1472</v>
      </c>
      <c r="I95" s="475"/>
      <c r="J95" s="547">
        <f>H95/DAY(B2)</f>
        <v>-77.473684210526315</v>
      </c>
      <c r="K95" s="377"/>
      <c r="L95" s="374"/>
      <c r="N95" s="379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'18'!F96</f>
        <v>413668</v>
      </c>
      <c r="F96" s="479">
        <v>413691</v>
      </c>
      <c r="G96" s="468">
        <f t="shared" ref="G96:G101" si="9">F96-E96</f>
        <v>23</v>
      </c>
      <c r="H96" s="455">
        <f>G96+'18'!H96</f>
        <v>-592</v>
      </c>
      <c r="I96" s="475"/>
      <c r="J96" s="547">
        <f>H96/DAY(B2)</f>
        <v>-31.157894736842106</v>
      </c>
      <c r="K96" s="377"/>
      <c r="L96" s="374"/>
      <c r="N96" s="379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79">
        <f>'18'!F97</f>
        <v>102516</v>
      </c>
      <c r="F97" s="479">
        <v>102523</v>
      </c>
      <c r="G97" s="468">
        <f t="shared" si="9"/>
        <v>7</v>
      </c>
      <c r="H97" s="455">
        <f>G97+'18'!H97</f>
        <v>-125</v>
      </c>
      <c r="I97" s="475"/>
      <c r="J97" s="547">
        <f>H97/DAY(B2)</f>
        <v>-6.5789473684210522</v>
      </c>
      <c r="K97" s="423"/>
      <c r="L97" s="374"/>
      <c r="N97" s="379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79">
        <f>'18'!F98</f>
        <v>97676</v>
      </c>
      <c r="F98" s="479">
        <v>97688</v>
      </c>
      <c r="G98" s="468">
        <f t="shared" si="9"/>
        <v>12</v>
      </c>
      <c r="H98" s="455">
        <f>G98+'18'!H98</f>
        <v>-262</v>
      </c>
      <c r="I98" s="475"/>
      <c r="J98" s="547">
        <f>H98/DAY(B2)</f>
        <v>-13.789473684210526</v>
      </c>
      <c r="K98" s="428"/>
      <c r="L98" s="374"/>
      <c r="N98" s="379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79">
        <f>'18'!F99</f>
        <v>149729</v>
      </c>
      <c r="F99" s="479">
        <v>149740</v>
      </c>
      <c r="G99" s="468">
        <f t="shared" si="9"/>
        <v>11</v>
      </c>
      <c r="H99" s="455">
        <f>G99+'18'!H99</f>
        <v>-112</v>
      </c>
      <c r="I99" s="475"/>
      <c r="J99" s="547">
        <f>H99/DAY(B2)</f>
        <v>-5.8947368421052628</v>
      </c>
      <c r="K99" s="377"/>
      <c r="L99" s="374"/>
      <c r="N99" s="379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79">
        <f>'18'!F100</f>
        <v>7293</v>
      </c>
      <c r="F100" s="479">
        <v>7299</v>
      </c>
      <c r="G100" s="468">
        <f t="shared" si="9"/>
        <v>6</v>
      </c>
      <c r="H100" s="455">
        <f>G100+'18'!H100</f>
        <v>-70</v>
      </c>
      <c r="I100" s="475"/>
      <c r="J100" s="547">
        <f>H100/DAY(B2)</f>
        <v>-3.6842105263157894</v>
      </c>
      <c r="K100" s="377"/>
      <c r="L100" s="374"/>
      <c r="N100" s="379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79">
        <f>'18'!F101</f>
        <v>5254</v>
      </c>
      <c r="F101" s="479">
        <v>5257</v>
      </c>
      <c r="G101" s="468">
        <f t="shared" si="9"/>
        <v>3</v>
      </c>
      <c r="H101" s="455">
        <f>G101+'18'!H101</f>
        <v>-134</v>
      </c>
      <c r="I101" s="475"/>
      <c r="J101" s="547">
        <f>H101/DAY(B2)</f>
        <v>-7.0526315789473681</v>
      </c>
      <c r="K101" s="377"/>
      <c r="L101" s="374"/>
      <c r="N101" s="379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520">
        <f>SUM(G96:G101)</f>
        <v>62</v>
      </c>
      <c r="H102" s="455">
        <f>G102+'18'!H102</f>
        <v>-1295</v>
      </c>
      <c r="I102" s="521"/>
      <c r="J102" s="547">
        <f>H102/DAY(B2)</f>
        <v>-68.15789473684211</v>
      </c>
      <c r="K102" s="377"/>
      <c r="L102" s="374"/>
      <c r="N102" s="379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523"/>
      <c r="G103" s="524"/>
      <c r="H103" s="525"/>
      <c r="I103" s="526"/>
      <c r="J103" s="552"/>
      <c r="N103" s="439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527"/>
      <c r="G104" s="527"/>
      <c r="H104" s="528"/>
      <c r="I104" s="527"/>
      <c r="J104" s="553"/>
      <c r="N104" s="439"/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527">
        <f>'18'!F105</f>
        <v>7473</v>
      </c>
      <c r="F105" s="527">
        <v>7473</v>
      </c>
      <c r="G105" s="527">
        <f>F105-E105</f>
        <v>0</v>
      </c>
      <c r="H105" s="455">
        <f>G105+'18'!H105</f>
        <v>57</v>
      </c>
      <c r="I105" s="527"/>
      <c r="J105" s="553">
        <f>H105/DAY(B2)</f>
        <v>3</v>
      </c>
      <c r="N105" s="439"/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529">
        <f>'18'!F106</f>
        <v>35889</v>
      </c>
      <c r="F106" s="529">
        <v>35889</v>
      </c>
      <c r="G106" s="527">
        <f t="shared" ref="G106" si="10">F106-E106</f>
        <v>0</v>
      </c>
      <c r="H106" s="455">
        <f>G106+'18'!H106</f>
        <v>49</v>
      </c>
      <c r="I106" s="527"/>
      <c r="J106" s="553">
        <f>H106/DAY(B2)</f>
        <v>2.5789473684210527</v>
      </c>
      <c r="N106" s="439"/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527">
        <f>'18'!F107</f>
        <v>19671</v>
      </c>
      <c r="F107" s="527">
        <v>19671</v>
      </c>
      <c r="G107" s="527">
        <f>F107-E107</f>
        <v>0</v>
      </c>
      <c r="H107" s="455">
        <f>G107+'18'!H107</f>
        <v>57</v>
      </c>
      <c r="I107" s="527"/>
      <c r="J107" s="553">
        <f>H107/DAY(B2)</f>
        <v>3</v>
      </c>
      <c r="N107" s="439"/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>
        <f>'18'!F108</f>
        <v>0</v>
      </c>
      <c r="F108" s="527"/>
      <c r="G108" s="527">
        <f>SUM(G105:G107)</f>
        <v>0</v>
      </c>
      <c r="H108" s="455">
        <f>G108+'18'!H108</f>
        <v>157</v>
      </c>
      <c r="I108" s="527"/>
      <c r="J108" s="553">
        <f>H108/DAY(B2)</f>
        <v>8.2631578947368425</v>
      </c>
      <c r="N108" s="439"/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>
        <f>'18'!F109</f>
        <v>0</v>
      </c>
      <c r="F109" s="527"/>
      <c r="G109" s="527"/>
      <c r="H109" s="455"/>
      <c r="I109" s="527"/>
      <c r="J109" s="553"/>
      <c r="N109" s="439"/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527">
        <f>'18'!F110</f>
        <v>62112</v>
      </c>
      <c r="F110" s="527">
        <v>62152</v>
      </c>
      <c r="G110" s="527">
        <f>F110-E110</f>
        <v>40</v>
      </c>
      <c r="H110" s="455">
        <f>G110+'18'!H110</f>
        <v>207</v>
      </c>
      <c r="I110" s="527"/>
      <c r="J110" s="553">
        <f>H110/DAY(B2)</f>
        <v>10.894736842105264</v>
      </c>
      <c r="N110" s="439"/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527">
        <f>'18'!F111</f>
        <v>32401</v>
      </c>
      <c r="F111" s="527">
        <v>32412</v>
      </c>
      <c r="G111" s="527">
        <f t="shared" ref="G111:G112" si="11">F111-E111</f>
        <v>11</v>
      </c>
      <c r="H111" s="455">
        <f>G111+'18'!H111</f>
        <v>22</v>
      </c>
      <c r="I111" s="527"/>
      <c r="J111" s="553">
        <f>H111/DAY(B2)</f>
        <v>1.1578947368421053</v>
      </c>
      <c r="N111" s="439"/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527">
        <f>'18'!F112</f>
        <v>4513</v>
      </c>
      <c r="F112" s="527">
        <v>4513</v>
      </c>
      <c r="G112" s="527">
        <f t="shared" si="11"/>
        <v>0</v>
      </c>
      <c r="H112" s="455">
        <f>G112+'18'!H112</f>
        <v>156</v>
      </c>
      <c r="I112" s="527"/>
      <c r="J112" s="553">
        <f>H112/DAY(B2)</f>
        <v>8.2105263157894743</v>
      </c>
      <c r="N112" s="439"/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>
        <f>'18'!F113</f>
        <v>0</v>
      </c>
      <c r="F113" s="527"/>
      <c r="G113" s="527">
        <f>SUM(G110:G112)</f>
        <v>51</v>
      </c>
      <c r="H113" s="455">
        <f>G113+'18'!H113</f>
        <v>955</v>
      </c>
      <c r="I113" s="527"/>
      <c r="J113" s="553">
        <f>H113/DAY(B2)</f>
        <v>50.263157894736842</v>
      </c>
      <c r="N113" s="439"/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>
        <f>'18'!F114</f>
        <v>0</v>
      </c>
      <c r="F114" s="527"/>
      <c r="G114" s="527"/>
      <c r="H114" s="455"/>
      <c r="I114" s="527"/>
      <c r="J114" s="553">
        <f>H114/DAY(B2)</f>
        <v>0</v>
      </c>
      <c r="N114" s="439"/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529">
        <f>'18'!F115</f>
        <v>11399</v>
      </c>
      <c r="F115" s="529">
        <v>11406</v>
      </c>
      <c r="G115" s="529">
        <f>F115-E115</f>
        <v>7</v>
      </c>
      <c r="H115" s="455">
        <f>G115+'18'!H115</f>
        <v>17</v>
      </c>
      <c r="I115" s="527"/>
      <c r="J115" s="553">
        <f>H115/DAY(B2)</f>
        <v>0.89473684210526316</v>
      </c>
      <c r="N115" s="439"/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529">
        <f>'18'!F116</f>
        <v>8214</v>
      </c>
      <c r="F116" s="529">
        <v>8216</v>
      </c>
      <c r="G116" s="529">
        <f t="shared" ref="G116:G117" si="12">F116-E116</f>
        <v>2</v>
      </c>
      <c r="H116" s="455">
        <f>G116+'18'!H116</f>
        <v>20</v>
      </c>
      <c r="I116" s="527"/>
      <c r="J116" s="553">
        <f>H116/DAY(B2)</f>
        <v>1.0526315789473684</v>
      </c>
      <c r="N116" s="439"/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529">
        <f t="shared" si="12"/>
        <v>0</v>
      </c>
      <c r="H117" s="455">
        <f>G117+'18'!H117</f>
        <v>58</v>
      </c>
      <c r="I117" s="527"/>
      <c r="J117" s="553">
        <f>H117/DAY(B2)</f>
        <v>3.0526315789473686</v>
      </c>
      <c r="N117" s="439"/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529"/>
      <c r="G118" s="529">
        <f>SUM(G115:G117)</f>
        <v>9</v>
      </c>
      <c r="H118" s="455">
        <f>G118+'18'!H118</f>
        <v>59</v>
      </c>
      <c r="I118" s="529"/>
      <c r="J118" s="553">
        <f>H118/DAY(B2)</f>
        <v>3.1052631578947367</v>
      </c>
      <c r="N118" s="442"/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531">
        <f>SUM(G19+G93)</f>
        <v>60</v>
      </c>
      <c r="G119" s="531">
        <f>SUM(G19+G93)</f>
        <v>60</v>
      </c>
      <c r="H119" s="455">
        <f>G119+'18'!H119</f>
        <v>178</v>
      </c>
      <c r="I119" s="530"/>
      <c r="J119" s="554">
        <f>H119/DAY(B2)</f>
        <v>9.3684210526315788</v>
      </c>
      <c r="N119" s="774"/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531">
        <f>SUM(G96,G97,G98,G100,G101)</f>
        <v>51</v>
      </c>
      <c r="G120" s="531">
        <f>SUM(G96,G97,G98,G100,G101)</f>
        <v>51</v>
      </c>
      <c r="H120" s="455">
        <f>G120+'18'!H120</f>
        <v>117</v>
      </c>
      <c r="I120" s="530"/>
      <c r="J120" s="554">
        <f>H120/DAY(B2)</f>
        <v>6.1578947368421053</v>
      </c>
      <c r="N120" s="774"/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529">
        <f>SUM(G113)</f>
        <v>51</v>
      </c>
      <c r="G121" s="529">
        <f>SUM(G113)</f>
        <v>51</v>
      </c>
      <c r="H121" s="455">
        <f>G121+'18'!H121</f>
        <v>132</v>
      </c>
      <c r="I121" s="530"/>
      <c r="J121" s="554">
        <f>H121/DAY(B2)</f>
        <v>6.9473684210526319</v>
      </c>
      <c r="N121" s="774"/>
      <c r="O121" s="379"/>
    </row>
    <row r="122" spans="1:15" s="437" customFormat="1" ht="27.75">
      <c r="A122" s="1494"/>
      <c r="B122" s="1495"/>
      <c r="C122" s="1390"/>
      <c r="D122" s="555"/>
      <c r="E122" s="555"/>
      <c r="F122" s="555" t="s">
        <v>182</v>
      </c>
      <c r="G122" s="555"/>
      <c r="H122" s="556"/>
      <c r="I122" s="555"/>
      <c r="J122" s="557"/>
      <c r="N122" s="439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73">
        <f>'18'!F124</f>
        <v>829747</v>
      </c>
      <c r="F124" s="473">
        <v>829920</v>
      </c>
      <c r="G124" s="468">
        <f t="shared" ref="G124:G128" si="13">F124-E124</f>
        <v>173</v>
      </c>
      <c r="H124" s="455">
        <f>G124+'18'!H124</f>
        <v>-2446</v>
      </c>
      <c r="I124" s="521"/>
      <c r="J124" s="547">
        <f>H124/DAY(B2)</f>
        <v>-128.73684210526315</v>
      </c>
      <c r="K124" s="377"/>
      <c r="L124" s="374"/>
      <c r="N124" s="379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621">
        <f>'18'!F125</f>
        <v>73583.399999999994</v>
      </c>
      <c r="F125" s="621">
        <v>73583.399999999994</v>
      </c>
      <c r="G125" s="468">
        <f t="shared" si="13"/>
        <v>0</v>
      </c>
      <c r="H125" s="455">
        <f>G125+'18'!H125</f>
        <v>0</v>
      </c>
      <c r="I125" s="521"/>
      <c r="J125" s="547">
        <f>H125/DAY(B2)</f>
        <v>0</v>
      </c>
      <c r="K125" s="377"/>
      <c r="L125" s="374"/>
      <c r="N125" s="379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73">
        <f>'18'!F126</f>
        <v>145684</v>
      </c>
      <c r="F126" s="473">
        <v>145726</v>
      </c>
      <c r="G126" s="468">
        <f t="shared" si="13"/>
        <v>42</v>
      </c>
      <c r="H126" s="455">
        <f>G126+'18'!H126</f>
        <v>-765</v>
      </c>
      <c r="I126" s="521"/>
      <c r="J126" s="547">
        <f>H126/DAY(B2)</f>
        <v>-40.263157894736842</v>
      </c>
      <c r="K126" s="377"/>
      <c r="L126" s="374"/>
      <c r="N126" s="379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621">
        <f>'18'!F127</f>
        <v>31404</v>
      </c>
      <c r="F127" s="621">
        <v>31404</v>
      </c>
      <c r="G127" s="468">
        <f t="shared" si="13"/>
        <v>0</v>
      </c>
      <c r="H127" s="455">
        <f>G127+'18'!H127</f>
        <v>-2</v>
      </c>
      <c r="I127" s="521"/>
      <c r="J127" s="547">
        <f>H127/DAY(B2)</f>
        <v>-0.10526315789473684</v>
      </c>
      <c r="K127" s="377"/>
      <c r="L127" s="374"/>
      <c r="N127" s="379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621">
        <f>'18'!F128</f>
        <v>8971</v>
      </c>
      <c r="F128" s="621">
        <v>8971</v>
      </c>
      <c r="G128" s="468">
        <f t="shared" si="13"/>
        <v>0</v>
      </c>
      <c r="H128" s="455">
        <f>G128+'18'!H128</f>
        <v>-1</v>
      </c>
      <c r="I128" s="475"/>
      <c r="J128" s="547">
        <f>H128/DAY(B2)</f>
        <v>-5.2631578947368418E-2</v>
      </c>
      <c r="K128" s="377"/>
      <c r="L128" s="374"/>
      <c r="N128" s="379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335</v>
      </c>
      <c r="H129" s="455">
        <f>G129+'18'!H129</f>
        <v>1219</v>
      </c>
      <c r="I129" s="475"/>
      <c r="J129" s="547">
        <f>H129/DAY(B2)</f>
        <v>64.15789473684211</v>
      </c>
      <c r="K129" s="361"/>
      <c r="L129" s="289"/>
      <c r="N129" s="362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79">
        <f>'18'!F131</f>
        <v>0</v>
      </c>
      <c r="F131" s="479">
        <v>0</v>
      </c>
      <c r="G131" s="468">
        <f t="shared" ref="G131:G141" si="14">F131-E131</f>
        <v>0</v>
      </c>
      <c r="H131" s="455">
        <f>G131+'18'!H131</f>
        <v>0</v>
      </c>
      <c r="I131" s="475"/>
      <c r="J131" s="547">
        <f>H131/DAY(B2)</f>
        <v>0</v>
      </c>
      <c r="N131" s="379"/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79">
        <f>'18'!F132</f>
        <v>0</v>
      </c>
      <c r="F132" s="479">
        <v>0</v>
      </c>
      <c r="G132" s="468">
        <f t="shared" si="14"/>
        <v>0</v>
      </c>
      <c r="H132" s="455">
        <f>G132+'18'!H132</f>
        <v>0</v>
      </c>
      <c r="I132" s="475"/>
      <c r="J132" s="547">
        <f>H132/DAY(B2)</f>
        <v>0</v>
      </c>
      <c r="N132" s="379"/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536">
        <f>'18'!F133</f>
        <v>40031.519999999997</v>
      </c>
      <c r="F133" s="536">
        <v>40031.519999999997</v>
      </c>
      <c r="G133" s="468">
        <f t="shared" si="14"/>
        <v>0</v>
      </c>
      <c r="H133" s="455">
        <f>G133+'18'!H133</f>
        <v>-3.5800000000017462</v>
      </c>
      <c r="I133" s="475"/>
      <c r="J133" s="547">
        <f>H133/DAY(B2)</f>
        <v>-0.18842105263167086</v>
      </c>
      <c r="N133" s="379"/>
      <c r="O133" s="379"/>
    </row>
    <row r="134" spans="1:15" s="436" customFormat="1" ht="27.75">
      <c r="A134" s="1066" t="s">
        <v>297</v>
      </c>
      <c r="B134" s="1067"/>
      <c r="C134" s="1067"/>
      <c r="D134" s="622" t="s">
        <v>294</v>
      </c>
      <c r="E134" s="536">
        <f>'18'!F134</f>
        <v>300</v>
      </c>
      <c r="F134" s="536">
        <v>300</v>
      </c>
      <c r="G134" s="648">
        <f t="shared" si="14"/>
        <v>0</v>
      </c>
      <c r="H134" s="701">
        <f>G134+'18'!H134</f>
        <v>0</v>
      </c>
      <c r="I134" s="1068">
        <f>G131+G132+G133+G134</f>
        <v>0</v>
      </c>
      <c r="J134" s="703">
        <f>H134/DAY(B2)</f>
        <v>0</v>
      </c>
      <c r="N134" s="709"/>
      <c r="O134" s="709"/>
    </row>
    <row r="135" spans="1:15" ht="27.75">
      <c r="A135" s="1392" t="s">
        <v>298</v>
      </c>
      <c r="B135" s="1393"/>
      <c r="C135" s="1393"/>
      <c r="D135" s="518" t="s">
        <v>294</v>
      </c>
      <c r="E135" s="536">
        <f>'18'!F135</f>
        <v>41541</v>
      </c>
      <c r="F135" s="536">
        <v>41565</v>
      </c>
      <c r="G135" s="468">
        <f t="shared" si="14"/>
        <v>24</v>
      </c>
      <c r="H135" s="455">
        <f>G135+'18'!H135</f>
        <v>-165</v>
      </c>
      <c r="I135" s="475"/>
      <c r="J135" s="547">
        <f>H135/DAY(B2)</f>
        <v>-8.6842105263157894</v>
      </c>
      <c r="N135" s="379"/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536">
        <f>'18'!F136</f>
        <v>32582.98</v>
      </c>
      <c r="F136" s="536">
        <v>32582.92</v>
      </c>
      <c r="G136" s="468">
        <f t="shared" si="14"/>
        <v>-6.0000000001309672E-2</v>
      </c>
      <c r="H136" s="455">
        <f>G136+'18'!H136</f>
        <v>-132.08000000000175</v>
      </c>
      <c r="I136" s="475"/>
      <c r="J136" s="547">
        <f>H136/DAY(B2)</f>
        <v>-6.951578947368513</v>
      </c>
      <c r="N136" s="379"/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536">
        <f>'18'!F137</f>
        <v>22773.200000000001</v>
      </c>
      <c r="F137" s="536">
        <v>22773.200000000001</v>
      </c>
      <c r="G137" s="468">
        <f t="shared" si="14"/>
        <v>0</v>
      </c>
      <c r="H137" s="455">
        <f>G137+'18'!H137</f>
        <v>-34.040000000000873</v>
      </c>
      <c r="I137" s="475">
        <f>G135+G136+G137</f>
        <v>23.93999999999869</v>
      </c>
      <c r="J137" s="547">
        <f>H137/DAY(B2)</f>
        <v>-1.7915789473684669</v>
      </c>
      <c r="N137" s="379"/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536">
        <f>'18'!F138</f>
        <v>25051.72</v>
      </c>
      <c r="F138" s="536">
        <v>25051.72</v>
      </c>
      <c r="G138" s="468">
        <f t="shared" si="14"/>
        <v>0</v>
      </c>
      <c r="H138" s="455">
        <f>G138+'18'!H138</f>
        <v>-9.9999999998544808E-2</v>
      </c>
      <c r="I138" s="475"/>
      <c r="J138" s="547">
        <f>H138/DAY(B2)</f>
        <v>-5.2631578946602531E-3</v>
      </c>
      <c r="N138" s="379"/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536">
        <f>'18'!F139</f>
        <v>70370</v>
      </c>
      <c r="F139" s="536">
        <v>70370.02</v>
      </c>
      <c r="G139" s="468">
        <f t="shared" si="14"/>
        <v>2.0000000004074536E-2</v>
      </c>
      <c r="H139" s="455">
        <f>G139+'18'!H139</f>
        <v>-41.720000000001164</v>
      </c>
      <c r="I139" s="475">
        <f>G138+G139</f>
        <v>2.0000000004074536E-2</v>
      </c>
      <c r="J139" s="547">
        <f>H139/DAY(B2)</f>
        <v>-2.1957894736842718</v>
      </c>
      <c r="N139" s="379"/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79">
        <f>'18'!F140</f>
        <v>1755.27</v>
      </c>
      <c r="F140" s="479">
        <v>1762.57</v>
      </c>
      <c r="G140" s="468">
        <f t="shared" si="14"/>
        <v>7.2999999999999545</v>
      </c>
      <c r="H140" s="455">
        <f>G140+'18'!H140</f>
        <v>-91.730000000000018</v>
      </c>
      <c r="I140" s="537"/>
      <c r="J140" s="547">
        <f>H140/DAY(B2)</f>
        <v>-4.8278947368421061</v>
      </c>
      <c r="N140" s="379"/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79">
        <f>'18'!F141</f>
        <v>4636.88</v>
      </c>
      <c r="F141" s="479">
        <v>4636.88</v>
      </c>
      <c r="G141" s="468">
        <f t="shared" si="14"/>
        <v>0</v>
      </c>
      <c r="H141" s="455">
        <f>G141+'18'!H141</f>
        <v>-0.11999999999989086</v>
      </c>
      <c r="I141" s="537"/>
      <c r="J141" s="547">
        <f>H141/DAY(B2)</f>
        <v>-6.3157894736784667E-3</v>
      </c>
      <c r="N141" s="379"/>
      <c r="O141" s="379"/>
    </row>
    <row r="142" spans="1:15">
      <c r="A142" s="1488" t="s">
        <v>305</v>
      </c>
      <c r="B142" s="1489"/>
      <c r="C142" s="1398"/>
      <c r="D142" s="467"/>
      <c r="E142" s="467"/>
      <c r="F142" s="467" t="s">
        <v>338</v>
      </c>
      <c r="G142" s="478"/>
      <c r="H142" s="478"/>
      <c r="I142" s="478"/>
      <c r="J142" s="558"/>
      <c r="K142" s="377"/>
      <c r="L142" s="374"/>
      <c r="N142" s="379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3739.5399999999954</v>
      </c>
      <c r="H143" s="455">
        <f>G143+'18'!H143</f>
        <v>-54267</v>
      </c>
      <c r="I143" s="475"/>
      <c r="J143" s="547">
        <f>H143/DAY(B2)</f>
        <v>-2856.1578947368421</v>
      </c>
      <c r="K143" s="377"/>
      <c r="L143" s="374"/>
      <c r="N143" s="379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0.21997294117647032</v>
      </c>
      <c r="H144" s="455">
        <f>G144+'18'!H144</f>
        <v>-3.3044829150190513</v>
      </c>
      <c r="I144" s="539"/>
      <c r="J144" s="547">
        <f>H144/DAY(B2)</f>
        <v>-0.17392015342205533</v>
      </c>
      <c r="K144" s="377"/>
      <c r="L144" s="374"/>
      <c r="N144" s="379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4451.9900000000271</v>
      </c>
      <c r="H145" s="455">
        <f>G145+'18'!H145</f>
        <v>-63105.969999999994</v>
      </c>
      <c r="I145" s="475"/>
      <c r="J145" s="547">
        <f>H145/DAY(B2)</f>
        <v>-3321.366842105263</v>
      </c>
      <c r="K145" s="377"/>
      <c r="L145" s="374"/>
      <c r="N145" s="379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0.26188176470588392</v>
      </c>
      <c r="H146" s="455">
        <f>G146+'18'!H146</f>
        <v>-3.8489170963685297</v>
      </c>
      <c r="I146" s="539"/>
      <c r="J146" s="547">
        <f>H146/DAY(B2)</f>
        <v>-0.20257458401939629</v>
      </c>
      <c r="K146" s="377"/>
      <c r="L146" s="374"/>
      <c r="N146" s="379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2579</v>
      </c>
      <c r="H147" s="455">
        <f>G147+'18'!H147</f>
        <v>-33100</v>
      </c>
      <c r="I147" s="540"/>
      <c r="J147" s="547">
        <f>H147/DAY(B2)</f>
        <v>-1742.1052631578948</v>
      </c>
      <c r="K147" s="377"/>
      <c r="L147" s="374"/>
      <c r="N147" s="379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0.15170588235294116</v>
      </c>
      <c r="H148" s="455">
        <f>G148+'18'!H148</f>
        <v>-2.024632610975015</v>
      </c>
      <c r="I148" s="540"/>
      <c r="J148" s="547">
        <f>H148/DAY(B2)</f>
        <v>-0.10655961110394815</v>
      </c>
      <c r="N148" s="379"/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999</v>
      </c>
      <c r="H149" s="455">
        <f>G149+'18'!H149</f>
        <v>-14541</v>
      </c>
      <c r="I149" s="475"/>
      <c r="J149" s="547">
        <f>H149/DAY(B2)</f>
        <v>-765.31578947368416</v>
      </c>
      <c r="K149" s="378"/>
      <c r="N149" s="379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5.8764705882352941E-2</v>
      </c>
      <c r="H150" s="455">
        <f>G150+'18'!H150</f>
        <v>-0.88754768768648673</v>
      </c>
      <c r="I150" s="540"/>
      <c r="J150" s="547">
        <f>H150/DAY(B2)</f>
        <v>-4.6713036194025614E-2</v>
      </c>
      <c r="N150" s="379"/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793</v>
      </c>
      <c r="H151" s="455">
        <f>G151+'18'!H151</f>
        <v>335958</v>
      </c>
      <c r="I151" s="540"/>
      <c r="J151" s="547">
        <f>H151/DAY(B2)</f>
        <v>17682</v>
      </c>
      <c r="N151" s="379"/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4.664705882352941E-2</v>
      </c>
      <c r="H152" s="455">
        <f>G152+'18'!H152</f>
        <v>19.720951527375423</v>
      </c>
      <c r="I152" s="475"/>
      <c r="J152" s="547">
        <f>H152/DAY(B2)</f>
        <v>1.0379448172302854</v>
      </c>
      <c r="N152" s="379"/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1200</v>
      </c>
      <c r="H153" s="455">
        <f>G153+'18'!H153</f>
        <v>-15641</v>
      </c>
      <c r="I153" s="475"/>
      <c r="J153" s="547">
        <f>H153/DAY(B2)</f>
        <v>-823.21052631578948</v>
      </c>
      <c r="N153" s="379"/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7.0588235294117646E-2</v>
      </c>
      <c r="H154" s="455">
        <f>G154+'18'!H154</f>
        <v>-0.95110071254489803</v>
      </c>
      <c r="I154" s="563"/>
      <c r="J154" s="564">
        <f>H154/DAY(B2)</f>
        <v>-5.0057932239205162E-2</v>
      </c>
      <c r="N154" s="379"/>
      <c r="O154" s="379"/>
    </row>
    <row r="155" spans="1:15">
      <c r="A155" s="461"/>
      <c r="B155" s="451"/>
      <c r="C155" s="451"/>
      <c r="D155" s="541"/>
      <c r="E155" s="541"/>
      <c r="F155" s="541"/>
      <c r="G155" s="541"/>
      <c r="H155" s="542"/>
      <c r="I155" s="541"/>
      <c r="J155" s="543"/>
      <c r="O155" s="379"/>
    </row>
    <row r="161" spans="1:7">
      <c r="A161" s="780" t="s">
        <v>318</v>
      </c>
      <c r="B161" s="781"/>
      <c r="C161" s="781"/>
      <c r="D161" s="506" t="s">
        <v>253</v>
      </c>
      <c r="E161" s="654">
        <f>'18'!F161</f>
        <v>37386</v>
      </c>
      <c r="F161" s="654">
        <v>37462</v>
      </c>
      <c r="G161" s="468">
        <f t="shared" ref="G161:G164" si="15">F161-E161</f>
        <v>76</v>
      </c>
    </row>
    <row r="162" spans="1:7">
      <c r="A162" s="780" t="s">
        <v>319</v>
      </c>
      <c r="B162" s="781"/>
      <c r="C162" s="781"/>
      <c r="D162" s="506" t="s">
        <v>253</v>
      </c>
      <c r="E162" s="654">
        <f>'18'!F162</f>
        <v>89789</v>
      </c>
      <c r="F162" s="654">
        <v>90173</v>
      </c>
      <c r="G162" s="468">
        <f t="shared" si="15"/>
        <v>384</v>
      </c>
    </row>
    <row r="163" spans="1:7">
      <c r="A163" s="780" t="s">
        <v>320</v>
      </c>
      <c r="B163" s="781"/>
      <c r="C163" s="781"/>
      <c r="D163" s="506" t="s">
        <v>253</v>
      </c>
      <c r="E163" s="654">
        <f>'18'!F163</f>
        <v>42288</v>
      </c>
      <c r="F163" s="654">
        <v>42495</v>
      </c>
      <c r="G163" s="468">
        <f t="shared" si="15"/>
        <v>207</v>
      </c>
    </row>
    <row r="164" spans="1:7">
      <c r="A164" s="780" t="s">
        <v>321</v>
      </c>
      <c r="B164" s="781"/>
      <c r="C164" s="781"/>
      <c r="D164" s="506" t="s">
        <v>253</v>
      </c>
      <c r="E164" s="654">
        <f>'18'!F164</f>
        <v>6441</v>
      </c>
      <c r="F164" s="654">
        <v>6460</v>
      </c>
      <c r="G164" s="468">
        <f t="shared" si="15"/>
        <v>19</v>
      </c>
    </row>
    <row r="165" spans="1:7">
      <c r="A165" s="782" t="s">
        <v>252</v>
      </c>
      <c r="B165" s="599"/>
      <c r="C165" s="599"/>
      <c r="D165" s="506" t="s">
        <v>253</v>
      </c>
      <c r="E165" s="654">
        <f>'18'!F165</f>
        <v>20419</v>
      </c>
      <c r="F165" s="509">
        <v>20419</v>
      </c>
      <c r="G165" s="468">
        <f t="shared" ref="G165:G166" si="16">F165-E165</f>
        <v>0</v>
      </c>
    </row>
    <row r="166" spans="1:7">
      <c r="A166" s="782" t="s">
        <v>254</v>
      </c>
      <c r="B166" s="599"/>
      <c r="C166" s="599"/>
      <c r="D166" s="506" t="s">
        <v>253</v>
      </c>
      <c r="E166" s="654">
        <f>'18'!F166</f>
        <v>2427</v>
      </c>
      <c r="F166" s="509">
        <v>2431</v>
      </c>
      <c r="G166" s="468">
        <f t="shared" si="16"/>
        <v>4</v>
      </c>
    </row>
    <row r="167" spans="1:7" ht="27.75">
      <c r="A167" s="1502" t="s">
        <v>161</v>
      </c>
      <c r="B167" s="1502"/>
      <c r="C167" s="1502"/>
      <c r="D167" s="518" t="s">
        <v>253</v>
      </c>
      <c r="E167" s="654">
        <f>'18'!F167</f>
        <v>157207</v>
      </c>
      <c r="F167" s="509">
        <v>106166</v>
      </c>
      <c r="G167" s="468">
        <f>F64-E64</f>
        <v>323</v>
      </c>
    </row>
    <row r="168" spans="1:7" ht="27.75">
      <c r="A168" s="1502" t="s">
        <v>162</v>
      </c>
      <c r="B168" s="1502"/>
      <c r="C168" s="1502"/>
      <c r="D168" s="518" t="s">
        <v>253</v>
      </c>
      <c r="E168" s="654">
        <f>'18'!F168</f>
        <v>158219</v>
      </c>
      <c r="F168" s="509">
        <v>116811.03</v>
      </c>
      <c r="G168" s="468">
        <f t="shared" ref="G168:G172" si="17">F65-E65</f>
        <v>210</v>
      </c>
    </row>
    <row r="169" spans="1:7" ht="27.75">
      <c r="A169" s="1502" t="s">
        <v>255</v>
      </c>
      <c r="B169" s="1502"/>
      <c r="C169" s="1502"/>
      <c r="D169" s="518" t="s">
        <v>253</v>
      </c>
      <c r="E169" s="654">
        <f>'18'!F169</f>
        <v>53249</v>
      </c>
      <c r="F169" s="509">
        <v>9380.09</v>
      </c>
      <c r="G169" s="468">
        <f t="shared" si="17"/>
        <v>234</v>
      </c>
    </row>
    <row r="170" spans="1:7" ht="27.75">
      <c r="A170" s="1502" t="s">
        <v>157</v>
      </c>
      <c r="B170" s="1502"/>
      <c r="C170" s="1502"/>
      <c r="D170" s="518" t="s">
        <v>253</v>
      </c>
      <c r="E170" s="654">
        <f>'18'!F170</f>
        <v>246695</v>
      </c>
      <c r="F170" s="509">
        <v>180787.83</v>
      </c>
      <c r="G170" s="468">
        <f t="shared" si="17"/>
        <v>236</v>
      </c>
    </row>
    <row r="171" spans="1:7" ht="27.75">
      <c r="A171" s="1502" t="s">
        <v>164</v>
      </c>
      <c r="B171" s="1502"/>
      <c r="C171" s="1502"/>
      <c r="D171" s="518" t="s">
        <v>253</v>
      </c>
      <c r="E171" s="654">
        <f>'18'!F171</f>
        <v>85321</v>
      </c>
      <c r="F171" s="509">
        <v>59451.31</v>
      </c>
      <c r="G171" s="468">
        <f t="shared" si="17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654">
        <f>'18'!F172</f>
        <v>80350</v>
      </c>
      <c r="F172" s="509">
        <v>52064.98</v>
      </c>
      <c r="G172" s="468">
        <f t="shared" si="17"/>
        <v>104</v>
      </c>
    </row>
    <row r="173" spans="1:7">
      <c r="G173" s="532">
        <f>SUM(G161:G172)</f>
        <v>1797</v>
      </c>
    </row>
    <row r="174" spans="1:7" ht="27.75">
      <c r="A174" s="1502" t="s">
        <v>350</v>
      </c>
      <c r="B174" s="1502"/>
      <c r="C174" s="1502"/>
      <c r="D174" s="518" t="s">
        <v>253</v>
      </c>
      <c r="E174" s="654"/>
      <c r="F174" s="509"/>
      <c r="G174" s="468">
        <f t="shared" ref="G174" si="18">F174-E174</f>
        <v>0</v>
      </c>
    </row>
    <row r="177" ht="18.75" customHeight="1"/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82" zoomScale="55" zoomScaleSheetLayoutView="55" zoomScalePageLayoutView="78" workbookViewId="0">
      <selection activeCell="A33" sqref="A33:J33"/>
    </sheetView>
  </sheetViews>
  <sheetFormatPr defaultColWidth="22.33203125" defaultRowHeight="29.25"/>
  <cols>
    <col min="1" max="1" width="59.6640625" style="449" bestFit="1" customWidth="1"/>
    <col min="2" max="2" width="30.777343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1250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351</v>
      </c>
      <c r="B2" s="1028">
        <v>44336</v>
      </c>
      <c r="C2" s="1394" t="s">
        <v>111</v>
      </c>
      <c r="D2" s="606">
        <v>0.24</v>
      </c>
      <c r="E2" s="456"/>
      <c r="F2" s="456"/>
      <c r="G2" s="1221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27</v>
      </c>
      <c r="E3" s="1474" t="s">
        <v>187</v>
      </c>
      <c r="F3" s="1475"/>
      <c r="G3" s="1222">
        <f>'1'!G3</f>
        <v>0</v>
      </c>
      <c r="H3" s="458">
        <f>'1'!H3</f>
        <v>0</v>
      </c>
      <c r="I3" s="458">
        <f>'1'!I3</f>
        <v>0</v>
      </c>
      <c r="J3" s="610">
        <f>'1'!J3</f>
        <v>0</v>
      </c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0.84</v>
      </c>
      <c r="E4" s="459"/>
      <c r="F4" s="459"/>
      <c r="G4" s="1222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122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1224"/>
      <c r="H6" s="467"/>
      <c r="I6" s="467"/>
      <c r="J6" s="546"/>
      <c r="K6" s="423"/>
      <c r="L6" s="374"/>
    </row>
    <row r="7" spans="1:15" ht="30" thickBot="1">
      <c r="A7" s="573" t="s">
        <v>197</v>
      </c>
      <c r="B7" s="574"/>
      <c r="C7" s="574"/>
      <c r="D7" s="518" t="s">
        <v>198</v>
      </c>
      <c r="E7" s="450">
        <f>'19'!F7</f>
        <v>674941</v>
      </c>
      <c r="F7" s="450">
        <f>E7+17000</f>
        <v>691941</v>
      </c>
      <c r="G7" s="1225">
        <f>F7-E7</f>
        <v>17000</v>
      </c>
      <c r="H7" s="455">
        <f>G7+'19'!H7</f>
        <v>347529</v>
      </c>
      <c r="I7" s="469">
        <f>'1'!I7</f>
        <v>12000</v>
      </c>
      <c r="J7" s="547">
        <f>H7/DAY(B2)</f>
        <v>17376.45</v>
      </c>
      <c r="K7" s="544">
        <v>11998</v>
      </c>
      <c r="L7" s="374">
        <f>G7-K7</f>
        <v>5002</v>
      </c>
      <c r="N7" s="379"/>
      <c r="O7" s="379"/>
    </row>
    <row r="8" spans="1:15" ht="27.75" thickBot="1">
      <c r="A8" s="575" t="s">
        <v>199</v>
      </c>
      <c r="B8" s="576"/>
      <c r="C8" s="577"/>
      <c r="D8" s="612" t="s">
        <v>59</v>
      </c>
      <c r="E8" s="470">
        <f>'19'!F8</f>
        <v>678895</v>
      </c>
      <c r="F8" s="470">
        <f>E8+17150</f>
        <v>696045</v>
      </c>
      <c r="G8" s="1226">
        <f>F8-E8</f>
        <v>17150</v>
      </c>
      <c r="H8" s="455">
        <f>G8+'19'!H8</f>
        <v>349535</v>
      </c>
      <c r="I8" s="472">
        <f>'1'!I8</f>
        <v>12000</v>
      </c>
      <c r="J8" s="547">
        <f>H8/DAY(B2)</f>
        <v>17476.75</v>
      </c>
      <c r="K8" s="544"/>
      <c r="L8" s="421"/>
      <c r="M8" s="435"/>
      <c r="N8" s="379"/>
      <c r="O8" s="379"/>
    </row>
    <row r="9" spans="1:15">
      <c r="A9" s="578" t="s">
        <v>200</v>
      </c>
      <c r="B9" s="579"/>
      <c r="C9" s="579"/>
      <c r="D9" s="518" t="s">
        <v>198</v>
      </c>
      <c r="E9" s="473">
        <f>'19'!F9</f>
        <v>1796672</v>
      </c>
      <c r="F9" s="473">
        <f>E9+16950</f>
        <v>1813622</v>
      </c>
      <c r="G9" s="1225">
        <f t="shared" ref="G9:G12" si="0">F9-E9</f>
        <v>16950</v>
      </c>
      <c r="H9" s="455">
        <f>G9+'19'!H9</f>
        <v>339932</v>
      </c>
      <c r="I9" s="474">
        <f>I8-J8</f>
        <v>-5476.75</v>
      </c>
      <c r="J9" s="547">
        <f>H9/DAY(B2)</f>
        <v>16996.599999999999</v>
      </c>
      <c r="K9" s="424"/>
      <c r="L9" s="374"/>
      <c r="N9" s="379"/>
      <c r="O9" s="379"/>
    </row>
    <row r="10" spans="1:15">
      <c r="A10" s="573" t="s">
        <v>201</v>
      </c>
      <c r="B10" s="574"/>
      <c r="C10" s="574"/>
      <c r="D10" s="518" t="s">
        <v>198</v>
      </c>
      <c r="E10" s="473">
        <f>'19'!F10</f>
        <v>0</v>
      </c>
      <c r="F10" s="473"/>
      <c r="G10" s="1225">
        <f t="shared" si="0"/>
        <v>0</v>
      </c>
      <c r="H10" s="455">
        <f>G10+'19'!H10</f>
        <v>-2606.13</v>
      </c>
      <c r="I10" s="475"/>
      <c r="J10" s="547">
        <f>H10/DAY(B2)</f>
        <v>-130.3065</v>
      </c>
      <c r="K10" s="424"/>
      <c r="L10" s="374"/>
      <c r="N10" s="379"/>
      <c r="O10" s="379"/>
    </row>
    <row r="11" spans="1:15">
      <c r="A11" s="573" t="s">
        <v>202</v>
      </c>
      <c r="B11" s="574"/>
      <c r="C11" s="574"/>
      <c r="D11" s="518" t="s">
        <v>198</v>
      </c>
      <c r="E11" s="450">
        <f>'5'!E11</f>
        <v>37000</v>
      </c>
      <c r="F11" s="450">
        <v>37000</v>
      </c>
      <c r="G11" s="1225">
        <f t="shared" si="0"/>
        <v>0</v>
      </c>
      <c r="H11" s="455">
        <f>G11+'19'!H11</f>
        <v>0</v>
      </c>
      <c r="I11" s="475"/>
      <c r="J11" s="547">
        <f>H11/DAY(B2)</f>
        <v>0</v>
      </c>
      <c r="K11" s="424"/>
      <c r="L11" s="374"/>
      <c r="N11" s="379"/>
      <c r="O11" s="379"/>
    </row>
    <row r="12" spans="1:15">
      <c r="A12" s="573" t="s">
        <v>203</v>
      </c>
      <c r="B12" s="574"/>
      <c r="C12" s="574"/>
      <c r="D12" s="518" t="s">
        <v>198</v>
      </c>
      <c r="E12" s="473">
        <f>'5'!E12</f>
        <v>40010</v>
      </c>
      <c r="F12" s="473">
        <v>40010</v>
      </c>
      <c r="G12" s="1225">
        <f t="shared" si="0"/>
        <v>0</v>
      </c>
      <c r="H12" s="455">
        <f>G12+'19'!H12</f>
        <v>0</v>
      </c>
      <c r="I12" s="475"/>
      <c r="J12" s="547">
        <f>H12/DAY(B2)</f>
        <v>0</v>
      </c>
      <c r="K12" s="424"/>
      <c r="L12" s="374"/>
      <c r="N12" s="379"/>
      <c r="O12" s="379"/>
    </row>
    <row r="13" spans="1:15">
      <c r="A13" s="580" t="s">
        <v>204</v>
      </c>
      <c r="B13" s="581"/>
      <c r="C13" s="581"/>
      <c r="D13" s="518"/>
      <c r="E13" s="450"/>
      <c r="F13" s="450"/>
      <c r="G13" s="1227">
        <f>G9+G10+G11+G12</f>
        <v>16950</v>
      </c>
      <c r="H13" s="455">
        <f>G13+'19'!H13</f>
        <v>320800.87</v>
      </c>
      <c r="I13" s="477">
        <f>G7-G13</f>
        <v>50</v>
      </c>
      <c r="J13" s="547">
        <f>H13/DAY(B2)</f>
        <v>16040.0435</v>
      </c>
      <c r="K13" s="424"/>
      <c r="L13" s="374"/>
      <c r="N13" s="379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1228"/>
      <c r="H14" s="467"/>
      <c r="I14" s="467"/>
      <c r="J14" s="546"/>
      <c r="K14" s="425"/>
      <c r="L14" s="374"/>
      <c r="N14" s="379"/>
      <c r="O14" s="379"/>
    </row>
    <row r="15" spans="1:15">
      <c r="A15" s="1392" t="s">
        <v>133</v>
      </c>
      <c r="B15" s="584"/>
      <c r="C15" s="584"/>
      <c r="D15" s="518" t="s">
        <v>206</v>
      </c>
      <c r="E15" s="479">
        <f>'19'!F15</f>
        <v>1694132</v>
      </c>
      <c r="F15" s="479">
        <f>E15+550</f>
        <v>1694682</v>
      </c>
      <c r="G15" s="1229">
        <f>(F15-E15)</f>
        <v>550</v>
      </c>
      <c r="H15" s="455">
        <f>G15+'19'!H15</f>
        <v>10158</v>
      </c>
      <c r="I15" s="469">
        <v>800</v>
      </c>
      <c r="J15" s="547">
        <f>H15/DAY(B2)</f>
        <v>507.9</v>
      </c>
      <c r="K15" s="424"/>
      <c r="L15" s="374"/>
      <c r="N15" s="379"/>
      <c r="O15" s="717"/>
    </row>
    <row r="16" spans="1:15">
      <c r="A16" s="582"/>
      <c r="B16" s="583"/>
      <c r="C16" s="583"/>
      <c r="D16" s="519"/>
      <c r="E16" s="480"/>
      <c r="F16" s="480"/>
      <c r="G16" s="1225"/>
      <c r="H16" s="481"/>
      <c r="I16" s="482">
        <f>I15-J15</f>
        <v>292.10000000000002</v>
      </c>
      <c r="J16" s="548"/>
      <c r="K16" s="424"/>
      <c r="L16" s="374"/>
      <c r="N16" s="379"/>
      <c r="O16" s="379"/>
    </row>
    <row r="17" spans="1:15">
      <c r="A17" s="1471" t="s">
        <v>207</v>
      </c>
      <c r="B17" s="1472"/>
      <c r="C17" s="1473"/>
      <c r="D17" s="467"/>
      <c r="E17" s="467"/>
      <c r="F17" s="467"/>
      <c r="G17" s="1228"/>
      <c r="H17" s="467"/>
      <c r="I17" s="467"/>
      <c r="J17" s="546"/>
      <c r="K17" s="424"/>
      <c r="L17" s="374"/>
      <c r="N17" s="379"/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79">
        <f>'19'!F18</f>
        <v>0</v>
      </c>
      <c r="F18" s="479">
        <v>0</v>
      </c>
      <c r="G18" s="1227">
        <f>F18*10</f>
        <v>0</v>
      </c>
      <c r="H18" s="455">
        <f>G18+'19'!H18</f>
        <v>920</v>
      </c>
      <c r="I18" s="469">
        <f>'1'!I18</f>
        <v>65</v>
      </c>
      <c r="J18" s="547">
        <f>H18/DAY(B2)</f>
        <v>46</v>
      </c>
      <c r="K18" s="424"/>
      <c r="L18" s="374"/>
      <c r="N18" s="379"/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79">
        <f>'19'!F19</f>
        <v>138909</v>
      </c>
      <c r="F19" s="479">
        <v>138966</v>
      </c>
      <c r="G19" s="1225">
        <f t="shared" ref="G19" si="1">F19-E19</f>
        <v>57</v>
      </c>
      <c r="H19" s="455">
        <f>G19+'19'!H19</f>
        <v>-646</v>
      </c>
      <c r="I19" s="484"/>
      <c r="J19" s="547">
        <f>H19/DAY(B2)</f>
        <v>-32.299999999999997</v>
      </c>
      <c r="K19" s="424"/>
      <c r="L19" s="374"/>
      <c r="N19" s="379"/>
      <c r="O19" s="379"/>
    </row>
    <row r="20" spans="1:15">
      <c r="A20" s="580" t="s">
        <v>210</v>
      </c>
      <c r="B20" s="581"/>
      <c r="C20" s="581"/>
      <c r="D20" s="485"/>
      <c r="E20" s="485"/>
      <c r="F20" s="485"/>
      <c r="G20" s="1230">
        <f>G18+G19</f>
        <v>57</v>
      </c>
      <c r="H20" s="455">
        <f>G20+'19'!H20</f>
        <v>274</v>
      </c>
      <c r="I20" s="487">
        <f>I18-J20</f>
        <v>51.3</v>
      </c>
      <c r="J20" s="547">
        <f>H20/DAY(B2)</f>
        <v>13.7</v>
      </c>
      <c r="K20" s="424"/>
      <c r="L20" s="374"/>
      <c r="N20" s="379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1228"/>
      <c r="H21" s="467"/>
      <c r="I21" s="467"/>
      <c r="J21" s="546"/>
      <c r="K21" s="424"/>
      <c r="L21" s="374"/>
      <c r="N21" s="379"/>
      <c r="O21" s="379"/>
    </row>
    <row r="22" spans="1:15">
      <c r="A22" s="1392" t="s">
        <v>212</v>
      </c>
      <c r="B22" s="584"/>
      <c r="C22" s="584"/>
      <c r="D22" s="518" t="s">
        <v>213</v>
      </c>
      <c r="E22" s="479">
        <f>'19'!F22</f>
        <v>2970</v>
      </c>
      <c r="F22" s="479">
        <v>2970</v>
      </c>
      <c r="G22" s="1227">
        <v>0</v>
      </c>
      <c r="H22" s="455">
        <f>G22+'19'!H22</f>
        <v>0</v>
      </c>
      <c r="I22" s="475"/>
      <c r="J22" s="547">
        <f>H22/DAY(B2)</f>
        <v>0</v>
      </c>
      <c r="K22" s="424"/>
      <c r="L22" s="374"/>
      <c r="N22" s="379"/>
      <c r="O22" s="379"/>
    </row>
    <row r="23" spans="1:15">
      <c r="A23" s="1392" t="s">
        <v>214</v>
      </c>
      <c r="B23" s="584"/>
      <c r="C23" s="584"/>
      <c r="D23" s="518" t="s">
        <v>213</v>
      </c>
      <c r="E23" s="479">
        <f>'19'!F23</f>
        <v>2000</v>
      </c>
      <c r="F23" s="479">
        <v>2000</v>
      </c>
      <c r="G23" s="1227">
        <v>0</v>
      </c>
      <c r="H23" s="455">
        <f>G23+'19'!H23</f>
        <v>0</v>
      </c>
      <c r="I23" s="475"/>
      <c r="J23" s="547">
        <f>H23/DAY(B2)</f>
        <v>0</v>
      </c>
      <c r="K23" s="424"/>
      <c r="L23" s="374"/>
      <c r="N23" s="379"/>
      <c r="O23" s="379"/>
    </row>
    <row r="24" spans="1:15">
      <c r="A24" s="585" t="s">
        <v>215</v>
      </c>
      <c r="B24" s="586"/>
      <c r="C24" s="586"/>
      <c r="D24" s="506" t="s">
        <v>213</v>
      </c>
      <c r="E24" s="329">
        <v>4970</v>
      </c>
      <c r="F24" s="329">
        <v>4970</v>
      </c>
      <c r="G24" s="1227">
        <v>0</v>
      </c>
      <c r="H24" s="455">
        <f>G24+'19'!H24</f>
        <v>0</v>
      </c>
      <c r="I24" s="475"/>
      <c r="J24" s="547">
        <f>H24/DAY(B2)</f>
        <v>0</v>
      </c>
      <c r="K24" s="424"/>
      <c r="L24" s="374"/>
      <c r="N24" s="379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1231"/>
      <c r="H25" s="490"/>
      <c r="I25" s="491"/>
      <c r="J25" s="549"/>
      <c r="K25" s="370"/>
      <c r="L25" s="438"/>
      <c r="N25" s="439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1232"/>
      <c r="H26" s="455"/>
      <c r="I26" s="494"/>
      <c r="J26" s="547"/>
      <c r="K26" s="371"/>
      <c r="L26" s="438"/>
      <c r="N26" s="439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6">
        <f>G8</f>
        <v>17150</v>
      </c>
      <c r="F27" s="496">
        <v>9</v>
      </c>
      <c r="G27" s="1233">
        <f>E27*F27</f>
        <v>154350</v>
      </c>
      <c r="H27" s="455">
        <f>G27+'19'!H27</f>
        <v>3144978</v>
      </c>
      <c r="I27" s="498"/>
      <c r="J27" s="547">
        <f>H27/DAY(B2)</f>
        <v>157248.9</v>
      </c>
      <c r="K27" s="370"/>
      <c r="L27" s="438"/>
      <c r="N27" s="439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6">
        <f>G15</f>
        <v>550</v>
      </c>
      <c r="F28" s="496">
        <v>52</v>
      </c>
      <c r="G28" s="1233">
        <f>E28*F28</f>
        <v>28600</v>
      </c>
      <c r="H28" s="455">
        <f>G28+'19'!H28</f>
        <v>528216</v>
      </c>
      <c r="I28" s="500"/>
      <c r="J28" s="547">
        <f>H28/DAY(B2)</f>
        <v>26410.799999999999</v>
      </c>
      <c r="K28" s="370"/>
      <c r="L28" s="438"/>
      <c r="N28" s="439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496">
        <f>G24</f>
        <v>0</v>
      </c>
      <c r="F29" s="496">
        <v>69</v>
      </c>
      <c r="G29" s="1233">
        <f>E29*F29</f>
        <v>0</v>
      </c>
      <c r="H29" s="455">
        <f>G29+'19'!H29</f>
        <v>8280</v>
      </c>
      <c r="I29" s="500"/>
      <c r="J29" s="547">
        <f>H29/DAY(B2)</f>
        <v>414</v>
      </c>
      <c r="K29" s="370"/>
      <c r="L29" s="438"/>
      <c r="N29" s="439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496">
        <f>G19</f>
        <v>57</v>
      </c>
      <c r="F30" s="496">
        <v>146</v>
      </c>
      <c r="G30" s="1233">
        <f>E30*F30</f>
        <v>8322</v>
      </c>
      <c r="H30" s="455">
        <f>G30+'19'!H30</f>
        <v>-94316</v>
      </c>
      <c r="I30" s="500"/>
      <c r="J30" s="547">
        <f>H30/DAY(B2)</f>
        <v>-4715.8</v>
      </c>
      <c r="K30" s="370"/>
      <c r="L30" s="438"/>
      <c r="N30" s="439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496">
        <f>G18</f>
        <v>0</v>
      </c>
      <c r="F31" s="496">
        <v>80</v>
      </c>
      <c r="G31" s="1233">
        <f>E31*F31</f>
        <v>0</v>
      </c>
      <c r="H31" s="455">
        <f>G31+'19'!H31</f>
        <v>73600</v>
      </c>
      <c r="I31" s="500"/>
      <c r="J31" s="547">
        <f>H31/DAY(B2)</f>
        <v>3680</v>
      </c>
      <c r="K31" s="370"/>
      <c r="L31" s="438"/>
      <c r="N31" s="439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1234">
        <f>G27+G28+G29+G30+G31</f>
        <v>191272</v>
      </c>
      <c r="H32" s="455">
        <f>G32+'19'!H32</f>
        <v>3660758</v>
      </c>
      <c r="I32" s="504"/>
      <c r="J32" s="547">
        <f>H32/DAY(B2)</f>
        <v>183037.9</v>
      </c>
      <c r="K32" s="370"/>
      <c r="L32" s="438"/>
      <c r="N32" s="439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  <c r="O33" s="379"/>
    </row>
    <row r="34" spans="1:15">
      <c r="A34" s="593" t="s">
        <v>228</v>
      </c>
      <c r="B34" s="1397"/>
      <c r="C34" s="1397"/>
      <c r="D34" s="467"/>
      <c r="E34" s="466"/>
      <c r="F34" s="466"/>
      <c r="G34" s="1235"/>
      <c r="H34" s="467"/>
      <c r="I34" s="467"/>
      <c r="J34" s="546" t="s">
        <v>352</v>
      </c>
      <c r="K34" s="424"/>
      <c r="L34" s="374"/>
      <c r="N34" s="379"/>
      <c r="O34" s="379"/>
    </row>
    <row r="35" spans="1:15">
      <c r="A35" s="573" t="s">
        <v>229</v>
      </c>
      <c r="B35" s="574"/>
      <c r="C35" s="574"/>
      <c r="D35" s="518" t="s">
        <v>198</v>
      </c>
      <c r="E35" s="505">
        <f>'19'!F35</f>
        <v>923755</v>
      </c>
      <c r="F35" s="505">
        <v>925573</v>
      </c>
      <c r="G35" s="1225">
        <f t="shared" ref="G35:G46" si="2">F35-E35</f>
        <v>1818</v>
      </c>
      <c r="H35" s="455">
        <f>G35+'19'!H35</f>
        <v>-24915</v>
      </c>
      <c r="I35" s="450"/>
      <c r="J35" s="547">
        <f>H35/DAY(B2)</f>
        <v>-1245.75</v>
      </c>
      <c r="K35" s="424">
        <v>1457.2799999999697</v>
      </c>
      <c r="L35" s="374">
        <f>G35-K35</f>
        <v>360.72000000003027</v>
      </c>
      <c r="N35" s="379"/>
      <c r="O35" s="623"/>
    </row>
    <row r="36" spans="1:15">
      <c r="A36" s="573" t="s">
        <v>230</v>
      </c>
      <c r="B36" s="574"/>
      <c r="C36" s="574"/>
      <c r="D36" s="518" t="s">
        <v>198</v>
      </c>
      <c r="E36" s="505">
        <f>'19'!F36</f>
        <v>347065</v>
      </c>
      <c r="F36" s="505">
        <v>347065</v>
      </c>
      <c r="G36" s="1225">
        <f t="shared" si="2"/>
        <v>0</v>
      </c>
      <c r="H36" s="455">
        <f>G36+'19'!H36</f>
        <v>346892</v>
      </c>
      <c r="I36" s="450"/>
      <c r="J36" s="547">
        <f>H36/DAY(B2)</f>
        <v>17344.599999999999</v>
      </c>
      <c r="K36" s="424">
        <v>483.92999999999302</v>
      </c>
      <c r="L36" s="374">
        <f t="shared" ref="L36:L60" si="3">G36-K36</f>
        <v>-483.92999999999302</v>
      </c>
      <c r="N36" s="379"/>
      <c r="O36" s="623"/>
    </row>
    <row r="37" spans="1:15">
      <c r="A37" s="573" t="s">
        <v>231</v>
      </c>
      <c r="B37" s="574"/>
      <c r="C37" s="574"/>
      <c r="D37" s="518" t="s">
        <v>198</v>
      </c>
      <c r="E37" s="505">
        <f>'19'!F37</f>
        <v>118595</v>
      </c>
      <c r="F37" s="505">
        <v>119850</v>
      </c>
      <c r="G37" s="1225">
        <f>F37-E37</f>
        <v>1255</v>
      </c>
      <c r="H37" s="455">
        <f>G37+'19'!H37</f>
        <v>-14386</v>
      </c>
      <c r="I37" s="450"/>
      <c r="J37" s="547">
        <f>H37/DAY(B2)</f>
        <v>-719.3</v>
      </c>
      <c r="K37" s="424">
        <v>1173.9200000000128</v>
      </c>
      <c r="L37" s="374">
        <f>G37-K37</f>
        <v>81.079999999987194</v>
      </c>
      <c r="N37" s="379"/>
      <c r="O37" s="379"/>
    </row>
    <row r="38" spans="1:15">
      <c r="A38" s="573" t="s">
        <v>232</v>
      </c>
      <c r="B38" s="574"/>
      <c r="C38" s="574"/>
      <c r="D38" s="518" t="s">
        <v>198</v>
      </c>
      <c r="E38" s="505">
        <f>'19'!F38</f>
        <v>141864</v>
      </c>
      <c r="F38" s="464">
        <v>142842</v>
      </c>
      <c r="G38" s="1225">
        <f t="shared" si="2"/>
        <v>978</v>
      </c>
      <c r="H38" s="455">
        <f>G38+'19'!H38</f>
        <v>-13563</v>
      </c>
      <c r="I38" s="450"/>
      <c r="J38" s="547">
        <f>H38/DAY(B2)</f>
        <v>-678.15</v>
      </c>
      <c r="K38" s="424">
        <v>0</v>
      </c>
      <c r="L38" s="374">
        <f t="shared" si="3"/>
        <v>978</v>
      </c>
      <c r="N38" s="379"/>
      <c r="O38" s="379"/>
    </row>
    <row r="39" spans="1:15">
      <c r="A39" s="573" t="s">
        <v>233</v>
      </c>
      <c r="B39" s="574"/>
      <c r="C39" s="574"/>
      <c r="D39" s="518" t="s">
        <v>198</v>
      </c>
      <c r="E39" s="505">
        <f>'19'!F39</f>
        <v>281607</v>
      </c>
      <c r="F39" s="505">
        <v>283568</v>
      </c>
      <c r="G39" s="1225">
        <f t="shared" si="2"/>
        <v>1961</v>
      </c>
      <c r="H39" s="455">
        <f>G39+'19'!H39</f>
        <v>-24605</v>
      </c>
      <c r="I39" s="450"/>
      <c r="J39" s="547">
        <f>H39/DAY(B2)</f>
        <v>-1230.25</v>
      </c>
      <c r="K39" s="424">
        <v>1987.0400000000373</v>
      </c>
      <c r="L39" s="374">
        <f t="shared" si="3"/>
        <v>-26.040000000037253</v>
      </c>
      <c r="N39" s="379"/>
      <c r="O39" s="379"/>
    </row>
    <row r="40" spans="1:15">
      <c r="A40" s="594" t="s">
        <v>234</v>
      </c>
      <c r="B40" s="595"/>
      <c r="C40" s="595"/>
      <c r="D40" s="518" t="s">
        <v>198</v>
      </c>
      <c r="E40" s="505">
        <f>'19'!F40</f>
        <v>587</v>
      </c>
      <c r="F40" s="505">
        <v>587</v>
      </c>
      <c r="G40" s="1225">
        <f t="shared" si="2"/>
        <v>0</v>
      </c>
      <c r="H40" s="455">
        <f>G40+'19'!H40</f>
        <v>-302</v>
      </c>
      <c r="I40" s="450"/>
      <c r="J40" s="547">
        <f>H40/DAY(B2)</f>
        <v>-15.1</v>
      </c>
      <c r="K40" s="425">
        <v>0</v>
      </c>
      <c r="L40" s="374">
        <f t="shared" si="3"/>
        <v>0</v>
      </c>
      <c r="N40" s="379"/>
      <c r="O40" s="379"/>
    </row>
    <row r="41" spans="1:15">
      <c r="A41" s="573" t="s">
        <v>235</v>
      </c>
      <c r="B41" s="574"/>
      <c r="C41" s="574"/>
      <c r="D41" s="518" t="s">
        <v>198</v>
      </c>
      <c r="E41" s="505">
        <f>'19'!F41</f>
        <v>239668</v>
      </c>
      <c r="F41" s="505">
        <v>239668</v>
      </c>
      <c r="G41" s="1225">
        <f t="shared" si="2"/>
        <v>0</v>
      </c>
      <c r="H41" s="455">
        <f>G41+'19'!H41</f>
        <v>-810</v>
      </c>
      <c r="I41" s="450"/>
      <c r="J41" s="547">
        <f>H41/DAY(B2)</f>
        <v>-40.5</v>
      </c>
      <c r="K41" s="424">
        <v>0</v>
      </c>
      <c r="L41" s="374">
        <f t="shared" si="3"/>
        <v>0</v>
      </c>
      <c r="N41" s="379"/>
      <c r="O41" s="717"/>
    </row>
    <row r="42" spans="1:15">
      <c r="A42" s="573" t="s">
        <v>236</v>
      </c>
      <c r="B42" s="574"/>
      <c r="C42" s="574"/>
      <c r="D42" s="518" t="s">
        <v>198</v>
      </c>
      <c r="E42" s="505">
        <f>'19'!F42</f>
        <v>59200</v>
      </c>
      <c r="F42" s="505">
        <v>59200</v>
      </c>
      <c r="G42" s="1225">
        <f t="shared" si="2"/>
        <v>0</v>
      </c>
      <c r="H42" s="455">
        <f>G42+'19'!H42</f>
        <v>1.0299999999988358</v>
      </c>
      <c r="I42" s="450"/>
      <c r="J42" s="547">
        <f>H42/DAY(B2)</f>
        <v>5.1499999999941794E-2</v>
      </c>
      <c r="K42" s="424">
        <v>3246.4500000000007</v>
      </c>
      <c r="L42" s="374">
        <f t="shared" si="3"/>
        <v>-3246.4500000000007</v>
      </c>
      <c r="N42" s="379"/>
      <c r="O42" s="379"/>
    </row>
    <row r="43" spans="1:15">
      <c r="A43" s="573" t="s">
        <v>237</v>
      </c>
      <c r="B43" s="574"/>
      <c r="C43" s="574"/>
      <c r="D43" s="518" t="s">
        <v>198</v>
      </c>
      <c r="E43" s="505">
        <f>'19'!F43</f>
        <v>1014999</v>
      </c>
      <c r="F43" s="505">
        <v>1017117</v>
      </c>
      <c r="G43" s="1225">
        <f t="shared" si="2"/>
        <v>2118</v>
      </c>
      <c r="H43" s="455">
        <f>G43+'19'!H43</f>
        <v>-25127</v>
      </c>
      <c r="I43" s="450"/>
      <c r="J43" s="547">
        <f>H43/DAY(B2)</f>
        <v>-1256.3499999999999</v>
      </c>
      <c r="K43" s="424">
        <v>1559.2000000000116</v>
      </c>
      <c r="L43" s="374">
        <f t="shared" si="3"/>
        <v>558.79999999998836</v>
      </c>
      <c r="N43" s="379"/>
      <c r="O43" s="379"/>
    </row>
    <row r="44" spans="1:15">
      <c r="A44" s="573" t="s">
        <v>238</v>
      </c>
      <c r="B44" s="574"/>
      <c r="C44" s="574"/>
      <c r="D44" s="518" t="s">
        <v>198</v>
      </c>
      <c r="E44" s="505">
        <f>'19'!F44</f>
        <v>0</v>
      </c>
      <c r="F44" s="505">
        <v>0</v>
      </c>
      <c r="G44" s="1225">
        <f t="shared" si="2"/>
        <v>0</v>
      </c>
      <c r="H44" s="455">
        <f>G44+'19'!H44</f>
        <v>0</v>
      </c>
      <c r="I44" s="450"/>
      <c r="J44" s="547">
        <f>H44/DAY(B2)</f>
        <v>0</v>
      </c>
      <c r="K44" s="424">
        <v>0</v>
      </c>
      <c r="L44" s="374">
        <f t="shared" si="3"/>
        <v>0</v>
      </c>
      <c r="N44" s="379"/>
      <c r="O44" s="379"/>
    </row>
    <row r="45" spans="1:15">
      <c r="A45" s="573" t="s">
        <v>239</v>
      </c>
      <c r="B45" s="574"/>
      <c r="C45" s="574"/>
      <c r="D45" s="518" t="s">
        <v>198</v>
      </c>
      <c r="E45" s="505">
        <f>'19'!F45</f>
        <v>0</v>
      </c>
      <c r="F45" s="505">
        <v>0</v>
      </c>
      <c r="G45" s="1225">
        <f t="shared" si="2"/>
        <v>0</v>
      </c>
      <c r="H45" s="455">
        <f>G45+'19'!H45</f>
        <v>0</v>
      </c>
      <c r="I45" s="450"/>
      <c r="J45" s="547">
        <f>H45/DAY(B2)</f>
        <v>0</v>
      </c>
      <c r="K45" s="424">
        <v>0</v>
      </c>
      <c r="L45" s="374">
        <f t="shared" si="3"/>
        <v>0</v>
      </c>
      <c r="N45" s="379"/>
      <c r="O45" s="379"/>
    </row>
    <row r="46" spans="1:15">
      <c r="A46" s="573" t="s">
        <v>240</v>
      </c>
      <c r="B46" s="574"/>
      <c r="C46" s="574"/>
      <c r="D46" s="518" t="s">
        <v>198</v>
      </c>
      <c r="E46" s="505">
        <f>'19'!F46</f>
        <v>0</v>
      </c>
      <c r="F46" s="505">
        <v>0</v>
      </c>
      <c r="G46" s="1225">
        <f t="shared" si="2"/>
        <v>0</v>
      </c>
      <c r="H46" s="455">
        <f>G46+'19'!H46</f>
        <v>-5.0000000000011369E-2</v>
      </c>
      <c r="I46" s="450"/>
      <c r="J46" s="547">
        <f>H46/DAY(B2)</f>
        <v>-2.5000000000005686E-3</v>
      </c>
      <c r="K46" s="424">
        <v>0</v>
      </c>
      <c r="L46" s="374">
        <f t="shared" si="3"/>
        <v>0</v>
      </c>
      <c r="N46" s="379"/>
      <c r="O46" s="379"/>
    </row>
    <row r="47" spans="1:15">
      <c r="A47" s="580" t="s">
        <v>241</v>
      </c>
      <c r="B47" s="581"/>
      <c r="C47" s="581"/>
      <c r="D47" s="465"/>
      <c r="E47" s="506"/>
      <c r="F47" s="506"/>
      <c r="G47" s="1227">
        <f>G35+G36+G37+G38+G39+G40+G41+G42+G43+G44+G45+G46</f>
        <v>8130</v>
      </c>
      <c r="H47" s="455">
        <f>G47+'19'!H47</f>
        <v>243185.47000000003</v>
      </c>
      <c r="I47" s="450"/>
      <c r="J47" s="547">
        <f>H47/DAY(B2)</f>
        <v>12159.273500000001</v>
      </c>
      <c r="K47" s="424">
        <v>9907.8200000000252</v>
      </c>
      <c r="L47" s="374">
        <f t="shared" si="3"/>
        <v>-1777.8200000000252</v>
      </c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1235"/>
      <c r="H48" s="467"/>
      <c r="I48" s="467"/>
      <c r="J48" s="546"/>
      <c r="K48" s="424"/>
      <c r="L48" s="374">
        <f t="shared" si="3"/>
        <v>0</v>
      </c>
      <c r="N48" s="379"/>
      <c r="O48" s="379"/>
    </row>
    <row r="49" spans="1:15">
      <c r="A49" s="573" t="s">
        <v>229</v>
      </c>
      <c r="B49" s="596"/>
      <c r="C49" s="596"/>
      <c r="D49" s="518" t="s">
        <v>198</v>
      </c>
      <c r="E49" s="505">
        <f>'19'!F49</f>
        <v>260732</v>
      </c>
      <c r="F49" s="505">
        <v>260732</v>
      </c>
      <c r="G49" s="1225">
        <f t="shared" ref="G49:G58" si="4">F49-E49</f>
        <v>0</v>
      </c>
      <c r="H49" s="455">
        <f>G49+'19'!H49</f>
        <v>0</v>
      </c>
      <c r="I49" s="450"/>
      <c r="J49" s="547">
        <f>H49/DAY(B2)</f>
        <v>0</v>
      </c>
      <c r="K49" s="424">
        <v>0</v>
      </c>
      <c r="L49" s="374">
        <f t="shared" si="3"/>
        <v>0</v>
      </c>
      <c r="N49" s="379"/>
      <c r="O49" s="379"/>
    </row>
    <row r="50" spans="1:15">
      <c r="A50" s="573" t="s">
        <v>243</v>
      </c>
      <c r="B50" s="596"/>
      <c r="C50" s="596"/>
      <c r="D50" s="518" t="s">
        <v>198</v>
      </c>
      <c r="E50" s="505">
        <f>'19'!F50</f>
        <v>491602</v>
      </c>
      <c r="F50" s="505">
        <v>492472</v>
      </c>
      <c r="G50" s="1225">
        <f t="shared" si="4"/>
        <v>870</v>
      </c>
      <c r="H50" s="455">
        <f>G50+'19'!H50</f>
        <v>-10954</v>
      </c>
      <c r="I50" s="450"/>
      <c r="J50" s="547">
        <f>H50/DAY(B2)</f>
        <v>-547.70000000000005</v>
      </c>
      <c r="K50" s="424">
        <v>631.67000000001281</v>
      </c>
      <c r="L50" s="374">
        <f t="shared" si="3"/>
        <v>238.32999999998719</v>
      </c>
      <c r="N50" s="379"/>
      <c r="O50" s="379"/>
    </row>
    <row r="51" spans="1:15">
      <c r="A51" s="573" t="s">
        <v>231</v>
      </c>
      <c r="B51" s="596"/>
      <c r="C51" s="596"/>
      <c r="D51" s="518" t="s">
        <v>198</v>
      </c>
      <c r="E51" s="505">
        <f>'19'!F51</f>
        <v>144640</v>
      </c>
      <c r="F51" s="505">
        <v>144640</v>
      </c>
      <c r="G51" s="1225">
        <f t="shared" si="4"/>
        <v>0</v>
      </c>
      <c r="H51" s="455">
        <f>G51+'19'!H51</f>
        <v>0</v>
      </c>
      <c r="I51" s="450"/>
      <c r="J51" s="547">
        <f>H51/DAY(B2)</f>
        <v>0</v>
      </c>
      <c r="K51" s="424">
        <v>0</v>
      </c>
      <c r="L51" s="374">
        <f t="shared" si="3"/>
        <v>0</v>
      </c>
      <c r="N51" s="379"/>
      <c r="O51" s="379"/>
    </row>
    <row r="52" spans="1:15">
      <c r="A52" s="573" t="s">
        <v>244</v>
      </c>
      <c r="B52" s="596"/>
      <c r="C52" s="596"/>
      <c r="D52" s="518" t="s">
        <v>198</v>
      </c>
      <c r="E52" s="505">
        <f>'19'!F52</f>
        <v>539606</v>
      </c>
      <c r="F52" s="505">
        <v>539606</v>
      </c>
      <c r="G52" s="1225">
        <f t="shared" si="4"/>
        <v>0</v>
      </c>
      <c r="H52" s="455">
        <f>G52+'19'!H52</f>
        <v>-6.9999999948777258E-2</v>
      </c>
      <c r="I52" s="450"/>
      <c r="J52" s="547">
        <f>H52/DAY(B2)</f>
        <v>-3.499999997438863E-3</v>
      </c>
      <c r="K52" s="424">
        <v>1057.5200000000186</v>
      </c>
      <c r="L52" s="374">
        <f t="shared" si="3"/>
        <v>-1057.5200000000186</v>
      </c>
      <c r="N52" s="379"/>
      <c r="O52" s="717"/>
    </row>
    <row r="53" spans="1:15">
      <c r="A53" s="573" t="s">
        <v>233</v>
      </c>
      <c r="B53" s="596"/>
      <c r="C53" s="596"/>
      <c r="D53" s="518" t="s">
        <v>198</v>
      </c>
      <c r="E53" s="505">
        <f>'19'!F53</f>
        <v>426010</v>
      </c>
      <c r="F53" s="505">
        <v>426566</v>
      </c>
      <c r="G53" s="1225">
        <f t="shared" si="4"/>
        <v>556</v>
      </c>
      <c r="H53" s="455">
        <f>G53+'19'!H53</f>
        <v>-5978.3300000000163</v>
      </c>
      <c r="I53" s="450"/>
      <c r="J53" s="547">
        <f>H53/DAY(B2)</f>
        <v>-298.91650000000084</v>
      </c>
      <c r="K53" s="424">
        <v>106.48999999999978</v>
      </c>
      <c r="L53" s="374">
        <f t="shared" si="3"/>
        <v>449.51000000000022</v>
      </c>
      <c r="N53" s="379"/>
      <c r="O53" s="379"/>
    </row>
    <row r="54" spans="1:15">
      <c r="A54" s="573" t="s">
        <v>245</v>
      </c>
      <c r="B54" s="596"/>
      <c r="C54" s="596"/>
      <c r="D54" s="518" t="s">
        <v>198</v>
      </c>
      <c r="E54" s="505">
        <f>'19'!F54</f>
        <v>12782</v>
      </c>
      <c r="F54" s="505">
        <v>12865</v>
      </c>
      <c r="G54" s="1225">
        <f t="shared" si="4"/>
        <v>83</v>
      </c>
      <c r="H54" s="455">
        <f>G54+'19'!H54</f>
        <v>-964</v>
      </c>
      <c r="I54" s="450"/>
      <c r="J54" s="547">
        <f>H54/DAY(B2)</f>
        <v>-48.2</v>
      </c>
      <c r="K54" s="424">
        <v>0</v>
      </c>
      <c r="L54" s="374">
        <f t="shared" si="3"/>
        <v>83</v>
      </c>
      <c r="N54" s="379"/>
      <c r="O54" s="379"/>
    </row>
    <row r="55" spans="1:15">
      <c r="A55" s="573" t="s">
        <v>246</v>
      </c>
      <c r="B55" s="596"/>
      <c r="C55" s="596"/>
      <c r="D55" s="518" t="s">
        <v>198</v>
      </c>
      <c r="E55" s="505">
        <f>'19'!F55</f>
        <v>33528</v>
      </c>
      <c r="F55" s="505">
        <v>38262</v>
      </c>
      <c r="G55" s="1225">
        <f t="shared" si="4"/>
        <v>4734</v>
      </c>
      <c r="H55" s="455">
        <f>G55+'19'!H55</f>
        <v>-29849</v>
      </c>
      <c r="I55" s="450"/>
      <c r="J55" s="547">
        <f>H55/DAY(B2)</f>
        <v>-1492.45</v>
      </c>
      <c r="K55" s="424">
        <v>0</v>
      </c>
      <c r="L55" s="374">
        <f t="shared" si="3"/>
        <v>4734</v>
      </c>
      <c r="N55" s="379"/>
      <c r="O55" s="379"/>
    </row>
    <row r="56" spans="1:15">
      <c r="A56" s="573" t="s">
        <v>247</v>
      </c>
      <c r="B56" s="596"/>
      <c r="C56" s="596"/>
      <c r="D56" s="518" t="s">
        <v>248</v>
      </c>
      <c r="E56" s="505">
        <f>'19'!F56</f>
        <v>589484</v>
      </c>
      <c r="F56" s="505">
        <v>589494</v>
      </c>
      <c r="G56" s="1225">
        <f t="shared" si="4"/>
        <v>10</v>
      </c>
      <c r="H56" s="455">
        <f>G56+'19'!H56</f>
        <v>-27704</v>
      </c>
      <c r="I56" s="450"/>
      <c r="J56" s="547">
        <f>H56/DAY(B2)</f>
        <v>-1385.2</v>
      </c>
      <c r="K56" s="423">
        <v>0</v>
      </c>
      <c r="L56" s="374">
        <f t="shared" si="3"/>
        <v>10</v>
      </c>
      <c r="N56" s="379"/>
      <c r="O56" s="379"/>
    </row>
    <row r="57" spans="1:15">
      <c r="A57" s="573" t="s">
        <v>237</v>
      </c>
      <c r="B57" s="596"/>
      <c r="C57" s="596"/>
      <c r="D57" s="518" t="s">
        <v>198</v>
      </c>
      <c r="E57" s="505">
        <f>'19'!F57</f>
        <v>7711</v>
      </c>
      <c r="F57" s="505">
        <v>7711</v>
      </c>
      <c r="G57" s="1225">
        <f t="shared" si="4"/>
        <v>0</v>
      </c>
      <c r="H57" s="455">
        <f>G57+'19'!H57</f>
        <v>0</v>
      </c>
      <c r="I57" s="450"/>
      <c r="J57" s="547">
        <f>H57/DAY(B2)</f>
        <v>0</v>
      </c>
      <c r="K57" s="424">
        <v>0</v>
      </c>
      <c r="L57" s="374">
        <f t="shared" si="3"/>
        <v>0</v>
      </c>
      <c r="N57" s="379"/>
      <c r="O57" s="379"/>
    </row>
    <row r="58" spans="1:15">
      <c r="A58" s="573" t="s">
        <v>249</v>
      </c>
      <c r="B58" s="596"/>
      <c r="C58" s="596"/>
      <c r="D58" s="518" t="s">
        <v>198</v>
      </c>
      <c r="E58" s="505">
        <f>'19'!F58</f>
        <v>48168</v>
      </c>
      <c r="F58" s="505">
        <v>48183</v>
      </c>
      <c r="G58" s="1225">
        <f t="shared" si="4"/>
        <v>15</v>
      </c>
      <c r="H58" s="455">
        <f>G58+'19'!H58</f>
        <v>-1681.2099999999991</v>
      </c>
      <c r="I58" s="450"/>
      <c r="J58" s="547">
        <f>H58/DAY(B2)</f>
        <v>-84.060499999999962</v>
      </c>
      <c r="K58" s="424">
        <v>0</v>
      </c>
      <c r="L58" s="374">
        <f t="shared" si="3"/>
        <v>15</v>
      </c>
      <c r="N58" s="379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1227">
        <f>G49+G50+G51+G52+G53+G54+G55+G56+G57+G58</f>
        <v>6268</v>
      </c>
      <c r="H59" s="455">
        <f>G59+'19'!H59</f>
        <v>-77130.540000000008</v>
      </c>
      <c r="I59" s="450">
        <f>G7-G60</f>
        <v>2602</v>
      </c>
      <c r="J59" s="547">
        <f>H59/DAY(B2)</f>
        <v>-3856.5270000000005</v>
      </c>
      <c r="K59" s="424">
        <v>1795.6800000000312</v>
      </c>
      <c r="L59" s="374">
        <f t="shared" si="3"/>
        <v>4472.3199999999688</v>
      </c>
      <c r="N59" s="379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1227">
        <f>G47+G59</f>
        <v>14398</v>
      </c>
      <c r="H60" s="455">
        <f>G60+'19'!H60</f>
        <v>167263.47</v>
      </c>
      <c r="I60" s="450">
        <f>G13-G60</f>
        <v>2552</v>
      </c>
      <c r="J60" s="547">
        <f>H60/DAY(B2)</f>
        <v>8363.1735000000008</v>
      </c>
      <c r="K60" s="424">
        <v>11703.500000000056</v>
      </c>
      <c r="L60" s="374">
        <f t="shared" si="3"/>
        <v>2694.4999999999436</v>
      </c>
      <c r="N60" s="379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1236"/>
      <c r="H61" s="508"/>
      <c r="I61" s="508"/>
      <c r="J61" s="550"/>
      <c r="K61" s="424"/>
      <c r="L61" s="374"/>
      <c r="N61" s="379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f>'19'!F62</f>
        <v>20419.2</v>
      </c>
      <c r="F62" s="509">
        <v>20419.2</v>
      </c>
      <c r="G62" s="1225">
        <f t="shared" ref="G62:G69" si="5">F62-E62</f>
        <v>0</v>
      </c>
      <c r="H62" s="455">
        <f>G62+'19'!H62</f>
        <v>0.20199999999749707</v>
      </c>
      <c r="I62" s="510"/>
      <c r="J62" s="547">
        <f>H62/DAY(B2)</f>
        <v>1.0099999999874853E-2</v>
      </c>
      <c r="K62" s="424"/>
      <c r="L62" s="374"/>
      <c r="N62" s="379"/>
      <c r="O62" s="379"/>
    </row>
    <row r="63" spans="1:15">
      <c r="A63" s="598" t="s">
        <v>254</v>
      </c>
      <c r="B63" s="599"/>
      <c r="C63" s="599"/>
      <c r="D63" s="506" t="s">
        <v>253</v>
      </c>
      <c r="E63" s="509">
        <f>'19'!F63</f>
        <v>2431</v>
      </c>
      <c r="F63" s="509">
        <v>2435</v>
      </c>
      <c r="G63" s="1225">
        <f t="shared" si="5"/>
        <v>4</v>
      </c>
      <c r="H63" s="455">
        <f>G63+'19'!H63</f>
        <v>2435</v>
      </c>
      <c r="I63" s="510"/>
      <c r="J63" s="547">
        <f>H63/DAY(B2)</f>
        <v>121.75</v>
      </c>
      <c r="K63" s="424"/>
      <c r="L63" s="374"/>
      <c r="N63" s="379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79">
        <f>'19'!F64</f>
        <v>157530</v>
      </c>
      <c r="F64" s="479">
        <v>157797</v>
      </c>
      <c r="G64" s="1225">
        <f t="shared" si="5"/>
        <v>267</v>
      </c>
      <c r="H64" s="455">
        <f>G64+'19'!H64</f>
        <v>-2135</v>
      </c>
      <c r="I64" s="475"/>
      <c r="J64" s="547">
        <f>H64/DAY(B2)</f>
        <v>-106.75</v>
      </c>
      <c r="K64" s="424"/>
      <c r="L64" s="374"/>
      <c r="N64" s="379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79">
        <f>'19'!F65</f>
        <v>158429</v>
      </c>
      <c r="F65" s="479">
        <v>158634</v>
      </c>
      <c r="G65" s="1225">
        <f t="shared" si="5"/>
        <v>205</v>
      </c>
      <c r="H65" s="455">
        <f>G65+'19'!H65</f>
        <v>-2364</v>
      </c>
      <c r="I65" s="484"/>
      <c r="J65" s="547">
        <f>H65/DAY(B2)</f>
        <v>-118.2</v>
      </c>
      <c r="K65" s="424"/>
      <c r="L65" s="374"/>
      <c r="N65" s="379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79">
        <f>'19'!F66</f>
        <v>53483</v>
      </c>
      <c r="F66" s="479">
        <v>53739</v>
      </c>
      <c r="G66" s="1225">
        <f t="shared" si="5"/>
        <v>256</v>
      </c>
      <c r="H66" s="455">
        <f>G66+'19'!H66</f>
        <v>-3066</v>
      </c>
      <c r="I66" s="475"/>
      <c r="J66" s="547">
        <f>H66/DAY(B2)</f>
        <v>-153.30000000000001</v>
      </c>
      <c r="K66" s="424"/>
      <c r="L66" s="374"/>
      <c r="N66" s="379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79">
        <f>'19'!F67</f>
        <v>246931</v>
      </c>
      <c r="F67" s="479">
        <v>247210</v>
      </c>
      <c r="G67" s="1225">
        <f t="shared" si="5"/>
        <v>279</v>
      </c>
      <c r="H67" s="455">
        <f>G67+'19'!H67</f>
        <v>-4982</v>
      </c>
      <c r="I67" s="484"/>
      <c r="J67" s="547">
        <f>H67/DAY(B2)</f>
        <v>-249.1</v>
      </c>
      <c r="K67" s="425"/>
      <c r="L67" s="374"/>
      <c r="N67" s="379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79">
        <f>'19'!F68</f>
        <v>85321</v>
      </c>
      <c r="F68" s="479">
        <v>85321</v>
      </c>
      <c r="G68" s="1225">
        <f t="shared" si="5"/>
        <v>0</v>
      </c>
      <c r="H68" s="455">
        <f>G68+'19'!H68</f>
        <v>0</v>
      </c>
      <c r="I68" s="511"/>
      <c r="J68" s="547">
        <f>H68/DAY(B2)</f>
        <v>0</v>
      </c>
      <c r="K68" s="426"/>
      <c r="L68" s="374"/>
      <c r="N68" s="379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79">
        <f>'19'!F69</f>
        <v>80454</v>
      </c>
      <c r="F69" s="479">
        <v>80521</v>
      </c>
      <c r="G69" s="1225">
        <f t="shared" si="5"/>
        <v>67</v>
      </c>
      <c r="H69" s="455">
        <f>G69+'19'!H69</f>
        <v>-1228</v>
      </c>
      <c r="I69" s="511"/>
      <c r="J69" s="547">
        <f>H69/DAY(B2)</f>
        <v>-61.4</v>
      </c>
      <c r="K69" s="427"/>
      <c r="L69" s="374"/>
      <c r="N69" s="379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1237"/>
      <c r="H70" s="455">
        <f>G70+'13'!H70</f>
        <v>0</v>
      </c>
      <c r="I70" s="513"/>
      <c r="J70" s="551"/>
      <c r="K70" s="427"/>
      <c r="L70" s="374"/>
      <c r="N70" s="379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514">
        <f>'19'!F72</f>
        <v>855712</v>
      </c>
      <c r="F72" s="514">
        <v>855721</v>
      </c>
      <c r="G72" s="1225">
        <f t="shared" ref="G72:G84" si="6">F72-E72</f>
        <v>9</v>
      </c>
      <c r="H72" s="455">
        <f>G72+'19'!H72</f>
        <v>-165</v>
      </c>
      <c r="I72" s="475"/>
      <c r="J72" s="547">
        <f>H72/DAY(B2)</f>
        <v>-8.25</v>
      </c>
      <c r="K72" s="427"/>
      <c r="L72" s="374"/>
      <c r="N72" s="379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514">
        <f>'19'!F73</f>
        <v>885896</v>
      </c>
      <c r="F73" s="515">
        <v>885896</v>
      </c>
      <c r="G73" s="1225">
        <f t="shared" si="6"/>
        <v>0</v>
      </c>
      <c r="H73" s="455">
        <f>G73+'19'!H73</f>
        <v>145</v>
      </c>
      <c r="I73" s="475"/>
      <c r="J73" s="547">
        <f>H73/DAY(B2)</f>
        <v>7.25</v>
      </c>
      <c r="K73" s="426"/>
      <c r="L73" s="374"/>
      <c r="N73" s="379"/>
      <c r="O73" s="379"/>
    </row>
    <row r="74" spans="1:15" ht="27.75">
      <c r="A74" s="1525" t="s">
        <v>260</v>
      </c>
      <c r="B74" s="1526"/>
      <c r="C74" s="1527"/>
      <c r="D74" s="518" t="s">
        <v>253</v>
      </c>
      <c r="E74" s="514">
        <f>'19'!F74</f>
        <v>2504</v>
      </c>
      <c r="F74" s="516">
        <v>2512</v>
      </c>
      <c r="G74" s="1225">
        <f t="shared" si="6"/>
        <v>8</v>
      </c>
      <c r="H74" s="455">
        <f>G74+'19'!H74</f>
        <v>-74</v>
      </c>
      <c r="I74" s="475"/>
      <c r="J74" s="547">
        <f>H74/DAY(B2)</f>
        <v>-3.7</v>
      </c>
      <c r="K74" s="427"/>
      <c r="L74" s="374"/>
      <c r="N74" s="379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514">
        <f>'19'!F75</f>
        <v>11989</v>
      </c>
      <c r="F75" s="516">
        <v>12041</v>
      </c>
      <c r="G75" s="1225">
        <f t="shared" si="6"/>
        <v>52</v>
      </c>
      <c r="H75" s="455">
        <f>G75+'19'!H75</f>
        <v>-628</v>
      </c>
      <c r="I75" s="475"/>
      <c r="J75" s="547">
        <f>H75/DAY(B2)</f>
        <v>-31.4</v>
      </c>
      <c r="K75" s="426"/>
      <c r="L75" s="374"/>
      <c r="N75" s="379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514">
        <f>'19'!F76</f>
        <v>6749</v>
      </c>
      <c r="F76" s="650">
        <v>6806</v>
      </c>
      <c r="G76" s="1225">
        <f>F76-E76</f>
        <v>57</v>
      </c>
      <c r="H76" s="455">
        <f>G76+'19'!H76</f>
        <v>-400</v>
      </c>
      <c r="I76" s="500"/>
      <c r="J76" s="547">
        <f>H76/DAY(B2)</f>
        <v>-20</v>
      </c>
      <c r="K76" s="426"/>
      <c r="L76" s="374"/>
      <c r="N76" s="379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514">
        <f>'19'!F77</f>
        <v>702353</v>
      </c>
      <c r="F77" s="516">
        <v>702386</v>
      </c>
      <c r="G77" s="1225">
        <f t="shared" si="6"/>
        <v>33</v>
      </c>
      <c r="H77" s="455">
        <f>G77+'19'!H77</f>
        <v>-453</v>
      </c>
      <c r="I77" s="500"/>
      <c r="J77" s="547">
        <f>H77/DAY(B2)</f>
        <v>-22.65</v>
      </c>
      <c r="K77" s="426"/>
      <c r="L77" s="374"/>
      <c r="N77" s="379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516">
        <f>'19'!F78</f>
        <v>671631</v>
      </c>
      <c r="F78" s="516">
        <v>671681</v>
      </c>
      <c r="G78" s="1225">
        <f t="shared" si="6"/>
        <v>50</v>
      </c>
      <c r="H78" s="455">
        <f>G78+'19'!H78</f>
        <v>-1351</v>
      </c>
      <c r="I78" s="500"/>
      <c r="J78" s="547">
        <f>H78/DAY(B2)</f>
        <v>-67.55</v>
      </c>
      <c r="K78" s="426"/>
      <c r="L78" s="374"/>
      <c r="N78" s="379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516">
        <f>'19'!F79</f>
        <v>829418</v>
      </c>
      <c r="F79" s="516">
        <v>829535</v>
      </c>
      <c r="G79" s="1225">
        <f t="shared" si="6"/>
        <v>117</v>
      </c>
      <c r="H79" s="455">
        <f>G79+'19'!H79</f>
        <v>-2487</v>
      </c>
      <c r="I79" s="500"/>
      <c r="J79" s="547">
        <f>H79/DAY(B2)</f>
        <v>-124.35</v>
      </c>
      <c r="K79" s="426"/>
      <c r="L79" s="374"/>
      <c r="N79" s="379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515">
        <f>'19'!F80</f>
        <v>523324</v>
      </c>
      <c r="F80" s="515">
        <v>523681</v>
      </c>
      <c r="G80" s="1225">
        <f t="shared" si="6"/>
        <v>357</v>
      </c>
      <c r="H80" s="455">
        <f>G80+'19'!H80</f>
        <v>-6864.5200000000186</v>
      </c>
      <c r="I80" s="500"/>
      <c r="J80" s="547">
        <f>H80/DAY(B2)</f>
        <v>-343.22600000000091</v>
      </c>
      <c r="K80" s="426"/>
      <c r="L80" s="374"/>
      <c r="N80" s="379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f>'19'!F81</f>
        <v>637909</v>
      </c>
      <c r="F81" s="515">
        <v>637985</v>
      </c>
      <c r="G81" s="1225">
        <f t="shared" si="6"/>
        <v>76</v>
      </c>
      <c r="H81" s="455">
        <f>G81+'19'!H81</f>
        <v>-913</v>
      </c>
      <c r="I81" s="500"/>
      <c r="J81" s="547">
        <f>H81/DAY(B2)</f>
        <v>-45.65</v>
      </c>
      <c r="K81" s="426"/>
      <c r="L81" s="374"/>
      <c r="N81" s="379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f>'19'!F82</f>
        <v>107967</v>
      </c>
      <c r="F82" s="517">
        <v>107977</v>
      </c>
      <c r="G82" s="1225">
        <f t="shared" si="6"/>
        <v>10</v>
      </c>
      <c r="H82" s="455">
        <f>G82+'19'!H82</f>
        <v>-181</v>
      </c>
      <c r="I82" s="481"/>
      <c r="J82" s="547">
        <f>H82/DAY(B2)</f>
        <v>-9.0500000000000007</v>
      </c>
      <c r="K82" s="426"/>
      <c r="L82" s="374"/>
      <c r="N82" s="379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v>18472</v>
      </c>
      <c r="F83" s="506">
        <v>18566</v>
      </c>
      <c r="G83" s="1225">
        <f t="shared" si="6"/>
        <v>94</v>
      </c>
      <c r="H83" s="455">
        <f>G83+'19'!H83</f>
        <v>-1940</v>
      </c>
      <c r="I83" s="476"/>
      <c r="J83" s="547">
        <f>H83/DAY(B2)</f>
        <v>-97</v>
      </c>
      <c r="K83" s="425"/>
      <c r="L83" s="374"/>
      <c r="N83" s="379"/>
      <c r="O83" s="717"/>
    </row>
    <row r="84" spans="1:15">
      <c r="A84" s="1396" t="s">
        <v>166</v>
      </c>
      <c r="B84" s="566"/>
      <c r="C84" s="566"/>
      <c r="D84" s="473" t="s">
        <v>198</v>
      </c>
      <c r="E84" s="622">
        <f>'19'!F84</f>
        <v>492334</v>
      </c>
      <c r="F84" s="622">
        <v>492699</v>
      </c>
      <c r="G84" s="1225">
        <f t="shared" si="6"/>
        <v>365</v>
      </c>
      <c r="H84" s="455">
        <f>G84+'19'!H84</f>
        <v>-7595</v>
      </c>
      <c r="I84" s="476"/>
      <c r="J84" s="547">
        <f>H84/DAY(B2)</f>
        <v>-379.75</v>
      </c>
      <c r="K84" s="377"/>
      <c r="L84" s="374"/>
      <c r="N84" s="379"/>
      <c r="O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1238">
        <f xml:space="preserve"> SUM(G72:G84)</f>
        <v>1228</v>
      </c>
      <c r="H85" s="455">
        <f>G85+'19'!H85</f>
        <v>-19363</v>
      </c>
      <c r="I85" s="476"/>
      <c r="J85" s="547">
        <f>H85/DAY(B2)</f>
        <v>-968.15</v>
      </c>
      <c r="K85" s="377"/>
      <c r="L85" s="375"/>
      <c r="N85" s="772"/>
      <c r="O85" s="717"/>
    </row>
    <row r="86" spans="1:15" s="731" customFormat="1">
      <c r="A86" s="726" t="s">
        <v>269</v>
      </c>
      <c r="B86" s="727"/>
      <c r="C86" s="727"/>
      <c r="D86" s="728" t="s">
        <v>248</v>
      </c>
      <c r="E86" s="643">
        <f>'19'!F86</f>
        <v>460532</v>
      </c>
      <c r="F86" s="643">
        <v>460556</v>
      </c>
      <c r="G86" s="1239">
        <f>F86-E86</f>
        <v>24</v>
      </c>
      <c r="H86" s="455">
        <f>G86+'19'!H86</f>
        <v>78</v>
      </c>
      <c r="I86" s="648"/>
      <c r="J86" s="703">
        <f>H86/DAY(B2)</f>
        <v>3.9</v>
      </c>
      <c r="K86" s="729"/>
      <c r="L86" s="730"/>
      <c r="N86" s="773"/>
      <c r="O86" s="379"/>
    </row>
    <row r="87" spans="1:15" s="731" customFormat="1">
      <c r="A87" s="726" t="s">
        <v>270</v>
      </c>
      <c r="B87" s="727"/>
      <c r="C87" s="727"/>
      <c r="D87" s="728" t="s">
        <v>248</v>
      </c>
      <c r="E87" s="643">
        <f>'19'!F87</f>
        <v>81151</v>
      </c>
      <c r="F87" s="643">
        <v>81178</v>
      </c>
      <c r="G87" s="1239">
        <f t="shared" ref="G87:G91" si="7">F87-E87</f>
        <v>27</v>
      </c>
      <c r="H87" s="455">
        <f>G87+'19'!H87</f>
        <v>62</v>
      </c>
      <c r="I87" s="648"/>
      <c r="J87" s="703">
        <f>H87/DAY(B2)</f>
        <v>3.1</v>
      </c>
      <c r="K87" s="729"/>
      <c r="L87" s="730"/>
      <c r="N87" s="773"/>
      <c r="O87" s="379"/>
    </row>
    <row r="88" spans="1:15" s="731" customFormat="1">
      <c r="A88" s="726" t="s">
        <v>158</v>
      </c>
      <c r="B88" s="727"/>
      <c r="C88" s="727"/>
      <c r="D88" s="728" t="s">
        <v>248</v>
      </c>
      <c r="E88" s="643">
        <f>'19'!F88</f>
        <v>152612</v>
      </c>
      <c r="F88" s="643">
        <v>152635</v>
      </c>
      <c r="G88" s="1239">
        <f t="shared" si="7"/>
        <v>23</v>
      </c>
      <c r="H88" s="455">
        <f>G88+'19'!H88</f>
        <v>115</v>
      </c>
      <c r="I88" s="648"/>
      <c r="J88" s="703">
        <f>H88/DAY(B2)</f>
        <v>5.75</v>
      </c>
      <c r="K88" s="729"/>
      <c r="L88" s="730"/>
      <c r="N88" s="773"/>
      <c r="O88" s="379"/>
    </row>
    <row r="89" spans="1:15" s="731" customFormat="1">
      <c r="A89" s="726" t="s">
        <v>272</v>
      </c>
      <c r="B89" s="727"/>
      <c r="C89" s="727"/>
      <c r="D89" s="728" t="s">
        <v>248</v>
      </c>
      <c r="E89" s="643">
        <f>'19'!F89</f>
        <v>64956</v>
      </c>
      <c r="F89" s="643">
        <v>64961</v>
      </c>
      <c r="G89" s="1239">
        <f t="shared" si="7"/>
        <v>5</v>
      </c>
      <c r="H89" s="455">
        <f>G89+'19'!H89</f>
        <v>18</v>
      </c>
      <c r="I89" s="648"/>
      <c r="J89" s="703">
        <f>H89/DAY(B2)</f>
        <v>0.9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43">
        <f>'19'!F90</f>
        <v>3272.7</v>
      </c>
      <c r="F90" s="643">
        <v>3272.7</v>
      </c>
      <c r="G90" s="1239">
        <f t="shared" si="7"/>
        <v>0</v>
      </c>
      <c r="H90" s="455">
        <f>G90+'19'!H90</f>
        <v>0</v>
      </c>
      <c r="I90" s="648"/>
      <c r="J90" s="703">
        <f>H90/DAY(B2)</f>
        <v>0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43">
        <f>'19'!F91</f>
        <v>27966</v>
      </c>
      <c r="F91" s="643">
        <v>27972</v>
      </c>
      <c r="G91" s="701">
        <f t="shared" si="7"/>
        <v>6</v>
      </c>
      <c r="H91" s="455">
        <f>G91+'19'!H91</f>
        <v>6</v>
      </c>
      <c r="I91" s="648"/>
      <c r="J91" s="703">
        <f>H91/DAY(B2)</f>
        <v>0.3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1228"/>
      <c r="H92" s="467"/>
      <c r="I92" s="467"/>
      <c r="J92" s="546"/>
      <c r="K92" s="377"/>
      <c r="L92" s="375"/>
      <c r="N92" s="772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'19'!F93</f>
        <v>244977</v>
      </c>
      <c r="F93" s="479">
        <v>244999</v>
      </c>
      <c r="G93" s="1225">
        <f t="shared" ref="G93:G94" si="8">F93-E93</f>
        <v>22</v>
      </c>
      <c r="H93" s="455">
        <f>G93+'19'!H93</f>
        <v>-389</v>
      </c>
      <c r="I93" s="475"/>
      <c r="J93" s="547">
        <f>H93/DAY(B2)</f>
        <v>-19.45</v>
      </c>
      <c r="K93" s="425"/>
      <c r="L93" s="374"/>
      <c r="N93" s="379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'19'!F94</f>
        <v>185136</v>
      </c>
      <c r="F94" s="479">
        <v>185170</v>
      </c>
      <c r="G94" s="1225">
        <f t="shared" si="8"/>
        <v>34</v>
      </c>
      <c r="H94" s="455">
        <f>G94+'19'!H94</f>
        <v>-951</v>
      </c>
      <c r="I94" s="475"/>
      <c r="J94" s="547">
        <f>H94/DAY(B2)</f>
        <v>-47.55</v>
      </c>
      <c r="K94" s="377"/>
      <c r="L94" s="374"/>
      <c r="N94" s="379"/>
      <c r="O94" s="379"/>
    </row>
    <row r="95" spans="1:15">
      <c r="A95" s="1447" t="s">
        <v>276</v>
      </c>
      <c r="B95" s="1448"/>
      <c r="C95" s="1449"/>
      <c r="D95" s="518"/>
      <c r="E95" s="479">
        <f>'19'!F95</f>
        <v>0</v>
      </c>
      <c r="F95" s="479"/>
      <c r="G95" s="1225">
        <f>G93+G94</f>
        <v>56</v>
      </c>
      <c r="H95" s="455">
        <f>G95+'19'!H95</f>
        <v>-1416</v>
      </c>
      <c r="I95" s="475"/>
      <c r="J95" s="547">
        <f>H95/DAY(B2)</f>
        <v>-70.8</v>
      </c>
      <c r="K95" s="377"/>
      <c r="L95" s="374"/>
      <c r="N95" s="379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'19'!F96</f>
        <v>413691</v>
      </c>
      <c r="F96" s="479">
        <v>413718</v>
      </c>
      <c r="G96" s="1225">
        <f t="shared" ref="G96:G101" si="9">F96-E96</f>
        <v>27</v>
      </c>
      <c r="H96" s="455">
        <f>G96+'19'!H96</f>
        <v>-565</v>
      </c>
      <c r="I96" s="475"/>
      <c r="J96" s="547">
        <f>H96/DAY(B2)</f>
        <v>-28.25</v>
      </c>
      <c r="K96" s="377"/>
      <c r="L96" s="374"/>
      <c r="N96" s="379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79">
        <f>'19'!F97</f>
        <v>102523</v>
      </c>
      <c r="F97" s="479">
        <v>102534</v>
      </c>
      <c r="G97" s="1225">
        <f t="shared" si="9"/>
        <v>11</v>
      </c>
      <c r="H97" s="455">
        <f>G97+'19'!H97</f>
        <v>-114</v>
      </c>
      <c r="I97" s="475"/>
      <c r="J97" s="547">
        <f>H97/DAY(B2)</f>
        <v>-5.7</v>
      </c>
      <c r="K97" s="423"/>
      <c r="L97" s="374"/>
      <c r="N97" s="379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79">
        <f>'19'!F98</f>
        <v>97688</v>
      </c>
      <c r="F98" s="479">
        <v>97704</v>
      </c>
      <c r="G98" s="1225">
        <f t="shared" si="9"/>
        <v>16</v>
      </c>
      <c r="H98" s="455">
        <f>G98+'19'!H98</f>
        <v>-246</v>
      </c>
      <c r="I98" s="475"/>
      <c r="J98" s="547">
        <f>H98/DAY(B2)</f>
        <v>-12.3</v>
      </c>
      <c r="K98" s="428"/>
      <c r="L98" s="374"/>
      <c r="N98" s="379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79">
        <f>'19'!F99</f>
        <v>149740</v>
      </c>
      <c r="F99" s="479">
        <v>149750</v>
      </c>
      <c r="G99" s="1225">
        <f t="shared" si="9"/>
        <v>10</v>
      </c>
      <c r="H99" s="455">
        <f>G99+'19'!H99</f>
        <v>-102</v>
      </c>
      <c r="I99" s="475"/>
      <c r="J99" s="547">
        <f>H99/DAY(B2)</f>
        <v>-5.0999999999999996</v>
      </c>
      <c r="K99" s="377"/>
      <c r="L99" s="374"/>
      <c r="N99" s="379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79">
        <f>'19'!F100</f>
        <v>7299</v>
      </c>
      <c r="F100" s="479">
        <v>7308</v>
      </c>
      <c r="G100" s="1225">
        <f t="shared" si="9"/>
        <v>9</v>
      </c>
      <c r="H100" s="455">
        <f>G100+'19'!H100</f>
        <v>-61</v>
      </c>
      <c r="I100" s="475"/>
      <c r="J100" s="547">
        <f>H100/DAY(B2)</f>
        <v>-3.05</v>
      </c>
      <c r="K100" s="377"/>
      <c r="L100" s="374"/>
      <c r="N100" s="379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79">
        <f>'19'!F101</f>
        <v>5257</v>
      </c>
      <c r="F101" s="479">
        <v>5262</v>
      </c>
      <c r="G101" s="1225">
        <f t="shared" si="9"/>
        <v>5</v>
      </c>
      <c r="H101" s="455">
        <f>G101+'19'!H101</f>
        <v>-129</v>
      </c>
      <c r="I101" s="475"/>
      <c r="J101" s="547">
        <f>H101/DAY(B2)</f>
        <v>-6.45</v>
      </c>
      <c r="K101" s="377"/>
      <c r="L101" s="374"/>
      <c r="N101" s="379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1240">
        <f>SUM(G96:G101)</f>
        <v>78</v>
      </c>
      <c r="H102" s="455">
        <f>G102+'19'!H102</f>
        <v>-1217</v>
      </c>
      <c r="I102" s="521"/>
      <c r="J102" s="547">
        <f>H102/DAY(B2)</f>
        <v>-60.85</v>
      </c>
      <c r="K102" s="377"/>
      <c r="L102" s="374"/>
      <c r="N102" s="379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523"/>
      <c r="G103" s="1241"/>
      <c r="H103" s="525"/>
      <c r="I103" s="526"/>
      <c r="J103" s="552"/>
      <c r="N103" s="439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527"/>
      <c r="G104" s="1242"/>
      <c r="H104" s="528"/>
      <c r="I104" s="527"/>
      <c r="J104" s="553"/>
      <c r="N104" s="439"/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527">
        <f>'19'!F105</f>
        <v>7473</v>
      </c>
      <c r="F105" s="527">
        <v>7473</v>
      </c>
      <c r="G105" s="1242">
        <f>F105-E105</f>
        <v>0</v>
      </c>
      <c r="H105" s="455">
        <f>G105+'19'!H105</f>
        <v>57</v>
      </c>
      <c r="I105" s="527"/>
      <c r="J105" s="553">
        <f>H105/DAY(B2)</f>
        <v>2.85</v>
      </c>
      <c r="N105" s="439"/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529">
        <f>'19'!F106</f>
        <v>35889</v>
      </c>
      <c r="F106" s="529">
        <v>35889</v>
      </c>
      <c r="G106" s="1242">
        <f t="shared" ref="G106:G107" si="10">F106-E106</f>
        <v>0</v>
      </c>
      <c r="H106" s="455">
        <f>G106+'19'!H106</f>
        <v>49</v>
      </c>
      <c r="I106" s="527"/>
      <c r="J106" s="553">
        <f>H106/DAY(B2)</f>
        <v>2.4500000000000002</v>
      </c>
      <c r="N106" s="439"/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527">
        <f>'19'!F107</f>
        <v>19671</v>
      </c>
      <c r="F107" s="527">
        <v>19671</v>
      </c>
      <c r="G107" s="1242">
        <f t="shared" si="10"/>
        <v>0</v>
      </c>
      <c r="H107" s="455">
        <f>G107+'19'!H107</f>
        <v>57</v>
      </c>
      <c r="I107" s="527"/>
      <c r="J107" s="553">
        <f>H107/DAY(B2)</f>
        <v>2.85</v>
      </c>
      <c r="N107" s="439"/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>
        <f>'19'!F108</f>
        <v>0</v>
      </c>
      <c r="F108" s="527"/>
      <c r="G108" s="1242">
        <f>SUM(G105:G107)</f>
        <v>0</v>
      </c>
      <c r="H108" s="455">
        <f>G108+'19'!H108</f>
        <v>157</v>
      </c>
      <c r="I108" s="527"/>
      <c r="J108" s="553">
        <f>H108/DAY(B2)</f>
        <v>7.85</v>
      </c>
      <c r="N108" s="439"/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>
        <f>'19'!F109</f>
        <v>0</v>
      </c>
      <c r="F109" s="527"/>
      <c r="G109" s="1242"/>
      <c r="H109" s="455"/>
      <c r="I109" s="527"/>
      <c r="J109" s="553"/>
      <c r="N109" s="439"/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527">
        <f>'19'!F110</f>
        <v>62152</v>
      </c>
      <c r="F110" s="527">
        <v>62191</v>
      </c>
      <c r="G110" s="1242">
        <f>F110-E110</f>
        <v>39</v>
      </c>
      <c r="H110" s="455">
        <f>G110+'19'!H110</f>
        <v>246</v>
      </c>
      <c r="I110" s="527"/>
      <c r="J110" s="553">
        <f>H110/DAY(B2)</f>
        <v>12.3</v>
      </c>
      <c r="N110" s="439"/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527">
        <f>'19'!F111</f>
        <v>32412</v>
      </c>
      <c r="F111" s="527">
        <v>32430</v>
      </c>
      <c r="G111" s="1242">
        <f t="shared" ref="G111:G112" si="11">F111-E111</f>
        <v>18</v>
      </c>
      <c r="H111" s="455">
        <f>G111+'19'!H111</f>
        <v>40</v>
      </c>
      <c r="I111" s="527"/>
      <c r="J111" s="553">
        <f>H111/DAY(B2)</f>
        <v>2</v>
      </c>
      <c r="N111" s="439"/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527">
        <f>'19'!F112</f>
        <v>4513</v>
      </c>
      <c r="F112" s="527">
        <v>4513</v>
      </c>
      <c r="G112" s="1242">
        <f t="shared" si="11"/>
        <v>0</v>
      </c>
      <c r="H112" s="455">
        <f>G112+'19'!H112</f>
        <v>156</v>
      </c>
      <c r="I112" s="527"/>
      <c r="J112" s="553">
        <f>H112/DAY(B2)</f>
        <v>7.8</v>
      </c>
      <c r="N112" s="439"/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>
        <f>'19'!F113</f>
        <v>0</v>
      </c>
      <c r="F113" s="527"/>
      <c r="G113" s="1242">
        <f>SUM(G110:G112)</f>
        <v>57</v>
      </c>
      <c r="H113" s="455">
        <f>G113+'19'!H113</f>
        <v>1012</v>
      </c>
      <c r="I113" s="527"/>
      <c r="J113" s="553">
        <f>H113/DAY(B2)</f>
        <v>50.6</v>
      </c>
      <c r="N113" s="439"/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>
        <f>'19'!F114</f>
        <v>0</v>
      </c>
      <c r="F114" s="527"/>
      <c r="G114" s="1242"/>
      <c r="H114" s="455"/>
      <c r="I114" s="527"/>
      <c r="J114" s="553">
        <f>H114/DAY(B2)</f>
        <v>0</v>
      </c>
      <c r="N114" s="439"/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529">
        <f>'19'!F115</f>
        <v>11406</v>
      </c>
      <c r="F115" s="529">
        <v>11420</v>
      </c>
      <c r="G115" s="1243">
        <f>F115-E115</f>
        <v>14</v>
      </c>
      <c r="H115" s="455">
        <f>G115+'19'!H115</f>
        <v>31</v>
      </c>
      <c r="I115" s="527"/>
      <c r="J115" s="553">
        <f>H115/DAY(B2)</f>
        <v>1.55</v>
      </c>
      <c r="N115" s="439"/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529">
        <f>'19'!F116</f>
        <v>8216</v>
      </c>
      <c r="F116" s="529">
        <v>8219</v>
      </c>
      <c r="G116" s="1243">
        <f t="shared" ref="G116:G117" si="12">F116-E116</f>
        <v>3</v>
      </c>
      <c r="H116" s="455">
        <f>G116+'19'!H116</f>
        <v>23</v>
      </c>
      <c r="I116" s="527"/>
      <c r="J116" s="553">
        <f>H116/DAY(B2)</f>
        <v>1.1499999999999999</v>
      </c>
      <c r="N116" s="439"/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1243">
        <f t="shared" si="12"/>
        <v>0</v>
      </c>
      <c r="H117" s="455">
        <f>G117+'19'!H117</f>
        <v>58</v>
      </c>
      <c r="I117" s="527"/>
      <c r="J117" s="553">
        <f>H117/DAY(B2)</f>
        <v>2.9</v>
      </c>
      <c r="N117" s="439"/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529"/>
      <c r="G118" s="1243">
        <f>SUM(G115:G117)</f>
        <v>17</v>
      </c>
      <c r="H118" s="455">
        <f>G118+'19'!H118</f>
        <v>76</v>
      </c>
      <c r="I118" s="529"/>
      <c r="J118" s="553">
        <f>H118/DAY(B2)</f>
        <v>3.8</v>
      </c>
      <c r="N118" s="442"/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531">
        <f>SUM(G19+G93)</f>
        <v>79</v>
      </c>
      <c r="G119" s="1243">
        <f>SUM(G19+G93)</f>
        <v>79</v>
      </c>
      <c r="H119" s="455">
        <f>G119+'19'!H119</f>
        <v>257</v>
      </c>
      <c r="I119" s="530"/>
      <c r="J119" s="554">
        <f>H119/DAY(B2)</f>
        <v>12.85</v>
      </c>
      <c r="N119" s="774"/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531">
        <f>SUM(G96,G97,G98,G100,G101)</f>
        <v>68</v>
      </c>
      <c r="G120" s="1243">
        <f>SUM(G96,G97,G98,G100,G101)</f>
        <v>68</v>
      </c>
      <c r="H120" s="455">
        <f>G120+'19'!H120</f>
        <v>185</v>
      </c>
      <c r="I120" s="530"/>
      <c r="J120" s="554">
        <f>H120/DAY(B2)</f>
        <v>9.25</v>
      </c>
      <c r="N120" s="774"/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529">
        <f>SUM(G113)</f>
        <v>57</v>
      </c>
      <c r="G121" s="1243">
        <f>SUM(G113)</f>
        <v>57</v>
      </c>
      <c r="H121" s="455">
        <f>G121+'19'!H121</f>
        <v>189</v>
      </c>
      <c r="I121" s="530"/>
      <c r="J121" s="554">
        <f>H121/DAY(B2)</f>
        <v>9.4499999999999993</v>
      </c>
      <c r="N121" s="774"/>
      <c r="O121" s="379"/>
    </row>
    <row r="122" spans="1:15" s="437" customFormat="1" ht="27.75">
      <c r="A122" s="1494"/>
      <c r="B122" s="1495"/>
      <c r="C122" s="1390"/>
      <c r="D122" s="555"/>
      <c r="E122" s="555"/>
      <c r="F122" s="555" t="s">
        <v>182</v>
      </c>
      <c r="G122" s="1244"/>
      <c r="H122" s="556"/>
      <c r="I122" s="555"/>
      <c r="J122" s="557"/>
      <c r="N122" s="439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1228"/>
      <c r="H123" s="478"/>
      <c r="I123" s="478"/>
      <c r="J123" s="558"/>
      <c r="K123" s="377"/>
      <c r="L123" s="374"/>
      <c r="N123" s="379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73">
        <f>'19'!F124</f>
        <v>829920</v>
      </c>
      <c r="F124" s="473">
        <v>830124</v>
      </c>
      <c r="G124" s="1225">
        <f t="shared" ref="G124:G128" si="13">F124-E124</f>
        <v>204</v>
      </c>
      <c r="H124" s="455">
        <f>G124+'19'!H124</f>
        <v>-2242</v>
      </c>
      <c r="I124" s="521"/>
      <c r="J124" s="547">
        <f>H124/DAY(B2)</f>
        <v>-112.1</v>
      </c>
      <c r="K124" s="377"/>
      <c r="L124" s="374"/>
      <c r="N124" s="379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621">
        <f>'19'!F125</f>
        <v>73583.399999999994</v>
      </c>
      <c r="F125" s="621">
        <v>73583.399999999994</v>
      </c>
      <c r="G125" s="1225">
        <f t="shared" si="13"/>
        <v>0</v>
      </c>
      <c r="H125" s="455">
        <f>G125+'19'!H125</f>
        <v>0</v>
      </c>
      <c r="I125" s="521"/>
      <c r="J125" s="547">
        <f>H125/DAY(B2)</f>
        <v>0</v>
      </c>
      <c r="K125" s="377"/>
      <c r="L125" s="374"/>
      <c r="N125" s="379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73">
        <f>'19'!F126</f>
        <v>145726</v>
      </c>
      <c r="F126" s="473">
        <v>145774</v>
      </c>
      <c r="G126" s="1225">
        <f t="shared" si="13"/>
        <v>48</v>
      </c>
      <c r="H126" s="455">
        <f>G126+'19'!H126</f>
        <v>-717</v>
      </c>
      <c r="I126" s="521"/>
      <c r="J126" s="547">
        <f>H126/DAY(B2)</f>
        <v>-35.85</v>
      </c>
      <c r="K126" s="377"/>
      <c r="L126" s="374"/>
      <c r="N126" s="379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621">
        <f>'19'!F127</f>
        <v>31404</v>
      </c>
      <c r="F127" s="621">
        <v>31404</v>
      </c>
      <c r="G127" s="1225">
        <f t="shared" si="13"/>
        <v>0</v>
      </c>
      <c r="H127" s="455">
        <f>G127+'19'!H127</f>
        <v>-2</v>
      </c>
      <c r="I127" s="521"/>
      <c r="J127" s="547">
        <f>H127/DAY(B2)</f>
        <v>-0.1</v>
      </c>
      <c r="K127" s="377"/>
      <c r="L127" s="374"/>
      <c r="N127" s="379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621">
        <f>'19'!F128</f>
        <v>8971</v>
      </c>
      <c r="F128" s="621">
        <v>8971</v>
      </c>
      <c r="G128" s="1225">
        <f t="shared" si="13"/>
        <v>0</v>
      </c>
      <c r="H128" s="455">
        <f>G128+'19'!H128</f>
        <v>-1</v>
      </c>
      <c r="I128" s="475"/>
      <c r="J128" s="547">
        <f>H128/DAY(B2)</f>
        <v>-0.05</v>
      </c>
      <c r="K128" s="377"/>
      <c r="L128" s="374"/>
      <c r="N128" s="379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1225">
        <f>G15-SUM(G124:G128)</f>
        <v>298</v>
      </c>
      <c r="H129" s="455">
        <f>G129+'19'!H129</f>
        <v>1517</v>
      </c>
      <c r="I129" s="475"/>
      <c r="J129" s="547">
        <f>H129/DAY(B2)</f>
        <v>75.849999999999994</v>
      </c>
      <c r="K129" s="361"/>
      <c r="L129" s="289"/>
      <c r="N129" s="362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1245"/>
      <c r="H130" s="535"/>
      <c r="I130" s="535"/>
      <c r="J130" s="559"/>
      <c r="N130" s="37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79">
        <f>'19'!F131</f>
        <v>0</v>
      </c>
      <c r="F131" s="479">
        <v>0</v>
      </c>
      <c r="G131" s="1225">
        <f t="shared" ref="G131:G141" si="14">F131-E131</f>
        <v>0</v>
      </c>
      <c r="H131" s="455">
        <f>G131+'19'!H131</f>
        <v>0</v>
      </c>
      <c r="I131" s="475"/>
      <c r="J131" s="547">
        <f>H131/DAY(B2)</f>
        <v>0</v>
      </c>
      <c r="N131" s="379"/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79">
        <f>'19'!F132</f>
        <v>0</v>
      </c>
      <c r="F132" s="479">
        <v>0</v>
      </c>
      <c r="G132" s="1225">
        <f t="shared" si="14"/>
        <v>0</v>
      </c>
      <c r="H132" s="455">
        <f>G132+'19'!H132</f>
        <v>0</v>
      </c>
      <c r="I132" s="475"/>
      <c r="J132" s="547">
        <f>H132/DAY(B2)</f>
        <v>0</v>
      </c>
      <c r="N132" s="379"/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479">
        <f>'19'!F133</f>
        <v>40031.519999999997</v>
      </c>
      <c r="F133" s="631">
        <v>40031.519999999997</v>
      </c>
      <c r="G133" s="1352">
        <f t="shared" si="14"/>
        <v>0</v>
      </c>
      <c r="H133" s="455">
        <f>G133+'19'!H133</f>
        <v>-3.5800000000017462</v>
      </c>
      <c r="I133" s="475"/>
      <c r="J133" s="547">
        <f>H133/DAY(B2)</f>
        <v>-0.17900000000008731</v>
      </c>
      <c r="N133" s="379">
        <f>G133-24</f>
        <v>-24</v>
      </c>
      <c r="O133" s="379"/>
    </row>
    <row r="134" spans="1:15" s="436" customFormat="1" ht="27.75">
      <c r="A134" s="1066" t="s">
        <v>297</v>
      </c>
      <c r="B134" s="1067"/>
      <c r="C134" s="1067"/>
      <c r="D134" s="622" t="s">
        <v>294</v>
      </c>
      <c r="E134" s="479">
        <f>'19'!F134</f>
        <v>300</v>
      </c>
      <c r="F134" s="631">
        <v>300</v>
      </c>
      <c r="G134" s="1353">
        <f t="shared" si="14"/>
        <v>0</v>
      </c>
      <c r="H134" s="701">
        <f>G134+'19'!H134</f>
        <v>0</v>
      </c>
      <c r="I134" s="1068">
        <f>G131+G132+G133+G134</f>
        <v>0</v>
      </c>
      <c r="J134" s="703">
        <f>H134/DAY(B2)</f>
        <v>0</v>
      </c>
      <c r="N134" s="709"/>
      <c r="O134" s="709"/>
    </row>
    <row r="135" spans="1:15" ht="27.75">
      <c r="A135" s="1392" t="s">
        <v>298</v>
      </c>
      <c r="B135" s="1393"/>
      <c r="C135" s="1393"/>
      <c r="D135" s="518" t="s">
        <v>294</v>
      </c>
      <c r="E135" s="479">
        <f>'19'!F135</f>
        <v>41565</v>
      </c>
      <c r="F135" s="631">
        <v>41589</v>
      </c>
      <c r="G135" s="1352">
        <f t="shared" si="14"/>
        <v>24</v>
      </c>
      <c r="H135" s="455">
        <f>G135+'19'!H135</f>
        <v>-141</v>
      </c>
      <c r="I135" s="475"/>
      <c r="J135" s="547">
        <f>H135/DAY(B2)</f>
        <v>-7.05</v>
      </c>
      <c r="N135" s="379"/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479">
        <f>'19'!F136</f>
        <v>32582.92</v>
      </c>
      <c r="F136" s="536">
        <v>32582.92</v>
      </c>
      <c r="G136" s="1225">
        <f t="shared" si="14"/>
        <v>0</v>
      </c>
      <c r="H136" s="455">
        <f>G136+'19'!H136</f>
        <v>-132.08000000000175</v>
      </c>
      <c r="I136" s="475"/>
      <c r="J136" s="547">
        <f>H136/DAY(B2)</f>
        <v>-6.6040000000000871</v>
      </c>
      <c r="N136" s="379"/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479">
        <f>'19'!F137</f>
        <v>22773.200000000001</v>
      </c>
      <c r="F137" s="536">
        <v>22773.200000000001</v>
      </c>
      <c r="G137" s="1225">
        <f t="shared" si="14"/>
        <v>0</v>
      </c>
      <c r="H137" s="455">
        <f>G137+'19'!H137</f>
        <v>-34.040000000000873</v>
      </c>
      <c r="I137" s="475">
        <f>G135+G136+G137</f>
        <v>24</v>
      </c>
      <c r="J137" s="547">
        <f>H137/DAY(B2)</f>
        <v>-1.7020000000000437</v>
      </c>
      <c r="N137" s="379"/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479">
        <f>'19'!F138</f>
        <v>25051.72</v>
      </c>
      <c r="F138" s="536">
        <v>25051.72</v>
      </c>
      <c r="G138" s="1225">
        <f t="shared" si="14"/>
        <v>0</v>
      </c>
      <c r="H138" s="455">
        <f>G138+'19'!H138</f>
        <v>-9.9999999998544808E-2</v>
      </c>
      <c r="I138" s="475"/>
      <c r="J138" s="547">
        <f>H138/DAY(B2)</f>
        <v>-4.9999999999272406E-3</v>
      </c>
      <c r="N138" s="379"/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479">
        <f>'19'!F139</f>
        <v>70370.02</v>
      </c>
      <c r="F139" s="536">
        <v>70370.02</v>
      </c>
      <c r="G139" s="1225">
        <f t="shared" si="14"/>
        <v>0</v>
      </c>
      <c r="H139" s="455">
        <f>G139+'19'!H139</f>
        <v>-41.720000000001164</v>
      </c>
      <c r="I139" s="475">
        <f>G138+G139</f>
        <v>0</v>
      </c>
      <c r="J139" s="547">
        <f>H139/DAY(B2)</f>
        <v>-2.086000000000058</v>
      </c>
      <c r="N139" s="379"/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79">
        <f>'19'!F140</f>
        <v>1762.57</v>
      </c>
      <c r="F140" s="479">
        <v>1770.76</v>
      </c>
      <c r="G140" s="1225">
        <f t="shared" si="14"/>
        <v>8.1900000000000546</v>
      </c>
      <c r="H140" s="455">
        <f>G140+'19'!H140</f>
        <v>-83.539999999999964</v>
      </c>
      <c r="I140" s="537"/>
      <c r="J140" s="547">
        <f>H140/DAY(B2)</f>
        <v>-4.1769999999999978</v>
      </c>
      <c r="N140" s="379"/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79">
        <f>'19'!F141</f>
        <v>4636.88</v>
      </c>
      <c r="F141" s="479">
        <v>4636.88</v>
      </c>
      <c r="G141" s="1225">
        <f t="shared" si="14"/>
        <v>0</v>
      </c>
      <c r="H141" s="455">
        <f>G141+'19'!H141</f>
        <v>-0.11999999999989086</v>
      </c>
      <c r="I141" s="537"/>
      <c r="J141" s="547">
        <f>H141/DAY(B2)</f>
        <v>-5.9999999999945427E-3</v>
      </c>
      <c r="N141" s="379"/>
      <c r="O141" s="379"/>
    </row>
    <row r="142" spans="1:15">
      <c r="A142" s="1488" t="s">
        <v>305</v>
      </c>
      <c r="B142" s="1489"/>
      <c r="C142" s="1398"/>
      <c r="D142" s="467"/>
      <c r="E142" s="467"/>
      <c r="F142" s="467"/>
      <c r="G142" s="1228"/>
      <c r="H142" s="478"/>
      <c r="I142" s="478"/>
      <c r="J142" s="558"/>
      <c r="K142" s="377"/>
      <c r="L142" s="374"/>
      <c r="N142" s="379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1238">
        <f>G35+G43+G49+G57</f>
        <v>3936</v>
      </c>
      <c r="H143" s="455">
        <f>G143+'19'!H143</f>
        <v>-50331</v>
      </c>
      <c r="I143" s="475"/>
      <c r="J143" s="547">
        <f>H143/DAY(B2)</f>
        <v>-2516.5500000000002</v>
      </c>
      <c r="K143" s="377"/>
      <c r="L143" s="374"/>
      <c r="N143" s="379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1247">
        <f>G143/G7</f>
        <v>0.23152941176470587</v>
      </c>
      <c r="H144" s="455">
        <f>G144+'19'!H144</f>
        <v>-3.0729535032543454</v>
      </c>
      <c r="I144" s="539"/>
      <c r="J144" s="547">
        <f>H144/DAY(B2)</f>
        <v>-0.15364767516271727</v>
      </c>
      <c r="K144" s="377"/>
      <c r="L144" s="374"/>
      <c r="N144" s="379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1238">
        <f>G41+G42+G55+G56</f>
        <v>4744</v>
      </c>
      <c r="H145" s="455">
        <f>G145+'19'!H145</f>
        <v>-58361.969999999994</v>
      </c>
      <c r="I145" s="475"/>
      <c r="J145" s="547">
        <f>H145/DAY(B2)</f>
        <v>-2918.0984999999996</v>
      </c>
      <c r="K145" s="377"/>
      <c r="L145" s="374"/>
      <c r="N145" s="379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1247">
        <f>G145/G7</f>
        <v>0.27905882352941175</v>
      </c>
      <c r="H146" s="455">
        <f>G146+'19'!H146</f>
        <v>-3.5698582728391179</v>
      </c>
      <c r="I146" s="539"/>
      <c r="J146" s="547">
        <f>H146/DAY(B2)</f>
        <v>-0.17849291364195591</v>
      </c>
      <c r="K146" s="377"/>
      <c r="L146" s="374"/>
      <c r="N146" s="379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1238">
        <f>G39+G53</f>
        <v>2517</v>
      </c>
      <c r="H147" s="455">
        <f>G147+'19'!H147</f>
        <v>-30583</v>
      </c>
      <c r="I147" s="540"/>
      <c r="J147" s="547">
        <f>H147/DAY(B2)</f>
        <v>-1529.15</v>
      </c>
      <c r="K147" s="377"/>
      <c r="L147" s="374"/>
      <c r="N147" s="379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1247">
        <f>G147/G7</f>
        <v>0.14805882352941177</v>
      </c>
      <c r="H148" s="455">
        <f>G148+'19'!H148</f>
        <v>-1.8765737874456032</v>
      </c>
      <c r="I148" s="540"/>
      <c r="J148" s="547">
        <f>H148/DAY(B2)</f>
        <v>-9.3828689372280158E-2</v>
      </c>
      <c r="N148" s="379"/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1238">
        <f>G38+G52</f>
        <v>978</v>
      </c>
      <c r="H149" s="455">
        <f>G149+'19'!H149</f>
        <v>-13563</v>
      </c>
      <c r="I149" s="475"/>
      <c r="J149" s="547">
        <f>H149/DAY(B2)</f>
        <v>-678.15</v>
      </c>
      <c r="K149" s="378"/>
      <c r="N149" s="379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1247">
        <f>G149/G7</f>
        <v>5.7529411764705884E-2</v>
      </c>
      <c r="H150" s="455">
        <f>G150+'19'!H150</f>
        <v>-0.8300182759217809</v>
      </c>
      <c r="I150" s="540"/>
      <c r="J150" s="547">
        <f>H150/DAY(B2)</f>
        <v>-4.1500913796089042E-2</v>
      </c>
      <c r="N150" s="379"/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1238">
        <f>G36+G50</f>
        <v>870</v>
      </c>
      <c r="H151" s="455">
        <f>G151+'19'!H151</f>
        <v>336828</v>
      </c>
      <c r="I151" s="540"/>
      <c r="J151" s="547">
        <f>H151/DAY(B2)</f>
        <v>16841.400000000001</v>
      </c>
      <c r="N151" s="379"/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1247">
        <f>G151/G7</f>
        <v>5.1176470588235295E-2</v>
      </c>
      <c r="H152" s="455">
        <f>G152+'19'!H152</f>
        <v>19.772127997963658</v>
      </c>
      <c r="I152" s="475"/>
      <c r="J152" s="547">
        <f>H152/DAY(B2)</f>
        <v>0.98860639989818289</v>
      </c>
      <c r="N152" s="379"/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1238">
        <f>G37+G51</f>
        <v>1255</v>
      </c>
      <c r="H153" s="455">
        <f>G153+'19'!H153</f>
        <v>-14386</v>
      </c>
      <c r="I153" s="475"/>
      <c r="J153" s="547">
        <f>H153/DAY(B2)</f>
        <v>-719.3</v>
      </c>
      <c r="L153" s="373" t="s">
        <v>353</v>
      </c>
      <c r="M153" s="373">
        <v>0.5</v>
      </c>
      <c r="N153" s="379">
        <v>50</v>
      </c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1248">
        <f>G153/G7</f>
        <v>7.3823529411764705E-2</v>
      </c>
      <c r="H154" s="455">
        <f>G154+'19'!H154</f>
        <v>-0.8772771831331333</v>
      </c>
      <c r="I154" s="563"/>
      <c r="J154" s="564">
        <f>H154/DAY(B2)</f>
        <v>-4.3863859156656665E-2</v>
      </c>
      <c r="N154" s="379"/>
      <c r="O154" s="379"/>
    </row>
    <row r="155" spans="1:15">
      <c r="A155" s="461"/>
      <c r="B155" s="451"/>
      <c r="C155" s="451"/>
      <c r="D155" s="541"/>
      <c r="E155" s="541"/>
      <c r="F155" s="541"/>
      <c r="G155" s="1249"/>
      <c r="H155" s="542"/>
      <c r="I155" s="541"/>
      <c r="J155" s="543"/>
      <c r="O155" s="379"/>
    </row>
    <row r="161" spans="1:12">
      <c r="A161" s="780" t="s">
        <v>318</v>
      </c>
      <c r="B161" s="781"/>
      <c r="C161" s="781"/>
      <c r="D161" s="506" t="s">
        <v>253</v>
      </c>
      <c r="E161" s="654">
        <f>'19'!F161</f>
        <v>37462</v>
      </c>
      <c r="F161" s="654">
        <v>37539</v>
      </c>
      <c r="G161" s="1225">
        <f t="shared" ref="G161:G164" si="15">F161-E161</f>
        <v>77</v>
      </c>
      <c r="K161" s="373">
        <v>70.399999999999636</v>
      </c>
      <c r="L161" s="373">
        <f t="shared" ref="L161:L172" si="16">G161-K161</f>
        <v>6.6000000000003638</v>
      </c>
    </row>
    <row r="162" spans="1:12">
      <c r="A162" s="780" t="s">
        <v>319</v>
      </c>
      <c r="B162" s="781"/>
      <c r="C162" s="781"/>
      <c r="D162" s="506" t="s">
        <v>253</v>
      </c>
      <c r="E162" s="654">
        <f>'19'!F162</f>
        <v>90173</v>
      </c>
      <c r="F162" s="654">
        <v>90557</v>
      </c>
      <c r="G162" s="1225">
        <f t="shared" si="15"/>
        <v>384</v>
      </c>
      <c r="K162" s="373">
        <v>124.25999999999999</v>
      </c>
      <c r="L162" s="373">
        <f t="shared" si="16"/>
        <v>259.74</v>
      </c>
    </row>
    <row r="163" spans="1:12">
      <c r="A163" s="780" t="s">
        <v>320</v>
      </c>
      <c r="B163" s="781"/>
      <c r="C163" s="781"/>
      <c r="D163" s="506" t="s">
        <v>253</v>
      </c>
      <c r="E163" s="654">
        <f>'19'!F163</f>
        <v>42495</v>
      </c>
      <c r="F163" s="654">
        <v>42697</v>
      </c>
      <c r="G163" s="1225">
        <f t="shared" si="15"/>
        <v>202</v>
      </c>
      <c r="K163" s="373">
        <v>138.98000000000002</v>
      </c>
      <c r="L163" s="373">
        <f t="shared" si="16"/>
        <v>63.019999999999982</v>
      </c>
    </row>
    <row r="164" spans="1:12">
      <c r="A164" s="780" t="s">
        <v>321</v>
      </c>
      <c r="B164" s="781"/>
      <c r="C164" s="781"/>
      <c r="D164" s="506" t="s">
        <v>253</v>
      </c>
      <c r="E164" s="654">
        <f>'19'!F164</f>
        <v>6460</v>
      </c>
      <c r="F164" s="654">
        <v>6474</v>
      </c>
      <c r="G164" s="1225">
        <f t="shared" si="15"/>
        <v>14</v>
      </c>
      <c r="K164" s="373">
        <v>45.830000000000041</v>
      </c>
      <c r="L164" s="373">
        <f t="shared" si="16"/>
        <v>-31.830000000000041</v>
      </c>
    </row>
    <row r="165" spans="1:12">
      <c r="A165" s="782" t="s">
        <v>252</v>
      </c>
      <c r="B165" s="599"/>
      <c r="C165" s="599"/>
      <c r="D165" s="506" t="s">
        <v>253</v>
      </c>
      <c r="E165" s="509">
        <f>E62</f>
        <v>20419.2</v>
      </c>
      <c r="F165" s="509">
        <f>F62</f>
        <v>20419.2</v>
      </c>
      <c r="G165" s="1225">
        <f t="shared" ref="G165:G172" si="17">F165-E165</f>
        <v>0</v>
      </c>
      <c r="K165" s="373">
        <v>-0.18000000000029104</v>
      </c>
      <c r="L165" s="373">
        <f t="shared" si="16"/>
        <v>0.18000000000029104</v>
      </c>
    </row>
    <row r="166" spans="1:12">
      <c r="A166" s="782" t="s">
        <v>254</v>
      </c>
      <c r="B166" s="599"/>
      <c r="C166" s="599"/>
      <c r="D166" s="506" t="s">
        <v>253</v>
      </c>
      <c r="E166" s="509">
        <f t="shared" ref="E166:E172" si="18">E63</f>
        <v>2431</v>
      </c>
      <c r="F166" s="509">
        <f t="shared" ref="F166:F172" si="19">F63</f>
        <v>2435</v>
      </c>
      <c r="G166" s="1225">
        <f t="shared" si="17"/>
        <v>4</v>
      </c>
      <c r="K166" s="373">
        <v>0</v>
      </c>
      <c r="L166" s="373">
        <f t="shared" si="16"/>
        <v>4</v>
      </c>
    </row>
    <row r="167" spans="1:12" ht="27.75">
      <c r="A167" s="1502" t="s">
        <v>161</v>
      </c>
      <c r="B167" s="1502"/>
      <c r="C167" s="1502"/>
      <c r="D167" s="518" t="s">
        <v>253</v>
      </c>
      <c r="E167" s="509">
        <f t="shared" si="18"/>
        <v>157530</v>
      </c>
      <c r="F167" s="509">
        <f t="shared" si="19"/>
        <v>157797</v>
      </c>
      <c r="G167" s="1225">
        <f t="shared" si="17"/>
        <v>267</v>
      </c>
      <c r="K167" s="373">
        <v>193.55000000000291</v>
      </c>
      <c r="L167" s="373">
        <f t="shared" si="16"/>
        <v>73.44999999999709</v>
      </c>
    </row>
    <row r="168" spans="1:12" ht="27.75">
      <c r="A168" s="1502" t="s">
        <v>162</v>
      </c>
      <c r="B168" s="1502"/>
      <c r="C168" s="1502"/>
      <c r="D168" s="518" t="s">
        <v>253</v>
      </c>
      <c r="E168" s="509">
        <f t="shared" si="18"/>
        <v>158429</v>
      </c>
      <c r="F168" s="509">
        <f t="shared" si="19"/>
        <v>158634</v>
      </c>
      <c r="G168" s="1225">
        <f t="shared" si="17"/>
        <v>205</v>
      </c>
      <c r="K168" s="373">
        <v>168.39999999999418</v>
      </c>
      <c r="L168" s="373">
        <f t="shared" si="16"/>
        <v>36.600000000005821</v>
      </c>
    </row>
    <row r="169" spans="1:12" ht="27.75">
      <c r="A169" s="1502" t="s">
        <v>255</v>
      </c>
      <c r="B169" s="1502"/>
      <c r="C169" s="1502"/>
      <c r="D169" s="518" t="s">
        <v>253</v>
      </c>
      <c r="E169" s="509">
        <f t="shared" si="18"/>
        <v>53483</v>
      </c>
      <c r="F169" s="509">
        <f t="shared" si="19"/>
        <v>53739</v>
      </c>
      <c r="G169" s="1225">
        <f t="shared" si="17"/>
        <v>256</v>
      </c>
      <c r="K169" s="373">
        <v>221.18999999999505</v>
      </c>
      <c r="L169" s="373">
        <f t="shared" si="16"/>
        <v>34.810000000004948</v>
      </c>
    </row>
    <row r="170" spans="1:12" ht="27.75">
      <c r="A170" s="1502" t="s">
        <v>157</v>
      </c>
      <c r="B170" s="1502"/>
      <c r="C170" s="1502"/>
      <c r="D170" s="518" t="s">
        <v>253</v>
      </c>
      <c r="E170" s="509">
        <f t="shared" si="18"/>
        <v>246931</v>
      </c>
      <c r="F170" s="509">
        <f t="shared" si="19"/>
        <v>247210</v>
      </c>
      <c r="G170" s="1225">
        <f t="shared" si="17"/>
        <v>279</v>
      </c>
      <c r="K170" s="373">
        <v>337.19000000000233</v>
      </c>
      <c r="L170" s="373">
        <f t="shared" si="16"/>
        <v>-58.190000000002328</v>
      </c>
    </row>
    <row r="171" spans="1:12" ht="27.75">
      <c r="A171" s="1502" t="s">
        <v>164</v>
      </c>
      <c r="B171" s="1502"/>
      <c r="C171" s="1502"/>
      <c r="D171" s="518" t="s">
        <v>253</v>
      </c>
      <c r="E171" s="509">
        <f t="shared" si="18"/>
        <v>85321</v>
      </c>
      <c r="F171" s="509">
        <f t="shared" si="19"/>
        <v>85321</v>
      </c>
      <c r="G171" s="1225">
        <f t="shared" si="17"/>
        <v>0</v>
      </c>
      <c r="K171" s="373">
        <v>115.09000000000015</v>
      </c>
      <c r="L171" s="373">
        <f t="shared" si="16"/>
        <v>-115.09000000000015</v>
      </c>
    </row>
    <row r="172" spans="1:12" ht="27.75">
      <c r="A172" s="1502" t="s">
        <v>165</v>
      </c>
      <c r="B172" s="1502"/>
      <c r="C172" s="1502"/>
      <c r="D172" s="518" t="s">
        <v>253</v>
      </c>
      <c r="E172" s="509">
        <f t="shared" si="18"/>
        <v>80454</v>
      </c>
      <c r="F172" s="509">
        <f t="shared" si="19"/>
        <v>80521</v>
      </c>
      <c r="G172" s="1225">
        <f t="shared" si="17"/>
        <v>67</v>
      </c>
      <c r="K172" s="373">
        <v>11.799999999999272</v>
      </c>
      <c r="L172" s="373">
        <f t="shared" si="16"/>
        <v>55.200000000000728</v>
      </c>
    </row>
    <row r="173" spans="1:12" ht="24.75" customHeight="1">
      <c r="G173" s="1351">
        <f>SUM(G161:G172)</f>
        <v>1755</v>
      </c>
      <c r="L173" s="373">
        <f>SUM(L161:L172)</f>
        <v>328.49000000000672</v>
      </c>
    </row>
    <row r="174" spans="1:12" ht="24.75" customHeight="1">
      <c r="A174" s="1502" t="s">
        <v>350</v>
      </c>
      <c r="B174" s="1502"/>
      <c r="C174" s="1502"/>
      <c r="D174" s="518" t="s">
        <v>253</v>
      </c>
      <c r="E174" s="509"/>
      <c r="F174" s="509"/>
      <c r="G174" s="468">
        <f t="shared" ref="G174" si="20">F174-E174</f>
        <v>0</v>
      </c>
    </row>
    <row r="175" spans="1:12" ht="24.75" customHeight="1"/>
    <row r="176" spans="1:12" ht="24.75" customHeight="1"/>
    <row r="177" ht="24.75" customHeight="1"/>
    <row r="302" spans="6:6">
      <c r="F302" s="532" t="s">
        <v>326</v>
      </c>
    </row>
    <row r="303" spans="6:6">
      <c r="F303" s="532">
        <v>0</v>
      </c>
    </row>
    <row r="304" spans="6:6">
      <c r="F304" s="532">
        <v>0</v>
      </c>
    </row>
    <row r="305" spans="6:6">
      <c r="F305" s="532">
        <v>0</v>
      </c>
    </row>
    <row r="306" spans="6:6">
      <c r="F306" s="532">
        <v>0</v>
      </c>
    </row>
    <row r="307" spans="6:6">
      <c r="F307" s="532">
        <v>0</v>
      </c>
    </row>
    <row r="308" spans="6:6">
      <c r="F308" s="532">
        <v>0</v>
      </c>
    </row>
    <row r="309" spans="6:6">
      <c r="F309" s="532">
        <v>0</v>
      </c>
    </row>
    <row r="310" spans="6:6">
      <c r="F310" s="532">
        <v>0</v>
      </c>
    </row>
    <row r="311" spans="6:6">
      <c r="F311" s="532">
        <v>0</v>
      </c>
    </row>
    <row r="312" spans="6:6">
      <c r="F312" s="532">
        <v>0</v>
      </c>
    </row>
    <row r="313" spans="6:6">
      <c r="F313" s="532">
        <v>0</v>
      </c>
    </row>
    <row r="314" spans="6:6">
      <c r="F314" s="532">
        <v>0</v>
      </c>
    </row>
    <row r="315" spans="6:6">
      <c r="F315" s="532">
        <v>0</v>
      </c>
    </row>
    <row r="316" spans="6:6">
      <c r="F316" s="532">
        <v>0</v>
      </c>
    </row>
    <row r="317" spans="6:6">
      <c r="F317" s="532">
        <v>0</v>
      </c>
    </row>
    <row r="318" spans="6:6">
      <c r="F318" s="532">
        <v>0</v>
      </c>
    </row>
    <row r="319" spans="6:6">
      <c r="F319" s="532">
        <v>0</v>
      </c>
    </row>
    <row r="320" spans="6:6">
      <c r="F320" s="532">
        <v>0</v>
      </c>
    </row>
    <row r="321" spans="6:6">
      <c r="F321" s="532">
        <v>0</v>
      </c>
    </row>
    <row r="322" spans="6:6">
      <c r="F322" s="532">
        <v>0</v>
      </c>
    </row>
    <row r="323" spans="6:6">
      <c r="F323" s="532">
        <v>0</v>
      </c>
    </row>
    <row r="324" spans="6:6">
      <c r="F324" s="532">
        <v>0</v>
      </c>
    </row>
    <row r="325" spans="6:6">
      <c r="F325" s="532">
        <v>0</v>
      </c>
    </row>
    <row r="326" spans="6:6">
      <c r="F326" s="532">
        <v>0</v>
      </c>
    </row>
    <row r="327" spans="6:6">
      <c r="F327" s="532">
        <v>0</v>
      </c>
    </row>
    <row r="328" spans="6:6">
      <c r="F328" s="532">
        <v>0</v>
      </c>
    </row>
    <row r="329" spans="6:6">
      <c r="F329" s="532">
        <v>0</v>
      </c>
    </row>
    <row r="330" spans="6:6">
      <c r="F330" s="532">
        <v>0</v>
      </c>
    </row>
    <row r="331" spans="6:6">
      <c r="F331" s="532">
        <v>0</v>
      </c>
    </row>
    <row r="332" spans="6:6">
      <c r="F332" s="532">
        <v>0</v>
      </c>
    </row>
    <row r="333" spans="6:6">
      <c r="F333" s="532">
        <v>0</v>
      </c>
    </row>
    <row r="334" spans="6:6">
      <c r="F334" s="532">
        <v>0</v>
      </c>
    </row>
    <row r="335" spans="6:6">
      <c r="F335" s="532">
        <v>0</v>
      </c>
    </row>
    <row r="336" spans="6:6">
      <c r="F336" s="532">
        <v>0</v>
      </c>
    </row>
    <row r="337" spans="6:6">
      <c r="F337" s="532">
        <v>0</v>
      </c>
    </row>
    <row r="338" spans="6:6">
      <c r="F338" s="532">
        <v>0</v>
      </c>
    </row>
    <row r="339" spans="6:6">
      <c r="F339" s="532">
        <v>0</v>
      </c>
    </row>
    <row r="340" spans="6:6">
      <c r="F340" s="532">
        <v>0</v>
      </c>
    </row>
    <row r="341" spans="6:6">
      <c r="F341" s="532">
        <v>0</v>
      </c>
    </row>
    <row r="342" spans="6:6">
      <c r="F342" s="532">
        <v>0</v>
      </c>
    </row>
    <row r="343" spans="6:6">
      <c r="F343" s="532">
        <v>0</v>
      </c>
    </row>
    <row r="344" spans="6:6">
      <c r="F344" s="532">
        <v>0</v>
      </c>
    </row>
    <row r="345" spans="6:6">
      <c r="F345" s="532">
        <v>0</v>
      </c>
    </row>
    <row r="346" spans="6:6">
      <c r="F346" s="532">
        <v>0</v>
      </c>
    </row>
    <row r="347" spans="6:6">
      <c r="F347" s="532">
        <v>0</v>
      </c>
    </row>
    <row r="348" spans="6:6">
      <c r="F348" s="532">
        <v>0</v>
      </c>
    </row>
    <row r="349" spans="6:6">
      <c r="F349" s="532">
        <v>0</v>
      </c>
    </row>
    <row r="350" spans="6:6">
      <c r="F350" s="532">
        <v>0</v>
      </c>
    </row>
    <row r="351" spans="6:6">
      <c r="F351" s="532">
        <v>0</v>
      </c>
    </row>
    <row r="352" spans="6:6">
      <c r="F352" s="532">
        <v>0</v>
      </c>
    </row>
    <row r="353" spans="6:6">
      <c r="F353" s="532">
        <v>0</v>
      </c>
    </row>
    <row r="354" spans="6:6">
      <c r="F354" s="532">
        <v>0</v>
      </c>
    </row>
    <row r="355" spans="6:6">
      <c r="F355" s="532">
        <v>0</v>
      </c>
    </row>
    <row r="356" spans="6:6">
      <c r="F356" s="532">
        <v>0</v>
      </c>
    </row>
    <row r="357" spans="6:6">
      <c r="F357" s="532">
        <v>0</v>
      </c>
    </row>
    <row r="358" spans="6:6">
      <c r="F358" s="532">
        <v>0</v>
      </c>
    </row>
    <row r="359" spans="6:6">
      <c r="F359" s="532">
        <v>0</v>
      </c>
    </row>
    <row r="360" spans="6:6">
      <c r="F360" s="532">
        <v>0</v>
      </c>
    </row>
    <row r="361" spans="6:6">
      <c r="F361" s="532">
        <v>0</v>
      </c>
    </row>
    <row r="362" spans="6:6">
      <c r="F362" s="532">
        <v>0</v>
      </c>
    </row>
    <row r="363" spans="6:6">
      <c r="F363" s="532">
        <v>0</v>
      </c>
    </row>
    <row r="364" spans="6:6">
      <c r="F364" s="532">
        <v>0</v>
      </c>
    </row>
    <row r="365" spans="6:6">
      <c r="F365" s="532">
        <v>0</v>
      </c>
    </row>
    <row r="366" spans="6:6">
      <c r="F366" s="532">
        <v>0</v>
      </c>
    </row>
    <row r="367" spans="6:6">
      <c r="F367" s="532">
        <v>0</v>
      </c>
    </row>
    <row r="368" spans="6:6">
      <c r="F368" s="532">
        <v>0</v>
      </c>
    </row>
    <row r="369" spans="6:6">
      <c r="F369" s="532">
        <v>0</v>
      </c>
    </row>
    <row r="370" spans="6:6">
      <c r="F370" s="532">
        <v>0</v>
      </c>
    </row>
    <row r="371" spans="6:6">
      <c r="F371" s="532">
        <v>0</v>
      </c>
    </row>
    <row r="372" spans="6:6">
      <c r="F372" s="532">
        <v>0</v>
      </c>
    </row>
    <row r="373" spans="6:6">
      <c r="F373" s="532">
        <v>0</v>
      </c>
    </row>
    <row r="374" spans="6:6">
      <c r="F374" s="532">
        <v>0</v>
      </c>
    </row>
    <row r="375" spans="6:6">
      <c r="F375" s="532">
        <v>0</v>
      </c>
    </row>
    <row r="376" spans="6:6">
      <c r="F376" s="532">
        <v>0</v>
      </c>
    </row>
    <row r="377" spans="6:6">
      <c r="F377" s="532">
        <v>0</v>
      </c>
    </row>
    <row r="378" spans="6:6">
      <c r="F378" s="532">
        <v>0</v>
      </c>
    </row>
    <row r="379" spans="6:6">
      <c r="F379" s="532">
        <v>0</v>
      </c>
    </row>
    <row r="380" spans="6:6">
      <c r="F380" s="532">
        <v>0</v>
      </c>
    </row>
    <row r="381" spans="6:6">
      <c r="F381" s="532">
        <v>0</v>
      </c>
    </row>
    <row r="382" spans="6:6">
      <c r="F382" s="532">
        <v>0</v>
      </c>
    </row>
    <row r="383" spans="6:6">
      <c r="F383" s="532">
        <v>0</v>
      </c>
    </row>
    <row r="384" spans="6:6">
      <c r="F384" s="532">
        <v>0</v>
      </c>
    </row>
    <row r="385" spans="6:6">
      <c r="F385" s="532">
        <v>0</v>
      </c>
    </row>
    <row r="386" spans="6:6">
      <c r="F386" s="532">
        <v>0</v>
      </c>
    </row>
    <row r="387" spans="6:6">
      <c r="F387" s="532">
        <v>0</v>
      </c>
    </row>
    <row r="388" spans="6:6">
      <c r="F388" s="532">
        <v>0</v>
      </c>
    </row>
    <row r="389" spans="6:6">
      <c r="F389" s="532">
        <v>0</v>
      </c>
    </row>
    <row r="390" spans="6:6">
      <c r="F390" s="532">
        <v>0</v>
      </c>
    </row>
    <row r="391" spans="6:6">
      <c r="F391" s="532">
        <v>0</v>
      </c>
    </row>
    <row r="392" spans="6:6">
      <c r="F392" s="532">
        <v>0</v>
      </c>
    </row>
    <row r="393" spans="6:6">
      <c r="F393" s="532">
        <v>0</v>
      </c>
    </row>
    <row r="394" spans="6:6">
      <c r="F394" s="532">
        <v>0</v>
      </c>
    </row>
    <row r="395" spans="6:6">
      <c r="F395" s="532">
        <v>0</v>
      </c>
    </row>
    <row r="396" spans="6:6">
      <c r="F396" s="532">
        <v>0</v>
      </c>
    </row>
    <row r="397" spans="6:6">
      <c r="F397" s="532">
        <v>0</v>
      </c>
    </row>
    <row r="398" spans="6:6">
      <c r="F398" s="532">
        <v>0</v>
      </c>
    </row>
    <row r="399" spans="6:6">
      <c r="F399" s="532">
        <v>0</v>
      </c>
    </row>
    <row r="400" spans="6:6">
      <c r="F400" s="532">
        <v>0</v>
      </c>
    </row>
    <row r="401" spans="6:6">
      <c r="F401" s="532">
        <v>0</v>
      </c>
    </row>
    <row r="402" spans="6:6">
      <c r="F402" s="532">
        <v>0</v>
      </c>
    </row>
    <row r="403" spans="6:6">
      <c r="F403" s="532">
        <v>0</v>
      </c>
    </row>
    <row r="404" spans="6:6">
      <c r="F404" s="532">
        <v>0</v>
      </c>
    </row>
    <row r="405" spans="6:6">
      <c r="F405" s="532">
        <v>0</v>
      </c>
    </row>
    <row r="406" spans="6:6">
      <c r="F406" s="532">
        <v>0</v>
      </c>
    </row>
    <row r="407" spans="6:6">
      <c r="F407" s="532">
        <v>0</v>
      </c>
    </row>
    <row r="408" spans="6:6">
      <c r="F408" s="532">
        <v>0</v>
      </c>
    </row>
    <row r="409" spans="6:6">
      <c r="F409" s="532">
        <v>0</v>
      </c>
    </row>
    <row r="410" spans="6:6">
      <c r="F410" s="532">
        <v>0</v>
      </c>
    </row>
    <row r="411" spans="6:6">
      <c r="F411" s="532">
        <v>0</v>
      </c>
    </row>
    <row r="412" spans="6:6">
      <c r="F412" s="532">
        <v>0</v>
      </c>
    </row>
    <row r="413" spans="6:6">
      <c r="F413" s="532">
        <v>0</v>
      </c>
    </row>
    <row r="414" spans="6:6">
      <c r="F414" s="532">
        <v>0</v>
      </c>
    </row>
    <row r="415" spans="6:6">
      <c r="F415" s="532">
        <v>0</v>
      </c>
    </row>
    <row r="416" spans="6:6">
      <c r="F416" s="532">
        <v>0</v>
      </c>
    </row>
    <row r="417" spans="6:6">
      <c r="F417" s="532">
        <v>0</v>
      </c>
    </row>
    <row r="418" spans="6:6">
      <c r="F418" s="532">
        <v>0</v>
      </c>
    </row>
    <row r="419" spans="6:6">
      <c r="F419" s="532">
        <v>0</v>
      </c>
    </row>
    <row r="420" spans="6:6">
      <c r="F420" s="532">
        <v>0</v>
      </c>
    </row>
    <row r="421" spans="6:6">
      <c r="F421" s="532">
        <v>0</v>
      </c>
    </row>
    <row r="422" spans="6:6">
      <c r="F422" s="532">
        <v>0</v>
      </c>
    </row>
    <row r="423" spans="6:6">
      <c r="F423" s="532">
        <v>0</v>
      </c>
    </row>
    <row r="424" spans="6:6">
      <c r="F424" s="532">
        <v>0</v>
      </c>
    </row>
    <row r="425" spans="6:6">
      <c r="F425" s="532">
        <v>0</v>
      </c>
    </row>
    <row r="426" spans="6:6">
      <c r="F426" s="532">
        <v>0</v>
      </c>
    </row>
    <row r="427" spans="6:6">
      <c r="F427" s="532">
        <v>0</v>
      </c>
    </row>
    <row r="428" spans="6:6">
      <c r="F428" s="532">
        <v>0</v>
      </c>
    </row>
    <row r="429" spans="6:6">
      <c r="F429" s="532">
        <v>0</v>
      </c>
    </row>
    <row r="430" spans="6:6">
      <c r="F430" s="532">
        <v>0</v>
      </c>
    </row>
    <row r="431" spans="6:6">
      <c r="F431" s="532">
        <v>0</v>
      </c>
    </row>
    <row r="432" spans="6:6">
      <c r="F432" s="532">
        <v>0</v>
      </c>
    </row>
    <row r="433" spans="6:6">
      <c r="F433" s="532">
        <v>0</v>
      </c>
    </row>
    <row r="434" spans="6:6">
      <c r="F434" s="532">
        <v>0</v>
      </c>
    </row>
    <row r="435" spans="6:6">
      <c r="F435" s="532">
        <v>0</v>
      </c>
    </row>
    <row r="436" spans="6:6">
      <c r="F436" s="532">
        <v>0</v>
      </c>
    </row>
    <row r="437" spans="6:6">
      <c r="F437" s="532">
        <v>0</v>
      </c>
    </row>
    <row r="438" spans="6:6">
      <c r="F438" s="532">
        <v>0</v>
      </c>
    </row>
    <row r="439" spans="6:6">
      <c r="F439" s="532">
        <v>0</v>
      </c>
    </row>
    <row r="440" spans="6:6">
      <c r="F440" s="532">
        <v>0</v>
      </c>
    </row>
    <row r="441" spans="6:6">
      <c r="F441" s="532">
        <v>0</v>
      </c>
    </row>
    <row r="442" spans="6:6">
      <c r="F442" s="532">
        <v>0</v>
      </c>
    </row>
    <row r="443" spans="6:6">
      <c r="F443" s="532">
        <v>0</v>
      </c>
    </row>
    <row r="444" spans="6:6">
      <c r="F444" s="532">
        <v>0</v>
      </c>
    </row>
    <row r="445" spans="6:6">
      <c r="F445" s="532">
        <v>0</v>
      </c>
    </row>
    <row r="446" spans="6:6">
      <c r="F446" s="532">
        <v>0</v>
      </c>
    </row>
    <row r="447" spans="6:6">
      <c r="F447" s="532">
        <v>0</v>
      </c>
    </row>
    <row r="448" spans="6:6">
      <c r="F448" s="532">
        <v>0</v>
      </c>
    </row>
    <row r="449" spans="6:6">
      <c r="F449" s="532">
        <v>0</v>
      </c>
    </row>
    <row r="450" spans="6:6">
      <c r="F450" s="532">
        <v>0</v>
      </c>
    </row>
    <row r="451" spans="6:6">
      <c r="F451" s="532">
        <v>0</v>
      </c>
    </row>
    <row r="452" spans="6:6">
      <c r="F452" s="532">
        <v>0</v>
      </c>
    </row>
    <row r="453" spans="6:6">
      <c r="F453" s="532">
        <v>0</v>
      </c>
    </row>
    <row r="454" spans="6:6">
      <c r="F454" s="532">
        <v>0</v>
      </c>
    </row>
    <row r="455" spans="6:6">
      <c r="F455" s="532">
        <v>0</v>
      </c>
    </row>
    <row r="456" spans="6:6">
      <c r="F456" s="532">
        <v>0</v>
      </c>
    </row>
    <row r="457" spans="6:6">
      <c r="F457" s="532">
        <v>0</v>
      </c>
    </row>
    <row r="458" spans="6:6">
      <c r="F458" s="532">
        <v>0</v>
      </c>
    </row>
    <row r="459" spans="6:6">
      <c r="F459" s="532">
        <v>0</v>
      </c>
    </row>
    <row r="460" spans="6:6">
      <c r="F460" s="532">
        <v>0</v>
      </c>
    </row>
    <row r="461" spans="6:6">
      <c r="F461" s="532">
        <v>0</v>
      </c>
    </row>
    <row r="462" spans="6:6">
      <c r="F462" s="532">
        <v>0</v>
      </c>
    </row>
    <row r="463" spans="6:6">
      <c r="F463" s="532">
        <v>0</v>
      </c>
    </row>
    <row r="464" spans="6:6">
      <c r="F464" s="532">
        <v>0</v>
      </c>
    </row>
    <row r="465" spans="6:6">
      <c r="F465" s="532">
        <v>0</v>
      </c>
    </row>
    <row r="466" spans="6:6">
      <c r="F466" s="532">
        <v>0</v>
      </c>
    </row>
    <row r="467" spans="6:6">
      <c r="F467" s="532">
        <v>0</v>
      </c>
    </row>
    <row r="468" spans="6:6">
      <c r="F468" s="532">
        <v>0</v>
      </c>
    </row>
    <row r="469" spans="6:6">
      <c r="F469" s="532">
        <v>0</v>
      </c>
    </row>
    <row r="470" spans="6:6">
      <c r="F470" s="532">
        <v>0</v>
      </c>
    </row>
    <row r="471" spans="6:6">
      <c r="F471" s="532">
        <v>0</v>
      </c>
    </row>
    <row r="472" spans="6:6">
      <c r="F472" s="532">
        <v>0</v>
      </c>
    </row>
    <row r="473" spans="6:6">
      <c r="F473" s="532">
        <v>0</v>
      </c>
    </row>
    <row r="474" spans="6:6">
      <c r="F474" s="532">
        <v>0</v>
      </c>
    </row>
    <row r="475" spans="6:6">
      <c r="F475" s="532">
        <v>0</v>
      </c>
    </row>
    <row r="476" spans="6:6">
      <c r="F476" s="532">
        <v>0</v>
      </c>
    </row>
    <row r="477" spans="6:6">
      <c r="F477" s="532">
        <v>0</v>
      </c>
    </row>
    <row r="478" spans="6:6">
      <c r="F478" s="532">
        <v>0</v>
      </c>
    </row>
    <row r="479" spans="6:6">
      <c r="F479" s="532">
        <v>0</v>
      </c>
    </row>
    <row r="480" spans="6:6">
      <c r="F480" s="532">
        <v>0</v>
      </c>
    </row>
    <row r="481" spans="6:6">
      <c r="F481" s="532">
        <v>0</v>
      </c>
    </row>
    <row r="482" spans="6:6">
      <c r="F482" s="532">
        <v>0</v>
      </c>
    </row>
    <row r="483" spans="6:6">
      <c r="F483" s="532">
        <v>0</v>
      </c>
    </row>
    <row r="484" spans="6:6">
      <c r="F484" s="532">
        <v>0</v>
      </c>
    </row>
    <row r="485" spans="6:6">
      <c r="F485" s="532">
        <v>0</v>
      </c>
    </row>
    <row r="486" spans="6:6">
      <c r="F486" s="532">
        <v>0</v>
      </c>
    </row>
    <row r="487" spans="6:6">
      <c r="F487" s="532">
        <v>0</v>
      </c>
    </row>
    <row r="488" spans="6:6">
      <c r="F488" s="532">
        <v>0</v>
      </c>
    </row>
    <row r="489" spans="6:6">
      <c r="F489" s="532">
        <v>0</v>
      </c>
    </row>
    <row r="490" spans="6:6">
      <c r="F490" s="532">
        <v>0</v>
      </c>
    </row>
    <row r="491" spans="6:6">
      <c r="F491" s="532">
        <v>0</v>
      </c>
    </row>
    <row r="492" spans="6:6">
      <c r="F492" s="532">
        <v>0</v>
      </c>
    </row>
    <row r="493" spans="6:6">
      <c r="F493" s="532">
        <v>0</v>
      </c>
    </row>
    <row r="494" spans="6:6">
      <c r="F494" s="532">
        <v>0</v>
      </c>
    </row>
    <row r="495" spans="6:6">
      <c r="F495" s="532">
        <v>0</v>
      </c>
    </row>
    <row r="496" spans="6:6">
      <c r="F496" s="532">
        <v>0</v>
      </c>
    </row>
    <row r="497" spans="6:6">
      <c r="F497" s="532">
        <v>0</v>
      </c>
    </row>
    <row r="498" spans="6:6">
      <c r="F498" s="532">
        <v>0</v>
      </c>
    </row>
    <row r="499" spans="6:6">
      <c r="F499" s="532">
        <v>0</v>
      </c>
    </row>
    <row r="500" spans="6:6">
      <c r="F500" s="532">
        <v>0</v>
      </c>
    </row>
    <row r="501" spans="6:6">
      <c r="F501" s="532">
        <v>0</v>
      </c>
    </row>
    <row r="502" spans="6:6">
      <c r="F502" s="532">
        <v>0</v>
      </c>
    </row>
    <row r="503" spans="6:6">
      <c r="F503" s="532">
        <v>0</v>
      </c>
    </row>
    <row r="504" spans="6:6">
      <c r="F504" s="532">
        <v>0</v>
      </c>
    </row>
    <row r="505" spans="6:6">
      <c r="F505" s="532">
        <v>0</v>
      </c>
    </row>
    <row r="506" spans="6:6">
      <c r="F506" s="532">
        <v>0</v>
      </c>
    </row>
    <row r="507" spans="6:6">
      <c r="F507" s="532">
        <v>0</v>
      </c>
    </row>
    <row r="508" spans="6:6">
      <c r="F508" s="532">
        <v>0</v>
      </c>
    </row>
    <row r="509" spans="6:6">
      <c r="F509" s="532">
        <v>0</v>
      </c>
    </row>
    <row r="510" spans="6:6">
      <c r="F510" s="532">
        <v>0</v>
      </c>
    </row>
    <row r="511" spans="6:6">
      <c r="F511" s="532">
        <v>0</v>
      </c>
    </row>
    <row r="512" spans="6:6">
      <c r="F512" s="532">
        <v>0</v>
      </c>
    </row>
    <row r="513" spans="6:6">
      <c r="F513" s="532">
        <v>0</v>
      </c>
    </row>
    <row r="514" spans="6:6">
      <c r="F514" s="532">
        <v>0</v>
      </c>
    </row>
    <row r="515" spans="6:6">
      <c r="F515" s="532">
        <v>0</v>
      </c>
    </row>
    <row r="516" spans="6:6">
      <c r="F516" s="532">
        <v>0</v>
      </c>
    </row>
    <row r="517" spans="6:6">
      <c r="F517" s="532">
        <v>0</v>
      </c>
    </row>
    <row r="518" spans="6:6">
      <c r="F518" s="532">
        <v>0</v>
      </c>
    </row>
    <row r="519" spans="6:6">
      <c r="F519" s="532">
        <v>0</v>
      </c>
    </row>
    <row r="520" spans="6:6">
      <c r="F520" s="532">
        <v>0</v>
      </c>
    </row>
    <row r="521" spans="6:6">
      <c r="F521" s="532">
        <v>0</v>
      </c>
    </row>
    <row r="522" spans="6:6">
      <c r="F522" s="532">
        <v>0</v>
      </c>
    </row>
    <row r="523" spans="6:6">
      <c r="F523" s="532">
        <v>0</v>
      </c>
    </row>
    <row r="524" spans="6:6">
      <c r="F524" s="532">
        <v>0</v>
      </c>
    </row>
    <row r="525" spans="6:6">
      <c r="F525" s="532">
        <v>0</v>
      </c>
    </row>
    <row r="526" spans="6:6">
      <c r="F526" s="532">
        <v>0</v>
      </c>
    </row>
    <row r="527" spans="6:6">
      <c r="F527" s="532">
        <v>0</v>
      </c>
    </row>
    <row r="528" spans="6:6">
      <c r="F528" s="532">
        <v>0</v>
      </c>
    </row>
    <row r="529" spans="6:6">
      <c r="F529" s="532">
        <v>0</v>
      </c>
    </row>
    <row r="530" spans="6:6">
      <c r="F530" s="532">
        <v>0</v>
      </c>
    </row>
    <row r="531" spans="6:6">
      <c r="F531" s="532">
        <v>0</v>
      </c>
    </row>
    <row r="532" spans="6:6">
      <c r="F532" s="532">
        <v>0</v>
      </c>
    </row>
    <row r="533" spans="6:6">
      <c r="F533" s="532">
        <v>0</v>
      </c>
    </row>
    <row r="534" spans="6:6">
      <c r="F534" s="532">
        <v>0</v>
      </c>
    </row>
    <row r="535" spans="6:6">
      <c r="F535" s="532">
        <v>0</v>
      </c>
    </row>
    <row r="536" spans="6:6">
      <c r="F536" s="532">
        <v>0</v>
      </c>
    </row>
    <row r="537" spans="6:6">
      <c r="F537" s="532">
        <v>0</v>
      </c>
    </row>
    <row r="538" spans="6:6">
      <c r="F538" s="532">
        <v>0</v>
      </c>
    </row>
    <row r="539" spans="6:6">
      <c r="F539" s="532">
        <v>0</v>
      </c>
    </row>
    <row r="540" spans="6:6">
      <c r="F540" s="532">
        <v>0</v>
      </c>
    </row>
    <row r="541" spans="6:6">
      <c r="F541" s="532">
        <v>0</v>
      </c>
    </row>
    <row r="542" spans="6:6">
      <c r="F542" s="532">
        <v>0</v>
      </c>
    </row>
    <row r="543" spans="6:6">
      <c r="F543" s="532">
        <v>0</v>
      </c>
    </row>
    <row r="544" spans="6:6">
      <c r="F544" s="532">
        <v>0</v>
      </c>
    </row>
    <row r="545" spans="6:6">
      <c r="F545" s="532">
        <v>0</v>
      </c>
    </row>
    <row r="546" spans="6:6">
      <c r="F546" s="532">
        <v>0</v>
      </c>
    </row>
    <row r="547" spans="6:6">
      <c r="F547" s="532">
        <v>0</v>
      </c>
    </row>
    <row r="548" spans="6:6">
      <c r="F548" s="532">
        <v>0</v>
      </c>
    </row>
    <row r="549" spans="6:6">
      <c r="F549" s="532">
        <v>0</v>
      </c>
    </row>
    <row r="550" spans="6:6">
      <c r="F550" s="532">
        <v>0</v>
      </c>
    </row>
    <row r="551" spans="6:6">
      <c r="F551" s="532">
        <v>0</v>
      </c>
    </row>
    <row r="552" spans="6:6">
      <c r="F552" s="532">
        <v>0</v>
      </c>
    </row>
    <row r="553" spans="6:6">
      <c r="F553" s="532">
        <v>0</v>
      </c>
    </row>
    <row r="554" spans="6:6">
      <c r="F554" s="532">
        <v>0</v>
      </c>
    </row>
    <row r="555" spans="6:6">
      <c r="F555" s="532">
        <v>0</v>
      </c>
    </row>
    <row r="556" spans="6:6">
      <c r="F556" s="532">
        <v>0</v>
      </c>
    </row>
    <row r="557" spans="6:6">
      <c r="F557" s="532">
        <v>0</v>
      </c>
    </row>
    <row r="558" spans="6:6">
      <c r="F558" s="532">
        <v>0</v>
      </c>
    </row>
    <row r="559" spans="6:6">
      <c r="F559" s="532">
        <v>0</v>
      </c>
    </row>
    <row r="560" spans="6:6">
      <c r="F560" s="532">
        <v>0</v>
      </c>
    </row>
    <row r="561" spans="6:6">
      <c r="F561" s="532">
        <v>0</v>
      </c>
    </row>
    <row r="562" spans="6:6">
      <c r="F562" s="532">
        <v>0</v>
      </c>
    </row>
    <row r="563" spans="6:6">
      <c r="F563" s="532">
        <v>0</v>
      </c>
    </row>
    <row r="564" spans="6:6">
      <c r="F564" s="532">
        <v>0</v>
      </c>
    </row>
    <row r="565" spans="6:6">
      <c r="F565" s="532">
        <v>0</v>
      </c>
    </row>
    <row r="566" spans="6:6">
      <c r="F566" s="532">
        <v>0</v>
      </c>
    </row>
    <row r="567" spans="6:6">
      <c r="F567" s="532">
        <v>0</v>
      </c>
    </row>
    <row r="568" spans="6:6">
      <c r="F568" s="532">
        <v>0</v>
      </c>
    </row>
    <row r="569" spans="6:6">
      <c r="F569" s="532">
        <v>0</v>
      </c>
    </row>
    <row r="570" spans="6:6">
      <c r="F570" s="532">
        <v>0</v>
      </c>
    </row>
    <row r="571" spans="6:6">
      <c r="F571" s="532">
        <v>0</v>
      </c>
    </row>
    <row r="572" spans="6:6">
      <c r="F572" s="532">
        <v>0</v>
      </c>
    </row>
    <row r="573" spans="6:6">
      <c r="F573" s="532">
        <v>0</v>
      </c>
    </row>
    <row r="574" spans="6:6">
      <c r="F574" s="532">
        <v>0</v>
      </c>
    </row>
    <row r="575" spans="6:6">
      <c r="F575" s="532">
        <v>0</v>
      </c>
    </row>
    <row r="576" spans="6:6">
      <c r="F576" s="532">
        <v>0</v>
      </c>
    </row>
    <row r="577" spans="6:6">
      <c r="F577" s="532">
        <v>0</v>
      </c>
    </row>
    <row r="578" spans="6:6">
      <c r="F578" s="532">
        <v>0</v>
      </c>
    </row>
    <row r="579" spans="6:6">
      <c r="F579" s="532">
        <v>0</v>
      </c>
    </row>
    <row r="580" spans="6:6">
      <c r="F580" s="532">
        <v>0</v>
      </c>
    </row>
    <row r="581" spans="6:6">
      <c r="F581" s="532">
        <v>0</v>
      </c>
    </row>
    <row r="582" spans="6:6">
      <c r="F582" s="532">
        <v>0</v>
      </c>
    </row>
    <row r="583" spans="6:6">
      <c r="F583" s="532">
        <v>0</v>
      </c>
    </row>
    <row r="584" spans="6:6">
      <c r="F584" s="532">
        <v>0</v>
      </c>
    </row>
    <row r="585" spans="6:6">
      <c r="F585" s="532">
        <v>0</v>
      </c>
    </row>
    <row r="586" spans="6:6">
      <c r="F586" s="532">
        <v>0</v>
      </c>
    </row>
    <row r="587" spans="6:6">
      <c r="F587" s="532">
        <v>0</v>
      </c>
    </row>
    <row r="588" spans="6:6">
      <c r="F588" s="532">
        <v>0</v>
      </c>
    </row>
    <row r="589" spans="6:6">
      <c r="F589" s="532">
        <v>0</v>
      </c>
    </row>
    <row r="590" spans="6:6">
      <c r="F590" s="532">
        <v>0</v>
      </c>
    </row>
    <row r="591" spans="6:6">
      <c r="F591" s="532">
        <v>0</v>
      </c>
    </row>
    <row r="592" spans="6:6">
      <c r="F592" s="532">
        <v>0</v>
      </c>
    </row>
    <row r="593" spans="6:6">
      <c r="F593" s="532">
        <v>0</v>
      </c>
    </row>
    <row r="594" spans="6:6">
      <c r="F594" s="532">
        <v>0</v>
      </c>
    </row>
    <row r="595" spans="6:6">
      <c r="F595" s="532">
        <v>0</v>
      </c>
    </row>
    <row r="596" spans="6:6">
      <c r="F596" s="532">
        <v>0</v>
      </c>
    </row>
    <row r="597" spans="6:6">
      <c r="F597" s="532">
        <v>0</v>
      </c>
    </row>
    <row r="598" spans="6:6">
      <c r="F598" s="532">
        <v>0</v>
      </c>
    </row>
    <row r="599" spans="6:6">
      <c r="F599" s="532">
        <v>0</v>
      </c>
    </row>
    <row r="600" spans="6:6">
      <c r="F600" s="532">
        <v>0</v>
      </c>
    </row>
    <row r="601" spans="6:6">
      <c r="F601" s="532">
        <v>0</v>
      </c>
    </row>
    <row r="602" spans="6:6">
      <c r="F602" s="532">
        <v>0</v>
      </c>
    </row>
    <row r="603" spans="6:6">
      <c r="F603" s="532">
        <v>0</v>
      </c>
    </row>
    <row r="604" spans="6:6">
      <c r="F604" s="532">
        <v>0</v>
      </c>
    </row>
    <row r="605" spans="6:6">
      <c r="F605" s="532">
        <v>0</v>
      </c>
    </row>
    <row r="606" spans="6:6">
      <c r="F606" s="532">
        <v>0</v>
      </c>
    </row>
    <row r="607" spans="6:6">
      <c r="F607" s="532">
        <v>0</v>
      </c>
    </row>
    <row r="608" spans="6:6">
      <c r="F608" s="532">
        <v>0</v>
      </c>
    </row>
    <row r="609" spans="6:6">
      <c r="F609" s="532">
        <v>0</v>
      </c>
    </row>
    <row r="610" spans="6:6">
      <c r="F610" s="532">
        <v>0</v>
      </c>
    </row>
    <row r="611" spans="6:6">
      <c r="F611" s="532">
        <v>0</v>
      </c>
    </row>
    <row r="612" spans="6:6">
      <c r="F612" s="532">
        <v>0</v>
      </c>
    </row>
    <row r="613" spans="6:6">
      <c r="F613" s="532">
        <v>0</v>
      </c>
    </row>
    <row r="614" spans="6:6">
      <c r="F614" s="532">
        <v>0</v>
      </c>
    </row>
    <row r="615" spans="6:6">
      <c r="F615" s="532">
        <v>0</v>
      </c>
    </row>
    <row r="616" spans="6:6">
      <c r="F616" s="532">
        <v>0</v>
      </c>
    </row>
    <row r="617" spans="6:6">
      <c r="F617" s="532">
        <v>0</v>
      </c>
    </row>
    <row r="618" spans="6:6">
      <c r="F618" s="532">
        <v>0</v>
      </c>
    </row>
    <row r="619" spans="6:6">
      <c r="F619" s="532">
        <v>0</v>
      </c>
    </row>
    <row r="620" spans="6:6">
      <c r="F620" s="532">
        <v>0</v>
      </c>
    </row>
    <row r="621" spans="6:6">
      <c r="F621" s="532">
        <v>0</v>
      </c>
    </row>
    <row r="622" spans="6:6">
      <c r="F622" s="532">
        <v>0</v>
      </c>
    </row>
    <row r="623" spans="6:6">
      <c r="F623" s="532">
        <v>0</v>
      </c>
    </row>
    <row r="624" spans="6:6">
      <c r="F624" s="532">
        <v>0</v>
      </c>
    </row>
    <row r="625" spans="6:6">
      <c r="F625" s="532">
        <v>0</v>
      </c>
    </row>
    <row r="626" spans="6:6">
      <c r="F626" s="532">
        <v>0</v>
      </c>
    </row>
    <row r="627" spans="6:6">
      <c r="F627" s="532">
        <v>0</v>
      </c>
    </row>
    <row r="628" spans="6:6">
      <c r="F628" s="532">
        <v>0</v>
      </c>
    </row>
    <row r="629" spans="6:6">
      <c r="F629" s="532">
        <v>0</v>
      </c>
    </row>
    <row r="630" spans="6:6">
      <c r="F630" s="532">
        <v>0</v>
      </c>
    </row>
    <row r="631" spans="6:6">
      <c r="F631" s="532">
        <v>0</v>
      </c>
    </row>
    <row r="632" spans="6:6">
      <c r="F632" s="532">
        <v>0</v>
      </c>
    </row>
    <row r="633" spans="6:6">
      <c r="F633" s="532">
        <v>0</v>
      </c>
    </row>
    <row r="634" spans="6:6">
      <c r="F634" s="532">
        <v>0</v>
      </c>
    </row>
    <row r="635" spans="6:6">
      <c r="F635" s="532">
        <v>0</v>
      </c>
    </row>
    <row r="636" spans="6:6">
      <c r="F636" s="532">
        <v>0</v>
      </c>
    </row>
    <row r="637" spans="6:6">
      <c r="F637" s="532">
        <v>0</v>
      </c>
    </row>
    <row r="638" spans="6:6">
      <c r="F638" s="532">
        <v>0</v>
      </c>
    </row>
    <row r="639" spans="6:6">
      <c r="F639" s="532">
        <v>0</v>
      </c>
    </row>
    <row r="640" spans="6:6">
      <c r="F640" s="532">
        <v>0</v>
      </c>
    </row>
    <row r="641" spans="6:6">
      <c r="F641" s="532">
        <v>0</v>
      </c>
    </row>
    <row r="642" spans="6:6">
      <c r="F642" s="532">
        <v>0</v>
      </c>
    </row>
    <row r="643" spans="6:6">
      <c r="F643" s="532">
        <v>0</v>
      </c>
    </row>
    <row r="644" spans="6:6">
      <c r="F644" s="532">
        <v>0</v>
      </c>
    </row>
    <row r="645" spans="6:6">
      <c r="F645" s="532">
        <v>0</v>
      </c>
    </row>
    <row r="646" spans="6:6">
      <c r="F646" s="532">
        <v>0</v>
      </c>
    </row>
    <row r="647" spans="6:6">
      <c r="F647" s="532">
        <v>0</v>
      </c>
    </row>
    <row r="648" spans="6:6">
      <c r="F648" s="532">
        <v>0</v>
      </c>
    </row>
    <row r="649" spans="6:6">
      <c r="F649" s="532">
        <v>0</v>
      </c>
    </row>
    <row r="650" spans="6:6">
      <c r="F650" s="532">
        <v>0</v>
      </c>
    </row>
    <row r="651" spans="6:6">
      <c r="F651" s="532">
        <v>0</v>
      </c>
    </row>
    <row r="652" spans="6:6">
      <c r="F652" s="532">
        <v>0</v>
      </c>
    </row>
    <row r="653" spans="6:6">
      <c r="F653" s="532">
        <v>0</v>
      </c>
    </row>
    <row r="654" spans="6:6">
      <c r="F654" s="532">
        <v>0</v>
      </c>
    </row>
    <row r="655" spans="6:6">
      <c r="F655" s="532">
        <v>0</v>
      </c>
    </row>
    <row r="656" spans="6:6">
      <c r="F656" s="532">
        <v>0</v>
      </c>
    </row>
    <row r="657" spans="6:6">
      <c r="F657" s="532">
        <v>0</v>
      </c>
    </row>
    <row r="658" spans="6:6">
      <c r="F658" s="532">
        <v>0</v>
      </c>
    </row>
    <row r="659" spans="6:6">
      <c r="F659" s="532">
        <v>0</v>
      </c>
    </row>
    <row r="660" spans="6:6">
      <c r="F660" s="532">
        <v>0</v>
      </c>
    </row>
    <row r="661" spans="6:6">
      <c r="F661" s="532">
        <v>0</v>
      </c>
    </row>
    <row r="662" spans="6:6">
      <c r="F662" s="532">
        <v>0</v>
      </c>
    </row>
    <row r="663" spans="6:6">
      <c r="F663" s="532">
        <v>0</v>
      </c>
    </row>
    <row r="664" spans="6:6">
      <c r="F664" s="532">
        <v>0</v>
      </c>
    </row>
    <row r="665" spans="6:6">
      <c r="F665" s="532">
        <v>0</v>
      </c>
    </row>
    <row r="666" spans="6:6">
      <c r="F666" s="532">
        <v>0</v>
      </c>
    </row>
    <row r="667" spans="6:6">
      <c r="F667" s="532">
        <v>0</v>
      </c>
    </row>
    <row r="668" spans="6:6">
      <c r="F668" s="532">
        <v>0</v>
      </c>
    </row>
    <row r="669" spans="6:6">
      <c r="F669" s="532">
        <v>0</v>
      </c>
    </row>
    <row r="670" spans="6:6">
      <c r="F670" s="532">
        <v>0</v>
      </c>
    </row>
    <row r="671" spans="6:6">
      <c r="F671" s="532">
        <v>0</v>
      </c>
    </row>
    <row r="672" spans="6:6">
      <c r="F672" s="532">
        <v>0</v>
      </c>
    </row>
    <row r="673" spans="6:6">
      <c r="F673" s="532">
        <v>0</v>
      </c>
    </row>
    <row r="674" spans="6:6">
      <c r="F674" s="532">
        <v>0</v>
      </c>
    </row>
    <row r="675" spans="6:6">
      <c r="F675" s="532">
        <v>0</v>
      </c>
    </row>
    <row r="676" spans="6:6">
      <c r="F676" s="532">
        <v>0</v>
      </c>
    </row>
    <row r="677" spans="6:6">
      <c r="F677" s="532">
        <v>0</v>
      </c>
    </row>
    <row r="678" spans="6:6">
      <c r="F678" s="532">
        <v>0</v>
      </c>
    </row>
    <row r="679" spans="6:6">
      <c r="F679" s="532">
        <v>0</v>
      </c>
    </row>
    <row r="680" spans="6:6">
      <c r="F680" s="532">
        <v>0</v>
      </c>
    </row>
    <row r="681" spans="6:6">
      <c r="F681" s="532">
        <v>0</v>
      </c>
    </row>
    <row r="682" spans="6:6">
      <c r="F682" s="532">
        <v>0</v>
      </c>
    </row>
    <row r="683" spans="6:6">
      <c r="F683" s="532">
        <v>0</v>
      </c>
    </row>
    <row r="684" spans="6:6">
      <c r="F684" s="532">
        <v>0</v>
      </c>
    </row>
    <row r="685" spans="6:6">
      <c r="F685" s="532">
        <v>0</v>
      </c>
    </row>
    <row r="686" spans="6:6">
      <c r="F686" s="532">
        <v>0</v>
      </c>
    </row>
    <row r="687" spans="6:6">
      <c r="F687" s="532">
        <v>0</v>
      </c>
    </row>
    <row r="688" spans="6:6">
      <c r="F688" s="532">
        <v>0</v>
      </c>
    </row>
    <row r="689" spans="6:6">
      <c r="F689" s="532">
        <v>0</v>
      </c>
    </row>
    <row r="690" spans="6:6">
      <c r="F690" s="532">
        <v>0</v>
      </c>
    </row>
    <row r="691" spans="6:6">
      <c r="F691" s="532">
        <v>0</v>
      </c>
    </row>
    <row r="692" spans="6:6">
      <c r="F692" s="532">
        <v>0</v>
      </c>
    </row>
    <row r="693" spans="6:6">
      <c r="F693" s="532">
        <v>0</v>
      </c>
    </row>
    <row r="694" spans="6:6">
      <c r="F694" s="532">
        <v>0</v>
      </c>
    </row>
    <row r="695" spans="6:6">
      <c r="F695" s="532">
        <v>0</v>
      </c>
    </row>
    <row r="696" spans="6:6">
      <c r="F696" s="532">
        <v>0</v>
      </c>
    </row>
    <row r="697" spans="6:6">
      <c r="F697" s="532">
        <v>0</v>
      </c>
    </row>
    <row r="698" spans="6:6">
      <c r="F698" s="532">
        <v>0</v>
      </c>
    </row>
    <row r="699" spans="6:6">
      <c r="F699" s="532">
        <v>0</v>
      </c>
    </row>
    <row r="700" spans="6:6">
      <c r="F700" s="532">
        <v>0</v>
      </c>
    </row>
    <row r="701" spans="6:6">
      <c r="F701" s="532">
        <v>0</v>
      </c>
    </row>
    <row r="702" spans="6:6">
      <c r="F702" s="532">
        <v>0</v>
      </c>
    </row>
    <row r="703" spans="6:6">
      <c r="F703" s="532">
        <v>0</v>
      </c>
    </row>
    <row r="704" spans="6:6">
      <c r="F704" s="532">
        <v>0</v>
      </c>
    </row>
    <row r="705" spans="6:6">
      <c r="F705" s="532">
        <v>0</v>
      </c>
    </row>
    <row r="706" spans="6:6">
      <c r="F706" s="532">
        <v>0</v>
      </c>
    </row>
    <row r="707" spans="6:6">
      <c r="F707" s="532">
        <v>0</v>
      </c>
    </row>
    <row r="708" spans="6:6">
      <c r="F708" s="532">
        <v>0</v>
      </c>
    </row>
    <row r="709" spans="6:6">
      <c r="F709" s="532">
        <v>0</v>
      </c>
    </row>
    <row r="710" spans="6:6">
      <c r="F710" s="532">
        <v>0</v>
      </c>
    </row>
    <row r="711" spans="6:6">
      <c r="F711" s="532">
        <v>0</v>
      </c>
    </row>
    <row r="712" spans="6:6">
      <c r="F712" s="532">
        <v>0</v>
      </c>
    </row>
    <row r="713" spans="6:6">
      <c r="F713" s="532">
        <v>0</v>
      </c>
    </row>
    <row r="714" spans="6:6">
      <c r="F714" s="532">
        <v>0</v>
      </c>
    </row>
    <row r="715" spans="6:6">
      <c r="F715" s="532">
        <v>0</v>
      </c>
    </row>
    <row r="716" spans="6:6">
      <c r="F716" s="532">
        <v>0</v>
      </c>
    </row>
    <row r="717" spans="6:6">
      <c r="F717" s="532">
        <v>0</v>
      </c>
    </row>
    <row r="718" spans="6:6">
      <c r="F718" s="532">
        <v>0</v>
      </c>
    </row>
    <row r="719" spans="6:6">
      <c r="F719" s="532">
        <v>0</v>
      </c>
    </row>
    <row r="720" spans="6:6">
      <c r="F720" s="532">
        <v>0</v>
      </c>
    </row>
    <row r="721" spans="6:6">
      <c r="F721" s="532">
        <v>0</v>
      </c>
    </row>
    <row r="722" spans="6:6">
      <c r="F722" s="532">
        <v>0</v>
      </c>
    </row>
    <row r="723" spans="6:6">
      <c r="F723" s="532">
        <v>0</v>
      </c>
    </row>
    <row r="724" spans="6:6">
      <c r="F724" s="532">
        <v>0</v>
      </c>
    </row>
    <row r="725" spans="6:6">
      <c r="F725" s="532">
        <v>0</v>
      </c>
    </row>
    <row r="726" spans="6:6">
      <c r="F726" s="532">
        <v>0</v>
      </c>
    </row>
    <row r="727" spans="6:6">
      <c r="F727" s="532">
        <v>0</v>
      </c>
    </row>
    <row r="728" spans="6:6">
      <c r="F728" s="532">
        <v>0</v>
      </c>
    </row>
    <row r="729" spans="6:6">
      <c r="F729" s="532">
        <v>0</v>
      </c>
    </row>
    <row r="730" spans="6:6">
      <c r="F730" s="532">
        <v>0</v>
      </c>
    </row>
    <row r="731" spans="6:6">
      <c r="F731" s="532">
        <v>0</v>
      </c>
    </row>
    <row r="732" spans="6:6">
      <c r="F732" s="532">
        <v>0</v>
      </c>
    </row>
    <row r="733" spans="6:6">
      <c r="F733" s="532">
        <v>0</v>
      </c>
    </row>
    <row r="734" spans="6:6">
      <c r="F734" s="532">
        <v>0</v>
      </c>
    </row>
    <row r="735" spans="6:6">
      <c r="F735" s="532">
        <v>0</v>
      </c>
    </row>
    <row r="736" spans="6:6">
      <c r="F736" s="532">
        <v>0</v>
      </c>
    </row>
    <row r="737" spans="6:6">
      <c r="F737" s="532">
        <v>0</v>
      </c>
    </row>
    <row r="738" spans="6:6">
      <c r="F738" s="532">
        <v>0</v>
      </c>
    </row>
    <row r="739" spans="6:6">
      <c r="F739" s="532">
        <v>0</v>
      </c>
    </row>
    <row r="740" spans="6:6">
      <c r="F740" s="532">
        <v>0</v>
      </c>
    </row>
    <row r="741" spans="6:6">
      <c r="F741" s="532">
        <v>0</v>
      </c>
    </row>
    <row r="742" spans="6:6">
      <c r="F742" s="532">
        <v>0</v>
      </c>
    </row>
    <row r="743" spans="6:6">
      <c r="F743" s="532">
        <v>0</v>
      </c>
    </row>
    <row r="744" spans="6:6">
      <c r="F744" s="532">
        <v>0</v>
      </c>
    </row>
    <row r="745" spans="6:6">
      <c r="F745" s="532">
        <v>0</v>
      </c>
    </row>
    <row r="746" spans="6:6">
      <c r="F746" s="532">
        <v>0</v>
      </c>
    </row>
    <row r="747" spans="6:6">
      <c r="F747" s="532">
        <v>0</v>
      </c>
    </row>
    <row r="748" spans="6:6">
      <c r="F748" s="532">
        <v>0</v>
      </c>
    </row>
    <row r="749" spans="6:6">
      <c r="F749" s="532">
        <v>0</v>
      </c>
    </row>
    <row r="750" spans="6:6">
      <c r="F750" s="532">
        <v>0</v>
      </c>
    </row>
    <row r="751" spans="6:6">
      <c r="F751" s="532">
        <v>0</v>
      </c>
    </row>
    <row r="752" spans="6:6">
      <c r="F752" s="532">
        <v>0</v>
      </c>
    </row>
    <row r="753" spans="6:6">
      <c r="F753" s="532">
        <v>0</v>
      </c>
    </row>
    <row r="754" spans="6:6">
      <c r="F754" s="532">
        <v>0</v>
      </c>
    </row>
    <row r="755" spans="6:6">
      <c r="F755" s="532">
        <v>0</v>
      </c>
    </row>
    <row r="756" spans="6:6">
      <c r="F756" s="532">
        <v>0</v>
      </c>
    </row>
    <row r="757" spans="6:6">
      <c r="F757" s="532">
        <v>0</v>
      </c>
    </row>
    <row r="758" spans="6:6">
      <c r="F758" s="532">
        <v>0</v>
      </c>
    </row>
    <row r="759" spans="6:6">
      <c r="F759" s="532">
        <v>0</v>
      </c>
    </row>
    <row r="760" spans="6:6">
      <c r="F760" s="532">
        <v>0</v>
      </c>
    </row>
    <row r="761" spans="6:6">
      <c r="F761" s="532">
        <v>0</v>
      </c>
    </row>
    <row r="762" spans="6:6">
      <c r="F762" s="532">
        <v>0</v>
      </c>
    </row>
    <row r="763" spans="6:6">
      <c r="F763" s="532">
        <v>0</v>
      </c>
    </row>
    <row r="764" spans="6:6">
      <c r="F764" s="532">
        <v>0</v>
      </c>
    </row>
    <row r="765" spans="6:6">
      <c r="F765" s="532">
        <v>0</v>
      </c>
    </row>
    <row r="766" spans="6:6">
      <c r="F766" s="532">
        <v>0</v>
      </c>
    </row>
    <row r="767" spans="6:6">
      <c r="F767" s="532">
        <v>0</v>
      </c>
    </row>
    <row r="768" spans="6:6">
      <c r="F768" s="532">
        <v>0</v>
      </c>
    </row>
    <row r="769" spans="6:6">
      <c r="F769" s="532">
        <v>0</v>
      </c>
    </row>
    <row r="770" spans="6:6">
      <c r="F770" s="532">
        <v>0</v>
      </c>
    </row>
    <row r="771" spans="6:6">
      <c r="F771" s="532">
        <v>0</v>
      </c>
    </row>
    <row r="772" spans="6:6">
      <c r="F772" s="532">
        <v>0</v>
      </c>
    </row>
    <row r="773" spans="6:6">
      <c r="F773" s="532">
        <v>0</v>
      </c>
    </row>
    <row r="774" spans="6:6">
      <c r="F774" s="532">
        <v>0</v>
      </c>
    </row>
    <row r="775" spans="6:6">
      <c r="F775" s="532">
        <v>0</v>
      </c>
    </row>
    <row r="776" spans="6:6">
      <c r="F776" s="532">
        <v>0</v>
      </c>
    </row>
    <row r="777" spans="6:6">
      <c r="F777" s="532">
        <v>0</v>
      </c>
    </row>
    <row r="778" spans="6:6">
      <c r="F778" s="532">
        <v>0</v>
      </c>
    </row>
    <row r="779" spans="6:6">
      <c r="F779" s="532">
        <v>0</v>
      </c>
    </row>
    <row r="780" spans="6:6">
      <c r="F780" s="532">
        <v>0</v>
      </c>
    </row>
    <row r="781" spans="6:6">
      <c r="F781" s="532">
        <v>0</v>
      </c>
    </row>
    <row r="782" spans="6:6">
      <c r="F782" s="532">
        <v>0</v>
      </c>
    </row>
    <row r="783" spans="6:6">
      <c r="F783" s="532">
        <v>0</v>
      </c>
    </row>
    <row r="784" spans="6:6">
      <c r="F784" s="532">
        <v>0</v>
      </c>
    </row>
    <row r="785" spans="6:6">
      <c r="F785" s="532">
        <v>0</v>
      </c>
    </row>
    <row r="786" spans="6:6">
      <c r="F786" s="532">
        <v>0</v>
      </c>
    </row>
    <row r="787" spans="6:6">
      <c r="F787" s="532">
        <v>0</v>
      </c>
    </row>
    <row r="788" spans="6:6">
      <c r="F788" s="532">
        <v>0</v>
      </c>
    </row>
    <row r="789" spans="6:6">
      <c r="F789" s="532">
        <v>0</v>
      </c>
    </row>
    <row r="790" spans="6:6">
      <c r="F790" s="532">
        <v>0</v>
      </c>
    </row>
    <row r="791" spans="6:6">
      <c r="F791" s="532">
        <v>0</v>
      </c>
    </row>
    <row r="792" spans="6:6">
      <c r="F792" s="532">
        <v>0</v>
      </c>
    </row>
    <row r="793" spans="6:6">
      <c r="F793" s="532">
        <v>0</v>
      </c>
    </row>
    <row r="794" spans="6:6">
      <c r="F794" s="532">
        <v>0</v>
      </c>
    </row>
    <row r="795" spans="6:6">
      <c r="F795" s="532">
        <v>0</v>
      </c>
    </row>
    <row r="796" spans="6:6">
      <c r="F796" s="532">
        <v>0</v>
      </c>
    </row>
    <row r="797" spans="6:6">
      <c r="F797" s="532">
        <v>0</v>
      </c>
    </row>
    <row r="798" spans="6:6">
      <c r="F798" s="532">
        <v>0</v>
      </c>
    </row>
    <row r="799" spans="6:6">
      <c r="F799" s="532">
        <v>0</v>
      </c>
    </row>
    <row r="800" spans="6:6">
      <c r="F800" s="532">
        <v>0</v>
      </c>
    </row>
    <row r="801" spans="6:6">
      <c r="F801" s="532">
        <v>0</v>
      </c>
    </row>
    <row r="802" spans="6:6">
      <c r="F802" s="532">
        <v>0</v>
      </c>
    </row>
    <row r="803" spans="6:6">
      <c r="F803" s="532">
        <v>0</v>
      </c>
    </row>
    <row r="804" spans="6:6">
      <c r="F804" s="532">
        <v>0</v>
      </c>
    </row>
    <row r="805" spans="6:6">
      <c r="F805" s="532">
        <v>0</v>
      </c>
    </row>
    <row r="806" spans="6:6">
      <c r="F806" s="532">
        <v>0</v>
      </c>
    </row>
    <row r="807" spans="6:6">
      <c r="F807" s="532">
        <v>0</v>
      </c>
    </row>
    <row r="808" spans="6:6">
      <c r="F808" s="532">
        <v>0</v>
      </c>
    </row>
    <row r="809" spans="6:6">
      <c r="F809" s="532">
        <v>0</v>
      </c>
    </row>
    <row r="810" spans="6:6">
      <c r="F810" s="532">
        <v>0</v>
      </c>
    </row>
    <row r="811" spans="6:6">
      <c r="F811" s="532">
        <v>0</v>
      </c>
    </row>
    <row r="812" spans="6:6">
      <c r="F812" s="532">
        <v>0</v>
      </c>
    </row>
    <row r="813" spans="6:6">
      <c r="F813" s="532">
        <v>0</v>
      </c>
    </row>
    <row r="814" spans="6:6">
      <c r="F814" s="532">
        <v>0</v>
      </c>
    </row>
    <row r="815" spans="6:6">
      <c r="F815" s="532">
        <v>0</v>
      </c>
    </row>
    <row r="816" spans="6:6">
      <c r="F816" s="532">
        <v>0</v>
      </c>
    </row>
    <row r="817" spans="6:6">
      <c r="F817" s="532">
        <v>0</v>
      </c>
    </row>
    <row r="818" spans="6:6">
      <c r="F818" s="532">
        <v>0</v>
      </c>
    </row>
    <row r="819" spans="6:6">
      <c r="F819" s="532">
        <v>0</v>
      </c>
    </row>
    <row r="820" spans="6:6">
      <c r="F820" s="532">
        <v>0</v>
      </c>
    </row>
    <row r="821" spans="6:6">
      <c r="F821" s="532">
        <v>0</v>
      </c>
    </row>
    <row r="822" spans="6:6">
      <c r="F822" s="532">
        <v>0</v>
      </c>
    </row>
    <row r="823" spans="6:6">
      <c r="F823" s="532">
        <v>0</v>
      </c>
    </row>
    <row r="824" spans="6:6">
      <c r="F824" s="532">
        <v>0</v>
      </c>
    </row>
    <row r="825" spans="6:6">
      <c r="F825" s="532">
        <v>0</v>
      </c>
    </row>
    <row r="826" spans="6:6">
      <c r="F826" s="532">
        <v>0</v>
      </c>
    </row>
    <row r="827" spans="6:6">
      <c r="F827" s="532">
        <v>0</v>
      </c>
    </row>
    <row r="828" spans="6:6">
      <c r="F828" s="532">
        <v>0</v>
      </c>
    </row>
    <row r="829" spans="6:6">
      <c r="F829" s="532">
        <v>0</v>
      </c>
    </row>
    <row r="830" spans="6:6">
      <c r="F830" s="532">
        <v>0</v>
      </c>
    </row>
    <row r="831" spans="6:6">
      <c r="F831" s="532">
        <v>0</v>
      </c>
    </row>
    <row r="832" spans="6:6">
      <c r="F832" s="532">
        <v>0</v>
      </c>
    </row>
    <row r="833" spans="6:6">
      <c r="F833" s="532">
        <v>0</v>
      </c>
    </row>
    <row r="834" spans="6:6">
      <c r="F834" s="532">
        <v>0</v>
      </c>
    </row>
    <row r="835" spans="6:6">
      <c r="F835" s="532">
        <v>0</v>
      </c>
    </row>
    <row r="836" spans="6:6">
      <c r="F836" s="532">
        <v>0</v>
      </c>
    </row>
    <row r="837" spans="6:6">
      <c r="F837" s="532">
        <v>0</v>
      </c>
    </row>
    <row r="838" spans="6:6">
      <c r="F838" s="532">
        <v>0</v>
      </c>
    </row>
    <row r="839" spans="6:6">
      <c r="F839" s="532">
        <v>0</v>
      </c>
    </row>
    <row r="840" spans="6:6">
      <c r="F840" s="532">
        <v>0</v>
      </c>
    </row>
    <row r="841" spans="6:6">
      <c r="F841" s="532">
        <v>0</v>
      </c>
    </row>
    <row r="842" spans="6:6">
      <c r="F842" s="532">
        <v>0</v>
      </c>
    </row>
    <row r="843" spans="6:6">
      <c r="F843" s="532">
        <v>0</v>
      </c>
    </row>
    <row r="844" spans="6:6">
      <c r="F844" s="532">
        <v>0</v>
      </c>
    </row>
    <row r="845" spans="6:6">
      <c r="F845" s="532">
        <v>0</v>
      </c>
    </row>
    <row r="846" spans="6:6">
      <c r="F846" s="532">
        <v>0</v>
      </c>
    </row>
    <row r="847" spans="6:6">
      <c r="F847" s="532">
        <v>0</v>
      </c>
    </row>
    <row r="848" spans="6:6">
      <c r="F848" s="532">
        <v>0</v>
      </c>
    </row>
    <row r="849" spans="6:6">
      <c r="F849" s="532">
        <v>0</v>
      </c>
    </row>
    <row r="850" spans="6:6">
      <c r="F850" s="532">
        <v>0</v>
      </c>
    </row>
    <row r="851" spans="6:6">
      <c r="F851" s="532">
        <v>0</v>
      </c>
    </row>
    <row r="852" spans="6:6">
      <c r="F852" s="532">
        <v>0</v>
      </c>
    </row>
    <row r="853" spans="6:6">
      <c r="F853" s="532">
        <v>0</v>
      </c>
    </row>
    <row r="854" spans="6:6">
      <c r="F854" s="532">
        <v>0</v>
      </c>
    </row>
    <row r="855" spans="6:6">
      <c r="F855" s="532">
        <v>0</v>
      </c>
    </row>
    <row r="856" spans="6:6">
      <c r="F856" s="532">
        <v>0</v>
      </c>
    </row>
    <row r="857" spans="6:6">
      <c r="F857" s="532">
        <v>0</v>
      </c>
    </row>
    <row r="858" spans="6:6">
      <c r="F858" s="532">
        <v>0</v>
      </c>
    </row>
    <row r="859" spans="6:6">
      <c r="F859" s="532">
        <v>0</v>
      </c>
    </row>
    <row r="860" spans="6:6">
      <c r="F860" s="532">
        <v>0</v>
      </c>
    </row>
    <row r="861" spans="6:6">
      <c r="F861" s="532">
        <v>0</v>
      </c>
    </row>
    <row r="862" spans="6:6">
      <c r="F862" s="532">
        <v>0</v>
      </c>
    </row>
    <row r="863" spans="6:6">
      <c r="F863" s="532">
        <v>0</v>
      </c>
    </row>
    <row r="864" spans="6:6">
      <c r="F864" s="532">
        <v>0</v>
      </c>
    </row>
    <row r="865" spans="6:6">
      <c r="F865" s="532">
        <v>0</v>
      </c>
    </row>
    <row r="866" spans="6:6">
      <c r="F866" s="532">
        <v>0</v>
      </c>
    </row>
    <row r="867" spans="6:6">
      <c r="F867" s="532">
        <v>0</v>
      </c>
    </row>
    <row r="868" spans="6:6">
      <c r="F868" s="532">
        <v>0</v>
      </c>
    </row>
    <row r="869" spans="6:6">
      <c r="F869" s="532">
        <v>0</v>
      </c>
    </row>
    <row r="870" spans="6:6">
      <c r="F870" s="532">
        <v>0</v>
      </c>
    </row>
    <row r="871" spans="6:6">
      <c r="F871" s="532">
        <v>0</v>
      </c>
    </row>
    <row r="872" spans="6:6">
      <c r="F872" s="532">
        <v>0</v>
      </c>
    </row>
    <row r="873" spans="6:6">
      <c r="F873" s="532">
        <v>0</v>
      </c>
    </row>
    <row r="874" spans="6:6">
      <c r="F874" s="532">
        <v>0</v>
      </c>
    </row>
    <row r="875" spans="6:6">
      <c r="F875" s="532">
        <v>0</v>
      </c>
    </row>
    <row r="876" spans="6:6">
      <c r="F876" s="532">
        <v>0</v>
      </c>
    </row>
    <row r="877" spans="6:6">
      <c r="F877" s="532">
        <v>0</v>
      </c>
    </row>
    <row r="878" spans="6:6">
      <c r="F878" s="532">
        <v>0</v>
      </c>
    </row>
    <row r="879" spans="6:6">
      <c r="F879" s="532">
        <v>0</v>
      </c>
    </row>
    <row r="880" spans="6:6">
      <c r="F880" s="532">
        <v>0</v>
      </c>
    </row>
    <row r="881" spans="6:6">
      <c r="F881" s="532">
        <v>0</v>
      </c>
    </row>
    <row r="882" spans="6:6">
      <c r="F882" s="532">
        <v>0</v>
      </c>
    </row>
    <row r="883" spans="6:6">
      <c r="F883" s="532">
        <v>0</v>
      </c>
    </row>
    <row r="884" spans="6:6">
      <c r="F884" s="532">
        <v>0</v>
      </c>
    </row>
    <row r="885" spans="6:6">
      <c r="F885" s="532">
        <v>0</v>
      </c>
    </row>
    <row r="886" spans="6:6">
      <c r="F886" s="532">
        <v>0</v>
      </c>
    </row>
    <row r="887" spans="6:6">
      <c r="F887" s="532">
        <v>0</v>
      </c>
    </row>
    <row r="888" spans="6:6">
      <c r="F888" s="532">
        <v>0</v>
      </c>
    </row>
    <row r="889" spans="6:6">
      <c r="F889" s="532">
        <v>0</v>
      </c>
    </row>
    <row r="890" spans="6:6">
      <c r="F890" s="532">
        <v>0</v>
      </c>
    </row>
    <row r="891" spans="6:6">
      <c r="F891" s="532">
        <v>0</v>
      </c>
    </row>
    <row r="892" spans="6:6">
      <c r="F892" s="532">
        <v>0</v>
      </c>
    </row>
    <row r="893" spans="6:6">
      <c r="F893" s="532">
        <v>0</v>
      </c>
    </row>
    <row r="894" spans="6:6">
      <c r="F894" s="532">
        <v>0</v>
      </c>
    </row>
    <row r="895" spans="6:6">
      <c r="F895" s="532">
        <v>0</v>
      </c>
    </row>
    <row r="896" spans="6:6">
      <c r="F896" s="532">
        <v>0</v>
      </c>
    </row>
    <row r="897" spans="6:6">
      <c r="F897" s="532">
        <v>0</v>
      </c>
    </row>
    <row r="898" spans="6:6">
      <c r="F898" s="532">
        <v>0</v>
      </c>
    </row>
    <row r="899" spans="6:6">
      <c r="F899" s="532">
        <v>0</v>
      </c>
    </row>
    <row r="900" spans="6:6">
      <c r="F900" s="532">
        <v>0</v>
      </c>
    </row>
    <row r="901" spans="6:6">
      <c r="F901" s="532">
        <v>0</v>
      </c>
    </row>
    <row r="902" spans="6:6">
      <c r="F902" s="532">
        <v>0</v>
      </c>
    </row>
    <row r="903" spans="6:6">
      <c r="F903" s="532">
        <v>0</v>
      </c>
    </row>
    <row r="904" spans="6:6">
      <c r="F904" s="532">
        <v>0</v>
      </c>
    </row>
    <row r="905" spans="6:6">
      <c r="F905" s="532">
        <v>0</v>
      </c>
    </row>
    <row r="906" spans="6:6">
      <c r="F906" s="532">
        <v>0</v>
      </c>
    </row>
    <row r="907" spans="6:6">
      <c r="F907" s="532">
        <v>0</v>
      </c>
    </row>
    <row r="908" spans="6:6">
      <c r="F908" s="532">
        <v>0</v>
      </c>
    </row>
    <row r="909" spans="6:6">
      <c r="F909" s="532">
        <v>0</v>
      </c>
    </row>
    <row r="910" spans="6:6">
      <c r="F910" s="532">
        <v>0</v>
      </c>
    </row>
    <row r="911" spans="6:6">
      <c r="F911" s="532">
        <v>0</v>
      </c>
    </row>
    <row r="912" spans="6:6">
      <c r="F912" s="532">
        <v>0</v>
      </c>
    </row>
    <row r="913" spans="6:6">
      <c r="F913" s="532">
        <v>0</v>
      </c>
    </row>
    <row r="914" spans="6:6">
      <c r="F914" s="532">
        <v>0</v>
      </c>
    </row>
    <row r="915" spans="6:6">
      <c r="F915" s="532">
        <v>0</v>
      </c>
    </row>
    <row r="916" spans="6:6">
      <c r="F916" s="532">
        <v>0</v>
      </c>
    </row>
    <row r="917" spans="6:6">
      <c r="F917" s="532">
        <v>0</v>
      </c>
    </row>
    <row r="918" spans="6:6">
      <c r="F918" s="532">
        <v>0</v>
      </c>
    </row>
    <row r="919" spans="6:6">
      <c r="F919" s="532">
        <v>0</v>
      </c>
    </row>
    <row r="920" spans="6:6">
      <c r="F920" s="532">
        <v>0</v>
      </c>
    </row>
    <row r="921" spans="6:6">
      <c r="F921" s="532">
        <v>0</v>
      </c>
    </row>
    <row r="922" spans="6:6">
      <c r="F922" s="532">
        <v>0</v>
      </c>
    </row>
    <row r="923" spans="6:6">
      <c r="F923" s="532">
        <v>0</v>
      </c>
    </row>
    <row r="924" spans="6:6">
      <c r="F924" s="532">
        <v>0</v>
      </c>
    </row>
    <row r="925" spans="6:6">
      <c r="F925" s="532">
        <v>0</v>
      </c>
    </row>
    <row r="926" spans="6:6">
      <c r="F926" s="532">
        <v>0</v>
      </c>
    </row>
    <row r="927" spans="6:6">
      <c r="F927" s="532">
        <v>0</v>
      </c>
    </row>
    <row r="928" spans="6:6">
      <c r="F928" s="532">
        <v>0</v>
      </c>
    </row>
    <row r="929" spans="6:6">
      <c r="F929" s="532">
        <v>0</v>
      </c>
    </row>
    <row r="930" spans="6:6">
      <c r="F930" s="532">
        <v>0</v>
      </c>
    </row>
    <row r="931" spans="6:6">
      <c r="F931" s="532">
        <v>0</v>
      </c>
    </row>
    <row r="932" spans="6:6">
      <c r="F932" s="532">
        <v>0</v>
      </c>
    </row>
    <row r="933" spans="6:6">
      <c r="F933" s="532">
        <v>0</v>
      </c>
    </row>
    <row r="934" spans="6:6">
      <c r="F934" s="532">
        <v>0</v>
      </c>
    </row>
    <row r="935" spans="6:6">
      <c r="F935" s="532">
        <v>0</v>
      </c>
    </row>
    <row r="936" spans="6:6">
      <c r="F936" s="532">
        <v>0</v>
      </c>
    </row>
    <row r="937" spans="6:6">
      <c r="F937" s="532">
        <v>0</v>
      </c>
    </row>
    <row r="938" spans="6:6">
      <c r="F938" s="532">
        <v>0</v>
      </c>
    </row>
    <row r="939" spans="6:6">
      <c r="F939" s="532">
        <v>0</v>
      </c>
    </row>
    <row r="940" spans="6:6">
      <c r="F940" s="532">
        <v>0</v>
      </c>
    </row>
    <row r="941" spans="6:6">
      <c r="F941" s="532">
        <v>0</v>
      </c>
    </row>
    <row r="942" spans="6:6">
      <c r="F942" s="532">
        <v>0</v>
      </c>
    </row>
    <row r="943" spans="6:6">
      <c r="F943" s="532">
        <v>0</v>
      </c>
    </row>
    <row r="944" spans="6:6">
      <c r="F944" s="532">
        <v>0</v>
      </c>
    </row>
    <row r="945" spans="6:6">
      <c r="F945" s="532">
        <v>0</v>
      </c>
    </row>
    <row r="946" spans="6:6">
      <c r="F946" s="532">
        <v>0</v>
      </c>
    </row>
    <row r="947" spans="6:6">
      <c r="F947" s="532">
        <v>0</v>
      </c>
    </row>
    <row r="948" spans="6:6">
      <c r="F948" s="532">
        <v>0</v>
      </c>
    </row>
    <row r="949" spans="6:6">
      <c r="F949" s="532">
        <v>0</v>
      </c>
    </row>
    <row r="950" spans="6:6">
      <c r="F950" s="532">
        <v>0</v>
      </c>
    </row>
    <row r="951" spans="6:6">
      <c r="F951" s="532">
        <v>0</v>
      </c>
    </row>
    <row r="952" spans="6:6">
      <c r="F952" s="532">
        <v>0</v>
      </c>
    </row>
    <row r="953" spans="6:6">
      <c r="F953" s="532">
        <v>0</v>
      </c>
    </row>
    <row r="954" spans="6:6">
      <c r="F954" s="532">
        <v>0</v>
      </c>
    </row>
    <row r="955" spans="6:6">
      <c r="F955" s="532">
        <v>0</v>
      </c>
    </row>
    <row r="956" spans="6:6">
      <c r="F956" s="532">
        <v>0</v>
      </c>
    </row>
    <row r="957" spans="6:6">
      <c r="F957" s="532">
        <v>0</v>
      </c>
    </row>
    <row r="958" spans="6:6">
      <c r="F958" s="532">
        <v>0</v>
      </c>
    </row>
    <row r="959" spans="6:6">
      <c r="F959" s="532">
        <v>0</v>
      </c>
    </row>
    <row r="960" spans="6:6">
      <c r="F960" s="532">
        <v>0</v>
      </c>
    </row>
    <row r="961" spans="6:6">
      <c r="F961" s="532">
        <v>0</v>
      </c>
    </row>
    <row r="962" spans="6:6">
      <c r="F962" s="532">
        <v>0</v>
      </c>
    </row>
    <row r="963" spans="6:6">
      <c r="F963" s="532">
        <v>0</v>
      </c>
    </row>
    <row r="964" spans="6:6">
      <c r="F964" s="532">
        <v>0</v>
      </c>
    </row>
    <row r="965" spans="6:6">
      <c r="F965" s="532">
        <v>0</v>
      </c>
    </row>
    <row r="966" spans="6:6">
      <c r="F966" s="532">
        <v>0</v>
      </c>
    </row>
    <row r="967" spans="6:6">
      <c r="F967" s="532">
        <v>0</v>
      </c>
    </row>
    <row r="968" spans="6:6">
      <c r="F968" s="532">
        <v>0</v>
      </c>
    </row>
    <row r="969" spans="6:6">
      <c r="F969" s="532">
        <v>0</v>
      </c>
    </row>
    <row r="970" spans="6:6">
      <c r="F970" s="532">
        <v>0</v>
      </c>
    </row>
    <row r="971" spans="6:6">
      <c r="F971" s="532">
        <v>0</v>
      </c>
    </row>
    <row r="972" spans="6:6">
      <c r="F972" s="532">
        <v>0</v>
      </c>
    </row>
    <row r="973" spans="6:6">
      <c r="F973" s="532">
        <v>0</v>
      </c>
    </row>
    <row r="974" spans="6:6">
      <c r="F974" s="532">
        <v>0</v>
      </c>
    </row>
    <row r="975" spans="6:6">
      <c r="F975" s="532">
        <v>0</v>
      </c>
    </row>
    <row r="976" spans="6:6">
      <c r="F976" s="532">
        <v>0</v>
      </c>
    </row>
    <row r="977" spans="6:6">
      <c r="F977" s="532">
        <v>0</v>
      </c>
    </row>
    <row r="978" spans="6:6">
      <c r="F978" s="532">
        <v>0</v>
      </c>
    </row>
    <row r="979" spans="6:6">
      <c r="F979" s="532">
        <v>0</v>
      </c>
    </row>
    <row r="980" spans="6:6">
      <c r="F980" s="532">
        <v>0</v>
      </c>
    </row>
    <row r="981" spans="6:6">
      <c r="F981" s="532">
        <v>0</v>
      </c>
    </row>
    <row r="982" spans="6:6">
      <c r="F982" s="532">
        <v>0</v>
      </c>
    </row>
    <row r="983" spans="6:6">
      <c r="F983" s="532">
        <v>0</v>
      </c>
    </row>
    <row r="984" spans="6:6">
      <c r="F984" s="532">
        <v>0</v>
      </c>
    </row>
    <row r="985" spans="6:6">
      <c r="F985" s="532">
        <v>0</v>
      </c>
    </row>
    <row r="986" spans="6:6">
      <c r="F986" s="532">
        <v>0</v>
      </c>
    </row>
    <row r="987" spans="6:6">
      <c r="F987" s="532">
        <v>0</v>
      </c>
    </row>
    <row r="988" spans="6:6">
      <c r="F988" s="532">
        <v>0</v>
      </c>
    </row>
    <row r="989" spans="6:6">
      <c r="F989" s="532">
        <v>0</v>
      </c>
    </row>
    <row r="990" spans="6:6">
      <c r="F990" s="532">
        <v>0</v>
      </c>
    </row>
    <row r="991" spans="6:6">
      <c r="F991" s="532">
        <v>0</v>
      </c>
    </row>
    <row r="992" spans="6:6">
      <c r="F992" s="532">
        <v>0</v>
      </c>
    </row>
    <row r="993" spans="6:6">
      <c r="F993" s="532">
        <v>0</v>
      </c>
    </row>
    <row r="994" spans="6:6">
      <c r="F994" s="532">
        <v>0</v>
      </c>
    </row>
    <row r="995" spans="6:6">
      <c r="F995" s="532">
        <v>0</v>
      </c>
    </row>
    <row r="996" spans="6:6">
      <c r="F996" s="532">
        <v>0</v>
      </c>
    </row>
    <row r="997" spans="6:6">
      <c r="F997" s="532">
        <v>0</v>
      </c>
    </row>
    <row r="998" spans="6:6">
      <c r="F998" s="532">
        <v>0</v>
      </c>
    </row>
    <row r="999" spans="6:6">
      <c r="F999" s="532">
        <v>0</v>
      </c>
    </row>
    <row r="1000" spans="6:6">
      <c r="F1000" s="532">
        <v>0</v>
      </c>
    </row>
    <row r="1001" spans="6:6">
      <c r="F1001" s="532">
        <v>0</v>
      </c>
    </row>
    <row r="1002" spans="6:6">
      <c r="F1002" s="532">
        <v>0</v>
      </c>
    </row>
    <row r="1003" spans="6:6">
      <c r="F1003" s="532">
        <v>0</v>
      </c>
    </row>
    <row r="1004" spans="6:6">
      <c r="F1004" s="532">
        <v>0</v>
      </c>
    </row>
    <row r="1005" spans="6:6">
      <c r="F1005" s="532">
        <v>0</v>
      </c>
    </row>
    <row r="1006" spans="6:6">
      <c r="F1006" s="532">
        <v>0</v>
      </c>
    </row>
    <row r="1007" spans="6:6">
      <c r="F1007" s="532">
        <v>0</v>
      </c>
    </row>
    <row r="1008" spans="6:6">
      <c r="F1008" s="532">
        <v>0</v>
      </c>
    </row>
    <row r="1009" spans="6:6">
      <c r="F1009" s="532">
        <v>0</v>
      </c>
    </row>
    <row r="1010" spans="6:6">
      <c r="F1010" s="532">
        <v>0</v>
      </c>
    </row>
    <row r="1011" spans="6:6">
      <c r="F1011" s="532">
        <v>0</v>
      </c>
    </row>
    <row r="1012" spans="6:6">
      <c r="F1012" s="532">
        <v>0</v>
      </c>
    </row>
    <row r="1013" spans="6:6">
      <c r="F1013" s="532">
        <v>0</v>
      </c>
    </row>
    <row r="1014" spans="6:6">
      <c r="F1014" s="532">
        <v>0</v>
      </c>
    </row>
    <row r="1015" spans="6:6">
      <c r="F1015" s="532">
        <v>0</v>
      </c>
    </row>
    <row r="1016" spans="6:6">
      <c r="F1016" s="532">
        <v>0</v>
      </c>
    </row>
    <row r="1017" spans="6:6">
      <c r="F1017" s="532">
        <v>0</v>
      </c>
    </row>
    <row r="1018" spans="6:6">
      <c r="F1018" s="532">
        <v>0</v>
      </c>
    </row>
    <row r="1019" spans="6:6">
      <c r="F1019" s="532">
        <v>0</v>
      </c>
    </row>
    <row r="1020" spans="6:6">
      <c r="F1020" s="532">
        <v>0</v>
      </c>
    </row>
    <row r="1021" spans="6:6">
      <c r="F1021" s="532">
        <v>0</v>
      </c>
    </row>
    <row r="1022" spans="6:6">
      <c r="F1022" s="532">
        <v>0</v>
      </c>
    </row>
    <row r="1023" spans="6:6">
      <c r="F1023" s="532">
        <v>0</v>
      </c>
    </row>
    <row r="1024" spans="6:6">
      <c r="F1024" s="532">
        <v>0</v>
      </c>
    </row>
    <row r="1025" spans="6:6">
      <c r="F1025" s="532">
        <v>0</v>
      </c>
    </row>
    <row r="1026" spans="6:6">
      <c r="F1026" s="532">
        <v>0</v>
      </c>
    </row>
    <row r="1027" spans="6:6">
      <c r="F1027" s="532">
        <v>0</v>
      </c>
    </row>
    <row r="1028" spans="6:6">
      <c r="F1028" s="532">
        <v>0</v>
      </c>
    </row>
    <row r="1029" spans="6:6">
      <c r="F1029" s="532">
        <v>0</v>
      </c>
    </row>
    <row r="1030" spans="6:6">
      <c r="F1030" s="532">
        <v>0</v>
      </c>
    </row>
    <row r="1031" spans="6:6">
      <c r="F1031" s="532">
        <v>0</v>
      </c>
    </row>
    <row r="1032" spans="6:6">
      <c r="F1032" s="532">
        <v>0</v>
      </c>
    </row>
    <row r="1033" spans="6:6">
      <c r="F1033" s="532">
        <v>0</v>
      </c>
    </row>
    <row r="1034" spans="6:6">
      <c r="F1034" s="532">
        <v>0</v>
      </c>
    </row>
    <row r="1035" spans="6:6">
      <c r="F1035" s="532">
        <v>0</v>
      </c>
    </row>
    <row r="1036" spans="6:6">
      <c r="F1036" s="532">
        <v>0</v>
      </c>
    </row>
    <row r="1037" spans="6:6">
      <c r="F1037" s="532">
        <v>0</v>
      </c>
    </row>
    <row r="1038" spans="6:6">
      <c r="F1038" s="532">
        <v>0</v>
      </c>
    </row>
    <row r="1039" spans="6:6">
      <c r="F1039" s="532">
        <v>0</v>
      </c>
    </row>
    <row r="1040" spans="6:6">
      <c r="F1040" s="532">
        <v>0</v>
      </c>
    </row>
    <row r="1041" spans="6:6">
      <c r="F1041" s="532">
        <v>0</v>
      </c>
    </row>
    <row r="1042" spans="6:6">
      <c r="F1042" s="532">
        <v>0</v>
      </c>
    </row>
    <row r="1043" spans="6:6">
      <c r="F1043" s="532">
        <v>0</v>
      </c>
    </row>
    <row r="1044" spans="6:6">
      <c r="F1044" s="532">
        <v>0</v>
      </c>
    </row>
    <row r="1045" spans="6:6">
      <c r="F1045" s="532">
        <v>0</v>
      </c>
    </row>
    <row r="1046" spans="6:6">
      <c r="F1046" s="532">
        <v>0</v>
      </c>
    </row>
    <row r="1047" spans="6:6">
      <c r="F1047" s="532">
        <v>0</v>
      </c>
    </row>
    <row r="1048" spans="6:6">
      <c r="F1048" s="532">
        <v>0</v>
      </c>
    </row>
    <row r="1049" spans="6:6">
      <c r="F1049" s="532">
        <v>0</v>
      </c>
    </row>
    <row r="1050" spans="6:6">
      <c r="F1050" s="532">
        <v>0</v>
      </c>
    </row>
    <row r="1051" spans="6:6">
      <c r="F1051" s="532">
        <v>0</v>
      </c>
    </row>
    <row r="1052" spans="6:6">
      <c r="F1052" s="532">
        <v>0</v>
      </c>
    </row>
    <row r="1053" spans="6:6">
      <c r="F1053" s="532">
        <v>0</v>
      </c>
    </row>
    <row r="1054" spans="6:6">
      <c r="F1054" s="532">
        <v>0</v>
      </c>
    </row>
    <row r="1055" spans="6:6">
      <c r="F1055" s="532">
        <v>0</v>
      </c>
    </row>
    <row r="1056" spans="6:6">
      <c r="F1056" s="532">
        <v>0</v>
      </c>
    </row>
    <row r="1057" spans="6:6">
      <c r="F1057" s="532">
        <v>0</v>
      </c>
    </row>
    <row r="1058" spans="6:6">
      <c r="F1058" s="532">
        <v>0</v>
      </c>
    </row>
    <row r="1059" spans="6:6">
      <c r="F1059" s="532">
        <v>0</v>
      </c>
    </row>
    <row r="1060" spans="6:6">
      <c r="F1060" s="532">
        <v>0</v>
      </c>
    </row>
    <row r="1061" spans="6:6">
      <c r="F1061" s="532">
        <v>0</v>
      </c>
    </row>
    <row r="1062" spans="6:6">
      <c r="F1062" s="532">
        <v>0</v>
      </c>
    </row>
    <row r="1063" spans="6:6">
      <c r="F1063" s="532">
        <v>0</v>
      </c>
    </row>
    <row r="1064" spans="6:6">
      <c r="F1064" s="532">
        <v>0</v>
      </c>
    </row>
    <row r="1065" spans="6:6">
      <c r="F1065" s="532">
        <v>0</v>
      </c>
    </row>
    <row r="1066" spans="6:6">
      <c r="F1066" s="532">
        <v>0</v>
      </c>
    </row>
    <row r="1067" spans="6:6">
      <c r="F1067" s="532">
        <v>0</v>
      </c>
    </row>
    <row r="1068" spans="6:6">
      <c r="F1068" s="532">
        <v>0</v>
      </c>
    </row>
    <row r="1069" spans="6:6">
      <c r="F1069" s="532">
        <v>0</v>
      </c>
    </row>
    <row r="1070" spans="6:6">
      <c r="F1070" s="532">
        <v>0</v>
      </c>
    </row>
    <row r="1071" spans="6:6">
      <c r="F1071" s="532">
        <v>0</v>
      </c>
    </row>
    <row r="1072" spans="6:6">
      <c r="F1072" s="532">
        <v>0</v>
      </c>
    </row>
    <row r="1073" spans="6:6">
      <c r="F1073" s="532">
        <v>0</v>
      </c>
    </row>
    <row r="1074" spans="6:6">
      <c r="F1074" s="532">
        <v>0</v>
      </c>
    </row>
    <row r="1075" spans="6:6">
      <c r="F1075" s="532">
        <v>0</v>
      </c>
    </row>
    <row r="1076" spans="6:6">
      <c r="F1076" s="532">
        <v>0</v>
      </c>
    </row>
    <row r="1077" spans="6:6">
      <c r="F1077" s="532">
        <v>0</v>
      </c>
    </row>
    <row r="1078" spans="6:6">
      <c r="F1078" s="532">
        <v>0</v>
      </c>
    </row>
    <row r="1079" spans="6:6">
      <c r="F1079" s="532">
        <v>0</v>
      </c>
    </row>
    <row r="1080" spans="6:6">
      <c r="F1080" s="532">
        <v>0</v>
      </c>
    </row>
    <row r="1081" spans="6:6">
      <c r="F1081" s="532">
        <v>0</v>
      </c>
    </row>
    <row r="1082" spans="6:6">
      <c r="F1082" s="532">
        <v>0</v>
      </c>
    </row>
    <row r="1083" spans="6:6">
      <c r="F1083" s="532">
        <v>0</v>
      </c>
    </row>
    <row r="1084" spans="6:6">
      <c r="F1084" s="532">
        <v>0</v>
      </c>
    </row>
    <row r="1085" spans="6:6">
      <c r="F1085" s="532">
        <v>0</v>
      </c>
    </row>
    <row r="1086" spans="6:6">
      <c r="F1086" s="532">
        <v>0</v>
      </c>
    </row>
    <row r="1087" spans="6:6">
      <c r="F1087" s="532">
        <v>0</v>
      </c>
    </row>
    <row r="1088" spans="6:6">
      <c r="F1088" s="532">
        <v>0</v>
      </c>
    </row>
    <row r="1089" spans="6:6">
      <c r="F1089" s="532">
        <v>0</v>
      </c>
    </row>
    <row r="1090" spans="6:6">
      <c r="F1090" s="532">
        <v>0</v>
      </c>
    </row>
    <row r="1091" spans="6:6">
      <c r="F1091" s="532">
        <v>0</v>
      </c>
    </row>
    <row r="1092" spans="6:6">
      <c r="F1092" s="532">
        <v>0</v>
      </c>
    </row>
    <row r="1093" spans="6:6">
      <c r="F1093" s="532">
        <v>0</v>
      </c>
    </row>
    <row r="1094" spans="6:6">
      <c r="F1094" s="532">
        <v>0</v>
      </c>
    </row>
    <row r="1095" spans="6:6">
      <c r="F1095" s="532">
        <v>0</v>
      </c>
    </row>
    <row r="1096" spans="6:6">
      <c r="F1096" s="532">
        <v>0</v>
      </c>
    </row>
    <row r="1097" spans="6:6">
      <c r="F1097" s="532">
        <v>0</v>
      </c>
    </row>
    <row r="1098" spans="6:6">
      <c r="F1098" s="532">
        <v>0</v>
      </c>
    </row>
    <row r="1099" spans="6:6">
      <c r="F1099" s="532">
        <v>0</v>
      </c>
    </row>
    <row r="1100" spans="6:6">
      <c r="F1100" s="532">
        <v>0</v>
      </c>
    </row>
    <row r="1101" spans="6:6">
      <c r="F1101" s="532">
        <v>0</v>
      </c>
    </row>
    <row r="1102" spans="6:6">
      <c r="F1102" s="532">
        <v>0</v>
      </c>
    </row>
    <row r="1103" spans="6:6">
      <c r="F1103" s="532">
        <v>0</v>
      </c>
    </row>
    <row r="1104" spans="6:6">
      <c r="F1104" s="532">
        <v>0</v>
      </c>
    </row>
    <row r="1105" spans="6:6">
      <c r="F1105" s="532">
        <v>0</v>
      </c>
    </row>
    <row r="1106" spans="6:6">
      <c r="F1106" s="532">
        <v>0</v>
      </c>
    </row>
    <row r="1107" spans="6:6">
      <c r="F1107" s="532">
        <v>0</v>
      </c>
    </row>
    <row r="1108" spans="6:6">
      <c r="F1108" s="532">
        <v>0</v>
      </c>
    </row>
    <row r="1109" spans="6:6">
      <c r="F1109" s="532">
        <v>0</v>
      </c>
    </row>
    <row r="1110" spans="6:6">
      <c r="F1110" s="532">
        <v>0</v>
      </c>
    </row>
    <row r="1111" spans="6:6">
      <c r="F1111" s="532">
        <v>0</v>
      </c>
    </row>
    <row r="1112" spans="6:6">
      <c r="F1112" s="532">
        <v>0</v>
      </c>
    </row>
    <row r="1113" spans="6:6">
      <c r="F1113" s="532">
        <v>0</v>
      </c>
    </row>
    <row r="1114" spans="6:6">
      <c r="F1114" s="532">
        <v>0</v>
      </c>
    </row>
    <row r="1115" spans="6:6">
      <c r="F1115" s="532">
        <v>0</v>
      </c>
    </row>
    <row r="1116" spans="6:6">
      <c r="F1116" s="532">
        <v>0</v>
      </c>
    </row>
    <row r="1117" spans="6:6">
      <c r="F1117" s="532">
        <v>0</v>
      </c>
    </row>
    <row r="1118" spans="6:6">
      <c r="F1118" s="532">
        <v>0</v>
      </c>
    </row>
    <row r="1119" spans="6:6">
      <c r="F1119" s="532">
        <v>0</v>
      </c>
    </row>
    <row r="1120" spans="6:6">
      <c r="F1120" s="532">
        <v>0</v>
      </c>
    </row>
    <row r="1121" spans="6:6">
      <c r="F1121" s="532">
        <v>0</v>
      </c>
    </row>
    <row r="1122" spans="6:6">
      <c r="F1122" s="532">
        <v>0</v>
      </c>
    </row>
    <row r="1123" spans="6:6">
      <c r="F1123" s="532">
        <v>0</v>
      </c>
    </row>
    <row r="1124" spans="6:6">
      <c r="F1124" s="532">
        <v>0</v>
      </c>
    </row>
    <row r="1125" spans="6:6">
      <c r="F1125" s="532">
        <v>0</v>
      </c>
    </row>
    <row r="1126" spans="6:6">
      <c r="F1126" s="532">
        <v>0</v>
      </c>
    </row>
    <row r="1127" spans="6:6">
      <c r="F1127" s="532">
        <v>0</v>
      </c>
    </row>
    <row r="1128" spans="6:6">
      <c r="F1128" s="532">
        <v>0</v>
      </c>
    </row>
    <row r="1129" spans="6:6">
      <c r="F1129" s="532">
        <v>0</v>
      </c>
    </row>
    <row r="1130" spans="6:6">
      <c r="F1130" s="532">
        <v>0</v>
      </c>
    </row>
    <row r="1131" spans="6:6">
      <c r="F1131" s="532">
        <v>0</v>
      </c>
    </row>
    <row r="1132" spans="6:6">
      <c r="F1132" s="532">
        <v>0</v>
      </c>
    </row>
    <row r="1133" spans="6:6">
      <c r="F1133" s="532">
        <v>0</v>
      </c>
    </row>
    <row r="1134" spans="6:6">
      <c r="F1134" s="532">
        <v>0</v>
      </c>
    </row>
    <row r="1135" spans="6:6">
      <c r="F1135" s="532">
        <v>0</v>
      </c>
    </row>
    <row r="1136" spans="6:6">
      <c r="F1136" s="532">
        <v>0</v>
      </c>
    </row>
    <row r="1137" spans="6:6">
      <c r="F1137" s="532">
        <v>0</v>
      </c>
    </row>
    <row r="1138" spans="6:6">
      <c r="F1138" s="532">
        <v>0</v>
      </c>
    </row>
    <row r="1139" spans="6:6">
      <c r="F1139" s="532">
        <v>0</v>
      </c>
    </row>
    <row r="1140" spans="6:6">
      <c r="F1140" s="532">
        <v>0</v>
      </c>
    </row>
    <row r="1141" spans="6:6">
      <c r="F1141" s="532">
        <v>0</v>
      </c>
    </row>
    <row r="1142" spans="6:6">
      <c r="F1142" s="532">
        <v>0</v>
      </c>
    </row>
    <row r="1143" spans="6:6">
      <c r="F1143" s="532">
        <v>0</v>
      </c>
    </row>
    <row r="1144" spans="6:6">
      <c r="F1144" s="532">
        <v>0</v>
      </c>
    </row>
    <row r="1145" spans="6:6">
      <c r="F1145" s="532">
        <v>0</v>
      </c>
    </row>
    <row r="1146" spans="6:6">
      <c r="F1146" s="532">
        <v>0</v>
      </c>
    </row>
    <row r="1147" spans="6:6">
      <c r="F1147" s="532">
        <v>0</v>
      </c>
    </row>
    <row r="1148" spans="6:6">
      <c r="F1148" s="532">
        <v>0</v>
      </c>
    </row>
    <row r="1149" spans="6:6">
      <c r="F1149" s="532">
        <v>0</v>
      </c>
    </row>
    <row r="1150" spans="6:6">
      <c r="F1150" s="532">
        <v>0</v>
      </c>
    </row>
    <row r="1151" spans="6:6">
      <c r="F1151" s="532">
        <v>0</v>
      </c>
    </row>
    <row r="1152" spans="6:6">
      <c r="F1152" s="532">
        <v>0</v>
      </c>
    </row>
    <row r="1153" spans="6:6">
      <c r="F1153" s="532">
        <v>0</v>
      </c>
    </row>
    <row r="1154" spans="6:6">
      <c r="F1154" s="532">
        <v>0</v>
      </c>
    </row>
    <row r="1155" spans="6:6">
      <c r="F1155" s="532">
        <v>0</v>
      </c>
    </row>
    <row r="1156" spans="6:6">
      <c r="F1156" s="532">
        <v>0</v>
      </c>
    </row>
    <row r="1157" spans="6:6">
      <c r="F1157" s="532">
        <v>0</v>
      </c>
    </row>
    <row r="1158" spans="6:6">
      <c r="F1158" s="532">
        <v>0</v>
      </c>
    </row>
    <row r="1159" spans="6:6">
      <c r="F1159" s="532">
        <v>0</v>
      </c>
    </row>
    <row r="1160" spans="6:6">
      <c r="F1160" s="532">
        <v>0</v>
      </c>
    </row>
    <row r="1161" spans="6:6">
      <c r="F1161" s="532">
        <v>0</v>
      </c>
    </row>
    <row r="1162" spans="6:6">
      <c r="F1162" s="532">
        <v>0</v>
      </c>
    </row>
    <row r="1163" spans="6:6">
      <c r="F1163" s="532">
        <v>0</v>
      </c>
    </row>
    <row r="1164" spans="6:6">
      <c r="F1164" s="532">
        <v>0</v>
      </c>
    </row>
    <row r="1165" spans="6:6">
      <c r="F1165" s="532">
        <v>0</v>
      </c>
    </row>
    <row r="1166" spans="6:6">
      <c r="F1166" s="532">
        <v>0</v>
      </c>
    </row>
    <row r="1167" spans="6:6">
      <c r="F1167" s="532">
        <v>0</v>
      </c>
    </row>
    <row r="1168" spans="6:6">
      <c r="F1168" s="532">
        <v>0</v>
      </c>
    </row>
    <row r="1169" spans="6:6">
      <c r="F1169" s="532">
        <v>0</v>
      </c>
    </row>
    <row r="1170" spans="6:6">
      <c r="F1170" s="532">
        <v>0</v>
      </c>
    </row>
    <row r="1171" spans="6:6">
      <c r="F1171" s="532">
        <v>0</v>
      </c>
    </row>
    <row r="1172" spans="6:6">
      <c r="F1172" s="532">
        <v>0</v>
      </c>
    </row>
    <row r="1173" spans="6:6">
      <c r="F1173" s="532">
        <v>0</v>
      </c>
    </row>
    <row r="1174" spans="6:6">
      <c r="F1174" s="532">
        <v>0</v>
      </c>
    </row>
    <row r="1175" spans="6:6">
      <c r="F1175" s="532">
        <v>0</v>
      </c>
    </row>
    <row r="1176" spans="6:6">
      <c r="F1176" s="532">
        <v>0</v>
      </c>
    </row>
    <row r="1177" spans="6:6">
      <c r="F1177" s="532">
        <v>0</v>
      </c>
    </row>
    <row r="1178" spans="6:6">
      <c r="F1178" s="532">
        <v>0</v>
      </c>
    </row>
    <row r="1179" spans="6:6">
      <c r="F1179" s="532">
        <v>0</v>
      </c>
    </row>
    <row r="1180" spans="6:6">
      <c r="F1180" s="532">
        <v>0</v>
      </c>
    </row>
    <row r="1181" spans="6:6">
      <c r="F1181" s="532">
        <v>0</v>
      </c>
    </row>
    <row r="1182" spans="6:6">
      <c r="F1182" s="532">
        <v>0</v>
      </c>
    </row>
    <row r="1183" spans="6:6">
      <c r="F1183" s="532">
        <v>0</v>
      </c>
    </row>
    <row r="1184" spans="6:6">
      <c r="F1184" s="532">
        <v>0</v>
      </c>
    </row>
    <row r="1185" spans="6:6">
      <c r="F1185" s="532">
        <v>0</v>
      </c>
    </row>
    <row r="1186" spans="6:6">
      <c r="F1186" s="532">
        <v>0</v>
      </c>
    </row>
    <row r="1187" spans="6:6">
      <c r="F1187" s="532">
        <v>0</v>
      </c>
    </row>
    <row r="1188" spans="6:6">
      <c r="F1188" s="532">
        <v>0</v>
      </c>
    </row>
    <row r="1189" spans="6:6">
      <c r="F1189" s="532">
        <v>0</v>
      </c>
    </row>
    <row r="1190" spans="6:6">
      <c r="F1190" s="532">
        <v>0</v>
      </c>
    </row>
    <row r="1191" spans="6:6">
      <c r="F1191" s="532">
        <v>0</v>
      </c>
    </row>
    <row r="1192" spans="6:6">
      <c r="F1192" s="532">
        <v>0</v>
      </c>
    </row>
    <row r="1193" spans="6:6">
      <c r="F1193" s="532">
        <v>0</v>
      </c>
    </row>
    <row r="1194" spans="6:6">
      <c r="F1194" s="532">
        <v>0</v>
      </c>
    </row>
    <row r="1195" spans="6:6">
      <c r="F1195" s="532">
        <v>0</v>
      </c>
    </row>
    <row r="1196" spans="6:6">
      <c r="F1196" s="532">
        <v>0</v>
      </c>
    </row>
    <row r="1197" spans="6:6">
      <c r="F1197" s="532">
        <v>0</v>
      </c>
    </row>
    <row r="1198" spans="6:6">
      <c r="F1198" s="532">
        <v>0</v>
      </c>
    </row>
    <row r="1199" spans="6:6">
      <c r="F1199" s="532">
        <v>0</v>
      </c>
    </row>
    <row r="1200" spans="6:6">
      <c r="F1200" s="532">
        <v>0</v>
      </c>
    </row>
    <row r="1201" spans="6:6">
      <c r="F1201" s="532">
        <v>0</v>
      </c>
    </row>
    <row r="1202" spans="6:6">
      <c r="F1202" s="532">
        <v>0</v>
      </c>
    </row>
    <row r="1203" spans="6:6">
      <c r="F1203" s="532">
        <v>0</v>
      </c>
    </row>
    <row r="1204" spans="6:6">
      <c r="F1204" s="532">
        <v>0</v>
      </c>
    </row>
    <row r="1205" spans="6:6">
      <c r="F1205" s="532">
        <v>0</v>
      </c>
    </row>
    <row r="1206" spans="6:6">
      <c r="F1206" s="532">
        <v>0</v>
      </c>
    </row>
    <row r="1207" spans="6:6">
      <c r="F1207" s="532">
        <v>0</v>
      </c>
    </row>
    <row r="1208" spans="6:6">
      <c r="F1208" s="532">
        <v>0</v>
      </c>
    </row>
    <row r="1209" spans="6:6">
      <c r="F1209" s="532">
        <v>0</v>
      </c>
    </row>
    <row r="1210" spans="6:6">
      <c r="F1210" s="532">
        <v>0</v>
      </c>
    </row>
    <row r="1211" spans="6:6">
      <c r="F1211" s="532">
        <v>0</v>
      </c>
    </row>
    <row r="1212" spans="6:6">
      <c r="F1212" s="532">
        <v>0</v>
      </c>
    </row>
    <row r="1213" spans="6:6">
      <c r="F1213" s="532">
        <v>0</v>
      </c>
    </row>
    <row r="1214" spans="6:6">
      <c r="F1214" s="532">
        <v>0</v>
      </c>
    </row>
    <row r="1215" spans="6:6">
      <c r="F1215" s="532">
        <v>0</v>
      </c>
    </row>
    <row r="1216" spans="6:6">
      <c r="F1216" s="532">
        <v>0</v>
      </c>
    </row>
    <row r="1217" spans="6:6">
      <c r="F1217" s="532">
        <v>0</v>
      </c>
    </row>
    <row r="1218" spans="6:6">
      <c r="F1218" s="532">
        <v>0</v>
      </c>
    </row>
    <row r="1219" spans="6:6">
      <c r="F1219" s="532">
        <v>0</v>
      </c>
    </row>
    <row r="1220" spans="6:6">
      <c r="F1220" s="532">
        <v>0</v>
      </c>
    </row>
    <row r="1221" spans="6:6">
      <c r="F1221" s="532">
        <v>0</v>
      </c>
    </row>
    <row r="1222" spans="6:6">
      <c r="F1222" s="532">
        <v>0</v>
      </c>
    </row>
    <row r="1223" spans="6:6">
      <c r="F1223" s="532">
        <v>0</v>
      </c>
    </row>
    <row r="1224" spans="6:6">
      <c r="F1224" s="532">
        <v>0</v>
      </c>
    </row>
    <row r="1225" spans="6:6">
      <c r="F1225" s="532">
        <v>0</v>
      </c>
    </row>
    <row r="1226" spans="6:6">
      <c r="F1226" s="532">
        <v>0</v>
      </c>
    </row>
    <row r="1227" spans="6:6">
      <c r="F1227" s="532">
        <v>0</v>
      </c>
    </row>
    <row r="1228" spans="6:6">
      <c r="F1228" s="532">
        <v>0</v>
      </c>
    </row>
    <row r="1229" spans="6:6">
      <c r="F1229" s="532">
        <v>0</v>
      </c>
    </row>
    <row r="1230" spans="6:6">
      <c r="F1230" s="532">
        <v>0</v>
      </c>
    </row>
    <row r="1231" spans="6:6">
      <c r="F1231" s="532">
        <v>0</v>
      </c>
    </row>
    <row r="1232" spans="6:6">
      <c r="F1232" s="532">
        <v>0</v>
      </c>
    </row>
    <row r="1233" spans="6:6">
      <c r="F1233" s="532">
        <v>0</v>
      </c>
    </row>
    <row r="1234" spans="6:6">
      <c r="F1234" s="532">
        <v>0</v>
      </c>
    </row>
    <row r="1235" spans="6:6">
      <c r="F1235" s="532">
        <v>0</v>
      </c>
    </row>
    <row r="1236" spans="6:6">
      <c r="F1236" s="532">
        <v>0</v>
      </c>
    </row>
    <row r="1237" spans="6:6">
      <c r="F1237" s="532">
        <v>0</v>
      </c>
    </row>
    <row r="1238" spans="6:6">
      <c r="F1238" s="532">
        <v>0</v>
      </c>
    </row>
    <row r="1239" spans="6:6">
      <c r="F1239" s="532">
        <v>0</v>
      </c>
    </row>
    <row r="1240" spans="6:6">
      <c r="F1240" s="532">
        <v>0</v>
      </c>
    </row>
    <row r="1241" spans="6:6">
      <c r="F1241" s="532">
        <v>0</v>
      </c>
    </row>
    <row r="1242" spans="6:6">
      <c r="F1242" s="532">
        <v>0</v>
      </c>
    </row>
    <row r="1243" spans="6:6">
      <c r="F1243" s="532">
        <v>0</v>
      </c>
    </row>
    <row r="1244" spans="6:6">
      <c r="F1244" s="532">
        <v>0</v>
      </c>
    </row>
    <row r="1245" spans="6:6">
      <c r="F1245" s="532">
        <v>0</v>
      </c>
    </row>
    <row r="1246" spans="6:6">
      <c r="F1246" s="532">
        <v>0</v>
      </c>
    </row>
    <row r="1247" spans="6:6">
      <c r="F1247" s="532">
        <v>0</v>
      </c>
    </row>
    <row r="1248" spans="6:6">
      <c r="F1248" s="532">
        <v>0</v>
      </c>
    </row>
    <row r="1249" spans="6:6">
      <c r="F1249" s="532">
        <v>0</v>
      </c>
    </row>
    <row r="1250" spans="6:6">
      <c r="F1250" s="532">
        <v>0</v>
      </c>
    </row>
    <row r="1251" spans="6:6">
      <c r="F1251" s="532">
        <v>0</v>
      </c>
    </row>
    <row r="1252" spans="6:6">
      <c r="F1252" s="532">
        <v>0</v>
      </c>
    </row>
    <row r="1253" spans="6:6">
      <c r="F1253" s="532">
        <v>0</v>
      </c>
    </row>
    <row r="1254" spans="6:6">
      <c r="F1254" s="532">
        <v>0</v>
      </c>
    </row>
    <row r="1255" spans="6:6">
      <c r="F1255" s="532">
        <v>0</v>
      </c>
    </row>
    <row r="1256" spans="6:6">
      <c r="F1256" s="532">
        <v>0</v>
      </c>
    </row>
    <row r="1257" spans="6:6">
      <c r="F1257" s="532">
        <v>0</v>
      </c>
    </row>
    <row r="1258" spans="6:6">
      <c r="F1258" s="532">
        <v>0</v>
      </c>
    </row>
    <row r="1259" spans="6:6">
      <c r="F1259" s="532">
        <v>0</v>
      </c>
    </row>
    <row r="1260" spans="6:6">
      <c r="F1260" s="532">
        <v>0</v>
      </c>
    </row>
    <row r="1261" spans="6:6">
      <c r="F1261" s="532">
        <v>0</v>
      </c>
    </row>
    <row r="1262" spans="6:6">
      <c r="F1262" s="532">
        <v>0</v>
      </c>
    </row>
    <row r="1263" spans="6:6">
      <c r="F1263" s="532">
        <v>0</v>
      </c>
    </row>
    <row r="1264" spans="6:6">
      <c r="F1264" s="532">
        <v>0</v>
      </c>
    </row>
    <row r="1265" spans="6:6">
      <c r="F1265" s="532">
        <v>0</v>
      </c>
    </row>
    <row r="1266" spans="6:6">
      <c r="F1266" s="532">
        <v>0</v>
      </c>
    </row>
    <row r="1267" spans="6:6">
      <c r="F1267" s="532">
        <v>0</v>
      </c>
    </row>
    <row r="1268" spans="6:6">
      <c r="F1268" s="532">
        <v>0</v>
      </c>
    </row>
    <row r="1269" spans="6:6">
      <c r="F1269" s="532">
        <v>0</v>
      </c>
    </row>
    <row r="1270" spans="6:6">
      <c r="F1270" s="532">
        <v>0</v>
      </c>
    </row>
    <row r="1271" spans="6:6">
      <c r="F1271" s="532">
        <v>0</v>
      </c>
    </row>
    <row r="1272" spans="6:6">
      <c r="F1272" s="532">
        <v>0</v>
      </c>
    </row>
    <row r="1273" spans="6:6">
      <c r="F1273" s="532">
        <v>0</v>
      </c>
    </row>
    <row r="1274" spans="6:6">
      <c r="F1274" s="532">
        <v>0</v>
      </c>
    </row>
    <row r="1275" spans="6:6">
      <c r="F1275" s="532">
        <v>0</v>
      </c>
    </row>
    <row r="1276" spans="6:6">
      <c r="F1276" s="532">
        <v>0</v>
      </c>
    </row>
    <row r="1277" spans="6:6">
      <c r="F1277" s="532">
        <v>0</v>
      </c>
    </row>
    <row r="1278" spans="6:6">
      <c r="F1278" s="532">
        <v>0</v>
      </c>
    </row>
    <row r="1279" spans="6:6">
      <c r="F1279" s="532">
        <v>0</v>
      </c>
    </row>
    <row r="1280" spans="6:6">
      <c r="F1280" s="532">
        <v>0</v>
      </c>
    </row>
    <row r="1281" spans="6:6">
      <c r="F1281" s="532">
        <v>0</v>
      </c>
    </row>
    <row r="1282" spans="6:6">
      <c r="F1282" s="532">
        <v>0</v>
      </c>
    </row>
    <row r="1283" spans="6:6">
      <c r="F1283" s="532">
        <v>0</v>
      </c>
    </row>
    <row r="1284" spans="6:6">
      <c r="F1284" s="532">
        <v>0</v>
      </c>
    </row>
    <row r="1285" spans="6:6">
      <c r="F1285" s="532">
        <v>0</v>
      </c>
    </row>
    <row r="1286" spans="6:6">
      <c r="F1286" s="532">
        <v>0</v>
      </c>
    </row>
    <row r="1287" spans="6:6">
      <c r="F1287" s="532">
        <v>0</v>
      </c>
    </row>
    <row r="1288" spans="6:6">
      <c r="F1288" s="532">
        <v>0</v>
      </c>
    </row>
    <row r="1289" spans="6:6">
      <c r="F1289" s="532">
        <v>0</v>
      </c>
    </row>
    <row r="1290" spans="6:6">
      <c r="F1290" s="532">
        <v>0</v>
      </c>
    </row>
    <row r="1291" spans="6:6">
      <c r="F1291" s="532">
        <v>0</v>
      </c>
    </row>
    <row r="1292" spans="6:6">
      <c r="F1292" s="532">
        <v>0</v>
      </c>
    </row>
    <row r="1293" spans="6:6">
      <c r="F1293" s="532">
        <v>0</v>
      </c>
    </row>
    <row r="1294" spans="6:6">
      <c r="F1294" s="532">
        <v>0</v>
      </c>
    </row>
    <row r="1295" spans="6:6">
      <c r="F1295" s="532">
        <v>0</v>
      </c>
    </row>
    <row r="1296" spans="6:6">
      <c r="F1296" s="532">
        <v>0</v>
      </c>
    </row>
    <row r="1297" spans="6:6">
      <c r="F1297" s="532">
        <v>0</v>
      </c>
    </row>
    <row r="1298" spans="6:6">
      <c r="F1298" s="532">
        <v>0</v>
      </c>
    </row>
    <row r="1299" spans="6:6">
      <c r="F1299" s="532">
        <v>0</v>
      </c>
    </row>
    <row r="1300" spans="6:6">
      <c r="F1300" s="532">
        <v>0</v>
      </c>
    </row>
    <row r="1301" spans="6:6">
      <c r="F1301" s="532">
        <v>0</v>
      </c>
    </row>
    <row r="1302" spans="6:6">
      <c r="F1302" s="532">
        <v>0</v>
      </c>
    </row>
    <row r="1303" spans="6:6">
      <c r="F1303" s="532">
        <v>0</v>
      </c>
    </row>
    <row r="1304" spans="6:6">
      <c r="F1304" s="532">
        <v>0</v>
      </c>
    </row>
    <row r="1305" spans="6:6">
      <c r="F1305" s="532">
        <v>0</v>
      </c>
    </row>
    <row r="1306" spans="6:6">
      <c r="F1306" s="532">
        <v>0</v>
      </c>
    </row>
    <row r="1307" spans="6:6">
      <c r="F1307" s="532">
        <v>0</v>
      </c>
    </row>
    <row r="1308" spans="6:6">
      <c r="F1308" s="532">
        <v>0</v>
      </c>
    </row>
    <row r="1309" spans="6:6">
      <c r="F1309" s="532">
        <v>0</v>
      </c>
    </row>
    <row r="1310" spans="6:6">
      <c r="F1310" s="532">
        <v>0</v>
      </c>
    </row>
    <row r="1311" spans="6:6">
      <c r="F1311" s="532">
        <v>0</v>
      </c>
    </row>
    <row r="1312" spans="6:6">
      <c r="F1312" s="532">
        <v>0</v>
      </c>
    </row>
    <row r="1313" spans="6:6">
      <c r="F1313" s="532">
        <v>0</v>
      </c>
    </row>
    <row r="1314" spans="6:6">
      <c r="F1314" s="532">
        <v>0</v>
      </c>
    </row>
    <row r="1315" spans="6:6">
      <c r="F1315" s="532">
        <v>0</v>
      </c>
    </row>
    <row r="1316" spans="6:6">
      <c r="F1316" s="532">
        <v>0</v>
      </c>
    </row>
    <row r="1317" spans="6:6">
      <c r="F1317" s="532">
        <v>0</v>
      </c>
    </row>
    <row r="1318" spans="6:6">
      <c r="F1318" s="532">
        <v>0</v>
      </c>
    </row>
    <row r="1319" spans="6:6">
      <c r="F1319" s="532">
        <v>0</v>
      </c>
    </row>
    <row r="1320" spans="6:6">
      <c r="F1320" s="532">
        <v>0</v>
      </c>
    </row>
    <row r="1321" spans="6:6">
      <c r="F1321" s="532">
        <v>0</v>
      </c>
    </row>
    <row r="1322" spans="6:6">
      <c r="F1322" s="532">
        <v>0</v>
      </c>
    </row>
    <row r="1323" spans="6:6">
      <c r="F1323" s="532">
        <v>0</v>
      </c>
    </row>
    <row r="1324" spans="6:6">
      <c r="F1324" s="532">
        <v>0</v>
      </c>
    </row>
    <row r="1325" spans="6:6">
      <c r="F1325" s="532">
        <v>0</v>
      </c>
    </row>
    <row r="1326" spans="6:6">
      <c r="F1326" s="532">
        <v>0</v>
      </c>
    </row>
    <row r="1327" spans="6:6">
      <c r="F1327" s="532">
        <v>0</v>
      </c>
    </row>
    <row r="1328" spans="6:6">
      <c r="F1328" s="532">
        <v>0</v>
      </c>
    </row>
    <row r="1329" spans="6:6">
      <c r="F1329" s="532">
        <v>0</v>
      </c>
    </row>
    <row r="1330" spans="6:6">
      <c r="F1330" s="532">
        <v>0</v>
      </c>
    </row>
    <row r="1331" spans="6:6">
      <c r="F1331" s="532">
        <v>0</v>
      </c>
    </row>
    <row r="1332" spans="6:6">
      <c r="F1332" s="532">
        <v>0</v>
      </c>
    </row>
    <row r="1333" spans="6:6">
      <c r="F1333" s="532">
        <v>0</v>
      </c>
    </row>
    <row r="1334" spans="6:6">
      <c r="F1334" s="532">
        <v>0</v>
      </c>
    </row>
    <row r="1335" spans="6:6">
      <c r="F1335" s="532">
        <v>0</v>
      </c>
    </row>
    <row r="1336" spans="6:6">
      <c r="F1336" s="532">
        <v>0</v>
      </c>
    </row>
    <row r="1337" spans="6:6">
      <c r="F1337" s="532">
        <v>0</v>
      </c>
    </row>
    <row r="1338" spans="6:6">
      <c r="F1338" s="532">
        <v>0</v>
      </c>
    </row>
    <row r="1339" spans="6:6">
      <c r="F1339" s="532">
        <v>0</v>
      </c>
    </row>
    <row r="1340" spans="6:6">
      <c r="F1340" s="532">
        <v>0</v>
      </c>
    </row>
    <row r="1341" spans="6:6">
      <c r="F1341" s="532">
        <v>0</v>
      </c>
    </row>
    <row r="1342" spans="6:6">
      <c r="F1342" s="532">
        <v>0</v>
      </c>
    </row>
    <row r="1343" spans="6:6">
      <c r="F1343" s="532">
        <v>0</v>
      </c>
    </row>
    <row r="1344" spans="6:6">
      <c r="F1344" s="532">
        <v>0</v>
      </c>
    </row>
    <row r="1345" spans="6:6">
      <c r="F1345" s="532">
        <v>0</v>
      </c>
    </row>
    <row r="1346" spans="6:6">
      <c r="F1346" s="532">
        <v>0</v>
      </c>
    </row>
    <row r="1347" spans="6:6">
      <c r="F1347" s="532">
        <v>0</v>
      </c>
    </row>
    <row r="1348" spans="6:6">
      <c r="F1348" s="532">
        <v>0</v>
      </c>
    </row>
    <row r="1349" spans="6:6">
      <c r="F1349" s="532">
        <v>0</v>
      </c>
    </row>
    <row r="1350" spans="6:6">
      <c r="F1350" s="532">
        <v>0</v>
      </c>
    </row>
    <row r="1351" spans="6:6">
      <c r="F1351" s="532">
        <v>0</v>
      </c>
    </row>
    <row r="1352" spans="6:6">
      <c r="F1352" s="532">
        <v>0</v>
      </c>
    </row>
    <row r="1353" spans="6:6">
      <c r="F1353" s="532">
        <v>0</v>
      </c>
    </row>
    <row r="1354" spans="6:6">
      <c r="F1354" s="532">
        <v>0</v>
      </c>
    </row>
    <row r="1355" spans="6:6">
      <c r="F1355" s="532">
        <v>0</v>
      </c>
    </row>
    <row r="1356" spans="6:6">
      <c r="F1356" s="532">
        <v>0</v>
      </c>
    </row>
    <row r="1357" spans="6:6">
      <c r="F1357" s="532">
        <v>0</v>
      </c>
    </row>
    <row r="1358" spans="6:6">
      <c r="F1358" s="532">
        <v>0</v>
      </c>
    </row>
    <row r="1359" spans="6:6">
      <c r="F1359" s="532">
        <v>0</v>
      </c>
    </row>
    <row r="1360" spans="6:6">
      <c r="F1360" s="532">
        <v>0</v>
      </c>
    </row>
    <row r="1361" spans="6:6">
      <c r="F1361" s="532">
        <v>0</v>
      </c>
    </row>
    <row r="1362" spans="6:6">
      <c r="F1362" s="532">
        <v>0</v>
      </c>
    </row>
    <row r="1363" spans="6:6">
      <c r="F1363" s="532">
        <v>0</v>
      </c>
    </row>
    <row r="1364" spans="6:6">
      <c r="F1364" s="532">
        <v>0</v>
      </c>
    </row>
    <row r="1365" spans="6:6">
      <c r="F1365" s="532">
        <v>0</v>
      </c>
    </row>
    <row r="1366" spans="6:6">
      <c r="F1366" s="532">
        <v>0</v>
      </c>
    </row>
    <row r="1367" spans="6:6">
      <c r="F1367" s="532">
        <v>0</v>
      </c>
    </row>
    <row r="1368" spans="6:6">
      <c r="F1368" s="532">
        <v>0</v>
      </c>
    </row>
    <row r="1369" spans="6:6">
      <c r="F1369" s="532">
        <v>0</v>
      </c>
    </row>
    <row r="1370" spans="6:6">
      <c r="F1370" s="532">
        <v>0</v>
      </c>
    </row>
    <row r="1371" spans="6:6">
      <c r="F1371" s="532">
        <v>0</v>
      </c>
    </row>
    <row r="1372" spans="6:6">
      <c r="F1372" s="532">
        <v>0</v>
      </c>
    </row>
    <row r="1373" spans="6:6">
      <c r="F1373" s="532">
        <v>0</v>
      </c>
    </row>
    <row r="1374" spans="6:6">
      <c r="F1374" s="532">
        <v>0</v>
      </c>
    </row>
    <row r="1375" spans="6:6">
      <c r="F1375" s="532">
        <v>0</v>
      </c>
    </row>
    <row r="1376" spans="6:6">
      <c r="F1376" s="532">
        <v>0</v>
      </c>
    </row>
    <row r="1377" spans="6:6">
      <c r="F1377" s="532">
        <v>0</v>
      </c>
    </row>
    <row r="1378" spans="6:6">
      <c r="F1378" s="532">
        <v>0</v>
      </c>
    </row>
    <row r="1379" spans="6:6">
      <c r="F1379" s="532">
        <v>0</v>
      </c>
    </row>
    <row r="1380" spans="6:6">
      <c r="F1380" s="532">
        <v>0</v>
      </c>
    </row>
    <row r="1381" spans="6:6">
      <c r="F1381" s="532">
        <v>0</v>
      </c>
    </row>
    <row r="1382" spans="6:6">
      <c r="F1382" s="532">
        <v>0</v>
      </c>
    </row>
    <row r="1383" spans="6:6">
      <c r="F1383" s="532">
        <v>0</v>
      </c>
    </row>
    <row r="1384" spans="6:6">
      <c r="F1384" s="532">
        <v>0</v>
      </c>
    </row>
    <row r="1385" spans="6:6">
      <c r="F1385" s="532">
        <v>0</v>
      </c>
    </row>
    <row r="1386" spans="6:6">
      <c r="F1386" s="532">
        <v>0</v>
      </c>
    </row>
    <row r="1387" spans="6:6">
      <c r="F1387" s="532">
        <v>0</v>
      </c>
    </row>
    <row r="1388" spans="6:6">
      <c r="F1388" s="532">
        <v>0</v>
      </c>
    </row>
    <row r="1389" spans="6:6">
      <c r="F1389" s="532">
        <v>0</v>
      </c>
    </row>
    <row r="1390" spans="6:6">
      <c r="F1390" s="532">
        <v>0</v>
      </c>
    </row>
    <row r="1391" spans="6:6">
      <c r="F1391" s="532">
        <v>0</v>
      </c>
    </row>
    <row r="1392" spans="6:6">
      <c r="F1392" s="532">
        <v>0</v>
      </c>
    </row>
    <row r="1393" spans="6:6">
      <c r="F1393" s="532">
        <v>0</v>
      </c>
    </row>
    <row r="1394" spans="6:6">
      <c r="F1394" s="532">
        <v>0</v>
      </c>
    </row>
    <row r="1395" spans="6:6">
      <c r="F1395" s="532">
        <v>0</v>
      </c>
    </row>
    <row r="1396" spans="6:6">
      <c r="F1396" s="532">
        <v>0</v>
      </c>
    </row>
    <row r="1397" spans="6:6">
      <c r="F1397" s="532">
        <v>0</v>
      </c>
    </row>
    <row r="1398" spans="6:6">
      <c r="F1398" s="532">
        <v>0</v>
      </c>
    </row>
    <row r="1399" spans="6:6">
      <c r="F1399" s="532">
        <v>0</v>
      </c>
    </row>
    <row r="1400" spans="6:6">
      <c r="F1400" s="532">
        <v>0</v>
      </c>
    </row>
    <row r="1401" spans="6:6">
      <c r="F1401" s="532">
        <v>0</v>
      </c>
    </row>
    <row r="1402" spans="6:6">
      <c r="F1402" s="532">
        <v>0</v>
      </c>
    </row>
    <row r="1403" spans="6:6">
      <c r="F1403" s="532">
        <v>0</v>
      </c>
    </row>
    <row r="1404" spans="6:6">
      <c r="F1404" s="532">
        <v>0</v>
      </c>
    </row>
    <row r="1405" spans="6:6">
      <c r="F1405" s="532">
        <v>0</v>
      </c>
    </row>
    <row r="1406" spans="6:6">
      <c r="F1406" s="532">
        <v>0</v>
      </c>
    </row>
    <row r="1407" spans="6:6">
      <c r="F1407" s="532">
        <v>0</v>
      </c>
    </row>
    <row r="1408" spans="6:6">
      <c r="F1408" s="532">
        <v>0</v>
      </c>
    </row>
    <row r="1409" spans="6:6">
      <c r="F1409" s="532">
        <v>0</v>
      </c>
    </row>
    <row r="1410" spans="6:6">
      <c r="F1410" s="532">
        <v>0</v>
      </c>
    </row>
    <row r="1411" spans="6:6">
      <c r="F1411" s="532">
        <v>0</v>
      </c>
    </row>
    <row r="1412" spans="6:6">
      <c r="F1412" s="532">
        <v>0</v>
      </c>
    </row>
    <row r="1413" spans="6:6">
      <c r="F1413" s="532">
        <v>0</v>
      </c>
    </row>
    <row r="1414" spans="6:6">
      <c r="F1414" s="532">
        <v>0</v>
      </c>
    </row>
    <row r="1415" spans="6:6">
      <c r="F1415" s="532">
        <v>0</v>
      </c>
    </row>
    <row r="1416" spans="6:6">
      <c r="F1416" s="532">
        <v>0</v>
      </c>
    </row>
    <row r="1417" spans="6:6">
      <c r="F1417" s="532">
        <v>0</v>
      </c>
    </row>
    <row r="1418" spans="6:6">
      <c r="F1418" s="532">
        <v>0</v>
      </c>
    </row>
    <row r="1419" spans="6:6">
      <c r="F1419" s="532">
        <v>0</v>
      </c>
    </row>
    <row r="1420" spans="6:6">
      <c r="F1420" s="532">
        <v>0</v>
      </c>
    </row>
    <row r="1421" spans="6:6">
      <c r="F1421" s="532">
        <v>0</v>
      </c>
    </row>
    <row r="1422" spans="6:6">
      <c r="F1422" s="532">
        <v>0</v>
      </c>
    </row>
    <row r="1423" spans="6:6">
      <c r="F1423" s="532">
        <v>0</v>
      </c>
    </row>
    <row r="1424" spans="6:6">
      <c r="F1424" s="532">
        <v>0</v>
      </c>
    </row>
    <row r="1425" spans="6:6">
      <c r="F1425" s="532">
        <v>0</v>
      </c>
    </row>
    <row r="1426" spans="6:6">
      <c r="F1426" s="532">
        <v>0</v>
      </c>
    </row>
    <row r="1427" spans="6:6">
      <c r="F1427" s="532">
        <v>0</v>
      </c>
    </row>
    <row r="1428" spans="6:6">
      <c r="F1428" s="532">
        <v>0</v>
      </c>
    </row>
    <row r="1429" spans="6:6">
      <c r="F1429" s="532">
        <v>0</v>
      </c>
    </row>
    <row r="1430" spans="6:6">
      <c r="F1430" s="532">
        <v>0</v>
      </c>
    </row>
    <row r="1431" spans="6:6">
      <c r="F1431" s="532">
        <v>0</v>
      </c>
    </row>
    <row r="1432" spans="6:6">
      <c r="F1432" s="532">
        <v>0</v>
      </c>
    </row>
    <row r="1433" spans="6:6">
      <c r="F1433" s="532">
        <v>0</v>
      </c>
    </row>
    <row r="1434" spans="6:6">
      <c r="F1434" s="532">
        <v>0</v>
      </c>
    </row>
    <row r="1435" spans="6:6">
      <c r="F1435" s="532">
        <v>0</v>
      </c>
    </row>
    <row r="1436" spans="6:6">
      <c r="F1436" s="532">
        <v>0</v>
      </c>
    </row>
    <row r="1437" spans="6:6">
      <c r="F1437" s="532">
        <v>0</v>
      </c>
    </row>
    <row r="1438" spans="6:6">
      <c r="F1438" s="532">
        <v>0</v>
      </c>
    </row>
    <row r="1439" spans="6:6">
      <c r="F1439" s="532">
        <v>0</v>
      </c>
    </row>
    <row r="1440" spans="6:6">
      <c r="F1440" s="532">
        <v>0</v>
      </c>
    </row>
    <row r="1441" spans="6:6">
      <c r="F1441" s="532">
        <v>0</v>
      </c>
    </row>
    <row r="1442" spans="6:6">
      <c r="F1442" s="532">
        <v>0</v>
      </c>
    </row>
    <row r="1443" spans="6:6">
      <c r="F1443" s="532">
        <v>0</v>
      </c>
    </row>
    <row r="1444" spans="6:6">
      <c r="F1444" s="532">
        <v>0</v>
      </c>
    </row>
    <row r="1445" spans="6:6">
      <c r="F1445" s="532">
        <v>0</v>
      </c>
    </row>
    <row r="1446" spans="6:6">
      <c r="F1446" s="532">
        <v>0</v>
      </c>
    </row>
    <row r="1447" spans="6:6">
      <c r="F1447" s="532">
        <v>0</v>
      </c>
    </row>
    <row r="1448" spans="6:6">
      <c r="F1448" s="532">
        <v>0</v>
      </c>
    </row>
    <row r="1449" spans="6:6">
      <c r="F1449" s="532">
        <v>0</v>
      </c>
    </row>
    <row r="1450" spans="6:6">
      <c r="F1450" s="532">
        <v>0</v>
      </c>
    </row>
    <row r="1451" spans="6:6">
      <c r="F1451" s="532">
        <v>0</v>
      </c>
    </row>
    <row r="1452" spans="6:6">
      <c r="F1452" s="532">
        <v>0</v>
      </c>
    </row>
    <row r="1453" spans="6:6">
      <c r="F1453" s="532">
        <v>0</v>
      </c>
    </row>
    <row r="1454" spans="6:6">
      <c r="F1454" s="532">
        <v>0</v>
      </c>
    </row>
    <row r="1455" spans="6:6">
      <c r="F1455" s="532">
        <v>0</v>
      </c>
    </row>
    <row r="1456" spans="6:6">
      <c r="F1456" s="532">
        <v>0</v>
      </c>
    </row>
    <row r="1457" spans="6:6">
      <c r="F1457" s="532">
        <v>0</v>
      </c>
    </row>
    <row r="1458" spans="6:6">
      <c r="F1458" s="532">
        <v>0</v>
      </c>
    </row>
    <row r="1459" spans="6:6">
      <c r="F1459" s="532">
        <v>0</v>
      </c>
    </row>
    <row r="1460" spans="6:6">
      <c r="F1460" s="532">
        <v>0</v>
      </c>
    </row>
    <row r="1461" spans="6:6">
      <c r="F1461" s="532">
        <v>0</v>
      </c>
    </row>
    <row r="1462" spans="6:6">
      <c r="F1462" s="532">
        <v>0</v>
      </c>
    </row>
    <row r="1463" spans="6:6">
      <c r="F1463" s="532">
        <v>0</v>
      </c>
    </row>
    <row r="1464" spans="6:6">
      <c r="F1464" s="532">
        <v>0</v>
      </c>
    </row>
    <row r="1465" spans="6:6">
      <c r="F1465" s="532">
        <v>0</v>
      </c>
    </row>
    <row r="1466" spans="6:6">
      <c r="F1466" s="532">
        <v>0</v>
      </c>
    </row>
    <row r="1467" spans="6:6">
      <c r="F1467" s="532">
        <v>0</v>
      </c>
    </row>
    <row r="1468" spans="6:6">
      <c r="F1468" s="532">
        <v>0</v>
      </c>
    </row>
    <row r="1469" spans="6:6">
      <c r="F1469" s="532">
        <v>0</v>
      </c>
    </row>
    <row r="1470" spans="6:6">
      <c r="F1470" s="532">
        <v>0</v>
      </c>
    </row>
    <row r="1471" spans="6:6">
      <c r="F1471" s="532">
        <v>0</v>
      </c>
    </row>
    <row r="1472" spans="6:6">
      <c r="F1472" s="532">
        <v>0</v>
      </c>
    </row>
    <row r="1473" spans="6:6">
      <c r="F1473" s="532">
        <v>0</v>
      </c>
    </row>
    <row r="1474" spans="6:6">
      <c r="F1474" s="532">
        <v>0</v>
      </c>
    </row>
    <row r="1475" spans="6:6">
      <c r="F1475" s="532">
        <v>0</v>
      </c>
    </row>
    <row r="1476" spans="6:6">
      <c r="F1476" s="532">
        <v>0</v>
      </c>
    </row>
    <row r="1477" spans="6:6">
      <c r="F1477" s="532">
        <v>0</v>
      </c>
    </row>
    <row r="1478" spans="6:6">
      <c r="F1478" s="532">
        <v>0</v>
      </c>
    </row>
    <row r="1479" spans="6:6">
      <c r="F1479" s="532">
        <v>0</v>
      </c>
    </row>
    <row r="1480" spans="6:6">
      <c r="F1480" s="532">
        <v>0</v>
      </c>
    </row>
    <row r="1481" spans="6:6">
      <c r="F1481" s="532">
        <v>0</v>
      </c>
    </row>
    <row r="1482" spans="6:6">
      <c r="F1482" s="532">
        <v>0</v>
      </c>
    </row>
    <row r="1483" spans="6:6">
      <c r="F1483" s="532">
        <v>0</v>
      </c>
    </row>
    <row r="1484" spans="6:6">
      <c r="F1484" s="532">
        <v>0</v>
      </c>
    </row>
    <row r="1485" spans="6:6">
      <c r="F1485" s="532">
        <v>0</v>
      </c>
    </row>
    <row r="1486" spans="6:6">
      <c r="F1486" s="532">
        <v>0</v>
      </c>
    </row>
    <row r="1487" spans="6:6">
      <c r="F1487" s="532">
        <v>0</v>
      </c>
    </row>
    <row r="1488" spans="6:6">
      <c r="F1488" s="532">
        <v>0</v>
      </c>
    </row>
    <row r="1489" spans="6:6">
      <c r="F1489" s="532">
        <v>0</v>
      </c>
    </row>
    <row r="1490" spans="6:6">
      <c r="F1490" s="532">
        <v>0</v>
      </c>
    </row>
    <row r="1491" spans="6:6">
      <c r="F1491" s="532">
        <v>0</v>
      </c>
    </row>
    <row r="1492" spans="6:6">
      <c r="F1492" s="532">
        <v>0</v>
      </c>
    </row>
    <row r="1493" spans="6:6">
      <c r="F1493" s="532">
        <v>0</v>
      </c>
    </row>
    <row r="1494" spans="6:6">
      <c r="F1494" s="532">
        <v>0</v>
      </c>
    </row>
    <row r="1495" spans="6:6">
      <c r="F1495" s="532">
        <v>0</v>
      </c>
    </row>
    <row r="1496" spans="6:6">
      <c r="F1496" s="532">
        <v>0</v>
      </c>
    </row>
    <row r="1497" spans="6:6">
      <c r="F1497" s="532">
        <v>0</v>
      </c>
    </row>
    <row r="1498" spans="6:6">
      <c r="F1498" s="532">
        <v>0</v>
      </c>
    </row>
    <row r="1499" spans="6:6">
      <c r="F1499" s="532">
        <v>0</v>
      </c>
    </row>
    <row r="1500" spans="6:6">
      <c r="F1500" s="532">
        <v>0</v>
      </c>
    </row>
    <row r="1501" spans="6:6">
      <c r="F1501" s="532">
        <v>0</v>
      </c>
    </row>
    <row r="1502" spans="6:6">
      <c r="F1502" s="532">
        <v>0</v>
      </c>
    </row>
    <row r="1503" spans="6:6">
      <c r="F1503" s="532">
        <v>0</v>
      </c>
    </row>
    <row r="1504" spans="6:6">
      <c r="F1504" s="532">
        <v>0</v>
      </c>
    </row>
    <row r="1505" spans="6:6">
      <c r="F1505" s="532">
        <v>0</v>
      </c>
    </row>
    <row r="1506" spans="6:6">
      <c r="F1506" s="532">
        <v>0</v>
      </c>
    </row>
    <row r="1507" spans="6:6">
      <c r="F1507" s="532">
        <v>0</v>
      </c>
    </row>
    <row r="1508" spans="6:6">
      <c r="F1508" s="532">
        <v>0</v>
      </c>
    </row>
    <row r="1509" spans="6:6">
      <c r="F1509" s="532">
        <v>0</v>
      </c>
    </row>
    <row r="1510" spans="6:6">
      <c r="F1510" s="532">
        <v>0</v>
      </c>
    </row>
    <row r="1511" spans="6:6">
      <c r="F1511" s="532">
        <v>0</v>
      </c>
    </row>
    <row r="1512" spans="6:6">
      <c r="F1512" s="532">
        <v>0</v>
      </c>
    </row>
    <row r="1513" spans="6:6">
      <c r="F1513" s="532">
        <v>0</v>
      </c>
    </row>
    <row r="1514" spans="6:6">
      <c r="F1514" s="532">
        <v>0</v>
      </c>
    </row>
    <row r="1515" spans="6:6">
      <c r="F1515" s="532">
        <v>0</v>
      </c>
    </row>
    <row r="1516" spans="6:6">
      <c r="F1516" s="532">
        <v>0</v>
      </c>
    </row>
    <row r="1517" spans="6:6">
      <c r="F1517" s="532">
        <v>0</v>
      </c>
    </row>
    <row r="1518" spans="6:6">
      <c r="F1518" s="532">
        <v>0</v>
      </c>
    </row>
    <row r="1519" spans="6:6">
      <c r="F1519" s="532">
        <v>0</v>
      </c>
    </row>
    <row r="1520" spans="6:6">
      <c r="F1520" s="532">
        <v>0</v>
      </c>
    </row>
    <row r="1521" spans="6:6">
      <c r="F1521" s="532">
        <v>0</v>
      </c>
    </row>
    <row r="1522" spans="6:6">
      <c r="F1522" s="532">
        <v>0</v>
      </c>
    </row>
    <row r="1523" spans="6:6">
      <c r="F1523" s="532">
        <v>0</v>
      </c>
    </row>
    <row r="1524" spans="6:6">
      <c r="F1524" s="532">
        <v>0</v>
      </c>
    </row>
    <row r="1525" spans="6:6">
      <c r="F1525" s="532">
        <v>0</v>
      </c>
    </row>
    <row r="1526" spans="6:6">
      <c r="F1526" s="532">
        <v>0</v>
      </c>
    </row>
    <row r="1527" spans="6:6">
      <c r="F1527" s="532">
        <v>0</v>
      </c>
    </row>
    <row r="1528" spans="6:6">
      <c r="F1528" s="532">
        <v>0</v>
      </c>
    </row>
    <row r="1529" spans="6:6">
      <c r="F1529" s="532">
        <v>0</v>
      </c>
    </row>
    <row r="1530" spans="6:6">
      <c r="F1530" s="532">
        <v>0</v>
      </c>
    </row>
    <row r="1531" spans="6:6">
      <c r="F1531" s="532">
        <v>0</v>
      </c>
    </row>
    <row r="1532" spans="6:6">
      <c r="F1532" s="532">
        <v>0</v>
      </c>
    </row>
    <row r="1533" spans="6:6">
      <c r="F1533" s="532">
        <v>0</v>
      </c>
    </row>
    <row r="1534" spans="6:6">
      <c r="F1534" s="532">
        <v>0</v>
      </c>
    </row>
    <row r="1535" spans="6:6">
      <c r="F1535" s="532">
        <v>0</v>
      </c>
    </row>
    <row r="1536" spans="6:6">
      <c r="F1536" s="532">
        <v>0</v>
      </c>
    </row>
    <row r="1537" spans="6:6">
      <c r="F1537" s="532">
        <v>0</v>
      </c>
    </row>
    <row r="1538" spans="6:6">
      <c r="F1538" s="532">
        <v>0</v>
      </c>
    </row>
    <row r="1539" spans="6:6">
      <c r="F1539" s="532">
        <v>0</v>
      </c>
    </row>
    <row r="1540" spans="6:6">
      <c r="F1540" s="532">
        <v>0</v>
      </c>
    </row>
    <row r="1541" spans="6:6">
      <c r="F1541" s="532">
        <v>0</v>
      </c>
    </row>
    <row r="1542" spans="6:6">
      <c r="F1542" s="532">
        <v>0</v>
      </c>
    </row>
    <row r="1543" spans="6:6">
      <c r="F1543" s="532">
        <v>0</v>
      </c>
    </row>
    <row r="1544" spans="6:6">
      <c r="F1544" s="532">
        <v>0</v>
      </c>
    </row>
    <row r="1545" spans="6:6">
      <c r="F1545" s="532">
        <v>0</v>
      </c>
    </row>
    <row r="1546" spans="6:6">
      <c r="F1546" s="532">
        <v>0</v>
      </c>
    </row>
    <row r="1547" spans="6:6">
      <c r="F1547" s="532">
        <v>0</v>
      </c>
    </row>
    <row r="1548" spans="6:6">
      <c r="F1548" s="532">
        <v>0</v>
      </c>
    </row>
    <row r="1549" spans="6:6">
      <c r="F1549" s="532">
        <v>0</v>
      </c>
    </row>
    <row r="1550" spans="6:6">
      <c r="F1550" s="532">
        <v>0</v>
      </c>
    </row>
    <row r="1551" spans="6:6">
      <c r="F1551" s="532">
        <v>0</v>
      </c>
    </row>
    <row r="1552" spans="6:6">
      <c r="F1552" s="532">
        <v>0</v>
      </c>
    </row>
    <row r="1553" spans="6:6">
      <c r="F1553" s="532">
        <v>0</v>
      </c>
    </row>
    <row r="1554" spans="6:6">
      <c r="F1554" s="532">
        <v>0</v>
      </c>
    </row>
    <row r="1555" spans="6:6">
      <c r="F1555" s="532">
        <v>0</v>
      </c>
    </row>
    <row r="1556" spans="6:6">
      <c r="F1556" s="532">
        <v>0</v>
      </c>
    </row>
    <row r="1557" spans="6:6">
      <c r="F1557" s="532">
        <v>0</v>
      </c>
    </row>
    <row r="1558" spans="6:6">
      <c r="F1558" s="532">
        <v>0</v>
      </c>
    </row>
    <row r="1559" spans="6:6">
      <c r="F1559" s="532">
        <v>0</v>
      </c>
    </row>
    <row r="1560" spans="6:6">
      <c r="F1560" s="532">
        <v>0</v>
      </c>
    </row>
    <row r="1561" spans="6:6">
      <c r="F1561" s="532">
        <v>0</v>
      </c>
    </row>
    <row r="1562" spans="6:6">
      <c r="F1562" s="532">
        <v>0</v>
      </c>
    </row>
    <row r="1563" spans="6:6">
      <c r="F1563" s="532">
        <v>0</v>
      </c>
    </row>
    <row r="1564" spans="6:6">
      <c r="F1564" s="532">
        <v>0</v>
      </c>
    </row>
    <row r="1565" spans="6:6">
      <c r="F1565" s="532">
        <v>0</v>
      </c>
    </row>
    <row r="1566" spans="6:6">
      <c r="F1566" s="532">
        <v>0</v>
      </c>
    </row>
    <row r="1567" spans="6:6">
      <c r="F1567" s="532">
        <v>0</v>
      </c>
    </row>
    <row r="1568" spans="6:6">
      <c r="F1568" s="532">
        <v>0</v>
      </c>
    </row>
    <row r="1569" spans="6:6">
      <c r="F1569" s="532">
        <v>0</v>
      </c>
    </row>
    <row r="1570" spans="6:6">
      <c r="F1570" s="532">
        <v>0</v>
      </c>
    </row>
    <row r="1571" spans="6:6">
      <c r="F1571" s="532">
        <v>0</v>
      </c>
    </row>
    <row r="1572" spans="6:6">
      <c r="F1572" s="532">
        <v>0</v>
      </c>
    </row>
    <row r="1573" spans="6:6">
      <c r="F1573" s="532">
        <v>0</v>
      </c>
    </row>
    <row r="1574" spans="6:6">
      <c r="F1574" s="532">
        <v>0</v>
      </c>
    </row>
    <row r="1575" spans="6:6">
      <c r="F1575" s="532">
        <v>0</v>
      </c>
    </row>
    <row r="1576" spans="6:6">
      <c r="F1576" s="532">
        <v>0</v>
      </c>
    </row>
    <row r="1577" spans="6:6">
      <c r="F1577" s="532">
        <v>0</v>
      </c>
    </row>
    <row r="1578" spans="6:6">
      <c r="F1578" s="532">
        <v>0</v>
      </c>
    </row>
    <row r="1579" spans="6:6">
      <c r="F1579" s="532">
        <v>0</v>
      </c>
    </row>
    <row r="1580" spans="6:6">
      <c r="F1580" s="532">
        <v>0</v>
      </c>
    </row>
    <row r="1581" spans="6:6">
      <c r="F1581" s="532">
        <v>0</v>
      </c>
    </row>
    <row r="1582" spans="6:6">
      <c r="F1582" s="532">
        <v>0</v>
      </c>
    </row>
    <row r="1583" spans="6:6">
      <c r="F1583" s="532">
        <v>0</v>
      </c>
    </row>
    <row r="1584" spans="6:6">
      <c r="F1584" s="532">
        <v>0</v>
      </c>
    </row>
    <row r="1585" spans="6:6">
      <c r="F1585" s="532">
        <v>0</v>
      </c>
    </row>
    <row r="1586" spans="6:6">
      <c r="F1586" s="532">
        <v>0</v>
      </c>
    </row>
    <row r="1587" spans="6:6">
      <c r="F1587" s="532">
        <v>0</v>
      </c>
    </row>
    <row r="1588" spans="6:6">
      <c r="F1588" s="532">
        <v>0</v>
      </c>
    </row>
    <row r="1589" spans="6:6">
      <c r="F1589" s="532">
        <v>0</v>
      </c>
    </row>
    <row r="1590" spans="6:6">
      <c r="F1590" s="532">
        <v>0</v>
      </c>
    </row>
    <row r="1591" spans="6:6">
      <c r="F1591" s="532">
        <v>0</v>
      </c>
    </row>
    <row r="1592" spans="6:6">
      <c r="F1592" s="532">
        <v>0</v>
      </c>
    </row>
    <row r="1593" spans="6:6">
      <c r="F1593" s="532">
        <v>0</v>
      </c>
    </row>
    <row r="1594" spans="6:6">
      <c r="F1594" s="532">
        <v>0</v>
      </c>
    </row>
    <row r="1595" spans="6:6">
      <c r="F1595" s="532">
        <v>0</v>
      </c>
    </row>
    <row r="1596" spans="6:6">
      <c r="F1596" s="532">
        <v>0</v>
      </c>
    </row>
    <row r="1597" spans="6:6">
      <c r="F1597" s="532">
        <v>0</v>
      </c>
    </row>
    <row r="1598" spans="6:6">
      <c r="F1598" s="532">
        <v>0</v>
      </c>
    </row>
    <row r="1599" spans="6:6">
      <c r="F1599" s="532">
        <v>0</v>
      </c>
    </row>
    <row r="1600" spans="6:6">
      <c r="F1600" s="532">
        <v>0</v>
      </c>
    </row>
    <row r="1601" spans="6:6">
      <c r="F1601" s="532">
        <v>0</v>
      </c>
    </row>
    <row r="1602" spans="6:6">
      <c r="F1602" s="532">
        <v>0</v>
      </c>
    </row>
    <row r="1603" spans="6:6">
      <c r="F1603" s="532">
        <v>0</v>
      </c>
    </row>
    <row r="1604" spans="6:6">
      <c r="F1604" s="532">
        <v>0</v>
      </c>
    </row>
    <row r="1605" spans="6:6">
      <c r="F1605" s="532">
        <v>0</v>
      </c>
    </row>
    <row r="1606" spans="6:6">
      <c r="F1606" s="532">
        <v>0</v>
      </c>
    </row>
    <row r="1607" spans="6:6">
      <c r="F1607" s="532">
        <v>0</v>
      </c>
    </row>
    <row r="1608" spans="6:6">
      <c r="F1608" s="532">
        <v>0</v>
      </c>
    </row>
    <row r="1609" spans="6:6">
      <c r="F1609" s="532">
        <v>0</v>
      </c>
    </row>
    <row r="1610" spans="6:6">
      <c r="F1610" s="532">
        <v>0</v>
      </c>
    </row>
    <row r="1611" spans="6:6">
      <c r="F1611" s="532">
        <v>0</v>
      </c>
    </row>
    <row r="1612" spans="6:6">
      <c r="F1612" s="532">
        <v>0</v>
      </c>
    </row>
    <row r="1613" spans="6:6">
      <c r="F1613" s="532">
        <v>0</v>
      </c>
    </row>
    <row r="1614" spans="6:6">
      <c r="F1614" s="532">
        <v>0</v>
      </c>
    </row>
    <row r="1615" spans="6:6">
      <c r="F1615" s="532">
        <v>0</v>
      </c>
    </row>
    <row r="1616" spans="6:6">
      <c r="F1616" s="532">
        <v>0</v>
      </c>
    </row>
    <row r="1617" spans="6:6">
      <c r="F1617" s="532">
        <v>0</v>
      </c>
    </row>
    <row r="1618" spans="6:6">
      <c r="F1618" s="532">
        <v>0</v>
      </c>
    </row>
    <row r="1619" spans="6:6">
      <c r="F1619" s="532">
        <v>0</v>
      </c>
    </row>
    <row r="1620" spans="6:6">
      <c r="F1620" s="532">
        <v>0</v>
      </c>
    </row>
    <row r="1621" spans="6:6">
      <c r="F1621" s="532">
        <v>0</v>
      </c>
    </row>
    <row r="1622" spans="6:6">
      <c r="F1622" s="532">
        <v>0</v>
      </c>
    </row>
    <row r="1623" spans="6:6">
      <c r="F1623" s="532">
        <v>0</v>
      </c>
    </row>
    <row r="1624" spans="6:6">
      <c r="F1624" s="532">
        <v>0</v>
      </c>
    </row>
    <row r="1625" spans="6:6">
      <c r="F1625" s="532">
        <v>0</v>
      </c>
    </row>
    <row r="1626" spans="6:6">
      <c r="F1626" s="532">
        <v>0</v>
      </c>
    </row>
    <row r="1627" spans="6:6">
      <c r="F1627" s="532">
        <v>0</v>
      </c>
    </row>
    <row r="1628" spans="6:6">
      <c r="F1628" s="532">
        <v>0</v>
      </c>
    </row>
    <row r="1629" spans="6:6">
      <c r="F1629" s="532">
        <v>0</v>
      </c>
    </row>
    <row r="1630" spans="6:6">
      <c r="F1630" s="532">
        <v>0</v>
      </c>
    </row>
    <row r="1631" spans="6:6">
      <c r="F1631" s="532">
        <v>0</v>
      </c>
    </row>
    <row r="1632" spans="6:6">
      <c r="F1632" s="532">
        <v>0</v>
      </c>
    </row>
    <row r="1633" spans="6:6">
      <c r="F1633" s="532">
        <v>0</v>
      </c>
    </row>
    <row r="1634" spans="6:6">
      <c r="F1634" s="532">
        <v>0</v>
      </c>
    </row>
    <row r="1635" spans="6:6">
      <c r="F1635" s="532">
        <v>0</v>
      </c>
    </row>
    <row r="1636" spans="6:6">
      <c r="F1636" s="532">
        <v>0</v>
      </c>
    </row>
    <row r="1637" spans="6:6">
      <c r="F1637" s="532">
        <v>0</v>
      </c>
    </row>
    <row r="1638" spans="6:6">
      <c r="F1638" s="532">
        <v>0</v>
      </c>
    </row>
    <row r="1639" spans="6:6">
      <c r="F1639" s="532">
        <v>0</v>
      </c>
    </row>
    <row r="1640" spans="6:6">
      <c r="F1640" s="532">
        <v>0</v>
      </c>
    </row>
    <row r="1641" spans="6:6">
      <c r="F1641" s="532">
        <v>0</v>
      </c>
    </row>
    <row r="1642" spans="6:6">
      <c r="F1642" s="532">
        <v>0</v>
      </c>
    </row>
    <row r="1643" spans="6:6">
      <c r="F1643" s="532">
        <v>0</v>
      </c>
    </row>
    <row r="1644" spans="6:6">
      <c r="F1644" s="532">
        <v>0</v>
      </c>
    </row>
    <row r="1645" spans="6:6">
      <c r="F1645" s="532">
        <v>0</v>
      </c>
    </row>
    <row r="1646" spans="6:6">
      <c r="F1646" s="532">
        <v>0</v>
      </c>
    </row>
    <row r="1647" spans="6:6">
      <c r="F1647" s="532">
        <v>0</v>
      </c>
    </row>
    <row r="1648" spans="6:6">
      <c r="F1648" s="532">
        <v>0</v>
      </c>
    </row>
    <row r="1649" spans="6:6">
      <c r="F1649" s="532">
        <v>0</v>
      </c>
    </row>
    <row r="1650" spans="6:6">
      <c r="F1650" s="532">
        <v>0</v>
      </c>
    </row>
    <row r="1651" spans="6:6">
      <c r="F1651" s="532">
        <v>0</v>
      </c>
    </row>
    <row r="1652" spans="6:6">
      <c r="F1652" s="532">
        <v>0</v>
      </c>
    </row>
    <row r="1653" spans="6:6">
      <c r="F1653" s="532">
        <v>0</v>
      </c>
    </row>
    <row r="1654" spans="6:6">
      <c r="F1654" s="532">
        <v>0</v>
      </c>
    </row>
    <row r="1655" spans="6:6">
      <c r="F1655" s="532">
        <v>0</v>
      </c>
    </row>
    <row r="1656" spans="6:6">
      <c r="F1656" s="532">
        <v>0</v>
      </c>
    </row>
    <row r="1657" spans="6:6">
      <c r="F1657" s="532">
        <v>0</v>
      </c>
    </row>
    <row r="1658" spans="6:6">
      <c r="F1658" s="532">
        <v>0</v>
      </c>
    </row>
    <row r="1659" spans="6:6">
      <c r="F1659" s="532">
        <v>0</v>
      </c>
    </row>
    <row r="1660" spans="6:6">
      <c r="F1660" s="532">
        <v>0</v>
      </c>
    </row>
    <row r="1661" spans="6:6">
      <c r="F1661" s="532">
        <v>0</v>
      </c>
    </row>
    <row r="1662" spans="6:6">
      <c r="F1662" s="532">
        <v>0</v>
      </c>
    </row>
    <row r="1663" spans="6:6">
      <c r="F1663" s="532">
        <v>0</v>
      </c>
    </row>
    <row r="1664" spans="6:6">
      <c r="F1664" s="532">
        <v>0</v>
      </c>
    </row>
    <row r="1665" spans="6:6">
      <c r="F1665" s="532">
        <v>0</v>
      </c>
    </row>
    <row r="1666" spans="6:6">
      <c r="F1666" s="532">
        <v>0</v>
      </c>
    </row>
    <row r="1667" spans="6:6">
      <c r="F1667" s="532">
        <v>0</v>
      </c>
    </row>
    <row r="1668" spans="6:6">
      <c r="F1668" s="532">
        <v>0</v>
      </c>
    </row>
    <row r="1669" spans="6:6">
      <c r="F1669" s="532">
        <v>0</v>
      </c>
    </row>
    <row r="1670" spans="6:6">
      <c r="F1670" s="532">
        <v>0</v>
      </c>
    </row>
    <row r="1671" spans="6:6">
      <c r="F1671" s="532">
        <v>0</v>
      </c>
    </row>
    <row r="1672" spans="6:6">
      <c r="F1672" s="532">
        <v>0</v>
      </c>
    </row>
    <row r="1673" spans="6:6">
      <c r="F1673" s="532">
        <v>0</v>
      </c>
    </row>
    <row r="1674" spans="6:6">
      <c r="F1674" s="532">
        <v>0</v>
      </c>
    </row>
    <row r="1675" spans="6:6">
      <c r="F1675" s="532">
        <v>0</v>
      </c>
    </row>
    <row r="1676" spans="6:6">
      <c r="F1676" s="532">
        <v>0</v>
      </c>
    </row>
    <row r="1677" spans="6:6">
      <c r="F1677" s="532">
        <v>0</v>
      </c>
    </row>
    <row r="1678" spans="6:6">
      <c r="F1678" s="532">
        <v>0</v>
      </c>
    </row>
    <row r="1679" spans="6:6">
      <c r="F1679" s="532">
        <v>0</v>
      </c>
    </row>
    <row r="1680" spans="6:6">
      <c r="F1680" s="532">
        <v>0</v>
      </c>
    </row>
    <row r="1681" spans="6:6">
      <c r="F1681" s="532">
        <v>0</v>
      </c>
    </row>
    <row r="1682" spans="6:6">
      <c r="F1682" s="532">
        <v>0</v>
      </c>
    </row>
    <row r="1683" spans="6:6">
      <c r="F1683" s="532">
        <v>0</v>
      </c>
    </row>
    <row r="1684" spans="6:6">
      <c r="F1684" s="532">
        <v>0</v>
      </c>
    </row>
    <row r="1685" spans="6:6">
      <c r="F1685" s="532">
        <v>0</v>
      </c>
    </row>
    <row r="1686" spans="6:6">
      <c r="F1686" s="532">
        <v>0</v>
      </c>
    </row>
    <row r="1687" spans="6:6">
      <c r="F1687" s="532">
        <v>0</v>
      </c>
    </row>
    <row r="1688" spans="6:6">
      <c r="F1688" s="532">
        <v>0</v>
      </c>
    </row>
    <row r="1689" spans="6:6">
      <c r="F1689" s="532">
        <v>0</v>
      </c>
    </row>
    <row r="1690" spans="6:6">
      <c r="F1690" s="532">
        <v>0</v>
      </c>
    </row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70" zoomScale="55" zoomScaleNormal="60" zoomScaleSheetLayoutView="55" zoomScalePageLayoutView="20" workbookViewId="0">
      <selection activeCell="A33" sqref="A33:J33"/>
    </sheetView>
  </sheetViews>
  <sheetFormatPr defaultColWidth="22.33203125" defaultRowHeight="29.25"/>
  <cols>
    <col min="1" max="1" width="59.6640625" style="449" bestFit="1" customWidth="1"/>
    <col min="2" max="2" width="30.777343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1250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182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354</v>
      </c>
      <c r="B2" s="1028">
        <v>44337</v>
      </c>
      <c r="C2" s="1394" t="s">
        <v>111</v>
      </c>
      <c r="D2" s="606">
        <v>0.24</v>
      </c>
      <c r="E2" s="456"/>
      <c r="F2" s="456"/>
      <c r="G2" s="1221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28</v>
      </c>
      <c r="E3" s="1474" t="s">
        <v>187</v>
      </c>
      <c r="F3" s="1475"/>
      <c r="G3" s="1222">
        <f>'1'!G3</f>
        <v>0</v>
      </c>
      <c r="H3" s="458">
        <f>'1'!H3</f>
        <v>0</v>
      </c>
      <c r="I3" s="458">
        <f>'1'!I3</f>
        <v>0</v>
      </c>
      <c r="J3" s="610">
        <f>'1'!J3</f>
        <v>0</v>
      </c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0.84</v>
      </c>
      <c r="E4" s="459"/>
      <c r="F4" s="459"/>
      <c r="G4" s="1222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122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1224"/>
      <c r="H6" s="467"/>
      <c r="I6" s="467"/>
      <c r="J6" s="546"/>
      <c r="K6" s="423"/>
      <c r="L6" s="374"/>
    </row>
    <row r="7" spans="1:15" ht="30" thickBot="1">
      <c r="A7" s="573" t="s">
        <v>197</v>
      </c>
      <c r="B7" s="574"/>
      <c r="C7" s="574"/>
      <c r="D7" s="518" t="s">
        <v>198</v>
      </c>
      <c r="E7" s="450">
        <f>'20'!F7</f>
        <v>691941</v>
      </c>
      <c r="F7" s="450">
        <f>E7+17000</f>
        <v>708941</v>
      </c>
      <c r="G7" s="1225">
        <f>F7-E7</f>
        <v>17000</v>
      </c>
      <c r="H7" s="455">
        <f>G7+'20'!H7</f>
        <v>364529</v>
      </c>
      <c r="I7" s="469">
        <f>'1'!I7</f>
        <v>12000</v>
      </c>
      <c r="J7" s="547">
        <f>H7/DAY(B2)</f>
        <v>17358.523809523809</v>
      </c>
      <c r="K7" s="544">
        <v>12199</v>
      </c>
      <c r="L7" s="374">
        <f>G7-K7</f>
        <v>4801</v>
      </c>
      <c r="N7" s="379"/>
      <c r="O7" s="379"/>
    </row>
    <row r="8" spans="1:15" ht="27.75" thickBot="1">
      <c r="A8" s="575" t="s">
        <v>199</v>
      </c>
      <c r="B8" s="576"/>
      <c r="C8" s="577"/>
      <c r="D8" s="612" t="s">
        <v>59</v>
      </c>
      <c r="E8" s="470">
        <f>'20'!F8</f>
        <v>696045</v>
      </c>
      <c r="F8" s="470">
        <f>E8+17150</f>
        <v>713195</v>
      </c>
      <c r="G8" s="1226">
        <f>F8-E8</f>
        <v>17150</v>
      </c>
      <c r="H8" s="455">
        <f>G8+'20'!H8</f>
        <v>366685</v>
      </c>
      <c r="I8" s="472">
        <f>'1'!I8</f>
        <v>12000</v>
      </c>
      <c r="J8" s="547">
        <f>H8/DAY(B2)</f>
        <v>17461.190476190477</v>
      </c>
      <c r="K8" s="544">
        <v>12262</v>
      </c>
      <c r="L8" s="421">
        <f>G8-K8</f>
        <v>4888</v>
      </c>
      <c r="M8" s="435"/>
      <c r="N8" s="379"/>
      <c r="O8" s="379"/>
    </row>
    <row r="9" spans="1:15">
      <c r="A9" s="578" t="s">
        <v>200</v>
      </c>
      <c r="B9" s="579"/>
      <c r="C9" s="579"/>
      <c r="D9" s="518" t="s">
        <v>198</v>
      </c>
      <c r="E9" s="473">
        <f>'20'!F9</f>
        <v>1813622</v>
      </c>
      <c r="F9" s="473">
        <f>E9+16950</f>
        <v>1830572</v>
      </c>
      <c r="G9" s="1225">
        <f t="shared" ref="G9:G12" si="0">F9-E9</f>
        <v>16950</v>
      </c>
      <c r="H9" s="455">
        <f>G9+'20'!H9</f>
        <v>356882</v>
      </c>
      <c r="I9" s="474">
        <f>I8-J8</f>
        <v>-5461.1904761904771</v>
      </c>
      <c r="J9" s="547">
        <f>H9/DAY(B2)</f>
        <v>16994.380952380954</v>
      </c>
      <c r="K9" s="424"/>
      <c r="L9" s="374"/>
      <c r="N9" s="379"/>
      <c r="O9" s="379"/>
    </row>
    <row r="10" spans="1:15">
      <c r="A10" s="573" t="s">
        <v>201</v>
      </c>
      <c r="B10" s="574"/>
      <c r="C10" s="574"/>
      <c r="D10" s="518" t="s">
        <v>198</v>
      </c>
      <c r="E10" s="473">
        <f>'20'!F10</f>
        <v>0</v>
      </c>
      <c r="F10" s="473"/>
      <c r="G10" s="1225">
        <f t="shared" si="0"/>
        <v>0</v>
      </c>
      <c r="H10" s="455">
        <f>G10+'20'!H10</f>
        <v>-2606.13</v>
      </c>
      <c r="I10" s="475"/>
      <c r="J10" s="547">
        <f>H10/DAY(B2)</f>
        <v>-124.10142857142857</v>
      </c>
      <c r="K10" s="424"/>
      <c r="L10" s="374"/>
      <c r="N10" s="379"/>
      <c r="O10" s="379"/>
    </row>
    <row r="11" spans="1:15">
      <c r="A11" s="573" t="s">
        <v>202</v>
      </c>
      <c r="B11" s="574"/>
      <c r="C11" s="574"/>
      <c r="D11" s="518" t="s">
        <v>198</v>
      </c>
      <c r="E11" s="450">
        <f>'5'!E11</f>
        <v>37000</v>
      </c>
      <c r="F11" s="450">
        <v>37000</v>
      </c>
      <c r="G11" s="1225">
        <f t="shared" si="0"/>
        <v>0</v>
      </c>
      <c r="H11" s="455">
        <f>G11+'20'!H11</f>
        <v>0</v>
      </c>
      <c r="I11" s="475"/>
      <c r="J11" s="547">
        <f>H11/DAY(B2)</f>
        <v>0</v>
      </c>
      <c r="K11" s="424"/>
      <c r="L11" s="374"/>
      <c r="N11" s="379"/>
      <c r="O11" s="379"/>
    </row>
    <row r="12" spans="1:15">
      <c r="A12" s="573" t="s">
        <v>203</v>
      </c>
      <c r="B12" s="574"/>
      <c r="C12" s="574"/>
      <c r="D12" s="518" t="s">
        <v>198</v>
      </c>
      <c r="E12" s="473">
        <f>'5'!E12</f>
        <v>40010</v>
      </c>
      <c r="F12" s="473">
        <v>40010</v>
      </c>
      <c r="G12" s="1225">
        <f t="shared" si="0"/>
        <v>0</v>
      </c>
      <c r="H12" s="455">
        <f>G12+'20'!H12</f>
        <v>0</v>
      </c>
      <c r="I12" s="475"/>
      <c r="J12" s="547">
        <f>H12/DAY(B2)</f>
        <v>0</v>
      </c>
      <c r="K12" s="424"/>
      <c r="L12" s="374"/>
      <c r="N12" s="379"/>
      <c r="O12" s="379"/>
    </row>
    <row r="13" spans="1:15">
      <c r="A13" s="580" t="s">
        <v>204</v>
      </c>
      <c r="B13" s="581"/>
      <c r="C13" s="581"/>
      <c r="D13" s="518"/>
      <c r="E13" s="450"/>
      <c r="F13" s="450"/>
      <c r="G13" s="1227">
        <f>G9+G10+G11+G12</f>
        <v>16950</v>
      </c>
      <c r="H13" s="455">
        <f>G13+'20'!H13</f>
        <v>337750.87</v>
      </c>
      <c r="I13" s="477">
        <f>G7-G13</f>
        <v>50</v>
      </c>
      <c r="J13" s="547">
        <f>H13/DAY(B2)</f>
        <v>16083.374761904761</v>
      </c>
      <c r="K13" s="424"/>
      <c r="L13" s="374"/>
      <c r="N13" s="379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1228"/>
      <c r="H14" s="467"/>
      <c r="I14" s="467"/>
      <c r="J14" s="546"/>
      <c r="K14" s="425"/>
      <c r="L14" s="374"/>
      <c r="N14" s="379"/>
      <c r="O14" s="379"/>
    </row>
    <row r="15" spans="1:15">
      <c r="A15" s="1392" t="s">
        <v>133</v>
      </c>
      <c r="B15" s="584"/>
      <c r="C15" s="584"/>
      <c r="D15" s="518" t="s">
        <v>206</v>
      </c>
      <c r="E15" s="479">
        <f>'20'!F15</f>
        <v>1694682</v>
      </c>
      <c r="F15" s="479">
        <f>E15+550</f>
        <v>1695232</v>
      </c>
      <c r="G15" s="1229">
        <f>(F15-E15)</f>
        <v>550</v>
      </c>
      <c r="H15" s="455">
        <f>G15+'20'!H15</f>
        <v>10708</v>
      </c>
      <c r="I15" s="469">
        <v>800</v>
      </c>
      <c r="J15" s="547">
        <f>H15/DAY(B2)</f>
        <v>509.90476190476193</v>
      </c>
      <c r="K15" s="424"/>
      <c r="L15" s="374"/>
      <c r="N15" s="379"/>
      <c r="O15" s="717"/>
    </row>
    <row r="16" spans="1:15">
      <c r="A16" s="582"/>
      <c r="B16" s="583"/>
      <c r="C16" s="583"/>
      <c r="D16" s="519"/>
      <c r="E16" s="480"/>
      <c r="F16" s="480"/>
      <c r="G16" s="1225"/>
      <c r="H16" s="481"/>
      <c r="I16" s="482">
        <f>I15-J15</f>
        <v>290.09523809523807</v>
      </c>
      <c r="J16" s="548"/>
      <c r="K16" s="424"/>
      <c r="L16" s="374"/>
      <c r="N16" s="379"/>
      <c r="O16" s="379"/>
    </row>
    <row r="17" spans="1:15">
      <c r="A17" s="1471" t="s">
        <v>207</v>
      </c>
      <c r="B17" s="1472"/>
      <c r="C17" s="1473"/>
      <c r="D17" s="467"/>
      <c r="E17" s="467"/>
      <c r="F17" s="467"/>
      <c r="G17" s="1228"/>
      <c r="H17" s="467"/>
      <c r="I17" s="467"/>
      <c r="J17" s="546"/>
      <c r="K17" s="424"/>
      <c r="L17" s="374"/>
      <c r="N17" s="379"/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79">
        <f>'20'!F18</f>
        <v>0</v>
      </c>
      <c r="F18" s="479">
        <v>4</v>
      </c>
      <c r="G18" s="1227">
        <f>F18*10</f>
        <v>40</v>
      </c>
      <c r="H18" s="455">
        <f>G18+'20'!H18</f>
        <v>960</v>
      </c>
      <c r="I18" s="469">
        <f>'1'!I18</f>
        <v>65</v>
      </c>
      <c r="J18" s="547">
        <f>H18/DAY(B2)</f>
        <v>45.714285714285715</v>
      </c>
      <c r="K18" s="424"/>
      <c r="L18" s="374"/>
      <c r="N18" s="379"/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79">
        <f>'20'!F19</f>
        <v>138966</v>
      </c>
      <c r="F19" s="479">
        <v>139022</v>
      </c>
      <c r="G19" s="1225">
        <f t="shared" ref="G19" si="1">F19-E19</f>
        <v>56</v>
      </c>
      <c r="H19" s="455">
        <f>G19+'20'!H19</f>
        <v>-590</v>
      </c>
      <c r="I19" s="484"/>
      <c r="J19" s="547">
        <f>H19/DAY(B2)</f>
        <v>-28.095238095238095</v>
      </c>
      <c r="K19" s="424"/>
      <c r="L19" s="374"/>
      <c r="N19" s="379"/>
      <c r="O19" s="379"/>
    </row>
    <row r="20" spans="1:15">
      <c r="A20" s="580" t="s">
        <v>210</v>
      </c>
      <c r="B20" s="581"/>
      <c r="C20" s="581"/>
      <c r="D20" s="485"/>
      <c r="E20" s="485"/>
      <c r="F20" s="485"/>
      <c r="G20" s="1230">
        <f>G18+G19</f>
        <v>96</v>
      </c>
      <c r="H20" s="455">
        <f>G20+'20'!H20</f>
        <v>370</v>
      </c>
      <c r="I20" s="487">
        <f>I18-J20</f>
        <v>47.38095238095238</v>
      </c>
      <c r="J20" s="547">
        <f>H20/DAY(B2)</f>
        <v>17.61904761904762</v>
      </c>
      <c r="K20" s="424"/>
      <c r="L20" s="374"/>
      <c r="N20" s="379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1228"/>
      <c r="H21" s="467"/>
      <c r="I21" s="467"/>
      <c r="J21" s="546"/>
      <c r="K21" s="424"/>
      <c r="L21" s="374"/>
      <c r="N21" s="379"/>
      <c r="O21" s="379"/>
    </row>
    <row r="22" spans="1:15">
      <c r="A22" s="1392" t="s">
        <v>212</v>
      </c>
      <c r="B22" s="584"/>
      <c r="C22" s="584"/>
      <c r="D22" s="518" t="s">
        <v>213</v>
      </c>
      <c r="E22" s="479">
        <f>'20'!F22</f>
        <v>2970</v>
      </c>
      <c r="F22" s="479">
        <v>2970</v>
      </c>
      <c r="G22" s="1227">
        <f t="shared" ref="G22" si="2">(F22-E22)</f>
        <v>0</v>
      </c>
      <c r="H22" s="455">
        <f>G22+'20'!H22</f>
        <v>0</v>
      </c>
      <c r="I22" s="475"/>
      <c r="J22" s="547">
        <f>H22/DAY(B2)</f>
        <v>0</v>
      </c>
      <c r="K22" s="424"/>
      <c r="L22" s="374"/>
      <c r="N22" s="379"/>
      <c r="O22" s="379"/>
    </row>
    <row r="23" spans="1:15">
      <c r="A23" s="1392" t="s">
        <v>214</v>
      </c>
      <c r="B23" s="584"/>
      <c r="C23" s="584"/>
      <c r="D23" s="518" t="s">
        <v>213</v>
      </c>
      <c r="E23" s="479">
        <f>'20'!F23</f>
        <v>2000</v>
      </c>
      <c r="F23" s="479">
        <v>2000</v>
      </c>
      <c r="G23" s="1227">
        <v>0</v>
      </c>
      <c r="H23" s="455">
        <f>G23+'20'!H23</f>
        <v>0</v>
      </c>
      <c r="I23" s="475"/>
      <c r="J23" s="547">
        <f>H23/DAY(B2)</f>
        <v>0</v>
      </c>
      <c r="K23" s="424"/>
      <c r="L23" s="374"/>
      <c r="N23" s="379"/>
      <c r="O23" s="379"/>
    </row>
    <row r="24" spans="1:15">
      <c r="A24" s="585" t="s">
        <v>215</v>
      </c>
      <c r="B24" s="586"/>
      <c r="C24" s="586"/>
      <c r="D24" s="506" t="s">
        <v>213</v>
      </c>
      <c r="E24" s="488">
        <f>'20'!F24</f>
        <v>4970</v>
      </c>
      <c r="F24" s="488">
        <v>4970</v>
      </c>
      <c r="G24" s="1227">
        <v>0</v>
      </c>
      <c r="H24" s="455">
        <f>G24+'20'!H24</f>
        <v>0</v>
      </c>
      <c r="I24" s="475"/>
      <c r="J24" s="547">
        <f>H24/DAY(B2)</f>
        <v>0</v>
      </c>
      <c r="K24" s="424"/>
      <c r="L24" s="374"/>
      <c r="N24" s="379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1231"/>
      <c r="H25" s="490"/>
      <c r="I25" s="491"/>
      <c r="J25" s="549"/>
      <c r="K25" s="370"/>
      <c r="L25" s="438"/>
      <c r="N25" s="439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1232"/>
      <c r="H26" s="455"/>
      <c r="I26" s="494"/>
      <c r="J26" s="547"/>
      <c r="K26" s="371"/>
      <c r="L26" s="438"/>
      <c r="N26" s="439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6">
        <f>G8</f>
        <v>17150</v>
      </c>
      <c r="F27" s="496">
        <v>9</v>
      </c>
      <c r="G27" s="1233">
        <f>E27*F27</f>
        <v>154350</v>
      </c>
      <c r="H27" s="455">
        <f>G27+'20'!H27</f>
        <v>3299328</v>
      </c>
      <c r="I27" s="498"/>
      <c r="J27" s="547">
        <f>H27/DAY(B2)</f>
        <v>157110.85714285713</v>
      </c>
      <c r="K27" s="370"/>
      <c r="L27" s="438"/>
      <c r="N27" s="439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6">
        <f>G15</f>
        <v>550</v>
      </c>
      <c r="F28" s="496">
        <v>52</v>
      </c>
      <c r="G28" s="1233">
        <f t="shared" ref="G28:G30" si="3">E28*F28</f>
        <v>28600</v>
      </c>
      <c r="H28" s="455">
        <f>G28+'20'!H28</f>
        <v>556816</v>
      </c>
      <c r="I28" s="500"/>
      <c r="J28" s="547">
        <f>H28/DAY(B2)</f>
        <v>26515.047619047618</v>
      </c>
      <c r="K28" s="370"/>
      <c r="L28" s="438"/>
      <c r="N28" s="439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496">
        <f>G24</f>
        <v>0</v>
      </c>
      <c r="F29" s="496">
        <v>69</v>
      </c>
      <c r="G29" s="1233">
        <f t="shared" si="3"/>
        <v>0</v>
      </c>
      <c r="H29" s="455">
        <f>G29+'20'!H29</f>
        <v>8280</v>
      </c>
      <c r="I29" s="500"/>
      <c r="J29" s="547">
        <f>H29/DAY(B2)</f>
        <v>394.28571428571428</v>
      </c>
      <c r="K29" s="370"/>
      <c r="L29" s="438"/>
      <c r="N29" s="439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496">
        <f>G19</f>
        <v>56</v>
      </c>
      <c r="F30" s="496">
        <v>146</v>
      </c>
      <c r="G30" s="1233">
        <f t="shared" si="3"/>
        <v>8176</v>
      </c>
      <c r="H30" s="455">
        <f>G30+'20'!H30</f>
        <v>-86140</v>
      </c>
      <c r="I30" s="500"/>
      <c r="J30" s="547">
        <f>H30/DAY(B2)</f>
        <v>-4101.9047619047615</v>
      </c>
      <c r="K30" s="370"/>
      <c r="L30" s="438"/>
      <c r="N30" s="439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496">
        <f>G18</f>
        <v>40</v>
      </c>
      <c r="F31" s="496">
        <v>80</v>
      </c>
      <c r="G31" s="1233">
        <f>E31*F31</f>
        <v>3200</v>
      </c>
      <c r="H31" s="455">
        <f>G31+'20'!H31</f>
        <v>76800</v>
      </c>
      <c r="I31" s="500"/>
      <c r="J31" s="547">
        <f>H31/DAY(B2)</f>
        <v>3657.1428571428573</v>
      </c>
      <c r="K31" s="370"/>
      <c r="L31" s="438"/>
      <c r="N31" s="439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1234">
        <f>G27+G28+G29+G30+G31</f>
        <v>194326</v>
      </c>
      <c r="H32" s="455">
        <f>G32+'20'!H32</f>
        <v>3855084</v>
      </c>
      <c r="I32" s="504"/>
      <c r="J32" s="547">
        <f>H32/DAY(B2)</f>
        <v>183575.42857142858</v>
      </c>
      <c r="K32" s="370"/>
      <c r="L32" s="438"/>
      <c r="N32" s="439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  <c r="O33" s="379"/>
    </row>
    <row r="34" spans="1:15">
      <c r="A34" s="593" t="s">
        <v>228</v>
      </c>
      <c r="B34" s="1397"/>
      <c r="C34" s="1397"/>
      <c r="D34" s="467"/>
      <c r="E34" s="466"/>
      <c r="F34" s="466"/>
      <c r="G34" s="1235"/>
      <c r="H34" s="467"/>
      <c r="I34" s="467"/>
      <c r="J34" s="546"/>
      <c r="K34" s="424"/>
      <c r="L34" s="374"/>
      <c r="N34" s="379"/>
      <c r="O34" s="379"/>
    </row>
    <row r="35" spans="1:15">
      <c r="A35" s="573" t="s">
        <v>229</v>
      </c>
      <c r="B35" s="574"/>
      <c r="C35" s="574"/>
      <c r="D35" s="518" t="s">
        <v>198</v>
      </c>
      <c r="E35" s="505">
        <f>'20'!F35</f>
        <v>925573</v>
      </c>
      <c r="F35" s="505">
        <v>927416</v>
      </c>
      <c r="G35" s="1225">
        <f t="shared" ref="G35:G46" si="4">F35-E35</f>
        <v>1843</v>
      </c>
      <c r="H35" s="455">
        <f>G35+'20'!H35</f>
        <v>-23072</v>
      </c>
      <c r="I35" s="450"/>
      <c r="J35" s="547">
        <f>H35/DAY(B2)</f>
        <v>-1098.6666666666667</v>
      </c>
      <c r="K35" s="424">
        <v>1520.2800000000279</v>
      </c>
      <c r="L35" s="374">
        <f t="shared" ref="L35:L60" si="5">G35-K35</f>
        <v>322.71999999997206</v>
      </c>
      <c r="N35" s="379"/>
      <c r="O35" s="623"/>
    </row>
    <row r="36" spans="1:15">
      <c r="A36" s="573" t="s">
        <v>230</v>
      </c>
      <c r="B36" s="574"/>
      <c r="C36" s="574"/>
      <c r="D36" s="518" t="s">
        <v>198</v>
      </c>
      <c r="E36" s="505">
        <f>'20'!F36</f>
        <v>347065</v>
      </c>
      <c r="F36" s="505">
        <v>347065</v>
      </c>
      <c r="G36" s="1225">
        <f t="shared" si="4"/>
        <v>0</v>
      </c>
      <c r="H36" s="455">
        <f>G36+'20'!H36</f>
        <v>346892</v>
      </c>
      <c r="I36" s="450"/>
      <c r="J36" s="547">
        <f>H36/DAY(B2)</f>
        <v>16518.666666666668</v>
      </c>
      <c r="K36" s="424">
        <v>485.22000000000116</v>
      </c>
      <c r="L36" s="374">
        <f t="shared" si="5"/>
        <v>-485.22000000000116</v>
      </c>
      <c r="N36" s="379"/>
      <c r="O36" s="623"/>
    </row>
    <row r="37" spans="1:15">
      <c r="A37" s="573" t="s">
        <v>231</v>
      </c>
      <c r="B37" s="574"/>
      <c r="C37" s="574"/>
      <c r="D37" s="518" t="s">
        <v>198</v>
      </c>
      <c r="E37" s="505">
        <f>'20'!F37</f>
        <v>119850</v>
      </c>
      <c r="F37" s="505">
        <v>121183</v>
      </c>
      <c r="G37" s="1225">
        <f t="shared" si="4"/>
        <v>1333</v>
      </c>
      <c r="H37" s="455">
        <f>G37+'20'!H37</f>
        <v>-13053</v>
      </c>
      <c r="I37" s="450"/>
      <c r="J37" s="547">
        <f>H37/DAY(B2)</f>
        <v>-621.57142857142856</v>
      </c>
      <c r="K37" s="424">
        <v>1194.8999999999942</v>
      </c>
      <c r="L37" s="374">
        <f t="shared" si="5"/>
        <v>138.10000000000582</v>
      </c>
      <c r="N37" s="379"/>
      <c r="O37" s="379"/>
    </row>
    <row r="38" spans="1:15">
      <c r="A38" s="573" t="s">
        <v>232</v>
      </c>
      <c r="B38" s="574"/>
      <c r="C38" s="574"/>
      <c r="D38" s="518" t="s">
        <v>198</v>
      </c>
      <c r="E38" s="464">
        <f>'20'!F38</f>
        <v>142842</v>
      </c>
      <c r="F38" s="464">
        <v>143992</v>
      </c>
      <c r="G38" s="1225">
        <f t="shared" si="4"/>
        <v>1150</v>
      </c>
      <c r="H38" s="455">
        <f>G38+'20'!H38</f>
        <v>-12413</v>
      </c>
      <c r="I38" s="450"/>
      <c r="J38" s="547">
        <f>H38/DAY(B2)</f>
        <v>-591.09523809523807</v>
      </c>
      <c r="K38" s="424">
        <v>0</v>
      </c>
      <c r="L38" s="374">
        <f t="shared" si="5"/>
        <v>1150</v>
      </c>
      <c r="N38" s="379"/>
      <c r="O38" s="379"/>
    </row>
    <row r="39" spans="1:15">
      <c r="A39" s="573" t="s">
        <v>233</v>
      </c>
      <c r="B39" s="574"/>
      <c r="C39" s="574"/>
      <c r="D39" s="518" t="s">
        <v>198</v>
      </c>
      <c r="E39" s="505">
        <f>'20'!F39</f>
        <v>283568</v>
      </c>
      <c r="F39" s="505">
        <v>285105</v>
      </c>
      <c r="G39" s="1225">
        <f t="shared" si="4"/>
        <v>1537</v>
      </c>
      <c r="H39" s="455">
        <f>G39+'20'!H39</f>
        <v>-23068</v>
      </c>
      <c r="I39" s="450"/>
      <c r="J39" s="547">
        <f>H39/DAY(B2)</f>
        <v>-1098.4761904761904</v>
      </c>
      <c r="K39" s="424">
        <v>2147.359999999986</v>
      </c>
      <c r="L39" s="374">
        <f t="shared" si="5"/>
        <v>-610.35999999998603</v>
      </c>
      <c r="N39" s="379"/>
      <c r="O39" s="379"/>
    </row>
    <row r="40" spans="1:15">
      <c r="A40" s="594" t="s">
        <v>234</v>
      </c>
      <c r="B40" s="595"/>
      <c r="C40" s="595"/>
      <c r="D40" s="518" t="s">
        <v>198</v>
      </c>
      <c r="E40" s="505">
        <f>'20'!F40</f>
        <v>587</v>
      </c>
      <c r="F40" s="505">
        <v>587</v>
      </c>
      <c r="G40" s="1225">
        <f t="shared" si="4"/>
        <v>0</v>
      </c>
      <c r="H40" s="455">
        <f>G40+'20'!H40</f>
        <v>-302</v>
      </c>
      <c r="I40" s="450"/>
      <c r="J40" s="547">
        <f>H40/DAY(B2)</f>
        <v>-14.380952380952381</v>
      </c>
      <c r="K40" s="425">
        <v>0</v>
      </c>
      <c r="L40" s="374">
        <f t="shared" si="5"/>
        <v>0</v>
      </c>
      <c r="N40" s="379"/>
      <c r="O40" s="379"/>
    </row>
    <row r="41" spans="1:15">
      <c r="A41" s="573" t="s">
        <v>235</v>
      </c>
      <c r="B41" s="574"/>
      <c r="C41" s="574"/>
      <c r="D41" s="518" t="s">
        <v>198</v>
      </c>
      <c r="E41" s="505">
        <f>'20'!F41</f>
        <v>239668</v>
      </c>
      <c r="F41" s="505">
        <v>239668</v>
      </c>
      <c r="G41" s="1225">
        <f t="shared" si="4"/>
        <v>0</v>
      </c>
      <c r="H41" s="455">
        <f>G41+'20'!H41</f>
        <v>-810</v>
      </c>
      <c r="I41" s="450"/>
      <c r="J41" s="547">
        <f>H41/DAY(B2)</f>
        <v>-38.571428571428569</v>
      </c>
      <c r="K41" s="424">
        <v>0</v>
      </c>
      <c r="L41" s="374">
        <f t="shared" si="5"/>
        <v>0</v>
      </c>
      <c r="N41" s="379"/>
      <c r="O41" s="717"/>
    </row>
    <row r="42" spans="1:15">
      <c r="A42" s="573" t="s">
        <v>236</v>
      </c>
      <c r="B42" s="574"/>
      <c r="C42" s="574"/>
      <c r="D42" s="518" t="s">
        <v>198</v>
      </c>
      <c r="E42" s="505">
        <f>'20'!F42</f>
        <v>59200</v>
      </c>
      <c r="F42" s="505">
        <v>59200</v>
      </c>
      <c r="G42" s="1225">
        <f t="shared" si="4"/>
        <v>0</v>
      </c>
      <c r="H42" s="455">
        <f>G42+'20'!H42</f>
        <v>1.0299999999988358</v>
      </c>
      <c r="I42" s="450"/>
      <c r="J42" s="547">
        <f>H42/DAY(B2)</f>
        <v>4.9047619047563613E-2</v>
      </c>
      <c r="K42" s="424">
        <v>3228.5699999999997</v>
      </c>
      <c r="L42" s="374">
        <f t="shared" si="5"/>
        <v>-3228.5699999999997</v>
      </c>
      <c r="N42" s="379"/>
      <c r="O42" s="379"/>
    </row>
    <row r="43" spans="1:15">
      <c r="A43" s="573" t="s">
        <v>237</v>
      </c>
      <c r="B43" s="574"/>
      <c r="C43" s="574"/>
      <c r="D43" s="518" t="s">
        <v>198</v>
      </c>
      <c r="E43" s="505">
        <f>'20'!F43</f>
        <v>1017117</v>
      </c>
      <c r="F43" s="505">
        <v>1019250</v>
      </c>
      <c r="G43" s="1225">
        <f t="shared" si="4"/>
        <v>2133</v>
      </c>
      <c r="H43" s="455">
        <f>G43+'20'!H43</f>
        <v>-22994</v>
      </c>
      <c r="I43" s="450"/>
      <c r="J43" s="547">
        <f>H43/DAY(B2)</f>
        <v>-1094.952380952381</v>
      </c>
      <c r="K43" s="424">
        <v>1595.679999999993</v>
      </c>
      <c r="L43" s="374">
        <f t="shared" si="5"/>
        <v>537.32000000000698</v>
      </c>
      <c r="N43" s="379"/>
      <c r="O43" s="379"/>
    </row>
    <row r="44" spans="1:15">
      <c r="A44" s="573" t="s">
        <v>238</v>
      </c>
      <c r="B44" s="574"/>
      <c r="C44" s="574"/>
      <c r="D44" s="518" t="s">
        <v>198</v>
      </c>
      <c r="E44" s="505">
        <f>'20'!F44</f>
        <v>0</v>
      </c>
      <c r="F44" s="505">
        <v>0</v>
      </c>
      <c r="G44" s="1225">
        <f t="shared" si="4"/>
        <v>0</v>
      </c>
      <c r="H44" s="455">
        <f>G44+'20'!H44</f>
        <v>0</v>
      </c>
      <c r="I44" s="450"/>
      <c r="J44" s="547">
        <f>H44/DAY(B2)</f>
        <v>0</v>
      </c>
      <c r="K44" s="424">
        <v>0</v>
      </c>
      <c r="L44" s="374">
        <f t="shared" si="5"/>
        <v>0</v>
      </c>
      <c r="N44" s="379"/>
      <c r="O44" s="379"/>
    </row>
    <row r="45" spans="1:15">
      <c r="A45" s="573" t="s">
        <v>239</v>
      </c>
      <c r="B45" s="574"/>
      <c r="C45" s="574"/>
      <c r="D45" s="518" t="s">
        <v>198</v>
      </c>
      <c r="E45" s="505">
        <f>'20'!F45</f>
        <v>0</v>
      </c>
      <c r="F45" s="505">
        <v>0</v>
      </c>
      <c r="G45" s="1225">
        <f t="shared" si="4"/>
        <v>0</v>
      </c>
      <c r="H45" s="455">
        <f>G45+'20'!H45</f>
        <v>0</v>
      </c>
      <c r="I45" s="450"/>
      <c r="J45" s="547">
        <f>H45/DAY(B2)</f>
        <v>0</v>
      </c>
      <c r="K45" s="424">
        <v>0</v>
      </c>
      <c r="L45" s="374">
        <f t="shared" si="5"/>
        <v>0</v>
      </c>
      <c r="N45" s="379"/>
      <c r="O45" s="379"/>
    </row>
    <row r="46" spans="1:15">
      <c r="A46" s="573" t="s">
        <v>240</v>
      </c>
      <c r="B46" s="574"/>
      <c r="C46" s="574"/>
      <c r="D46" s="518" t="s">
        <v>198</v>
      </c>
      <c r="E46" s="505">
        <f>'20'!F46</f>
        <v>0</v>
      </c>
      <c r="F46" s="505">
        <v>0</v>
      </c>
      <c r="G46" s="1225">
        <f t="shared" si="4"/>
        <v>0</v>
      </c>
      <c r="H46" s="455">
        <f>G46+'20'!H46</f>
        <v>-5.0000000000011369E-2</v>
      </c>
      <c r="I46" s="450"/>
      <c r="J46" s="547">
        <f>H46/DAY(B2)</f>
        <v>-2.3809523809529224E-3</v>
      </c>
      <c r="K46" s="424">
        <v>5.0000000000011369E-2</v>
      </c>
      <c r="L46" s="374">
        <f t="shared" si="5"/>
        <v>-5.0000000000011369E-2</v>
      </c>
      <c r="N46" s="379"/>
      <c r="O46" s="379"/>
    </row>
    <row r="47" spans="1:15">
      <c r="A47" s="580" t="s">
        <v>241</v>
      </c>
      <c r="B47" s="581"/>
      <c r="C47" s="581"/>
      <c r="D47" s="465"/>
      <c r="E47" s="506"/>
      <c r="F47" s="506"/>
      <c r="G47" s="1227">
        <f>G35+G36+G37+G38+G39+G40+G41+G42+G43+G44+G45+G46</f>
        <v>7996</v>
      </c>
      <c r="H47" s="455">
        <f>G47+'20'!H47</f>
        <v>251181.47000000003</v>
      </c>
      <c r="I47" s="450"/>
      <c r="J47" s="547">
        <f>H47/DAY(B2)</f>
        <v>11961.022380952383</v>
      </c>
      <c r="K47" s="424">
        <v>10172.060000000001</v>
      </c>
      <c r="L47" s="374">
        <f t="shared" si="5"/>
        <v>-2176.0600000000013</v>
      </c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1235"/>
      <c r="H48" s="467"/>
      <c r="I48" s="467"/>
      <c r="J48" s="546"/>
      <c r="K48" s="424"/>
      <c r="L48" s="374">
        <f t="shared" si="5"/>
        <v>0</v>
      </c>
      <c r="N48" s="379"/>
      <c r="O48" s="379"/>
    </row>
    <row r="49" spans="1:15">
      <c r="A49" s="573" t="s">
        <v>229</v>
      </c>
      <c r="B49" s="596"/>
      <c r="C49" s="596"/>
      <c r="D49" s="518" t="s">
        <v>198</v>
      </c>
      <c r="E49" s="505">
        <f>'20'!F49</f>
        <v>260732</v>
      </c>
      <c r="F49" s="505">
        <v>260732.13</v>
      </c>
      <c r="G49" s="1225">
        <f t="shared" ref="G49:G58" si="6">F49-E49</f>
        <v>0.13000000000465661</v>
      </c>
      <c r="H49" s="455">
        <f>G49+'20'!H49</f>
        <v>0.13000000000465661</v>
      </c>
      <c r="I49" s="450"/>
      <c r="J49" s="547">
        <f>H49/DAY(B2)</f>
        <v>6.1904761906979343E-3</v>
      </c>
      <c r="K49" s="424">
        <v>0</v>
      </c>
      <c r="L49" s="374">
        <f t="shared" si="5"/>
        <v>0.13000000000465661</v>
      </c>
      <c r="N49" s="379"/>
      <c r="O49" s="379"/>
    </row>
    <row r="50" spans="1:15">
      <c r="A50" s="573" t="s">
        <v>243</v>
      </c>
      <c r="B50" s="596"/>
      <c r="C50" s="596"/>
      <c r="D50" s="518" t="s">
        <v>198</v>
      </c>
      <c r="E50" s="505">
        <f>'20'!F50</f>
        <v>492472</v>
      </c>
      <c r="F50" s="505">
        <v>493272</v>
      </c>
      <c r="G50" s="1225">
        <f>F50-E50</f>
        <v>800</v>
      </c>
      <c r="H50" s="455">
        <f>G50+'20'!H50</f>
        <v>-10154</v>
      </c>
      <c r="I50" s="450"/>
      <c r="J50" s="547">
        <f>H50/DAY(B2)</f>
        <v>-483.52380952380952</v>
      </c>
      <c r="K50" s="424">
        <v>700.86999999999534</v>
      </c>
      <c r="L50" s="374">
        <f t="shared" si="5"/>
        <v>99.130000000004657</v>
      </c>
      <c r="N50" s="379"/>
      <c r="O50" s="379"/>
    </row>
    <row r="51" spans="1:15">
      <c r="A51" s="573" t="s">
        <v>231</v>
      </c>
      <c r="B51" s="596"/>
      <c r="C51" s="596"/>
      <c r="D51" s="518" t="s">
        <v>198</v>
      </c>
      <c r="E51" s="505">
        <f>'20'!F51</f>
        <v>144640</v>
      </c>
      <c r="F51" s="505">
        <v>144640</v>
      </c>
      <c r="G51" s="1225">
        <f t="shared" si="6"/>
        <v>0</v>
      </c>
      <c r="H51" s="455">
        <f>G51+'20'!H51</f>
        <v>0</v>
      </c>
      <c r="I51" s="450"/>
      <c r="J51" s="547">
        <f>H51/DAY(B2)</f>
        <v>0</v>
      </c>
      <c r="K51" s="424">
        <v>0</v>
      </c>
      <c r="L51" s="374">
        <f t="shared" si="5"/>
        <v>0</v>
      </c>
      <c r="N51" s="379"/>
      <c r="O51" s="379"/>
    </row>
    <row r="52" spans="1:15">
      <c r="A52" s="573" t="s">
        <v>244</v>
      </c>
      <c r="B52" s="596"/>
      <c r="C52" s="596"/>
      <c r="D52" s="518" t="s">
        <v>198</v>
      </c>
      <c r="E52" s="505">
        <f>'20'!F52</f>
        <v>539606</v>
      </c>
      <c r="F52" s="505">
        <v>539606.06999999995</v>
      </c>
      <c r="G52" s="1225">
        <f t="shared" si="6"/>
        <v>6.9999999948777258E-2</v>
      </c>
      <c r="H52" s="455">
        <f>G52+'20'!H52</f>
        <v>0</v>
      </c>
      <c r="I52" s="450"/>
      <c r="J52" s="547">
        <f>H52/DAY(B2)</f>
        <v>0</v>
      </c>
      <c r="K52" s="424">
        <v>985.97999999998137</v>
      </c>
      <c r="L52" s="374">
        <f t="shared" si="5"/>
        <v>-985.9100000000326</v>
      </c>
      <c r="N52" s="379"/>
      <c r="O52" s="717"/>
    </row>
    <row r="53" spans="1:15">
      <c r="A53" s="573" t="s">
        <v>233</v>
      </c>
      <c r="B53" s="596"/>
      <c r="C53" s="596"/>
      <c r="D53" s="518" t="s">
        <v>198</v>
      </c>
      <c r="E53" s="505">
        <f>'20'!F53</f>
        <v>426566</v>
      </c>
      <c r="F53" s="505">
        <v>427132</v>
      </c>
      <c r="G53" s="1225">
        <f t="shared" si="6"/>
        <v>566</v>
      </c>
      <c r="H53" s="455">
        <f>G53+'20'!H53</f>
        <v>-5412.3300000000163</v>
      </c>
      <c r="I53" s="450"/>
      <c r="J53" s="547">
        <f>H53/DAY(B2)</f>
        <v>-257.73000000000076</v>
      </c>
      <c r="K53" s="424">
        <v>107.60000000000036</v>
      </c>
      <c r="L53" s="374">
        <f t="shared" si="5"/>
        <v>458.39999999999964</v>
      </c>
      <c r="N53" s="379"/>
      <c r="O53" s="379"/>
    </row>
    <row r="54" spans="1:15">
      <c r="A54" s="573" t="s">
        <v>245</v>
      </c>
      <c r="B54" s="596"/>
      <c r="C54" s="596"/>
      <c r="D54" s="518" t="s">
        <v>198</v>
      </c>
      <c r="E54" s="505">
        <f>'20'!F54</f>
        <v>12865</v>
      </c>
      <c r="F54" s="505">
        <v>12947</v>
      </c>
      <c r="G54" s="1225">
        <f t="shared" si="6"/>
        <v>82</v>
      </c>
      <c r="H54" s="455">
        <f>G54+'20'!H54</f>
        <v>-882</v>
      </c>
      <c r="I54" s="450"/>
      <c r="J54" s="547">
        <f>H54/DAY(B2)</f>
        <v>-42</v>
      </c>
      <c r="K54" s="424">
        <v>0</v>
      </c>
      <c r="L54" s="374">
        <f t="shared" si="5"/>
        <v>82</v>
      </c>
      <c r="N54" s="379"/>
      <c r="O54" s="379"/>
    </row>
    <row r="55" spans="1:15">
      <c r="A55" s="573" t="s">
        <v>246</v>
      </c>
      <c r="B55" s="596"/>
      <c r="C55" s="596"/>
      <c r="D55" s="518" t="s">
        <v>198</v>
      </c>
      <c r="E55" s="505">
        <f>'20'!F55</f>
        <v>38262</v>
      </c>
      <c r="F55" s="505">
        <v>43396</v>
      </c>
      <c r="G55" s="1225">
        <f t="shared" si="6"/>
        <v>5134</v>
      </c>
      <c r="H55" s="455">
        <f>G55+'20'!H55</f>
        <v>-24715</v>
      </c>
      <c r="I55" s="450"/>
      <c r="J55" s="547">
        <f>H55/DAY(B2)</f>
        <v>-1176.9047619047619</v>
      </c>
      <c r="K55" s="424">
        <v>0</v>
      </c>
      <c r="L55" s="374">
        <f t="shared" si="5"/>
        <v>5134</v>
      </c>
      <c r="N55" s="379"/>
      <c r="O55" s="379"/>
    </row>
    <row r="56" spans="1:15" s="436" customFormat="1">
      <c r="A56" s="1099" t="s">
        <v>247</v>
      </c>
      <c r="B56" s="1100"/>
      <c r="C56" s="1100"/>
      <c r="D56" s="622" t="s">
        <v>248</v>
      </c>
      <c r="E56" s="649">
        <f>'20'!F56</f>
        <v>589494</v>
      </c>
      <c r="F56" s="649">
        <v>589504</v>
      </c>
      <c r="G56" s="1246">
        <f t="shared" si="6"/>
        <v>10</v>
      </c>
      <c r="H56" s="701">
        <f>G56+'20'!H56</f>
        <v>-27694</v>
      </c>
      <c r="I56" s="702"/>
      <c r="J56" s="703">
        <f>H56/DAY(B2)</f>
        <v>-1318.7619047619048</v>
      </c>
      <c r="K56" s="1251">
        <v>0</v>
      </c>
      <c r="L56" s="1102">
        <f t="shared" si="5"/>
        <v>10</v>
      </c>
      <c r="N56" s="709"/>
      <c r="O56" s="709"/>
    </row>
    <row r="57" spans="1:15">
      <c r="A57" s="573" t="s">
        <v>237</v>
      </c>
      <c r="B57" s="596"/>
      <c r="C57" s="596"/>
      <c r="D57" s="518" t="s">
        <v>198</v>
      </c>
      <c r="E57" s="505">
        <f>'20'!F57</f>
        <v>7711</v>
      </c>
      <c r="F57" s="505">
        <v>7711</v>
      </c>
      <c r="G57" s="1225">
        <f t="shared" si="6"/>
        <v>0</v>
      </c>
      <c r="H57" s="455">
        <f>G57+'20'!H57</f>
        <v>0</v>
      </c>
      <c r="I57" s="450"/>
      <c r="J57" s="547">
        <f>H57/DAY(B2)</f>
        <v>0</v>
      </c>
      <c r="K57" s="424">
        <v>0</v>
      </c>
      <c r="L57" s="374">
        <f t="shared" si="5"/>
        <v>0</v>
      </c>
      <c r="N57" s="379"/>
      <c r="O57" s="379"/>
    </row>
    <row r="58" spans="1:15">
      <c r="A58" s="573" t="s">
        <v>249</v>
      </c>
      <c r="B58" s="596"/>
      <c r="C58" s="596"/>
      <c r="D58" s="518" t="s">
        <v>198</v>
      </c>
      <c r="E58" s="505">
        <f>'20'!F58</f>
        <v>48183</v>
      </c>
      <c r="F58" s="505">
        <v>48316</v>
      </c>
      <c r="G58" s="1225">
        <f t="shared" si="6"/>
        <v>133</v>
      </c>
      <c r="H58" s="455">
        <f>G58+'20'!H58</f>
        <v>-1548.2099999999991</v>
      </c>
      <c r="I58" s="450"/>
      <c r="J58" s="547">
        <f>H58/DAY(B2)</f>
        <v>-73.724285714285671</v>
      </c>
      <c r="K58" s="424">
        <v>0</v>
      </c>
      <c r="L58" s="374">
        <f t="shared" si="5"/>
        <v>133</v>
      </c>
      <c r="N58" s="379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1227">
        <f>G49+G50+G51+G52+G53+G54+G55+G56+G57+G58</f>
        <v>6725.1999999999534</v>
      </c>
      <c r="H59" s="455">
        <f>G59+'20'!H59</f>
        <v>-70405.340000000055</v>
      </c>
      <c r="I59" s="450">
        <f>G7-G60</f>
        <v>2278.8000000000466</v>
      </c>
      <c r="J59" s="547">
        <f>H59/DAY(B2)</f>
        <v>-3352.6352380952408</v>
      </c>
      <c r="K59" s="424">
        <v>1794.4499999999771</v>
      </c>
      <c r="L59" s="374">
        <f t="shared" si="5"/>
        <v>4930.7499999999764</v>
      </c>
      <c r="N59" s="379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1227">
        <f>G47+G59</f>
        <v>14721.199999999953</v>
      </c>
      <c r="H60" s="455">
        <f>G60+'20'!H60</f>
        <v>181984.66999999995</v>
      </c>
      <c r="I60" s="450">
        <f>G13-G60</f>
        <v>2228.8000000000466</v>
      </c>
      <c r="J60" s="547">
        <f>H60/DAY(B2)</f>
        <v>8665.9366666666647</v>
      </c>
      <c r="K60" s="424">
        <v>11966.509999999978</v>
      </c>
      <c r="L60" s="374">
        <f t="shared" si="5"/>
        <v>2754.689999999975</v>
      </c>
      <c r="N60" s="379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1236"/>
      <c r="H61" s="508"/>
      <c r="I61" s="508"/>
      <c r="J61" s="550"/>
      <c r="K61" s="424"/>
      <c r="L61" s="374"/>
      <c r="N61" s="379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f>'20'!F62</f>
        <v>20419.2</v>
      </c>
      <c r="F62" s="509">
        <v>20419.2</v>
      </c>
      <c r="G62" s="1225">
        <f t="shared" ref="G62:G69" si="7">F62-E62</f>
        <v>0</v>
      </c>
      <c r="H62" s="455">
        <f>G62+'20'!H62</f>
        <v>0.20199999999749707</v>
      </c>
      <c r="I62" s="510"/>
      <c r="J62" s="547">
        <f>H62/DAY(B2)</f>
        <v>9.6190476189284314E-3</v>
      </c>
      <c r="K62" s="424"/>
      <c r="L62" s="374"/>
      <c r="N62" s="379"/>
      <c r="O62" s="379"/>
    </row>
    <row r="63" spans="1:15">
      <c r="A63" s="598" t="s">
        <v>254</v>
      </c>
      <c r="B63" s="599"/>
      <c r="C63" s="599"/>
      <c r="D63" s="506" t="s">
        <v>253</v>
      </c>
      <c r="E63" s="509">
        <f>'20'!F63</f>
        <v>2435</v>
      </c>
      <c r="F63" s="509">
        <v>2438</v>
      </c>
      <c r="G63" s="1225">
        <f t="shared" si="7"/>
        <v>3</v>
      </c>
      <c r="H63" s="455">
        <f>G63+'20'!H63</f>
        <v>2438</v>
      </c>
      <c r="I63" s="510"/>
      <c r="J63" s="547">
        <f>H63/DAY(B2)</f>
        <v>116.0952380952381</v>
      </c>
      <c r="K63" s="424"/>
      <c r="L63" s="374"/>
      <c r="N63" s="379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79">
        <f>'20'!F64</f>
        <v>157797</v>
      </c>
      <c r="F64" s="479">
        <v>157972</v>
      </c>
      <c r="G64" s="1225">
        <f t="shared" si="7"/>
        <v>175</v>
      </c>
      <c r="H64" s="455">
        <f>G64+'20'!H64</f>
        <v>-1960</v>
      </c>
      <c r="I64" s="475"/>
      <c r="J64" s="547">
        <f>H64/DAY(B2)</f>
        <v>-93.333333333333329</v>
      </c>
      <c r="K64" s="424"/>
      <c r="L64" s="374"/>
      <c r="N64" s="379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79">
        <f>'20'!F65</f>
        <v>158634</v>
      </c>
      <c r="F65" s="479">
        <v>158840</v>
      </c>
      <c r="G65" s="1225">
        <f t="shared" si="7"/>
        <v>206</v>
      </c>
      <c r="H65" s="455">
        <f>G65+'20'!H65</f>
        <v>-2158</v>
      </c>
      <c r="I65" s="484"/>
      <c r="J65" s="547">
        <f>H65/DAY(B2)</f>
        <v>-102.76190476190476</v>
      </c>
      <c r="K65" s="424"/>
      <c r="L65" s="374"/>
      <c r="N65" s="379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79">
        <f>'20'!F66</f>
        <v>53739</v>
      </c>
      <c r="F66" s="479">
        <v>54000</v>
      </c>
      <c r="G66" s="1225">
        <f t="shared" si="7"/>
        <v>261</v>
      </c>
      <c r="H66" s="455">
        <f>G66+'20'!H66</f>
        <v>-2805</v>
      </c>
      <c r="I66" s="475"/>
      <c r="J66" s="547">
        <f>H66/DAY(B2)</f>
        <v>-133.57142857142858</v>
      </c>
      <c r="K66" s="424"/>
      <c r="L66" s="374"/>
      <c r="N66" s="379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79">
        <f>'20'!F67</f>
        <v>247210</v>
      </c>
      <c r="F67" s="479">
        <v>247691</v>
      </c>
      <c r="G67" s="1225">
        <f t="shared" si="7"/>
        <v>481</v>
      </c>
      <c r="H67" s="455">
        <f>G67+'20'!H67</f>
        <v>-4501</v>
      </c>
      <c r="I67" s="484"/>
      <c r="J67" s="547">
        <f>H67/DAY(B2)</f>
        <v>-214.33333333333334</v>
      </c>
      <c r="K67" s="425"/>
      <c r="L67" s="374"/>
      <c r="N67" s="379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79">
        <f>'20'!F68</f>
        <v>85321</v>
      </c>
      <c r="F68" s="479">
        <v>85321</v>
      </c>
      <c r="G68" s="1225">
        <f t="shared" si="7"/>
        <v>0</v>
      </c>
      <c r="H68" s="455">
        <f>G68+'20'!H68</f>
        <v>0</v>
      </c>
      <c r="I68" s="511"/>
      <c r="J68" s="547">
        <f>H68/DAY(B2)</f>
        <v>0</v>
      </c>
      <c r="K68" s="426"/>
      <c r="L68" s="374"/>
      <c r="N68" s="379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79">
        <f>'20'!F69</f>
        <v>80521</v>
      </c>
      <c r="F69" s="479">
        <v>80597</v>
      </c>
      <c r="G69" s="1225">
        <f t="shared" si="7"/>
        <v>76</v>
      </c>
      <c r="H69" s="455">
        <f>G69+'20'!H69</f>
        <v>-1152</v>
      </c>
      <c r="I69" s="511"/>
      <c r="J69" s="547">
        <f>H69/DAY(B2)</f>
        <v>-54.857142857142854</v>
      </c>
      <c r="K69" s="427"/>
      <c r="L69" s="374"/>
      <c r="N69" s="379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1237"/>
      <c r="H70" s="455">
        <f>G70+'20'!H70</f>
        <v>0</v>
      </c>
      <c r="I70" s="513"/>
      <c r="J70" s="551"/>
      <c r="K70" s="427"/>
      <c r="L70" s="374"/>
      <c r="N70" s="379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514">
        <f>'20'!F72</f>
        <v>855721</v>
      </c>
      <c r="F72" s="514">
        <v>855731</v>
      </c>
      <c r="G72" s="1225">
        <f t="shared" ref="G72:G84" si="8">F72-E72</f>
        <v>10</v>
      </c>
      <c r="H72" s="455">
        <f>G72+'20'!H72</f>
        <v>-155</v>
      </c>
      <c r="I72" s="475"/>
      <c r="J72" s="547">
        <f>H72/DAY(B2)</f>
        <v>-7.3809523809523814</v>
      </c>
      <c r="K72" s="427"/>
      <c r="L72" s="374"/>
      <c r="N72" s="379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515">
        <f>'20'!F73</f>
        <v>885896</v>
      </c>
      <c r="F73" s="515">
        <v>885898</v>
      </c>
      <c r="G73" s="1225">
        <f t="shared" si="8"/>
        <v>2</v>
      </c>
      <c r="H73" s="455">
        <f>G73+'20'!H73</f>
        <v>147</v>
      </c>
      <c r="I73" s="475"/>
      <c r="J73" s="547">
        <f>H73/DAY(B2)</f>
        <v>7</v>
      </c>
      <c r="K73" s="426"/>
      <c r="L73" s="374"/>
      <c r="N73" s="379"/>
      <c r="O73" s="379"/>
    </row>
    <row r="74" spans="1:15" ht="27.75">
      <c r="A74" s="1525" t="s">
        <v>260</v>
      </c>
      <c r="B74" s="1526"/>
      <c r="C74" s="1527"/>
      <c r="D74" s="518" t="s">
        <v>253</v>
      </c>
      <c r="E74" s="516">
        <f>'20'!F74</f>
        <v>2512</v>
      </c>
      <c r="F74" s="516">
        <v>2518</v>
      </c>
      <c r="G74" s="1225">
        <f t="shared" si="8"/>
        <v>6</v>
      </c>
      <c r="H74" s="455">
        <f>G74+'20'!H74</f>
        <v>-68</v>
      </c>
      <c r="I74" s="475"/>
      <c r="J74" s="547">
        <f>H74/DAY(B2)</f>
        <v>-3.2380952380952381</v>
      </c>
      <c r="K74" s="427"/>
      <c r="L74" s="374"/>
      <c r="N74" s="379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516">
        <f>'20'!F75</f>
        <v>12041</v>
      </c>
      <c r="F75" s="516">
        <v>12094</v>
      </c>
      <c r="G75" s="1225">
        <f t="shared" si="8"/>
        <v>53</v>
      </c>
      <c r="H75" s="455">
        <f>G75+'20'!H75</f>
        <v>-575</v>
      </c>
      <c r="I75" s="475"/>
      <c r="J75" s="547">
        <f>H75/DAY(B2)</f>
        <v>-27.38095238095238</v>
      </c>
      <c r="K75" s="426"/>
      <c r="L75" s="374"/>
      <c r="N75" s="379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515">
        <f>'20'!F76</f>
        <v>6806</v>
      </c>
      <c r="F76" s="642">
        <v>6861</v>
      </c>
      <c r="G76" s="1225">
        <f t="shared" si="8"/>
        <v>55</v>
      </c>
      <c r="H76" s="455">
        <f>G76+'20'!H76</f>
        <v>-345</v>
      </c>
      <c r="I76" s="500"/>
      <c r="J76" s="547">
        <f>H76/DAY(B2)</f>
        <v>-16.428571428571427</v>
      </c>
      <c r="K76" s="426"/>
      <c r="L76" s="374"/>
      <c r="N76" s="379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516">
        <f>'20'!F77</f>
        <v>702386</v>
      </c>
      <c r="F77" s="516">
        <v>702420</v>
      </c>
      <c r="G77" s="1225">
        <f t="shared" si="8"/>
        <v>34</v>
      </c>
      <c r="H77" s="455">
        <f>G77+'20'!H77</f>
        <v>-419</v>
      </c>
      <c r="I77" s="500"/>
      <c r="J77" s="547">
        <f>H77/DAY(B2)</f>
        <v>-19.952380952380953</v>
      </c>
      <c r="K77" s="426"/>
      <c r="L77" s="374"/>
      <c r="N77" s="379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516">
        <f>'20'!F78</f>
        <v>671681</v>
      </c>
      <c r="F78" s="516">
        <v>671865</v>
      </c>
      <c r="G78" s="1225">
        <f t="shared" si="8"/>
        <v>184</v>
      </c>
      <c r="H78" s="455">
        <f>G78+'20'!H78</f>
        <v>-1167</v>
      </c>
      <c r="I78" s="500"/>
      <c r="J78" s="547">
        <f>H78/DAY(B2)</f>
        <v>-55.571428571428569</v>
      </c>
      <c r="K78" s="426"/>
      <c r="L78" s="374"/>
      <c r="N78" s="379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516">
        <f>'20'!F79</f>
        <v>829535</v>
      </c>
      <c r="F79" s="516">
        <v>829671</v>
      </c>
      <c r="G79" s="1225">
        <f t="shared" si="8"/>
        <v>136</v>
      </c>
      <c r="H79" s="455">
        <f>G79+'20'!H79</f>
        <v>-2351</v>
      </c>
      <c r="I79" s="500"/>
      <c r="J79" s="547">
        <f>H79/DAY(B2)</f>
        <v>-111.95238095238095</v>
      </c>
      <c r="K79" s="426"/>
      <c r="L79" s="374"/>
      <c r="N79" s="379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515">
        <f>'20'!F80</f>
        <v>523681</v>
      </c>
      <c r="F80" s="515">
        <v>524012</v>
      </c>
      <c r="G80" s="1225">
        <f t="shared" si="8"/>
        <v>331</v>
      </c>
      <c r="H80" s="455">
        <f>G80+'20'!H80</f>
        <v>-6533.5200000000186</v>
      </c>
      <c r="I80" s="500"/>
      <c r="J80" s="547">
        <f>H80/DAY(B2)</f>
        <v>-311.12000000000091</v>
      </c>
      <c r="K80" s="426"/>
      <c r="L80" s="374"/>
      <c r="N80" s="379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f>'20'!F81</f>
        <v>637985</v>
      </c>
      <c r="F81" s="515">
        <v>638064</v>
      </c>
      <c r="G81" s="1225">
        <f t="shared" si="8"/>
        <v>79</v>
      </c>
      <c r="H81" s="455">
        <f>G81+'20'!H81</f>
        <v>-834</v>
      </c>
      <c r="I81" s="500"/>
      <c r="J81" s="547">
        <f>H81/DAY(B2)</f>
        <v>-39.714285714285715</v>
      </c>
      <c r="K81" s="426"/>
      <c r="L81" s="374"/>
      <c r="N81" s="379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f>'20'!F82</f>
        <v>107977</v>
      </c>
      <c r="F82" s="517">
        <v>108003</v>
      </c>
      <c r="G82" s="1225">
        <f t="shared" si="8"/>
        <v>26</v>
      </c>
      <c r="H82" s="455">
        <f>G82+'20'!H82</f>
        <v>-155</v>
      </c>
      <c r="I82" s="481"/>
      <c r="J82" s="547">
        <f>H82/DAY(B2)</f>
        <v>-7.3809523809523814</v>
      </c>
      <c r="K82" s="426"/>
      <c r="L82" s="374"/>
      <c r="N82" s="379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f>'20'!F83</f>
        <v>18566</v>
      </c>
      <c r="F83" s="506">
        <v>18711</v>
      </c>
      <c r="G83" s="1225">
        <f t="shared" si="8"/>
        <v>145</v>
      </c>
      <c r="H83" s="455">
        <f>G83+'20'!H83</f>
        <v>-1795</v>
      </c>
      <c r="I83" s="476"/>
      <c r="J83" s="547">
        <f>H83/DAY(B2)</f>
        <v>-85.476190476190482</v>
      </c>
      <c r="K83" s="425"/>
      <c r="L83" s="374"/>
      <c r="N83" s="379"/>
      <c r="O83" s="717"/>
    </row>
    <row r="84" spans="1:15">
      <c r="A84" s="1396" t="s">
        <v>166</v>
      </c>
      <c r="B84" s="566"/>
      <c r="C84" s="566"/>
      <c r="D84" s="473" t="s">
        <v>198</v>
      </c>
      <c r="E84" s="622">
        <f>'20'!F84</f>
        <v>492699</v>
      </c>
      <c r="F84" s="622">
        <v>493078</v>
      </c>
      <c r="G84" s="1225">
        <f t="shared" si="8"/>
        <v>379</v>
      </c>
      <c r="H84" s="455">
        <f>G84+'20'!H84</f>
        <v>-7216</v>
      </c>
      <c r="I84" s="476"/>
      <c r="J84" s="547">
        <f>H84/DAY(B2)</f>
        <v>-343.61904761904759</v>
      </c>
      <c r="K84" s="377"/>
      <c r="L84" s="374"/>
      <c r="N84" s="379"/>
      <c r="O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1238">
        <f xml:space="preserve"> SUM(G72:G84)</f>
        <v>1440</v>
      </c>
      <c r="H85" s="455">
        <f>G85+'20'!H85</f>
        <v>-17923</v>
      </c>
      <c r="I85" s="476"/>
      <c r="J85" s="547">
        <f>H85/DAY(B2)</f>
        <v>-853.47619047619048</v>
      </c>
      <c r="K85" s="377"/>
      <c r="L85" s="375"/>
      <c r="N85" s="772"/>
      <c r="O85" s="717"/>
    </row>
    <row r="86" spans="1:15" s="731" customFormat="1">
      <c r="A86" s="726" t="s">
        <v>269</v>
      </c>
      <c r="B86" s="727"/>
      <c r="C86" s="727"/>
      <c r="D86" s="728" t="s">
        <v>248</v>
      </c>
      <c r="E86" s="643">
        <f>'20'!F86</f>
        <v>460556</v>
      </c>
      <c r="F86" s="643">
        <v>460577</v>
      </c>
      <c r="G86" s="1239">
        <f t="shared" ref="G86:G91" si="9">F86-E86</f>
        <v>21</v>
      </c>
      <c r="H86" s="455">
        <f>G86+'20'!H86</f>
        <v>99</v>
      </c>
      <c r="I86" s="648"/>
      <c r="J86" s="703">
        <f>H86/DAY(B2)</f>
        <v>4.7142857142857144</v>
      </c>
      <c r="K86" s="729"/>
      <c r="L86" s="730"/>
      <c r="N86" s="773"/>
      <c r="O86" s="379"/>
    </row>
    <row r="87" spans="1:15" s="731" customFormat="1">
      <c r="A87" s="726" t="s">
        <v>270</v>
      </c>
      <c r="B87" s="727"/>
      <c r="C87" s="727"/>
      <c r="D87" s="728" t="s">
        <v>248</v>
      </c>
      <c r="E87" s="643">
        <f>'20'!F87</f>
        <v>81178</v>
      </c>
      <c r="F87" s="643">
        <v>81200</v>
      </c>
      <c r="G87" s="1239">
        <f t="shared" si="9"/>
        <v>22</v>
      </c>
      <c r="H87" s="455">
        <f>G87+'20'!H87</f>
        <v>84</v>
      </c>
      <c r="I87" s="648"/>
      <c r="J87" s="703">
        <f>H87/DAY(B2)</f>
        <v>4</v>
      </c>
      <c r="K87" s="729"/>
      <c r="L87" s="730"/>
      <c r="N87" s="773"/>
      <c r="O87" s="379"/>
    </row>
    <row r="88" spans="1:15" s="731" customFormat="1">
      <c r="A88" s="726" t="s">
        <v>158</v>
      </c>
      <c r="B88" s="727"/>
      <c r="C88" s="727"/>
      <c r="D88" s="728" t="s">
        <v>248</v>
      </c>
      <c r="E88" s="643">
        <f>'20'!F88</f>
        <v>152635</v>
      </c>
      <c r="F88" s="643">
        <v>152660</v>
      </c>
      <c r="G88" s="1239">
        <f t="shared" si="9"/>
        <v>25</v>
      </c>
      <c r="H88" s="455">
        <f>G88+'20'!H88</f>
        <v>140</v>
      </c>
      <c r="I88" s="648"/>
      <c r="J88" s="703">
        <f>H88/DAY(B2)</f>
        <v>6.666666666666667</v>
      </c>
      <c r="K88" s="729"/>
      <c r="L88" s="730"/>
      <c r="N88" s="773"/>
      <c r="O88" s="379"/>
    </row>
    <row r="89" spans="1:15" s="731" customFormat="1">
      <c r="A89" s="726" t="s">
        <v>272</v>
      </c>
      <c r="B89" s="727"/>
      <c r="C89" s="727"/>
      <c r="D89" s="728" t="s">
        <v>248</v>
      </c>
      <c r="E89" s="643">
        <f>'20'!F89</f>
        <v>64961</v>
      </c>
      <c r="F89" s="643">
        <v>64972</v>
      </c>
      <c r="G89" s="1239">
        <f t="shared" si="9"/>
        <v>11</v>
      </c>
      <c r="H89" s="455">
        <f>G89+'20'!H89</f>
        <v>29</v>
      </c>
      <c r="I89" s="648"/>
      <c r="J89" s="703">
        <f>H89/DAY(B2)</f>
        <v>1.3809523809523809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43">
        <f>'20'!F90</f>
        <v>3272.7</v>
      </c>
      <c r="F90" s="643">
        <v>3272.7</v>
      </c>
      <c r="G90" s="1239">
        <f t="shared" si="9"/>
        <v>0</v>
      </c>
      <c r="H90" s="455">
        <f>G90+'20'!H90</f>
        <v>0</v>
      </c>
      <c r="I90" s="648"/>
      <c r="J90" s="703">
        <f>H90/DAY(B2)</f>
        <v>0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43">
        <f>'20'!F91</f>
        <v>27972</v>
      </c>
      <c r="F91" s="643">
        <v>27978</v>
      </c>
      <c r="G91" s="701">
        <f t="shared" si="9"/>
        <v>6</v>
      </c>
      <c r="H91" s="455">
        <f>G91+'20'!H91</f>
        <v>12</v>
      </c>
      <c r="I91" s="648"/>
      <c r="J91" s="703">
        <f>H91/DAY(B2)</f>
        <v>0.5714285714285714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1228"/>
      <c r="H92" s="467"/>
      <c r="I92" s="467"/>
      <c r="J92" s="546"/>
      <c r="K92" s="377"/>
      <c r="L92" s="375"/>
      <c r="N92" s="772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'20'!F93</f>
        <v>244999</v>
      </c>
      <c r="F93" s="479">
        <v>245036</v>
      </c>
      <c r="G93" s="1225">
        <f t="shared" ref="G93:G94" si="10">F93-E93</f>
        <v>37</v>
      </c>
      <c r="H93" s="455">
        <f>G93+'20'!H93</f>
        <v>-352</v>
      </c>
      <c r="I93" s="475"/>
      <c r="J93" s="547">
        <f>H93/DAY(B2)</f>
        <v>-16.761904761904763</v>
      </c>
      <c r="K93" s="425"/>
      <c r="L93" s="374"/>
      <c r="N93" s="379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'20'!F94</f>
        <v>185170</v>
      </c>
      <c r="F94" s="479">
        <v>185253</v>
      </c>
      <c r="G94" s="1225">
        <f t="shared" si="10"/>
        <v>83</v>
      </c>
      <c r="H94" s="455">
        <f>G94+'20'!H94</f>
        <v>-868</v>
      </c>
      <c r="I94" s="475"/>
      <c r="J94" s="547">
        <f>H94/DAY(B2)</f>
        <v>-41.333333333333336</v>
      </c>
      <c r="K94" s="377"/>
      <c r="L94" s="374"/>
      <c r="N94" s="379"/>
      <c r="O94" s="379"/>
    </row>
    <row r="95" spans="1:15">
      <c r="A95" s="1447" t="s">
        <v>276</v>
      </c>
      <c r="B95" s="1448"/>
      <c r="C95" s="1449"/>
      <c r="D95" s="518"/>
      <c r="E95" s="479">
        <v>0</v>
      </c>
      <c r="F95" s="479">
        <v>0</v>
      </c>
      <c r="G95" s="1225">
        <f>G93+G94</f>
        <v>120</v>
      </c>
      <c r="H95" s="455">
        <f>G95+'20'!H95</f>
        <v>-1296</v>
      </c>
      <c r="I95" s="475"/>
      <c r="J95" s="547">
        <f>H95/DAY(B2)</f>
        <v>-61.714285714285715</v>
      </c>
      <c r="K95" s="377"/>
      <c r="L95" s="374"/>
      <c r="N95" s="379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'20'!F96</f>
        <v>413718</v>
      </c>
      <c r="F96" s="479">
        <v>413767</v>
      </c>
      <c r="G96" s="1225">
        <f t="shared" ref="G96:G101" si="11">F96-E96</f>
        <v>49</v>
      </c>
      <c r="H96" s="455">
        <f>G96+'20'!H96</f>
        <v>-516</v>
      </c>
      <c r="I96" s="475"/>
      <c r="J96" s="547">
        <f>H96/DAY(B2)</f>
        <v>-24.571428571428573</v>
      </c>
      <c r="K96" s="377"/>
      <c r="L96" s="374"/>
      <c r="N96" s="379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79">
        <f>'20'!F97</f>
        <v>102534</v>
      </c>
      <c r="F97" s="479">
        <v>102543</v>
      </c>
      <c r="G97" s="1225">
        <f t="shared" si="11"/>
        <v>9</v>
      </c>
      <c r="H97" s="455">
        <f>G97+'20'!H97</f>
        <v>-105</v>
      </c>
      <c r="I97" s="475"/>
      <c r="J97" s="547">
        <f>H97/DAY(B2)</f>
        <v>-5</v>
      </c>
      <c r="K97" s="423"/>
      <c r="L97" s="374"/>
      <c r="N97" s="379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79">
        <f>'20'!F98</f>
        <v>97704</v>
      </c>
      <c r="F98" s="479">
        <v>97724</v>
      </c>
      <c r="G98" s="1225">
        <f t="shared" si="11"/>
        <v>20</v>
      </c>
      <c r="H98" s="455">
        <f>G98+'20'!H98</f>
        <v>-226</v>
      </c>
      <c r="I98" s="475"/>
      <c r="J98" s="547">
        <f>H98/DAY(B2)</f>
        <v>-10.761904761904763</v>
      </c>
      <c r="K98" s="428"/>
      <c r="L98" s="374"/>
      <c r="N98" s="379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79">
        <f>'20'!F99</f>
        <v>149750</v>
      </c>
      <c r="F99" s="479">
        <v>149756</v>
      </c>
      <c r="G99" s="1225">
        <f t="shared" si="11"/>
        <v>6</v>
      </c>
      <c r="H99" s="455">
        <f>G99+'20'!H99</f>
        <v>-96</v>
      </c>
      <c r="I99" s="475"/>
      <c r="J99" s="547">
        <f>H99/DAY(B2)</f>
        <v>-4.5714285714285712</v>
      </c>
      <c r="K99" s="377"/>
      <c r="L99" s="374"/>
      <c r="N99" s="379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79">
        <f>'20'!F100</f>
        <v>7308</v>
      </c>
      <c r="F100" s="479">
        <v>7313</v>
      </c>
      <c r="G100" s="1225">
        <f t="shared" si="11"/>
        <v>5</v>
      </c>
      <c r="H100" s="455">
        <f>G100+'20'!H100</f>
        <v>-56</v>
      </c>
      <c r="I100" s="475"/>
      <c r="J100" s="547">
        <f>H100/DAY(B2)</f>
        <v>-2.6666666666666665</v>
      </c>
      <c r="K100" s="377"/>
      <c r="L100" s="374"/>
      <c r="N100" s="379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79">
        <f>'20'!F101</f>
        <v>5262</v>
      </c>
      <c r="F101" s="479">
        <v>5276</v>
      </c>
      <c r="G101" s="1225">
        <f t="shared" si="11"/>
        <v>14</v>
      </c>
      <c r="H101" s="455">
        <f>G101+'20'!H101</f>
        <v>-115</v>
      </c>
      <c r="I101" s="475"/>
      <c r="J101" s="547">
        <f>H101/DAY(B2)</f>
        <v>-5.4761904761904763</v>
      </c>
      <c r="K101" s="377"/>
      <c r="L101" s="374"/>
      <c r="N101" s="379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1240">
        <f>SUM(G96:G101)</f>
        <v>103</v>
      </c>
      <c r="H102" s="455">
        <f>G102+'20'!H102</f>
        <v>-1114</v>
      </c>
      <c r="I102" s="521"/>
      <c r="J102" s="547">
        <f>H102/DAY(B2)</f>
        <v>-53.047619047619051</v>
      </c>
      <c r="K102" s="377"/>
      <c r="L102" s="374"/>
      <c r="N102" s="379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523"/>
      <c r="G103" s="1241"/>
      <c r="H103" s="525"/>
      <c r="I103" s="526"/>
      <c r="J103" s="552"/>
      <c r="N103" s="439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527"/>
      <c r="G104" s="1242"/>
      <c r="H104" s="528"/>
      <c r="I104" s="527"/>
      <c r="J104" s="553"/>
      <c r="N104" s="439"/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527">
        <f>'20'!F105</f>
        <v>7473</v>
      </c>
      <c r="F105" s="527">
        <v>7480</v>
      </c>
      <c r="G105" s="1242">
        <f>F105-E105</f>
        <v>7</v>
      </c>
      <c r="H105" s="455">
        <f>G105+'20'!H105</f>
        <v>64</v>
      </c>
      <c r="I105" s="527"/>
      <c r="J105" s="553">
        <f>H105/DAY(B2)</f>
        <v>3.0476190476190474</v>
      </c>
      <c r="N105" s="439"/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529">
        <f>'20'!F106</f>
        <v>35889</v>
      </c>
      <c r="F106" s="529">
        <v>35893</v>
      </c>
      <c r="G106" s="1242">
        <f t="shared" ref="G106:G107" si="12">F106-E106</f>
        <v>4</v>
      </c>
      <c r="H106" s="455">
        <f>G106+'20'!H106</f>
        <v>53</v>
      </c>
      <c r="I106" s="527"/>
      <c r="J106" s="553">
        <f>H106/DAY(B2)</f>
        <v>2.5238095238095237</v>
      </c>
      <c r="N106" s="439"/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527">
        <f>'20'!F107</f>
        <v>19671</v>
      </c>
      <c r="F107" s="527">
        <v>19676</v>
      </c>
      <c r="G107" s="1242">
        <f t="shared" si="12"/>
        <v>5</v>
      </c>
      <c r="H107" s="455">
        <f>G107+'20'!H107</f>
        <v>62</v>
      </c>
      <c r="I107" s="527"/>
      <c r="J107" s="553">
        <f>H107/DAY(B2)</f>
        <v>2.9523809523809526</v>
      </c>
      <c r="N107" s="439"/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>
        <f>'20'!F108</f>
        <v>0</v>
      </c>
      <c r="F108" s="527"/>
      <c r="G108" s="1242">
        <f>SUM(G105:G107)</f>
        <v>16</v>
      </c>
      <c r="H108" s="455">
        <f>G108+'20'!H108</f>
        <v>173</v>
      </c>
      <c r="I108" s="527"/>
      <c r="J108" s="553">
        <f>H108/DAY(B2)</f>
        <v>8.2380952380952372</v>
      </c>
      <c r="N108" s="439"/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>
        <f>'20'!F109</f>
        <v>0</v>
      </c>
      <c r="F109" s="527"/>
      <c r="G109" s="1242"/>
      <c r="H109" s="455"/>
      <c r="I109" s="527"/>
      <c r="J109" s="553"/>
      <c r="N109" s="439"/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527">
        <f>'20'!F110</f>
        <v>62191</v>
      </c>
      <c r="F110" s="527">
        <v>62230</v>
      </c>
      <c r="G110" s="1242">
        <f>F110-E110</f>
        <v>39</v>
      </c>
      <c r="H110" s="455">
        <f>G110+'20'!H110</f>
        <v>285</v>
      </c>
      <c r="I110" s="527"/>
      <c r="J110" s="553">
        <f>H110/DAY(B2)</f>
        <v>13.571428571428571</v>
      </c>
      <c r="N110" s="439"/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527">
        <f>'20'!F111</f>
        <v>32430</v>
      </c>
      <c r="F111" s="527">
        <v>32433</v>
      </c>
      <c r="G111" s="1242">
        <f t="shared" ref="G111:G112" si="13">F111-E111</f>
        <v>3</v>
      </c>
      <c r="H111" s="455">
        <f>G111+'20'!H111</f>
        <v>43</v>
      </c>
      <c r="I111" s="527"/>
      <c r="J111" s="553">
        <f>H111/DAY(B2)</f>
        <v>2.0476190476190474</v>
      </c>
      <c r="N111" s="439"/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527">
        <f>'20'!F112</f>
        <v>4513</v>
      </c>
      <c r="F112" s="527">
        <v>4513</v>
      </c>
      <c r="G112" s="1242">
        <f t="shared" si="13"/>
        <v>0</v>
      </c>
      <c r="H112" s="455">
        <f>G112+'20'!H112</f>
        <v>156</v>
      </c>
      <c r="I112" s="527"/>
      <c r="J112" s="553">
        <f>H112/DAY(B2)</f>
        <v>7.4285714285714288</v>
      </c>
      <c r="N112" s="439"/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>
        <f>'20'!F113</f>
        <v>0</v>
      </c>
      <c r="F113" s="527"/>
      <c r="G113" s="1242">
        <f>SUM(G110:G112)</f>
        <v>42</v>
      </c>
      <c r="H113" s="455">
        <f>G113+'20'!H113</f>
        <v>1054</v>
      </c>
      <c r="I113" s="527"/>
      <c r="J113" s="553">
        <f>H113/DAY(B2)</f>
        <v>50.19047619047619</v>
      </c>
      <c r="N113" s="439"/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>
        <f>'20'!F114</f>
        <v>0</v>
      </c>
      <c r="F114" s="527"/>
      <c r="G114" s="1242"/>
      <c r="H114" s="455"/>
      <c r="I114" s="527"/>
      <c r="J114" s="553">
        <f>H114/DAY(B2)</f>
        <v>0</v>
      </c>
      <c r="N114" s="439"/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529">
        <f>'20'!F115</f>
        <v>11420</v>
      </c>
      <c r="F115" s="529">
        <v>11424</v>
      </c>
      <c r="G115" s="1243">
        <f>F115-E115</f>
        <v>4</v>
      </c>
      <c r="H115" s="455">
        <f>G115+'20'!H115</f>
        <v>35</v>
      </c>
      <c r="I115" s="527"/>
      <c r="J115" s="553">
        <f>H115/DAY(B2)</f>
        <v>1.6666666666666667</v>
      </c>
      <c r="N115" s="439"/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529">
        <f>'20'!F116</f>
        <v>8219</v>
      </c>
      <c r="F116" s="529">
        <v>8226</v>
      </c>
      <c r="G116" s="1243">
        <f t="shared" ref="G116:G117" si="14">F116-E116</f>
        <v>7</v>
      </c>
      <c r="H116" s="455">
        <f>G116+'20'!H116</f>
        <v>30</v>
      </c>
      <c r="I116" s="527"/>
      <c r="J116" s="553">
        <f>H116/DAY(B2)</f>
        <v>1.4285714285714286</v>
      </c>
      <c r="N116" s="439"/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1243">
        <f t="shared" si="14"/>
        <v>0</v>
      </c>
      <c r="H117" s="455">
        <f>G117+'20'!H117</f>
        <v>58</v>
      </c>
      <c r="I117" s="527"/>
      <c r="J117" s="553">
        <f>H117/DAY(B2)</f>
        <v>2.7619047619047619</v>
      </c>
      <c r="N117" s="439"/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529"/>
      <c r="G118" s="1243">
        <f>SUM(G115:G117)</f>
        <v>11</v>
      </c>
      <c r="H118" s="455">
        <f>G118+'20'!H118</f>
        <v>87</v>
      </c>
      <c r="I118" s="529"/>
      <c r="J118" s="553">
        <f>H118/DAY(B2)</f>
        <v>4.1428571428571432</v>
      </c>
      <c r="N118" s="442"/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531">
        <f>SUM(G19+G93)</f>
        <v>93</v>
      </c>
      <c r="G119" s="1243">
        <f>SUM(G19+G93)</f>
        <v>93</v>
      </c>
      <c r="H119" s="455">
        <f>G119+'20'!H119</f>
        <v>350</v>
      </c>
      <c r="I119" s="530"/>
      <c r="J119" s="554">
        <f>H119/DAY(B2)</f>
        <v>16.666666666666668</v>
      </c>
      <c r="N119" s="774"/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531">
        <f>SUM(G96,G97,G98,G100,G101)</f>
        <v>97</v>
      </c>
      <c r="G120" s="1243">
        <f>SUM(G96,G97,G98,G100,G101)</f>
        <v>97</v>
      </c>
      <c r="H120" s="455">
        <f>G120+'20'!H120</f>
        <v>282</v>
      </c>
      <c r="I120" s="530"/>
      <c r="J120" s="554">
        <f>H120/DAY(B2)</f>
        <v>13.428571428571429</v>
      </c>
      <c r="N120" s="774"/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529">
        <f>SUM(G113)</f>
        <v>42</v>
      </c>
      <c r="G121" s="1243">
        <f>SUM(G113)</f>
        <v>42</v>
      </c>
      <c r="H121" s="455">
        <f>G121+'20'!H121</f>
        <v>231</v>
      </c>
      <c r="I121" s="530"/>
      <c r="J121" s="554">
        <f>H121/DAY(B2)</f>
        <v>11</v>
      </c>
      <c r="N121" s="774"/>
      <c r="O121" s="379"/>
    </row>
    <row r="122" spans="1:15" s="437" customFormat="1" ht="27.75">
      <c r="A122" s="1494"/>
      <c r="B122" s="1495"/>
      <c r="C122" s="1390"/>
      <c r="D122" s="555"/>
      <c r="E122" s="555"/>
      <c r="F122" s="555" t="s">
        <v>182</v>
      </c>
      <c r="G122" s="1244"/>
      <c r="H122" s="556">
        <v>0</v>
      </c>
      <c r="I122" s="555"/>
      <c r="J122" s="557"/>
      <c r="N122" s="439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1228"/>
      <c r="H123" s="478">
        <v>0</v>
      </c>
      <c r="I123" s="478"/>
      <c r="J123" s="558"/>
      <c r="K123" s="377"/>
      <c r="L123" s="374"/>
      <c r="N123" s="379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73">
        <f>'20'!F124</f>
        <v>830124</v>
      </c>
      <c r="F124" s="473">
        <v>830318</v>
      </c>
      <c r="G124" s="1225">
        <f t="shared" ref="G124:G128" si="15">F124-E124</f>
        <v>194</v>
      </c>
      <c r="H124" s="455">
        <f>G124+'20'!H124</f>
        <v>-2048</v>
      </c>
      <c r="I124" s="521"/>
      <c r="J124" s="547">
        <f>H124/DAY(B2)</f>
        <v>-97.523809523809518</v>
      </c>
      <c r="K124" s="377"/>
      <c r="L124" s="374"/>
      <c r="N124" s="379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621">
        <f>'20'!F125</f>
        <v>73583.399999999994</v>
      </c>
      <c r="F125" s="621">
        <v>73583.399999999994</v>
      </c>
      <c r="G125" s="1225">
        <f t="shared" si="15"/>
        <v>0</v>
      </c>
      <c r="H125" s="455">
        <f>G125+'20'!H125</f>
        <v>0</v>
      </c>
      <c r="I125" s="521"/>
      <c r="J125" s="547">
        <f>H125/DAY(B2)</f>
        <v>0</v>
      </c>
      <c r="K125" s="377"/>
      <c r="L125" s="374"/>
      <c r="N125" s="379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73">
        <f>'20'!F126</f>
        <v>145774</v>
      </c>
      <c r="F126" s="473">
        <v>145841</v>
      </c>
      <c r="G126" s="1225">
        <f t="shared" si="15"/>
        <v>67</v>
      </c>
      <c r="H126" s="455">
        <f>G126+'20'!H126</f>
        <v>-650</v>
      </c>
      <c r="I126" s="521"/>
      <c r="J126" s="547">
        <f>H126/DAY(B2)</f>
        <v>-30.952380952380953</v>
      </c>
      <c r="K126" s="377"/>
      <c r="L126" s="374"/>
      <c r="N126" s="379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621">
        <f>'20'!F127</f>
        <v>31404</v>
      </c>
      <c r="F127" s="621">
        <v>31404</v>
      </c>
      <c r="G127" s="1225">
        <f t="shared" si="15"/>
        <v>0</v>
      </c>
      <c r="H127" s="455">
        <f>G127+'20'!H127</f>
        <v>-2</v>
      </c>
      <c r="I127" s="521"/>
      <c r="J127" s="547">
        <f>H127/DAY(B2)</f>
        <v>-9.5238095238095233E-2</v>
      </c>
      <c r="K127" s="377"/>
      <c r="L127" s="374"/>
      <c r="N127" s="379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621">
        <f>'20'!F128</f>
        <v>8971</v>
      </c>
      <c r="F128" s="621">
        <v>8971</v>
      </c>
      <c r="G128" s="1225">
        <f t="shared" si="15"/>
        <v>0</v>
      </c>
      <c r="H128" s="455">
        <f>G128+'20'!H128</f>
        <v>-1</v>
      </c>
      <c r="I128" s="475"/>
      <c r="J128" s="547">
        <f>H128/DAY(B2)</f>
        <v>-4.7619047619047616E-2</v>
      </c>
      <c r="K128" s="377"/>
      <c r="L128" s="374"/>
      <c r="N128" s="379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1225">
        <f>G15-SUM(G124:G128)</f>
        <v>289</v>
      </c>
      <c r="H129" s="455">
        <f>G129+'20'!H129</f>
        <v>1806</v>
      </c>
      <c r="I129" s="475"/>
      <c r="J129" s="547">
        <f>H129/DAY(B2)</f>
        <v>86</v>
      </c>
      <c r="K129" s="361"/>
      <c r="L129" s="289"/>
      <c r="N129" s="362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1245"/>
      <c r="H130" s="535"/>
      <c r="I130" s="535"/>
      <c r="J130" s="559"/>
      <c r="N130" s="37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79">
        <f>'20'!F131</f>
        <v>0</v>
      </c>
      <c r="F131" s="479">
        <v>0</v>
      </c>
      <c r="G131" s="1225">
        <f t="shared" ref="G131:G141" si="16">F131-E131</f>
        <v>0</v>
      </c>
      <c r="H131" s="455">
        <f>G131+'20'!H131</f>
        <v>0</v>
      </c>
      <c r="I131" s="475"/>
      <c r="J131" s="547">
        <f>H131/DAY(B2)</f>
        <v>0</v>
      </c>
      <c r="N131" s="379"/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79">
        <f>'20'!F132</f>
        <v>0</v>
      </c>
      <c r="F132" s="479">
        <v>0</v>
      </c>
      <c r="G132" s="1225">
        <f t="shared" si="16"/>
        <v>0</v>
      </c>
      <c r="H132" s="455">
        <f>G132+'20'!H132</f>
        <v>0</v>
      </c>
      <c r="I132" s="475"/>
      <c r="J132" s="547">
        <f>H132/DAY(B2)</f>
        <v>0</v>
      </c>
      <c r="N132" s="379"/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536">
        <f>'20'!F133</f>
        <v>40031.519999999997</v>
      </c>
      <c r="F133" s="536">
        <v>40031.519999999997</v>
      </c>
      <c r="G133" s="1225">
        <f t="shared" si="16"/>
        <v>0</v>
      </c>
      <c r="H133" s="455">
        <f>G133+'20'!H133</f>
        <v>-3.5800000000017462</v>
      </c>
      <c r="I133" s="475"/>
      <c r="J133" s="547">
        <f>H133/DAY(B2)</f>
        <v>-0.17047619047627363</v>
      </c>
      <c r="N133" s="379"/>
      <c r="O133" s="379"/>
    </row>
    <row r="134" spans="1:15" s="436" customFormat="1" ht="27.75">
      <c r="A134" s="1066" t="s">
        <v>297</v>
      </c>
      <c r="B134" s="1067"/>
      <c r="C134" s="1067"/>
      <c r="D134" s="622" t="s">
        <v>294</v>
      </c>
      <c r="E134" s="536">
        <f>'20'!F134</f>
        <v>300</v>
      </c>
      <c r="F134" s="536">
        <v>300</v>
      </c>
      <c r="G134" s="1246">
        <f t="shared" si="16"/>
        <v>0</v>
      </c>
      <c r="H134" s="701">
        <f>G134+'20'!H134</f>
        <v>0</v>
      </c>
      <c r="I134" s="1068">
        <f>G131+G132+G133+G134</f>
        <v>0</v>
      </c>
      <c r="J134" s="703">
        <f>H134/DAY(B2)</f>
        <v>0</v>
      </c>
      <c r="N134" s="709"/>
      <c r="O134" s="709"/>
    </row>
    <row r="135" spans="1:15" ht="27.75">
      <c r="A135" s="1392" t="s">
        <v>298</v>
      </c>
      <c r="B135" s="1393"/>
      <c r="C135" s="1393"/>
      <c r="D135" s="518" t="s">
        <v>294</v>
      </c>
      <c r="E135" s="536">
        <f>'20'!F135</f>
        <v>41589</v>
      </c>
      <c r="F135" s="536">
        <v>41613</v>
      </c>
      <c r="G135" s="1225">
        <f t="shared" si="16"/>
        <v>24</v>
      </c>
      <c r="H135" s="455">
        <f>G135+'20'!H135</f>
        <v>-117</v>
      </c>
      <c r="I135" s="475"/>
      <c r="J135" s="547">
        <f>H135/DAY(B2)</f>
        <v>-5.5714285714285712</v>
      </c>
      <c r="N135" s="379"/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536">
        <f>'20'!F136</f>
        <v>32582.92</v>
      </c>
      <c r="F136" s="536">
        <v>32582.92</v>
      </c>
      <c r="G136" s="1225">
        <f t="shared" si="16"/>
        <v>0</v>
      </c>
      <c r="H136" s="455">
        <f>G136+'20'!H136</f>
        <v>-132.08000000000175</v>
      </c>
      <c r="I136" s="475"/>
      <c r="J136" s="547">
        <f>H136/DAY(B2)</f>
        <v>-6.2895238095238923</v>
      </c>
      <c r="N136" s="379"/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536">
        <f>'20'!F137</f>
        <v>22773.200000000001</v>
      </c>
      <c r="F137" s="536">
        <v>22775.91</v>
      </c>
      <c r="G137" s="1225">
        <f t="shared" si="16"/>
        <v>2.7099999999991269</v>
      </c>
      <c r="H137" s="455">
        <f>G137+'20'!H137</f>
        <v>-31.330000000001746</v>
      </c>
      <c r="I137" s="475">
        <f>G135+G136+G137</f>
        <v>26.709999999999127</v>
      </c>
      <c r="J137" s="547">
        <f>H137/DAY(B2)</f>
        <v>-1.4919047619048451</v>
      </c>
      <c r="N137" s="379"/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536">
        <f>'20'!F138</f>
        <v>25051.72</v>
      </c>
      <c r="F138" s="536">
        <v>25051.72</v>
      </c>
      <c r="G138" s="1225">
        <f t="shared" si="16"/>
        <v>0</v>
      </c>
      <c r="H138" s="455">
        <f>G138+'20'!H138</f>
        <v>-9.9999999998544808E-2</v>
      </c>
      <c r="I138" s="475"/>
      <c r="J138" s="547">
        <f>H138/DAY(B2)</f>
        <v>-4.7619047618354671E-3</v>
      </c>
      <c r="N138" s="379"/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536">
        <f>'20'!F139</f>
        <v>70370.02</v>
      </c>
      <c r="F139" s="536">
        <v>70376.649999999994</v>
      </c>
      <c r="G139" s="1225">
        <f t="shared" si="16"/>
        <v>6.6299999999901047</v>
      </c>
      <c r="H139" s="455">
        <f>G139+'20'!H139</f>
        <v>-35.090000000011059</v>
      </c>
      <c r="I139" s="475">
        <f>G138+G139</f>
        <v>6.6299999999901047</v>
      </c>
      <c r="J139" s="547">
        <f>H139/DAY(B2)</f>
        <v>-1.6709523809529077</v>
      </c>
      <c r="N139" s="379"/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79">
        <f>'20'!F140</f>
        <v>1770.76</v>
      </c>
      <c r="F140" s="479">
        <v>1777.78</v>
      </c>
      <c r="G140" s="1225">
        <f t="shared" si="16"/>
        <v>7.0199999999999818</v>
      </c>
      <c r="H140" s="455">
        <f>G140+'20'!H140</f>
        <v>-76.519999999999982</v>
      </c>
      <c r="I140" s="537"/>
      <c r="J140" s="547">
        <f>H140/DAY(B2)</f>
        <v>-3.6438095238095229</v>
      </c>
      <c r="N140" s="379"/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79">
        <f>'20'!F141</f>
        <v>4636.88</v>
      </c>
      <c r="F141" s="479">
        <v>4636.88</v>
      </c>
      <c r="G141" s="1225">
        <f t="shared" si="16"/>
        <v>0</v>
      </c>
      <c r="H141" s="455">
        <f>G141+'20'!H141</f>
        <v>-0.11999999999989086</v>
      </c>
      <c r="I141" s="537"/>
      <c r="J141" s="547">
        <f>H141/DAY(B2)</f>
        <v>-5.714285714280517E-3</v>
      </c>
      <c r="N141" s="379"/>
      <c r="O141" s="379"/>
    </row>
    <row r="142" spans="1:15">
      <c r="A142" s="1488" t="s">
        <v>305</v>
      </c>
      <c r="B142" s="1489"/>
      <c r="C142" s="1398"/>
      <c r="D142" s="467"/>
      <c r="E142" s="467"/>
      <c r="F142" s="467"/>
      <c r="G142" s="1228"/>
      <c r="H142" s="478"/>
      <c r="I142" s="478"/>
      <c r="J142" s="558"/>
      <c r="K142" s="377"/>
      <c r="L142" s="374"/>
      <c r="N142" s="379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1238">
        <f>G35+G43+G49+G57</f>
        <v>3976.1300000000047</v>
      </c>
      <c r="H143" s="455">
        <f>G143+'20'!H143</f>
        <v>-46354.869999999995</v>
      </c>
      <c r="I143" s="475"/>
      <c r="J143" s="547">
        <f>H143/DAY(B2)</f>
        <v>-2207.3747619047617</v>
      </c>
      <c r="K143" s="377"/>
      <c r="L143" s="374"/>
      <c r="N143" s="379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1247">
        <f>G143/G7</f>
        <v>0.23389000000000026</v>
      </c>
      <c r="H144" s="455">
        <f>G144+'20'!H144</f>
        <v>-2.8390635032543452</v>
      </c>
      <c r="I144" s="539"/>
      <c r="J144" s="547">
        <f>H144/DAY(B2)</f>
        <v>-0.13519350015496881</v>
      </c>
      <c r="K144" s="377"/>
      <c r="L144" s="374"/>
      <c r="N144" s="379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1238">
        <f>G41+G42+G55+G56</f>
        <v>5144</v>
      </c>
      <c r="H145" s="455">
        <f>G145+'20'!H145</f>
        <v>-53217.969999999994</v>
      </c>
      <c r="I145" s="475"/>
      <c r="J145" s="547">
        <f>H145/DAY(B2)</f>
        <v>-2534.1890476190474</v>
      </c>
      <c r="K145" s="377"/>
      <c r="L145" s="374"/>
      <c r="N145" s="379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1247">
        <f>G145/G7</f>
        <v>0.30258823529411766</v>
      </c>
      <c r="H146" s="455">
        <f>G146+'20'!H146</f>
        <v>-3.2672700375450003</v>
      </c>
      <c r="I146" s="539"/>
      <c r="J146" s="547">
        <f>H146/DAY(B2)</f>
        <v>-0.15558428750214287</v>
      </c>
      <c r="K146" s="377"/>
      <c r="L146" s="374"/>
      <c r="N146" s="379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1238">
        <f>G39+G53</f>
        <v>2103</v>
      </c>
      <c r="H147" s="455">
        <f>G147+'20'!H147</f>
        <v>-28480</v>
      </c>
      <c r="I147" s="540"/>
      <c r="J147" s="547">
        <f>H147/DAY(B2)</f>
        <v>-1356.1904761904761</v>
      </c>
      <c r="K147" s="377"/>
      <c r="L147" s="374"/>
      <c r="N147" s="379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1247">
        <f>G147/G7</f>
        <v>0.12370588235294118</v>
      </c>
      <c r="H148" s="455">
        <f>G148+'20'!H148</f>
        <v>-1.7528679050926621</v>
      </c>
      <c r="I148" s="540"/>
      <c r="J148" s="547">
        <f>H148/DAY(B2)</f>
        <v>-8.3469900242507722E-2</v>
      </c>
      <c r="N148" s="379"/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1238">
        <f>G38+G52</f>
        <v>1150.0699999999488</v>
      </c>
      <c r="H149" s="455">
        <f>G149+'20'!H149</f>
        <v>-12412.930000000051</v>
      </c>
      <c r="I149" s="475"/>
      <c r="J149" s="547">
        <f>H149/DAY(B2)</f>
        <v>-591.09190476190724</v>
      </c>
      <c r="K149" s="378"/>
      <c r="N149" s="379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1247">
        <f>G149/G7</f>
        <v>6.7651176470585217E-2</v>
      </c>
      <c r="H150" s="455">
        <f>G150+'20'!H150</f>
        <v>-0.76236709945119574</v>
      </c>
      <c r="I150" s="540"/>
      <c r="J150" s="547">
        <f>H150/DAY(B2)</f>
        <v>-3.6303195211961702E-2</v>
      </c>
      <c r="N150" s="379"/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1238">
        <f>G36+G50</f>
        <v>800</v>
      </c>
      <c r="H151" s="455">
        <f>G151+'20'!H151</f>
        <v>337628</v>
      </c>
      <c r="I151" s="540"/>
      <c r="J151" s="547">
        <f>H151/DAY(B2)</f>
        <v>16077.523809523809</v>
      </c>
      <c r="N151" s="379"/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1247">
        <f>G151/G7</f>
        <v>4.7058823529411764E-2</v>
      </c>
      <c r="H152" s="455">
        <f>G152+'20'!H152</f>
        <v>19.819186821493069</v>
      </c>
      <c r="I152" s="475"/>
      <c r="J152" s="547">
        <f>H152/DAY(B2)</f>
        <v>0.94377080102347954</v>
      </c>
      <c r="N152" s="379"/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1238">
        <f>G37+G51</f>
        <v>1333</v>
      </c>
      <c r="H153" s="455">
        <f>G153+'20'!H153</f>
        <v>-13053</v>
      </c>
      <c r="I153" s="475"/>
      <c r="J153" s="547">
        <f>H153/DAY(B2)</f>
        <v>-621.57142857142856</v>
      </c>
      <c r="N153" s="379"/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1248">
        <f>G153/G7</f>
        <v>7.8411764705882347E-2</v>
      </c>
      <c r="H154" s="455">
        <f>G154+'20'!H154</f>
        <v>-0.79886541842725101</v>
      </c>
      <c r="I154" s="563"/>
      <c r="J154" s="564">
        <f>H154/DAY(B2)</f>
        <v>-3.8041210401297668E-2</v>
      </c>
      <c r="N154" s="379"/>
      <c r="O154" s="379"/>
    </row>
    <row r="155" spans="1:15">
      <c r="A155" s="461"/>
      <c r="B155" s="451"/>
      <c r="C155" s="451"/>
      <c r="D155" s="541"/>
      <c r="E155" s="541"/>
      <c r="F155" s="541"/>
      <c r="G155" s="1249"/>
      <c r="H155" s="542"/>
      <c r="I155" s="541"/>
      <c r="J155" s="543"/>
      <c r="O155" s="379"/>
    </row>
    <row r="161" spans="1:12">
      <c r="A161" s="780" t="s">
        <v>318</v>
      </c>
      <c r="B161" s="781"/>
      <c r="C161" s="781"/>
      <c r="D161" s="506" t="s">
        <v>253</v>
      </c>
      <c r="E161" s="654">
        <f>'20'!F161</f>
        <v>37539</v>
      </c>
      <c r="F161" s="654">
        <v>37620</v>
      </c>
      <c r="G161" s="1225">
        <f t="shared" ref="G161:G164" si="17">F161-E161</f>
        <v>81</v>
      </c>
      <c r="K161" s="373">
        <v>68.829999999999927</v>
      </c>
      <c r="L161" s="373">
        <f t="shared" ref="L161:L172" si="18">G161-K161</f>
        <v>12.170000000000073</v>
      </c>
    </row>
    <row r="162" spans="1:12">
      <c r="A162" s="780" t="s">
        <v>319</v>
      </c>
      <c r="B162" s="781"/>
      <c r="C162" s="781"/>
      <c r="D162" s="506" t="s">
        <v>253</v>
      </c>
      <c r="E162" s="654">
        <f>'20'!F162</f>
        <v>90557</v>
      </c>
      <c r="F162" s="654">
        <v>90943</v>
      </c>
      <c r="G162" s="1225">
        <f t="shared" si="17"/>
        <v>386</v>
      </c>
      <c r="K162" s="373">
        <v>122.46000000000004</v>
      </c>
      <c r="L162" s="373">
        <f t="shared" si="18"/>
        <v>263.53999999999996</v>
      </c>
    </row>
    <row r="163" spans="1:12">
      <c r="A163" s="780" t="s">
        <v>320</v>
      </c>
      <c r="B163" s="781"/>
      <c r="C163" s="781"/>
      <c r="D163" s="506" t="s">
        <v>253</v>
      </c>
      <c r="E163" s="654">
        <f>'20'!F163</f>
        <v>42697</v>
      </c>
      <c r="F163" s="654">
        <v>42901</v>
      </c>
      <c r="G163" s="1225">
        <f t="shared" si="17"/>
        <v>204</v>
      </c>
      <c r="K163" s="373">
        <v>139.42000000000007</v>
      </c>
      <c r="L163" s="373">
        <f t="shared" si="18"/>
        <v>64.579999999999927</v>
      </c>
    </row>
    <row r="164" spans="1:12">
      <c r="A164" s="780" t="s">
        <v>321</v>
      </c>
      <c r="B164" s="781"/>
      <c r="C164" s="781"/>
      <c r="D164" s="506" t="s">
        <v>253</v>
      </c>
      <c r="E164" s="654">
        <f>'20'!F164</f>
        <v>6474</v>
      </c>
      <c r="F164" s="654">
        <v>6483</v>
      </c>
      <c r="G164" s="1225">
        <f t="shared" si="17"/>
        <v>9</v>
      </c>
      <c r="K164" s="373">
        <v>49.659999999999968</v>
      </c>
      <c r="L164" s="373">
        <f t="shared" si="18"/>
        <v>-40.659999999999968</v>
      </c>
    </row>
    <row r="165" spans="1:12">
      <c r="A165" s="782" t="s">
        <v>252</v>
      </c>
      <c r="B165" s="599"/>
      <c r="C165" s="599"/>
      <c r="D165" s="506" t="s">
        <v>253</v>
      </c>
      <c r="E165" s="509">
        <f>E62</f>
        <v>20419.2</v>
      </c>
      <c r="F165" s="509">
        <f>F62</f>
        <v>20419.2</v>
      </c>
      <c r="G165" s="1225">
        <f t="shared" ref="G165:G172" si="19">F165-E165</f>
        <v>0</v>
      </c>
      <c r="K165" s="373">
        <v>0</v>
      </c>
      <c r="L165" s="373">
        <f t="shared" si="18"/>
        <v>0</v>
      </c>
    </row>
    <row r="166" spans="1:12">
      <c r="A166" s="782" t="s">
        <v>254</v>
      </c>
      <c r="B166" s="599"/>
      <c r="C166" s="599"/>
      <c r="D166" s="506" t="s">
        <v>253</v>
      </c>
      <c r="E166" s="509">
        <f t="shared" ref="E166:E172" si="20">E63</f>
        <v>2435</v>
      </c>
      <c r="F166" s="509">
        <f t="shared" ref="F166:F172" si="21">F63</f>
        <v>2438</v>
      </c>
      <c r="G166" s="1225">
        <f t="shared" si="19"/>
        <v>3</v>
      </c>
      <c r="K166" s="373">
        <v>0</v>
      </c>
      <c r="L166" s="373">
        <f t="shared" si="18"/>
        <v>3</v>
      </c>
    </row>
    <row r="167" spans="1:12" ht="27.75">
      <c r="A167" s="1502" t="s">
        <v>161</v>
      </c>
      <c r="B167" s="1502"/>
      <c r="C167" s="1502"/>
      <c r="D167" s="518" t="s">
        <v>253</v>
      </c>
      <c r="E167" s="509">
        <f t="shared" si="20"/>
        <v>157797</v>
      </c>
      <c r="F167" s="509">
        <f t="shared" si="21"/>
        <v>157972</v>
      </c>
      <c r="G167" s="1225">
        <f t="shared" si="19"/>
        <v>175</v>
      </c>
      <c r="K167" s="373">
        <v>201.76000000000204</v>
      </c>
      <c r="L167" s="373">
        <f t="shared" si="18"/>
        <v>-26.760000000002037</v>
      </c>
    </row>
    <row r="168" spans="1:12" ht="27.75">
      <c r="A168" s="1502" t="s">
        <v>162</v>
      </c>
      <c r="B168" s="1502"/>
      <c r="C168" s="1502"/>
      <c r="D168" s="518" t="s">
        <v>253</v>
      </c>
      <c r="E168" s="509">
        <f t="shared" si="20"/>
        <v>158634</v>
      </c>
      <c r="F168" s="509">
        <f t="shared" si="21"/>
        <v>158840</v>
      </c>
      <c r="G168" s="1225">
        <f t="shared" si="19"/>
        <v>206</v>
      </c>
      <c r="K168" s="373">
        <v>191.63000000000466</v>
      </c>
      <c r="L168" s="373">
        <f t="shared" si="18"/>
        <v>14.369999999995343</v>
      </c>
    </row>
    <row r="169" spans="1:12" ht="27.75">
      <c r="A169" s="1502" t="s">
        <v>255</v>
      </c>
      <c r="B169" s="1502"/>
      <c r="C169" s="1502"/>
      <c r="D169" s="518" t="s">
        <v>253</v>
      </c>
      <c r="E169" s="509">
        <f t="shared" si="20"/>
        <v>53739</v>
      </c>
      <c r="F169" s="509">
        <f t="shared" si="21"/>
        <v>54000</v>
      </c>
      <c r="G169" s="1225">
        <f t="shared" si="19"/>
        <v>261</v>
      </c>
      <c r="K169" s="373">
        <v>231.68000000000029</v>
      </c>
      <c r="L169" s="373">
        <f t="shared" si="18"/>
        <v>29.319999999999709</v>
      </c>
    </row>
    <row r="170" spans="1:12" ht="27.75">
      <c r="A170" s="1502" t="s">
        <v>157</v>
      </c>
      <c r="B170" s="1502"/>
      <c r="C170" s="1502"/>
      <c r="D170" s="518" t="s">
        <v>253</v>
      </c>
      <c r="E170" s="509">
        <f t="shared" si="20"/>
        <v>247210</v>
      </c>
      <c r="F170" s="509">
        <f t="shared" si="21"/>
        <v>247691</v>
      </c>
      <c r="G170" s="1225">
        <f t="shared" si="19"/>
        <v>481</v>
      </c>
      <c r="K170" s="373">
        <v>344.30000000000291</v>
      </c>
      <c r="L170" s="373">
        <f t="shared" si="18"/>
        <v>136.69999999999709</v>
      </c>
    </row>
    <row r="171" spans="1:12" ht="27.75">
      <c r="A171" s="1502" t="s">
        <v>164</v>
      </c>
      <c r="B171" s="1502"/>
      <c r="C171" s="1502"/>
      <c r="D171" s="518" t="s">
        <v>253</v>
      </c>
      <c r="E171" s="509">
        <f t="shared" si="20"/>
        <v>85321</v>
      </c>
      <c r="F171" s="509">
        <f t="shared" si="21"/>
        <v>85321</v>
      </c>
      <c r="G171" s="1225">
        <f t="shared" si="19"/>
        <v>0</v>
      </c>
      <c r="K171" s="373">
        <v>140.90999999999985</v>
      </c>
      <c r="L171" s="373">
        <f t="shared" si="18"/>
        <v>-140.90999999999985</v>
      </c>
    </row>
    <row r="172" spans="1:12" ht="27.75">
      <c r="A172" s="1502" t="s">
        <v>165</v>
      </c>
      <c r="B172" s="1502"/>
      <c r="C172" s="1502"/>
      <c r="D172" s="518" t="s">
        <v>253</v>
      </c>
      <c r="E172" s="509">
        <f t="shared" si="20"/>
        <v>80521</v>
      </c>
      <c r="F172" s="509">
        <f t="shared" si="21"/>
        <v>80597</v>
      </c>
      <c r="G172" s="1225">
        <f t="shared" si="19"/>
        <v>76</v>
      </c>
      <c r="K172" s="373">
        <v>57.709999999999127</v>
      </c>
      <c r="L172" s="373">
        <f t="shared" si="18"/>
        <v>18.290000000000873</v>
      </c>
    </row>
    <row r="173" spans="1:12">
      <c r="G173" s="1250">
        <f>SUM(G161:G172)</f>
        <v>1882</v>
      </c>
    </row>
    <row r="174" spans="1:12" ht="27.75">
      <c r="A174" s="1502" t="s">
        <v>350</v>
      </c>
      <c r="B174" s="1502"/>
      <c r="C174" s="1502"/>
      <c r="D174" s="518" t="s">
        <v>253</v>
      </c>
      <c r="E174" s="509"/>
      <c r="F174" s="509"/>
      <c r="G174" s="468"/>
    </row>
    <row r="177" spans="6:6" ht="18.75" customHeight="1"/>
    <row r="178" spans="6:6" ht="21" customHeight="1">
      <c r="F178" s="532" t="s">
        <v>355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topLeftCell="A112" zoomScale="55" zoomScaleNormal="71" zoomScaleSheetLayoutView="55" workbookViewId="0">
      <selection activeCell="A33" sqref="A33:J33"/>
    </sheetView>
  </sheetViews>
  <sheetFormatPr defaultColWidth="22.33203125" defaultRowHeight="29.25"/>
  <cols>
    <col min="1" max="1" width="59.6640625" style="449" bestFit="1" customWidth="1"/>
    <col min="2" max="2" width="30.777343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1250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356</v>
      </c>
      <c r="B2" s="1028">
        <v>44338</v>
      </c>
      <c r="C2" s="1394" t="s">
        <v>111</v>
      </c>
      <c r="D2" s="606">
        <v>0.35</v>
      </c>
      <c r="E2" s="456"/>
      <c r="F2" s="456"/>
      <c r="G2" s="1221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27</v>
      </c>
      <c r="E3" s="1474" t="s">
        <v>187</v>
      </c>
      <c r="F3" s="1475"/>
      <c r="G3" s="1222">
        <f>'1'!G3</f>
        <v>0</v>
      </c>
      <c r="H3" s="458">
        <f>'1'!H3</f>
        <v>0</v>
      </c>
      <c r="I3" s="458">
        <f>'1'!I3</f>
        <v>0</v>
      </c>
      <c r="J3" s="610">
        <f>'1'!J3</f>
        <v>0</v>
      </c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0.84</v>
      </c>
      <c r="E4" s="459"/>
      <c r="F4" s="459"/>
      <c r="G4" s="1222"/>
      <c r="H4" s="459"/>
      <c r="I4" s="460"/>
      <c r="J4" s="610"/>
      <c r="K4" s="369"/>
      <c r="L4" s="289"/>
    </row>
    <row r="5" spans="1:15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122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>
      <c r="A6" s="1468" t="s">
        <v>196</v>
      </c>
      <c r="B6" s="1469"/>
      <c r="C6" s="1470"/>
      <c r="D6" s="466"/>
      <c r="E6" s="466"/>
      <c r="F6" s="466"/>
      <c r="G6" s="1224"/>
      <c r="H6" s="467"/>
      <c r="I6" s="467"/>
      <c r="J6" s="546"/>
      <c r="K6" s="423"/>
      <c r="L6" s="374"/>
    </row>
    <row r="7" spans="1:15" ht="30" thickBot="1">
      <c r="A7" s="573" t="s">
        <v>197</v>
      </c>
      <c r="B7" s="574"/>
      <c r="C7" s="574"/>
      <c r="D7" s="518" t="s">
        <v>198</v>
      </c>
      <c r="E7" s="450">
        <f>'21'!F7</f>
        <v>708941</v>
      </c>
      <c r="F7" s="450">
        <f>E7+17000</f>
        <v>725941</v>
      </c>
      <c r="G7" s="1225">
        <f>F7-E7</f>
        <v>17000</v>
      </c>
      <c r="H7" s="455">
        <f>G7+'21'!H7</f>
        <v>381529</v>
      </c>
      <c r="I7" s="469">
        <f>'1'!I7</f>
        <v>12000</v>
      </c>
      <c r="J7" s="547">
        <f>H7/DAY(B2)</f>
        <v>17342.227272727272</v>
      </c>
      <c r="K7" s="544"/>
      <c r="L7" s="374"/>
      <c r="N7" s="379"/>
      <c r="O7" s="379"/>
    </row>
    <row r="8" spans="1:15" ht="27.75" thickBot="1">
      <c r="A8" s="575" t="s">
        <v>199</v>
      </c>
      <c r="B8" s="576"/>
      <c r="C8" s="577"/>
      <c r="D8" s="612" t="s">
        <v>59</v>
      </c>
      <c r="E8" s="470">
        <f>'21'!F8</f>
        <v>713195</v>
      </c>
      <c r="F8" s="470">
        <f>E8+17150</f>
        <v>730345</v>
      </c>
      <c r="G8" s="1226">
        <f>F8-E8</f>
        <v>17150</v>
      </c>
      <c r="H8" s="455">
        <f>G8+'21'!H8</f>
        <v>383835</v>
      </c>
      <c r="I8" s="472">
        <f>'1'!I8</f>
        <v>12000</v>
      </c>
      <c r="J8" s="547">
        <f>H8/DAY(B2)</f>
        <v>17447.045454545456</v>
      </c>
      <c r="K8" s="544"/>
      <c r="L8" s="421"/>
      <c r="M8" s="435"/>
      <c r="N8" s="379"/>
      <c r="O8" s="379"/>
    </row>
    <row r="9" spans="1:15">
      <c r="A9" s="578" t="s">
        <v>200</v>
      </c>
      <c r="B9" s="579"/>
      <c r="C9" s="579"/>
      <c r="D9" s="518" t="s">
        <v>198</v>
      </c>
      <c r="E9" s="473">
        <f>'21'!F9</f>
        <v>1830572</v>
      </c>
      <c r="F9" s="473">
        <f>E9+16950</f>
        <v>1847522</v>
      </c>
      <c r="G9" s="1225">
        <f t="shared" ref="G9:G12" si="0">F9-E9</f>
        <v>16950</v>
      </c>
      <c r="H9" s="455">
        <f>G9+'21'!H9</f>
        <v>373832</v>
      </c>
      <c r="I9" s="474">
        <f>I8-J8</f>
        <v>-5447.0454545454559</v>
      </c>
      <c r="J9" s="547">
        <f>H9/DAY(B2)</f>
        <v>16992.363636363636</v>
      </c>
      <c r="K9" s="424"/>
      <c r="L9" s="374"/>
      <c r="N9" s="379"/>
      <c r="O9" s="379"/>
    </row>
    <row r="10" spans="1:15">
      <c r="A10" s="573" t="s">
        <v>201</v>
      </c>
      <c r="B10" s="574"/>
      <c r="C10" s="574"/>
      <c r="D10" s="518" t="s">
        <v>198</v>
      </c>
      <c r="E10" s="473">
        <f>'21'!F10</f>
        <v>0</v>
      </c>
      <c r="F10" s="473"/>
      <c r="G10" s="1225">
        <f t="shared" si="0"/>
        <v>0</v>
      </c>
      <c r="H10" s="455">
        <f>G10+'21'!H10</f>
        <v>-2606.13</v>
      </c>
      <c r="I10" s="475"/>
      <c r="J10" s="547">
        <f>H10/DAY(B2)</f>
        <v>-118.46045454545455</v>
      </c>
      <c r="K10" s="424"/>
      <c r="L10" s="374"/>
      <c r="N10" s="379"/>
      <c r="O10" s="379"/>
    </row>
    <row r="11" spans="1:15">
      <c r="A11" s="573" t="s">
        <v>202</v>
      </c>
      <c r="B11" s="574"/>
      <c r="C11" s="574"/>
      <c r="D11" s="518" t="s">
        <v>198</v>
      </c>
      <c r="E11" s="450">
        <f>'5'!E11</f>
        <v>37000</v>
      </c>
      <c r="F11" s="450">
        <v>37000</v>
      </c>
      <c r="G11" s="1225">
        <f t="shared" si="0"/>
        <v>0</v>
      </c>
      <c r="H11" s="455">
        <f>G11+'21'!H11</f>
        <v>0</v>
      </c>
      <c r="I11" s="475"/>
      <c r="J11" s="547">
        <f>H11/DAY(B2)</f>
        <v>0</v>
      </c>
      <c r="K11" s="424"/>
      <c r="L11" s="374"/>
      <c r="N11" s="379"/>
      <c r="O11" s="379"/>
    </row>
    <row r="12" spans="1:15">
      <c r="A12" s="573" t="s">
        <v>203</v>
      </c>
      <c r="B12" s="574"/>
      <c r="C12" s="574"/>
      <c r="D12" s="518" t="s">
        <v>198</v>
      </c>
      <c r="E12" s="473">
        <f>'5'!E12</f>
        <v>40010</v>
      </c>
      <c r="F12" s="473">
        <v>40010</v>
      </c>
      <c r="G12" s="1225">
        <f t="shared" si="0"/>
        <v>0</v>
      </c>
      <c r="H12" s="455">
        <f>G12+'21'!H12</f>
        <v>0</v>
      </c>
      <c r="I12" s="475"/>
      <c r="J12" s="547">
        <f>H12/DAY(B2)</f>
        <v>0</v>
      </c>
      <c r="K12" s="424"/>
      <c r="L12" s="374"/>
      <c r="N12" s="379"/>
      <c r="O12" s="379"/>
    </row>
    <row r="13" spans="1:15">
      <c r="A13" s="580" t="s">
        <v>204</v>
      </c>
      <c r="B13" s="581"/>
      <c r="C13" s="581"/>
      <c r="D13" s="518"/>
      <c r="E13" s="450"/>
      <c r="F13" s="450"/>
      <c r="G13" s="1227">
        <f>G9+G10+G11+G12</f>
        <v>16950</v>
      </c>
      <c r="H13" s="455">
        <f>G13+'21'!H13</f>
        <v>354700.87</v>
      </c>
      <c r="I13" s="477">
        <f>G7-G13</f>
        <v>50</v>
      </c>
      <c r="J13" s="547">
        <f>H13/DAY(B2)</f>
        <v>16122.766818181817</v>
      </c>
      <c r="K13" s="424"/>
      <c r="L13" s="374"/>
      <c r="N13" s="379"/>
      <c r="O13" s="379"/>
    </row>
    <row r="14" spans="1:15">
      <c r="A14" s="1471" t="s">
        <v>205</v>
      </c>
      <c r="B14" s="1472"/>
      <c r="C14" s="1473"/>
      <c r="D14" s="467"/>
      <c r="E14" s="467"/>
      <c r="F14" s="467"/>
      <c r="G14" s="1228"/>
      <c r="H14" s="467"/>
      <c r="I14" s="467"/>
      <c r="J14" s="546"/>
      <c r="K14" s="425"/>
      <c r="L14" s="374"/>
      <c r="N14" s="379"/>
      <c r="O14" s="379"/>
    </row>
    <row r="15" spans="1:15">
      <c r="A15" s="1392" t="s">
        <v>133</v>
      </c>
      <c r="B15" s="584"/>
      <c r="C15" s="584"/>
      <c r="D15" s="518" t="s">
        <v>206</v>
      </c>
      <c r="E15" s="479">
        <f>'21'!F15</f>
        <v>1695232</v>
      </c>
      <c r="F15" s="479">
        <f>E15+550</f>
        <v>1695782</v>
      </c>
      <c r="G15" s="1229">
        <f>(F15-E15)</f>
        <v>550</v>
      </c>
      <c r="H15" s="455">
        <f>G15+'21'!H15</f>
        <v>11258</v>
      </c>
      <c r="I15" s="469">
        <v>800</v>
      </c>
      <c r="J15" s="547">
        <f>H15/DAY(B2)</f>
        <v>511.72727272727275</v>
      </c>
      <c r="K15" s="424"/>
      <c r="L15" s="374"/>
      <c r="N15" s="379"/>
      <c r="O15" s="717"/>
    </row>
    <row r="16" spans="1:15">
      <c r="A16" s="582"/>
      <c r="B16" s="583"/>
      <c r="C16" s="583"/>
      <c r="D16" s="519"/>
      <c r="E16" s="480"/>
      <c r="F16" s="480"/>
      <c r="G16" s="1225"/>
      <c r="H16" s="481"/>
      <c r="I16" s="482">
        <f>I15-J15</f>
        <v>288.27272727272725</v>
      </c>
      <c r="J16" s="548"/>
      <c r="K16" s="424"/>
      <c r="L16" s="374"/>
      <c r="N16" s="379"/>
      <c r="O16" s="379"/>
    </row>
    <row r="17" spans="1:15">
      <c r="A17" s="1471" t="s">
        <v>207</v>
      </c>
      <c r="B17" s="1472"/>
      <c r="C17" s="1473"/>
      <c r="D17" s="467"/>
      <c r="E17" s="467"/>
      <c r="F17" s="467"/>
      <c r="G17" s="1228"/>
      <c r="H17" s="467"/>
      <c r="I17" s="467"/>
      <c r="J17" s="546"/>
      <c r="K17" s="424"/>
      <c r="L17" s="374"/>
      <c r="N17" s="379"/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79">
        <f>'21'!F18</f>
        <v>4</v>
      </c>
      <c r="F18" s="479">
        <v>9</v>
      </c>
      <c r="G18" s="1227">
        <f>F18*10</f>
        <v>90</v>
      </c>
      <c r="H18" s="455">
        <f>G18+'21'!H18</f>
        <v>1050</v>
      </c>
      <c r="I18" s="469">
        <f>'1'!I18</f>
        <v>65</v>
      </c>
      <c r="J18" s="547">
        <f>H18/DAY(B2)</f>
        <v>47.727272727272727</v>
      </c>
      <c r="K18" s="424"/>
      <c r="L18" s="374"/>
      <c r="N18" s="379"/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79">
        <f>'21'!F19</f>
        <v>139022</v>
      </c>
      <c r="F19" s="479">
        <v>139082</v>
      </c>
      <c r="G19" s="1225">
        <f t="shared" ref="G19" si="1">F19-E19</f>
        <v>60</v>
      </c>
      <c r="H19" s="455">
        <f>G19+'21'!H19</f>
        <v>-530</v>
      </c>
      <c r="I19" s="484"/>
      <c r="J19" s="547">
        <f>H19/DAY(B2)</f>
        <v>-24.09090909090909</v>
      </c>
      <c r="K19" s="424"/>
      <c r="L19" s="374"/>
      <c r="N19" s="379"/>
      <c r="O19" s="379"/>
    </row>
    <row r="20" spans="1:15">
      <c r="A20" s="580" t="s">
        <v>210</v>
      </c>
      <c r="B20" s="581"/>
      <c r="C20" s="581"/>
      <c r="D20" s="485"/>
      <c r="E20" s="485"/>
      <c r="F20" s="485"/>
      <c r="G20" s="1230">
        <f>G18+G19</f>
        <v>150</v>
      </c>
      <c r="H20" s="455">
        <f>G20+'21'!H20</f>
        <v>520</v>
      </c>
      <c r="I20" s="487">
        <f>I18-J20</f>
        <v>41.36363636363636</v>
      </c>
      <c r="J20" s="547">
        <f>H20/DAY(B2)</f>
        <v>23.636363636363637</v>
      </c>
      <c r="K20" s="424"/>
      <c r="L20" s="374"/>
      <c r="N20" s="379"/>
      <c r="O20" s="379"/>
    </row>
    <row r="21" spans="1:15">
      <c r="A21" s="1471" t="s">
        <v>211</v>
      </c>
      <c r="B21" s="1472"/>
      <c r="C21" s="1473"/>
      <c r="D21" s="467"/>
      <c r="E21" s="467"/>
      <c r="F21" s="467"/>
      <c r="G21" s="1228"/>
      <c r="H21" s="467"/>
      <c r="I21" s="467"/>
      <c r="J21" s="546"/>
      <c r="K21" s="424"/>
      <c r="L21" s="374"/>
      <c r="N21" s="379"/>
      <c r="O21" s="379"/>
    </row>
    <row r="22" spans="1:15">
      <c r="A22" s="1392" t="s">
        <v>212</v>
      </c>
      <c r="B22" s="584"/>
      <c r="C22" s="584"/>
      <c r="D22" s="518" t="s">
        <v>213</v>
      </c>
      <c r="E22" s="479">
        <f>'21'!F22</f>
        <v>2970</v>
      </c>
      <c r="F22" s="479">
        <v>2970</v>
      </c>
      <c r="G22" s="1227">
        <f>(F22-E22)</f>
        <v>0</v>
      </c>
      <c r="H22" s="455">
        <f>G22+'21'!H22</f>
        <v>0</v>
      </c>
      <c r="I22" s="475"/>
      <c r="J22" s="547">
        <f>H22/DAY(B2)</f>
        <v>0</v>
      </c>
      <c r="K22" s="424"/>
      <c r="L22" s="374"/>
      <c r="N22" s="379"/>
      <c r="O22" s="379"/>
    </row>
    <row r="23" spans="1:15">
      <c r="A23" s="1392" t="s">
        <v>214</v>
      </c>
      <c r="B23" s="584"/>
      <c r="C23" s="584"/>
      <c r="D23" s="518" t="s">
        <v>213</v>
      </c>
      <c r="E23" s="479">
        <f>'21'!F23</f>
        <v>2000</v>
      </c>
      <c r="F23" s="479">
        <v>2000</v>
      </c>
      <c r="G23" s="1227">
        <v>0</v>
      </c>
      <c r="H23" s="455">
        <f>G23+'21'!H23</f>
        <v>0</v>
      </c>
      <c r="I23" s="475"/>
      <c r="J23" s="547">
        <f>H23/DAY(B2)</f>
        <v>0</v>
      </c>
      <c r="K23" s="424"/>
      <c r="L23" s="374"/>
      <c r="N23" s="379"/>
      <c r="O23" s="379"/>
    </row>
    <row r="24" spans="1:15">
      <c r="A24" s="585" t="s">
        <v>215</v>
      </c>
      <c r="B24" s="586"/>
      <c r="C24" s="586"/>
      <c r="D24" s="506" t="s">
        <v>213</v>
      </c>
      <c r="E24" s="488">
        <f>'21'!F24</f>
        <v>4970</v>
      </c>
      <c r="F24" s="488">
        <v>4970</v>
      </c>
      <c r="G24" s="1227">
        <v>0</v>
      </c>
      <c r="H24" s="455">
        <f>G24+'21'!H24</f>
        <v>0</v>
      </c>
      <c r="I24" s="475"/>
      <c r="J24" s="547">
        <f>H24/DAY(B2)</f>
        <v>0</v>
      </c>
      <c r="K24" s="424"/>
      <c r="L24" s="374"/>
      <c r="N24" s="379"/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1231"/>
      <c r="H25" s="490"/>
      <c r="I25" s="491"/>
      <c r="J25" s="549"/>
      <c r="K25" s="370"/>
      <c r="L25" s="438"/>
      <c r="N25" s="439"/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1232"/>
      <c r="H26" s="455"/>
      <c r="I26" s="494"/>
      <c r="J26" s="547"/>
      <c r="K26" s="371"/>
      <c r="L26" s="438"/>
      <c r="N26" s="439"/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6">
        <f>G8</f>
        <v>17150</v>
      </c>
      <c r="F27" s="496">
        <v>9</v>
      </c>
      <c r="G27" s="1233">
        <f>E27*F27</f>
        <v>154350</v>
      </c>
      <c r="H27" s="455">
        <f>G27+'21'!H27</f>
        <v>3453678</v>
      </c>
      <c r="I27" s="498"/>
      <c r="J27" s="547">
        <f>H27/DAY(B2)</f>
        <v>156985.36363636365</v>
      </c>
      <c r="K27" s="370"/>
      <c r="L27" s="438"/>
      <c r="N27" s="439"/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6">
        <f>G15</f>
        <v>550</v>
      </c>
      <c r="F28" s="496">
        <v>52</v>
      </c>
      <c r="G28" s="1233">
        <f>E28*F28</f>
        <v>28600</v>
      </c>
      <c r="H28" s="455">
        <f>G28+'21'!H28</f>
        <v>585416</v>
      </c>
      <c r="I28" s="500"/>
      <c r="J28" s="547">
        <f>H28/DAY(B2)</f>
        <v>26609.81818181818</v>
      </c>
      <c r="K28" s="370"/>
      <c r="L28" s="438"/>
      <c r="N28" s="439"/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496">
        <f>G24</f>
        <v>0</v>
      </c>
      <c r="F29" s="496">
        <v>69</v>
      </c>
      <c r="G29" s="1233">
        <f>E29*F29</f>
        <v>0</v>
      </c>
      <c r="H29" s="455">
        <f>G29+'21'!H29</f>
        <v>8280</v>
      </c>
      <c r="I29" s="500"/>
      <c r="J29" s="547">
        <f>H29/DAY(B2)</f>
        <v>376.36363636363637</v>
      </c>
      <c r="K29" s="370"/>
      <c r="L29" s="438"/>
      <c r="N29" s="439"/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496">
        <f>G19</f>
        <v>60</v>
      </c>
      <c r="F30" s="496">
        <v>146</v>
      </c>
      <c r="G30" s="1233">
        <f>E30*F30</f>
        <v>8760</v>
      </c>
      <c r="H30" s="455">
        <f>G30+'21'!H30</f>
        <v>-77380</v>
      </c>
      <c r="I30" s="500"/>
      <c r="J30" s="547">
        <f>H30/DAY(B2)</f>
        <v>-3517.2727272727275</v>
      </c>
      <c r="K30" s="370"/>
      <c r="L30" s="438"/>
      <c r="N30" s="439"/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496">
        <f>G18</f>
        <v>90</v>
      </c>
      <c r="F31" s="496">
        <v>80</v>
      </c>
      <c r="G31" s="1233">
        <f>E31*F31</f>
        <v>7200</v>
      </c>
      <c r="H31" s="455">
        <f>G31+'21'!H31</f>
        <v>84000</v>
      </c>
      <c r="I31" s="500"/>
      <c r="J31" s="547">
        <f>H31/DAY(B2)</f>
        <v>3818.181818181818</v>
      </c>
      <c r="K31" s="370"/>
      <c r="L31" s="438"/>
      <c r="N31" s="439"/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1234">
        <f>G27+G28+G29+G30+G31</f>
        <v>198910</v>
      </c>
      <c r="H32" s="455">
        <f>G32+'21'!H32</f>
        <v>4053994</v>
      </c>
      <c r="I32" s="504"/>
      <c r="J32" s="547">
        <f>H32/DAY(B2)</f>
        <v>184272.45454545456</v>
      </c>
      <c r="K32" s="370"/>
      <c r="L32" s="438"/>
      <c r="N32" s="439"/>
      <c r="O32" s="379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  <c r="O33" s="379"/>
    </row>
    <row r="34" spans="1:15">
      <c r="A34" s="593" t="s">
        <v>228</v>
      </c>
      <c r="B34" s="1397"/>
      <c r="C34" s="1397"/>
      <c r="D34" s="467"/>
      <c r="E34" s="466"/>
      <c r="F34" s="466"/>
      <c r="G34" s="1235"/>
      <c r="H34" s="467"/>
      <c r="I34" s="467"/>
      <c r="J34" s="546"/>
      <c r="K34" s="424"/>
      <c r="L34" s="374"/>
      <c r="N34" s="379"/>
      <c r="O34" s="379"/>
    </row>
    <row r="35" spans="1:15">
      <c r="A35" s="573" t="s">
        <v>229</v>
      </c>
      <c r="B35" s="574"/>
      <c r="C35" s="574"/>
      <c r="D35" s="518" t="s">
        <v>198</v>
      </c>
      <c r="E35" s="505">
        <f>'21'!F35</f>
        <v>927416</v>
      </c>
      <c r="F35" s="505">
        <v>929336</v>
      </c>
      <c r="G35" s="1225">
        <f t="shared" ref="G35:G46" si="2">F35-E35</f>
        <v>1920</v>
      </c>
      <c r="H35" s="455">
        <f>G35+'21'!H35</f>
        <v>-21152</v>
      </c>
      <c r="I35" s="450"/>
      <c r="J35" s="547">
        <f>H35/DAY(B2)</f>
        <v>-961.4545454545455</v>
      </c>
      <c r="K35" s="424"/>
      <c r="L35" s="374"/>
      <c r="N35" s="379"/>
      <c r="O35" s="623"/>
    </row>
    <row r="36" spans="1:15">
      <c r="A36" s="573" t="s">
        <v>230</v>
      </c>
      <c r="B36" s="574"/>
      <c r="C36" s="574"/>
      <c r="D36" s="518" t="s">
        <v>198</v>
      </c>
      <c r="E36" s="505">
        <f>'21'!F36</f>
        <v>347065</v>
      </c>
      <c r="F36" s="505">
        <v>347065</v>
      </c>
      <c r="G36" s="1225">
        <f t="shared" si="2"/>
        <v>0</v>
      </c>
      <c r="H36" s="455">
        <f>G36+'21'!H36</f>
        <v>346892</v>
      </c>
      <c r="I36" s="450"/>
      <c r="J36" s="547">
        <f>H36/DAY(B2)</f>
        <v>15767.818181818182</v>
      </c>
      <c r="K36" s="424"/>
      <c r="L36" s="374"/>
      <c r="N36" s="379"/>
      <c r="O36" s="623"/>
    </row>
    <row r="37" spans="1:15">
      <c r="A37" s="573" t="s">
        <v>231</v>
      </c>
      <c r="B37" s="574"/>
      <c r="C37" s="574"/>
      <c r="D37" s="518" t="s">
        <v>198</v>
      </c>
      <c r="E37" s="505">
        <f>'21'!F37</f>
        <v>121183</v>
      </c>
      <c r="F37" s="505">
        <v>122555</v>
      </c>
      <c r="G37" s="1225">
        <f t="shared" si="2"/>
        <v>1372</v>
      </c>
      <c r="H37" s="455">
        <f>G37+'21'!H37</f>
        <v>-11681</v>
      </c>
      <c r="I37" s="450"/>
      <c r="J37" s="547">
        <f>H37/DAY(B2)</f>
        <v>-530.9545454545455</v>
      </c>
      <c r="K37" s="424"/>
      <c r="L37" s="374"/>
      <c r="N37" s="379"/>
      <c r="O37" s="379"/>
    </row>
    <row r="38" spans="1:15">
      <c r="A38" s="573" t="s">
        <v>232</v>
      </c>
      <c r="B38" s="574"/>
      <c r="C38" s="574"/>
      <c r="D38" s="518" t="s">
        <v>198</v>
      </c>
      <c r="E38" s="464">
        <f>'21'!F38</f>
        <v>143992</v>
      </c>
      <c r="F38" s="464">
        <v>145272</v>
      </c>
      <c r="G38" s="1225">
        <f t="shared" si="2"/>
        <v>1280</v>
      </c>
      <c r="H38" s="455">
        <f>G38+'21'!H38</f>
        <v>-11133</v>
      </c>
      <c r="I38" s="450"/>
      <c r="J38" s="547">
        <f>H38/DAY(B2)</f>
        <v>-506.04545454545456</v>
      </c>
      <c r="K38" s="424"/>
      <c r="L38" s="374"/>
      <c r="N38" s="379"/>
      <c r="O38" s="379"/>
    </row>
    <row r="39" spans="1:15">
      <c r="A39" s="573" t="s">
        <v>233</v>
      </c>
      <c r="B39" s="574"/>
      <c r="C39" s="574"/>
      <c r="D39" s="518" t="s">
        <v>198</v>
      </c>
      <c r="E39" s="505">
        <f>'21'!F39</f>
        <v>285105</v>
      </c>
      <c r="F39" s="505">
        <v>288057</v>
      </c>
      <c r="G39" s="1225">
        <f t="shared" si="2"/>
        <v>2952</v>
      </c>
      <c r="H39" s="455">
        <f>G39+'21'!H39</f>
        <v>-20116</v>
      </c>
      <c r="I39" s="450"/>
      <c r="J39" s="547">
        <f>H39/DAY(B2)</f>
        <v>-914.36363636363637</v>
      </c>
      <c r="K39" s="424"/>
      <c r="L39" s="374"/>
      <c r="N39" s="379"/>
      <c r="O39" s="379"/>
    </row>
    <row r="40" spans="1:15">
      <c r="A40" s="594" t="s">
        <v>234</v>
      </c>
      <c r="B40" s="595"/>
      <c r="C40" s="595"/>
      <c r="D40" s="518" t="s">
        <v>198</v>
      </c>
      <c r="E40" s="505">
        <f>'21'!F40</f>
        <v>587</v>
      </c>
      <c r="F40" s="505">
        <v>686</v>
      </c>
      <c r="G40" s="1225">
        <f t="shared" si="2"/>
        <v>99</v>
      </c>
      <c r="H40" s="455">
        <f>G40+'21'!H40</f>
        <v>-203</v>
      </c>
      <c r="I40" s="450"/>
      <c r="J40" s="547">
        <f>H40/DAY(B2)</f>
        <v>-9.2272727272727266</v>
      </c>
      <c r="K40" s="425"/>
      <c r="L40" s="374"/>
      <c r="N40" s="379"/>
      <c r="O40" s="379"/>
    </row>
    <row r="41" spans="1:15">
      <c r="A41" s="573" t="s">
        <v>235</v>
      </c>
      <c r="B41" s="574"/>
      <c r="C41" s="574"/>
      <c r="D41" s="518" t="s">
        <v>198</v>
      </c>
      <c r="E41" s="505">
        <f>'21'!F41</f>
        <v>239668</v>
      </c>
      <c r="F41" s="505">
        <v>240478</v>
      </c>
      <c r="G41" s="1225">
        <f t="shared" si="2"/>
        <v>810</v>
      </c>
      <c r="H41" s="455">
        <f>G41+'21'!H41</f>
        <v>0</v>
      </c>
      <c r="I41" s="450"/>
      <c r="J41" s="547">
        <f>H41/DAY(B2)</f>
        <v>0</v>
      </c>
      <c r="K41" s="424"/>
      <c r="L41" s="374"/>
      <c r="N41" s="379"/>
      <c r="O41" s="717"/>
    </row>
    <row r="42" spans="1:15">
      <c r="A42" s="573" t="s">
        <v>236</v>
      </c>
      <c r="B42" s="574"/>
      <c r="C42" s="574"/>
      <c r="D42" s="518" t="s">
        <v>198</v>
      </c>
      <c r="E42" s="505">
        <f>'21'!F42</f>
        <v>59200</v>
      </c>
      <c r="F42" s="505">
        <v>59200</v>
      </c>
      <c r="G42" s="1225">
        <f t="shared" si="2"/>
        <v>0</v>
      </c>
      <c r="H42" s="455">
        <f>G42+'21'!H42</f>
        <v>1.0299999999988358</v>
      </c>
      <c r="I42" s="450"/>
      <c r="J42" s="547">
        <f>H42/DAY(B2)</f>
        <v>4.6818181818128905E-2</v>
      </c>
      <c r="K42" s="424"/>
      <c r="L42" s="374"/>
      <c r="N42" s="379"/>
      <c r="O42" s="379"/>
    </row>
    <row r="43" spans="1:15">
      <c r="A43" s="573" t="s">
        <v>237</v>
      </c>
      <c r="B43" s="574"/>
      <c r="C43" s="574"/>
      <c r="D43" s="518" t="s">
        <v>198</v>
      </c>
      <c r="E43" s="505">
        <f>'21'!F43</f>
        <v>1019250</v>
      </c>
      <c r="F43" s="505">
        <v>1021460</v>
      </c>
      <c r="G43" s="1225">
        <f>F43-E43</f>
        <v>2210</v>
      </c>
      <c r="H43" s="455">
        <f>G43+'21'!H43</f>
        <v>-20784</v>
      </c>
      <c r="I43" s="450"/>
      <c r="J43" s="547">
        <f>H43/DAY(B2)</f>
        <v>-944.72727272727275</v>
      </c>
      <c r="K43" s="424"/>
      <c r="L43" s="374"/>
      <c r="N43" s="379"/>
      <c r="O43" s="379"/>
    </row>
    <row r="44" spans="1:15">
      <c r="A44" s="573" t="s">
        <v>238</v>
      </c>
      <c r="B44" s="574"/>
      <c r="C44" s="574"/>
      <c r="D44" s="518" t="s">
        <v>198</v>
      </c>
      <c r="E44" s="505">
        <f>'21'!F44</f>
        <v>0</v>
      </c>
      <c r="F44" s="505">
        <v>0</v>
      </c>
      <c r="G44" s="1225">
        <f t="shared" si="2"/>
        <v>0</v>
      </c>
      <c r="H44" s="455">
        <f>G44+'21'!H44</f>
        <v>0</v>
      </c>
      <c r="I44" s="450"/>
      <c r="J44" s="547">
        <f>H44/DAY(B2)</f>
        <v>0</v>
      </c>
      <c r="K44" s="424"/>
      <c r="L44" s="374"/>
      <c r="N44" s="379"/>
      <c r="O44" s="379"/>
    </row>
    <row r="45" spans="1:15">
      <c r="A45" s="573" t="s">
        <v>239</v>
      </c>
      <c r="B45" s="574"/>
      <c r="C45" s="574"/>
      <c r="D45" s="518" t="s">
        <v>198</v>
      </c>
      <c r="E45" s="505">
        <f>'21'!F45</f>
        <v>0</v>
      </c>
      <c r="F45" s="505">
        <v>0</v>
      </c>
      <c r="G45" s="1225">
        <f t="shared" si="2"/>
        <v>0</v>
      </c>
      <c r="H45" s="455">
        <f>G45+'21'!H45</f>
        <v>0</v>
      </c>
      <c r="I45" s="450"/>
      <c r="J45" s="547">
        <f>H45/DAY(B2)</f>
        <v>0</v>
      </c>
      <c r="K45" s="424"/>
      <c r="L45" s="374"/>
      <c r="N45" s="379"/>
      <c r="O45" s="379"/>
    </row>
    <row r="46" spans="1:15">
      <c r="A46" s="573" t="s">
        <v>240</v>
      </c>
      <c r="B46" s="574"/>
      <c r="C46" s="574"/>
      <c r="D46" s="518" t="s">
        <v>198</v>
      </c>
      <c r="E46" s="505">
        <f>'21'!F46</f>
        <v>0</v>
      </c>
      <c r="F46" s="505">
        <v>0</v>
      </c>
      <c r="G46" s="1225">
        <f t="shared" si="2"/>
        <v>0</v>
      </c>
      <c r="H46" s="455">
        <f>G46+'21'!H46</f>
        <v>-5.0000000000011369E-2</v>
      </c>
      <c r="I46" s="450"/>
      <c r="J46" s="547">
        <f>H46/DAY(B2)</f>
        <v>-2.2727272727277896E-3</v>
      </c>
      <c r="K46" s="424"/>
      <c r="L46" s="374"/>
      <c r="N46" s="379"/>
      <c r="O46" s="379"/>
    </row>
    <row r="47" spans="1:15">
      <c r="A47" s="580" t="s">
        <v>241</v>
      </c>
      <c r="B47" s="581"/>
      <c r="C47" s="581"/>
      <c r="D47" s="465"/>
      <c r="E47" s="506"/>
      <c r="F47" s="506"/>
      <c r="G47" s="1227">
        <f>G35+G36+G37+G38+G39+G40+G41+G42+G43+G44+G45+G46</f>
        <v>10643</v>
      </c>
      <c r="H47" s="455">
        <f>G47+'21'!H47</f>
        <v>261824.47000000003</v>
      </c>
      <c r="I47" s="450"/>
      <c r="J47" s="547">
        <f>H47/DAY(B2)</f>
        <v>11901.112272727274</v>
      </c>
      <c r="K47" s="424"/>
      <c r="L47" s="374"/>
      <c r="N47" s="379"/>
      <c r="O47" s="379"/>
    </row>
    <row r="48" spans="1:15">
      <c r="A48" s="593" t="s">
        <v>242</v>
      </c>
      <c r="B48" s="1397"/>
      <c r="C48" s="1397"/>
      <c r="D48" s="467"/>
      <c r="E48" s="466"/>
      <c r="F48" s="466"/>
      <c r="G48" s="1235"/>
      <c r="H48" s="467"/>
      <c r="I48" s="467"/>
      <c r="J48" s="546"/>
      <c r="K48" s="424"/>
      <c r="L48" s="374"/>
      <c r="N48" s="379"/>
      <c r="O48" s="379"/>
    </row>
    <row r="49" spans="1:15">
      <c r="A49" s="573" t="s">
        <v>229</v>
      </c>
      <c r="B49" s="596"/>
      <c r="C49" s="596"/>
      <c r="D49" s="518" t="s">
        <v>198</v>
      </c>
      <c r="E49" s="505">
        <f>'21'!F49</f>
        <v>260732.13</v>
      </c>
      <c r="F49" s="505">
        <v>260732.13</v>
      </c>
      <c r="G49" s="1225">
        <f t="shared" ref="G49:G58" si="3">F49-E49</f>
        <v>0</v>
      </c>
      <c r="H49" s="455">
        <f>G49+'21'!H49</f>
        <v>0.13000000000465661</v>
      </c>
      <c r="I49" s="450"/>
      <c r="J49" s="547">
        <f>H49/DAY(B2)</f>
        <v>5.909090909302573E-3</v>
      </c>
      <c r="K49" s="424"/>
      <c r="L49" s="374"/>
      <c r="N49" s="379"/>
      <c r="O49" s="379"/>
    </row>
    <row r="50" spans="1:15">
      <c r="A50" s="573" t="s">
        <v>243</v>
      </c>
      <c r="B50" s="596"/>
      <c r="C50" s="596"/>
      <c r="D50" s="518" t="s">
        <v>198</v>
      </c>
      <c r="E50" s="505">
        <v>493272</v>
      </c>
      <c r="F50" s="505">
        <v>494190</v>
      </c>
      <c r="G50" s="1225">
        <f t="shared" si="3"/>
        <v>918</v>
      </c>
      <c r="H50" s="455">
        <f>G50+'21'!H50</f>
        <v>-9236</v>
      </c>
      <c r="I50" s="450"/>
      <c r="J50" s="547">
        <f>H50/DAY(B2)</f>
        <v>-419.81818181818181</v>
      </c>
      <c r="K50" s="424"/>
      <c r="L50" s="374"/>
      <c r="N50" s="379"/>
      <c r="O50" s="379"/>
    </row>
    <row r="51" spans="1:15">
      <c r="A51" s="573" t="s">
        <v>231</v>
      </c>
      <c r="B51" s="596"/>
      <c r="C51" s="596"/>
      <c r="D51" s="518" t="s">
        <v>198</v>
      </c>
      <c r="E51" s="505">
        <f>'21'!F51</f>
        <v>144640</v>
      </c>
      <c r="F51" s="505">
        <v>144640</v>
      </c>
      <c r="G51" s="1225">
        <f t="shared" si="3"/>
        <v>0</v>
      </c>
      <c r="H51" s="455">
        <f>G51+'21'!H51</f>
        <v>0</v>
      </c>
      <c r="I51" s="450"/>
      <c r="J51" s="547">
        <f>H51/DAY(B2)</f>
        <v>0</v>
      </c>
      <c r="K51" s="424"/>
      <c r="L51" s="374"/>
      <c r="N51" s="379"/>
      <c r="O51" s="379"/>
    </row>
    <row r="52" spans="1:15">
      <c r="A52" s="573" t="s">
        <v>244</v>
      </c>
      <c r="B52" s="596"/>
      <c r="C52" s="596"/>
      <c r="D52" s="518" t="s">
        <v>198</v>
      </c>
      <c r="E52" s="505">
        <f>'21'!F52</f>
        <v>539606.06999999995</v>
      </c>
      <c r="F52" s="505">
        <v>539606.06999999995</v>
      </c>
      <c r="G52" s="1225">
        <f t="shared" si="3"/>
        <v>0</v>
      </c>
      <c r="H52" s="455">
        <f>G52+'21'!H52</f>
        <v>0</v>
      </c>
      <c r="I52" s="450"/>
      <c r="J52" s="547">
        <f>H52/DAY(B2)</f>
        <v>0</v>
      </c>
      <c r="K52" s="424"/>
      <c r="L52" s="374"/>
      <c r="N52" s="379"/>
      <c r="O52" s="717"/>
    </row>
    <row r="53" spans="1:15">
      <c r="A53" s="573" t="s">
        <v>233</v>
      </c>
      <c r="B53" s="596"/>
      <c r="C53" s="596"/>
      <c r="D53" s="518" t="s">
        <v>198</v>
      </c>
      <c r="E53" s="505">
        <f>'21'!F53</f>
        <v>427132</v>
      </c>
      <c r="F53" s="505">
        <v>427676</v>
      </c>
      <c r="G53" s="1225">
        <f t="shared" si="3"/>
        <v>544</v>
      </c>
      <c r="H53" s="455">
        <f>G53+'21'!H53</f>
        <v>-4868.3300000000163</v>
      </c>
      <c r="I53" s="450"/>
      <c r="J53" s="547">
        <f>H53/DAY(B2)</f>
        <v>-221.28772727272801</v>
      </c>
      <c r="K53" s="424"/>
      <c r="L53" s="374"/>
      <c r="N53" s="379"/>
      <c r="O53" s="379"/>
    </row>
    <row r="54" spans="1:15">
      <c r="A54" s="573" t="s">
        <v>245</v>
      </c>
      <c r="B54" s="596"/>
      <c r="C54" s="596"/>
      <c r="D54" s="518" t="s">
        <v>198</v>
      </c>
      <c r="E54" s="505">
        <f>'21'!F54</f>
        <v>12947</v>
      </c>
      <c r="F54" s="505">
        <v>13027</v>
      </c>
      <c r="G54" s="1225">
        <f t="shared" si="3"/>
        <v>80</v>
      </c>
      <c r="H54" s="455">
        <f>G54+'21'!H54</f>
        <v>-802</v>
      </c>
      <c r="I54" s="450"/>
      <c r="J54" s="547">
        <f>H54/DAY(B2)</f>
        <v>-36.454545454545453</v>
      </c>
      <c r="K54" s="424"/>
      <c r="L54" s="374"/>
      <c r="N54" s="379"/>
      <c r="O54" s="379"/>
    </row>
    <row r="55" spans="1:15">
      <c r="A55" s="573" t="s">
        <v>246</v>
      </c>
      <c r="B55" s="596"/>
      <c r="C55" s="596"/>
      <c r="D55" s="518" t="s">
        <v>198</v>
      </c>
      <c r="E55" s="505">
        <f>'21'!F55</f>
        <v>43396</v>
      </c>
      <c r="F55" s="505">
        <v>48606</v>
      </c>
      <c r="G55" s="1225">
        <f t="shared" si="3"/>
        <v>5210</v>
      </c>
      <c r="H55" s="455">
        <f>G55+'21'!H55</f>
        <v>-19505</v>
      </c>
      <c r="I55" s="450"/>
      <c r="J55" s="547">
        <f>H55/DAY(B2)</f>
        <v>-886.59090909090912</v>
      </c>
      <c r="K55" s="424"/>
      <c r="L55" s="374"/>
      <c r="N55" s="379"/>
      <c r="O55" s="379"/>
    </row>
    <row r="56" spans="1:15" s="436" customFormat="1">
      <c r="A56" s="1099" t="s">
        <v>247</v>
      </c>
      <c r="B56" s="1100"/>
      <c r="C56" s="1100"/>
      <c r="D56" s="622" t="s">
        <v>248</v>
      </c>
      <c r="E56" s="649">
        <f>'21'!F56</f>
        <v>589504</v>
      </c>
      <c r="F56" s="649">
        <v>589514</v>
      </c>
      <c r="G56" s="1246">
        <f t="shared" si="3"/>
        <v>10</v>
      </c>
      <c r="H56" s="701">
        <f>G56+'21'!H56</f>
        <v>-27684</v>
      </c>
      <c r="I56" s="702"/>
      <c r="J56" s="703">
        <f>H56/DAY(B2)</f>
        <v>-1258.3636363636363</v>
      </c>
      <c r="K56" s="1251"/>
      <c r="L56" s="1102"/>
      <c r="N56" s="709"/>
      <c r="O56" s="709"/>
    </row>
    <row r="57" spans="1:15">
      <c r="A57" s="573" t="s">
        <v>237</v>
      </c>
      <c r="B57" s="596"/>
      <c r="C57" s="596"/>
      <c r="D57" s="518" t="s">
        <v>198</v>
      </c>
      <c r="E57" s="505">
        <f>'21'!F57</f>
        <v>7711</v>
      </c>
      <c r="F57" s="505">
        <v>7711</v>
      </c>
      <c r="G57" s="1225">
        <f t="shared" si="3"/>
        <v>0</v>
      </c>
      <c r="H57" s="455">
        <f>G57+'21'!H57</f>
        <v>0</v>
      </c>
      <c r="I57" s="450"/>
      <c r="J57" s="547">
        <f>H57/DAY(B2)</f>
        <v>0</v>
      </c>
      <c r="K57" s="424"/>
      <c r="L57" s="374"/>
      <c r="N57" s="379"/>
      <c r="O57" s="379"/>
    </row>
    <row r="58" spans="1:15">
      <c r="A58" s="573" t="s">
        <v>249</v>
      </c>
      <c r="B58" s="596"/>
      <c r="C58" s="596"/>
      <c r="D58" s="518" t="s">
        <v>198</v>
      </c>
      <c r="E58" s="505">
        <f>'21'!F58</f>
        <v>48316</v>
      </c>
      <c r="F58" s="505">
        <v>48560</v>
      </c>
      <c r="G58" s="1225">
        <f t="shared" si="3"/>
        <v>244</v>
      </c>
      <c r="H58" s="455">
        <f>G58+'21'!H58</f>
        <v>-1304.2099999999991</v>
      </c>
      <c r="I58" s="450"/>
      <c r="J58" s="547">
        <f>H58/DAY(B2)</f>
        <v>-59.282272727272691</v>
      </c>
      <c r="K58" s="424"/>
      <c r="L58" s="374"/>
      <c r="N58" s="379"/>
      <c r="O58" s="379"/>
    </row>
    <row r="59" spans="1:15">
      <c r="A59" s="580" t="s">
        <v>241</v>
      </c>
      <c r="B59" s="581"/>
      <c r="C59" s="581"/>
      <c r="D59" s="506"/>
      <c r="E59" s="506"/>
      <c r="F59" s="506"/>
      <c r="G59" s="1227">
        <f>G49+G50+G51+G52+G53+G54+G55+G56+G57+G58</f>
        <v>7006</v>
      </c>
      <c r="H59" s="455">
        <f>G59+'21'!H59</f>
        <v>-63399.340000000055</v>
      </c>
      <c r="I59" s="450">
        <f>G7-G60</f>
        <v>-649</v>
      </c>
      <c r="J59" s="547">
        <f>H59/DAY(B2)</f>
        <v>-2881.7881818181845</v>
      </c>
      <c r="K59" s="424"/>
      <c r="L59" s="374"/>
      <c r="N59" s="379"/>
      <c r="O59" s="379"/>
    </row>
    <row r="60" spans="1:15">
      <c r="A60" s="573"/>
      <c r="B60" s="574"/>
      <c r="C60" s="574"/>
      <c r="D60" s="506" t="s">
        <v>250</v>
      </c>
      <c r="E60" s="506"/>
      <c r="F60" s="506"/>
      <c r="G60" s="1227">
        <f>G47+G59</f>
        <v>17649</v>
      </c>
      <c r="H60" s="455">
        <f>G60+'21'!H60</f>
        <v>199633.66999999995</v>
      </c>
      <c r="I60" s="450">
        <f>G13-G60</f>
        <v>-699</v>
      </c>
      <c r="J60" s="547">
        <f>H47/DAY(B2)</f>
        <v>11901.112272727274</v>
      </c>
      <c r="K60" s="424"/>
      <c r="L60" s="374"/>
      <c r="N60" s="379"/>
      <c r="O60" s="379"/>
    </row>
    <row r="61" spans="1:15">
      <c r="A61" s="597" t="s">
        <v>251</v>
      </c>
      <c r="B61" s="448"/>
      <c r="C61" s="448"/>
      <c r="D61" s="508"/>
      <c r="E61" s="507"/>
      <c r="F61" s="507"/>
      <c r="G61" s="1236"/>
      <c r="H61" s="508"/>
      <c r="I61" s="508"/>
      <c r="J61" s="550"/>
      <c r="K61" s="424"/>
      <c r="L61" s="374"/>
      <c r="N61" s="379"/>
      <c r="O61" s="379"/>
    </row>
    <row r="62" spans="1:15">
      <c r="A62" s="598" t="s">
        <v>252</v>
      </c>
      <c r="B62" s="599"/>
      <c r="C62" s="599"/>
      <c r="D62" s="506" t="s">
        <v>253</v>
      </c>
      <c r="E62" s="509">
        <f>'21'!F62</f>
        <v>20419.2</v>
      </c>
      <c r="F62" s="509">
        <v>20419.2</v>
      </c>
      <c r="G62" s="1225">
        <f t="shared" ref="G62:G69" si="4">F62-E62</f>
        <v>0</v>
      </c>
      <c r="H62" s="455">
        <f>G62+'21'!H62</f>
        <v>0.20199999999749707</v>
      </c>
      <c r="I62" s="510"/>
      <c r="J62" s="547">
        <f>H62/DAY(B2)</f>
        <v>9.1818181817044115E-3</v>
      </c>
      <c r="K62" s="424"/>
      <c r="L62" s="374"/>
      <c r="N62" s="379"/>
      <c r="O62" s="379"/>
    </row>
    <row r="63" spans="1:15">
      <c r="A63" s="598" t="s">
        <v>254</v>
      </c>
      <c r="B63" s="599"/>
      <c r="C63" s="599"/>
      <c r="D63" s="506" t="s">
        <v>253</v>
      </c>
      <c r="E63" s="509">
        <f>'21'!F63</f>
        <v>2438</v>
      </c>
      <c r="F63" s="509">
        <v>2442</v>
      </c>
      <c r="G63" s="1225">
        <f t="shared" si="4"/>
        <v>4</v>
      </c>
      <c r="H63" s="455">
        <f>G63+'21'!H63</f>
        <v>2442</v>
      </c>
      <c r="I63" s="510"/>
      <c r="J63" s="547">
        <f>H63/DAY(B2)</f>
        <v>111</v>
      </c>
      <c r="K63" s="424"/>
      <c r="L63" s="374"/>
      <c r="N63" s="379"/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79">
        <f>'21'!F64</f>
        <v>157972</v>
      </c>
      <c r="F64" s="479">
        <v>158181</v>
      </c>
      <c r="G64" s="1225">
        <f t="shared" si="4"/>
        <v>209</v>
      </c>
      <c r="H64" s="455">
        <f>G64+'21'!H64</f>
        <v>-1751</v>
      </c>
      <c r="I64" s="475"/>
      <c r="J64" s="547">
        <f>H64/DAY(B2)</f>
        <v>-79.590909090909093</v>
      </c>
      <c r="K64" s="424"/>
      <c r="L64" s="374"/>
      <c r="N64" s="379"/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79">
        <f>'21'!F65</f>
        <v>158840</v>
      </c>
      <c r="F65" s="479">
        <v>159043</v>
      </c>
      <c r="G65" s="1225">
        <f t="shared" si="4"/>
        <v>203</v>
      </c>
      <c r="H65" s="455">
        <f>G65+'21'!H65</f>
        <v>-1955</v>
      </c>
      <c r="I65" s="484"/>
      <c r="J65" s="547">
        <f>H65/DAY(B2)</f>
        <v>-88.86363636363636</v>
      </c>
      <c r="K65" s="424"/>
      <c r="L65" s="374"/>
      <c r="N65" s="379"/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79">
        <f>'21'!F66</f>
        <v>54000</v>
      </c>
      <c r="F66" s="479">
        <v>54311</v>
      </c>
      <c r="G66" s="1225">
        <f t="shared" si="4"/>
        <v>311</v>
      </c>
      <c r="H66" s="455">
        <f>G66+'21'!H66</f>
        <v>-2494</v>
      </c>
      <c r="I66" s="475"/>
      <c r="J66" s="547">
        <f>H66/DAY(B2)</f>
        <v>-113.36363636363636</v>
      </c>
      <c r="K66" s="424"/>
      <c r="L66" s="374"/>
      <c r="N66" s="379"/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79">
        <f>'21'!F67</f>
        <v>247691</v>
      </c>
      <c r="F67" s="479">
        <v>248213</v>
      </c>
      <c r="G67" s="1225">
        <f t="shared" si="4"/>
        <v>522</v>
      </c>
      <c r="H67" s="455">
        <f>G67+'21'!H67</f>
        <v>-3979</v>
      </c>
      <c r="I67" s="484"/>
      <c r="J67" s="547">
        <f>H67/DAY(B2)</f>
        <v>-180.86363636363637</v>
      </c>
      <c r="K67" s="425"/>
      <c r="L67" s="374"/>
      <c r="N67" s="379"/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79">
        <v>85321</v>
      </c>
      <c r="F68" s="479">
        <v>85321</v>
      </c>
      <c r="G68" s="1225">
        <f t="shared" si="4"/>
        <v>0</v>
      </c>
      <c r="H68" s="455">
        <f>G68+'21'!H68</f>
        <v>0</v>
      </c>
      <c r="I68" s="511"/>
      <c r="J68" s="547">
        <f>H68/DAY(B2)</f>
        <v>0</v>
      </c>
      <c r="K68" s="426"/>
      <c r="L68" s="374"/>
      <c r="N68" s="379"/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79">
        <f>'21'!F69</f>
        <v>80597</v>
      </c>
      <c r="F69" s="479">
        <v>80703</v>
      </c>
      <c r="G69" s="1225">
        <f t="shared" si="4"/>
        <v>106</v>
      </c>
      <c r="H69" s="455">
        <f>G69+'21'!H69</f>
        <v>-1046</v>
      </c>
      <c r="I69" s="511"/>
      <c r="J69" s="547">
        <f>H69/DAY(B2)</f>
        <v>-47.545454545454547</v>
      </c>
      <c r="K69" s="427"/>
      <c r="L69" s="374"/>
      <c r="N69" s="379"/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1237"/>
      <c r="H70" s="455">
        <f>G70+'21'!H70</f>
        <v>0</v>
      </c>
      <c r="I70" s="513"/>
      <c r="J70" s="551"/>
      <c r="K70" s="427"/>
      <c r="L70" s="374"/>
      <c r="N70" s="379"/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514">
        <f>'21'!F72</f>
        <v>855731</v>
      </c>
      <c r="F72" s="514">
        <v>855741</v>
      </c>
      <c r="G72" s="1225">
        <f t="shared" ref="G72:G84" si="5">F72-E72</f>
        <v>10</v>
      </c>
      <c r="H72" s="455">
        <f>G72+'21'!H72</f>
        <v>-145</v>
      </c>
      <c r="I72" s="475"/>
      <c r="J72" s="547">
        <f>H72/DAY(B2)</f>
        <v>-6.5909090909090908</v>
      </c>
      <c r="K72" s="427"/>
      <c r="L72" s="374"/>
      <c r="N72" s="379"/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515">
        <f>'21'!F73</f>
        <v>885898</v>
      </c>
      <c r="F73" s="515">
        <v>885899</v>
      </c>
      <c r="G73" s="1225">
        <f t="shared" si="5"/>
        <v>1</v>
      </c>
      <c r="H73" s="455">
        <f>G73+'21'!H73</f>
        <v>148</v>
      </c>
      <c r="I73" s="475"/>
      <c r="J73" s="547">
        <f>H73/DAY(B2)</f>
        <v>6.7272727272727275</v>
      </c>
      <c r="K73" s="426"/>
      <c r="L73" s="374"/>
      <c r="N73" s="379"/>
      <c r="O73" s="379"/>
    </row>
    <row r="74" spans="1:15" ht="27.75">
      <c r="A74" s="1525" t="s">
        <v>260</v>
      </c>
      <c r="B74" s="1526"/>
      <c r="C74" s="1527"/>
      <c r="D74" s="518" t="s">
        <v>253</v>
      </c>
      <c r="E74" s="516">
        <f>'21'!F74</f>
        <v>2518</v>
      </c>
      <c r="F74" s="516">
        <v>2526</v>
      </c>
      <c r="G74" s="1225">
        <f t="shared" si="5"/>
        <v>8</v>
      </c>
      <c r="H74" s="455">
        <f>G74+'21'!H74</f>
        <v>-60</v>
      </c>
      <c r="I74" s="475"/>
      <c r="J74" s="547">
        <f>H74/DAY(B2)</f>
        <v>-2.7272727272727271</v>
      </c>
      <c r="K74" s="427"/>
      <c r="L74" s="374"/>
      <c r="N74" s="379"/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516">
        <f>'21'!F75</f>
        <v>12094</v>
      </c>
      <c r="F75" s="516">
        <v>12148</v>
      </c>
      <c r="G75" s="1225">
        <f t="shared" si="5"/>
        <v>54</v>
      </c>
      <c r="H75" s="455">
        <f>G75+'21'!H75</f>
        <v>-521</v>
      </c>
      <c r="I75" s="475"/>
      <c r="J75" s="547">
        <f>H75/DAY(B2)</f>
        <v>-23.681818181818183</v>
      </c>
      <c r="K75" s="426"/>
      <c r="L75" s="374"/>
      <c r="N75" s="379"/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515">
        <f>'21'!F76</f>
        <v>6861</v>
      </c>
      <c r="F76" s="642">
        <v>6917</v>
      </c>
      <c r="G76" s="1225">
        <f t="shared" si="5"/>
        <v>56</v>
      </c>
      <c r="H76" s="455">
        <f>G76+'21'!H76</f>
        <v>-289</v>
      </c>
      <c r="I76" s="500"/>
      <c r="J76" s="547">
        <f>H76/DAY(B2)</f>
        <v>-13.136363636363637</v>
      </c>
      <c r="K76" s="426"/>
      <c r="L76" s="374"/>
      <c r="N76" s="379"/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516">
        <f>'21'!F77</f>
        <v>702420</v>
      </c>
      <c r="F77" s="516">
        <v>702462</v>
      </c>
      <c r="G77" s="1225">
        <f t="shared" si="5"/>
        <v>42</v>
      </c>
      <c r="H77" s="455">
        <f>G77+'21'!H77</f>
        <v>-377</v>
      </c>
      <c r="I77" s="500"/>
      <c r="J77" s="547">
        <f>H77/DAY(B2)</f>
        <v>-17.136363636363637</v>
      </c>
      <c r="K77" s="426"/>
      <c r="L77" s="374"/>
      <c r="N77" s="379"/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516">
        <f>'21'!F78</f>
        <v>671865</v>
      </c>
      <c r="F78" s="516">
        <v>672062</v>
      </c>
      <c r="G78" s="1225">
        <f t="shared" si="5"/>
        <v>197</v>
      </c>
      <c r="H78" s="455">
        <f>G78+'21'!H78</f>
        <v>-970</v>
      </c>
      <c r="I78" s="500"/>
      <c r="J78" s="547">
        <f>H78/DAY(B2)</f>
        <v>-44.090909090909093</v>
      </c>
      <c r="K78" s="426"/>
      <c r="L78" s="374"/>
      <c r="N78" s="379"/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516">
        <f>'21'!F79</f>
        <v>829671</v>
      </c>
      <c r="F79" s="516">
        <v>829800</v>
      </c>
      <c r="G79" s="1225">
        <f t="shared" si="5"/>
        <v>129</v>
      </c>
      <c r="H79" s="455">
        <f>G79+'21'!H79</f>
        <v>-2222</v>
      </c>
      <c r="I79" s="500"/>
      <c r="J79" s="547">
        <f>H79/DAY(B2)</f>
        <v>-101</v>
      </c>
      <c r="K79" s="426"/>
      <c r="L79" s="374"/>
      <c r="N79" s="379"/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515">
        <f>'21'!F80</f>
        <v>524012</v>
      </c>
      <c r="F80" s="515">
        <v>524389</v>
      </c>
      <c r="G80" s="1225">
        <f t="shared" si="5"/>
        <v>377</v>
      </c>
      <c r="H80" s="455">
        <f>G80+'21'!H80</f>
        <v>-6156.5200000000186</v>
      </c>
      <c r="I80" s="500"/>
      <c r="J80" s="547">
        <f>H80/DAY(B2)</f>
        <v>-279.84181818181901</v>
      </c>
      <c r="K80" s="426"/>
      <c r="L80" s="374"/>
      <c r="N80" s="379"/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515">
        <f>'21'!F81</f>
        <v>638064</v>
      </c>
      <c r="F81" s="515">
        <v>638140</v>
      </c>
      <c r="G81" s="1225">
        <f t="shared" si="5"/>
        <v>76</v>
      </c>
      <c r="H81" s="455">
        <f>G81+'21'!H81</f>
        <v>-758</v>
      </c>
      <c r="I81" s="500"/>
      <c r="J81" s="547">
        <f>H81/DAY(B2)</f>
        <v>-34.454545454545453</v>
      </c>
      <c r="K81" s="426"/>
      <c r="L81" s="374"/>
      <c r="N81" s="379"/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517">
        <f>'21'!F82</f>
        <v>108003</v>
      </c>
      <c r="F82" s="517">
        <v>108014</v>
      </c>
      <c r="G82" s="1225">
        <f t="shared" si="5"/>
        <v>11</v>
      </c>
      <c r="H82" s="455">
        <f>G82+'21'!H82</f>
        <v>-144</v>
      </c>
      <c r="I82" s="481"/>
      <c r="J82" s="547">
        <f>H82/DAY(B2)</f>
        <v>-6.5454545454545459</v>
      </c>
      <c r="K82" s="426"/>
      <c r="L82" s="374"/>
      <c r="N82" s="379"/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506">
        <f>'21'!F83</f>
        <v>18711</v>
      </c>
      <c r="F83" s="506">
        <v>18885</v>
      </c>
      <c r="G83" s="1225">
        <f t="shared" si="5"/>
        <v>174</v>
      </c>
      <c r="H83" s="455">
        <f>G83+'21'!H83</f>
        <v>-1621</v>
      </c>
      <c r="I83" s="476"/>
      <c r="J83" s="547">
        <f>H83/DAY(B2)</f>
        <v>-73.681818181818187</v>
      </c>
      <c r="K83" s="425"/>
      <c r="L83" s="374"/>
      <c r="N83" s="379"/>
      <c r="O83" s="717"/>
    </row>
    <row r="84" spans="1:15">
      <c r="A84" s="1396" t="s">
        <v>166</v>
      </c>
      <c r="B84" s="566"/>
      <c r="C84" s="566"/>
      <c r="D84" s="473" t="s">
        <v>198</v>
      </c>
      <c r="E84" s="622">
        <f>'21'!F84</f>
        <v>493078</v>
      </c>
      <c r="F84" s="622">
        <v>493529</v>
      </c>
      <c r="G84" s="1225">
        <f t="shared" si="5"/>
        <v>451</v>
      </c>
      <c r="H84" s="455">
        <f>G84+'21'!H84</f>
        <v>-6765</v>
      </c>
      <c r="I84" s="476"/>
      <c r="J84" s="547">
        <f>H84/DAY(B2)</f>
        <v>-307.5</v>
      </c>
      <c r="K84" s="377"/>
      <c r="L84" s="374"/>
      <c r="N84" s="379"/>
      <c r="O84" s="379"/>
    </row>
    <row r="85" spans="1:15" s="376" customFormat="1">
      <c r="A85" s="600" t="s">
        <v>102</v>
      </c>
      <c r="B85" s="567"/>
      <c r="C85" s="567"/>
      <c r="D85" s="484"/>
      <c r="E85" s="518"/>
      <c r="F85" s="518"/>
      <c r="G85" s="1238">
        <f xml:space="preserve"> SUM(G72:G84)</f>
        <v>1586</v>
      </c>
      <c r="H85" s="455">
        <f>G85+'21'!H85</f>
        <v>-16337</v>
      </c>
      <c r="I85" s="476"/>
      <c r="J85" s="547">
        <f>H85/DAY(B2)</f>
        <v>-742.59090909090912</v>
      </c>
      <c r="K85" s="377"/>
      <c r="L85" s="375"/>
      <c r="N85" s="772"/>
      <c r="O85" s="717"/>
    </row>
    <row r="86" spans="1:15" s="731" customFormat="1">
      <c r="A86" s="726" t="s">
        <v>269</v>
      </c>
      <c r="B86" s="727"/>
      <c r="C86" s="727"/>
      <c r="D86" s="728" t="s">
        <v>248</v>
      </c>
      <c r="E86" s="643">
        <f>'21'!F86</f>
        <v>460577</v>
      </c>
      <c r="F86" s="643">
        <v>460665</v>
      </c>
      <c r="G86" s="1239">
        <f t="shared" ref="G86:G88" si="6">F86-E86</f>
        <v>88</v>
      </c>
      <c r="H86" s="455">
        <f>G86+'21'!H86</f>
        <v>187</v>
      </c>
      <c r="I86" s="648"/>
      <c r="J86" s="703">
        <f>H86/DAY(B2)</f>
        <v>8.5</v>
      </c>
      <c r="K86" s="729"/>
      <c r="L86" s="730"/>
      <c r="N86" s="773"/>
      <c r="O86" s="379"/>
    </row>
    <row r="87" spans="1:15" s="731" customFormat="1">
      <c r="A87" s="726" t="s">
        <v>270</v>
      </c>
      <c r="B87" s="727"/>
      <c r="C87" s="727"/>
      <c r="D87" s="728" t="s">
        <v>248</v>
      </c>
      <c r="E87" s="643">
        <f>'21'!F87</f>
        <v>81200</v>
      </c>
      <c r="F87" s="643">
        <v>81213</v>
      </c>
      <c r="G87" s="1239">
        <f t="shared" si="6"/>
        <v>13</v>
      </c>
      <c r="H87" s="455">
        <f>G87+'21'!H87</f>
        <v>97</v>
      </c>
      <c r="I87" s="648"/>
      <c r="J87" s="703">
        <f>H87/DAY(B2)</f>
        <v>4.4090909090909092</v>
      </c>
      <c r="K87" s="729"/>
      <c r="L87" s="730"/>
      <c r="N87" s="773"/>
      <c r="O87" s="379"/>
    </row>
    <row r="88" spans="1:15" s="731" customFormat="1">
      <c r="A88" s="726" t="s">
        <v>158</v>
      </c>
      <c r="B88" s="727"/>
      <c r="C88" s="727"/>
      <c r="D88" s="728" t="s">
        <v>248</v>
      </c>
      <c r="E88" s="643">
        <f>'21'!F88</f>
        <v>152660</v>
      </c>
      <c r="F88" s="643">
        <v>152683</v>
      </c>
      <c r="G88" s="1239">
        <f t="shared" si="6"/>
        <v>23</v>
      </c>
      <c r="H88" s="455">
        <f>G88+'21'!H88</f>
        <v>163</v>
      </c>
      <c r="I88" s="648"/>
      <c r="J88" s="703">
        <f>H88/DAY(B2)</f>
        <v>7.4090909090909092</v>
      </c>
      <c r="K88" s="729"/>
      <c r="L88" s="730"/>
      <c r="N88" s="773"/>
      <c r="O88" s="379"/>
    </row>
    <row r="89" spans="1:15" s="731" customFormat="1">
      <c r="A89" s="726" t="s">
        <v>272</v>
      </c>
      <c r="B89" s="727"/>
      <c r="C89" s="727"/>
      <c r="D89" s="728" t="s">
        <v>248</v>
      </c>
      <c r="E89" s="643">
        <f>'21'!F89</f>
        <v>64972</v>
      </c>
      <c r="F89" s="643">
        <v>64996</v>
      </c>
      <c r="G89" s="1239">
        <f t="shared" ref="G89:G91" si="7">F89-E89</f>
        <v>24</v>
      </c>
      <c r="H89" s="455">
        <f>G89+'21'!H89</f>
        <v>53</v>
      </c>
      <c r="I89" s="648"/>
      <c r="J89" s="703">
        <f>H89/DAY(B2)</f>
        <v>2.4090909090909092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43">
        <f>'21'!F90</f>
        <v>3272.7</v>
      </c>
      <c r="F90" s="643">
        <v>3273.5</v>
      </c>
      <c r="G90" s="1239">
        <f t="shared" si="7"/>
        <v>0.8000000000001819</v>
      </c>
      <c r="H90" s="455">
        <f>G90+'21'!H90</f>
        <v>0.8000000000001819</v>
      </c>
      <c r="I90" s="648"/>
      <c r="J90" s="703">
        <f>H90/DAY(B2)</f>
        <v>3.6363636363644633E-2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43">
        <f>'21'!F91</f>
        <v>27978</v>
      </c>
      <c r="F91" s="643">
        <v>27980</v>
      </c>
      <c r="G91" s="701">
        <f t="shared" si="7"/>
        <v>2</v>
      </c>
      <c r="H91" s="455">
        <f>G91+'21'!H91</f>
        <v>14</v>
      </c>
      <c r="I91" s="648"/>
      <c r="J91" s="703">
        <f>H91/DAY(B2)</f>
        <v>0.63636363636363635</v>
      </c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>
        <v>3272</v>
      </c>
      <c r="G92" s="1228"/>
      <c r="H92" s="467"/>
      <c r="I92" s="467"/>
      <c r="J92" s="546"/>
      <c r="K92" s="377"/>
      <c r="L92" s="375"/>
      <c r="N92" s="772"/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'21'!F93</f>
        <v>245036</v>
      </c>
      <c r="F93" s="479">
        <v>245099</v>
      </c>
      <c r="G93" s="1225">
        <f t="shared" ref="G93:G94" si="8">F93-E93</f>
        <v>63</v>
      </c>
      <c r="H93" s="455">
        <f>G93+'21'!H93</f>
        <v>-289</v>
      </c>
      <c r="I93" s="475"/>
      <c r="J93" s="547">
        <f>H93/DAY(B2)</f>
        <v>-13.136363636363637</v>
      </c>
      <c r="K93" s="425"/>
      <c r="L93" s="374"/>
      <c r="N93" s="379"/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'21'!F94</f>
        <v>185253</v>
      </c>
      <c r="F94" s="479">
        <v>185354</v>
      </c>
      <c r="G94" s="1225">
        <f t="shared" si="8"/>
        <v>101</v>
      </c>
      <c r="H94" s="455">
        <f>G94+'21'!H94</f>
        <v>-767</v>
      </c>
      <c r="I94" s="475"/>
      <c r="J94" s="547">
        <f>H94/DAY(B2)</f>
        <v>-34.863636363636367</v>
      </c>
      <c r="K94" s="377"/>
      <c r="L94" s="374"/>
      <c r="N94" s="379"/>
      <c r="O94" s="379"/>
    </row>
    <row r="95" spans="1:15">
      <c r="A95" s="1447" t="s">
        <v>276</v>
      </c>
      <c r="B95" s="1448"/>
      <c r="C95" s="1449"/>
      <c r="D95" s="518"/>
      <c r="E95" s="479">
        <f>'21'!F95</f>
        <v>0</v>
      </c>
      <c r="F95" s="479"/>
      <c r="G95" s="1225">
        <f>G93+G94</f>
        <v>164</v>
      </c>
      <c r="H95" s="455">
        <f>G95+'21'!H95</f>
        <v>-1132</v>
      </c>
      <c r="I95" s="475"/>
      <c r="J95" s="547">
        <f>H95/DAY(B2)</f>
        <v>-51.454545454545453</v>
      </c>
      <c r="K95" s="377"/>
      <c r="L95" s="374"/>
      <c r="N95" s="379"/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'21'!F96</f>
        <v>413767</v>
      </c>
      <c r="F96" s="479">
        <v>413847</v>
      </c>
      <c r="G96" s="1225">
        <f t="shared" ref="G96:G101" si="9">F96-E96</f>
        <v>80</v>
      </c>
      <c r="H96" s="455">
        <f>G96+'21'!H96</f>
        <v>-436</v>
      </c>
      <c r="I96" s="475"/>
      <c r="J96" s="547">
        <f>H96/DAY(B2)</f>
        <v>-19.818181818181817</v>
      </c>
      <c r="K96" s="377"/>
      <c r="L96" s="374"/>
      <c r="N96" s="379"/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79">
        <f>'21'!F97</f>
        <v>102543</v>
      </c>
      <c r="F97" s="479">
        <v>102552</v>
      </c>
      <c r="G97" s="1225">
        <f t="shared" si="9"/>
        <v>9</v>
      </c>
      <c r="H97" s="455">
        <f>G97+'21'!H97</f>
        <v>-96</v>
      </c>
      <c r="I97" s="475"/>
      <c r="J97" s="547">
        <f>H97/DAY(B2)</f>
        <v>-4.3636363636363633</v>
      </c>
      <c r="K97" s="423"/>
      <c r="L97" s="374"/>
      <c r="N97" s="379"/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79">
        <f>'21'!F98</f>
        <v>97724</v>
      </c>
      <c r="F98" s="479">
        <v>97749</v>
      </c>
      <c r="G98" s="1225">
        <f t="shared" si="9"/>
        <v>25</v>
      </c>
      <c r="H98" s="455">
        <f>G98+'21'!H98</f>
        <v>-201</v>
      </c>
      <c r="I98" s="475"/>
      <c r="J98" s="547">
        <f>H98/DAY(B2)</f>
        <v>-9.1363636363636367</v>
      </c>
      <c r="K98" s="428"/>
      <c r="L98" s="374"/>
      <c r="N98" s="379"/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79">
        <f>'21'!F99</f>
        <v>149756</v>
      </c>
      <c r="F99" s="479">
        <v>149769</v>
      </c>
      <c r="G99" s="1225">
        <f t="shared" si="9"/>
        <v>13</v>
      </c>
      <c r="H99" s="455">
        <f>G99+'21'!H99</f>
        <v>-83</v>
      </c>
      <c r="I99" s="475"/>
      <c r="J99" s="547">
        <f>H99/DAY(B2)</f>
        <v>-3.7727272727272729</v>
      </c>
      <c r="K99" s="377"/>
      <c r="L99" s="374"/>
      <c r="N99" s="379"/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79">
        <f>'21'!F100</f>
        <v>7313</v>
      </c>
      <c r="F100" s="479">
        <v>7320</v>
      </c>
      <c r="G100" s="1225">
        <f t="shared" si="9"/>
        <v>7</v>
      </c>
      <c r="H100" s="455">
        <f>G100+'21'!H100</f>
        <v>-49</v>
      </c>
      <c r="I100" s="475"/>
      <c r="J100" s="547">
        <f>H100/DAY(B2)</f>
        <v>-2.2272727272727271</v>
      </c>
      <c r="K100" s="377"/>
      <c r="L100" s="374"/>
      <c r="N100" s="379"/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79">
        <f>'21'!F101</f>
        <v>5276</v>
      </c>
      <c r="F101" s="479">
        <v>5301</v>
      </c>
      <c r="G101" s="1225">
        <f t="shared" si="9"/>
        <v>25</v>
      </c>
      <c r="H101" s="455">
        <f>G101+'21'!H101</f>
        <v>-90</v>
      </c>
      <c r="I101" s="475"/>
      <c r="J101" s="547">
        <f>H101/DAY(B2)</f>
        <v>-4.0909090909090908</v>
      </c>
      <c r="K101" s="377"/>
      <c r="L101" s="374"/>
      <c r="N101" s="379"/>
      <c r="O101" s="379"/>
    </row>
    <row r="102" spans="1:15">
      <c r="A102" s="1447" t="s">
        <v>277</v>
      </c>
      <c r="B102" s="1448"/>
      <c r="C102" s="1449"/>
      <c r="D102" s="519"/>
      <c r="E102" s="519"/>
      <c r="F102" s="519"/>
      <c r="G102" s="1240">
        <f>SUM(G96:G101)</f>
        <v>159</v>
      </c>
      <c r="H102" s="455">
        <f>G102+'21'!H102</f>
        <v>-955</v>
      </c>
      <c r="I102" s="521"/>
      <c r="J102" s="547">
        <f>H102/DAY(B2)</f>
        <v>-43.409090909090907</v>
      </c>
      <c r="K102" s="377"/>
      <c r="L102" s="374"/>
      <c r="N102" s="379"/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523"/>
      <c r="G103" s="1241"/>
      <c r="H103" s="525"/>
      <c r="I103" s="526"/>
      <c r="J103" s="552"/>
      <c r="N103" s="439"/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527"/>
      <c r="G104" s="1242"/>
      <c r="H104" s="528"/>
      <c r="I104" s="527"/>
      <c r="J104" s="553"/>
      <c r="N104" s="439"/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527">
        <f>'21'!F105</f>
        <v>7480</v>
      </c>
      <c r="F105" s="527">
        <v>7484</v>
      </c>
      <c r="G105" s="1242">
        <f>F105-E105</f>
        <v>4</v>
      </c>
      <c r="H105" s="455">
        <f>SUM(G105+'1'!G76)</f>
        <v>61</v>
      </c>
      <c r="I105" s="527"/>
      <c r="J105" s="553">
        <f>H105/DAY(B2)</f>
        <v>2.7727272727272729</v>
      </c>
      <c r="N105" s="439"/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529">
        <f>'21'!F106</f>
        <v>35893</v>
      </c>
      <c r="F106" s="529">
        <v>35906</v>
      </c>
      <c r="G106" s="1242">
        <f t="shared" ref="G106:G107" si="10">F106-E106</f>
        <v>13</v>
      </c>
      <c r="H106" s="455">
        <f>SUM(G106+'1'!G77)</f>
        <v>62</v>
      </c>
      <c r="I106" s="527"/>
      <c r="J106" s="553">
        <f>H106/DAY(B2)</f>
        <v>2.8181818181818183</v>
      </c>
      <c r="N106" s="439"/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527">
        <f>'21'!F107</f>
        <v>19676</v>
      </c>
      <c r="F107" s="527">
        <v>19680</v>
      </c>
      <c r="G107" s="1242">
        <f t="shared" si="10"/>
        <v>4</v>
      </c>
      <c r="H107" s="455">
        <f>SUM(G107+'1'!G78)</f>
        <v>59</v>
      </c>
      <c r="I107" s="527"/>
      <c r="J107" s="553">
        <f>H107/DAY(B2)</f>
        <v>2.6818181818181817</v>
      </c>
      <c r="N107" s="439"/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>
        <f>'21'!F108</f>
        <v>0</v>
      </c>
      <c r="F108" s="527"/>
      <c r="G108" s="1242">
        <f>SUM(G105:G107)</f>
        <v>21</v>
      </c>
      <c r="H108" s="455">
        <f>SUM(G108+'1'!G79)</f>
        <v>176</v>
      </c>
      <c r="I108" s="527"/>
      <c r="J108" s="553">
        <f>H108/DAY(B2)</f>
        <v>8</v>
      </c>
      <c r="N108" s="439"/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>
        <f>'21'!F109</f>
        <v>0</v>
      </c>
      <c r="F109" s="527"/>
      <c r="G109" s="1242"/>
      <c r="H109" s="455"/>
      <c r="I109" s="527"/>
      <c r="J109" s="553"/>
      <c r="N109" s="439"/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527">
        <f>'21'!F110</f>
        <v>62230</v>
      </c>
      <c r="F110" s="527">
        <v>62270</v>
      </c>
      <c r="G110" s="1242">
        <f>F110-E110</f>
        <v>40</v>
      </c>
      <c r="H110" s="455">
        <f>SUM(G110+'1'!G81)</f>
        <v>134</v>
      </c>
      <c r="I110" s="527"/>
      <c r="J110" s="553">
        <f>H110/DAY(B2)</f>
        <v>6.0909090909090908</v>
      </c>
      <c r="N110" s="439"/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527">
        <f>'21'!F111</f>
        <v>32433</v>
      </c>
      <c r="F111" s="527">
        <v>32459</v>
      </c>
      <c r="G111" s="1242">
        <f t="shared" ref="G111:G112" si="11">F111-E111</f>
        <v>26</v>
      </c>
      <c r="H111" s="455">
        <f>SUM(G111+'1'!G82)</f>
        <v>37</v>
      </c>
      <c r="I111" s="527"/>
      <c r="J111" s="553">
        <f>H111/DAY(B2)</f>
        <v>1.6818181818181819</v>
      </c>
      <c r="N111" s="439"/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527">
        <f>'21'!F112</f>
        <v>4513</v>
      </c>
      <c r="F112" s="527">
        <v>4527</v>
      </c>
      <c r="G112" s="1242">
        <f t="shared" si="11"/>
        <v>14</v>
      </c>
      <c r="H112" s="455">
        <f>SUM(G112+'1'!G83)</f>
        <v>166</v>
      </c>
      <c r="I112" s="527"/>
      <c r="J112" s="553">
        <f>H112/DAY(B2)</f>
        <v>7.5454545454545459</v>
      </c>
      <c r="N112" s="439"/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>
        <f>'21'!F113</f>
        <v>0</v>
      </c>
      <c r="F113" s="527"/>
      <c r="G113" s="1242">
        <f>SUM(G110:G112)</f>
        <v>80</v>
      </c>
      <c r="H113" s="455">
        <f>SUM(G113+'1'!G84)</f>
        <v>907</v>
      </c>
      <c r="I113" s="527"/>
      <c r="J113" s="553">
        <f>H113/DAY(B2)</f>
        <v>41.227272727272727</v>
      </c>
      <c r="N113" s="439"/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>
        <f>'21'!F114</f>
        <v>0</v>
      </c>
      <c r="F114" s="527"/>
      <c r="G114" s="1242"/>
      <c r="H114" s="455"/>
      <c r="I114" s="527"/>
      <c r="J114" s="553">
        <f>H114/DAY(B2)</f>
        <v>0</v>
      </c>
      <c r="N114" s="439"/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529">
        <f>'21'!F115</f>
        <v>11424</v>
      </c>
      <c r="F115" s="529">
        <v>11434</v>
      </c>
      <c r="G115" s="1243">
        <f>F115-E115</f>
        <v>10</v>
      </c>
      <c r="H115" s="455">
        <f>SUM(G115+'1'!G92)</f>
        <v>10</v>
      </c>
      <c r="I115" s="527"/>
      <c r="J115" s="553">
        <f>H115/DAY(B2)</f>
        <v>0.45454545454545453</v>
      </c>
      <c r="N115" s="439"/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529">
        <f>'21'!F116</f>
        <v>8226</v>
      </c>
      <c r="F116" s="529">
        <v>8243</v>
      </c>
      <c r="G116" s="1243">
        <f t="shared" ref="G116:G117" si="12">F116-E116</f>
        <v>17</v>
      </c>
      <c r="H116" s="455">
        <f>SUM(G116+'1'!G93)</f>
        <v>35</v>
      </c>
      <c r="I116" s="527"/>
      <c r="J116" s="553">
        <f>H116/DAY(B2)</f>
        <v>1.5909090909090908</v>
      </c>
      <c r="N116" s="439"/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1243">
        <f t="shared" si="12"/>
        <v>0</v>
      </c>
      <c r="H117" s="455">
        <f>SUM(G117+'1'!G94)</f>
        <v>58</v>
      </c>
      <c r="I117" s="527"/>
      <c r="J117" s="553">
        <f>H117/DAY(B2)</f>
        <v>2.6363636363636362</v>
      </c>
      <c r="N117" s="439"/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529"/>
      <c r="G118" s="1243">
        <f>SUM(G115:G117)</f>
        <v>27</v>
      </c>
      <c r="H118" s="455">
        <f>SUM(G118+'1'!G96)</f>
        <v>67</v>
      </c>
      <c r="I118" s="529"/>
      <c r="J118" s="553">
        <f>H118/DAY(B2)</f>
        <v>3.0454545454545454</v>
      </c>
      <c r="N118" s="442"/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531">
        <f>SUM(G19+G93)</f>
        <v>123</v>
      </c>
      <c r="G119" s="1243">
        <f>SUM(G19+G93)</f>
        <v>123</v>
      </c>
      <c r="H119" s="455">
        <f>SUM(G119+'1'!G97)</f>
        <v>136</v>
      </c>
      <c r="I119" s="530"/>
      <c r="J119" s="554">
        <f>H119/DAY(B2)</f>
        <v>6.1818181818181817</v>
      </c>
      <c r="N119" s="774"/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531">
        <f>SUM(G96,G97,G98,G100,G101)</f>
        <v>146</v>
      </c>
      <c r="G120" s="1243">
        <f>SUM(G96,G97,G98,G100,G101)</f>
        <v>146</v>
      </c>
      <c r="H120" s="455">
        <f>SUM(G120+'1'!G99)</f>
        <v>153</v>
      </c>
      <c r="I120" s="530"/>
      <c r="J120" s="554">
        <f>H120/DAY(B2)</f>
        <v>6.9545454545454541</v>
      </c>
      <c r="N120" s="774"/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529">
        <f>SUM(G113)</f>
        <v>80</v>
      </c>
      <c r="G121" s="1243">
        <f>SUM(G113)</f>
        <v>80</v>
      </c>
      <c r="H121" s="455">
        <f>SUM(G121+'1'!G101)</f>
        <v>84</v>
      </c>
      <c r="I121" s="530"/>
      <c r="J121" s="554">
        <f>H121/DAY(B2)</f>
        <v>3.8181818181818183</v>
      </c>
      <c r="N121" s="774"/>
      <c r="O121" s="379"/>
    </row>
    <row r="122" spans="1:15" s="437" customFormat="1" ht="27.75">
      <c r="A122" s="1494"/>
      <c r="B122" s="1495"/>
      <c r="C122" s="1390"/>
      <c r="D122" s="555"/>
      <c r="E122" s="555"/>
      <c r="F122" s="555" t="s">
        <v>182</v>
      </c>
      <c r="G122" s="1244"/>
      <c r="H122" s="556"/>
      <c r="I122" s="555"/>
      <c r="J122" s="557"/>
      <c r="N122" s="439"/>
      <c r="O122" s="379"/>
    </row>
    <row r="123" spans="1:15">
      <c r="A123" s="1444" t="s">
        <v>285</v>
      </c>
      <c r="B123" s="1445"/>
      <c r="C123" s="1446"/>
      <c r="D123" s="467"/>
      <c r="E123" s="467"/>
      <c r="F123" s="467"/>
      <c r="G123" s="1228"/>
      <c r="H123" s="478"/>
      <c r="I123" s="478"/>
      <c r="J123" s="558"/>
      <c r="K123" s="377"/>
      <c r="L123" s="374"/>
      <c r="N123" s="379"/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73">
        <f>'21'!F124</f>
        <v>830318</v>
      </c>
      <c r="F124" s="473">
        <v>830512</v>
      </c>
      <c r="G124" s="1225">
        <f t="shared" ref="G124:G128" si="13">F124-E124</f>
        <v>194</v>
      </c>
      <c r="H124" s="455">
        <f>G124+'21'!H124</f>
        <v>-1854</v>
      </c>
      <c r="I124" s="521"/>
      <c r="J124" s="547">
        <f>H124/DAY(B2)</f>
        <v>-84.272727272727266</v>
      </c>
      <c r="K124" s="377"/>
      <c r="L124" s="374"/>
      <c r="N124" s="379"/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621">
        <f>'21'!F125</f>
        <v>73583.399999999994</v>
      </c>
      <c r="F125" s="621">
        <v>73583.399999999994</v>
      </c>
      <c r="G125" s="1225">
        <f t="shared" si="13"/>
        <v>0</v>
      </c>
      <c r="H125" s="455">
        <f>G125+'21'!H125</f>
        <v>0</v>
      </c>
      <c r="I125" s="521"/>
      <c r="J125" s="547">
        <f>H125/DAY(B2)</f>
        <v>0</v>
      </c>
      <c r="K125" s="377"/>
      <c r="L125" s="374"/>
      <c r="N125" s="379"/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73">
        <f>'21'!F126</f>
        <v>145841</v>
      </c>
      <c r="F126" s="473">
        <v>145905</v>
      </c>
      <c r="G126" s="1225">
        <f t="shared" si="13"/>
        <v>64</v>
      </c>
      <c r="H126" s="455">
        <f>G126+'21'!H126</f>
        <v>-586</v>
      </c>
      <c r="I126" s="521"/>
      <c r="J126" s="547">
        <f>H126/DAY(B2)</f>
        <v>-26.636363636363637</v>
      </c>
      <c r="K126" s="377"/>
      <c r="L126" s="374"/>
      <c r="N126" s="379"/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621">
        <f>'21'!F127</f>
        <v>31404</v>
      </c>
      <c r="F127" s="621">
        <v>31404</v>
      </c>
      <c r="G127" s="1225">
        <f t="shared" si="13"/>
        <v>0</v>
      </c>
      <c r="H127" s="455">
        <f>G127+'21'!H127</f>
        <v>-2</v>
      </c>
      <c r="I127" s="521"/>
      <c r="J127" s="547">
        <f>H127/DAY(B2)</f>
        <v>-9.0909090909090912E-2</v>
      </c>
      <c r="K127" s="377"/>
      <c r="L127" s="374"/>
      <c r="N127" s="379"/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621">
        <f>'21'!F128</f>
        <v>8971</v>
      </c>
      <c r="F128" s="621">
        <v>8971</v>
      </c>
      <c r="G128" s="1225">
        <f t="shared" si="13"/>
        <v>0</v>
      </c>
      <c r="H128" s="455">
        <f>G128+'21'!H128</f>
        <v>-1</v>
      </c>
      <c r="I128" s="475"/>
      <c r="J128" s="547">
        <f>H128/DAY(B2)</f>
        <v>-4.5454545454545456E-2</v>
      </c>
      <c r="K128" s="377"/>
      <c r="L128" s="374"/>
      <c r="N128" s="379"/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1225">
        <f>G15-SUM(G124:G128)</f>
        <v>292</v>
      </c>
      <c r="H129" s="455">
        <f>G129+'21'!H129</f>
        <v>2098</v>
      </c>
      <c r="I129" s="475"/>
      <c r="J129" s="547">
        <f>H129/DAY(B2)</f>
        <v>95.36363636363636</v>
      </c>
      <c r="K129" s="361"/>
      <c r="L129" s="289"/>
      <c r="N129" s="362"/>
      <c r="O129" s="379"/>
    </row>
    <row r="130" spans="1:15">
      <c r="A130" s="605" t="s">
        <v>292</v>
      </c>
      <c r="B130" s="453"/>
      <c r="C130" s="453"/>
      <c r="D130" s="466"/>
      <c r="E130" s="466"/>
      <c r="F130" s="466"/>
      <c r="G130" s="1245"/>
      <c r="H130" s="535"/>
      <c r="I130" s="535"/>
      <c r="J130" s="559"/>
      <c r="N130" s="37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79">
        <f>'21'!F131</f>
        <v>0</v>
      </c>
      <c r="F131" s="479">
        <v>0</v>
      </c>
      <c r="G131" s="1225">
        <f t="shared" ref="G131:G141" si="14">F131-E131</f>
        <v>0</v>
      </c>
      <c r="H131" s="455">
        <f>G131+'21'!H131</f>
        <v>0</v>
      </c>
      <c r="I131" s="475"/>
      <c r="J131" s="547">
        <f>H131/DAY(B2)</f>
        <v>0</v>
      </c>
      <c r="N131" s="379"/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79">
        <f>'21'!F132</f>
        <v>0</v>
      </c>
      <c r="F132" s="479">
        <v>0</v>
      </c>
      <c r="G132" s="1225">
        <f t="shared" si="14"/>
        <v>0</v>
      </c>
      <c r="H132" s="455">
        <f>G132+'21'!H132</f>
        <v>0</v>
      </c>
      <c r="I132" s="475"/>
      <c r="J132" s="547">
        <f>H132/DAY(B2)</f>
        <v>0</v>
      </c>
      <c r="N132" s="379"/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536">
        <f>'21'!F133</f>
        <v>40031.519999999997</v>
      </c>
      <c r="F133" s="536">
        <v>40035.1</v>
      </c>
      <c r="G133" s="1225">
        <f t="shared" si="14"/>
        <v>3.5800000000017462</v>
      </c>
      <c r="H133" s="455">
        <f>G133+'21'!H133</f>
        <v>0</v>
      </c>
      <c r="I133" s="475"/>
      <c r="J133" s="547">
        <f>H133/DAY(B2)</f>
        <v>0</v>
      </c>
      <c r="N133" s="379"/>
      <c r="O133" s="379"/>
    </row>
    <row r="134" spans="1:15" s="436" customFormat="1" ht="27.75">
      <c r="A134" s="1066" t="s">
        <v>297</v>
      </c>
      <c r="B134" s="1067"/>
      <c r="C134" s="1067"/>
      <c r="D134" s="622" t="s">
        <v>294</v>
      </c>
      <c r="E134" s="536">
        <f>'21'!F134</f>
        <v>300</v>
      </c>
      <c r="F134" s="536">
        <v>300</v>
      </c>
      <c r="G134" s="1246">
        <f t="shared" si="14"/>
        <v>0</v>
      </c>
      <c r="H134" s="701">
        <f>G134+'21'!H134</f>
        <v>0</v>
      </c>
      <c r="I134" s="1068">
        <f>G131+G132+G133+G134</f>
        <v>3.5800000000017462</v>
      </c>
      <c r="J134" s="703">
        <f>H134/DAY(B2)</f>
        <v>0</v>
      </c>
      <c r="N134" s="709"/>
      <c r="O134" s="709"/>
    </row>
    <row r="135" spans="1:15" ht="27.75">
      <c r="A135" s="1392" t="s">
        <v>298</v>
      </c>
      <c r="B135" s="1393"/>
      <c r="C135" s="1393"/>
      <c r="D135" s="518" t="s">
        <v>294</v>
      </c>
      <c r="E135" s="536">
        <f>'21'!F135</f>
        <v>41613</v>
      </c>
      <c r="F135" s="536">
        <v>41637</v>
      </c>
      <c r="G135" s="1225">
        <f t="shared" si="14"/>
        <v>24</v>
      </c>
      <c r="H135" s="455">
        <f>G135+'21'!H135</f>
        <v>-93</v>
      </c>
      <c r="I135" s="475"/>
      <c r="J135" s="547">
        <f>H135/DAY(B2)</f>
        <v>-4.2272727272727275</v>
      </c>
      <c r="N135" s="379"/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536">
        <f>'21'!F136</f>
        <v>32582.92</v>
      </c>
      <c r="F136" s="536">
        <v>32582.93</v>
      </c>
      <c r="G136" s="1225">
        <f t="shared" si="14"/>
        <v>1.0000000002037268E-2</v>
      </c>
      <c r="H136" s="455">
        <f>G136+'21'!H136</f>
        <v>-132.06999999999971</v>
      </c>
      <c r="I136" s="475"/>
      <c r="J136" s="547">
        <f>H136/DAY(B2)</f>
        <v>-6.0031818181818046</v>
      </c>
      <c r="N136" s="379"/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536">
        <f>'21'!F137</f>
        <v>22775.91</v>
      </c>
      <c r="F137" s="536">
        <v>22783.45</v>
      </c>
      <c r="G137" s="1225">
        <f t="shared" si="14"/>
        <v>7.5400000000008731</v>
      </c>
      <c r="H137" s="455">
        <f>G137+'21'!H137</f>
        <v>-23.790000000000873</v>
      </c>
      <c r="I137" s="475">
        <f>G135+G136+G137</f>
        <v>31.55000000000291</v>
      </c>
      <c r="J137" s="547">
        <f>H137/DAY(B2)</f>
        <v>-1.0813636363636761</v>
      </c>
      <c r="N137" s="379"/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536">
        <f>'21'!F138</f>
        <v>25051.72</v>
      </c>
      <c r="F138" s="536">
        <v>25051.72</v>
      </c>
      <c r="G138" s="1225">
        <f t="shared" si="14"/>
        <v>0</v>
      </c>
      <c r="H138" s="455">
        <f>G138+'21'!H138</f>
        <v>-9.9999999998544808E-2</v>
      </c>
      <c r="I138" s="475"/>
      <c r="J138" s="547">
        <f>H138/DAY(B2)</f>
        <v>-4.5454545453884002E-3</v>
      </c>
      <c r="N138" s="379"/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536">
        <f>'21'!F139</f>
        <v>70376.649999999994</v>
      </c>
      <c r="F139" s="536">
        <v>70376.649999999994</v>
      </c>
      <c r="G139" s="1225">
        <f t="shared" si="14"/>
        <v>0</v>
      </c>
      <c r="H139" s="455">
        <f>G139+'21'!H139</f>
        <v>-35.090000000011059</v>
      </c>
      <c r="I139" s="475">
        <f>G138+G139</f>
        <v>0</v>
      </c>
      <c r="J139" s="547">
        <f>H139/DAY(B2)</f>
        <v>-1.5950000000005027</v>
      </c>
      <c r="N139" s="379"/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79">
        <f>'21'!F140</f>
        <v>1777.78</v>
      </c>
      <c r="F140" s="479">
        <v>1785.14</v>
      </c>
      <c r="G140" s="1225">
        <f t="shared" si="14"/>
        <v>7.3600000000001273</v>
      </c>
      <c r="H140" s="455">
        <f>G140+'21'!H140</f>
        <v>-69.159999999999854</v>
      </c>
      <c r="I140" s="537"/>
      <c r="J140" s="547">
        <f>H140/DAY(B2)</f>
        <v>-3.1436363636363569</v>
      </c>
      <c r="N140" s="379"/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79">
        <f>'21'!F141</f>
        <v>4636.88</v>
      </c>
      <c r="F141" s="479">
        <v>4636.88</v>
      </c>
      <c r="G141" s="1225">
        <f t="shared" si="14"/>
        <v>0</v>
      </c>
      <c r="H141" s="455">
        <f>G141+'21'!H141</f>
        <v>-0.11999999999989086</v>
      </c>
      <c r="I141" s="537"/>
      <c r="J141" s="547">
        <f>H141/DAY(B2)</f>
        <v>-5.4545454545404937E-3</v>
      </c>
      <c r="N141" s="379"/>
      <c r="O141" s="379"/>
    </row>
    <row r="142" spans="1:15">
      <c r="A142" s="1488" t="s">
        <v>305</v>
      </c>
      <c r="B142" s="1489"/>
      <c r="C142" s="1398"/>
      <c r="D142" s="467"/>
      <c r="E142" s="467"/>
      <c r="F142" s="467"/>
      <c r="G142" s="1228"/>
      <c r="H142" s="478"/>
      <c r="I142" s="478"/>
      <c r="J142" s="558"/>
      <c r="K142" s="377"/>
      <c r="L142" s="374"/>
      <c r="N142" s="379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1238">
        <f>G35+G43+G49+G57</f>
        <v>4130</v>
      </c>
      <c r="H143" s="455">
        <f>G143+'21'!H143</f>
        <v>-42224.869999999995</v>
      </c>
      <c r="I143" s="475"/>
      <c r="J143" s="547">
        <f>H143/DAY(B2)</f>
        <v>-1919.3122727272726</v>
      </c>
      <c r="K143" s="377"/>
      <c r="L143" s="374"/>
      <c r="N143" s="379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1247">
        <f>G143/G7</f>
        <v>0.24294117647058824</v>
      </c>
      <c r="H144" s="455">
        <f>G144+'21'!H144</f>
        <v>-2.5961223267837568</v>
      </c>
      <c r="I144" s="539"/>
      <c r="J144" s="547">
        <f>H144/DAY(B2)</f>
        <v>-0.11800556030835258</v>
      </c>
      <c r="K144" s="377"/>
      <c r="L144" s="374"/>
      <c r="N144" s="379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1238">
        <f>G41+G42+G55+G56</f>
        <v>6030</v>
      </c>
      <c r="H145" s="455">
        <f>G145+'21'!H145</f>
        <v>-47187.969999999994</v>
      </c>
      <c r="I145" s="475"/>
      <c r="J145" s="547">
        <f>H145/DAY(B2)</f>
        <v>-2144.9077272727268</v>
      </c>
      <c r="K145" s="377"/>
      <c r="L145" s="374"/>
      <c r="N145" s="379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1247">
        <f>G145/G7</f>
        <v>0.3547058823529412</v>
      </c>
      <c r="H146" s="455">
        <f>G146+'21'!H146</f>
        <v>-2.9125641551920589</v>
      </c>
      <c r="I146" s="539"/>
      <c r="J146" s="547">
        <f>H146/DAY(B2)</f>
        <v>-0.13238927978145723</v>
      </c>
      <c r="K146" s="377"/>
      <c r="L146" s="374"/>
      <c r="N146" s="379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1238">
        <f>G39+G53</f>
        <v>3496</v>
      </c>
      <c r="H147" s="455">
        <f>G147+'21'!H147</f>
        <v>-24984</v>
      </c>
      <c r="I147" s="540"/>
      <c r="J147" s="547">
        <f>H147/DAY(B2)</f>
        <v>-1135.6363636363637</v>
      </c>
      <c r="K147" s="377"/>
      <c r="L147" s="374"/>
      <c r="N147" s="379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1247">
        <f>G147/G7</f>
        <v>0.20564705882352941</v>
      </c>
      <c r="H148" s="455">
        <f>G148+'21'!H148</f>
        <v>-1.5472208462691328</v>
      </c>
      <c r="I148" s="540"/>
      <c r="J148" s="547">
        <f>H148/DAY(B2)</f>
        <v>-7.032822028496058E-2</v>
      </c>
      <c r="N148" s="379"/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1238">
        <f>G38+G52</f>
        <v>1280</v>
      </c>
      <c r="H149" s="455">
        <f>G149+'21'!H149</f>
        <v>-11132.930000000051</v>
      </c>
      <c r="I149" s="475"/>
      <c r="J149" s="547">
        <f>H149/DAY(B2)</f>
        <v>-506.04227272727508</v>
      </c>
      <c r="K149" s="378"/>
      <c r="N149" s="379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1247">
        <f>G149/G7</f>
        <v>7.5294117647058817E-2</v>
      </c>
      <c r="H150" s="455">
        <f>G150+'21'!H150</f>
        <v>-0.6870729818041369</v>
      </c>
      <c r="I150" s="540"/>
      <c r="J150" s="547">
        <f>H150/DAY(B2)</f>
        <v>-3.1230590082006224E-2</v>
      </c>
      <c r="N150" s="379"/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1238">
        <f>G36+G50</f>
        <v>918</v>
      </c>
      <c r="H151" s="455">
        <f>G151+'21'!H151</f>
        <v>338546</v>
      </c>
      <c r="I151" s="540"/>
      <c r="J151" s="547">
        <f>H151/DAY(B2)</f>
        <v>15388.454545454546</v>
      </c>
      <c r="N151" s="379"/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1247">
        <f>G151/G7</f>
        <v>5.3999999999999999E-2</v>
      </c>
      <c r="H152" s="455">
        <f>G152+'21'!H152</f>
        <v>19.873186821493068</v>
      </c>
      <c r="I152" s="475"/>
      <c r="J152" s="547">
        <f>H152/DAY(B2)</f>
        <v>0.90332667370423037</v>
      </c>
      <c r="N152" s="379"/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1238">
        <f>G37+G51</f>
        <v>1372</v>
      </c>
      <c r="H153" s="455">
        <f>G153+'21'!H153</f>
        <v>-11681</v>
      </c>
      <c r="I153" s="475"/>
      <c r="J153" s="547">
        <f>H153/DAY(B2)</f>
        <v>-530.9545454545455</v>
      </c>
      <c r="N153" s="379"/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1248">
        <f>G153/G7</f>
        <v>8.0705882352941183E-2</v>
      </c>
      <c r="H154" s="455">
        <f>G154+'21'!H154</f>
        <v>-0.71815953607430982</v>
      </c>
      <c r="I154" s="563"/>
      <c r="J154" s="564">
        <f>H154/DAY(B2)</f>
        <v>-3.2643615276104994E-2</v>
      </c>
      <c r="N154" s="379"/>
      <c r="O154" s="379"/>
    </row>
    <row r="155" spans="1:15">
      <c r="A155" s="461"/>
      <c r="B155" s="451"/>
      <c r="C155" s="451"/>
      <c r="D155" s="541"/>
      <c r="E155" s="541"/>
      <c r="F155" s="541"/>
      <c r="G155" s="1249"/>
      <c r="H155" s="542"/>
      <c r="I155" s="541"/>
      <c r="J155" s="543"/>
      <c r="O155" s="379"/>
    </row>
    <row r="161" spans="1:8">
      <c r="A161" s="780" t="s">
        <v>318</v>
      </c>
      <c r="B161" s="781"/>
      <c r="C161" s="781"/>
      <c r="D161" s="506" t="s">
        <v>253</v>
      </c>
      <c r="E161" s="654">
        <f>'21'!F161</f>
        <v>37620</v>
      </c>
      <c r="F161" s="654">
        <v>37700</v>
      </c>
      <c r="G161" s="1225">
        <f t="shared" ref="G161:G164" si="15">F161-E161</f>
        <v>80</v>
      </c>
      <c r="H161" s="533">
        <v>68.809999999999491</v>
      </c>
    </row>
    <row r="162" spans="1:8">
      <c r="A162" s="780" t="s">
        <v>319</v>
      </c>
      <c r="B162" s="781"/>
      <c r="C162" s="781"/>
      <c r="D162" s="506" t="s">
        <v>253</v>
      </c>
      <c r="E162" s="654">
        <f>'21'!F162</f>
        <v>90943</v>
      </c>
      <c r="F162" s="654">
        <v>91314</v>
      </c>
      <c r="G162" s="1225">
        <f t="shared" si="15"/>
        <v>371</v>
      </c>
      <c r="H162" s="533">
        <v>128.56999999999994</v>
      </c>
    </row>
    <row r="163" spans="1:8">
      <c r="A163" s="780" t="s">
        <v>320</v>
      </c>
      <c r="B163" s="781"/>
      <c r="C163" s="781"/>
      <c r="D163" s="506" t="s">
        <v>253</v>
      </c>
      <c r="E163" s="654">
        <f>'21'!F163</f>
        <v>42901</v>
      </c>
      <c r="F163" s="654">
        <v>43101</v>
      </c>
      <c r="G163" s="1225">
        <f t="shared" si="15"/>
        <v>200</v>
      </c>
      <c r="H163" s="533">
        <v>141.49</v>
      </c>
    </row>
    <row r="164" spans="1:8">
      <c r="A164" s="780" t="s">
        <v>321</v>
      </c>
      <c r="B164" s="781"/>
      <c r="C164" s="781"/>
      <c r="D164" s="506" t="s">
        <v>253</v>
      </c>
      <c r="E164" s="654">
        <f>'21'!F164</f>
        <v>6483</v>
      </c>
      <c r="F164" s="654">
        <v>6493</v>
      </c>
      <c r="G164" s="1225">
        <f t="shared" si="15"/>
        <v>10</v>
      </c>
      <c r="H164" s="533">
        <v>45.430000000000007</v>
      </c>
    </row>
    <row r="165" spans="1:8">
      <c r="A165" s="782" t="s">
        <v>252</v>
      </c>
      <c r="B165" s="599"/>
      <c r="C165" s="599"/>
      <c r="D165" s="506" t="s">
        <v>253</v>
      </c>
      <c r="E165" s="509">
        <f>E62</f>
        <v>20419.2</v>
      </c>
      <c r="F165" s="509">
        <v>20419</v>
      </c>
      <c r="G165" s="1225">
        <v>0</v>
      </c>
      <c r="H165" s="533">
        <v>0</v>
      </c>
    </row>
    <row r="166" spans="1:8">
      <c r="A166" s="782" t="s">
        <v>254</v>
      </c>
      <c r="B166" s="599"/>
      <c r="C166" s="599"/>
      <c r="D166" s="506" t="s">
        <v>253</v>
      </c>
      <c r="E166" s="509">
        <f t="shared" ref="E166:E172" si="16">E63</f>
        <v>2438</v>
      </c>
      <c r="F166" s="509">
        <f t="shared" ref="F166:F172" si="17">F63</f>
        <v>2442</v>
      </c>
      <c r="G166" s="1225">
        <f t="shared" ref="G166:G172" si="18">F166-E166</f>
        <v>4</v>
      </c>
      <c r="H166" s="533">
        <v>0</v>
      </c>
    </row>
    <row r="167" spans="1:8" ht="27.75">
      <c r="A167" s="1502" t="s">
        <v>161</v>
      </c>
      <c r="B167" s="1502"/>
      <c r="C167" s="1502"/>
      <c r="D167" s="518" t="s">
        <v>253</v>
      </c>
      <c r="E167" s="509">
        <f t="shared" si="16"/>
        <v>157972</v>
      </c>
      <c r="F167" s="509">
        <f t="shared" si="17"/>
        <v>158181</v>
      </c>
      <c r="G167" s="1225">
        <f t="shared" si="18"/>
        <v>209</v>
      </c>
      <c r="H167" s="533">
        <v>178.5199999999968</v>
      </c>
    </row>
    <row r="168" spans="1:8" ht="27.75">
      <c r="A168" s="1502" t="s">
        <v>162</v>
      </c>
      <c r="B168" s="1502"/>
      <c r="C168" s="1502"/>
      <c r="D168" s="518" t="s">
        <v>253</v>
      </c>
      <c r="E168" s="509">
        <f t="shared" si="16"/>
        <v>158840</v>
      </c>
      <c r="F168" s="509">
        <f t="shared" si="17"/>
        <v>159043</v>
      </c>
      <c r="G168" s="1225">
        <f t="shared" si="18"/>
        <v>203</v>
      </c>
      <c r="H168" s="533">
        <v>198.38999999999942</v>
      </c>
    </row>
    <row r="169" spans="1:8" ht="27.75">
      <c r="A169" s="1502" t="s">
        <v>255</v>
      </c>
      <c r="B169" s="1502"/>
      <c r="C169" s="1502"/>
      <c r="D169" s="518" t="s">
        <v>253</v>
      </c>
      <c r="E169" s="509">
        <f t="shared" si="16"/>
        <v>54000</v>
      </c>
      <c r="F169" s="509">
        <f t="shared" si="17"/>
        <v>54311</v>
      </c>
      <c r="G169" s="1225">
        <f t="shared" si="18"/>
        <v>311</v>
      </c>
      <c r="H169" s="533">
        <v>226.35000000000582</v>
      </c>
    </row>
    <row r="170" spans="1:8" ht="27.75">
      <c r="A170" s="1502" t="s">
        <v>157</v>
      </c>
      <c r="B170" s="1502"/>
      <c r="C170" s="1502"/>
      <c r="D170" s="518" t="s">
        <v>253</v>
      </c>
      <c r="E170" s="509">
        <f t="shared" si="16"/>
        <v>247691</v>
      </c>
      <c r="F170" s="509">
        <f t="shared" si="17"/>
        <v>248213</v>
      </c>
      <c r="G170" s="1225">
        <f t="shared" si="18"/>
        <v>522</v>
      </c>
      <c r="H170" s="533">
        <v>312.47000000000116</v>
      </c>
    </row>
    <row r="171" spans="1:8" ht="27.75">
      <c r="A171" s="1502" t="s">
        <v>164</v>
      </c>
      <c r="B171" s="1502"/>
      <c r="C171" s="1502"/>
      <c r="D171" s="518" t="s">
        <v>253</v>
      </c>
      <c r="E171" s="509">
        <f t="shared" si="16"/>
        <v>85321</v>
      </c>
      <c r="F171" s="509">
        <f t="shared" si="17"/>
        <v>85321</v>
      </c>
      <c r="G171" s="1225">
        <f t="shared" si="18"/>
        <v>0</v>
      </c>
      <c r="H171" s="533">
        <v>142.1200000000008</v>
      </c>
    </row>
    <row r="172" spans="1:8" ht="27.75">
      <c r="A172" s="1502" t="s">
        <v>165</v>
      </c>
      <c r="B172" s="1502"/>
      <c r="C172" s="1502"/>
      <c r="D172" s="518" t="s">
        <v>253</v>
      </c>
      <c r="E172" s="509">
        <f t="shared" si="16"/>
        <v>80597</v>
      </c>
      <c r="F172" s="509">
        <f t="shared" si="17"/>
        <v>80703</v>
      </c>
      <c r="G172" s="1225">
        <f t="shared" si="18"/>
        <v>106</v>
      </c>
      <c r="H172" s="533">
        <v>12.869999999998981</v>
      </c>
    </row>
    <row r="173" spans="1:8" ht="27.75" customHeight="1">
      <c r="G173" s="1250">
        <f>SUM(G161:G172)</f>
        <v>2016</v>
      </c>
    </row>
    <row r="174" spans="1:8" ht="27.75">
      <c r="A174" s="1502" t="s">
        <v>350</v>
      </c>
      <c r="B174" s="1502"/>
      <c r="C174" s="1502"/>
      <c r="D174" s="518" t="s">
        <v>253</v>
      </c>
      <c r="E174" s="509"/>
      <c r="F174" s="509"/>
      <c r="G174" s="468"/>
    </row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24" zoomScale="70" zoomScaleNormal="80" zoomScaleSheetLayoutView="70" workbookViewId="0">
      <selection activeCell="A33" sqref="A33:J33"/>
    </sheetView>
  </sheetViews>
  <sheetFormatPr defaultColWidth="22.33203125" defaultRowHeight="20.25"/>
  <cols>
    <col min="1" max="1" width="51.21875" style="1000" customWidth="1"/>
    <col min="2" max="2" width="24.88671875" style="1000" customWidth="1"/>
    <col min="3" max="3" width="15.88671875" style="1000" customWidth="1"/>
    <col min="4" max="4" width="13.6640625" style="1000" customWidth="1"/>
    <col min="5" max="5" width="32.109375" style="1000" customWidth="1"/>
    <col min="6" max="6" width="30" style="1000" customWidth="1"/>
    <col min="7" max="7" width="20.33203125" style="1000" customWidth="1"/>
    <col min="8" max="8" width="39.21875" style="1001" customWidth="1"/>
    <col min="9" max="9" width="11.21875" style="1000" bestFit="1" customWidth="1"/>
    <col min="10" max="10" width="24" style="1002" customWidth="1"/>
    <col min="11" max="11" width="43.21875" style="801" hidden="1" customWidth="1"/>
    <col min="12" max="13" width="0" style="801" hidden="1" customWidth="1"/>
    <col min="14" max="14" width="25.109375" style="1003" customWidth="1"/>
    <col min="15" max="15" width="6.77734375" style="801" bestFit="1" customWidth="1"/>
    <col min="16" max="16384" width="22.33203125" style="801"/>
  </cols>
  <sheetData>
    <row r="1" spans="1:15" ht="22.5">
      <c r="A1" s="1528" t="s">
        <v>322</v>
      </c>
      <c r="B1" s="1529"/>
      <c r="C1" s="1529"/>
      <c r="D1" s="1529"/>
      <c r="E1" s="1529"/>
      <c r="F1" s="1529"/>
      <c r="G1" s="1529"/>
      <c r="H1" s="1529"/>
      <c r="I1" s="1529"/>
      <c r="J1" s="1530"/>
      <c r="K1" s="801">
        <v>10002.799999999999</v>
      </c>
    </row>
    <row r="2" spans="1:15">
      <c r="A2" s="802" t="s">
        <v>357</v>
      </c>
      <c r="B2" s="1073">
        <v>44339</v>
      </c>
      <c r="C2" s="803" t="s">
        <v>111</v>
      </c>
      <c r="D2" s="804">
        <v>0.52</v>
      </c>
      <c r="E2" s="805"/>
      <c r="F2" s="805"/>
      <c r="G2" s="805" t="s">
        <v>184</v>
      </c>
      <c r="H2" s="805" t="s">
        <v>40</v>
      </c>
      <c r="I2" s="805" t="s">
        <v>42</v>
      </c>
      <c r="J2" s="806" t="s">
        <v>185</v>
      </c>
    </row>
    <row r="3" spans="1:15">
      <c r="A3" s="807"/>
      <c r="B3" s="808"/>
      <c r="C3" s="803" t="s">
        <v>186</v>
      </c>
      <c r="D3" s="809">
        <v>30</v>
      </c>
      <c r="E3" s="1537" t="s">
        <v>187</v>
      </c>
      <c r="F3" s="1538"/>
      <c r="G3" s="810">
        <f>'1'!G3</f>
        <v>0</v>
      </c>
      <c r="H3" s="811">
        <f>'1'!H3</f>
        <v>0</v>
      </c>
      <c r="I3" s="811">
        <f>'1'!I3</f>
        <v>0</v>
      </c>
      <c r="J3" s="812">
        <f>'1'!J3</f>
        <v>0</v>
      </c>
      <c r="K3" s="813"/>
      <c r="L3" s="814"/>
    </row>
    <row r="4" spans="1:15">
      <c r="A4" s="815"/>
      <c r="B4" s="816"/>
      <c r="C4" s="803" t="s">
        <v>188</v>
      </c>
      <c r="D4" s="804">
        <v>0.78</v>
      </c>
      <c r="E4" s="817"/>
      <c r="F4" s="817"/>
      <c r="G4" s="817"/>
      <c r="H4" s="817"/>
      <c r="I4" s="818"/>
      <c r="J4" s="812"/>
      <c r="K4" s="819"/>
      <c r="L4" s="814"/>
    </row>
    <row r="5" spans="1:15">
      <c r="A5" s="820" t="s">
        <v>189</v>
      </c>
      <c r="B5" s="821"/>
      <c r="C5" s="821"/>
      <c r="D5" s="821" t="s">
        <v>190</v>
      </c>
      <c r="E5" s="822" t="s">
        <v>191</v>
      </c>
      <c r="F5" s="822" t="s">
        <v>177</v>
      </c>
      <c r="G5" s="823" t="s">
        <v>192</v>
      </c>
      <c r="H5" s="824" t="s">
        <v>193</v>
      </c>
      <c r="I5" s="825" t="s">
        <v>194</v>
      </c>
      <c r="J5" s="826" t="s">
        <v>195</v>
      </c>
      <c r="K5" s="827"/>
      <c r="L5" s="814"/>
    </row>
    <row r="6" spans="1:15">
      <c r="A6" s="1531" t="s">
        <v>196</v>
      </c>
      <c r="B6" s="1532"/>
      <c r="C6" s="1533"/>
      <c r="D6" s="828"/>
      <c r="E6" s="828"/>
      <c r="F6" s="828"/>
      <c r="G6" s="828"/>
      <c r="H6" s="829"/>
      <c r="I6" s="829"/>
      <c r="J6" s="830"/>
      <c r="K6" s="831"/>
      <c r="L6" s="814"/>
    </row>
    <row r="7" spans="1:15" ht="21" thickBot="1">
      <c r="A7" s="832" t="s">
        <v>197</v>
      </c>
      <c r="B7" s="833"/>
      <c r="C7" s="833"/>
      <c r="D7" s="834" t="s">
        <v>198</v>
      </c>
      <c r="E7" s="835">
        <f>'22'!F7</f>
        <v>725941</v>
      </c>
      <c r="F7" s="835">
        <f>E7+17000</f>
        <v>742941</v>
      </c>
      <c r="G7" s="836">
        <f>F7-E7</f>
        <v>17000</v>
      </c>
      <c r="H7" s="837">
        <f>G7+'22'!H7</f>
        <v>398529</v>
      </c>
      <c r="I7" s="838">
        <f>'1'!I7</f>
        <v>12000</v>
      </c>
      <c r="J7" s="839">
        <f>H7/DAY(B2)</f>
        <v>17327.347826086956</v>
      </c>
      <c r="K7" s="840"/>
      <c r="L7" s="814"/>
      <c r="O7" s="841"/>
    </row>
    <row r="8" spans="1:15" ht="21" thickBot="1">
      <c r="A8" s="842" t="s">
        <v>199</v>
      </c>
      <c r="B8" s="843"/>
      <c r="C8" s="844"/>
      <c r="D8" s="845" t="s">
        <v>59</v>
      </c>
      <c r="E8" s="835">
        <f>'22'!F8</f>
        <v>730345</v>
      </c>
      <c r="F8" s="846">
        <f>E8+17150</f>
        <v>747495</v>
      </c>
      <c r="G8" s="847">
        <f>F8-E8</f>
        <v>17150</v>
      </c>
      <c r="H8" s="837">
        <f>G8+'22'!H8</f>
        <v>400985</v>
      </c>
      <c r="I8" s="848">
        <f>'1'!I8</f>
        <v>12000</v>
      </c>
      <c r="J8" s="839">
        <f>H8/DAY(B2)</f>
        <v>17434.130434782608</v>
      </c>
      <c r="K8" s="840"/>
      <c r="L8" s="849"/>
      <c r="M8" s="850"/>
      <c r="O8" s="841"/>
    </row>
    <row r="9" spans="1:15">
      <c r="A9" s="851" t="s">
        <v>200</v>
      </c>
      <c r="B9" s="852"/>
      <c r="C9" s="852"/>
      <c r="D9" s="834" t="s">
        <v>198</v>
      </c>
      <c r="E9" s="835">
        <f>'22'!F9</f>
        <v>1847522</v>
      </c>
      <c r="F9" s="853">
        <f>E9+16950</f>
        <v>1864472</v>
      </c>
      <c r="G9" s="836">
        <f t="shared" ref="G9:G12" si="0">F9-E9</f>
        <v>16950</v>
      </c>
      <c r="H9" s="837">
        <f>G9+'22'!H9</f>
        <v>390782</v>
      </c>
      <c r="I9" s="854">
        <f>I8-J8</f>
        <v>-5434.1304347826081</v>
      </c>
      <c r="J9" s="839">
        <f>H9/DAY(B2)</f>
        <v>16990.521739130436</v>
      </c>
      <c r="K9" s="855"/>
      <c r="L9" s="814"/>
      <c r="O9" s="841"/>
    </row>
    <row r="10" spans="1:15">
      <c r="A10" s="832" t="s">
        <v>201</v>
      </c>
      <c r="B10" s="833"/>
      <c r="C10" s="833"/>
      <c r="D10" s="834" t="s">
        <v>198</v>
      </c>
      <c r="E10" s="835">
        <f>'22'!F10</f>
        <v>0</v>
      </c>
      <c r="F10" s="853"/>
      <c r="G10" s="836">
        <f t="shared" si="0"/>
        <v>0</v>
      </c>
      <c r="H10" s="837">
        <f>G10+'22'!H10</f>
        <v>-2606.13</v>
      </c>
      <c r="I10" s="856"/>
      <c r="J10" s="839">
        <f>H10/DAY(B2)</f>
        <v>-113.31</v>
      </c>
      <c r="K10" s="855"/>
      <c r="L10" s="814"/>
      <c r="O10" s="841"/>
    </row>
    <row r="11" spans="1:15">
      <c r="A11" s="832" t="s">
        <v>202</v>
      </c>
      <c r="B11" s="833"/>
      <c r="C11" s="833"/>
      <c r="D11" s="834" t="s">
        <v>198</v>
      </c>
      <c r="E11" s="835">
        <f>'5'!E11</f>
        <v>37000</v>
      </c>
      <c r="F11" s="835">
        <v>37000</v>
      </c>
      <c r="G11" s="836">
        <f t="shared" si="0"/>
        <v>0</v>
      </c>
      <c r="H11" s="837">
        <f>G11+'22'!H11</f>
        <v>0</v>
      </c>
      <c r="I11" s="856"/>
      <c r="J11" s="839">
        <f>H11/DAY(B2)</f>
        <v>0</v>
      </c>
      <c r="K11" s="855"/>
      <c r="L11" s="814"/>
      <c r="O11" s="841"/>
    </row>
    <row r="12" spans="1:15">
      <c r="A12" s="832" t="s">
        <v>203</v>
      </c>
      <c r="B12" s="833"/>
      <c r="C12" s="833"/>
      <c r="D12" s="834" t="s">
        <v>198</v>
      </c>
      <c r="E12" s="835">
        <f>'5'!E12</f>
        <v>40010</v>
      </c>
      <c r="F12" s="853">
        <v>40010</v>
      </c>
      <c r="G12" s="836">
        <f t="shared" si="0"/>
        <v>0</v>
      </c>
      <c r="H12" s="837">
        <f>G12+'22'!H12</f>
        <v>0</v>
      </c>
      <c r="I12" s="856"/>
      <c r="J12" s="839">
        <f>H12/DAY(B2)</f>
        <v>0</v>
      </c>
      <c r="K12" s="855"/>
      <c r="L12" s="814"/>
      <c r="O12" s="841"/>
    </row>
    <row r="13" spans="1:15">
      <c r="A13" s="857" t="s">
        <v>204</v>
      </c>
      <c r="B13" s="858"/>
      <c r="C13" s="858"/>
      <c r="D13" s="834"/>
      <c r="E13" s="835"/>
      <c r="F13" s="835"/>
      <c r="G13" s="859">
        <f>G9+G10+G11+G12</f>
        <v>16950</v>
      </c>
      <c r="H13" s="837">
        <f>G13+'22'!H13</f>
        <v>371650.87</v>
      </c>
      <c r="I13" s="860">
        <f>G7-G13</f>
        <v>50</v>
      </c>
      <c r="J13" s="839">
        <f>H13/DAY(B2)</f>
        <v>16158.733478260869</v>
      </c>
      <c r="K13" s="855"/>
      <c r="L13" s="814"/>
      <c r="O13" s="841"/>
    </row>
    <row r="14" spans="1:15">
      <c r="A14" s="1534" t="s">
        <v>205</v>
      </c>
      <c r="B14" s="1535"/>
      <c r="C14" s="1536"/>
      <c r="D14" s="829"/>
      <c r="E14" s="829"/>
      <c r="F14" s="829"/>
      <c r="G14" s="861"/>
      <c r="H14" s="829"/>
      <c r="I14" s="829"/>
      <c r="J14" s="830"/>
      <c r="K14" s="862"/>
      <c r="L14" s="814"/>
      <c r="O14" s="841"/>
    </row>
    <row r="15" spans="1:15">
      <c r="A15" s="863" t="s">
        <v>133</v>
      </c>
      <c r="B15" s="864"/>
      <c r="C15" s="864"/>
      <c r="D15" s="834" t="s">
        <v>206</v>
      </c>
      <c r="E15" s="835">
        <f>'22'!F15</f>
        <v>1695782</v>
      </c>
      <c r="F15" s="1190">
        <f>E15+550</f>
        <v>1696332</v>
      </c>
      <c r="G15" s="1012">
        <f>(F15-E15)</f>
        <v>550</v>
      </c>
      <c r="H15" s="837">
        <f>G15+'22'!H15</f>
        <v>11808</v>
      </c>
      <c r="I15" s="838">
        <f>'1'!I15</f>
        <v>800</v>
      </c>
      <c r="J15" s="839">
        <f>H15/DAY(B2)</f>
        <v>513.39130434782612</v>
      </c>
      <c r="K15" s="855"/>
      <c r="L15" s="814"/>
      <c r="O15" s="841"/>
    </row>
    <row r="16" spans="1:15">
      <c r="A16" s="866"/>
      <c r="B16" s="867"/>
      <c r="C16" s="867"/>
      <c r="D16" s="868"/>
      <c r="E16" s="869"/>
      <c r="F16" s="869"/>
      <c r="G16" s="836"/>
      <c r="H16" s="870"/>
      <c r="I16" s="871">
        <f>I15-J15</f>
        <v>286.60869565217388</v>
      </c>
      <c r="J16" s="872"/>
      <c r="K16" s="855"/>
      <c r="L16" s="814"/>
      <c r="O16" s="841"/>
    </row>
    <row r="17" spans="1:15">
      <c r="A17" s="1534" t="s">
        <v>207</v>
      </c>
      <c r="B17" s="1535"/>
      <c r="C17" s="1536"/>
      <c r="D17" s="829"/>
      <c r="E17" s="829"/>
      <c r="F17" s="829"/>
      <c r="G17" s="873"/>
      <c r="H17" s="829"/>
      <c r="I17" s="829"/>
      <c r="J17" s="830"/>
      <c r="K17" s="855"/>
      <c r="L17" s="814"/>
      <c r="O17" s="841"/>
    </row>
    <row r="18" spans="1:15">
      <c r="A18" s="1539" t="s">
        <v>208</v>
      </c>
      <c r="B18" s="1540"/>
      <c r="C18" s="1541"/>
      <c r="D18" s="834" t="s">
        <v>209</v>
      </c>
      <c r="E18" s="835">
        <f>'22'!F18</f>
        <v>9</v>
      </c>
      <c r="F18" s="865">
        <v>8</v>
      </c>
      <c r="G18" s="859">
        <f>F18*10</f>
        <v>80</v>
      </c>
      <c r="H18" s="837">
        <f>G18+'22'!H18</f>
        <v>1130</v>
      </c>
      <c r="I18" s="838">
        <f>'1'!I18</f>
        <v>65</v>
      </c>
      <c r="J18" s="839">
        <f>H18/DAY(B2)</f>
        <v>49.130434782608695</v>
      </c>
      <c r="K18" s="855"/>
      <c r="L18" s="814"/>
      <c r="O18" s="841"/>
    </row>
    <row r="19" spans="1:15">
      <c r="A19" s="1539" t="s">
        <v>113</v>
      </c>
      <c r="B19" s="1540"/>
      <c r="C19" s="1541"/>
      <c r="D19" s="834" t="s">
        <v>209</v>
      </c>
      <c r="E19" s="835">
        <f>'22'!F19</f>
        <v>139082</v>
      </c>
      <c r="F19" s="865">
        <v>139142</v>
      </c>
      <c r="G19" s="836">
        <f t="shared" ref="G19" si="1">F19-E19</f>
        <v>60</v>
      </c>
      <c r="H19" s="837">
        <f>G19+'22'!H19</f>
        <v>-470</v>
      </c>
      <c r="I19" s="838">
        <f>'1'!I19</f>
        <v>0</v>
      </c>
      <c r="J19" s="839">
        <f>H19/DAY(B2)</f>
        <v>-20.434782608695652</v>
      </c>
      <c r="K19" s="855"/>
      <c r="L19" s="814"/>
      <c r="N19" s="1003">
        <v>126171</v>
      </c>
      <c r="O19" s="841"/>
    </row>
    <row r="20" spans="1:15">
      <c r="A20" s="857" t="s">
        <v>210</v>
      </c>
      <c r="B20" s="858"/>
      <c r="C20" s="858"/>
      <c r="D20" s="875"/>
      <c r="E20" s="875"/>
      <c r="F20" s="875"/>
      <c r="G20" s="876">
        <f>G18+G19</f>
        <v>140</v>
      </c>
      <c r="H20" s="837">
        <f>G20+'22'!H20</f>
        <v>660</v>
      </c>
      <c r="I20" s="877">
        <f>I18-J20</f>
        <v>36.304347826086953</v>
      </c>
      <c r="J20" s="839">
        <f>H20/DAY(B2)</f>
        <v>28.695652173913043</v>
      </c>
      <c r="K20" s="855"/>
      <c r="L20" s="814"/>
      <c r="N20" s="1003">
        <f>N19-F19</f>
        <v>-12971</v>
      </c>
      <c r="O20" s="841"/>
    </row>
    <row r="21" spans="1:15">
      <c r="A21" s="1534" t="s">
        <v>211</v>
      </c>
      <c r="B21" s="1535"/>
      <c r="C21" s="1536"/>
      <c r="D21" s="829"/>
      <c r="E21" s="829"/>
      <c r="F21" s="829"/>
      <c r="G21" s="861"/>
      <c r="H21" s="829"/>
      <c r="I21" s="829"/>
      <c r="J21" s="830"/>
      <c r="K21" s="855"/>
      <c r="L21" s="814"/>
      <c r="O21" s="841"/>
    </row>
    <row r="22" spans="1:15">
      <c r="A22" s="863" t="s">
        <v>212</v>
      </c>
      <c r="B22" s="864"/>
      <c r="C22" s="864"/>
      <c r="D22" s="834" t="s">
        <v>213</v>
      </c>
      <c r="E22" s="865">
        <v>2970</v>
      </c>
      <c r="F22" s="865">
        <v>2970</v>
      </c>
      <c r="G22" s="859">
        <f t="shared" ref="G22" si="2">(F22-E22)</f>
        <v>0</v>
      </c>
      <c r="H22" s="837">
        <f>G22+'22'!H22</f>
        <v>0</v>
      </c>
      <c r="I22" s="856"/>
      <c r="J22" s="839">
        <f>H22/DAY(B2)</f>
        <v>0</v>
      </c>
      <c r="K22" s="855"/>
      <c r="L22" s="814"/>
      <c r="O22" s="841"/>
    </row>
    <row r="23" spans="1:15">
      <c r="A23" s="863" t="s">
        <v>214</v>
      </c>
      <c r="B23" s="864"/>
      <c r="C23" s="864"/>
      <c r="D23" s="834" t="s">
        <v>213</v>
      </c>
      <c r="E23" s="865">
        <v>2000</v>
      </c>
      <c r="F23" s="865">
        <v>2000</v>
      </c>
      <c r="G23" s="859">
        <v>0</v>
      </c>
      <c r="H23" s="837">
        <f>G23+'22'!H23</f>
        <v>0</v>
      </c>
      <c r="I23" s="856"/>
      <c r="J23" s="839">
        <f>H23/DAY(B2)</f>
        <v>0</v>
      </c>
      <c r="K23" s="855"/>
      <c r="L23" s="814"/>
      <c r="O23" s="841"/>
    </row>
    <row r="24" spans="1:15">
      <c r="A24" s="878" t="s">
        <v>215</v>
      </c>
      <c r="B24" s="879"/>
      <c r="C24" s="879"/>
      <c r="D24" s="821" t="s">
        <v>213</v>
      </c>
      <c r="E24" s="865">
        <v>4970</v>
      </c>
      <c r="F24" s="880">
        <v>4970</v>
      </c>
      <c r="G24" s="859">
        <v>0</v>
      </c>
      <c r="H24" s="837">
        <f>G24+'22'!H24</f>
        <v>0</v>
      </c>
      <c r="I24" s="856"/>
      <c r="J24" s="839">
        <f>H24/DAY(B2)</f>
        <v>0</v>
      </c>
      <c r="K24" s="855"/>
      <c r="L24" s="814"/>
      <c r="O24" s="841"/>
    </row>
    <row r="25" spans="1:15" s="886" customFormat="1">
      <c r="A25" s="1531" t="s">
        <v>216</v>
      </c>
      <c r="B25" s="1532"/>
      <c r="C25" s="1533"/>
      <c r="D25" s="828"/>
      <c r="E25" s="828"/>
      <c r="F25" s="828"/>
      <c r="G25" s="881"/>
      <c r="H25" s="882"/>
      <c r="I25" s="883"/>
      <c r="J25" s="884"/>
      <c r="K25" s="855"/>
      <c r="L25" s="885"/>
      <c r="N25" s="1004"/>
      <c r="O25" s="841"/>
    </row>
    <row r="26" spans="1:15" s="886" customFormat="1">
      <c r="A26" s="887" t="s">
        <v>217</v>
      </c>
      <c r="B26" s="888"/>
      <c r="C26" s="889"/>
      <c r="D26" s="890" t="s">
        <v>218</v>
      </c>
      <c r="E26" s="891"/>
      <c r="F26" s="891"/>
      <c r="G26" s="892"/>
      <c r="H26" s="837"/>
      <c r="I26" s="893"/>
      <c r="J26" s="839"/>
      <c r="K26" s="862"/>
      <c r="L26" s="885"/>
      <c r="N26" s="1004"/>
      <c r="O26" s="841"/>
    </row>
    <row r="27" spans="1:15" s="886" customFormat="1" ht="22.5">
      <c r="A27" s="887" t="s">
        <v>40</v>
      </c>
      <c r="B27" s="888"/>
      <c r="C27" s="889"/>
      <c r="D27" s="894" t="s">
        <v>59</v>
      </c>
      <c r="E27" s="895">
        <f>G8</f>
        <v>17150</v>
      </c>
      <c r="F27" s="496">
        <v>9</v>
      </c>
      <c r="G27" s="897">
        <f>E27*F27</f>
        <v>154350</v>
      </c>
      <c r="H27" s="837">
        <f>G27+'22'!H27</f>
        <v>3608028</v>
      </c>
      <c r="I27" s="898"/>
      <c r="J27" s="839">
        <f>H27/DAY(B2)</f>
        <v>156870.78260869565</v>
      </c>
      <c r="K27" s="855"/>
      <c r="L27" s="885"/>
      <c r="N27" s="1004"/>
      <c r="O27" s="841"/>
    </row>
    <row r="28" spans="1:15" s="886" customFormat="1" ht="22.5">
      <c r="A28" s="887" t="s">
        <v>219</v>
      </c>
      <c r="B28" s="888"/>
      <c r="C28" s="889"/>
      <c r="D28" s="894" t="s">
        <v>220</v>
      </c>
      <c r="E28" s="895">
        <f>G15</f>
        <v>550</v>
      </c>
      <c r="F28" s="496">
        <v>52</v>
      </c>
      <c r="G28" s="897">
        <f>E28*F28</f>
        <v>28600</v>
      </c>
      <c r="H28" s="837">
        <f>G28+'22'!H28</f>
        <v>614016</v>
      </c>
      <c r="I28" s="899"/>
      <c r="J28" s="839">
        <f>H28/DAY(B2)</f>
        <v>26696.347826086956</v>
      </c>
      <c r="K28" s="855"/>
      <c r="L28" s="885"/>
      <c r="N28" s="1004"/>
      <c r="O28" s="841"/>
    </row>
    <row r="29" spans="1:15" s="886" customFormat="1">
      <c r="A29" s="887" t="s">
        <v>221</v>
      </c>
      <c r="B29" s="888"/>
      <c r="C29" s="889"/>
      <c r="D29" s="894" t="s">
        <v>222</v>
      </c>
      <c r="E29" s="895">
        <f>G24</f>
        <v>0</v>
      </c>
      <c r="F29" s="896">
        <v>69</v>
      </c>
      <c r="G29" s="897">
        <f>E29*F29</f>
        <v>0</v>
      </c>
      <c r="H29" s="837">
        <f>G29+'22'!H29</f>
        <v>8280</v>
      </c>
      <c r="I29" s="899"/>
      <c r="J29" s="839">
        <f>H29/DAY(B2)</f>
        <v>360</v>
      </c>
      <c r="K29" s="855"/>
      <c r="L29" s="885"/>
      <c r="N29" s="1004"/>
      <c r="O29" s="841"/>
    </row>
    <row r="30" spans="1:15" s="886" customFormat="1">
      <c r="A30" s="887" t="s">
        <v>223</v>
      </c>
      <c r="B30" s="888"/>
      <c r="C30" s="889"/>
      <c r="D30" s="894" t="s">
        <v>224</v>
      </c>
      <c r="E30" s="895">
        <f>G19</f>
        <v>60</v>
      </c>
      <c r="F30" s="896">
        <v>146</v>
      </c>
      <c r="G30" s="897">
        <f>E30*F30</f>
        <v>8760</v>
      </c>
      <c r="H30" s="837">
        <f>G30+'22'!H30</f>
        <v>-68620</v>
      </c>
      <c r="I30" s="899"/>
      <c r="J30" s="839">
        <f>H30/DAY(B2)</f>
        <v>-2983.478260869565</v>
      </c>
      <c r="K30" s="855"/>
      <c r="L30" s="885"/>
      <c r="N30" s="1004"/>
      <c r="O30" s="841"/>
    </row>
    <row r="31" spans="1:15" s="886" customFormat="1">
      <c r="A31" s="887" t="s">
        <v>225</v>
      </c>
      <c r="B31" s="888"/>
      <c r="C31" s="889"/>
      <c r="D31" s="894" t="s">
        <v>209</v>
      </c>
      <c r="E31" s="895">
        <f>G18</f>
        <v>80</v>
      </c>
      <c r="F31" s="896">
        <v>80</v>
      </c>
      <c r="G31" s="897">
        <f>E31*F31</f>
        <v>6400</v>
      </c>
      <c r="H31" s="837">
        <f>G31+'22'!H31</f>
        <v>90400</v>
      </c>
      <c r="I31" s="899"/>
      <c r="J31" s="839"/>
      <c r="K31" s="855"/>
      <c r="L31" s="885"/>
      <c r="N31" s="1004"/>
      <c r="O31" s="841"/>
    </row>
    <row r="32" spans="1:15" s="886" customFormat="1">
      <c r="A32" s="900" t="s">
        <v>226</v>
      </c>
      <c r="B32" s="901"/>
      <c r="C32" s="902"/>
      <c r="D32" s="903"/>
      <c r="E32" s="903"/>
      <c r="F32" s="903"/>
      <c r="G32" s="904">
        <f>G27+G28+G29+G30+G31</f>
        <v>198110</v>
      </c>
      <c r="H32" s="837">
        <f>G32+'22'!H32</f>
        <v>4252104</v>
      </c>
      <c r="I32" s="905"/>
      <c r="J32" s="839">
        <f>H32/DAY(B2)</f>
        <v>184874.08695652173</v>
      </c>
      <c r="K32" s="855"/>
      <c r="L32" s="885"/>
      <c r="N32" s="1004"/>
      <c r="O32" s="841"/>
    </row>
    <row r="33" spans="1:15" ht="18.75">
      <c r="A33" s="1542" t="s">
        <v>227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855"/>
      <c r="L33" s="814"/>
      <c r="O33" s="841"/>
    </row>
    <row r="34" spans="1:15">
      <c r="A34" s="906" t="s">
        <v>228</v>
      </c>
      <c r="B34" s="907"/>
      <c r="C34" s="907"/>
      <c r="D34" s="829"/>
      <c r="E34" s="828"/>
      <c r="F34" s="828"/>
      <c r="G34" s="829"/>
      <c r="H34" s="829"/>
      <c r="I34" s="829"/>
      <c r="J34" s="830"/>
      <c r="K34" s="855"/>
      <c r="L34" s="814"/>
      <c r="O34" s="841"/>
    </row>
    <row r="35" spans="1:15">
      <c r="A35" s="832" t="s">
        <v>229</v>
      </c>
      <c r="B35" s="833"/>
      <c r="C35" s="833"/>
      <c r="D35" s="834" t="s">
        <v>198</v>
      </c>
      <c r="E35" s="835">
        <f>'22'!F35</f>
        <v>929336</v>
      </c>
      <c r="F35" s="908">
        <v>931509.43</v>
      </c>
      <c r="G35" s="836">
        <f t="shared" ref="G35:G46" si="3">F35-E35</f>
        <v>2173.4300000000512</v>
      </c>
      <c r="H35" s="837">
        <f>G35+'22'!H35</f>
        <v>-18978.569999999949</v>
      </c>
      <c r="I35" s="835"/>
      <c r="J35" s="839">
        <f>H35/DAY(B2)</f>
        <v>-825.15521739130213</v>
      </c>
      <c r="K35" s="855"/>
      <c r="L35" s="814"/>
      <c r="O35" s="841"/>
    </row>
    <row r="36" spans="1:15">
      <c r="A36" s="832" t="s">
        <v>230</v>
      </c>
      <c r="B36" s="833"/>
      <c r="C36" s="833"/>
      <c r="D36" s="834" t="s">
        <v>198</v>
      </c>
      <c r="E36" s="835">
        <f>'22'!F36</f>
        <v>347065</v>
      </c>
      <c r="F36" s="908">
        <v>347065</v>
      </c>
      <c r="G36" s="836">
        <f t="shared" si="3"/>
        <v>0</v>
      </c>
      <c r="H36" s="837">
        <f>G36+'22'!H36</f>
        <v>346892</v>
      </c>
      <c r="I36" s="835"/>
      <c r="J36" s="839">
        <f>H36/DAY(B2)</f>
        <v>15082.260869565218</v>
      </c>
      <c r="K36" s="855"/>
      <c r="L36" s="814"/>
      <c r="O36" s="841"/>
    </row>
    <row r="37" spans="1:15">
      <c r="A37" s="832" t="s">
        <v>231</v>
      </c>
      <c r="B37" s="833"/>
      <c r="C37" s="833"/>
      <c r="D37" s="834" t="s">
        <v>198</v>
      </c>
      <c r="E37" s="835">
        <f>'22'!F37</f>
        <v>122555</v>
      </c>
      <c r="F37" s="908">
        <v>123865.51</v>
      </c>
      <c r="G37" s="836">
        <f t="shared" si="3"/>
        <v>1310.5099999999948</v>
      </c>
      <c r="H37" s="837">
        <f>G37+'22'!H37</f>
        <v>-10370.490000000005</v>
      </c>
      <c r="I37" s="835"/>
      <c r="J37" s="839">
        <f>H37/DAY(B2)</f>
        <v>-450.8908695652176</v>
      </c>
      <c r="K37" s="855"/>
      <c r="L37" s="814"/>
      <c r="O37" s="841"/>
    </row>
    <row r="38" spans="1:15">
      <c r="A38" s="832" t="s">
        <v>232</v>
      </c>
      <c r="B38" s="833"/>
      <c r="C38" s="833"/>
      <c r="D38" s="834" t="s">
        <v>198</v>
      </c>
      <c r="E38" s="835">
        <f>'22'!F38</f>
        <v>145272</v>
      </c>
      <c r="F38" s="824">
        <v>146558.43</v>
      </c>
      <c r="G38" s="836">
        <f t="shared" si="3"/>
        <v>1286.429999999993</v>
      </c>
      <c r="H38" s="837">
        <f>G38+'22'!H38</f>
        <v>-9846.570000000007</v>
      </c>
      <c r="I38" s="835"/>
      <c r="J38" s="839">
        <f>H38/DAY(B2)</f>
        <v>-428.11173913043507</v>
      </c>
      <c r="K38" s="855"/>
      <c r="L38" s="814"/>
      <c r="O38" s="841"/>
    </row>
    <row r="39" spans="1:15">
      <c r="A39" s="832" t="s">
        <v>233</v>
      </c>
      <c r="B39" s="833"/>
      <c r="C39" s="833"/>
      <c r="D39" s="834" t="s">
        <v>198</v>
      </c>
      <c r="E39" s="835">
        <f>'22'!F39</f>
        <v>288057</v>
      </c>
      <c r="F39" s="908">
        <v>290488.55</v>
      </c>
      <c r="G39" s="836">
        <f t="shared" si="3"/>
        <v>2431.5499999999884</v>
      </c>
      <c r="H39" s="837">
        <f>G39+'22'!H39</f>
        <v>-17684.450000000012</v>
      </c>
      <c r="I39" s="835"/>
      <c r="J39" s="839">
        <f>H39/DAY(B2)</f>
        <v>-768.88913043478317</v>
      </c>
      <c r="K39" s="855"/>
      <c r="L39" s="814"/>
      <c r="O39" s="841"/>
    </row>
    <row r="40" spans="1:15">
      <c r="A40" s="909" t="s">
        <v>234</v>
      </c>
      <c r="B40" s="910"/>
      <c r="C40" s="910"/>
      <c r="D40" s="834" t="s">
        <v>198</v>
      </c>
      <c r="E40" s="835">
        <f>'22'!F40</f>
        <v>686</v>
      </c>
      <c r="F40" s="908">
        <v>686.48</v>
      </c>
      <c r="G40" s="836">
        <f t="shared" si="3"/>
        <v>0.48000000000001819</v>
      </c>
      <c r="H40" s="837">
        <f>G40+'22'!H40</f>
        <v>-202.51999999999998</v>
      </c>
      <c r="I40" s="835"/>
      <c r="J40" s="839">
        <f>H40/DAY(B2)</f>
        <v>-8.8052173913043479</v>
      </c>
      <c r="K40" s="862"/>
      <c r="L40" s="814"/>
      <c r="O40" s="841"/>
    </row>
    <row r="41" spans="1:15">
      <c r="A41" s="832" t="s">
        <v>235</v>
      </c>
      <c r="B41" s="833"/>
      <c r="C41" s="833"/>
      <c r="D41" s="834" t="s">
        <v>198</v>
      </c>
      <c r="E41" s="835">
        <f>'22'!F41</f>
        <v>240478</v>
      </c>
      <c r="F41" s="908">
        <v>240478.13</v>
      </c>
      <c r="G41" s="836">
        <f t="shared" si="3"/>
        <v>0.13000000000465661</v>
      </c>
      <c r="H41" s="837">
        <f>G41+'22'!H41</f>
        <v>0.13000000000465661</v>
      </c>
      <c r="I41" s="835"/>
      <c r="J41" s="839">
        <f>H41/DAY(B2)</f>
        <v>5.6521739132459397E-3</v>
      </c>
      <c r="K41" s="855"/>
      <c r="L41" s="814"/>
      <c r="O41" s="841"/>
    </row>
    <row r="42" spans="1:15">
      <c r="A42" s="832" t="s">
        <v>236</v>
      </c>
      <c r="B42" s="833"/>
      <c r="C42" s="833"/>
      <c r="D42" s="834" t="s">
        <v>198</v>
      </c>
      <c r="E42" s="835">
        <f>'22'!F42</f>
        <v>59200</v>
      </c>
      <c r="F42" s="908">
        <v>59198.97</v>
      </c>
      <c r="G42" s="836">
        <f t="shared" si="3"/>
        <v>-1.0299999999988358</v>
      </c>
      <c r="H42" s="837">
        <f>G42+'22'!H42</f>
        <v>0</v>
      </c>
      <c r="I42" s="835"/>
      <c r="J42" s="839">
        <f>H42/DAY(B2)</f>
        <v>0</v>
      </c>
      <c r="K42" s="855"/>
      <c r="L42" s="814"/>
      <c r="O42" s="841"/>
    </row>
    <row r="43" spans="1:15">
      <c r="A43" s="832" t="s">
        <v>237</v>
      </c>
      <c r="B43" s="833"/>
      <c r="C43" s="833"/>
      <c r="D43" s="834" t="s">
        <v>198</v>
      </c>
      <c r="E43" s="835">
        <f>'22'!F43</f>
        <v>1021460</v>
      </c>
      <c r="F43" s="908">
        <v>1023631.6</v>
      </c>
      <c r="G43" s="836">
        <f t="shared" si="3"/>
        <v>2171.5999999999767</v>
      </c>
      <c r="H43" s="837">
        <f>G43+'22'!H43</f>
        <v>-18612.400000000023</v>
      </c>
      <c r="I43" s="835"/>
      <c r="J43" s="839">
        <f>H43/DAY(B2)</f>
        <v>-809.23478260869672</v>
      </c>
      <c r="K43" s="855"/>
      <c r="L43" s="814"/>
      <c r="O43" s="841"/>
    </row>
    <row r="44" spans="1:15">
      <c r="A44" s="832" t="s">
        <v>238</v>
      </c>
      <c r="B44" s="833"/>
      <c r="C44" s="833"/>
      <c r="D44" s="834" t="s">
        <v>198</v>
      </c>
      <c r="E44" s="835">
        <f>'22'!F44</f>
        <v>0</v>
      </c>
      <c r="F44" s="908">
        <v>0</v>
      </c>
      <c r="G44" s="836">
        <f t="shared" si="3"/>
        <v>0</v>
      </c>
      <c r="H44" s="837">
        <f>G44+'22'!H44</f>
        <v>0</v>
      </c>
      <c r="I44" s="835"/>
      <c r="J44" s="839">
        <f>H44/DAY(B2)</f>
        <v>0</v>
      </c>
      <c r="K44" s="855"/>
      <c r="L44" s="814"/>
      <c r="O44" s="841"/>
    </row>
    <row r="45" spans="1:15">
      <c r="A45" s="832" t="s">
        <v>239</v>
      </c>
      <c r="B45" s="833"/>
      <c r="C45" s="833"/>
      <c r="D45" s="834" t="s">
        <v>198</v>
      </c>
      <c r="E45" s="835">
        <f>'22'!F45</f>
        <v>0</v>
      </c>
      <c r="F45" s="908">
        <v>614</v>
      </c>
      <c r="G45" s="836">
        <f t="shared" si="3"/>
        <v>614</v>
      </c>
      <c r="H45" s="837">
        <f>G45+'22'!H45</f>
        <v>614</v>
      </c>
      <c r="I45" s="835"/>
      <c r="J45" s="839">
        <f>H45/DAY(B2)</f>
        <v>26.695652173913043</v>
      </c>
      <c r="K45" s="855"/>
      <c r="L45" s="814"/>
      <c r="O45" s="841"/>
    </row>
    <row r="46" spans="1:15">
      <c r="A46" s="832" t="s">
        <v>240</v>
      </c>
      <c r="B46" s="833"/>
      <c r="C46" s="833"/>
      <c r="D46" s="834" t="s">
        <v>198</v>
      </c>
      <c r="E46" s="835">
        <f>'22'!F46</f>
        <v>0</v>
      </c>
      <c r="F46" s="908">
        <v>187</v>
      </c>
      <c r="G46" s="836">
        <f t="shared" si="3"/>
        <v>187</v>
      </c>
      <c r="H46" s="837">
        <f>G46+'22'!H46</f>
        <v>186.95</v>
      </c>
      <c r="I46" s="835"/>
      <c r="J46" s="839">
        <f>H46/DAY(B2)</f>
        <v>8.1282608695652172</v>
      </c>
      <c r="K46" s="855"/>
      <c r="L46" s="814"/>
      <c r="O46" s="841"/>
    </row>
    <row r="47" spans="1:15">
      <c r="A47" s="857" t="s">
        <v>241</v>
      </c>
      <c r="B47" s="858"/>
      <c r="C47" s="858"/>
      <c r="D47" s="825"/>
      <c r="E47" s="821"/>
      <c r="F47" s="821"/>
      <c r="G47" s="859">
        <f>G35+G36+G37+G38+G39+G40+G41+G42+G43+G44+G45+G46</f>
        <v>10174.100000000009</v>
      </c>
      <c r="H47" s="837">
        <f>G47+'22'!H47</f>
        <v>271998.57000000007</v>
      </c>
      <c r="I47" s="835"/>
      <c r="J47" s="839">
        <f>H47/DAY(B2)</f>
        <v>11826.024782608698</v>
      </c>
      <c r="K47" s="855"/>
      <c r="L47" s="814"/>
      <c r="N47" s="1005"/>
      <c r="O47" s="841"/>
    </row>
    <row r="48" spans="1:15">
      <c r="A48" s="906" t="s">
        <v>242</v>
      </c>
      <c r="B48" s="907"/>
      <c r="C48" s="907"/>
      <c r="D48" s="829"/>
      <c r="E48" s="828"/>
      <c r="F48" s="828"/>
      <c r="G48" s="829"/>
      <c r="H48" s="829"/>
      <c r="I48" s="829"/>
      <c r="J48" s="830"/>
      <c r="K48" s="855"/>
      <c r="L48" s="814"/>
      <c r="O48" s="841"/>
    </row>
    <row r="49" spans="1:15">
      <c r="A49" s="832" t="s">
        <v>229</v>
      </c>
      <c r="B49" s="911"/>
      <c r="C49" s="911"/>
      <c r="D49" s="834" t="s">
        <v>198</v>
      </c>
      <c r="E49" s="835">
        <f>'22'!F49</f>
        <v>260732.13</v>
      </c>
      <c r="F49" s="908">
        <v>260732.13</v>
      </c>
      <c r="G49" s="836">
        <f t="shared" ref="G49:G58" si="4">F49-E49</f>
        <v>0</v>
      </c>
      <c r="H49" s="837">
        <f>G49+'22'!H49</f>
        <v>0.13000000000465661</v>
      </c>
      <c r="I49" s="835"/>
      <c r="J49" s="839">
        <f>H49/DAY(B2)</f>
        <v>5.6521739132459397E-3</v>
      </c>
      <c r="K49" s="855"/>
      <c r="L49" s="814"/>
      <c r="O49" s="841"/>
    </row>
    <row r="50" spans="1:15">
      <c r="A50" s="832" t="s">
        <v>243</v>
      </c>
      <c r="B50" s="911"/>
      <c r="C50" s="911"/>
      <c r="D50" s="834" t="s">
        <v>198</v>
      </c>
      <c r="E50" s="835">
        <f>'22'!F50</f>
        <v>494190</v>
      </c>
      <c r="F50" s="1339">
        <v>495044.15</v>
      </c>
      <c r="G50" s="836">
        <f t="shared" si="4"/>
        <v>854.15000000002328</v>
      </c>
      <c r="H50" s="837">
        <f>G50+'22'!H50</f>
        <v>-8381.8499999999767</v>
      </c>
      <c r="I50" s="835"/>
      <c r="J50" s="839">
        <f>H50/DAY(B2)</f>
        <v>-364.42826086956421</v>
      </c>
      <c r="K50" s="855"/>
      <c r="L50" s="814"/>
      <c r="O50" s="841"/>
    </row>
    <row r="51" spans="1:15">
      <c r="A51" s="832" t="s">
        <v>231</v>
      </c>
      <c r="B51" s="911"/>
      <c r="C51" s="911"/>
      <c r="D51" s="834" t="s">
        <v>198</v>
      </c>
      <c r="E51" s="835">
        <f>'22'!F51</f>
        <v>144640</v>
      </c>
      <c r="F51" s="908">
        <v>144639.87</v>
      </c>
      <c r="G51" s="836">
        <f t="shared" si="4"/>
        <v>-0.13000000000465661</v>
      </c>
      <c r="H51" s="837">
        <f>G51+'22'!H51</f>
        <v>-0.13000000000465661</v>
      </c>
      <c r="I51" s="835"/>
      <c r="J51" s="839">
        <f>H51/DAY(B2)</f>
        <v>-5.6521739132459397E-3</v>
      </c>
      <c r="K51" s="855"/>
      <c r="L51" s="814"/>
      <c r="O51" s="841"/>
    </row>
    <row r="52" spans="1:15">
      <c r="A52" s="832" t="s">
        <v>244</v>
      </c>
      <c r="B52" s="911"/>
      <c r="C52" s="911"/>
      <c r="D52" s="834" t="s">
        <v>198</v>
      </c>
      <c r="E52" s="835">
        <f>'22'!F52</f>
        <v>539606.06999999995</v>
      </c>
      <c r="F52" s="908">
        <v>539606.06999999995</v>
      </c>
      <c r="G52" s="836">
        <f t="shared" si="4"/>
        <v>0</v>
      </c>
      <c r="H52" s="837">
        <f>G52+'22'!H52</f>
        <v>0</v>
      </c>
      <c r="I52" s="835"/>
      <c r="J52" s="839">
        <f>H52/DAY(B2)</f>
        <v>0</v>
      </c>
      <c r="K52" s="855"/>
      <c r="L52" s="814"/>
      <c r="O52" s="841"/>
    </row>
    <row r="53" spans="1:15">
      <c r="A53" s="832" t="s">
        <v>233</v>
      </c>
      <c r="B53" s="911"/>
      <c r="C53" s="911"/>
      <c r="D53" s="834" t="s">
        <v>198</v>
      </c>
      <c r="E53" s="835">
        <f>'22'!F53</f>
        <v>427676</v>
      </c>
      <c r="F53" s="908">
        <v>428187.11</v>
      </c>
      <c r="G53" s="836">
        <f t="shared" si="4"/>
        <v>511.10999999998603</v>
      </c>
      <c r="H53" s="837">
        <f>G53+'22'!H53</f>
        <v>-4357.2200000000303</v>
      </c>
      <c r="I53" s="835"/>
      <c r="J53" s="839">
        <f>H53/DAY(B2)</f>
        <v>-189.44434782608826</v>
      </c>
      <c r="K53" s="855"/>
      <c r="L53" s="814"/>
      <c r="O53" s="841"/>
    </row>
    <row r="54" spans="1:15">
      <c r="A54" s="832" t="s">
        <v>245</v>
      </c>
      <c r="B54" s="911"/>
      <c r="C54" s="911"/>
      <c r="D54" s="834" t="s">
        <v>198</v>
      </c>
      <c r="E54" s="835">
        <f>'22'!F54</f>
        <v>13027</v>
      </c>
      <c r="F54" s="908">
        <v>13107.96</v>
      </c>
      <c r="G54" s="836">
        <f t="shared" si="4"/>
        <v>80.959999999999127</v>
      </c>
      <c r="H54" s="837">
        <f>G54+'22'!H54</f>
        <v>-721.04000000000087</v>
      </c>
      <c r="I54" s="835"/>
      <c r="J54" s="839">
        <f>H54/DAY(B2)</f>
        <v>-31.349565217391341</v>
      </c>
      <c r="K54" s="855"/>
      <c r="L54" s="814"/>
      <c r="O54" s="841"/>
    </row>
    <row r="55" spans="1:15">
      <c r="A55" s="832" t="s">
        <v>246</v>
      </c>
      <c r="B55" s="911"/>
      <c r="C55" s="911"/>
      <c r="D55" s="834" t="s">
        <v>198</v>
      </c>
      <c r="E55" s="835">
        <f>'22'!F55</f>
        <v>48606</v>
      </c>
      <c r="F55" s="908">
        <v>54032.61</v>
      </c>
      <c r="G55" s="836">
        <f t="shared" si="4"/>
        <v>5426.6100000000006</v>
      </c>
      <c r="H55" s="837">
        <f>G55+'22'!H55</f>
        <v>-14078.39</v>
      </c>
      <c r="I55" s="835"/>
      <c r="J55" s="839">
        <f>H55/DAY(B2)</f>
        <v>-612.1039130434782</v>
      </c>
      <c r="K55" s="855"/>
      <c r="L55" s="814"/>
      <c r="O55" s="841"/>
    </row>
    <row r="56" spans="1:15">
      <c r="A56" s="832" t="s">
        <v>247</v>
      </c>
      <c r="B56" s="911"/>
      <c r="C56" s="911"/>
      <c r="D56" s="834" t="s">
        <v>248</v>
      </c>
      <c r="E56" s="835">
        <f>'22'!F56</f>
        <v>589514</v>
      </c>
      <c r="F56" s="908">
        <v>589524.18999999994</v>
      </c>
      <c r="G56" s="836">
        <f t="shared" si="4"/>
        <v>10.189999999944121</v>
      </c>
      <c r="H56" s="837">
        <f>G56+'22'!H56</f>
        <v>-27673.810000000056</v>
      </c>
      <c r="I56" s="835"/>
      <c r="J56" s="839">
        <f>H56/DAY(B2)</f>
        <v>-1203.209130434785</v>
      </c>
      <c r="K56" s="831"/>
      <c r="L56" s="814"/>
      <c r="O56" s="841"/>
    </row>
    <row r="57" spans="1:15">
      <c r="A57" s="832" t="s">
        <v>237</v>
      </c>
      <c r="B57" s="911"/>
      <c r="C57" s="911"/>
      <c r="D57" s="834" t="s">
        <v>198</v>
      </c>
      <c r="E57" s="835">
        <f>'22'!F57</f>
        <v>7711</v>
      </c>
      <c r="F57" s="908">
        <v>7711</v>
      </c>
      <c r="G57" s="836">
        <f t="shared" si="4"/>
        <v>0</v>
      </c>
      <c r="H57" s="837">
        <f>G57+'22'!H57</f>
        <v>0</v>
      </c>
      <c r="I57" s="835"/>
      <c r="J57" s="839">
        <f>H57/DAY(B2)</f>
        <v>0</v>
      </c>
      <c r="K57" s="855"/>
      <c r="L57" s="814"/>
      <c r="O57" s="841"/>
    </row>
    <row r="58" spans="1:15">
      <c r="A58" s="832" t="s">
        <v>249</v>
      </c>
      <c r="B58" s="911"/>
      <c r="C58" s="911"/>
      <c r="D58" s="834" t="s">
        <v>198</v>
      </c>
      <c r="E58" s="835">
        <f>'22'!F58</f>
        <v>48560</v>
      </c>
      <c r="F58" s="908">
        <v>48589.15</v>
      </c>
      <c r="G58" s="836">
        <f t="shared" si="4"/>
        <v>29.150000000001455</v>
      </c>
      <c r="H58" s="837">
        <f>G58+'22'!H58</f>
        <v>-1275.0599999999977</v>
      </c>
      <c r="I58" s="835"/>
      <c r="J58" s="839">
        <f>H58/DAY(B2)</f>
        <v>-55.437391304347727</v>
      </c>
      <c r="K58" s="855"/>
      <c r="L58" s="814"/>
      <c r="O58" s="841"/>
    </row>
    <row r="59" spans="1:15">
      <c r="A59" s="857" t="s">
        <v>241</v>
      </c>
      <c r="B59" s="858"/>
      <c r="C59" s="858"/>
      <c r="D59" s="821"/>
      <c r="E59" s="821"/>
      <c r="F59" s="821"/>
      <c r="G59" s="859">
        <f>G49+G50+G51+G52+G53+G54+G55+G56+G57+G58</f>
        <v>6912.0399999999499</v>
      </c>
      <c r="H59" s="837">
        <f>G59+'22'!H59</f>
        <v>-56487.300000000105</v>
      </c>
      <c r="I59" s="835">
        <f>G7-G60</f>
        <v>-86.1399999999594</v>
      </c>
      <c r="J59" s="839">
        <f>H59/DAY(B2)</f>
        <v>-2455.9695652173959</v>
      </c>
      <c r="K59" s="855"/>
      <c r="L59" s="814"/>
      <c r="O59" s="841"/>
    </row>
    <row r="60" spans="1:15">
      <c r="A60" s="832"/>
      <c r="B60" s="833"/>
      <c r="C60" s="833"/>
      <c r="D60" s="821" t="s">
        <v>250</v>
      </c>
      <c r="E60" s="821"/>
      <c r="F60" s="821"/>
      <c r="G60" s="859">
        <f>G47+G59</f>
        <v>17086.139999999959</v>
      </c>
      <c r="H60" s="837">
        <f>G60+'22'!H60</f>
        <v>216719.80999999991</v>
      </c>
      <c r="I60" s="835">
        <f>G13-G60</f>
        <v>-136.1399999999594</v>
      </c>
      <c r="J60" s="839">
        <f>H60/DAY(B2)</f>
        <v>9422.6004347826056</v>
      </c>
      <c r="K60" s="855"/>
      <c r="L60" s="814"/>
      <c r="O60" s="841"/>
    </row>
    <row r="61" spans="1:15">
      <c r="A61" s="912" t="s">
        <v>251</v>
      </c>
      <c r="B61" s="913"/>
      <c r="C61" s="913"/>
      <c r="D61" s="913"/>
      <c r="E61" s="914"/>
      <c r="F61" s="914"/>
      <c r="G61" s="913"/>
      <c r="H61" s="913"/>
      <c r="I61" s="913"/>
      <c r="J61" s="915"/>
      <c r="K61" s="855"/>
      <c r="L61" s="814"/>
      <c r="O61" s="841"/>
    </row>
    <row r="62" spans="1:15">
      <c r="A62" s="916" t="s">
        <v>252</v>
      </c>
      <c r="B62" s="917"/>
      <c r="C62" s="917"/>
      <c r="D62" s="821" t="s">
        <v>253</v>
      </c>
      <c r="E62" s="835">
        <f>'22'!F62</f>
        <v>20419.2</v>
      </c>
      <c r="F62" s="918">
        <v>20419</v>
      </c>
      <c r="G62" s="836">
        <f t="shared" ref="G62:G69" si="5">F62-E62</f>
        <v>-0.2000000000007276</v>
      </c>
      <c r="H62" s="837">
        <f>G62+'22'!H62</f>
        <v>1.9999999967694748E-3</v>
      </c>
      <c r="I62" s="919"/>
      <c r="J62" s="839">
        <f>H62/DAY(B2)</f>
        <v>8.6956521598672822E-5</v>
      </c>
      <c r="K62" s="855"/>
      <c r="L62" s="814"/>
      <c r="O62" s="841"/>
    </row>
    <row r="63" spans="1:15">
      <c r="A63" s="916" t="s">
        <v>254</v>
      </c>
      <c r="B63" s="917"/>
      <c r="C63" s="917"/>
      <c r="D63" s="821" t="s">
        <v>253</v>
      </c>
      <c r="E63" s="835">
        <f>'22'!F63</f>
        <v>2442</v>
      </c>
      <c r="F63" s="918">
        <v>2445.87</v>
      </c>
      <c r="G63" s="836">
        <f t="shared" si="5"/>
        <v>3.8699999999998909</v>
      </c>
      <c r="H63" s="837">
        <f>G63+'22'!H63</f>
        <v>2445.87</v>
      </c>
      <c r="I63" s="919"/>
      <c r="J63" s="839">
        <f>H63/DAY(B2)</f>
        <v>106.34217391304347</v>
      </c>
      <c r="K63" s="855"/>
      <c r="L63" s="814"/>
      <c r="O63" s="841"/>
    </row>
    <row r="64" spans="1:15">
      <c r="A64" s="1545" t="s">
        <v>161</v>
      </c>
      <c r="B64" s="1546"/>
      <c r="C64" s="1547"/>
      <c r="D64" s="834" t="s">
        <v>253</v>
      </c>
      <c r="E64" s="835">
        <f>'22'!F64</f>
        <v>158181</v>
      </c>
      <c r="F64" s="865">
        <v>158385.74</v>
      </c>
      <c r="G64" s="836">
        <f t="shared" si="5"/>
        <v>204.73999999999069</v>
      </c>
      <c r="H64" s="837">
        <f>G64+'22'!H64</f>
        <v>-1546.2600000000093</v>
      </c>
      <c r="I64" s="856"/>
      <c r="J64" s="839">
        <f>H64/DAY(B2)</f>
        <v>-67.228695652174324</v>
      </c>
      <c r="K64" s="855"/>
      <c r="L64" s="814"/>
      <c r="O64" s="841"/>
    </row>
    <row r="65" spans="1:15">
      <c r="A65" s="1545" t="s">
        <v>162</v>
      </c>
      <c r="B65" s="1546"/>
      <c r="C65" s="1547"/>
      <c r="D65" s="834" t="s">
        <v>253</v>
      </c>
      <c r="E65" s="835">
        <f>'22'!F65</f>
        <v>159043</v>
      </c>
      <c r="F65" s="865">
        <v>159251.1</v>
      </c>
      <c r="G65" s="836">
        <f t="shared" si="5"/>
        <v>208.10000000000582</v>
      </c>
      <c r="H65" s="837">
        <f>G65+'22'!H65</f>
        <v>-1746.8999999999942</v>
      </c>
      <c r="I65" s="874"/>
      <c r="J65" s="839">
        <f>H65/DAY(B2)</f>
        <v>-75.952173913043225</v>
      </c>
      <c r="K65" s="855"/>
      <c r="L65" s="814"/>
      <c r="O65" s="841"/>
    </row>
    <row r="66" spans="1:15">
      <c r="A66" s="1545" t="s">
        <v>255</v>
      </c>
      <c r="B66" s="1546"/>
      <c r="C66" s="1547"/>
      <c r="D66" s="834" t="s">
        <v>253</v>
      </c>
      <c r="E66" s="835">
        <f>'22'!F66</f>
        <v>54311</v>
      </c>
      <c r="F66" s="865">
        <v>54623.42</v>
      </c>
      <c r="G66" s="836">
        <f t="shared" si="5"/>
        <v>312.41999999999825</v>
      </c>
      <c r="H66" s="837">
        <f>G66+'22'!H66</f>
        <v>-2181.5800000000017</v>
      </c>
      <c r="I66" s="856"/>
      <c r="J66" s="839">
        <f>H66/DAY(B2)</f>
        <v>-94.851304347826158</v>
      </c>
      <c r="K66" s="855"/>
      <c r="L66" s="814"/>
      <c r="O66" s="841"/>
    </row>
    <row r="67" spans="1:15">
      <c r="A67" s="1545" t="s">
        <v>157</v>
      </c>
      <c r="B67" s="1546"/>
      <c r="C67" s="1547"/>
      <c r="D67" s="834" t="s">
        <v>253</v>
      </c>
      <c r="E67" s="835">
        <f>'22'!F67</f>
        <v>248213</v>
      </c>
      <c r="F67" s="865">
        <v>248708.17</v>
      </c>
      <c r="G67" s="836">
        <f t="shared" si="5"/>
        <v>495.17000000001281</v>
      </c>
      <c r="H67" s="837">
        <f>G67+'22'!H67</f>
        <v>-3483.8299999999872</v>
      </c>
      <c r="I67" s="874"/>
      <c r="J67" s="839">
        <f>H67/DAY(B2)</f>
        <v>-151.47086956521684</v>
      </c>
      <c r="K67" s="862"/>
      <c r="L67" s="814"/>
      <c r="O67" s="841"/>
    </row>
    <row r="68" spans="1:15">
      <c r="A68" s="1545" t="s">
        <v>164</v>
      </c>
      <c r="B68" s="1546"/>
      <c r="C68" s="1547"/>
      <c r="D68" s="834" t="s">
        <v>253</v>
      </c>
      <c r="E68" s="835">
        <f>'22'!F68</f>
        <v>85321</v>
      </c>
      <c r="F68" s="865">
        <v>85321</v>
      </c>
      <c r="G68" s="836">
        <f t="shared" si="5"/>
        <v>0</v>
      </c>
      <c r="H68" s="837">
        <f>G68+'22'!H68</f>
        <v>0</v>
      </c>
      <c r="I68" s="920"/>
      <c r="J68" s="839">
        <f>H68/DAY(B2)</f>
        <v>0</v>
      </c>
      <c r="K68" s="921"/>
      <c r="L68" s="814"/>
      <c r="O68" s="841"/>
    </row>
    <row r="69" spans="1:15">
      <c r="A69" s="1545" t="s">
        <v>165</v>
      </c>
      <c r="B69" s="1546"/>
      <c r="C69" s="1547"/>
      <c r="D69" s="834" t="s">
        <v>253</v>
      </c>
      <c r="E69" s="835">
        <f>'22'!F69</f>
        <v>80703</v>
      </c>
      <c r="F69" s="865">
        <v>80895.100000000006</v>
      </c>
      <c r="G69" s="836">
        <f t="shared" si="5"/>
        <v>192.10000000000582</v>
      </c>
      <c r="H69" s="837">
        <f>G69+'22'!H69</f>
        <v>-853.89999999999418</v>
      </c>
      <c r="I69" s="920"/>
      <c r="J69" s="839">
        <f>H69/DAY(B2)</f>
        <v>-37.126086956521483</v>
      </c>
      <c r="K69" s="922"/>
      <c r="L69" s="814"/>
      <c r="O69" s="841"/>
    </row>
    <row r="70" spans="1:15">
      <c r="A70" s="1554" t="s">
        <v>256</v>
      </c>
      <c r="B70" s="1555"/>
      <c r="C70" s="1556"/>
      <c r="D70" s="834" t="s">
        <v>253</v>
      </c>
      <c r="E70" s="923"/>
      <c r="F70" s="924"/>
      <c r="G70" s="924"/>
      <c r="H70" s="837">
        <f>G70+'13'!H70</f>
        <v>0</v>
      </c>
      <c r="I70" s="924"/>
      <c r="J70" s="925"/>
      <c r="K70" s="922"/>
      <c r="L70" s="814"/>
      <c r="O70" s="841"/>
    </row>
    <row r="71" spans="1:15" ht="22.5">
      <c r="A71" s="1551" t="s">
        <v>257</v>
      </c>
      <c r="B71" s="1552"/>
      <c r="C71" s="1552"/>
      <c r="D71" s="1552"/>
      <c r="E71" s="1552"/>
      <c r="F71" s="1552"/>
      <c r="G71" s="1552"/>
      <c r="H71" s="1552"/>
      <c r="I71" s="1552"/>
      <c r="J71" s="1553"/>
      <c r="K71" s="921"/>
      <c r="L71" s="814"/>
      <c r="O71" s="841"/>
    </row>
    <row r="72" spans="1:15">
      <c r="A72" s="1545" t="s">
        <v>258</v>
      </c>
      <c r="B72" s="1546"/>
      <c r="C72" s="1547"/>
      <c r="D72" s="834" t="s">
        <v>253</v>
      </c>
      <c r="E72" s="835">
        <f>'22'!F72</f>
        <v>855741</v>
      </c>
      <c r="F72" s="926">
        <v>855751</v>
      </c>
      <c r="G72" s="836">
        <f t="shared" ref="G72:G84" si="6">F72-E72</f>
        <v>10</v>
      </c>
      <c r="H72" s="837">
        <f>G72+'22'!H72</f>
        <v>-135</v>
      </c>
      <c r="I72" s="856"/>
      <c r="J72" s="839">
        <f>H72/DAY(B2)</f>
        <v>-5.8695652173913047</v>
      </c>
      <c r="K72" s="922"/>
      <c r="L72" s="814"/>
      <c r="O72" s="841"/>
    </row>
    <row r="73" spans="1:15">
      <c r="A73" s="1545" t="s">
        <v>259</v>
      </c>
      <c r="B73" s="1546"/>
      <c r="C73" s="1547"/>
      <c r="D73" s="834" t="s">
        <v>253</v>
      </c>
      <c r="E73" s="835">
        <f>'22'!F73</f>
        <v>885899</v>
      </c>
      <c r="F73" s="927">
        <v>885899</v>
      </c>
      <c r="G73" s="836">
        <f t="shared" si="6"/>
        <v>0</v>
      </c>
      <c r="H73" s="837">
        <f>G73+'22'!H73</f>
        <v>148</v>
      </c>
      <c r="I73" s="856"/>
      <c r="J73" s="839">
        <f>H73/DAY(B2)</f>
        <v>6.4347826086956523</v>
      </c>
      <c r="K73" s="921"/>
      <c r="L73" s="814"/>
      <c r="O73" s="841"/>
    </row>
    <row r="74" spans="1:15">
      <c r="A74" s="1545" t="s">
        <v>260</v>
      </c>
      <c r="B74" s="1546"/>
      <c r="C74" s="1547"/>
      <c r="D74" s="834" t="s">
        <v>253</v>
      </c>
      <c r="E74" s="835">
        <f>'22'!F74</f>
        <v>2526</v>
      </c>
      <c r="F74" s="928">
        <v>2532.65</v>
      </c>
      <c r="G74" s="836">
        <f t="shared" si="6"/>
        <v>6.6500000000000909</v>
      </c>
      <c r="H74" s="837">
        <f>G74+'22'!H74</f>
        <v>-53.349999999999909</v>
      </c>
      <c r="I74" s="856"/>
      <c r="J74" s="839">
        <f>H74/DAY(B2)</f>
        <v>-2.3195652173913004</v>
      </c>
      <c r="K74" s="922"/>
      <c r="L74" s="814"/>
      <c r="O74" s="841"/>
    </row>
    <row r="75" spans="1:15">
      <c r="A75" s="1548" t="s">
        <v>261</v>
      </c>
      <c r="B75" s="1549"/>
      <c r="C75" s="1550"/>
      <c r="D75" s="834" t="s">
        <v>253</v>
      </c>
      <c r="E75" s="835">
        <f>'22'!F75</f>
        <v>12148</v>
      </c>
      <c r="F75" s="928">
        <v>12206.12</v>
      </c>
      <c r="G75" s="836">
        <f t="shared" si="6"/>
        <v>58.1200000000008</v>
      </c>
      <c r="H75" s="837">
        <f>G75+'22'!H75</f>
        <v>-462.8799999999992</v>
      </c>
      <c r="I75" s="856"/>
      <c r="J75" s="839">
        <f>H75/DAY(B2)</f>
        <v>-20.125217391304314</v>
      </c>
      <c r="K75" s="921"/>
      <c r="L75" s="814"/>
      <c r="O75" s="841"/>
    </row>
    <row r="76" spans="1:15">
      <c r="A76" s="1548" t="s">
        <v>262</v>
      </c>
      <c r="B76" s="1549"/>
      <c r="C76" s="1550"/>
      <c r="D76" s="834" t="s">
        <v>253</v>
      </c>
      <c r="E76" s="835">
        <f>'22'!F76</f>
        <v>6917</v>
      </c>
      <c r="F76" s="927">
        <v>6971.3</v>
      </c>
      <c r="G76" s="836">
        <f t="shared" si="6"/>
        <v>54.300000000000182</v>
      </c>
      <c r="H76" s="837">
        <f>G76+'22'!H76</f>
        <v>-234.69999999999982</v>
      </c>
      <c r="I76" s="899"/>
      <c r="J76" s="839">
        <f>H76/DAY(B2)</f>
        <v>-10.204347826086948</v>
      </c>
      <c r="K76" s="921"/>
      <c r="L76" s="814"/>
      <c r="O76" s="841"/>
    </row>
    <row r="77" spans="1:15">
      <c r="A77" s="1545" t="s">
        <v>263</v>
      </c>
      <c r="B77" s="1546"/>
      <c r="C77" s="1547"/>
      <c r="D77" s="834" t="s">
        <v>253</v>
      </c>
      <c r="E77" s="835">
        <f>'22'!F77</f>
        <v>702462</v>
      </c>
      <c r="F77" s="927">
        <v>702500</v>
      </c>
      <c r="G77" s="836">
        <f t="shared" si="6"/>
        <v>38</v>
      </c>
      <c r="H77" s="837">
        <f>G77+'22'!H77</f>
        <v>-339</v>
      </c>
      <c r="I77" s="899"/>
      <c r="J77" s="839">
        <f>H77/DAY(B2)</f>
        <v>-14.739130434782609</v>
      </c>
      <c r="K77" s="921"/>
      <c r="L77" s="814"/>
      <c r="O77" s="841"/>
    </row>
    <row r="78" spans="1:15">
      <c r="A78" s="929" t="s">
        <v>264</v>
      </c>
      <c r="B78" s="1388"/>
      <c r="C78" s="1388"/>
      <c r="D78" s="834" t="s">
        <v>253</v>
      </c>
      <c r="E78" s="835">
        <f>'22'!F78</f>
        <v>672062</v>
      </c>
      <c r="F78" s="928">
        <v>672189</v>
      </c>
      <c r="G78" s="836">
        <f t="shared" si="6"/>
        <v>127</v>
      </c>
      <c r="H78" s="837">
        <f>G78+'22'!H78</f>
        <v>-843</v>
      </c>
      <c r="I78" s="899"/>
      <c r="J78" s="839">
        <f>H78/DAY(B2)</f>
        <v>-36.652173913043477</v>
      </c>
      <c r="K78" s="921"/>
      <c r="L78" s="814"/>
      <c r="O78" s="841"/>
    </row>
    <row r="79" spans="1:15">
      <c r="A79" s="1548" t="s">
        <v>151</v>
      </c>
      <c r="B79" s="1549"/>
      <c r="C79" s="1550"/>
      <c r="D79" s="868" t="s">
        <v>253</v>
      </c>
      <c r="E79" s="835">
        <f>'22'!F79</f>
        <v>829800</v>
      </c>
      <c r="F79" s="1148">
        <v>829931</v>
      </c>
      <c r="G79" s="836">
        <f t="shared" si="6"/>
        <v>131</v>
      </c>
      <c r="H79" s="837">
        <f>G79+'22'!H79</f>
        <v>-2091</v>
      </c>
      <c r="I79" s="899"/>
      <c r="J79" s="839">
        <f>H79/DAY(B2)</f>
        <v>-90.913043478260875</v>
      </c>
      <c r="K79" s="921"/>
      <c r="L79" s="814"/>
      <c r="O79" s="841"/>
    </row>
    <row r="80" spans="1:15">
      <c r="A80" s="1548" t="s">
        <v>265</v>
      </c>
      <c r="B80" s="1549"/>
      <c r="C80" s="1550"/>
      <c r="D80" s="868" t="s">
        <v>253</v>
      </c>
      <c r="E80" s="835">
        <f>'22'!F80</f>
        <v>524389</v>
      </c>
      <c r="F80" s="927">
        <v>524746.64</v>
      </c>
      <c r="G80" s="836">
        <f t="shared" si="6"/>
        <v>357.64000000001397</v>
      </c>
      <c r="H80" s="837">
        <f>G80+'22'!H80</f>
        <v>-5798.8800000000047</v>
      </c>
      <c r="I80" s="899"/>
      <c r="J80" s="839">
        <f>H80/DAY(B2)</f>
        <v>-252.12521739130455</v>
      </c>
      <c r="K80" s="921"/>
      <c r="L80" s="814"/>
      <c r="O80" s="841"/>
    </row>
    <row r="81" spans="1:15">
      <c r="A81" s="1548" t="s">
        <v>266</v>
      </c>
      <c r="B81" s="1549"/>
      <c r="C81" s="1550"/>
      <c r="D81" s="868" t="s">
        <v>253</v>
      </c>
      <c r="E81" s="835">
        <f>'22'!F81</f>
        <v>638140</v>
      </c>
      <c r="F81" s="927">
        <v>638219.56000000006</v>
      </c>
      <c r="G81" s="836">
        <f t="shared" si="6"/>
        <v>79.560000000055879</v>
      </c>
      <c r="H81" s="837">
        <f>G81+'22'!H81</f>
        <v>-678.43999999994412</v>
      </c>
      <c r="I81" s="899"/>
      <c r="J81" s="839">
        <f>H81/DAY(B2)</f>
        <v>-29.497391304345395</v>
      </c>
      <c r="K81" s="921"/>
      <c r="L81" s="814"/>
      <c r="O81" s="841"/>
    </row>
    <row r="82" spans="1:15">
      <c r="A82" s="1548" t="s">
        <v>267</v>
      </c>
      <c r="B82" s="1549"/>
      <c r="C82" s="1550"/>
      <c r="D82" s="869" t="s">
        <v>198</v>
      </c>
      <c r="E82" s="835">
        <f>'22'!F82</f>
        <v>108014</v>
      </c>
      <c r="F82" s="930">
        <v>108025.07</v>
      </c>
      <c r="G82" s="836">
        <f t="shared" si="6"/>
        <v>11.070000000006985</v>
      </c>
      <c r="H82" s="837">
        <f>G82+'22'!H82</f>
        <v>-132.92999999999302</v>
      </c>
      <c r="I82" s="870"/>
      <c r="J82" s="839">
        <f>H82/DAY(B2)</f>
        <v>-5.779565217391001</v>
      </c>
      <c r="K82" s="921"/>
      <c r="L82" s="814"/>
      <c r="O82" s="841"/>
    </row>
    <row r="83" spans="1:15">
      <c r="A83" s="1548" t="s">
        <v>268</v>
      </c>
      <c r="B83" s="1549"/>
      <c r="C83" s="1550"/>
      <c r="D83" s="931" t="s">
        <v>198</v>
      </c>
      <c r="E83" s="835">
        <f>'22'!F83</f>
        <v>18885</v>
      </c>
      <c r="F83" s="1191">
        <v>19096</v>
      </c>
      <c r="G83" s="836">
        <f t="shared" si="6"/>
        <v>211</v>
      </c>
      <c r="H83" s="837">
        <f>G83+'22'!H83</f>
        <v>-1410</v>
      </c>
      <c r="I83" s="859"/>
      <c r="J83" s="839">
        <f>H83/DAY(B2)</f>
        <v>-61.304347826086953</v>
      </c>
      <c r="K83" s="862"/>
      <c r="L83" s="814"/>
      <c r="O83" s="841"/>
    </row>
    <row r="84" spans="1:15">
      <c r="A84" s="932" t="s">
        <v>166</v>
      </c>
      <c r="B84" s="933"/>
      <c r="C84" s="933"/>
      <c r="D84" s="853" t="s">
        <v>198</v>
      </c>
      <c r="E84" s="835">
        <f>'22'!F84</f>
        <v>493529</v>
      </c>
      <c r="F84" s="934">
        <v>494085</v>
      </c>
      <c r="G84" s="836">
        <f t="shared" si="6"/>
        <v>556</v>
      </c>
      <c r="H84" s="837">
        <f>G84+'22'!H84</f>
        <v>-6209</v>
      </c>
      <c r="I84" s="859"/>
      <c r="J84" s="839">
        <f>H84/DAY(B2)</f>
        <v>-269.95652173913044</v>
      </c>
      <c r="K84" s="935"/>
      <c r="L84" s="814"/>
      <c r="O84" s="841"/>
    </row>
    <row r="85" spans="1:15" s="939" customFormat="1">
      <c r="A85" s="936" t="s">
        <v>102</v>
      </c>
      <c r="B85" s="937"/>
      <c r="C85" s="937"/>
      <c r="D85" s="874"/>
      <c r="E85" s="835"/>
      <c r="F85" s="834"/>
      <c r="G85" s="837">
        <f xml:space="preserve"> SUM(G72:G84)</f>
        <v>1640.3400000000779</v>
      </c>
      <c r="H85" s="837">
        <f>G85+'22'!H85</f>
        <v>-14696.659999999922</v>
      </c>
      <c r="I85" s="859"/>
      <c r="J85" s="839">
        <f>H85/DAY(B2)</f>
        <v>-638.98521739130092</v>
      </c>
      <c r="K85" s="935"/>
      <c r="L85" s="938"/>
      <c r="N85" s="1006"/>
      <c r="O85" s="841"/>
    </row>
    <row r="86" spans="1:15" s="949" customFormat="1">
      <c r="A86" s="940" t="s">
        <v>269</v>
      </c>
      <c r="B86" s="941"/>
      <c r="C86" s="941"/>
      <c r="D86" s="942" t="s">
        <v>248</v>
      </c>
      <c r="E86" s="835">
        <f>'22'!F86</f>
        <v>460665</v>
      </c>
      <c r="F86" s="943">
        <v>460687.56</v>
      </c>
      <c r="G86" s="944">
        <f t="shared" ref="G86:G88" si="7">F86-E86</f>
        <v>22.559999999997672</v>
      </c>
      <c r="H86" s="944">
        <f t="shared" ref="H86:H88" si="8">G86</f>
        <v>22.559999999997672</v>
      </c>
      <c r="I86" s="945"/>
      <c r="J86" s="946">
        <f>H86/DAY(B2)</f>
        <v>0.98086956521729007</v>
      </c>
      <c r="K86" s="947"/>
      <c r="L86" s="948"/>
      <c r="N86" s="1007"/>
      <c r="O86" s="841"/>
    </row>
    <row r="87" spans="1:15" s="949" customFormat="1">
      <c r="A87" s="940" t="s">
        <v>270</v>
      </c>
      <c r="B87" s="941"/>
      <c r="C87" s="941"/>
      <c r="D87" s="942" t="s">
        <v>248</v>
      </c>
      <c r="E87" s="835">
        <f>'22'!F87</f>
        <v>81213</v>
      </c>
      <c r="F87" s="943">
        <v>81219.3</v>
      </c>
      <c r="G87" s="944">
        <f t="shared" si="7"/>
        <v>6.3000000000029104</v>
      </c>
      <c r="H87" s="944">
        <f t="shared" si="8"/>
        <v>6.3000000000029104</v>
      </c>
      <c r="I87" s="945"/>
      <c r="J87" s="946">
        <f>H87/DAY(B2)</f>
        <v>0.27391304347838741</v>
      </c>
      <c r="K87" s="947"/>
      <c r="L87" s="948"/>
      <c r="N87" s="1007"/>
      <c r="O87" s="841"/>
    </row>
    <row r="88" spans="1:15" s="949" customFormat="1">
      <c r="A88" s="940" t="s">
        <v>158</v>
      </c>
      <c r="B88" s="941"/>
      <c r="C88" s="941"/>
      <c r="D88" s="942" t="s">
        <v>248</v>
      </c>
      <c r="E88" s="835">
        <f>'22'!F88</f>
        <v>152683</v>
      </c>
      <c r="F88" s="943">
        <v>152706.73000000001</v>
      </c>
      <c r="G88" s="944">
        <f t="shared" si="7"/>
        <v>23.730000000010477</v>
      </c>
      <c r="H88" s="944">
        <f t="shared" si="8"/>
        <v>23.730000000010477</v>
      </c>
      <c r="I88" s="945"/>
      <c r="J88" s="946">
        <f>H88/DAY(B2)</f>
        <v>1.0317391304352381</v>
      </c>
      <c r="K88" s="947"/>
      <c r="L88" s="948"/>
      <c r="N88" s="1007"/>
      <c r="O88" s="841"/>
    </row>
    <row r="89" spans="1:15" s="949" customFormat="1">
      <c r="A89" s="940" t="s">
        <v>272</v>
      </c>
      <c r="B89" s="941"/>
      <c r="C89" s="941"/>
      <c r="D89" s="942" t="s">
        <v>248</v>
      </c>
      <c r="E89" s="835">
        <f>'22'!F89</f>
        <v>64996</v>
      </c>
      <c r="F89" s="943">
        <v>65034.5</v>
      </c>
      <c r="G89" s="944">
        <f t="shared" ref="G89:G91" si="9">F89-E89</f>
        <v>38.5</v>
      </c>
      <c r="H89" s="944">
        <f>G89</f>
        <v>38.5</v>
      </c>
      <c r="I89" s="945"/>
      <c r="J89" s="946">
        <f>H89/DAY(B2)</f>
        <v>1.673913043478261</v>
      </c>
      <c r="K89" s="947"/>
      <c r="L89" s="948"/>
      <c r="N89" s="1008"/>
      <c r="O89" s="841"/>
    </row>
    <row r="90" spans="1:15" s="949" customFormat="1">
      <c r="A90" s="940" t="s">
        <v>272</v>
      </c>
      <c r="B90" s="941"/>
      <c r="C90" s="941"/>
      <c r="D90" s="942" t="s">
        <v>248</v>
      </c>
      <c r="E90" s="835">
        <f>'22'!F90</f>
        <v>3273.5</v>
      </c>
      <c r="F90" s="943">
        <v>3273.6</v>
      </c>
      <c r="G90" s="944">
        <f t="shared" si="9"/>
        <v>9.9999999999909051E-2</v>
      </c>
      <c r="H90" s="944">
        <f>G90</f>
        <v>9.9999999999909051E-2</v>
      </c>
      <c r="I90" s="945"/>
      <c r="J90" s="946">
        <f>H90/DAY(B2)</f>
        <v>4.3478260869525675E-3</v>
      </c>
      <c r="K90" s="947"/>
      <c r="L90" s="948"/>
      <c r="N90" s="1008"/>
      <c r="O90" s="841"/>
    </row>
    <row r="91" spans="1:15" s="731" customFormat="1" ht="29.25">
      <c r="A91" s="726" t="s">
        <v>273</v>
      </c>
      <c r="B91" s="727"/>
      <c r="C91" s="727"/>
      <c r="D91" s="728"/>
      <c r="E91" s="835">
        <f>'22'!F91</f>
        <v>27980</v>
      </c>
      <c r="F91" s="643">
        <v>27986</v>
      </c>
      <c r="G91" s="701">
        <f t="shared" si="9"/>
        <v>6</v>
      </c>
      <c r="H91" s="701">
        <f>G91</f>
        <v>6</v>
      </c>
      <c r="I91" s="648"/>
      <c r="J91" s="703"/>
      <c r="K91" s="729"/>
      <c r="L91" s="730"/>
      <c r="N91" s="773"/>
      <c r="O91" s="379"/>
    </row>
    <row r="92" spans="1:15" s="939" customFormat="1">
      <c r="A92" s="950" t="s">
        <v>274</v>
      </c>
      <c r="B92" s="829"/>
      <c r="C92" s="829"/>
      <c r="D92" s="829"/>
      <c r="E92" s="829"/>
      <c r="F92" s="829"/>
      <c r="G92" s="873"/>
      <c r="H92" s="829"/>
      <c r="I92" s="829"/>
      <c r="J92" s="830"/>
      <c r="K92" s="935"/>
      <c r="L92" s="938"/>
      <c r="N92" s="1006"/>
      <c r="O92" s="841"/>
    </row>
    <row r="93" spans="1:15">
      <c r="A93" s="1539" t="s">
        <v>275</v>
      </c>
      <c r="B93" s="1540"/>
      <c r="C93" s="1541"/>
      <c r="D93" s="834" t="s">
        <v>209</v>
      </c>
      <c r="E93" s="835">
        <f>'22'!F93</f>
        <v>245099</v>
      </c>
      <c r="F93" s="865">
        <v>245156</v>
      </c>
      <c r="G93" s="836">
        <f t="shared" ref="G93:G94" si="10">F93-E93</f>
        <v>57</v>
      </c>
      <c r="H93" s="837">
        <f>G93+'22'!H93</f>
        <v>-232</v>
      </c>
      <c r="I93" s="856"/>
      <c r="J93" s="839">
        <f>H93/DAY(B2)</f>
        <v>-10.086956521739131</v>
      </c>
      <c r="K93" s="862"/>
      <c r="L93" s="814"/>
      <c r="O93" s="841"/>
    </row>
    <row r="94" spans="1:15">
      <c r="A94" s="1539" t="s">
        <v>15</v>
      </c>
      <c r="B94" s="1540"/>
      <c r="C94" s="1541"/>
      <c r="D94" s="834" t="s">
        <v>209</v>
      </c>
      <c r="E94" s="835">
        <f>'22'!F94</f>
        <v>185354</v>
      </c>
      <c r="F94" s="1190">
        <v>185446</v>
      </c>
      <c r="G94" s="836">
        <f t="shared" si="10"/>
        <v>92</v>
      </c>
      <c r="H94" s="837">
        <f>G94+'22'!H94</f>
        <v>-675</v>
      </c>
      <c r="I94" s="856"/>
      <c r="J94" s="839">
        <f>H94/DAY(B2)</f>
        <v>-29.347826086956523</v>
      </c>
      <c r="K94" s="935"/>
      <c r="L94" s="814"/>
      <c r="O94" s="841"/>
    </row>
    <row r="95" spans="1:15">
      <c r="A95" s="1557" t="s">
        <v>276</v>
      </c>
      <c r="B95" s="1558"/>
      <c r="C95" s="1559"/>
      <c r="D95" s="834"/>
      <c r="E95" s="835">
        <f>'22'!F95</f>
        <v>0</v>
      </c>
      <c r="F95" s="865"/>
      <c r="G95" s="836">
        <f>G93+G94</f>
        <v>149</v>
      </c>
      <c r="H95" s="837">
        <f>G95+'22'!H95</f>
        <v>-983</v>
      </c>
      <c r="I95" s="856"/>
      <c r="J95" s="839">
        <f>H95/DAY(B2)</f>
        <v>-42.739130434782609</v>
      </c>
      <c r="K95" s="935"/>
      <c r="L95" s="814"/>
      <c r="O95" s="841"/>
    </row>
    <row r="96" spans="1:15">
      <c r="A96" s="1539" t="s">
        <v>16</v>
      </c>
      <c r="B96" s="1540"/>
      <c r="C96" s="1541"/>
      <c r="D96" s="834" t="s">
        <v>209</v>
      </c>
      <c r="E96" s="835">
        <f>'22'!F96</f>
        <v>413847</v>
      </c>
      <c r="F96" s="865">
        <v>413884</v>
      </c>
      <c r="G96" s="836">
        <f t="shared" ref="G96:G101" si="11">F96-E96</f>
        <v>37</v>
      </c>
      <c r="H96" s="837">
        <f>G96+'22'!H96</f>
        <v>-399</v>
      </c>
      <c r="I96" s="856"/>
      <c r="J96" s="839">
        <f>H96/DAY(B2)</f>
        <v>-17.347826086956523</v>
      </c>
      <c r="K96" s="935"/>
      <c r="L96" s="814"/>
      <c r="O96" s="841"/>
    </row>
    <row r="97" spans="1:15">
      <c r="A97" s="863" t="s">
        <v>17</v>
      </c>
      <c r="B97" s="864"/>
      <c r="C97" s="864"/>
      <c r="D97" s="834" t="s">
        <v>209</v>
      </c>
      <c r="E97" s="835">
        <f>'22'!F97</f>
        <v>102552</v>
      </c>
      <c r="F97" s="865">
        <v>102567</v>
      </c>
      <c r="G97" s="836">
        <f t="shared" si="11"/>
        <v>15</v>
      </c>
      <c r="H97" s="837">
        <f>G97+'22'!H97</f>
        <v>-81</v>
      </c>
      <c r="I97" s="856"/>
      <c r="J97" s="839">
        <f>H97/DAY(B2)</f>
        <v>-3.5217391304347827</v>
      </c>
      <c r="K97" s="831"/>
      <c r="L97" s="814"/>
      <c r="O97" s="841"/>
    </row>
    <row r="98" spans="1:15">
      <c r="A98" s="863" t="s">
        <v>18</v>
      </c>
      <c r="B98" s="864"/>
      <c r="C98" s="864"/>
      <c r="D98" s="834" t="s">
        <v>209</v>
      </c>
      <c r="E98" s="835">
        <f>'22'!F98</f>
        <v>97749</v>
      </c>
      <c r="F98" s="865">
        <v>97780</v>
      </c>
      <c r="G98" s="836">
        <f t="shared" si="11"/>
        <v>31</v>
      </c>
      <c r="H98" s="837">
        <f>G98+'22'!H98</f>
        <v>-170</v>
      </c>
      <c r="I98" s="856"/>
      <c r="J98" s="839">
        <f>H98/DAY(B2)</f>
        <v>-7.3913043478260869</v>
      </c>
      <c r="K98" s="951"/>
      <c r="L98" s="814"/>
      <c r="O98" s="841"/>
    </row>
    <row r="99" spans="1:15">
      <c r="A99" s="863" t="s">
        <v>19</v>
      </c>
      <c r="B99" s="864"/>
      <c r="C99" s="864"/>
      <c r="D99" s="834" t="s">
        <v>209</v>
      </c>
      <c r="E99" s="835">
        <f>'22'!F99</f>
        <v>149769</v>
      </c>
      <c r="F99" s="865">
        <v>149790</v>
      </c>
      <c r="G99" s="836">
        <f t="shared" si="11"/>
        <v>21</v>
      </c>
      <c r="H99" s="837">
        <f>G99+'22'!H99</f>
        <v>-62</v>
      </c>
      <c r="I99" s="856"/>
      <c r="J99" s="839">
        <f>H99/DAY(B2)</f>
        <v>-2.6956521739130435</v>
      </c>
      <c r="K99" s="935"/>
      <c r="L99" s="814"/>
      <c r="O99" s="841"/>
    </row>
    <row r="100" spans="1:15">
      <c r="A100" s="863" t="s">
        <v>20</v>
      </c>
      <c r="B100" s="864"/>
      <c r="C100" s="864"/>
      <c r="D100" s="834" t="s">
        <v>209</v>
      </c>
      <c r="E100" s="835">
        <f>'22'!F100</f>
        <v>7320</v>
      </c>
      <c r="F100" s="865">
        <v>7325</v>
      </c>
      <c r="G100" s="836">
        <f t="shared" si="11"/>
        <v>5</v>
      </c>
      <c r="H100" s="837">
        <f>G100+'22'!H100</f>
        <v>-44</v>
      </c>
      <c r="I100" s="856"/>
      <c r="J100" s="839">
        <f>H100/DAY(B2)</f>
        <v>-1.9130434782608696</v>
      </c>
      <c r="K100" s="935"/>
      <c r="L100" s="814"/>
      <c r="O100" s="841"/>
    </row>
    <row r="101" spans="1:15">
      <c r="A101" s="863" t="s">
        <v>21</v>
      </c>
      <c r="B101" s="864"/>
      <c r="C101" s="864"/>
      <c r="D101" s="834" t="s">
        <v>209</v>
      </c>
      <c r="E101" s="835">
        <f>'22'!F101</f>
        <v>5301</v>
      </c>
      <c r="F101" s="865">
        <v>5311</v>
      </c>
      <c r="G101" s="836">
        <f t="shared" si="11"/>
        <v>10</v>
      </c>
      <c r="H101" s="837">
        <f>G101+'22'!H101</f>
        <v>-80</v>
      </c>
      <c r="I101" s="856"/>
      <c r="J101" s="839">
        <f>H101/DAY(B2)</f>
        <v>-3.4782608695652173</v>
      </c>
      <c r="K101" s="935"/>
      <c r="L101" s="814"/>
      <c r="O101" s="841"/>
    </row>
    <row r="102" spans="1:15">
      <c r="A102" s="1557" t="s">
        <v>277</v>
      </c>
      <c r="B102" s="1558"/>
      <c r="C102" s="1559"/>
      <c r="D102" s="868"/>
      <c r="E102" s="868"/>
      <c r="F102" s="868"/>
      <c r="G102" s="952">
        <f>SUM(G96:G101)</f>
        <v>119</v>
      </c>
      <c r="H102" s="837">
        <f>G102+'22'!H102</f>
        <v>-836</v>
      </c>
      <c r="I102" s="953"/>
      <c r="J102" s="839">
        <f>H102/DAY(B2)</f>
        <v>-36.347826086956523</v>
      </c>
      <c r="K102" s="935"/>
      <c r="L102" s="814"/>
      <c r="O102" s="841"/>
    </row>
    <row r="103" spans="1:15" s="886" customFormat="1">
      <c r="A103" s="954" t="s">
        <v>278</v>
      </c>
      <c r="B103" s="955"/>
      <c r="C103" s="955"/>
      <c r="D103" s="956"/>
      <c r="E103" s="957"/>
      <c r="F103" s="958"/>
      <c r="G103" s="959"/>
      <c r="H103" s="960"/>
      <c r="I103" s="961"/>
      <c r="J103" s="962"/>
      <c r="N103" s="1004"/>
      <c r="O103" s="841"/>
    </row>
    <row r="104" spans="1:15" s="886" customFormat="1">
      <c r="A104" s="1568" t="s">
        <v>279</v>
      </c>
      <c r="B104" s="1569"/>
      <c r="C104" s="963"/>
      <c r="D104" s="964"/>
      <c r="E104" s="965"/>
      <c r="F104" s="965"/>
      <c r="G104" s="965"/>
      <c r="H104" s="966"/>
      <c r="I104" s="965"/>
      <c r="J104" s="967"/>
      <c r="N104" s="1004"/>
      <c r="O104" s="841"/>
    </row>
    <row r="105" spans="1:15" s="886" customFormat="1">
      <c r="A105" s="1570" t="s">
        <v>22</v>
      </c>
      <c r="B105" s="1571"/>
      <c r="C105" s="968"/>
      <c r="D105" s="964" t="s">
        <v>209</v>
      </c>
      <c r="E105" s="965">
        <f>'22'!F105</f>
        <v>7484</v>
      </c>
      <c r="F105" s="965">
        <v>7484</v>
      </c>
      <c r="G105" s="965">
        <f>F105-E105</f>
        <v>0</v>
      </c>
      <c r="H105" s="966">
        <f>SUM(G105+'1'!G76)</f>
        <v>57</v>
      </c>
      <c r="I105" s="965"/>
      <c r="J105" s="967">
        <f>H105/DAY(B2)</f>
        <v>2.4782608695652173</v>
      </c>
      <c r="N105" s="1004"/>
      <c r="O105" s="841"/>
    </row>
    <row r="106" spans="1:15" s="886" customFormat="1">
      <c r="A106" s="1570" t="s">
        <v>23</v>
      </c>
      <c r="B106" s="1571"/>
      <c r="C106" s="968"/>
      <c r="D106" s="964" t="s">
        <v>209</v>
      </c>
      <c r="E106" s="965">
        <f>'22'!F106</f>
        <v>35906</v>
      </c>
      <c r="F106" s="1192">
        <v>35906</v>
      </c>
      <c r="G106" s="965">
        <f t="shared" ref="G106:G107" si="12">F106-E106</f>
        <v>0</v>
      </c>
      <c r="H106" s="966">
        <f>SUM(G106+'1'!G77)</f>
        <v>49</v>
      </c>
      <c r="I106" s="965"/>
      <c r="J106" s="967">
        <f>H106/DAY(B2)</f>
        <v>2.1304347826086958</v>
      </c>
      <c r="N106" s="1004"/>
      <c r="O106" s="841"/>
    </row>
    <row r="107" spans="1:15" s="886" customFormat="1">
      <c r="A107" s="1570" t="s">
        <v>24</v>
      </c>
      <c r="B107" s="1572"/>
      <c r="C107" s="1571"/>
      <c r="D107" s="964" t="s">
        <v>209</v>
      </c>
      <c r="E107" s="965">
        <f>'22'!F107</f>
        <v>19680</v>
      </c>
      <c r="F107" s="965">
        <v>19682</v>
      </c>
      <c r="G107" s="965">
        <f t="shared" si="12"/>
        <v>2</v>
      </c>
      <c r="H107" s="966">
        <f>SUM(G107+'1'!G78)</f>
        <v>57</v>
      </c>
      <c r="I107" s="965"/>
      <c r="J107" s="967">
        <f>H107/DAY(B2)</f>
        <v>2.4782608695652173</v>
      </c>
      <c r="N107" s="1004"/>
      <c r="O107" s="841"/>
    </row>
    <row r="108" spans="1:15" s="886" customFormat="1">
      <c r="A108" s="1573" t="s">
        <v>102</v>
      </c>
      <c r="B108" s="1574"/>
      <c r="C108" s="968"/>
      <c r="D108" s="964"/>
      <c r="E108" s="965">
        <f>'22'!F108</f>
        <v>0</v>
      </c>
      <c r="F108" s="965"/>
      <c r="G108" s="965">
        <f>SUM(G105:G107)</f>
        <v>2</v>
      </c>
      <c r="H108" s="966">
        <f>SUM(G108+'1'!G79)</f>
        <v>157</v>
      </c>
      <c r="I108" s="965"/>
      <c r="J108" s="967">
        <f>H108/DAY(B2)</f>
        <v>6.8260869565217392</v>
      </c>
      <c r="N108" s="1004"/>
      <c r="O108" s="841"/>
    </row>
    <row r="109" spans="1:15" s="886" customFormat="1">
      <c r="A109" s="1575" t="s">
        <v>120</v>
      </c>
      <c r="B109" s="1576"/>
      <c r="C109" s="968"/>
      <c r="D109" s="964" t="s">
        <v>209</v>
      </c>
      <c r="E109" s="965">
        <f>'22'!F109</f>
        <v>0</v>
      </c>
      <c r="F109" s="965"/>
      <c r="G109" s="965"/>
      <c r="H109" s="966"/>
      <c r="I109" s="965"/>
      <c r="J109" s="967"/>
      <c r="N109" s="1004"/>
      <c r="O109" s="841"/>
    </row>
    <row r="110" spans="1:15" s="886" customFormat="1">
      <c r="A110" s="1570" t="s">
        <v>25</v>
      </c>
      <c r="B110" s="1571"/>
      <c r="C110" s="968"/>
      <c r="D110" s="964" t="s">
        <v>209</v>
      </c>
      <c r="E110" s="965">
        <f>'22'!F110</f>
        <v>62270</v>
      </c>
      <c r="F110" s="965">
        <v>62330</v>
      </c>
      <c r="G110" s="965">
        <f>F110-E110</f>
        <v>60</v>
      </c>
      <c r="H110" s="966">
        <f>SUM(G110+'1'!G81)</f>
        <v>154</v>
      </c>
      <c r="I110" s="965"/>
      <c r="J110" s="967">
        <f>H110/DAY(B2)</f>
        <v>6.6956521739130439</v>
      </c>
      <c r="N110" s="1004"/>
      <c r="O110" s="841"/>
    </row>
    <row r="111" spans="1:15" s="886" customFormat="1">
      <c r="A111" s="1570" t="s">
        <v>26</v>
      </c>
      <c r="B111" s="1571"/>
      <c r="C111" s="968"/>
      <c r="D111" s="964" t="s">
        <v>209</v>
      </c>
      <c r="E111" s="965">
        <f>'22'!F111</f>
        <v>32459</v>
      </c>
      <c r="F111" s="1192">
        <v>32478</v>
      </c>
      <c r="G111" s="965">
        <f t="shared" ref="G111:G112" si="13">F111-E111</f>
        <v>19</v>
      </c>
      <c r="H111" s="966">
        <f>SUM(G111+'1'!G82)</f>
        <v>30</v>
      </c>
      <c r="I111" s="965"/>
      <c r="J111" s="967">
        <f>H111/DAY(B2)</f>
        <v>1.3043478260869565</v>
      </c>
      <c r="N111" s="1004"/>
      <c r="O111" s="841"/>
    </row>
    <row r="112" spans="1:15" s="886" customFormat="1">
      <c r="A112" s="1570" t="s">
        <v>27</v>
      </c>
      <c r="B112" s="1571"/>
      <c r="C112" s="968"/>
      <c r="D112" s="964" t="s">
        <v>209</v>
      </c>
      <c r="E112" s="965">
        <f>'22'!F112</f>
        <v>4527</v>
      </c>
      <c r="F112" s="1192">
        <v>4527</v>
      </c>
      <c r="G112" s="965">
        <f t="shared" si="13"/>
        <v>0</v>
      </c>
      <c r="H112" s="966">
        <f>SUM(G112+'1'!G83)</f>
        <v>152</v>
      </c>
      <c r="I112" s="965"/>
      <c r="J112" s="967">
        <f>H112/DAY(B2)</f>
        <v>6.6086956521739131</v>
      </c>
      <c r="N112" s="1004"/>
      <c r="O112" s="841"/>
    </row>
    <row r="113" spans="1:15" s="886" customFormat="1">
      <c r="A113" s="1577" t="s">
        <v>174</v>
      </c>
      <c r="B113" s="1578"/>
      <c r="C113" s="968"/>
      <c r="D113" s="964"/>
      <c r="E113" s="965">
        <f>'22'!F113</f>
        <v>0</v>
      </c>
      <c r="F113" s="965"/>
      <c r="G113" s="965">
        <f>SUM(G110:G112)</f>
        <v>79</v>
      </c>
      <c r="H113" s="966">
        <f>SUM(G113+'1'!G84)</f>
        <v>906</v>
      </c>
      <c r="I113" s="965"/>
      <c r="J113" s="967">
        <f>H113/DAY(B2)</f>
        <v>39.391304347826086</v>
      </c>
      <c r="N113" s="1004"/>
      <c r="O113" s="841"/>
    </row>
    <row r="114" spans="1:15" s="886" customFormat="1">
      <c r="A114" s="1575" t="s">
        <v>280</v>
      </c>
      <c r="B114" s="1576"/>
      <c r="C114" s="968"/>
      <c r="D114" s="964"/>
      <c r="E114" s="965">
        <f>'22'!F114</f>
        <v>0</v>
      </c>
      <c r="F114" s="965"/>
      <c r="G114" s="965"/>
      <c r="H114" s="966"/>
      <c r="I114" s="965"/>
      <c r="J114" s="967">
        <f>H114/DAY(B2)</f>
        <v>0</v>
      </c>
      <c r="N114" s="1004"/>
      <c r="O114" s="841"/>
    </row>
    <row r="115" spans="1:15" s="886" customFormat="1">
      <c r="A115" s="1570" t="s">
        <v>28</v>
      </c>
      <c r="B115" s="1571"/>
      <c r="C115" s="970"/>
      <c r="D115" s="964" t="s">
        <v>209</v>
      </c>
      <c r="E115" s="965">
        <f>'22'!F115</f>
        <v>11434</v>
      </c>
      <c r="F115" s="969">
        <v>11439</v>
      </c>
      <c r="G115" s="969">
        <f>F115-E115</f>
        <v>5</v>
      </c>
      <c r="H115" s="966">
        <f>SUM(G115+'1'!G92)</f>
        <v>5</v>
      </c>
      <c r="I115" s="965"/>
      <c r="J115" s="967">
        <f>H115/DAY(B2)</f>
        <v>0.21739130434782608</v>
      </c>
      <c r="N115" s="1004"/>
      <c r="O115" s="841"/>
    </row>
    <row r="116" spans="1:15" s="886" customFormat="1">
      <c r="A116" s="1570" t="s">
        <v>29</v>
      </c>
      <c r="B116" s="1571"/>
      <c r="C116" s="970"/>
      <c r="D116" s="964" t="s">
        <v>209</v>
      </c>
      <c r="E116" s="965">
        <f>'22'!F116</f>
        <v>8243</v>
      </c>
      <c r="F116" s="969">
        <v>8254</v>
      </c>
      <c r="G116" s="969">
        <f t="shared" ref="G116:G117" si="14">F116-E116</f>
        <v>11</v>
      </c>
      <c r="H116" s="966">
        <f>SUM(G116+'1'!G93)</f>
        <v>29</v>
      </c>
      <c r="I116" s="965"/>
      <c r="J116" s="967">
        <f>H116/DAY(B2)</f>
        <v>1.2608695652173914</v>
      </c>
      <c r="N116" s="1004"/>
      <c r="O116" s="841"/>
    </row>
    <row r="117" spans="1:15" s="886" customFormat="1">
      <c r="A117" s="1570" t="s">
        <v>281</v>
      </c>
      <c r="B117" s="1571"/>
      <c r="C117" s="970"/>
      <c r="D117" s="964" t="s">
        <v>209</v>
      </c>
      <c r="E117" s="969"/>
      <c r="F117" s="969"/>
      <c r="G117" s="969">
        <f t="shared" si="14"/>
        <v>0</v>
      </c>
      <c r="H117" s="966">
        <f>SUM(G117+'1'!G94)</f>
        <v>58</v>
      </c>
      <c r="I117" s="965"/>
      <c r="J117" s="967">
        <f>H117/DAY(B2)</f>
        <v>2.5217391304347827</v>
      </c>
      <c r="N117" s="1004"/>
      <c r="O117" s="841"/>
    </row>
    <row r="118" spans="1:15" s="972" customFormat="1">
      <c r="A118" s="1573" t="s">
        <v>102</v>
      </c>
      <c r="B118" s="1574"/>
      <c r="C118" s="970"/>
      <c r="D118" s="971"/>
      <c r="E118" s="969"/>
      <c r="F118" s="969"/>
      <c r="G118" s="969">
        <f>SUM(G115:G117)</f>
        <v>16</v>
      </c>
      <c r="H118" s="966">
        <f>SUM(G118+'1'!G96)</f>
        <v>56</v>
      </c>
      <c r="I118" s="969"/>
      <c r="J118" s="967">
        <f>H118/DAY(B2)</f>
        <v>2.4347826086956523</v>
      </c>
      <c r="N118" s="1009"/>
      <c r="O118" s="841"/>
    </row>
    <row r="119" spans="1:15" s="764" customFormat="1">
      <c r="A119" s="1579" t="s">
        <v>282</v>
      </c>
      <c r="B119" s="1580"/>
      <c r="C119" s="973"/>
      <c r="D119" s="974" t="s">
        <v>209</v>
      </c>
      <c r="E119" s="975"/>
      <c r="F119" s="976"/>
      <c r="G119" s="976">
        <f>SUM(G19+G93)</f>
        <v>117</v>
      </c>
      <c r="H119" s="966">
        <f>SUM(G119+'1'!G97)</f>
        <v>130</v>
      </c>
      <c r="I119" s="975"/>
      <c r="J119" s="977">
        <f>H119/DAY(B2)</f>
        <v>5.6521739130434785</v>
      </c>
      <c r="N119" s="1010" t="s">
        <v>182</v>
      </c>
      <c r="O119" s="841"/>
    </row>
    <row r="120" spans="1:15" s="764" customFormat="1">
      <c r="A120" s="1579" t="s">
        <v>283</v>
      </c>
      <c r="B120" s="1580"/>
      <c r="C120" s="973"/>
      <c r="D120" s="974" t="s">
        <v>209</v>
      </c>
      <c r="E120" s="975"/>
      <c r="F120" s="976"/>
      <c r="G120" s="976">
        <f>SUM(G96,G97,G98,G100,G101)</f>
        <v>98</v>
      </c>
      <c r="H120" s="966">
        <f>SUM(G120+'1'!G99)</f>
        <v>105</v>
      </c>
      <c r="I120" s="975"/>
      <c r="J120" s="977">
        <f>H120/DAY(B2)</f>
        <v>4.5652173913043477</v>
      </c>
      <c r="N120" s="1010"/>
      <c r="O120" s="841"/>
    </row>
    <row r="121" spans="1:15" s="764" customFormat="1">
      <c r="A121" s="1579" t="s">
        <v>284</v>
      </c>
      <c r="B121" s="1580"/>
      <c r="C121" s="973"/>
      <c r="D121" s="974" t="s">
        <v>209</v>
      </c>
      <c r="E121" s="975"/>
      <c r="F121" s="969"/>
      <c r="G121" s="969">
        <f>SUM(G113)</f>
        <v>79</v>
      </c>
      <c r="H121" s="966">
        <f>SUM(G121+'1'!G101)</f>
        <v>83</v>
      </c>
      <c r="I121" s="975"/>
      <c r="J121" s="977">
        <f>H121/DAY(B2)</f>
        <v>3.6086956521739131</v>
      </c>
      <c r="N121" s="1010"/>
      <c r="O121" s="841"/>
    </row>
    <row r="122" spans="1:15" s="886" customFormat="1">
      <c r="A122" s="1581"/>
      <c r="B122" s="1582"/>
      <c r="C122" s="968"/>
      <c r="D122" s="963"/>
      <c r="E122" s="963"/>
      <c r="F122" s="963"/>
      <c r="G122" s="963"/>
      <c r="H122" s="978"/>
      <c r="I122" s="963"/>
      <c r="J122" s="979"/>
      <c r="N122" s="1004"/>
      <c r="O122" s="841"/>
    </row>
    <row r="123" spans="1:15">
      <c r="A123" s="1560" t="s">
        <v>285</v>
      </c>
      <c r="B123" s="1561"/>
      <c r="C123" s="1562"/>
      <c r="D123" s="829"/>
      <c r="E123" s="829"/>
      <c r="F123" s="829"/>
      <c r="G123" s="861"/>
      <c r="H123" s="861"/>
      <c r="I123" s="861"/>
      <c r="J123" s="980"/>
      <c r="K123" s="935"/>
      <c r="L123" s="814"/>
      <c r="O123" s="841"/>
    </row>
    <row r="124" spans="1:15">
      <c r="A124" s="863" t="s">
        <v>286</v>
      </c>
      <c r="B124" s="864"/>
      <c r="C124" s="864"/>
      <c r="D124" s="834" t="s">
        <v>206</v>
      </c>
      <c r="E124" s="835">
        <f>'22'!F124</f>
        <v>830512</v>
      </c>
      <c r="F124" s="869">
        <v>830726.84</v>
      </c>
      <c r="G124" s="836">
        <f>F124-E124</f>
        <v>214.8399999999674</v>
      </c>
      <c r="H124" s="837">
        <f>G124+'22'!H124</f>
        <v>-1639.1600000000326</v>
      </c>
      <c r="I124" s="953"/>
      <c r="J124" s="839">
        <f>H124/DAY(B2)</f>
        <v>-71.267826086957939</v>
      </c>
      <c r="K124" s="935"/>
      <c r="L124" s="814"/>
      <c r="O124" s="841"/>
    </row>
    <row r="125" spans="1:15">
      <c r="A125" s="863" t="s">
        <v>287</v>
      </c>
      <c r="B125" s="864"/>
      <c r="C125" s="864"/>
      <c r="D125" s="834" t="s">
        <v>206</v>
      </c>
      <c r="E125" s="835">
        <f>'22'!F125</f>
        <v>73583.399999999994</v>
      </c>
      <c r="F125" s="869">
        <v>73583.399999999994</v>
      </c>
      <c r="G125" s="836">
        <f t="shared" ref="G125:G128" si="15">F125-E125</f>
        <v>0</v>
      </c>
      <c r="H125" s="837">
        <f>G125+'22'!H125</f>
        <v>0</v>
      </c>
      <c r="I125" s="953"/>
      <c r="J125" s="839">
        <f>H125/DAY(B2)</f>
        <v>0</v>
      </c>
      <c r="K125" s="935"/>
      <c r="L125" s="814"/>
      <c r="O125" s="841"/>
    </row>
    <row r="126" spans="1:15">
      <c r="A126" s="1545" t="s">
        <v>288</v>
      </c>
      <c r="B126" s="1546"/>
      <c r="C126" s="1547"/>
      <c r="D126" s="834" t="s">
        <v>206</v>
      </c>
      <c r="E126" s="835">
        <f>'22'!F126</f>
        <v>145905</v>
      </c>
      <c r="F126" s="869">
        <v>145965.84</v>
      </c>
      <c r="G126" s="836">
        <f t="shared" si="15"/>
        <v>60.839999999996508</v>
      </c>
      <c r="H126" s="837">
        <f>G126+'22'!H126</f>
        <v>-525.16000000000349</v>
      </c>
      <c r="I126" s="953"/>
      <c r="J126" s="839">
        <f>H126/DAY(B2)</f>
        <v>-22.833043478261022</v>
      </c>
      <c r="K126" s="935"/>
      <c r="L126" s="814"/>
      <c r="O126" s="841"/>
    </row>
    <row r="127" spans="1:15">
      <c r="A127" s="982" t="s">
        <v>289</v>
      </c>
      <c r="B127" s="864"/>
      <c r="C127" s="864"/>
      <c r="D127" s="834" t="s">
        <v>206</v>
      </c>
      <c r="E127" s="835">
        <f>'22'!F127</f>
        <v>31404</v>
      </c>
      <c r="F127" s="869">
        <v>31404.2</v>
      </c>
      <c r="G127" s="836">
        <f t="shared" si="15"/>
        <v>0.2000000000007276</v>
      </c>
      <c r="H127" s="837">
        <f>G127+'22'!H127</f>
        <v>-1.7999999999992724</v>
      </c>
      <c r="I127" s="953"/>
      <c r="J127" s="839">
        <f>H127/DAY(B2)</f>
        <v>-7.8260869565185756E-2</v>
      </c>
      <c r="K127" s="935"/>
      <c r="L127" s="814"/>
      <c r="O127" s="841"/>
    </row>
    <row r="128" spans="1:15">
      <c r="A128" s="982" t="s">
        <v>290</v>
      </c>
      <c r="B128" s="864"/>
      <c r="C128" s="864"/>
      <c r="D128" s="834" t="s">
        <v>206</v>
      </c>
      <c r="E128" s="835">
        <f>'22'!F128</f>
        <v>8971</v>
      </c>
      <c r="F128" s="869">
        <v>8970.6</v>
      </c>
      <c r="G128" s="836">
        <f t="shared" si="15"/>
        <v>-0.3999999999996362</v>
      </c>
      <c r="H128" s="837">
        <f>G128+'22'!H128</f>
        <v>-1.3999999999996362</v>
      </c>
      <c r="I128" s="856"/>
      <c r="J128" s="839">
        <f>H128/DAY(B2)</f>
        <v>-6.0869565217375486E-2</v>
      </c>
      <c r="K128" s="935"/>
      <c r="L128" s="814"/>
      <c r="O128" s="841"/>
    </row>
    <row r="129" spans="1:15">
      <c r="A129" s="982" t="s">
        <v>291</v>
      </c>
      <c r="B129" s="864"/>
      <c r="C129" s="864"/>
      <c r="D129" s="834"/>
      <c r="E129" s="835"/>
      <c r="F129" s="853"/>
      <c r="G129" s="836">
        <f>G15-SUM(G124:G128)</f>
        <v>274.520000000035</v>
      </c>
      <c r="H129" s="837">
        <f>G129+'22'!H129</f>
        <v>2372.520000000035</v>
      </c>
      <c r="I129" s="856"/>
      <c r="J129" s="839">
        <f>H129/DAY(B2)</f>
        <v>103.15304347826239</v>
      </c>
      <c r="K129" s="935"/>
      <c r="L129" s="814"/>
      <c r="O129" s="841"/>
    </row>
    <row r="130" spans="1:15">
      <c r="A130" s="983" t="s">
        <v>292</v>
      </c>
      <c r="B130" s="828"/>
      <c r="C130" s="828"/>
      <c r="D130" s="828"/>
      <c r="E130" s="828"/>
      <c r="F130" s="828"/>
      <c r="G130" s="984"/>
      <c r="H130" s="984"/>
      <c r="I130" s="984"/>
      <c r="J130" s="985"/>
      <c r="O130" s="841"/>
    </row>
    <row r="131" spans="1:15">
      <c r="A131" s="863" t="s">
        <v>293</v>
      </c>
      <c r="B131" s="864"/>
      <c r="C131" s="864"/>
      <c r="D131" s="834" t="s">
        <v>294</v>
      </c>
      <c r="E131" s="835">
        <f>'22'!F131</f>
        <v>0</v>
      </c>
      <c r="F131" s="865">
        <v>0</v>
      </c>
      <c r="G131" s="836">
        <f t="shared" ref="G131:G141" si="16">F131-E131</f>
        <v>0</v>
      </c>
      <c r="H131" s="837">
        <f>G131+'22'!H131</f>
        <v>0</v>
      </c>
      <c r="I131" s="856"/>
      <c r="J131" s="839">
        <f>H131/DAY(B2)</f>
        <v>0</v>
      </c>
      <c r="O131" s="841"/>
    </row>
    <row r="132" spans="1:15">
      <c r="A132" s="863" t="s">
        <v>295</v>
      </c>
      <c r="B132" s="864"/>
      <c r="C132" s="864"/>
      <c r="D132" s="834" t="s">
        <v>294</v>
      </c>
      <c r="E132" s="835">
        <f>'22'!F132</f>
        <v>0</v>
      </c>
      <c r="F132" s="865">
        <v>0</v>
      </c>
      <c r="G132" s="836">
        <f t="shared" si="16"/>
        <v>0</v>
      </c>
      <c r="H132" s="837">
        <f>G132+'22'!H132</f>
        <v>0</v>
      </c>
      <c r="I132" s="856"/>
      <c r="J132" s="839">
        <f>H132/DAY(B2)</f>
        <v>0</v>
      </c>
      <c r="O132" s="841"/>
    </row>
    <row r="133" spans="1:15">
      <c r="A133" s="863" t="s">
        <v>296</v>
      </c>
      <c r="B133" s="864"/>
      <c r="C133" s="864"/>
      <c r="D133" s="834" t="s">
        <v>294</v>
      </c>
      <c r="E133" s="835">
        <f>'22'!F133</f>
        <v>40035.1</v>
      </c>
      <c r="F133" s="986">
        <v>40035.1</v>
      </c>
      <c r="G133" s="836">
        <f t="shared" si="16"/>
        <v>0</v>
      </c>
      <c r="H133" s="837">
        <f>G133+'22'!H133</f>
        <v>0</v>
      </c>
      <c r="I133" s="856"/>
      <c r="J133" s="839">
        <f>H133/DAY(B2)</f>
        <v>0</v>
      </c>
      <c r="O133" s="841"/>
    </row>
    <row r="134" spans="1:15">
      <c r="A134" s="863" t="s">
        <v>297</v>
      </c>
      <c r="B134" s="864"/>
      <c r="C134" s="864"/>
      <c r="D134" s="834" t="s">
        <v>294</v>
      </c>
      <c r="E134" s="835">
        <f>'22'!F134</f>
        <v>300</v>
      </c>
      <c r="F134" s="986">
        <v>300</v>
      </c>
      <c r="G134" s="836">
        <f t="shared" si="16"/>
        <v>0</v>
      </c>
      <c r="H134" s="837">
        <f>G134+'22'!H134</f>
        <v>0</v>
      </c>
      <c r="I134" s="856">
        <f>G131+G132+G133+G134</f>
        <v>0</v>
      </c>
      <c r="J134" s="839">
        <f>H134/DAY(B2)</f>
        <v>0</v>
      </c>
      <c r="O134" s="841"/>
    </row>
    <row r="135" spans="1:15">
      <c r="A135" s="863" t="s">
        <v>298</v>
      </c>
      <c r="B135" s="864"/>
      <c r="C135" s="864"/>
      <c r="D135" s="834" t="s">
        <v>294</v>
      </c>
      <c r="E135" s="835">
        <f>'22'!F135</f>
        <v>41637</v>
      </c>
      <c r="F135" s="986">
        <v>41661.39</v>
      </c>
      <c r="G135" s="836">
        <f t="shared" si="16"/>
        <v>24.389999999999418</v>
      </c>
      <c r="H135" s="837">
        <v>24</v>
      </c>
      <c r="I135" s="856"/>
      <c r="J135" s="839">
        <f>H135/DAY(B2)</f>
        <v>1.0434782608695652</v>
      </c>
      <c r="O135" s="841"/>
    </row>
    <row r="136" spans="1:15">
      <c r="A136" s="863" t="s">
        <v>299</v>
      </c>
      <c r="B136" s="864"/>
      <c r="C136" s="864"/>
      <c r="D136" s="834" t="s">
        <v>294</v>
      </c>
      <c r="E136" s="835">
        <f>'22'!F136</f>
        <v>32582.93</v>
      </c>
      <c r="F136" s="986">
        <v>32582.93</v>
      </c>
      <c r="G136" s="836">
        <f t="shared" si="16"/>
        <v>0</v>
      </c>
      <c r="H136" s="837">
        <v>13</v>
      </c>
      <c r="I136" s="856"/>
      <c r="J136" s="839">
        <f>H136/DAY(B2)</f>
        <v>0.56521739130434778</v>
      </c>
      <c r="O136" s="841"/>
    </row>
    <row r="137" spans="1:15">
      <c r="A137" s="863" t="s">
        <v>300</v>
      </c>
      <c r="B137" s="864"/>
      <c r="C137" s="864"/>
      <c r="D137" s="834" t="s">
        <v>294</v>
      </c>
      <c r="E137" s="835">
        <f>'22'!F137</f>
        <v>22783.45</v>
      </c>
      <c r="F137" s="986">
        <v>22783.45</v>
      </c>
      <c r="G137" s="836">
        <f t="shared" si="16"/>
        <v>0</v>
      </c>
      <c r="H137" s="837">
        <f>G137+'22'!H137</f>
        <v>-23.790000000000873</v>
      </c>
      <c r="I137" s="856">
        <f>G135+G136+G137</f>
        <v>24.389999999999418</v>
      </c>
      <c r="J137" s="839">
        <f>H137/DAY(B2)</f>
        <v>-1.0343478260869945</v>
      </c>
      <c r="O137" s="841"/>
    </row>
    <row r="138" spans="1:15">
      <c r="A138" s="863" t="s">
        <v>301</v>
      </c>
      <c r="B138" s="864"/>
      <c r="C138" s="864"/>
      <c r="D138" s="834" t="s">
        <v>294</v>
      </c>
      <c r="E138" s="835">
        <f>'22'!F138</f>
        <v>25051.72</v>
      </c>
      <c r="F138" s="986">
        <v>25051.72</v>
      </c>
      <c r="G138" s="836">
        <f t="shared" si="16"/>
        <v>0</v>
      </c>
      <c r="H138" s="837">
        <v>8</v>
      </c>
      <c r="I138" s="856"/>
      <c r="J138" s="839">
        <f>H138/DAY(B2)</f>
        <v>0.34782608695652173</v>
      </c>
      <c r="O138" s="841"/>
    </row>
    <row r="139" spans="1:15">
      <c r="A139" s="863" t="s">
        <v>302</v>
      </c>
      <c r="B139" s="864"/>
      <c r="C139" s="864"/>
      <c r="D139" s="834" t="s">
        <v>294</v>
      </c>
      <c r="E139" s="835">
        <f>'22'!F139</f>
        <v>70376.649999999994</v>
      </c>
      <c r="F139" s="986">
        <v>70379.100000000006</v>
      </c>
      <c r="G139" s="836">
        <f t="shared" si="16"/>
        <v>2.4500000000116415</v>
      </c>
      <c r="H139" s="837">
        <v>15</v>
      </c>
      <c r="I139" s="856">
        <f>G138+G139</f>
        <v>2.4500000000116415</v>
      </c>
      <c r="J139" s="839">
        <f>H139/DAY(B2)</f>
        <v>0.65217391304347827</v>
      </c>
      <c r="O139" s="841"/>
    </row>
    <row r="140" spans="1:15">
      <c r="A140" s="863" t="s">
        <v>303</v>
      </c>
      <c r="B140" s="864"/>
      <c r="C140" s="864"/>
      <c r="D140" s="834" t="s">
        <v>294</v>
      </c>
      <c r="E140" s="835">
        <f>'22'!F140</f>
        <v>1785.14</v>
      </c>
      <c r="F140" s="865">
        <v>1793.19</v>
      </c>
      <c r="G140" s="836">
        <f t="shared" si="16"/>
        <v>8.0499999999999545</v>
      </c>
      <c r="H140" s="837">
        <f>G140+'22'!H140</f>
        <v>-61.1099999999999</v>
      </c>
      <c r="I140" s="987"/>
      <c r="J140" s="839">
        <f>H140/DAY(B2)</f>
        <v>-2.6569565217391262</v>
      </c>
      <c r="O140" s="841"/>
    </row>
    <row r="141" spans="1:15">
      <c r="A141" s="863" t="s">
        <v>304</v>
      </c>
      <c r="B141" s="864"/>
      <c r="C141" s="864"/>
      <c r="D141" s="834" t="s">
        <v>294</v>
      </c>
      <c r="E141" s="835">
        <f>'22'!F141</f>
        <v>4636.88</v>
      </c>
      <c r="F141" s="865">
        <v>4636.88</v>
      </c>
      <c r="G141" s="836">
        <f t="shared" si="16"/>
        <v>0</v>
      </c>
      <c r="H141" s="837">
        <f>G141+'22'!H141</f>
        <v>-0.11999999999989086</v>
      </c>
      <c r="I141" s="987"/>
      <c r="J141" s="839">
        <f>H141/DAY(B2)</f>
        <v>-5.2173913043430812E-3</v>
      </c>
      <c r="O141" s="841"/>
    </row>
    <row r="142" spans="1:15">
      <c r="A142" s="1563" t="s">
        <v>305</v>
      </c>
      <c r="B142" s="1564"/>
      <c r="C142" s="829"/>
      <c r="D142" s="829"/>
      <c r="E142" s="829"/>
      <c r="F142" s="829"/>
      <c r="G142" s="861"/>
      <c r="H142" s="861"/>
      <c r="I142" s="861"/>
      <c r="J142" s="980"/>
      <c r="K142" s="935"/>
      <c r="L142" s="814"/>
      <c r="O142" s="841"/>
    </row>
    <row r="143" spans="1:15">
      <c r="A143" s="1539" t="s">
        <v>306</v>
      </c>
      <c r="B143" s="1540"/>
      <c r="C143" s="1541"/>
      <c r="D143" s="834" t="s">
        <v>198</v>
      </c>
      <c r="E143" s="834"/>
      <c r="F143" s="834"/>
      <c r="G143" s="837">
        <f>G35+G43+G49+G57</f>
        <v>4345.0300000000279</v>
      </c>
      <c r="H143" s="837">
        <f>G143+'22'!H143</f>
        <v>-37879.839999999967</v>
      </c>
      <c r="I143" s="856"/>
      <c r="J143" s="839">
        <f>H143/DAY(B2)</f>
        <v>-1646.9495652173898</v>
      </c>
      <c r="K143" s="935"/>
      <c r="L143" s="814"/>
      <c r="O143" s="841"/>
    </row>
    <row r="144" spans="1:15">
      <c r="A144" s="1539" t="s">
        <v>307</v>
      </c>
      <c r="B144" s="1540"/>
      <c r="C144" s="1541"/>
      <c r="D144" s="834" t="s">
        <v>58</v>
      </c>
      <c r="E144" s="821"/>
      <c r="F144" s="821"/>
      <c r="G144" s="988">
        <f>G143/G7</f>
        <v>0.25559000000000165</v>
      </c>
      <c r="H144" s="837">
        <f>G144+'22'!H144</f>
        <v>-2.3405323267837552</v>
      </c>
      <c r="I144" s="989"/>
      <c r="J144" s="839">
        <f>H144/DAY(B2)</f>
        <v>-0.10176227507755457</v>
      </c>
      <c r="K144" s="935"/>
      <c r="L144" s="814"/>
      <c r="O144" s="841"/>
    </row>
    <row r="145" spans="1:15">
      <c r="A145" s="1539" t="s">
        <v>308</v>
      </c>
      <c r="B145" s="1540"/>
      <c r="C145" s="1541"/>
      <c r="D145" s="834" t="s">
        <v>198</v>
      </c>
      <c r="E145" s="835"/>
      <c r="F145" s="835"/>
      <c r="G145" s="837">
        <f>G41+G42+G55+G56</f>
        <v>5435.8999999999505</v>
      </c>
      <c r="H145" s="837">
        <f>G145+'22'!H145</f>
        <v>-41752.070000000043</v>
      </c>
      <c r="I145" s="856"/>
      <c r="J145" s="839">
        <f>H145/DAY(B2)</f>
        <v>-1815.3073913043497</v>
      </c>
      <c r="K145" s="935"/>
      <c r="L145" s="814"/>
      <c r="O145" s="841"/>
    </row>
    <row r="146" spans="1:15">
      <c r="A146" s="1539" t="s">
        <v>309</v>
      </c>
      <c r="B146" s="1540"/>
      <c r="C146" s="1541"/>
      <c r="D146" s="834" t="s">
        <v>58</v>
      </c>
      <c r="E146" s="835"/>
      <c r="F146" s="835"/>
      <c r="G146" s="988">
        <f>G145/G7</f>
        <v>0.31975882352940888</v>
      </c>
      <c r="H146" s="837">
        <f>G146+'22'!H146</f>
        <v>-2.59280533166265</v>
      </c>
      <c r="I146" s="989"/>
      <c r="J146" s="839">
        <f>H146/DAY(B2)</f>
        <v>-0.11273066659402826</v>
      </c>
      <c r="K146" s="935"/>
      <c r="L146" s="814"/>
      <c r="O146" s="841"/>
    </row>
    <row r="147" spans="1:15">
      <c r="A147" s="1539" t="s">
        <v>310</v>
      </c>
      <c r="B147" s="1540"/>
      <c r="C147" s="1541"/>
      <c r="D147" s="834" t="s">
        <v>198</v>
      </c>
      <c r="E147" s="835"/>
      <c r="F147" s="835"/>
      <c r="G147" s="837">
        <f>G39+G53</f>
        <v>2942.6599999999744</v>
      </c>
      <c r="H147" s="837">
        <f>G147+'22'!H147</f>
        <v>-22041.340000000026</v>
      </c>
      <c r="I147" s="990"/>
      <c r="J147" s="839">
        <f>H147/DAY(B2)</f>
        <v>-958.31913043478369</v>
      </c>
      <c r="K147" s="935"/>
      <c r="L147" s="814"/>
      <c r="O147" s="841"/>
    </row>
    <row r="148" spans="1:15">
      <c r="A148" s="1539" t="s">
        <v>311</v>
      </c>
      <c r="B148" s="1540"/>
      <c r="C148" s="1541"/>
      <c r="D148" s="834" t="s">
        <v>58</v>
      </c>
      <c r="E148" s="835"/>
      <c r="F148" s="835"/>
      <c r="G148" s="988">
        <f>G147/G7</f>
        <v>0.17309764705882202</v>
      </c>
      <c r="H148" s="837">
        <f>G148+'22'!H148</f>
        <v>-1.3741231992103109</v>
      </c>
      <c r="I148" s="990"/>
      <c r="J148" s="839">
        <f>H148/DAY(B2)</f>
        <v>-5.974448692218743E-2</v>
      </c>
      <c r="O148" s="841"/>
    </row>
    <row r="149" spans="1:15">
      <c r="A149" s="1539" t="s">
        <v>312</v>
      </c>
      <c r="B149" s="1540"/>
      <c r="C149" s="1541"/>
      <c r="D149" s="834" t="s">
        <v>248</v>
      </c>
      <c r="E149" s="835"/>
      <c r="F149" s="835"/>
      <c r="G149" s="837">
        <f>G38+G52</f>
        <v>1286.429999999993</v>
      </c>
      <c r="H149" s="837">
        <f>G149+'22'!H149</f>
        <v>-9846.5000000000582</v>
      </c>
      <c r="I149" s="856"/>
      <c r="J149" s="839">
        <f>H149/DAY(B2)</f>
        <v>-428.10869565217644</v>
      </c>
      <c r="K149" s="991"/>
      <c r="O149" s="841"/>
    </row>
    <row r="150" spans="1:15">
      <c r="A150" s="1539" t="s">
        <v>313</v>
      </c>
      <c r="B150" s="1540"/>
      <c r="C150" s="1541"/>
      <c r="D150" s="834" t="s">
        <v>58</v>
      </c>
      <c r="E150" s="835"/>
      <c r="F150" s="835"/>
      <c r="G150" s="988">
        <f>G149/G7</f>
        <v>7.5672352941176066E-2</v>
      </c>
      <c r="H150" s="837">
        <f>G150+'22'!H150</f>
        <v>-0.61140062886296087</v>
      </c>
      <c r="I150" s="990"/>
      <c r="J150" s="839">
        <f>H150/DAY(B2)</f>
        <v>-2.6582636037520039E-2</v>
      </c>
      <c r="O150" s="841"/>
    </row>
    <row r="151" spans="1:15">
      <c r="A151" s="1539" t="s">
        <v>314</v>
      </c>
      <c r="B151" s="1540"/>
      <c r="C151" s="1541"/>
      <c r="D151" s="834" t="s">
        <v>248</v>
      </c>
      <c r="E151" s="835"/>
      <c r="F151" s="835"/>
      <c r="G151" s="837">
        <f>G36+G50</f>
        <v>854.15000000002328</v>
      </c>
      <c r="H151" s="837">
        <f>G151+'22'!H151</f>
        <v>339400.15</v>
      </c>
      <c r="I151" s="990"/>
      <c r="J151" s="839">
        <f>H151/DAY(B2)</f>
        <v>14756.528260869567</v>
      </c>
      <c r="O151" s="841"/>
    </row>
    <row r="152" spans="1:15">
      <c r="A152" s="1539" t="s">
        <v>315</v>
      </c>
      <c r="B152" s="1540"/>
      <c r="C152" s="1541"/>
      <c r="D152" s="834" t="s">
        <v>58</v>
      </c>
      <c r="E152" s="835"/>
      <c r="F152" s="835"/>
      <c r="G152" s="988">
        <f>G151/G7</f>
        <v>5.0244117647060195E-2</v>
      </c>
      <c r="H152" s="837">
        <f>G152+'22'!H152</f>
        <v>19.923430939140129</v>
      </c>
      <c r="I152" s="856"/>
      <c r="J152" s="839">
        <f>H152/DAY(B2)</f>
        <v>0.86623612778870129</v>
      </c>
      <c r="O152" s="841"/>
    </row>
    <row r="153" spans="1:15">
      <c r="A153" s="1539" t="s">
        <v>316</v>
      </c>
      <c r="B153" s="1540"/>
      <c r="C153" s="1541"/>
      <c r="D153" s="834" t="s">
        <v>248</v>
      </c>
      <c r="E153" s="835"/>
      <c r="F153" s="835"/>
      <c r="G153" s="837">
        <f>G37+G51</f>
        <v>1310.3799999999901</v>
      </c>
      <c r="H153" s="837">
        <f>G153+'22'!H153</f>
        <v>-10370.62000000001</v>
      </c>
      <c r="I153" s="856"/>
      <c r="J153" s="839">
        <f>H153/DAY(B2)</f>
        <v>-450.89652173913089</v>
      </c>
      <c r="O153" s="841"/>
    </row>
    <row r="154" spans="1:15" ht="21" thickBot="1">
      <c r="A154" s="1565" t="s">
        <v>317</v>
      </c>
      <c r="B154" s="1566"/>
      <c r="C154" s="1567"/>
      <c r="D154" s="992" t="s">
        <v>58</v>
      </c>
      <c r="E154" s="993"/>
      <c r="F154" s="993"/>
      <c r="G154" s="994">
        <f>G153/G7</f>
        <v>7.7081176470587653E-2</v>
      </c>
      <c r="H154" s="837">
        <f>G154+'22'!H154</f>
        <v>-0.64107835960372217</v>
      </c>
      <c r="I154" s="995"/>
      <c r="J154" s="996">
        <f>H154/DAY(B2)</f>
        <v>-2.7872972156683572E-2</v>
      </c>
      <c r="O154" s="841"/>
    </row>
    <row r="155" spans="1:15">
      <c r="A155" s="997"/>
      <c r="B155" s="997"/>
      <c r="C155" s="997"/>
      <c r="D155" s="997"/>
      <c r="E155" s="997"/>
      <c r="F155" s="997"/>
      <c r="G155" s="997"/>
      <c r="H155" s="998"/>
      <c r="I155" s="997"/>
      <c r="J155" s="999"/>
      <c r="O155" s="841"/>
    </row>
    <row r="161" spans="1:10">
      <c r="A161" s="987" t="s">
        <v>318</v>
      </c>
      <c r="B161" s="987"/>
      <c r="C161" s="987"/>
      <c r="D161" s="821" t="s">
        <v>253</v>
      </c>
      <c r="E161" s="835">
        <f>'22'!F161</f>
        <v>37700</v>
      </c>
      <c r="F161" s="1011">
        <v>37780.239999999998</v>
      </c>
      <c r="G161" s="836">
        <f t="shared" ref="G161:G164" si="17">F161-E161</f>
        <v>80.239999999997963</v>
      </c>
    </row>
    <row r="162" spans="1:10" ht="21.75" customHeight="1">
      <c r="A162" s="987" t="s">
        <v>319</v>
      </c>
      <c r="B162" s="987"/>
      <c r="C162" s="987"/>
      <c r="D162" s="821" t="s">
        <v>253</v>
      </c>
      <c r="E162" s="835">
        <f>'22'!F162</f>
        <v>91314</v>
      </c>
      <c r="F162" s="1011">
        <v>91687.55</v>
      </c>
      <c r="G162" s="836">
        <f t="shared" si="17"/>
        <v>373.55000000000291</v>
      </c>
    </row>
    <row r="163" spans="1:10" ht="21.75" customHeight="1">
      <c r="A163" s="987" t="s">
        <v>320</v>
      </c>
      <c r="B163" s="987"/>
      <c r="C163" s="987"/>
      <c r="D163" s="821" t="s">
        <v>253</v>
      </c>
      <c r="E163" s="835">
        <f>'22'!F163</f>
        <v>43101</v>
      </c>
      <c r="F163" s="1011">
        <v>43301.7</v>
      </c>
      <c r="G163" s="836">
        <f t="shared" si="17"/>
        <v>200.69999999999709</v>
      </c>
    </row>
    <row r="164" spans="1:10" ht="21.75" customHeight="1">
      <c r="A164" s="987" t="s">
        <v>321</v>
      </c>
      <c r="B164" s="987"/>
      <c r="C164" s="987"/>
      <c r="D164" s="821" t="s">
        <v>253</v>
      </c>
      <c r="E164" s="835">
        <f>'22'!F164</f>
        <v>6493</v>
      </c>
      <c r="F164" s="1011">
        <v>6501.17</v>
      </c>
      <c r="G164" s="836">
        <f t="shared" si="17"/>
        <v>8.1700000000000728</v>
      </c>
    </row>
    <row r="165" spans="1:10" ht="21.75" customHeight="1">
      <c r="A165" s="917" t="s">
        <v>252</v>
      </c>
      <c r="B165" s="917"/>
      <c r="C165" s="917"/>
      <c r="D165" s="821" t="s">
        <v>253</v>
      </c>
      <c r="E165" s="918">
        <f>E62</f>
        <v>20419.2</v>
      </c>
      <c r="F165" s="918">
        <f>F62</f>
        <v>20419</v>
      </c>
      <c r="G165" s="836">
        <f t="shared" ref="G165:G172" si="18">F165-E165</f>
        <v>-0.2000000000007276</v>
      </c>
      <c r="J165" s="1069"/>
    </row>
    <row r="166" spans="1:10" ht="21.75" customHeight="1">
      <c r="A166" s="917" t="s">
        <v>254</v>
      </c>
      <c r="B166" s="917"/>
      <c r="C166" s="917"/>
      <c r="D166" s="821" t="s">
        <v>253</v>
      </c>
      <c r="E166" s="918">
        <f t="shared" ref="E166:E172" si="19">E63</f>
        <v>2442</v>
      </c>
      <c r="F166" s="918">
        <f t="shared" ref="F166:F172" si="20">F63</f>
        <v>2445.87</v>
      </c>
      <c r="G166" s="836">
        <f t="shared" si="18"/>
        <v>3.8699999999998909</v>
      </c>
    </row>
    <row r="167" spans="1:10" ht="21.75" customHeight="1">
      <c r="A167" s="1583" t="s">
        <v>161</v>
      </c>
      <c r="B167" s="1583"/>
      <c r="C167" s="1583"/>
      <c r="D167" s="834" t="s">
        <v>253</v>
      </c>
      <c r="E167" s="918">
        <f t="shared" si="19"/>
        <v>158181</v>
      </c>
      <c r="F167" s="918">
        <f t="shared" si="20"/>
        <v>158385.74</v>
      </c>
      <c r="G167" s="836">
        <f t="shared" si="18"/>
        <v>204.73999999999069</v>
      </c>
    </row>
    <row r="168" spans="1:10" ht="21.75" customHeight="1">
      <c r="A168" s="1583" t="s">
        <v>162</v>
      </c>
      <c r="B168" s="1583"/>
      <c r="C168" s="1583"/>
      <c r="D168" s="834" t="s">
        <v>253</v>
      </c>
      <c r="E168" s="918">
        <f t="shared" si="19"/>
        <v>159043</v>
      </c>
      <c r="F168" s="918">
        <f t="shared" si="20"/>
        <v>159251.1</v>
      </c>
      <c r="G168" s="836">
        <f t="shared" si="18"/>
        <v>208.10000000000582</v>
      </c>
    </row>
    <row r="169" spans="1:10" ht="21.75" customHeight="1">
      <c r="A169" s="1583" t="s">
        <v>255</v>
      </c>
      <c r="B169" s="1583"/>
      <c r="C169" s="1583"/>
      <c r="D169" s="834" t="s">
        <v>253</v>
      </c>
      <c r="E169" s="918">
        <f t="shared" si="19"/>
        <v>54311</v>
      </c>
      <c r="F169" s="918">
        <f t="shared" si="20"/>
        <v>54623.42</v>
      </c>
      <c r="G169" s="836">
        <f t="shared" si="18"/>
        <v>312.41999999999825</v>
      </c>
    </row>
    <row r="170" spans="1:10">
      <c r="A170" s="1583" t="s">
        <v>157</v>
      </c>
      <c r="B170" s="1583"/>
      <c r="C170" s="1583"/>
      <c r="D170" s="834" t="s">
        <v>253</v>
      </c>
      <c r="E170" s="918">
        <f t="shared" si="19"/>
        <v>248213</v>
      </c>
      <c r="F170" s="918">
        <f t="shared" si="20"/>
        <v>248708.17</v>
      </c>
      <c r="G170" s="836">
        <f t="shared" si="18"/>
        <v>495.17000000001281</v>
      </c>
    </row>
    <row r="171" spans="1:10" ht="24" customHeight="1">
      <c r="A171" s="1583" t="s">
        <v>164</v>
      </c>
      <c r="B171" s="1583"/>
      <c r="C171" s="1583"/>
      <c r="D171" s="834" t="s">
        <v>253</v>
      </c>
      <c r="E171" s="918">
        <f t="shared" si="19"/>
        <v>85321</v>
      </c>
      <c r="F171" s="918">
        <f t="shared" si="20"/>
        <v>85321</v>
      </c>
      <c r="G171" s="836">
        <f t="shared" si="18"/>
        <v>0</v>
      </c>
      <c r="J171" s="1070"/>
    </row>
    <row r="172" spans="1:10">
      <c r="A172" s="1583" t="s">
        <v>165</v>
      </c>
      <c r="B172" s="1583"/>
      <c r="C172" s="1583"/>
      <c r="D172" s="834" t="s">
        <v>253</v>
      </c>
      <c r="E172" s="918">
        <f t="shared" si="19"/>
        <v>80703</v>
      </c>
      <c r="F172" s="918">
        <f t="shared" si="20"/>
        <v>80895.100000000006</v>
      </c>
      <c r="G172" s="836">
        <f t="shared" si="18"/>
        <v>192.10000000000582</v>
      </c>
    </row>
    <row r="173" spans="1:10">
      <c r="G173" s="1002">
        <f>SUM(G161:G172)</f>
        <v>2078.8600000000106</v>
      </c>
    </row>
    <row r="174" spans="1:10">
      <c r="J174" s="1071"/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68" zoomScaleNormal="44" zoomScaleSheetLayoutView="68" workbookViewId="0">
      <selection activeCell="A33" sqref="A33:J33"/>
    </sheetView>
  </sheetViews>
  <sheetFormatPr defaultColWidth="22.33203125" defaultRowHeight="20.25"/>
  <cols>
    <col min="1" max="1" width="51.21875" style="1000" customWidth="1"/>
    <col min="2" max="2" width="24.88671875" style="1000" customWidth="1"/>
    <col min="3" max="3" width="12.44140625" style="1000" customWidth="1"/>
    <col min="4" max="4" width="13.6640625" style="1000" customWidth="1"/>
    <col min="5" max="5" width="28.109375" style="1000" customWidth="1"/>
    <col min="6" max="6" width="23.77734375" style="1000" customWidth="1"/>
    <col min="7" max="7" width="17.88671875" style="1000" customWidth="1"/>
    <col min="8" max="8" width="39.21875" style="1001" customWidth="1"/>
    <col min="9" max="9" width="15.77734375" style="1000" customWidth="1"/>
    <col min="10" max="10" width="24" style="1002" customWidth="1"/>
    <col min="11" max="11" width="43.21875" style="801" hidden="1" customWidth="1"/>
    <col min="12" max="13" width="0" style="801" hidden="1" customWidth="1"/>
    <col min="14" max="14" width="25.109375" style="1003" customWidth="1"/>
    <col min="15" max="15" width="6.77734375" style="801" bestFit="1" customWidth="1"/>
    <col min="16" max="16384" width="22.33203125" style="801"/>
  </cols>
  <sheetData>
    <row r="1" spans="1:15" ht="22.5">
      <c r="A1" s="1528" t="s">
        <v>322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>
      <c r="A2" s="802" t="s">
        <v>358</v>
      </c>
      <c r="B2" s="1073">
        <v>43975</v>
      </c>
      <c r="C2" s="803" t="s">
        <v>111</v>
      </c>
      <c r="D2" s="804">
        <v>0.63</v>
      </c>
      <c r="E2" s="805"/>
      <c r="F2" s="805"/>
      <c r="G2" s="805" t="s">
        <v>184</v>
      </c>
      <c r="H2" s="805" t="s">
        <v>40</v>
      </c>
      <c r="I2" s="805" t="s">
        <v>42</v>
      </c>
      <c r="J2" s="806" t="s">
        <v>185</v>
      </c>
    </row>
    <row r="3" spans="1:15">
      <c r="A3" s="807"/>
      <c r="B3" s="808"/>
      <c r="C3" s="803" t="s">
        <v>186</v>
      </c>
      <c r="D3" s="809">
        <v>28</v>
      </c>
      <c r="E3" s="1537" t="s">
        <v>187</v>
      </c>
      <c r="F3" s="1538"/>
      <c r="G3" s="810">
        <f>'1'!G3</f>
        <v>0</v>
      </c>
      <c r="H3" s="811">
        <f>'1'!H3</f>
        <v>0</v>
      </c>
      <c r="I3" s="811">
        <f>'1'!I3</f>
        <v>0</v>
      </c>
      <c r="J3" s="812">
        <f>'1'!J3</f>
        <v>0</v>
      </c>
      <c r="K3" s="813"/>
      <c r="L3" s="814"/>
    </row>
    <row r="4" spans="1:15">
      <c r="A4" s="815"/>
      <c r="B4" s="816"/>
      <c r="C4" s="803" t="s">
        <v>188</v>
      </c>
      <c r="D4" s="804">
        <v>0.8</v>
      </c>
      <c r="E4" s="817"/>
      <c r="F4" s="817"/>
      <c r="G4" s="817"/>
      <c r="H4" s="817"/>
      <c r="I4" s="818"/>
      <c r="J4" s="812"/>
      <c r="K4" s="819"/>
      <c r="L4" s="814"/>
    </row>
    <row r="5" spans="1:15">
      <c r="A5" s="820" t="s">
        <v>189</v>
      </c>
      <c r="B5" s="821"/>
      <c r="C5" s="821"/>
      <c r="D5" s="821" t="s">
        <v>190</v>
      </c>
      <c r="E5" s="822" t="s">
        <v>191</v>
      </c>
      <c r="F5" s="822" t="s">
        <v>177</v>
      </c>
      <c r="G5" s="823" t="s">
        <v>192</v>
      </c>
      <c r="H5" s="824" t="s">
        <v>193</v>
      </c>
      <c r="I5" s="825" t="s">
        <v>194</v>
      </c>
      <c r="J5" s="826" t="s">
        <v>195</v>
      </c>
      <c r="K5" s="827"/>
      <c r="L5" s="814"/>
    </row>
    <row r="6" spans="1:15">
      <c r="A6" s="1531" t="s">
        <v>196</v>
      </c>
      <c r="B6" s="1532"/>
      <c r="C6" s="1533"/>
      <c r="D6" s="828"/>
      <c r="E6" s="828"/>
      <c r="F6" s="828"/>
      <c r="G6" s="828"/>
      <c r="H6" s="829"/>
      <c r="I6" s="829"/>
      <c r="J6" s="830"/>
      <c r="K6" s="831"/>
      <c r="L6" s="814"/>
    </row>
    <row r="7" spans="1:15" ht="21" thickBot="1">
      <c r="A7" s="832" t="s">
        <v>197</v>
      </c>
      <c r="B7" s="833"/>
      <c r="C7" s="833"/>
      <c r="D7" s="834" t="s">
        <v>198</v>
      </c>
      <c r="E7" s="835">
        <f>'23'!F7</f>
        <v>742941</v>
      </c>
      <c r="F7" s="835">
        <f>E7+17000</f>
        <v>759941</v>
      </c>
      <c r="G7" s="836">
        <f>F7-E7</f>
        <v>17000</v>
      </c>
      <c r="H7" s="837">
        <f>G7+'23'!H7</f>
        <v>415529</v>
      </c>
      <c r="I7" s="838">
        <f>'1'!I7</f>
        <v>12000</v>
      </c>
      <c r="J7" s="839">
        <f>H7/DAY(B2)</f>
        <v>17313.708333333332</v>
      </c>
      <c r="K7" s="840"/>
      <c r="L7" s="814"/>
      <c r="O7" s="841"/>
    </row>
    <row r="8" spans="1:15" ht="21" thickBot="1">
      <c r="A8" s="842" t="s">
        <v>199</v>
      </c>
      <c r="B8" s="843"/>
      <c r="C8" s="844"/>
      <c r="D8" s="845" t="s">
        <v>59</v>
      </c>
      <c r="E8" s="835">
        <f>'23'!F8</f>
        <v>747495</v>
      </c>
      <c r="F8" s="846">
        <f>E8+17150</f>
        <v>764645</v>
      </c>
      <c r="G8" s="847">
        <f>F8-E8</f>
        <v>17150</v>
      </c>
      <c r="H8" s="837">
        <f>G8+'23'!H8</f>
        <v>418135</v>
      </c>
      <c r="I8" s="848">
        <f>'1'!I8</f>
        <v>12000</v>
      </c>
      <c r="J8" s="839">
        <f>H8/DAY(B2)</f>
        <v>17422.291666666668</v>
      </c>
      <c r="K8" s="840"/>
      <c r="L8" s="849"/>
      <c r="M8" s="850"/>
      <c r="O8" s="841"/>
    </row>
    <row r="9" spans="1:15">
      <c r="A9" s="851" t="s">
        <v>200</v>
      </c>
      <c r="B9" s="852"/>
      <c r="C9" s="852"/>
      <c r="D9" s="834" t="s">
        <v>198</v>
      </c>
      <c r="E9" s="835">
        <f>'23'!F9</f>
        <v>1864472</v>
      </c>
      <c r="F9" s="853">
        <f>E9+16950</f>
        <v>1881422</v>
      </c>
      <c r="G9" s="836">
        <f t="shared" ref="G9:G12" si="0">F9-E9</f>
        <v>16950</v>
      </c>
      <c r="H9" s="837">
        <f>G9+'23'!H9</f>
        <v>407732</v>
      </c>
      <c r="I9" s="854">
        <f>I8-J8</f>
        <v>-5422.2916666666679</v>
      </c>
      <c r="J9" s="839">
        <f>H9/DAY(B2)</f>
        <v>16988.833333333332</v>
      </c>
      <c r="K9" s="855"/>
      <c r="L9" s="814"/>
      <c r="O9" s="841"/>
    </row>
    <row r="10" spans="1:15">
      <c r="A10" s="832" t="s">
        <v>201</v>
      </c>
      <c r="B10" s="833"/>
      <c r="C10" s="833"/>
      <c r="D10" s="834" t="s">
        <v>198</v>
      </c>
      <c r="E10" s="835">
        <f>'23'!F10</f>
        <v>0</v>
      </c>
      <c r="F10" s="853"/>
      <c r="G10" s="836">
        <f t="shared" si="0"/>
        <v>0</v>
      </c>
      <c r="H10" s="837">
        <f>G10+'23'!H10</f>
        <v>-2606.13</v>
      </c>
      <c r="I10" s="856"/>
      <c r="J10" s="839">
        <f>H10/DAY(B2)</f>
        <v>-108.58875</v>
      </c>
      <c r="K10" s="855"/>
      <c r="L10" s="814"/>
      <c r="M10" s="801" t="s">
        <v>359</v>
      </c>
      <c r="O10" s="841"/>
    </row>
    <row r="11" spans="1:15">
      <c r="A11" s="832" t="s">
        <v>202</v>
      </c>
      <c r="B11" s="833"/>
      <c r="C11" s="833"/>
      <c r="D11" s="834" t="s">
        <v>198</v>
      </c>
      <c r="E11" s="835">
        <f>'5'!E11</f>
        <v>37000</v>
      </c>
      <c r="F11" s="835">
        <v>37000</v>
      </c>
      <c r="G11" s="836">
        <f t="shared" si="0"/>
        <v>0</v>
      </c>
      <c r="H11" s="837">
        <f>G11+'23'!H11</f>
        <v>0</v>
      </c>
      <c r="I11" s="856"/>
      <c r="J11" s="839">
        <f>H11/DAY(B2)</f>
        <v>0</v>
      </c>
      <c r="K11" s="855"/>
      <c r="L11" s="814"/>
      <c r="O11" s="841"/>
    </row>
    <row r="12" spans="1:15">
      <c r="A12" s="832" t="s">
        <v>203</v>
      </c>
      <c r="B12" s="833"/>
      <c r="C12" s="833"/>
      <c r="D12" s="834" t="s">
        <v>198</v>
      </c>
      <c r="E12" s="835">
        <f>'5'!E12</f>
        <v>40010</v>
      </c>
      <c r="F12" s="853">
        <v>40010</v>
      </c>
      <c r="G12" s="836">
        <f t="shared" si="0"/>
        <v>0</v>
      </c>
      <c r="H12" s="837">
        <f>G12+'23'!H12</f>
        <v>0</v>
      </c>
      <c r="I12" s="856"/>
      <c r="J12" s="839">
        <f>H12/DAY(B2)</f>
        <v>0</v>
      </c>
      <c r="K12" s="855"/>
      <c r="L12" s="814"/>
      <c r="O12" s="841"/>
    </row>
    <row r="13" spans="1:15">
      <c r="A13" s="857" t="s">
        <v>204</v>
      </c>
      <c r="B13" s="858"/>
      <c r="C13" s="858"/>
      <c r="D13" s="834"/>
      <c r="E13" s="835"/>
      <c r="F13" s="835"/>
      <c r="G13" s="859">
        <f>G9+G10+G11+G12</f>
        <v>16950</v>
      </c>
      <c r="H13" s="837">
        <f>G13+'23'!H13</f>
        <v>388600.87</v>
      </c>
      <c r="I13" s="860">
        <f>G7-G13</f>
        <v>50</v>
      </c>
      <c r="J13" s="839">
        <f>H13/DAY(B2)</f>
        <v>16191.702916666667</v>
      </c>
      <c r="K13" s="855"/>
      <c r="L13" s="814"/>
      <c r="O13" s="841"/>
    </row>
    <row r="14" spans="1:15">
      <c r="A14" s="1534" t="s">
        <v>205</v>
      </c>
      <c r="B14" s="1535"/>
      <c r="C14" s="1536"/>
      <c r="D14" s="829"/>
      <c r="E14" s="829"/>
      <c r="F14" s="829"/>
      <c r="G14" s="861"/>
      <c r="H14" s="829"/>
      <c r="I14" s="829"/>
      <c r="J14" s="830"/>
      <c r="K14" s="862"/>
      <c r="L14" s="814"/>
      <c r="O14" s="841"/>
    </row>
    <row r="15" spans="1:15">
      <c r="A15" s="863" t="s">
        <v>133</v>
      </c>
      <c r="B15" s="864"/>
      <c r="C15" s="864"/>
      <c r="D15" s="834" t="s">
        <v>206</v>
      </c>
      <c r="E15" s="835">
        <f>'23'!F15</f>
        <v>1696332</v>
      </c>
      <c r="F15" s="865">
        <f>E15+550</f>
        <v>1696882</v>
      </c>
      <c r="G15" s="1012">
        <f>(F15-E15)</f>
        <v>550</v>
      </c>
      <c r="H15" s="837">
        <f>G15+'23'!H15</f>
        <v>12358</v>
      </c>
      <c r="I15" s="838">
        <f>'1'!I15</f>
        <v>800</v>
      </c>
      <c r="J15" s="839">
        <f>H15/DAY(B2)</f>
        <v>514.91666666666663</v>
      </c>
      <c r="K15" s="855"/>
      <c r="L15" s="814"/>
      <c r="O15" s="841"/>
    </row>
    <row r="16" spans="1:15">
      <c r="A16" s="866"/>
      <c r="B16" s="867"/>
      <c r="C16" s="867"/>
      <c r="D16" s="868"/>
      <c r="E16" s="869"/>
      <c r="F16" s="869"/>
      <c r="G16" s="836"/>
      <c r="H16" s="870"/>
      <c r="I16" s="871">
        <f>I15-J15</f>
        <v>285.08333333333337</v>
      </c>
      <c r="J16" s="872"/>
      <c r="K16" s="855"/>
      <c r="L16" s="814"/>
      <c r="N16" s="1005"/>
      <c r="O16" s="841"/>
    </row>
    <row r="17" spans="1:15">
      <c r="A17" s="1534" t="s">
        <v>207</v>
      </c>
      <c r="B17" s="1535"/>
      <c r="C17" s="1536"/>
      <c r="D17" s="829"/>
      <c r="E17" s="829"/>
      <c r="F17" s="829"/>
      <c r="G17" s="873"/>
      <c r="H17" s="829">
        <f>G17+'22'!H17</f>
        <v>0</v>
      </c>
      <c r="I17" s="829"/>
      <c r="J17" s="830"/>
      <c r="K17" s="855"/>
      <c r="L17" s="814"/>
      <c r="O17" s="841"/>
    </row>
    <row r="18" spans="1:15">
      <c r="A18" s="1539" t="s">
        <v>208</v>
      </c>
      <c r="B18" s="1540"/>
      <c r="C18" s="1541"/>
      <c r="D18" s="834" t="s">
        <v>209</v>
      </c>
      <c r="E18" s="835">
        <f>'23'!F18</f>
        <v>8</v>
      </c>
      <c r="F18" s="865">
        <v>5</v>
      </c>
      <c r="G18" s="859">
        <f>F18*10</f>
        <v>50</v>
      </c>
      <c r="H18" s="837">
        <f>G18+'23'!H18</f>
        <v>1180</v>
      </c>
      <c r="I18" s="838">
        <f>'1'!I18</f>
        <v>65</v>
      </c>
      <c r="J18" s="839">
        <f>H18/DAY(B2)</f>
        <v>49.166666666666664</v>
      </c>
      <c r="K18" s="855"/>
      <c r="L18" s="814"/>
      <c r="O18" s="841"/>
    </row>
    <row r="19" spans="1:15">
      <c r="A19" s="1539" t="s">
        <v>113</v>
      </c>
      <c r="B19" s="1540"/>
      <c r="C19" s="1541"/>
      <c r="D19" s="834" t="s">
        <v>209</v>
      </c>
      <c r="E19" s="835">
        <f>'23'!F19</f>
        <v>139142</v>
      </c>
      <c r="F19" s="865">
        <v>139202</v>
      </c>
      <c r="G19" s="836">
        <f t="shared" ref="G19" si="1">F19-E19</f>
        <v>60</v>
      </c>
      <c r="H19" s="837">
        <f>G19+'23'!H19</f>
        <v>-410</v>
      </c>
      <c r="I19" s="874"/>
      <c r="J19" s="839">
        <f>H19/DAY(B2)</f>
        <v>-17.083333333333332</v>
      </c>
      <c r="K19" s="855"/>
      <c r="L19" s="814"/>
      <c r="O19" s="841"/>
    </row>
    <row r="20" spans="1:15">
      <c r="A20" s="857" t="s">
        <v>210</v>
      </c>
      <c r="B20" s="858"/>
      <c r="C20" s="858"/>
      <c r="D20" s="875"/>
      <c r="E20" s="875"/>
      <c r="F20" s="875"/>
      <c r="G20" s="836">
        <f>SUM(G18:G19)</f>
        <v>110</v>
      </c>
      <c r="H20" s="837">
        <f>G20+'23'!H20</f>
        <v>770</v>
      </c>
      <c r="I20" s="877">
        <f>I18-J20</f>
        <v>32.916666666666664</v>
      </c>
      <c r="J20" s="839">
        <f>H20/DAY(B2)</f>
        <v>32.083333333333336</v>
      </c>
      <c r="K20" s="855"/>
      <c r="L20" s="814"/>
      <c r="O20" s="841"/>
    </row>
    <row r="21" spans="1:15">
      <c r="A21" s="1534" t="s">
        <v>211</v>
      </c>
      <c r="B21" s="1535"/>
      <c r="C21" s="1536"/>
      <c r="D21" s="829"/>
      <c r="E21" s="829"/>
      <c r="F21" s="829"/>
      <c r="G21" s="861"/>
      <c r="H21" s="829"/>
      <c r="I21" s="829"/>
      <c r="J21" s="830"/>
      <c r="K21" s="855"/>
      <c r="L21" s="814"/>
      <c r="O21" s="841"/>
    </row>
    <row r="22" spans="1:15">
      <c r="A22" s="863" t="s">
        <v>212</v>
      </c>
      <c r="B22" s="864"/>
      <c r="C22" s="864"/>
      <c r="D22" s="834" t="s">
        <v>213</v>
      </c>
      <c r="E22" s="865">
        <f>'23'!F22</f>
        <v>2970</v>
      </c>
      <c r="F22" s="865">
        <v>2970</v>
      </c>
      <c r="G22" s="859">
        <f t="shared" ref="G22:G23" si="2">(F22-E22)</f>
        <v>0</v>
      </c>
      <c r="H22" s="837">
        <f>G22+'23'!H22</f>
        <v>0</v>
      </c>
      <c r="I22" s="856"/>
      <c r="J22" s="839">
        <f>H22/DAY(B2)</f>
        <v>0</v>
      </c>
      <c r="K22" s="855"/>
      <c r="L22" s="814"/>
      <c r="O22" s="841"/>
    </row>
    <row r="23" spans="1:15">
      <c r="A23" s="863" t="s">
        <v>214</v>
      </c>
      <c r="B23" s="864"/>
      <c r="C23" s="864"/>
      <c r="D23" s="834" t="s">
        <v>213</v>
      </c>
      <c r="E23" s="865">
        <f>'23'!F23</f>
        <v>2000</v>
      </c>
      <c r="F23" s="865">
        <v>2000</v>
      </c>
      <c r="G23" s="859">
        <f t="shared" si="2"/>
        <v>0</v>
      </c>
      <c r="H23" s="837">
        <f>G23+'23'!H23</f>
        <v>0</v>
      </c>
      <c r="I23" s="856"/>
      <c r="J23" s="839">
        <f>H23/DAY(B2)</f>
        <v>0</v>
      </c>
      <c r="K23" s="855"/>
      <c r="L23" s="814"/>
      <c r="O23" s="841"/>
    </row>
    <row r="24" spans="1:15">
      <c r="A24" s="878" t="s">
        <v>215</v>
      </c>
      <c r="B24" s="879"/>
      <c r="C24" s="879"/>
      <c r="D24" s="821" t="s">
        <v>213</v>
      </c>
      <c r="E24" s="865">
        <f>'23'!F24</f>
        <v>4970</v>
      </c>
      <c r="F24" s="880">
        <v>4970</v>
      </c>
      <c r="G24" s="859">
        <f>SUM(G22:G23)</f>
        <v>0</v>
      </c>
      <c r="H24" s="837">
        <f>G24+'23'!H24</f>
        <v>0</v>
      </c>
      <c r="I24" s="856"/>
      <c r="J24" s="839">
        <f>H24/DAY(B2)</f>
        <v>0</v>
      </c>
      <c r="K24" s="855"/>
      <c r="L24" s="814"/>
      <c r="O24" s="841"/>
    </row>
    <row r="25" spans="1:15" s="886" customFormat="1">
      <c r="A25" s="1531" t="s">
        <v>216</v>
      </c>
      <c r="B25" s="1532"/>
      <c r="C25" s="1533"/>
      <c r="D25" s="828"/>
      <c r="E25" s="828"/>
      <c r="F25" s="828"/>
      <c r="G25" s="881"/>
      <c r="H25" s="882"/>
      <c r="I25" s="883"/>
      <c r="J25" s="884"/>
      <c r="K25" s="855"/>
      <c r="L25" s="885"/>
      <c r="N25" s="1004"/>
      <c r="O25" s="841"/>
    </row>
    <row r="26" spans="1:15" s="886" customFormat="1">
      <c r="A26" s="887" t="s">
        <v>217</v>
      </c>
      <c r="B26" s="888"/>
      <c r="C26" s="889"/>
      <c r="D26" s="890" t="s">
        <v>218</v>
      </c>
      <c r="E26" s="891"/>
      <c r="F26" s="891"/>
      <c r="G26" s="892"/>
      <c r="H26" s="837"/>
      <c r="I26" s="893"/>
      <c r="J26" s="839"/>
      <c r="K26" s="862"/>
      <c r="L26" s="885"/>
      <c r="N26" s="1004"/>
      <c r="O26" s="841"/>
    </row>
    <row r="27" spans="1:15" s="886" customFormat="1" ht="22.5">
      <c r="A27" s="887" t="s">
        <v>40</v>
      </c>
      <c r="B27" s="888"/>
      <c r="C27" s="889"/>
      <c r="D27" s="894" t="s">
        <v>59</v>
      </c>
      <c r="E27" s="895">
        <f>G8</f>
        <v>17150</v>
      </c>
      <c r="F27" s="496">
        <v>9</v>
      </c>
      <c r="G27" s="897">
        <f>E27*F27</f>
        <v>154350</v>
      </c>
      <c r="H27" s="837">
        <f>G27+'23'!H27</f>
        <v>3762378</v>
      </c>
      <c r="I27" s="898"/>
      <c r="J27" s="839">
        <f>H27/DAY(B2)</f>
        <v>156765.75</v>
      </c>
      <c r="K27" s="855"/>
      <c r="L27" s="885"/>
      <c r="N27" s="1004"/>
      <c r="O27" s="841"/>
    </row>
    <row r="28" spans="1:15" s="886" customFormat="1" ht="22.5">
      <c r="A28" s="887" t="s">
        <v>219</v>
      </c>
      <c r="B28" s="888"/>
      <c r="C28" s="889"/>
      <c r="D28" s="894" t="s">
        <v>220</v>
      </c>
      <c r="E28" s="895">
        <f>G15</f>
        <v>550</v>
      </c>
      <c r="F28" s="496">
        <v>52</v>
      </c>
      <c r="G28" s="897">
        <f t="shared" ref="G28:G31" si="3">E28*F28</f>
        <v>28600</v>
      </c>
      <c r="H28" s="837">
        <f>G28+'23'!H28</f>
        <v>642616</v>
      </c>
      <c r="I28" s="899"/>
      <c r="J28" s="839">
        <f>H28/DAY(B2)</f>
        <v>26775.666666666668</v>
      </c>
      <c r="K28" s="855"/>
      <c r="L28" s="885"/>
      <c r="N28" s="1004"/>
      <c r="O28" s="841"/>
    </row>
    <row r="29" spans="1:15" s="886" customFormat="1">
      <c r="A29" s="887" t="s">
        <v>221</v>
      </c>
      <c r="B29" s="888"/>
      <c r="C29" s="889"/>
      <c r="D29" s="894" t="s">
        <v>222</v>
      </c>
      <c r="E29" s="895">
        <f>G24</f>
        <v>0</v>
      </c>
      <c r="F29" s="896">
        <v>69</v>
      </c>
      <c r="G29" s="897">
        <f t="shared" si="3"/>
        <v>0</v>
      </c>
      <c r="H29" s="837">
        <f>G29+'23'!H29</f>
        <v>8280</v>
      </c>
      <c r="I29" s="899"/>
      <c r="J29" s="839">
        <f>H29/DAY(B2)</f>
        <v>345</v>
      </c>
      <c r="K29" s="855"/>
      <c r="L29" s="885"/>
      <c r="N29" s="1004"/>
      <c r="O29" s="841"/>
    </row>
    <row r="30" spans="1:15" s="886" customFormat="1">
      <c r="A30" s="887" t="s">
        <v>223</v>
      </c>
      <c r="B30" s="888"/>
      <c r="C30" s="889"/>
      <c r="D30" s="894" t="s">
        <v>224</v>
      </c>
      <c r="E30" s="895">
        <f>G19</f>
        <v>60</v>
      </c>
      <c r="F30" s="896">
        <v>146</v>
      </c>
      <c r="G30" s="897">
        <f t="shared" si="3"/>
        <v>8760</v>
      </c>
      <c r="H30" s="837">
        <f>G30+'23'!H30</f>
        <v>-59860</v>
      </c>
      <c r="I30" s="899"/>
      <c r="J30" s="839">
        <f>H30/DAY(B2)</f>
        <v>-2494.1666666666665</v>
      </c>
      <c r="K30" s="855"/>
      <c r="L30" s="885"/>
      <c r="N30" s="1004"/>
      <c r="O30" s="841"/>
    </row>
    <row r="31" spans="1:15" s="886" customFormat="1">
      <c r="A31" s="887" t="s">
        <v>225</v>
      </c>
      <c r="B31" s="888"/>
      <c r="C31" s="889"/>
      <c r="D31" s="894" t="s">
        <v>209</v>
      </c>
      <c r="E31" s="895">
        <f>G18</f>
        <v>50</v>
      </c>
      <c r="F31" s="896">
        <v>80</v>
      </c>
      <c r="G31" s="897">
        <f t="shared" si="3"/>
        <v>4000</v>
      </c>
      <c r="H31" s="837">
        <f>G31+'23'!H31</f>
        <v>94400</v>
      </c>
      <c r="I31" s="899"/>
      <c r="J31" s="839"/>
      <c r="K31" s="855"/>
      <c r="L31" s="885"/>
      <c r="N31" s="1004"/>
      <c r="O31" s="841"/>
    </row>
    <row r="32" spans="1:15" s="886" customFormat="1">
      <c r="A32" s="900" t="s">
        <v>226</v>
      </c>
      <c r="B32" s="901"/>
      <c r="C32" s="902"/>
      <c r="D32" s="903"/>
      <c r="E32" s="903"/>
      <c r="F32" s="903"/>
      <c r="G32" s="904">
        <f>G27+G28+G29+G30+G31</f>
        <v>195710</v>
      </c>
      <c r="H32" s="837">
        <f>G32+'23'!H32</f>
        <v>4447814</v>
      </c>
      <c r="I32" s="905"/>
      <c r="J32" s="839">
        <f>H32/DAY(B2)</f>
        <v>185325.58333333334</v>
      </c>
      <c r="K32" s="855"/>
      <c r="L32" s="885"/>
      <c r="N32" s="1004"/>
      <c r="O32" s="841"/>
    </row>
    <row r="33" spans="1:15" ht="18.75">
      <c r="A33" s="1542" t="s">
        <v>227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855"/>
      <c r="L33" s="814"/>
      <c r="O33" s="841"/>
    </row>
    <row r="34" spans="1:15">
      <c r="A34" s="906" t="s">
        <v>228</v>
      </c>
      <c r="B34" s="907"/>
      <c r="C34" s="907"/>
      <c r="D34" s="829"/>
      <c r="E34" s="828"/>
      <c r="F34" s="828"/>
      <c r="G34" s="829"/>
      <c r="H34" s="829"/>
      <c r="I34" s="829"/>
      <c r="J34" s="830"/>
      <c r="K34" s="855"/>
      <c r="L34" s="814"/>
      <c r="O34" s="841"/>
    </row>
    <row r="35" spans="1:15">
      <c r="A35" s="832" t="s">
        <v>229</v>
      </c>
      <c r="B35" s="833"/>
      <c r="C35" s="833"/>
      <c r="D35" s="834" t="s">
        <v>198</v>
      </c>
      <c r="E35" s="835">
        <f>'23'!F35</f>
        <v>931509.43</v>
      </c>
      <c r="F35" s="908">
        <v>933635.91</v>
      </c>
      <c r="G35" s="836">
        <f t="shared" ref="G35:G46" si="4">F35-E35</f>
        <v>2126.4799999999814</v>
      </c>
      <c r="H35" s="837">
        <f>G35+'23'!H35</f>
        <v>-16852.089999999967</v>
      </c>
      <c r="I35" s="835"/>
      <c r="J35" s="839">
        <f>H35/DAY(B2)</f>
        <v>-702.17041666666535</v>
      </c>
      <c r="K35" s="855"/>
      <c r="L35" s="814"/>
      <c r="O35" s="841"/>
    </row>
    <row r="36" spans="1:15">
      <c r="A36" s="832" t="s">
        <v>230</v>
      </c>
      <c r="B36" s="833"/>
      <c r="C36" s="833"/>
      <c r="D36" s="834" t="s">
        <v>198</v>
      </c>
      <c r="E36" s="835">
        <f>'23'!F36</f>
        <v>347065</v>
      </c>
      <c r="F36" s="908">
        <v>347065</v>
      </c>
      <c r="G36" s="836">
        <f t="shared" si="4"/>
        <v>0</v>
      </c>
      <c r="H36" s="837">
        <f>G36+'23'!H36</f>
        <v>346892</v>
      </c>
      <c r="I36" s="835"/>
      <c r="J36" s="839">
        <f>H36/DAY(B2)</f>
        <v>14453.833333333334</v>
      </c>
      <c r="K36" s="855"/>
      <c r="L36" s="814"/>
      <c r="O36" s="841"/>
    </row>
    <row r="37" spans="1:15">
      <c r="A37" s="832" t="s">
        <v>231</v>
      </c>
      <c r="B37" s="833"/>
      <c r="C37" s="833"/>
      <c r="D37" s="834" t="s">
        <v>198</v>
      </c>
      <c r="E37" s="835">
        <f>'23'!F37</f>
        <v>123865.51</v>
      </c>
      <c r="F37" s="908">
        <v>125152.88</v>
      </c>
      <c r="G37" s="836">
        <f t="shared" si="4"/>
        <v>1287.3700000000099</v>
      </c>
      <c r="H37" s="837">
        <f>G37+'23'!H37</f>
        <v>-9083.1199999999953</v>
      </c>
      <c r="I37" s="835"/>
      <c r="J37" s="839">
        <f>H37/DAY(B2)</f>
        <v>-378.46333333333314</v>
      </c>
      <c r="K37" s="855"/>
      <c r="L37" s="814"/>
      <c r="O37" s="841"/>
    </row>
    <row r="38" spans="1:15">
      <c r="A38" s="832" t="s">
        <v>232</v>
      </c>
      <c r="B38" s="833"/>
      <c r="C38" s="833"/>
      <c r="D38" s="834" t="s">
        <v>198</v>
      </c>
      <c r="E38" s="835">
        <f>'23'!F38</f>
        <v>146558.43</v>
      </c>
      <c r="F38" s="824">
        <v>147796.71</v>
      </c>
      <c r="G38" s="836">
        <f t="shared" si="4"/>
        <v>1238.2799999999988</v>
      </c>
      <c r="H38" s="837">
        <f>G38+'23'!H38</f>
        <v>-8608.2900000000081</v>
      </c>
      <c r="I38" s="835"/>
      <c r="J38" s="839">
        <f>H38/DAY(B2)</f>
        <v>-358.67875000000032</v>
      </c>
      <c r="K38" s="855"/>
      <c r="L38" s="814"/>
      <c r="O38" s="841"/>
    </row>
    <row r="39" spans="1:15">
      <c r="A39" s="832" t="s">
        <v>233</v>
      </c>
      <c r="B39" s="833"/>
      <c r="C39" s="833"/>
      <c r="D39" s="834" t="s">
        <v>198</v>
      </c>
      <c r="E39" s="835">
        <f>'23'!F39</f>
        <v>290488.55</v>
      </c>
      <c r="F39" s="908">
        <v>292734.51</v>
      </c>
      <c r="G39" s="836">
        <f t="shared" si="4"/>
        <v>2245.960000000021</v>
      </c>
      <c r="H39" s="837">
        <f>G39+'23'!H39</f>
        <v>-15438.489999999991</v>
      </c>
      <c r="I39" s="835"/>
      <c r="J39" s="839">
        <f>H39/DAY(B2)</f>
        <v>-643.27041666666628</v>
      </c>
      <c r="K39" s="855"/>
      <c r="L39" s="814"/>
      <c r="N39" s="1003">
        <f>20*38.64</f>
        <v>772.8</v>
      </c>
      <c r="O39" s="841"/>
    </row>
    <row r="40" spans="1:15">
      <c r="A40" s="909" t="s">
        <v>234</v>
      </c>
      <c r="B40" s="910"/>
      <c r="C40" s="910"/>
      <c r="D40" s="834" t="s">
        <v>198</v>
      </c>
      <c r="E40" s="835">
        <f>'23'!F40</f>
        <v>686.48</v>
      </c>
      <c r="F40" s="908">
        <v>686.48</v>
      </c>
      <c r="G40" s="836">
        <f t="shared" si="4"/>
        <v>0</v>
      </c>
      <c r="H40" s="837">
        <f>G40+'23'!H40</f>
        <v>-202.51999999999998</v>
      </c>
      <c r="I40" s="835"/>
      <c r="J40" s="839">
        <f>H40/DAY(B2)</f>
        <v>-8.4383333333333326</v>
      </c>
      <c r="K40" s="862"/>
      <c r="L40" s="814"/>
      <c r="O40" s="841"/>
    </row>
    <row r="41" spans="1:15">
      <c r="A41" s="832" t="s">
        <v>235</v>
      </c>
      <c r="B41" s="833"/>
      <c r="C41" s="833"/>
      <c r="D41" s="834" t="s">
        <v>198</v>
      </c>
      <c r="E41" s="835">
        <f>'23'!F41</f>
        <v>240478.13</v>
      </c>
      <c r="F41" s="908">
        <v>240478.13</v>
      </c>
      <c r="G41" s="836">
        <f t="shared" si="4"/>
        <v>0</v>
      </c>
      <c r="H41" s="837">
        <f>G41+'23'!H41</f>
        <v>0.13000000000465661</v>
      </c>
      <c r="I41" s="835"/>
      <c r="J41" s="839">
        <f>H41/DAY(B2)</f>
        <v>5.4166666668606922E-3</v>
      </c>
      <c r="K41" s="855"/>
      <c r="L41" s="814"/>
      <c r="O41" s="841"/>
    </row>
    <row r="42" spans="1:15">
      <c r="A42" s="832" t="s">
        <v>236</v>
      </c>
      <c r="B42" s="833"/>
      <c r="C42" s="833"/>
      <c r="D42" s="834" t="s">
        <v>198</v>
      </c>
      <c r="E42" s="835">
        <f>'23'!F42</f>
        <v>59198.97</v>
      </c>
      <c r="F42" s="908">
        <v>59198.97</v>
      </c>
      <c r="G42" s="836">
        <f t="shared" si="4"/>
        <v>0</v>
      </c>
      <c r="H42" s="837">
        <f>G42+'23'!H42</f>
        <v>0</v>
      </c>
      <c r="I42" s="835"/>
      <c r="J42" s="839">
        <f>H42/DAY(B2)</f>
        <v>0</v>
      </c>
      <c r="K42" s="855"/>
      <c r="L42" s="814"/>
      <c r="O42" s="841"/>
    </row>
    <row r="43" spans="1:15">
      <c r="A43" s="832" t="s">
        <v>237</v>
      </c>
      <c r="B43" s="833"/>
      <c r="C43" s="833"/>
      <c r="D43" s="834" t="s">
        <v>198</v>
      </c>
      <c r="E43" s="835">
        <f>'23'!F43</f>
        <v>1023631.6</v>
      </c>
      <c r="F43" s="908">
        <v>1025857.8</v>
      </c>
      <c r="G43" s="836">
        <f t="shared" si="4"/>
        <v>2226.2000000000698</v>
      </c>
      <c r="H43" s="837">
        <f>G43+'23'!H43</f>
        <v>-16386.199999999953</v>
      </c>
      <c r="I43" s="835"/>
      <c r="J43" s="839">
        <f>H43/DAY(B2)</f>
        <v>-682.75833333333139</v>
      </c>
      <c r="K43" s="855"/>
      <c r="L43" s="814"/>
      <c r="O43" s="841"/>
    </row>
    <row r="44" spans="1:15">
      <c r="A44" s="832" t="s">
        <v>238</v>
      </c>
      <c r="B44" s="833"/>
      <c r="C44" s="833"/>
      <c r="D44" s="834" t="s">
        <v>198</v>
      </c>
      <c r="E44" s="835">
        <f>'23'!F44</f>
        <v>0</v>
      </c>
      <c r="F44" s="908">
        <v>0</v>
      </c>
      <c r="G44" s="836">
        <f t="shared" si="4"/>
        <v>0</v>
      </c>
      <c r="H44" s="837">
        <f>G44+'23'!H44</f>
        <v>0</v>
      </c>
      <c r="I44" s="835"/>
      <c r="J44" s="839">
        <f>H44/DAY(B2)</f>
        <v>0</v>
      </c>
      <c r="K44" s="855"/>
      <c r="L44" s="814"/>
      <c r="O44" s="841"/>
    </row>
    <row r="45" spans="1:15">
      <c r="A45" s="832" t="s">
        <v>239</v>
      </c>
      <c r="B45" s="833"/>
      <c r="C45" s="833"/>
      <c r="D45" s="834" t="s">
        <v>198</v>
      </c>
      <c r="E45" s="835">
        <f>'23'!F45</f>
        <v>614</v>
      </c>
      <c r="F45" s="908">
        <v>614</v>
      </c>
      <c r="G45" s="836">
        <f t="shared" si="4"/>
        <v>0</v>
      </c>
      <c r="H45" s="837">
        <f>G45+'23'!H45</f>
        <v>614</v>
      </c>
      <c r="I45" s="835"/>
      <c r="J45" s="839">
        <f>H45/DAY(B2)</f>
        <v>25.583333333333332</v>
      </c>
      <c r="K45" s="855"/>
      <c r="L45" s="814"/>
      <c r="O45" s="841"/>
    </row>
    <row r="46" spans="1:15">
      <c r="A46" s="832" t="s">
        <v>240</v>
      </c>
      <c r="B46" s="833"/>
      <c r="C46" s="833"/>
      <c r="D46" s="834" t="s">
        <v>198</v>
      </c>
      <c r="E46" s="835">
        <f>'23'!F46</f>
        <v>187</v>
      </c>
      <c r="F46" s="908">
        <v>187</v>
      </c>
      <c r="G46" s="836">
        <f t="shared" si="4"/>
        <v>0</v>
      </c>
      <c r="H46" s="837">
        <f>G46+'23'!H46</f>
        <v>186.95</v>
      </c>
      <c r="I46" s="835"/>
      <c r="J46" s="839">
        <f>H46/DAY(B2)</f>
        <v>7.7895833333333329</v>
      </c>
      <c r="K46" s="855"/>
      <c r="L46" s="814"/>
      <c r="O46" s="841"/>
    </row>
    <row r="47" spans="1:15">
      <c r="A47" s="857" t="s">
        <v>241</v>
      </c>
      <c r="B47" s="858"/>
      <c r="C47" s="858"/>
      <c r="D47" s="825"/>
      <c r="E47" s="821"/>
      <c r="F47" s="821"/>
      <c r="G47" s="859">
        <f>G35+G36+G37+G38+G39+G40+G41+G42+G43+G44+G45+G46</f>
        <v>9124.2900000000809</v>
      </c>
      <c r="H47" s="837">
        <f>G47+'23'!H47</f>
        <v>281122.86000000016</v>
      </c>
      <c r="I47" s="835"/>
      <c r="J47" s="839">
        <f>H47/DAY(B2)</f>
        <v>11713.452500000007</v>
      </c>
      <c r="K47" s="855"/>
      <c r="L47" s="814"/>
      <c r="N47" s="1005"/>
      <c r="O47" s="841"/>
    </row>
    <row r="48" spans="1:15">
      <c r="A48" s="906" t="s">
        <v>242</v>
      </c>
      <c r="B48" s="907"/>
      <c r="C48" s="907"/>
      <c r="D48" s="829"/>
      <c r="E48" s="828"/>
      <c r="F48" s="828"/>
      <c r="G48" s="829"/>
      <c r="H48" s="829"/>
      <c r="I48" s="829"/>
      <c r="J48" s="830"/>
      <c r="K48" s="855"/>
      <c r="L48" s="814"/>
      <c r="O48" s="841"/>
    </row>
    <row r="49" spans="1:15">
      <c r="A49" s="832" t="s">
        <v>229</v>
      </c>
      <c r="B49" s="911"/>
      <c r="C49" s="911"/>
      <c r="D49" s="834" t="s">
        <v>198</v>
      </c>
      <c r="E49" s="835">
        <f>'23'!F49</f>
        <v>260732.13</v>
      </c>
      <c r="F49" s="908">
        <v>260732.13</v>
      </c>
      <c r="G49" s="836">
        <f t="shared" ref="G49:G58" si="5">F49-E49</f>
        <v>0</v>
      </c>
      <c r="H49" s="837">
        <f>G49+'23'!H49</f>
        <v>0.13000000000465661</v>
      </c>
      <c r="I49" s="835"/>
      <c r="J49" s="839">
        <f>H49/DAY(B2)</f>
        <v>5.4166666668606922E-3</v>
      </c>
      <c r="K49" s="855"/>
      <c r="L49" s="814"/>
      <c r="O49" s="841"/>
    </row>
    <row r="50" spans="1:15">
      <c r="A50" s="832" t="s">
        <v>243</v>
      </c>
      <c r="B50" s="911"/>
      <c r="C50" s="911"/>
      <c r="D50" s="834" t="s">
        <v>198</v>
      </c>
      <c r="E50" s="835">
        <f>'23'!F50</f>
        <v>495044.15</v>
      </c>
      <c r="F50" s="908">
        <v>495908.59</v>
      </c>
      <c r="G50" s="836">
        <f t="shared" si="5"/>
        <v>864.44000000000233</v>
      </c>
      <c r="H50" s="837">
        <f>G50+'23'!H50</f>
        <v>-7517.4099999999744</v>
      </c>
      <c r="I50" s="835"/>
      <c r="J50" s="839">
        <f>H50/DAY(B2)</f>
        <v>-313.22541666666558</v>
      </c>
      <c r="K50" s="855"/>
      <c r="L50" s="814"/>
      <c r="O50" s="841"/>
    </row>
    <row r="51" spans="1:15">
      <c r="A51" s="832" t="s">
        <v>231</v>
      </c>
      <c r="B51" s="911"/>
      <c r="C51" s="911"/>
      <c r="D51" s="834" t="s">
        <v>198</v>
      </c>
      <c r="E51" s="835">
        <f>'23'!F51</f>
        <v>144639.87</v>
      </c>
      <c r="F51" s="908">
        <v>144639.87</v>
      </c>
      <c r="G51" s="836">
        <f t="shared" si="5"/>
        <v>0</v>
      </c>
      <c r="H51" s="837">
        <f>G51+'23'!H51</f>
        <v>-0.13000000000465661</v>
      </c>
      <c r="I51" s="835"/>
      <c r="J51" s="839">
        <f>H51/DAY(B2)</f>
        <v>-5.4166666668606922E-3</v>
      </c>
      <c r="K51" s="855"/>
      <c r="L51" s="814"/>
      <c r="O51" s="841"/>
    </row>
    <row r="52" spans="1:15">
      <c r="A52" s="832" t="s">
        <v>244</v>
      </c>
      <c r="B52" s="911"/>
      <c r="C52" s="911"/>
      <c r="D52" s="834" t="s">
        <v>198</v>
      </c>
      <c r="E52" s="835">
        <f>'23'!F52</f>
        <v>539606.06999999995</v>
      </c>
      <c r="F52" s="908">
        <v>539606.06999999995</v>
      </c>
      <c r="G52" s="836">
        <f t="shared" si="5"/>
        <v>0</v>
      </c>
      <c r="H52" s="837">
        <f>G52+'23'!H52</f>
        <v>0</v>
      </c>
      <c r="I52" s="835"/>
      <c r="J52" s="839">
        <f>H52/DAY(B2)</f>
        <v>0</v>
      </c>
      <c r="K52" s="855"/>
      <c r="L52" s="814"/>
      <c r="O52" s="841"/>
    </row>
    <row r="53" spans="1:15">
      <c r="A53" s="832" t="s">
        <v>233</v>
      </c>
      <c r="B53" s="911"/>
      <c r="C53" s="911"/>
      <c r="D53" s="834" t="s">
        <v>198</v>
      </c>
      <c r="E53" s="835">
        <f>'23'!F53</f>
        <v>428187.11</v>
      </c>
      <c r="F53" s="908">
        <v>428706.03</v>
      </c>
      <c r="G53" s="836">
        <f t="shared" si="5"/>
        <v>518.92000000004191</v>
      </c>
      <c r="H53" s="837">
        <f>G53+'23'!H53</f>
        <v>-3838.2999999999884</v>
      </c>
      <c r="I53" s="835"/>
      <c r="J53" s="839">
        <f>H53/DAY(B2)</f>
        <v>-159.92916666666619</v>
      </c>
      <c r="K53" s="855"/>
      <c r="L53" s="814"/>
      <c r="O53" s="841"/>
    </row>
    <row r="54" spans="1:15">
      <c r="A54" s="832" t="s">
        <v>245</v>
      </c>
      <c r="B54" s="911"/>
      <c r="C54" s="911"/>
      <c r="D54" s="834" t="s">
        <v>198</v>
      </c>
      <c r="E54" s="835">
        <f>'23'!F54</f>
        <v>13107.96</v>
      </c>
      <c r="F54" s="908">
        <v>13189.91</v>
      </c>
      <c r="G54" s="836">
        <f t="shared" si="5"/>
        <v>81.950000000000728</v>
      </c>
      <c r="H54" s="837">
        <f>G54+'23'!H54</f>
        <v>-639.09000000000015</v>
      </c>
      <c r="I54" s="835"/>
      <c r="J54" s="839">
        <f>H54/DAY(B2)</f>
        <v>-26.628750000000007</v>
      </c>
      <c r="K54" s="855"/>
      <c r="L54" s="814"/>
      <c r="O54" s="841"/>
    </row>
    <row r="55" spans="1:15">
      <c r="A55" s="832" t="s">
        <v>246</v>
      </c>
      <c r="B55" s="911"/>
      <c r="C55" s="911"/>
      <c r="D55" s="834" t="s">
        <v>198</v>
      </c>
      <c r="E55" s="835">
        <f>'23'!F55</f>
        <v>54032.61</v>
      </c>
      <c r="F55" s="908">
        <v>59204.73</v>
      </c>
      <c r="G55" s="836">
        <f t="shared" si="5"/>
        <v>5172.1200000000026</v>
      </c>
      <c r="H55" s="837">
        <f>G55+'23'!H55</f>
        <v>-8906.2699999999968</v>
      </c>
      <c r="I55" s="835"/>
      <c r="J55" s="839">
        <f>H55/DAY(B2)</f>
        <v>-371.09458333333322</v>
      </c>
      <c r="K55" s="855"/>
      <c r="L55" s="814"/>
      <c r="O55" s="841"/>
    </row>
    <row r="56" spans="1:15">
      <c r="A56" s="832" t="s">
        <v>247</v>
      </c>
      <c r="B56" s="911"/>
      <c r="C56" s="911"/>
      <c r="D56" s="834" t="s">
        <v>248</v>
      </c>
      <c r="E56" s="835">
        <f>'23'!F56</f>
        <v>589524.18999999994</v>
      </c>
      <c r="F56" s="908">
        <v>589534.11</v>
      </c>
      <c r="G56" s="836">
        <f t="shared" si="5"/>
        <v>9.9200000000419095</v>
      </c>
      <c r="H56" s="837">
        <f>G56+'23'!H56</f>
        <v>-27663.890000000014</v>
      </c>
      <c r="I56" s="835"/>
      <c r="J56" s="839">
        <f>H56/DAY(B2)</f>
        <v>-1152.6620833333338</v>
      </c>
      <c r="K56" s="831"/>
      <c r="L56" s="814"/>
      <c r="O56" s="841"/>
    </row>
    <row r="57" spans="1:15">
      <c r="A57" s="832" t="s">
        <v>237</v>
      </c>
      <c r="B57" s="911"/>
      <c r="C57" s="911"/>
      <c r="D57" s="834" t="s">
        <v>198</v>
      </c>
      <c r="E57" s="835">
        <f>'23'!F57</f>
        <v>7711</v>
      </c>
      <c r="F57" s="908">
        <v>7711</v>
      </c>
      <c r="G57" s="836">
        <f t="shared" si="5"/>
        <v>0</v>
      </c>
      <c r="H57" s="837">
        <f>G57+'23'!H57</f>
        <v>0</v>
      </c>
      <c r="I57" s="835"/>
      <c r="J57" s="839">
        <f>H57/DAY(B2)</f>
        <v>0</v>
      </c>
      <c r="K57" s="855"/>
      <c r="L57" s="814"/>
      <c r="O57" s="841"/>
    </row>
    <row r="58" spans="1:15">
      <c r="A58" s="832" t="s">
        <v>249</v>
      </c>
      <c r="B58" s="911"/>
      <c r="C58" s="911"/>
      <c r="D58" s="834" t="s">
        <v>198</v>
      </c>
      <c r="E58" s="835">
        <f>'23'!F58</f>
        <v>48589.15</v>
      </c>
      <c r="F58" s="908">
        <v>48687.37</v>
      </c>
      <c r="G58" s="836">
        <f t="shared" si="5"/>
        <v>98.220000000001164</v>
      </c>
      <c r="H58" s="837">
        <f>G58+'23'!H58</f>
        <v>-1176.8399999999965</v>
      </c>
      <c r="I58" s="835"/>
      <c r="J58" s="839">
        <f>H58/DAY(B2)</f>
        <v>-49.034999999999854</v>
      </c>
      <c r="K58" s="855"/>
      <c r="L58" s="814"/>
      <c r="O58" s="841"/>
    </row>
    <row r="59" spans="1:15">
      <c r="A59" s="857" t="s">
        <v>241</v>
      </c>
      <c r="B59" s="858"/>
      <c r="C59" s="858"/>
      <c r="D59" s="821"/>
      <c r="E59" s="821"/>
      <c r="F59" s="821"/>
      <c r="G59" s="859">
        <f>G49+G50+G51+G52+G53+G54+G55+G56+G57+G58</f>
        <v>6745.5700000000907</v>
      </c>
      <c r="H59" s="837">
        <f>G59+'23'!H59</f>
        <v>-49741.73000000001</v>
      </c>
      <c r="I59" s="835">
        <f>G7-G60</f>
        <v>1130.1399999998284</v>
      </c>
      <c r="J59" s="839">
        <f>H59/DAY(B2)</f>
        <v>-2072.5720833333339</v>
      </c>
      <c r="K59" s="855"/>
      <c r="L59" s="814"/>
      <c r="O59" s="841"/>
    </row>
    <row r="60" spans="1:15">
      <c r="A60" s="832"/>
      <c r="B60" s="833"/>
      <c r="C60" s="833"/>
      <c r="D60" s="821" t="s">
        <v>250</v>
      </c>
      <c r="E60" s="821"/>
      <c r="F60" s="821"/>
      <c r="G60" s="859">
        <f>G47+G59</f>
        <v>15869.860000000172</v>
      </c>
      <c r="H60" s="837">
        <f>G60+'23'!H60</f>
        <v>232589.67000000007</v>
      </c>
      <c r="I60" s="835">
        <f>G13-G60</f>
        <v>1080.1399999998284</v>
      </c>
      <c r="J60" s="839">
        <f>H60/DAY(B2)</f>
        <v>9691.2362500000036</v>
      </c>
      <c r="K60" s="855"/>
      <c r="L60" s="814"/>
      <c r="O60" s="841"/>
    </row>
    <row r="61" spans="1:15">
      <c r="A61" s="912" t="s">
        <v>251</v>
      </c>
      <c r="B61" s="913"/>
      <c r="C61" s="913"/>
      <c r="D61" s="913"/>
      <c r="E61" s="914"/>
      <c r="F61" s="914"/>
      <c r="G61" s="913"/>
      <c r="H61" s="913"/>
      <c r="I61" s="913"/>
      <c r="J61" s="915"/>
      <c r="K61" s="855"/>
      <c r="L61" s="814"/>
      <c r="O61" s="841"/>
    </row>
    <row r="62" spans="1:15">
      <c r="A62" s="916" t="s">
        <v>252</v>
      </c>
      <c r="B62" s="917"/>
      <c r="C62" s="917"/>
      <c r="D62" s="821" t="s">
        <v>253</v>
      </c>
      <c r="E62" s="835">
        <f>'23'!F62</f>
        <v>20419</v>
      </c>
      <c r="F62" s="918">
        <v>20419</v>
      </c>
      <c r="G62" s="836">
        <f t="shared" ref="G62:G69" si="6">F62-E62</f>
        <v>0</v>
      </c>
      <c r="H62" s="837">
        <f>G62+'23'!H62</f>
        <v>1.9999999967694748E-3</v>
      </c>
      <c r="I62" s="919"/>
      <c r="J62" s="839">
        <f>H62/DAY(B2)</f>
        <v>8.3333333198728113E-5</v>
      </c>
      <c r="K62" s="855"/>
      <c r="L62" s="814"/>
      <c r="O62" s="841"/>
    </row>
    <row r="63" spans="1:15">
      <c r="A63" s="916" t="s">
        <v>254</v>
      </c>
      <c r="B63" s="917"/>
      <c r="C63" s="917"/>
      <c r="D63" s="821" t="s">
        <v>253</v>
      </c>
      <c r="E63" s="835">
        <f>'23'!F63</f>
        <v>2445.87</v>
      </c>
      <c r="F63" s="918">
        <v>2449.7199999999998</v>
      </c>
      <c r="G63" s="836">
        <f t="shared" si="6"/>
        <v>3.8499999999999091</v>
      </c>
      <c r="H63" s="837">
        <f>G63+'23'!H63</f>
        <v>2449.7199999999998</v>
      </c>
      <c r="I63" s="919"/>
      <c r="J63" s="839">
        <f>H63/DAY(B2)</f>
        <v>102.07166666666666</v>
      </c>
      <c r="K63" s="855"/>
      <c r="L63" s="814"/>
      <c r="O63" s="841"/>
    </row>
    <row r="64" spans="1:15">
      <c r="A64" s="1545" t="s">
        <v>161</v>
      </c>
      <c r="B64" s="1546"/>
      <c r="C64" s="1547"/>
      <c r="D64" s="834" t="s">
        <v>253</v>
      </c>
      <c r="E64" s="835">
        <f>'23'!F64</f>
        <v>158385.74</v>
      </c>
      <c r="F64" s="865">
        <v>158599.99</v>
      </c>
      <c r="G64" s="836">
        <f t="shared" si="6"/>
        <v>214.25</v>
      </c>
      <c r="H64" s="837">
        <f>G64+'23'!H64</f>
        <v>-1332.0100000000093</v>
      </c>
      <c r="I64" s="856"/>
      <c r="J64" s="839">
        <f>H64/DAY(B2)</f>
        <v>-55.500416666667057</v>
      </c>
      <c r="K64" s="855"/>
      <c r="L64" s="814"/>
      <c r="O64" s="841"/>
    </row>
    <row r="65" spans="1:15">
      <c r="A65" s="1545" t="s">
        <v>162</v>
      </c>
      <c r="B65" s="1546"/>
      <c r="C65" s="1547"/>
      <c r="D65" s="834" t="s">
        <v>253</v>
      </c>
      <c r="E65" s="835">
        <f>'23'!F65</f>
        <v>159251.1</v>
      </c>
      <c r="F65" s="865">
        <v>159470.85</v>
      </c>
      <c r="G65" s="836">
        <f t="shared" si="6"/>
        <v>219.75</v>
      </c>
      <c r="H65" s="837">
        <f>G65+'23'!H65</f>
        <v>-1527.1499999999942</v>
      </c>
      <c r="I65" s="874"/>
      <c r="J65" s="839">
        <f>H65/DAY(B2)</f>
        <v>-63.63124999999976</v>
      </c>
      <c r="K65" s="855"/>
      <c r="L65" s="814"/>
      <c r="O65" s="841"/>
    </row>
    <row r="66" spans="1:15">
      <c r="A66" s="1545" t="s">
        <v>255</v>
      </c>
      <c r="B66" s="1546"/>
      <c r="C66" s="1547"/>
      <c r="D66" s="834" t="s">
        <v>253</v>
      </c>
      <c r="E66" s="835">
        <f>'23'!F66</f>
        <v>54623.42</v>
      </c>
      <c r="F66" s="865">
        <v>54926.18</v>
      </c>
      <c r="G66" s="836">
        <f t="shared" si="6"/>
        <v>302.76000000000204</v>
      </c>
      <c r="H66" s="837">
        <f>G66+'23'!H66</f>
        <v>-1878.8199999999997</v>
      </c>
      <c r="I66" s="856"/>
      <c r="J66" s="839">
        <f>H66/DAY(B2)</f>
        <v>-78.28416666666665</v>
      </c>
      <c r="K66" s="855"/>
      <c r="L66" s="814"/>
      <c r="O66" s="841"/>
    </row>
    <row r="67" spans="1:15">
      <c r="A67" s="1545" t="s">
        <v>157</v>
      </c>
      <c r="B67" s="1546"/>
      <c r="C67" s="1547"/>
      <c r="D67" s="834" t="s">
        <v>253</v>
      </c>
      <c r="E67" s="835">
        <f>'23'!F67</f>
        <v>248708.17</v>
      </c>
      <c r="F67" s="865">
        <v>249138.4</v>
      </c>
      <c r="G67" s="836">
        <f t="shared" si="6"/>
        <v>430.22999999998137</v>
      </c>
      <c r="H67" s="837">
        <f>G67+'23'!H67</f>
        <v>-3053.6000000000058</v>
      </c>
      <c r="I67" s="874"/>
      <c r="J67" s="839">
        <f>H67/DAY(B2)</f>
        <v>-127.23333333333358</v>
      </c>
      <c r="K67" s="862"/>
      <c r="L67" s="814"/>
      <c r="O67" s="841"/>
    </row>
    <row r="68" spans="1:15">
      <c r="A68" s="1545" t="s">
        <v>164</v>
      </c>
      <c r="B68" s="1546"/>
      <c r="C68" s="1547"/>
      <c r="D68" s="834" t="s">
        <v>253</v>
      </c>
      <c r="E68" s="835">
        <f>'23'!F68</f>
        <v>85321</v>
      </c>
      <c r="F68" s="865">
        <v>85321</v>
      </c>
      <c r="G68" s="836">
        <f t="shared" si="6"/>
        <v>0</v>
      </c>
      <c r="H68" s="837">
        <f>G68+'23'!H68</f>
        <v>0</v>
      </c>
      <c r="I68" s="920"/>
      <c r="J68" s="839">
        <f>H68/DAY(B2)</f>
        <v>0</v>
      </c>
      <c r="K68" s="921"/>
      <c r="L68" s="814"/>
      <c r="O68" s="841"/>
    </row>
    <row r="69" spans="1:15">
      <c r="A69" s="1545" t="s">
        <v>165</v>
      </c>
      <c r="B69" s="1546"/>
      <c r="C69" s="1547"/>
      <c r="D69" s="834" t="s">
        <v>253</v>
      </c>
      <c r="E69" s="835">
        <f>'23'!F69</f>
        <v>80895.100000000006</v>
      </c>
      <c r="F69" s="865">
        <v>80980.38</v>
      </c>
      <c r="G69" s="836">
        <f t="shared" si="6"/>
        <v>85.279999999998836</v>
      </c>
      <c r="H69" s="837">
        <f>G69+'23'!H69</f>
        <v>-768.61999999999534</v>
      </c>
      <c r="I69" s="920"/>
      <c r="J69" s="839">
        <f>H69/DAY(B2)</f>
        <v>-32.025833333333139</v>
      </c>
      <c r="K69" s="922"/>
      <c r="L69" s="814"/>
      <c r="O69" s="841"/>
    </row>
    <row r="70" spans="1:15">
      <c r="A70" s="1554" t="s">
        <v>256</v>
      </c>
      <c r="B70" s="1555"/>
      <c r="C70" s="1556"/>
      <c r="D70" s="834" t="s">
        <v>253</v>
      </c>
      <c r="E70" s="923"/>
      <c r="F70" s="924"/>
      <c r="G70" s="924"/>
      <c r="H70" s="837">
        <f>G70+'23'!H70</f>
        <v>0</v>
      </c>
      <c r="I70" s="924"/>
      <c r="J70" s="925"/>
      <c r="K70" s="922"/>
      <c r="L70" s="814"/>
      <c r="O70" s="841"/>
    </row>
    <row r="71" spans="1:15" ht="22.5">
      <c r="A71" s="1551" t="s">
        <v>257</v>
      </c>
      <c r="B71" s="1552"/>
      <c r="C71" s="1552"/>
      <c r="D71" s="1552"/>
      <c r="E71" s="1552"/>
      <c r="F71" s="1552"/>
      <c r="G71" s="1552"/>
      <c r="H71" s="1552"/>
      <c r="I71" s="1552"/>
      <c r="J71" s="1553"/>
      <c r="K71" s="921"/>
      <c r="L71" s="814"/>
      <c r="O71" s="841"/>
    </row>
    <row r="72" spans="1:15">
      <c r="A72" s="1545" t="s">
        <v>258</v>
      </c>
      <c r="B72" s="1546"/>
      <c r="C72" s="1547"/>
      <c r="D72" s="834" t="s">
        <v>253</v>
      </c>
      <c r="E72" s="835">
        <f>'23'!F72</f>
        <v>855751</v>
      </c>
      <c r="F72" s="926">
        <v>855760</v>
      </c>
      <c r="G72" s="836">
        <f t="shared" ref="G72:G91" si="7">F72-E72</f>
        <v>9</v>
      </c>
      <c r="H72" s="837">
        <f>G72+'23'!H72</f>
        <v>-126</v>
      </c>
      <c r="I72" s="856"/>
      <c r="J72" s="839">
        <f>H72/DAY(B2)</f>
        <v>-5.25</v>
      </c>
      <c r="K72" s="922"/>
      <c r="L72" s="814"/>
      <c r="O72" s="841"/>
    </row>
    <row r="73" spans="1:15">
      <c r="A73" s="1545" t="s">
        <v>259</v>
      </c>
      <c r="B73" s="1546"/>
      <c r="C73" s="1547"/>
      <c r="D73" s="834" t="s">
        <v>253</v>
      </c>
      <c r="E73" s="835">
        <f>'23'!F73</f>
        <v>885899</v>
      </c>
      <c r="F73" s="927">
        <v>885901</v>
      </c>
      <c r="G73" s="836">
        <f t="shared" si="7"/>
        <v>2</v>
      </c>
      <c r="H73" s="837">
        <f>G73+'23'!H73</f>
        <v>150</v>
      </c>
      <c r="I73" s="856"/>
      <c r="J73" s="839">
        <f>H73/DAY(B2)</f>
        <v>6.25</v>
      </c>
      <c r="K73" s="921"/>
      <c r="L73" s="814"/>
      <c r="O73" s="841"/>
    </row>
    <row r="74" spans="1:15">
      <c r="A74" s="1545" t="s">
        <v>260</v>
      </c>
      <c r="B74" s="1546"/>
      <c r="C74" s="1547"/>
      <c r="D74" s="834" t="s">
        <v>253</v>
      </c>
      <c r="E74" s="835">
        <f>'23'!F74</f>
        <v>2532.65</v>
      </c>
      <c r="F74" s="928">
        <v>2539.6799999999998</v>
      </c>
      <c r="G74" s="836">
        <f t="shared" si="7"/>
        <v>7.0299999999997453</v>
      </c>
      <c r="H74" s="837">
        <f>G74+'23'!H74</f>
        <v>-46.320000000000164</v>
      </c>
      <c r="I74" s="856"/>
      <c r="J74" s="839">
        <f>H74/DAY(B2)</f>
        <v>-1.9300000000000068</v>
      </c>
      <c r="K74" s="922"/>
      <c r="L74" s="814"/>
      <c r="O74" s="841"/>
    </row>
    <row r="75" spans="1:15">
      <c r="A75" s="1548" t="s">
        <v>261</v>
      </c>
      <c r="B75" s="1549"/>
      <c r="C75" s="1550"/>
      <c r="D75" s="834" t="s">
        <v>253</v>
      </c>
      <c r="E75" s="835">
        <f>'23'!F75</f>
        <v>12206.12</v>
      </c>
      <c r="F75" s="928">
        <v>12264.21</v>
      </c>
      <c r="G75" s="836">
        <f t="shared" si="7"/>
        <v>58.089999999998327</v>
      </c>
      <c r="H75" s="837">
        <f>G75+'23'!H75</f>
        <v>-404.79000000000087</v>
      </c>
      <c r="I75" s="856"/>
      <c r="J75" s="839">
        <f>H75/DAY(B2)</f>
        <v>-16.866250000000036</v>
      </c>
      <c r="K75" s="921"/>
      <c r="L75" s="814"/>
      <c r="O75" s="841"/>
    </row>
    <row r="76" spans="1:15">
      <c r="A76" s="1548" t="s">
        <v>262</v>
      </c>
      <c r="B76" s="1549"/>
      <c r="C76" s="1550"/>
      <c r="D76" s="834" t="s">
        <v>253</v>
      </c>
      <c r="E76" s="835">
        <f>'23'!F76</f>
        <v>6971.3</v>
      </c>
      <c r="F76" s="927">
        <v>7028.83</v>
      </c>
      <c r="G76" s="836">
        <f t="shared" si="7"/>
        <v>57.529999999999745</v>
      </c>
      <c r="H76" s="837">
        <f>G76+'23'!H76</f>
        <v>-177.17000000000007</v>
      </c>
      <c r="I76" s="899"/>
      <c r="J76" s="839">
        <f>H76/DAY(B2)</f>
        <v>-7.3820833333333367</v>
      </c>
      <c r="K76" s="921"/>
      <c r="L76" s="814"/>
      <c r="O76" s="841"/>
    </row>
    <row r="77" spans="1:15">
      <c r="A77" s="1545" t="s">
        <v>263</v>
      </c>
      <c r="B77" s="1546"/>
      <c r="C77" s="1547"/>
      <c r="D77" s="834" t="s">
        <v>253</v>
      </c>
      <c r="E77" s="835">
        <f>'23'!F77</f>
        <v>702500</v>
      </c>
      <c r="F77" s="927">
        <v>702542</v>
      </c>
      <c r="G77" s="836">
        <f t="shared" si="7"/>
        <v>42</v>
      </c>
      <c r="H77" s="837">
        <f>G77+'23'!H77</f>
        <v>-297</v>
      </c>
      <c r="I77" s="899"/>
      <c r="J77" s="839">
        <f>H77/DAY(B2)</f>
        <v>-12.375</v>
      </c>
      <c r="K77" s="921"/>
      <c r="L77" s="814"/>
      <c r="O77" s="841"/>
    </row>
    <row r="78" spans="1:15">
      <c r="A78" s="929" t="s">
        <v>264</v>
      </c>
      <c r="B78" s="1388"/>
      <c r="C78" s="1388"/>
      <c r="D78" s="834" t="s">
        <v>253</v>
      </c>
      <c r="E78" s="835">
        <f>'23'!F78</f>
        <v>672189</v>
      </c>
      <c r="F78" s="928">
        <v>672281</v>
      </c>
      <c r="G78" s="836">
        <f t="shared" si="7"/>
        <v>92</v>
      </c>
      <c r="H78" s="837">
        <f>G78+'23'!H78</f>
        <v>-751</v>
      </c>
      <c r="I78" s="899"/>
      <c r="J78" s="839">
        <f>H78/DAY(B2)</f>
        <v>-31.291666666666668</v>
      </c>
      <c r="K78" s="921"/>
      <c r="L78" s="814"/>
      <c r="O78" s="841"/>
    </row>
    <row r="79" spans="1:15">
      <c r="A79" s="1548" t="s">
        <v>151</v>
      </c>
      <c r="B79" s="1549"/>
      <c r="C79" s="1550"/>
      <c r="D79" s="868" t="s">
        <v>253</v>
      </c>
      <c r="E79" s="835">
        <f>'23'!F79</f>
        <v>829931</v>
      </c>
      <c r="F79" s="928">
        <v>830054</v>
      </c>
      <c r="G79" s="836">
        <f t="shared" si="7"/>
        <v>123</v>
      </c>
      <c r="H79" s="837">
        <f>G79+'23'!H79</f>
        <v>-1968</v>
      </c>
      <c r="I79" s="899"/>
      <c r="J79" s="839">
        <f>H79/DAY(B2)</f>
        <v>-82</v>
      </c>
      <c r="K79" s="921"/>
      <c r="L79" s="814"/>
      <c r="O79" s="841"/>
    </row>
    <row r="80" spans="1:15">
      <c r="A80" s="1548" t="s">
        <v>265</v>
      </c>
      <c r="B80" s="1549"/>
      <c r="C80" s="1550"/>
      <c r="D80" s="868" t="s">
        <v>253</v>
      </c>
      <c r="E80" s="835">
        <f>'23'!F80</f>
        <v>524746.64</v>
      </c>
      <c r="F80" s="1148">
        <v>525089.04</v>
      </c>
      <c r="G80" s="836">
        <f t="shared" si="7"/>
        <v>342.40000000002328</v>
      </c>
      <c r="H80" s="837">
        <f>G80+'23'!H80</f>
        <v>-5456.4799999999814</v>
      </c>
      <c r="I80" s="899"/>
      <c r="J80" s="839">
        <f>H80/DAY(B2)</f>
        <v>-227.35333333333256</v>
      </c>
      <c r="K80" s="921"/>
      <c r="L80" s="814"/>
      <c r="O80" s="841"/>
    </row>
    <row r="81" spans="1:15">
      <c r="A81" s="1548" t="s">
        <v>266</v>
      </c>
      <c r="B81" s="1549"/>
      <c r="C81" s="1550"/>
      <c r="D81" s="868" t="s">
        <v>253</v>
      </c>
      <c r="E81" s="835">
        <f>'23'!F81</f>
        <v>638219.56000000006</v>
      </c>
      <c r="F81" s="927">
        <v>638300.04</v>
      </c>
      <c r="G81" s="836">
        <f t="shared" si="7"/>
        <v>80.479999999981374</v>
      </c>
      <c r="H81" s="837">
        <f>G81+'23'!H81</f>
        <v>-597.95999999996275</v>
      </c>
      <c r="I81" s="899"/>
      <c r="J81" s="839">
        <f>H81/DAY(B2)</f>
        <v>-24.914999999998447</v>
      </c>
      <c r="K81" s="921"/>
      <c r="L81" s="814"/>
      <c r="O81" s="841"/>
    </row>
    <row r="82" spans="1:15">
      <c r="A82" s="1548" t="s">
        <v>267</v>
      </c>
      <c r="B82" s="1549"/>
      <c r="C82" s="1550"/>
      <c r="D82" s="869" t="s">
        <v>198</v>
      </c>
      <c r="E82" s="835">
        <f>'23'!F82</f>
        <v>108025.07</v>
      </c>
      <c r="F82" s="930">
        <v>108055.15</v>
      </c>
      <c r="G82" s="836">
        <f t="shared" si="7"/>
        <v>30.079999999987194</v>
      </c>
      <c r="H82" s="837">
        <f>G82+'23'!H82</f>
        <v>-102.85000000000582</v>
      </c>
      <c r="I82" s="870"/>
      <c r="J82" s="839">
        <f>H82/DAY(B2)</f>
        <v>-4.2854166666669089</v>
      </c>
      <c r="K82" s="921"/>
      <c r="L82" s="814"/>
      <c r="O82" s="841"/>
    </row>
    <row r="83" spans="1:15">
      <c r="A83" s="1548" t="s">
        <v>268</v>
      </c>
      <c r="B83" s="1549"/>
      <c r="C83" s="1550"/>
      <c r="D83" s="931" t="s">
        <v>198</v>
      </c>
      <c r="E83" s="835">
        <f>'23'!F83</f>
        <v>19096</v>
      </c>
      <c r="F83" s="821">
        <v>19231</v>
      </c>
      <c r="G83" s="836">
        <f>F83-E83</f>
        <v>135</v>
      </c>
      <c r="H83" s="837">
        <f>G83+'23'!H83</f>
        <v>-1275</v>
      </c>
      <c r="I83" s="859"/>
      <c r="J83" s="839">
        <f>H83/DAY(B2)</f>
        <v>-53.125</v>
      </c>
      <c r="K83" s="862"/>
      <c r="L83" s="814"/>
      <c r="O83" s="841"/>
    </row>
    <row r="84" spans="1:15">
      <c r="A84" s="932" t="s">
        <v>166</v>
      </c>
      <c r="B84" s="933"/>
      <c r="C84" s="933"/>
      <c r="D84" s="853" t="s">
        <v>198</v>
      </c>
      <c r="E84" s="835">
        <f>'23'!F84</f>
        <v>494085</v>
      </c>
      <c r="F84" s="934">
        <v>494738</v>
      </c>
      <c r="G84" s="836">
        <f t="shared" si="7"/>
        <v>653</v>
      </c>
      <c r="H84" s="837">
        <f>G84+'23'!H84</f>
        <v>-5556</v>
      </c>
      <c r="I84" s="859"/>
      <c r="J84" s="839">
        <f>H84/DAY(B2)</f>
        <v>-231.5</v>
      </c>
      <c r="K84" s="935"/>
      <c r="L84" s="814"/>
      <c r="O84" s="841"/>
    </row>
    <row r="85" spans="1:15" s="939" customFormat="1">
      <c r="A85" s="936" t="s">
        <v>102</v>
      </c>
      <c r="B85" s="937"/>
      <c r="C85" s="937"/>
      <c r="D85" s="874"/>
      <c r="E85" s="835">
        <f>'23'!F85</f>
        <v>0</v>
      </c>
      <c r="F85" s="834"/>
      <c r="G85" s="837">
        <f xml:space="preserve"> SUM(G72:G84)</f>
        <v>1631.6099999999897</v>
      </c>
      <c r="H85" s="837">
        <f>G85+'23'!H85</f>
        <v>-13065.049999999932</v>
      </c>
      <c r="I85" s="859"/>
      <c r="J85" s="839">
        <f>H85/DAY(B2)</f>
        <v>-544.37708333333046</v>
      </c>
      <c r="K85" s="935"/>
      <c r="L85" s="938"/>
      <c r="N85" s="1006"/>
      <c r="O85" s="841"/>
    </row>
    <row r="86" spans="1:15" s="949" customFormat="1">
      <c r="A86" s="940" t="s">
        <v>269</v>
      </c>
      <c r="B86" s="941"/>
      <c r="C86" s="941"/>
      <c r="D86" s="942" t="s">
        <v>248</v>
      </c>
      <c r="E86" s="835">
        <f>'23'!F86</f>
        <v>460687.56</v>
      </c>
      <c r="F86" s="943">
        <v>460712.84</v>
      </c>
      <c r="G86" s="944">
        <f t="shared" si="7"/>
        <v>25.28000000002794</v>
      </c>
      <c r="H86" s="944">
        <f t="shared" ref="H86:H88" si="8">G86</f>
        <v>25.28000000002794</v>
      </c>
      <c r="I86" s="945"/>
      <c r="J86" s="946">
        <f>H86/DAY(B2)</f>
        <v>1.0533333333344974</v>
      </c>
      <c r="K86" s="947"/>
      <c r="L86" s="948"/>
      <c r="N86" s="1007"/>
      <c r="O86" s="841"/>
    </row>
    <row r="87" spans="1:15" s="949" customFormat="1">
      <c r="A87" s="940" t="s">
        <v>270</v>
      </c>
      <c r="B87" s="941"/>
      <c r="C87" s="941"/>
      <c r="D87" s="942" t="s">
        <v>248</v>
      </c>
      <c r="E87" s="835">
        <f>'23'!F87</f>
        <v>81219.3</v>
      </c>
      <c r="F87" s="943">
        <v>81237.3</v>
      </c>
      <c r="G87" s="944">
        <f t="shared" si="7"/>
        <v>18</v>
      </c>
      <c r="H87" s="944">
        <f t="shared" si="8"/>
        <v>18</v>
      </c>
      <c r="I87" s="945"/>
      <c r="J87" s="946">
        <f>H87/DAY(B2)</f>
        <v>0.75</v>
      </c>
      <c r="K87" s="947"/>
      <c r="L87" s="948"/>
      <c r="N87" s="1007"/>
      <c r="O87" s="841"/>
    </row>
    <row r="88" spans="1:15" s="949" customFormat="1">
      <c r="A88" s="940" t="s">
        <v>158</v>
      </c>
      <c r="B88" s="941"/>
      <c r="C88" s="941"/>
      <c r="D88" s="942" t="s">
        <v>248</v>
      </c>
      <c r="E88" s="835">
        <f>'23'!F88</f>
        <v>152706.73000000001</v>
      </c>
      <c r="F88" s="943">
        <v>152832.03</v>
      </c>
      <c r="G88" s="944">
        <f t="shared" si="7"/>
        <v>125.29999999998836</v>
      </c>
      <c r="H88" s="944">
        <f t="shared" si="8"/>
        <v>125.29999999998836</v>
      </c>
      <c r="I88" s="945"/>
      <c r="J88" s="946">
        <f>H88/DAY(B2)</f>
        <v>5.2208333333328483</v>
      </c>
      <c r="K88" s="947"/>
      <c r="L88" s="948"/>
      <c r="N88" s="1007"/>
      <c r="O88" s="841"/>
    </row>
    <row r="89" spans="1:15" s="949" customFormat="1">
      <c r="A89" s="940" t="s">
        <v>272</v>
      </c>
      <c r="B89" s="941"/>
      <c r="C89" s="941"/>
      <c r="D89" s="942" t="s">
        <v>248</v>
      </c>
      <c r="E89" s="835">
        <f>'23'!F89</f>
        <v>65034.5</v>
      </c>
      <c r="F89" s="943">
        <v>65080.1</v>
      </c>
      <c r="G89" s="944">
        <f t="shared" si="7"/>
        <v>45.599999999998545</v>
      </c>
      <c r="H89" s="944">
        <f>G89</f>
        <v>45.599999999998545</v>
      </c>
      <c r="I89" s="945"/>
      <c r="J89" s="946">
        <f>H89/DAY(B2)</f>
        <v>1.8999999999999393</v>
      </c>
      <c r="K89" s="947"/>
      <c r="L89" s="948"/>
      <c r="N89" s="1008"/>
      <c r="O89" s="841"/>
    </row>
    <row r="90" spans="1:15" s="949" customFormat="1">
      <c r="A90" s="940" t="s">
        <v>272</v>
      </c>
      <c r="B90" s="941"/>
      <c r="C90" s="941"/>
      <c r="D90" s="942" t="s">
        <v>248</v>
      </c>
      <c r="E90" s="835">
        <f>'23'!F90</f>
        <v>3273.6</v>
      </c>
      <c r="F90" s="943">
        <v>3273.6</v>
      </c>
      <c r="G90" s="944">
        <f t="shared" si="7"/>
        <v>0</v>
      </c>
      <c r="H90" s="944">
        <f>G90</f>
        <v>0</v>
      </c>
      <c r="I90" s="945"/>
      <c r="J90" s="946">
        <f>H90/DAY(B2)</f>
        <v>0</v>
      </c>
      <c r="K90" s="947"/>
      <c r="L90" s="948"/>
      <c r="N90" s="1008"/>
      <c r="O90" s="841"/>
    </row>
    <row r="91" spans="1:15" s="731" customFormat="1" ht="29.25">
      <c r="A91" s="726" t="s">
        <v>273</v>
      </c>
      <c r="B91" s="727"/>
      <c r="C91" s="727"/>
      <c r="D91" s="728"/>
      <c r="E91" s="835">
        <f>'23'!F91</f>
        <v>27986</v>
      </c>
      <c r="F91" s="943">
        <v>27986.7</v>
      </c>
      <c r="G91" s="701">
        <f t="shared" si="7"/>
        <v>0.7000000000007276</v>
      </c>
      <c r="H91" s="701">
        <f>G91</f>
        <v>0.7000000000007276</v>
      </c>
      <c r="I91" s="648"/>
      <c r="J91" s="703"/>
      <c r="K91" s="729"/>
      <c r="L91" s="730"/>
      <c r="N91" s="773"/>
      <c r="O91" s="379"/>
    </row>
    <row r="92" spans="1:15" s="939" customFormat="1">
      <c r="A92" s="950" t="s">
        <v>274</v>
      </c>
      <c r="B92" s="829"/>
      <c r="C92" s="829"/>
      <c r="D92" s="829"/>
      <c r="E92" s="829"/>
      <c r="F92" s="829"/>
      <c r="G92" s="873"/>
      <c r="H92" s="829"/>
      <c r="I92" s="829"/>
      <c r="J92" s="830"/>
      <c r="K92" s="935"/>
      <c r="L92" s="938"/>
      <c r="N92" s="1006"/>
      <c r="O92" s="841"/>
    </row>
    <row r="93" spans="1:15">
      <c r="A93" s="1539" t="s">
        <v>275</v>
      </c>
      <c r="B93" s="1540"/>
      <c r="C93" s="1541"/>
      <c r="D93" s="834" t="s">
        <v>209</v>
      </c>
      <c r="E93" s="835">
        <f>'23'!F93</f>
        <v>245156</v>
      </c>
      <c r="F93" s="865">
        <v>245184</v>
      </c>
      <c r="G93" s="836">
        <f t="shared" ref="G93:G94" si="9">F93-E93</f>
        <v>28</v>
      </c>
      <c r="H93" s="837">
        <f>G93+'23'!H93</f>
        <v>-204</v>
      </c>
      <c r="I93" s="856"/>
      <c r="J93" s="839">
        <f>H93/DAY(B2)</f>
        <v>-8.5</v>
      </c>
      <c r="K93" s="862"/>
      <c r="L93" s="814"/>
      <c r="O93" s="841"/>
    </row>
    <row r="94" spans="1:15">
      <c r="A94" s="1539" t="s">
        <v>15</v>
      </c>
      <c r="B94" s="1540"/>
      <c r="C94" s="1541"/>
      <c r="D94" s="834" t="s">
        <v>209</v>
      </c>
      <c r="E94" s="835">
        <f>'23'!F94</f>
        <v>185446</v>
      </c>
      <c r="F94" s="865">
        <v>185520</v>
      </c>
      <c r="G94" s="836">
        <f t="shared" si="9"/>
        <v>74</v>
      </c>
      <c r="H94" s="837">
        <f>G94+'23'!H94</f>
        <v>-601</v>
      </c>
      <c r="I94" s="856"/>
      <c r="J94" s="839">
        <f>H94/DAY(B2)</f>
        <v>-25.041666666666668</v>
      </c>
      <c r="K94" s="935"/>
      <c r="L94" s="814"/>
      <c r="O94" s="841"/>
    </row>
    <row r="95" spans="1:15">
      <c r="A95" s="1557" t="s">
        <v>276</v>
      </c>
      <c r="B95" s="1558"/>
      <c r="C95" s="1559"/>
      <c r="D95" s="834"/>
      <c r="E95" s="835">
        <f>'23'!F95</f>
        <v>0</v>
      </c>
      <c r="F95" s="865"/>
      <c r="G95" s="836">
        <f>G93+G94</f>
        <v>102</v>
      </c>
      <c r="H95" s="837">
        <f>G95+'23'!H95</f>
        <v>-881</v>
      </c>
      <c r="I95" s="856"/>
      <c r="J95" s="839">
        <f>H95/DAY(B2)</f>
        <v>-36.708333333333336</v>
      </c>
      <c r="K95" s="935"/>
      <c r="L95" s="814"/>
      <c r="O95" s="841"/>
    </row>
    <row r="96" spans="1:15">
      <c r="A96" s="1539" t="s">
        <v>16</v>
      </c>
      <c r="B96" s="1540"/>
      <c r="C96" s="1541"/>
      <c r="D96" s="834" t="s">
        <v>209</v>
      </c>
      <c r="E96" s="835">
        <f>'23'!F96</f>
        <v>413884</v>
      </c>
      <c r="F96" s="865">
        <v>413924</v>
      </c>
      <c r="G96" s="836">
        <f t="shared" ref="G96:G101" si="10">F96-E96</f>
        <v>40</v>
      </c>
      <c r="H96" s="837">
        <f>G96+'23'!H96</f>
        <v>-359</v>
      </c>
      <c r="I96" s="856"/>
      <c r="J96" s="839">
        <f>H96/DAY(B2)</f>
        <v>-14.958333333333334</v>
      </c>
      <c r="K96" s="935"/>
      <c r="L96" s="814"/>
      <c r="O96" s="841"/>
    </row>
    <row r="97" spans="1:15">
      <c r="A97" s="863" t="s">
        <v>17</v>
      </c>
      <c r="B97" s="864"/>
      <c r="C97" s="864"/>
      <c r="D97" s="834" t="s">
        <v>209</v>
      </c>
      <c r="E97" s="835">
        <f>'23'!F97</f>
        <v>102567</v>
      </c>
      <c r="F97" s="865">
        <v>102578</v>
      </c>
      <c r="G97" s="836">
        <f t="shared" si="10"/>
        <v>11</v>
      </c>
      <c r="H97" s="837">
        <f>G97+'23'!H97</f>
        <v>-70</v>
      </c>
      <c r="I97" s="856"/>
      <c r="J97" s="839">
        <f>H97/DAY(B2)</f>
        <v>-2.9166666666666665</v>
      </c>
      <c r="K97" s="831"/>
      <c r="L97" s="814"/>
      <c r="O97" s="841"/>
    </row>
    <row r="98" spans="1:15">
      <c r="A98" s="863" t="s">
        <v>18</v>
      </c>
      <c r="B98" s="864"/>
      <c r="C98" s="864"/>
      <c r="D98" s="834" t="s">
        <v>209</v>
      </c>
      <c r="E98" s="835">
        <f>'23'!F98</f>
        <v>97780</v>
      </c>
      <c r="F98" s="865">
        <v>97796</v>
      </c>
      <c r="G98" s="836">
        <f t="shared" si="10"/>
        <v>16</v>
      </c>
      <c r="H98" s="837">
        <f>G98+'23'!H98</f>
        <v>-154</v>
      </c>
      <c r="I98" s="856"/>
      <c r="J98" s="839">
        <f>H98/DAY(B2)</f>
        <v>-6.416666666666667</v>
      </c>
      <c r="K98" s="951"/>
      <c r="L98" s="814"/>
      <c r="O98" s="841"/>
    </row>
    <row r="99" spans="1:15">
      <c r="A99" s="863" t="s">
        <v>19</v>
      </c>
      <c r="B99" s="864"/>
      <c r="C99" s="864"/>
      <c r="D99" s="834" t="s">
        <v>209</v>
      </c>
      <c r="E99" s="835">
        <f>'23'!F99</f>
        <v>149790</v>
      </c>
      <c r="F99" s="865">
        <v>149818</v>
      </c>
      <c r="G99" s="836">
        <f t="shared" si="10"/>
        <v>28</v>
      </c>
      <c r="H99" s="837">
        <f>G99+'23'!H99</f>
        <v>-34</v>
      </c>
      <c r="I99" s="856"/>
      <c r="J99" s="839">
        <f>H99/DAY(B2)</f>
        <v>-1.4166666666666667</v>
      </c>
      <c r="K99" s="935"/>
      <c r="L99" s="814"/>
      <c r="O99" s="841"/>
    </row>
    <row r="100" spans="1:15">
      <c r="A100" s="863" t="s">
        <v>20</v>
      </c>
      <c r="B100" s="864"/>
      <c r="C100" s="864"/>
      <c r="D100" s="834" t="s">
        <v>209</v>
      </c>
      <c r="E100" s="835">
        <f>'23'!F100</f>
        <v>7325</v>
      </c>
      <c r="F100" s="865">
        <v>7328</v>
      </c>
      <c r="G100" s="836">
        <f t="shared" si="10"/>
        <v>3</v>
      </c>
      <c r="H100" s="837">
        <f>G100+'23'!H100</f>
        <v>-41</v>
      </c>
      <c r="I100" s="856"/>
      <c r="J100" s="839">
        <f>H100/DAY(B2)</f>
        <v>-1.7083333333333333</v>
      </c>
      <c r="K100" s="935"/>
      <c r="L100" s="814"/>
      <c r="O100" s="841"/>
    </row>
    <row r="101" spans="1:15">
      <c r="A101" s="863" t="s">
        <v>21</v>
      </c>
      <c r="B101" s="864"/>
      <c r="C101" s="864"/>
      <c r="D101" s="834" t="s">
        <v>209</v>
      </c>
      <c r="E101" s="835">
        <f>'23'!F101</f>
        <v>5311</v>
      </c>
      <c r="F101" s="865">
        <v>5325</v>
      </c>
      <c r="G101" s="836">
        <f t="shared" si="10"/>
        <v>14</v>
      </c>
      <c r="H101" s="837">
        <f>G101+'23'!H101</f>
        <v>-66</v>
      </c>
      <c r="I101" s="856"/>
      <c r="J101" s="839">
        <f>H101/DAY(B2)</f>
        <v>-2.75</v>
      </c>
      <c r="K101" s="935"/>
      <c r="L101" s="814"/>
      <c r="O101" s="841"/>
    </row>
    <row r="102" spans="1:15">
      <c r="A102" s="1557" t="s">
        <v>277</v>
      </c>
      <c r="B102" s="1558"/>
      <c r="C102" s="1559"/>
      <c r="D102" s="868"/>
      <c r="E102" s="868"/>
      <c r="F102" s="868"/>
      <c r="G102" s="952">
        <f>SUM(G96:G101)</f>
        <v>112</v>
      </c>
      <c r="H102" s="837">
        <f>G102+'23'!H102</f>
        <v>-724</v>
      </c>
      <c r="I102" s="953"/>
      <c r="J102" s="839">
        <f>H102/DAY(B2)</f>
        <v>-30.166666666666668</v>
      </c>
      <c r="K102" s="935"/>
      <c r="L102" s="814"/>
      <c r="O102" s="841"/>
    </row>
    <row r="103" spans="1:15" s="886" customFormat="1">
      <c r="A103" s="954" t="s">
        <v>278</v>
      </c>
      <c r="B103" s="955"/>
      <c r="C103" s="955"/>
      <c r="D103" s="956"/>
      <c r="E103" s="957"/>
      <c r="F103" s="958"/>
      <c r="G103" s="959"/>
      <c r="H103" s="960"/>
      <c r="I103" s="961"/>
      <c r="J103" s="962"/>
      <c r="N103" s="1004"/>
      <c r="O103" s="841"/>
    </row>
    <row r="104" spans="1:15" s="886" customFormat="1">
      <c r="A104" s="1568" t="s">
        <v>279</v>
      </c>
      <c r="B104" s="1569"/>
      <c r="C104" s="963"/>
      <c r="D104" s="964"/>
      <c r="E104" s="965"/>
      <c r="F104" s="965"/>
      <c r="G104" s="965"/>
      <c r="H104" s="966"/>
      <c r="I104" s="965"/>
      <c r="J104" s="967"/>
      <c r="N104" s="1004"/>
      <c r="O104" s="841"/>
    </row>
    <row r="105" spans="1:15" s="886" customFormat="1">
      <c r="A105" s="1570" t="s">
        <v>22</v>
      </c>
      <c r="B105" s="1571"/>
      <c r="C105" s="968"/>
      <c r="D105" s="964" t="s">
        <v>209</v>
      </c>
      <c r="E105" s="965">
        <f>'23'!F105</f>
        <v>7484</v>
      </c>
      <c r="F105" s="965">
        <v>7484</v>
      </c>
      <c r="G105" s="965">
        <f>F105-E105</f>
        <v>0</v>
      </c>
      <c r="H105" s="966">
        <f>SUM(G105+'1'!G76)</f>
        <v>57</v>
      </c>
      <c r="I105" s="965"/>
      <c r="J105" s="967">
        <f>H105/DAY(B2)</f>
        <v>2.375</v>
      </c>
      <c r="N105" s="1004"/>
      <c r="O105" s="841"/>
    </row>
    <row r="106" spans="1:15" s="886" customFormat="1">
      <c r="A106" s="1570" t="s">
        <v>23</v>
      </c>
      <c r="B106" s="1571"/>
      <c r="C106" s="968"/>
      <c r="D106" s="964" t="s">
        <v>209</v>
      </c>
      <c r="E106" s="965">
        <f>'23'!F106</f>
        <v>35906</v>
      </c>
      <c r="F106" s="969">
        <v>35907</v>
      </c>
      <c r="G106" s="965">
        <f t="shared" ref="G106:G107" si="11">F106-E106</f>
        <v>1</v>
      </c>
      <c r="H106" s="966">
        <f>SUM(G106+'1'!G77)</f>
        <v>50</v>
      </c>
      <c r="I106" s="965"/>
      <c r="J106" s="967">
        <f>H106/DAY(B2)</f>
        <v>2.0833333333333335</v>
      </c>
      <c r="N106" s="1004"/>
      <c r="O106" s="841"/>
    </row>
    <row r="107" spans="1:15" s="886" customFormat="1">
      <c r="A107" s="1570" t="s">
        <v>24</v>
      </c>
      <c r="B107" s="1572"/>
      <c r="C107" s="1571"/>
      <c r="D107" s="964" t="s">
        <v>209</v>
      </c>
      <c r="E107" s="965">
        <f>'23'!F107</f>
        <v>19682</v>
      </c>
      <c r="F107" s="965">
        <v>19685</v>
      </c>
      <c r="G107" s="965">
        <f t="shared" si="11"/>
        <v>3</v>
      </c>
      <c r="H107" s="966">
        <f>SUM(G107+'1'!G78)</f>
        <v>58</v>
      </c>
      <c r="I107" s="965"/>
      <c r="J107" s="967">
        <f>H107/DAY(B2)</f>
        <v>2.4166666666666665</v>
      </c>
      <c r="N107" s="1004"/>
      <c r="O107" s="841"/>
    </row>
    <row r="108" spans="1:15" s="886" customFormat="1">
      <c r="A108" s="1573" t="s">
        <v>102</v>
      </c>
      <c r="B108" s="1574"/>
      <c r="C108" s="968"/>
      <c r="D108" s="964"/>
      <c r="E108" s="965"/>
      <c r="F108" s="965"/>
      <c r="G108" s="965">
        <f>SUM(G105:G107)</f>
        <v>4</v>
      </c>
      <c r="H108" s="966">
        <f>SUM(G108+'1'!G79)</f>
        <v>159</v>
      </c>
      <c r="I108" s="965"/>
      <c r="J108" s="967">
        <f>H108/DAY(B2)</f>
        <v>6.625</v>
      </c>
      <c r="N108" s="1004"/>
      <c r="O108" s="841"/>
    </row>
    <row r="109" spans="1:15" s="886" customFormat="1">
      <c r="A109" s="1575" t="s">
        <v>120</v>
      </c>
      <c r="B109" s="1576"/>
      <c r="C109" s="968"/>
      <c r="D109" s="964" t="s">
        <v>209</v>
      </c>
      <c r="E109" s="965">
        <f>'23'!F109</f>
        <v>0</v>
      </c>
      <c r="F109" s="965"/>
      <c r="G109" s="965"/>
      <c r="H109" s="966"/>
      <c r="I109" s="965"/>
      <c r="J109" s="967"/>
      <c r="N109" s="1004"/>
      <c r="O109" s="841"/>
    </row>
    <row r="110" spans="1:15" s="886" customFormat="1">
      <c r="A110" s="1570" t="s">
        <v>25</v>
      </c>
      <c r="B110" s="1571"/>
      <c r="C110" s="968"/>
      <c r="D110" s="964" t="s">
        <v>209</v>
      </c>
      <c r="E110" s="965">
        <f>'23'!F110</f>
        <v>62330</v>
      </c>
      <c r="F110" s="965">
        <v>62370</v>
      </c>
      <c r="G110" s="965">
        <f>F110-E110</f>
        <v>40</v>
      </c>
      <c r="H110" s="966">
        <f>SUM(G110+'1'!G81)</f>
        <v>134</v>
      </c>
      <c r="I110" s="965"/>
      <c r="J110" s="967">
        <f>H110/DAY(B2)</f>
        <v>5.583333333333333</v>
      </c>
      <c r="N110" s="1004"/>
      <c r="O110" s="841"/>
    </row>
    <row r="111" spans="1:15" s="886" customFormat="1">
      <c r="A111" s="1570" t="s">
        <v>26</v>
      </c>
      <c r="B111" s="1571"/>
      <c r="C111" s="968"/>
      <c r="D111" s="964" t="s">
        <v>209</v>
      </c>
      <c r="E111" s="965">
        <f>'23'!F111</f>
        <v>32478</v>
      </c>
      <c r="F111" s="965">
        <v>32518</v>
      </c>
      <c r="G111" s="965">
        <f t="shared" ref="G111:G112" si="12">F111-E111</f>
        <v>40</v>
      </c>
      <c r="H111" s="966">
        <f>SUM(G111+'1'!G82)</f>
        <v>51</v>
      </c>
      <c r="I111" s="965"/>
      <c r="J111" s="967">
        <f>H111/DAY(B2)</f>
        <v>2.125</v>
      </c>
      <c r="N111" s="1004"/>
      <c r="O111" s="841"/>
    </row>
    <row r="112" spans="1:15" s="886" customFormat="1">
      <c r="A112" s="1570" t="s">
        <v>27</v>
      </c>
      <c r="B112" s="1571"/>
      <c r="C112" s="968"/>
      <c r="D112" s="964" t="s">
        <v>209</v>
      </c>
      <c r="E112" s="965">
        <f>'23'!F112</f>
        <v>4527</v>
      </c>
      <c r="F112" s="965">
        <v>4527</v>
      </c>
      <c r="G112" s="965">
        <f t="shared" si="12"/>
        <v>0</v>
      </c>
      <c r="H112" s="966">
        <f>SUM(G112+'1'!G83)</f>
        <v>152</v>
      </c>
      <c r="I112" s="965"/>
      <c r="J112" s="967">
        <f>H112/DAY(B2)</f>
        <v>6.333333333333333</v>
      </c>
      <c r="N112" s="1004"/>
      <c r="O112" s="841"/>
    </row>
    <row r="113" spans="1:15" s="886" customFormat="1">
      <c r="A113" s="1577" t="s">
        <v>174</v>
      </c>
      <c r="B113" s="1578"/>
      <c r="C113" s="968"/>
      <c r="D113" s="964"/>
      <c r="E113" s="965">
        <f>'23'!F113</f>
        <v>0</v>
      </c>
      <c r="F113" s="965"/>
      <c r="G113" s="965">
        <f>SUM(G110:G112)</f>
        <v>80</v>
      </c>
      <c r="H113" s="966">
        <f>SUM(G113+'1'!G84)</f>
        <v>907</v>
      </c>
      <c r="I113" s="965"/>
      <c r="J113" s="967">
        <f>H113/DAY(B2)</f>
        <v>37.791666666666664</v>
      </c>
      <c r="N113" s="1004"/>
      <c r="O113" s="841"/>
    </row>
    <row r="114" spans="1:15" s="886" customFormat="1">
      <c r="A114" s="1575" t="s">
        <v>280</v>
      </c>
      <c r="B114" s="1576"/>
      <c r="C114" s="968"/>
      <c r="D114" s="964"/>
      <c r="E114" s="965"/>
      <c r="F114" s="965"/>
      <c r="G114" s="965"/>
      <c r="H114" s="966"/>
      <c r="I114" s="965"/>
      <c r="J114" s="967">
        <f>H114/DAY(B2)</f>
        <v>0</v>
      </c>
      <c r="N114" s="1004"/>
      <c r="O114" s="841"/>
    </row>
    <row r="115" spans="1:15" s="886" customFormat="1">
      <c r="A115" s="1570" t="s">
        <v>28</v>
      </c>
      <c r="B115" s="1571"/>
      <c r="C115" s="970"/>
      <c r="D115" s="964" t="s">
        <v>209</v>
      </c>
      <c r="E115" s="965">
        <f>'23'!F115</f>
        <v>11439</v>
      </c>
      <c r="F115" s="969">
        <v>11444</v>
      </c>
      <c r="G115" s="969">
        <f>F115-E115</f>
        <v>5</v>
      </c>
      <c r="H115" s="966">
        <f>SUM(G115+'1'!G92)</f>
        <v>5</v>
      </c>
      <c r="I115" s="965"/>
      <c r="J115" s="967">
        <f>H115/DAY(B2)</f>
        <v>0.20833333333333334</v>
      </c>
      <c r="N115" s="1004"/>
      <c r="O115" s="841"/>
    </row>
    <row r="116" spans="1:15" s="886" customFormat="1">
      <c r="A116" s="1570" t="s">
        <v>29</v>
      </c>
      <c r="B116" s="1571"/>
      <c r="C116" s="970"/>
      <c r="D116" s="964" t="s">
        <v>209</v>
      </c>
      <c r="E116" s="965">
        <f>'23'!F116</f>
        <v>8254</v>
      </c>
      <c r="F116" s="969">
        <v>8261</v>
      </c>
      <c r="G116" s="969">
        <f t="shared" ref="G116:G117" si="13">F116-E116</f>
        <v>7</v>
      </c>
      <c r="H116" s="966">
        <f>SUM(G116+'1'!G93)</f>
        <v>25</v>
      </c>
      <c r="I116" s="965"/>
      <c r="J116" s="967">
        <f>H116/DAY(B2)</f>
        <v>1.0416666666666667</v>
      </c>
      <c r="N116" s="1004"/>
      <c r="O116" s="841"/>
    </row>
    <row r="117" spans="1:15" s="886" customFormat="1">
      <c r="A117" s="1570" t="s">
        <v>281</v>
      </c>
      <c r="B117" s="1571"/>
      <c r="C117" s="970"/>
      <c r="D117" s="964" t="s">
        <v>209</v>
      </c>
      <c r="E117" s="969"/>
      <c r="F117" s="969"/>
      <c r="G117" s="969">
        <f t="shared" si="13"/>
        <v>0</v>
      </c>
      <c r="H117" s="966">
        <f>SUM(G117+'1'!G94)</f>
        <v>58</v>
      </c>
      <c r="I117" s="965"/>
      <c r="J117" s="967">
        <f>H117/DAY(B2)</f>
        <v>2.4166666666666665</v>
      </c>
      <c r="N117" s="1004"/>
      <c r="O117" s="841"/>
    </row>
    <row r="118" spans="1:15" s="972" customFormat="1">
      <c r="A118" s="1573" t="s">
        <v>102</v>
      </c>
      <c r="B118" s="1574"/>
      <c r="C118" s="970"/>
      <c r="D118" s="971"/>
      <c r="E118" s="969"/>
      <c r="F118" s="969"/>
      <c r="G118" s="969">
        <f>SUM(G115:G117)</f>
        <v>12</v>
      </c>
      <c r="H118" s="966">
        <f>SUM(G118+'1'!G96)</f>
        <v>52</v>
      </c>
      <c r="I118" s="969"/>
      <c r="J118" s="967">
        <f>H118/DAY(B2)</f>
        <v>2.1666666666666665</v>
      </c>
      <c r="N118" s="1009"/>
      <c r="O118" s="841"/>
    </row>
    <row r="119" spans="1:15" s="764" customFormat="1">
      <c r="A119" s="1579" t="s">
        <v>282</v>
      </c>
      <c r="B119" s="1580"/>
      <c r="C119" s="973"/>
      <c r="D119" s="974" t="s">
        <v>209</v>
      </c>
      <c r="E119" s="975"/>
      <c r="F119" s="976"/>
      <c r="G119" s="976">
        <f>SUM(G19+G93)</f>
        <v>88</v>
      </c>
      <c r="H119" s="966">
        <f>SUM(G119+'1'!G97)</f>
        <v>101</v>
      </c>
      <c r="I119" s="975"/>
      <c r="J119" s="977">
        <f>H119/DAY(B2)</f>
        <v>4.208333333333333</v>
      </c>
      <c r="N119" s="1010"/>
      <c r="O119" s="841"/>
    </row>
    <row r="120" spans="1:15" s="764" customFormat="1">
      <c r="A120" s="1579" t="s">
        <v>283</v>
      </c>
      <c r="B120" s="1580"/>
      <c r="C120" s="973"/>
      <c r="D120" s="974" t="s">
        <v>209</v>
      </c>
      <c r="E120" s="975"/>
      <c r="F120" s="976"/>
      <c r="G120" s="976">
        <f>SUM(G96,G97,G98,G100,G101)</f>
        <v>84</v>
      </c>
      <c r="H120" s="966">
        <f>SUM(G120+'1'!G99)</f>
        <v>91</v>
      </c>
      <c r="I120" s="975"/>
      <c r="J120" s="977">
        <f>H120/DAY(B2)</f>
        <v>3.7916666666666665</v>
      </c>
      <c r="N120" s="1010"/>
      <c r="O120" s="841"/>
    </row>
    <row r="121" spans="1:15" s="764" customFormat="1">
      <c r="A121" s="1579" t="s">
        <v>284</v>
      </c>
      <c r="B121" s="1580"/>
      <c r="C121" s="973"/>
      <c r="D121" s="974" t="s">
        <v>209</v>
      </c>
      <c r="E121" s="975"/>
      <c r="F121" s="969"/>
      <c r="G121" s="969">
        <f>SUM(G113)</f>
        <v>80</v>
      </c>
      <c r="H121" s="966">
        <f>SUM(G121+'1'!G101)</f>
        <v>84</v>
      </c>
      <c r="I121" s="975"/>
      <c r="J121" s="977">
        <f>H121/DAY(B2)</f>
        <v>3.5</v>
      </c>
      <c r="N121" s="1010"/>
      <c r="O121" s="841"/>
    </row>
    <row r="122" spans="1:15" s="886" customFormat="1">
      <c r="A122" s="1581"/>
      <c r="B122" s="1582"/>
      <c r="C122" s="968"/>
      <c r="D122" s="963"/>
      <c r="E122" s="963"/>
      <c r="F122" s="963"/>
      <c r="G122" s="963"/>
      <c r="H122" s="978"/>
      <c r="I122" s="963"/>
      <c r="J122" s="979"/>
      <c r="N122" s="1004"/>
      <c r="O122" s="841"/>
    </row>
    <row r="123" spans="1:15">
      <c r="A123" s="1560" t="s">
        <v>285</v>
      </c>
      <c r="B123" s="1561"/>
      <c r="C123" s="1562"/>
      <c r="D123" s="829"/>
      <c r="E123" s="829"/>
      <c r="F123" s="829"/>
      <c r="G123" s="861"/>
      <c r="H123" s="861"/>
      <c r="I123" s="861"/>
      <c r="J123" s="980"/>
      <c r="K123" s="935"/>
      <c r="L123" s="814"/>
      <c r="O123" s="841"/>
    </row>
    <row r="124" spans="1:15">
      <c r="A124" s="863" t="s">
        <v>286</v>
      </c>
      <c r="B124" s="864"/>
      <c r="C124" s="864"/>
      <c r="D124" s="834" t="s">
        <v>206</v>
      </c>
      <c r="E124" s="835">
        <f>'23'!F124</f>
        <v>830726.84</v>
      </c>
      <c r="F124" s="853">
        <v>830957</v>
      </c>
      <c r="G124" s="836">
        <f t="shared" ref="G124:G128" si="14">F124-E124</f>
        <v>230.1600000000326</v>
      </c>
      <c r="H124" s="837">
        <f>G124+'23'!H124</f>
        <v>-1409</v>
      </c>
      <c r="I124" s="953"/>
      <c r="J124" s="839">
        <f>H124/DAY(B2)</f>
        <v>-58.708333333333336</v>
      </c>
      <c r="K124" s="935"/>
      <c r="L124" s="814"/>
      <c r="O124" s="841"/>
    </row>
    <row r="125" spans="1:15">
      <c r="A125" s="863" t="s">
        <v>287</v>
      </c>
      <c r="B125" s="864"/>
      <c r="C125" s="864"/>
      <c r="D125" s="834" t="s">
        <v>206</v>
      </c>
      <c r="E125" s="835">
        <f>'23'!F125</f>
        <v>73583.399999999994</v>
      </c>
      <c r="F125" s="981">
        <v>73583.399999999994</v>
      </c>
      <c r="G125" s="836">
        <f t="shared" si="14"/>
        <v>0</v>
      </c>
      <c r="H125" s="837">
        <f>G125+'23'!H125</f>
        <v>0</v>
      </c>
      <c r="I125" s="953"/>
      <c r="J125" s="839">
        <f>H125/DAY(B2)</f>
        <v>0</v>
      </c>
      <c r="K125" s="935"/>
      <c r="L125" s="814"/>
      <c r="O125" s="841"/>
    </row>
    <row r="126" spans="1:15">
      <c r="A126" s="1545" t="s">
        <v>288</v>
      </c>
      <c r="B126" s="1546"/>
      <c r="C126" s="1547"/>
      <c r="D126" s="834" t="s">
        <v>206</v>
      </c>
      <c r="E126" s="835">
        <f>'23'!F126</f>
        <v>145965.84</v>
      </c>
      <c r="F126" s="853">
        <v>146037.63</v>
      </c>
      <c r="G126" s="836">
        <f t="shared" si="14"/>
        <v>71.790000000008149</v>
      </c>
      <c r="H126" s="837">
        <f>G126+'23'!H126</f>
        <v>-453.36999999999534</v>
      </c>
      <c r="I126" s="953"/>
      <c r="J126" s="839">
        <f>H126/DAY(B2)</f>
        <v>-18.890416666666471</v>
      </c>
      <c r="K126" s="935"/>
      <c r="L126" s="814"/>
      <c r="O126" s="841"/>
    </row>
    <row r="127" spans="1:15">
      <c r="A127" s="982" t="s">
        <v>289</v>
      </c>
      <c r="B127" s="864"/>
      <c r="C127" s="864"/>
      <c r="D127" s="834" t="s">
        <v>206</v>
      </c>
      <c r="E127" s="835">
        <f>'23'!F127</f>
        <v>31404.2</v>
      </c>
      <c r="F127" s="981">
        <v>31404.2</v>
      </c>
      <c r="G127" s="836">
        <f t="shared" si="14"/>
        <v>0</v>
      </c>
      <c r="H127" s="837">
        <f>G127+'23'!H127</f>
        <v>-1.7999999999992724</v>
      </c>
      <c r="I127" s="953"/>
      <c r="J127" s="839">
        <f>H127/DAY(B2)</f>
        <v>-7.4999999999969688E-2</v>
      </c>
      <c r="K127" s="935"/>
      <c r="L127" s="814"/>
      <c r="O127" s="841"/>
    </row>
    <row r="128" spans="1:15">
      <c r="A128" s="982" t="s">
        <v>290</v>
      </c>
      <c r="B128" s="864"/>
      <c r="C128" s="864"/>
      <c r="D128" s="834" t="s">
        <v>206</v>
      </c>
      <c r="E128" s="835">
        <f>'23'!F128</f>
        <v>8970.6</v>
      </c>
      <c r="F128" s="981">
        <v>8970.6</v>
      </c>
      <c r="G128" s="836">
        <f t="shared" si="14"/>
        <v>0</v>
      </c>
      <c r="H128" s="837">
        <f>G128+'23'!H128</f>
        <v>-1.3999999999996362</v>
      </c>
      <c r="I128" s="856"/>
      <c r="J128" s="839">
        <f>H128/DAY(B2)</f>
        <v>-5.8333333333318173E-2</v>
      </c>
      <c r="K128" s="935"/>
      <c r="L128" s="814"/>
      <c r="O128" s="841"/>
    </row>
    <row r="129" spans="1:15">
      <c r="A129" s="982" t="s">
        <v>291</v>
      </c>
      <c r="B129" s="864"/>
      <c r="C129" s="864"/>
      <c r="D129" s="834"/>
      <c r="E129" s="835"/>
      <c r="F129" s="853"/>
      <c r="G129" s="836">
        <f>G15-SUM(G124:G128)</f>
        <v>248.04999999995925</v>
      </c>
      <c r="H129" s="837">
        <f>G129+'23'!H129</f>
        <v>2620.5699999999943</v>
      </c>
      <c r="I129" s="856"/>
      <c r="J129" s="839">
        <f>H129/DAY(B2)</f>
        <v>109.19041666666642</v>
      </c>
      <c r="K129" s="935"/>
      <c r="L129" s="814"/>
      <c r="O129" s="841"/>
    </row>
    <row r="130" spans="1:15">
      <c r="A130" s="983" t="s">
        <v>292</v>
      </c>
      <c r="B130" s="828"/>
      <c r="C130" s="828"/>
      <c r="D130" s="828"/>
      <c r="E130" s="828"/>
      <c r="F130" s="828"/>
      <c r="G130" s="984"/>
      <c r="H130" s="984"/>
      <c r="I130" s="984"/>
      <c r="J130" s="985"/>
      <c r="O130" s="841"/>
    </row>
    <row r="131" spans="1:15">
      <c r="A131" s="863" t="s">
        <v>293</v>
      </c>
      <c r="B131" s="864"/>
      <c r="C131" s="864"/>
      <c r="D131" s="834" t="s">
        <v>294</v>
      </c>
      <c r="E131" s="835">
        <f>'23'!F131</f>
        <v>0</v>
      </c>
      <c r="F131" s="865">
        <v>0</v>
      </c>
      <c r="G131" s="836">
        <f t="shared" ref="G131:G141" si="15">F131-E131</f>
        <v>0</v>
      </c>
      <c r="H131" s="837">
        <f>G131+'23'!H131</f>
        <v>0</v>
      </c>
      <c r="I131" s="856"/>
      <c r="J131" s="839">
        <f>H131/DAY(B2)</f>
        <v>0</v>
      </c>
      <c r="O131" s="841"/>
    </row>
    <row r="132" spans="1:15">
      <c r="A132" s="863" t="s">
        <v>295</v>
      </c>
      <c r="B132" s="864"/>
      <c r="C132" s="864"/>
      <c r="D132" s="834" t="s">
        <v>294</v>
      </c>
      <c r="E132" s="835">
        <f>'23'!F132</f>
        <v>0</v>
      </c>
      <c r="F132" s="865">
        <v>0</v>
      </c>
      <c r="G132" s="836">
        <f t="shared" si="15"/>
        <v>0</v>
      </c>
      <c r="H132" s="837">
        <f>G132+'23'!H132</f>
        <v>0</v>
      </c>
      <c r="I132" s="856"/>
      <c r="J132" s="839">
        <f>H132/DAY(B2)</f>
        <v>0</v>
      </c>
      <c r="O132" s="841"/>
    </row>
    <row r="133" spans="1:15">
      <c r="A133" s="863" t="s">
        <v>296</v>
      </c>
      <c r="B133" s="864"/>
      <c r="C133" s="864"/>
      <c r="D133" s="834" t="s">
        <v>294</v>
      </c>
      <c r="E133" s="1340">
        <f>'23'!F133</f>
        <v>40035.1</v>
      </c>
      <c r="F133" s="986">
        <v>40059.1</v>
      </c>
      <c r="G133" s="945">
        <f t="shared" si="15"/>
        <v>24</v>
      </c>
      <c r="H133" s="837">
        <f>G133+'23'!H133</f>
        <v>24</v>
      </c>
      <c r="I133" s="856"/>
      <c r="J133" s="839">
        <f>H133/DAY(B2)</f>
        <v>1</v>
      </c>
      <c r="O133" s="841"/>
    </row>
    <row r="134" spans="1:15">
      <c r="A134" s="863" t="s">
        <v>297</v>
      </c>
      <c r="B134" s="864"/>
      <c r="C134" s="864"/>
      <c r="D134" s="834" t="s">
        <v>294</v>
      </c>
      <c r="E134" s="1340">
        <f>'23'!F134</f>
        <v>300</v>
      </c>
      <c r="F134" s="986">
        <v>300</v>
      </c>
      <c r="G134" s="945">
        <f t="shared" si="15"/>
        <v>0</v>
      </c>
      <c r="H134" s="837">
        <f>G134+'23'!H134</f>
        <v>0</v>
      </c>
      <c r="I134" s="856">
        <f>G131+G132+G133+G134</f>
        <v>24</v>
      </c>
      <c r="J134" s="839">
        <f>H134/DAY(B2)</f>
        <v>0</v>
      </c>
      <c r="O134" s="841"/>
    </row>
    <row r="135" spans="1:15">
      <c r="A135" s="863" t="s">
        <v>298</v>
      </c>
      <c r="B135" s="864"/>
      <c r="C135" s="864"/>
      <c r="D135" s="834" t="s">
        <v>294</v>
      </c>
      <c r="E135" s="1340">
        <f>'23'!F135</f>
        <v>41661.39</v>
      </c>
      <c r="F135" s="986">
        <v>41661.39</v>
      </c>
      <c r="G135" s="945">
        <f t="shared" si="15"/>
        <v>0</v>
      </c>
      <c r="H135" s="837">
        <f>G135+'23'!H135</f>
        <v>24</v>
      </c>
      <c r="I135" s="856"/>
      <c r="J135" s="839">
        <f>H135/DAY(B2)</f>
        <v>1</v>
      </c>
      <c r="O135" s="841"/>
    </row>
    <row r="136" spans="1:15">
      <c r="A136" s="863" t="s">
        <v>299</v>
      </c>
      <c r="B136" s="864"/>
      <c r="C136" s="864"/>
      <c r="D136" s="834" t="s">
        <v>294</v>
      </c>
      <c r="E136" s="1340">
        <f>'23'!F136</f>
        <v>32582.93</v>
      </c>
      <c r="F136" s="986">
        <v>32582.93</v>
      </c>
      <c r="G136" s="945">
        <f t="shared" si="15"/>
        <v>0</v>
      </c>
      <c r="H136" s="837">
        <f>G136+'23'!H136</f>
        <v>13</v>
      </c>
      <c r="I136" s="856"/>
      <c r="J136" s="839">
        <f>H136/DAY(B2)</f>
        <v>0.54166666666666663</v>
      </c>
      <c r="O136" s="841"/>
    </row>
    <row r="137" spans="1:15">
      <c r="A137" s="863" t="s">
        <v>300</v>
      </c>
      <c r="B137" s="864"/>
      <c r="C137" s="864"/>
      <c r="D137" s="834" t="s">
        <v>294</v>
      </c>
      <c r="E137" s="1340">
        <f>'23'!F137</f>
        <v>22783.45</v>
      </c>
      <c r="F137" s="986">
        <v>22783.45</v>
      </c>
      <c r="G137" s="945">
        <f t="shared" si="15"/>
        <v>0</v>
      </c>
      <c r="H137" s="837">
        <f>G137+'23'!H137</f>
        <v>-23.790000000000873</v>
      </c>
      <c r="I137" s="856">
        <f>G135+G136+G137</f>
        <v>0</v>
      </c>
      <c r="J137" s="839">
        <f>H137/DAY(B2)</f>
        <v>-0.99125000000003638</v>
      </c>
      <c r="O137" s="841"/>
    </row>
    <row r="138" spans="1:15">
      <c r="A138" s="863" t="s">
        <v>301</v>
      </c>
      <c r="B138" s="864"/>
      <c r="C138" s="864"/>
      <c r="D138" s="834" t="s">
        <v>294</v>
      </c>
      <c r="E138" s="835">
        <f>'23'!F138</f>
        <v>25051.72</v>
      </c>
      <c r="F138" s="986">
        <v>25051.72</v>
      </c>
      <c r="G138" s="836">
        <f t="shared" si="15"/>
        <v>0</v>
      </c>
      <c r="H138" s="837">
        <f>G138+'23'!H138</f>
        <v>8</v>
      </c>
      <c r="I138" s="856"/>
      <c r="J138" s="839">
        <f>H138/DAY(B2)</f>
        <v>0.33333333333333331</v>
      </c>
      <c r="O138" s="841"/>
    </row>
    <row r="139" spans="1:15">
      <c r="A139" s="863" t="s">
        <v>302</v>
      </c>
      <c r="B139" s="864"/>
      <c r="C139" s="864"/>
      <c r="D139" s="834" t="s">
        <v>294</v>
      </c>
      <c r="E139" s="835">
        <f>'23'!F139</f>
        <v>70379.100000000006</v>
      </c>
      <c r="F139" s="986">
        <v>70389.350000000006</v>
      </c>
      <c r="G139" s="836">
        <f t="shared" si="15"/>
        <v>10.25</v>
      </c>
      <c r="H139" s="837">
        <f>G139+'23'!H139</f>
        <v>25.25</v>
      </c>
      <c r="I139" s="856">
        <f>G138+G139</f>
        <v>10.25</v>
      </c>
      <c r="J139" s="839">
        <f>H139/DAY(B2)</f>
        <v>1.0520833333333333</v>
      </c>
      <c r="O139" s="841"/>
    </row>
    <row r="140" spans="1:15">
      <c r="A140" s="863" t="s">
        <v>303</v>
      </c>
      <c r="B140" s="864"/>
      <c r="C140" s="864"/>
      <c r="D140" s="834" t="s">
        <v>294</v>
      </c>
      <c r="E140" s="835">
        <f>'23'!F140</f>
        <v>1793.19</v>
      </c>
      <c r="F140" s="865">
        <v>1801.71</v>
      </c>
      <c r="G140" s="836">
        <f t="shared" si="15"/>
        <v>8.5199999999999818</v>
      </c>
      <c r="H140" s="837">
        <f>G140+'23'!H140</f>
        <v>-52.589999999999918</v>
      </c>
      <c r="I140" s="987"/>
      <c r="J140" s="839">
        <f>H140/DAY(B2)</f>
        <v>-2.1912499999999966</v>
      </c>
      <c r="O140" s="841"/>
    </row>
    <row r="141" spans="1:15">
      <c r="A141" s="863" t="s">
        <v>304</v>
      </c>
      <c r="B141" s="864"/>
      <c r="C141" s="864"/>
      <c r="D141" s="834" t="s">
        <v>294</v>
      </c>
      <c r="E141" s="835">
        <f>'23'!F141</f>
        <v>4636.88</v>
      </c>
      <c r="F141" s="865">
        <v>4636.58</v>
      </c>
      <c r="G141" s="836">
        <f t="shared" si="15"/>
        <v>-0.3000000000001819</v>
      </c>
      <c r="H141" s="837">
        <f>G141+'23'!H141</f>
        <v>-0.42000000000007276</v>
      </c>
      <c r="I141" s="987"/>
      <c r="J141" s="839">
        <f>H141/DAY(B2)</f>
        <v>-1.750000000000303E-2</v>
      </c>
      <c r="O141" s="841"/>
    </row>
    <row r="142" spans="1:15">
      <c r="A142" s="1563" t="s">
        <v>305</v>
      </c>
      <c r="B142" s="1564"/>
      <c r="C142" s="829"/>
      <c r="D142" s="829"/>
      <c r="E142" s="829"/>
      <c r="F142" s="829"/>
      <c r="G142" s="861"/>
      <c r="H142" s="861"/>
      <c r="I142" s="861"/>
      <c r="J142" s="980"/>
      <c r="K142" s="935"/>
      <c r="L142" s="814"/>
      <c r="O142" s="841"/>
    </row>
    <row r="143" spans="1:15">
      <c r="A143" s="1539" t="s">
        <v>306</v>
      </c>
      <c r="B143" s="1540"/>
      <c r="C143" s="1541"/>
      <c r="D143" s="834" t="s">
        <v>198</v>
      </c>
      <c r="E143" s="834"/>
      <c r="F143" s="834"/>
      <c r="G143" s="837">
        <f>G35+G43+G49+G57</f>
        <v>4352.6800000000512</v>
      </c>
      <c r="H143" s="837">
        <f>G143+'23'!H143</f>
        <v>-33527.159999999916</v>
      </c>
      <c r="I143" s="856"/>
      <c r="J143" s="839">
        <f>H143/DAY(B2)</f>
        <v>-1396.9649999999965</v>
      </c>
      <c r="K143" s="935"/>
      <c r="L143" s="814"/>
      <c r="O143" s="841"/>
    </row>
    <row r="144" spans="1:15">
      <c r="A144" s="1539" t="s">
        <v>307</v>
      </c>
      <c r="B144" s="1540"/>
      <c r="C144" s="1541"/>
      <c r="D144" s="834" t="s">
        <v>58</v>
      </c>
      <c r="E144" s="821"/>
      <c r="F144" s="821"/>
      <c r="G144" s="988">
        <f>G143/G7</f>
        <v>0.25604000000000299</v>
      </c>
      <c r="H144" s="837">
        <f>G144+'23'!H144</f>
        <v>-2.0844923267837521</v>
      </c>
      <c r="I144" s="989"/>
      <c r="J144" s="839">
        <f>H144/DAY(B2)</f>
        <v>-8.6853846949323008E-2</v>
      </c>
      <c r="K144" s="935"/>
      <c r="L144" s="814"/>
      <c r="O144" s="841"/>
    </row>
    <row r="145" spans="1:15">
      <c r="A145" s="1539" t="s">
        <v>308</v>
      </c>
      <c r="B145" s="1540"/>
      <c r="C145" s="1541"/>
      <c r="D145" s="834" t="s">
        <v>198</v>
      </c>
      <c r="E145" s="835"/>
      <c r="F145" s="835"/>
      <c r="G145" s="837">
        <f>G41+G42+G55+G56</f>
        <v>5182.0400000000445</v>
      </c>
      <c r="H145" s="837">
        <f>G145+'23'!H145</f>
        <v>-36570.03</v>
      </c>
      <c r="I145" s="856"/>
      <c r="J145" s="839">
        <f>H145/DAY(B2)</f>
        <v>-1523.75125</v>
      </c>
      <c r="K145" s="935"/>
      <c r="L145" s="814"/>
      <c r="O145" s="841"/>
    </row>
    <row r="146" spans="1:15">
      <c r="A146" s="1539" t="s">
        <v>309</v>
      </c>
      <c r="B146" s="1540"/>
      <c r="C146" s="1541"/>
      <c r="D146" s="834" t="s">
        <v>58</v>
      </c>
      <c r="E146" s="835"/>
      <c r="F146" s="835"/>
      <c r="G146" s="988">
        <f>G145/G7</f>
        <v>0.30482588235294378</v>
      </c>
      <c r="H146" s="837">
        <f>G146+'23'!H146</f>
        <v>-2.2879794493097063</v>
      </c>
      <c r="I146" s="989"/>
      <c r="J146" s="839">
        <f>H146/DAY(B2)</f>
        <v>-9.5332477054571096E-2</v>
      </c>
      <c r="K146" s="935"/>
      <c r="L146" s="814"/>
      <c r="O146" s="841"/>
    </row>
    <row r="147" spans="1:15">
      <c r="A147" s="1539" t="s">
        <v>310</v>
      </c>
      <c r="B147" s="1540"/>
      <c r="C147" s="1541"/>
      <c r="D147" s="834" t="s">
        <v>198</v>
      </c>
      <c r="E147" s="835"/>
      <c r="F147" s="835"/>
      <c r="G147" s="837">
        <f>G39+G53</f>
        <v>2764.8800000000629</v>
      </c>
      <c r="H147" s="837">
        <f>G147+'23'!H147</f>
        <v>-19276.459999999963</v>
      </c>
      <c r="I147" s="990"/>
      <c r="J147" s="839">
        <f>H147/DAY(B2)</f>
        <v>-803.18583333333174</v>
      </c>
      <c r="K147" s="935"/>
      <c r="L147" s="814"/>
      <c r="O147" s="841"/>
    </row>
    <row r="148" spans="1:15">
      <c r="A148" s="1539" t="s">
        <v>311</v>
      </c>
      <c r="B148" s="1540"/>
      <c r="C148" s="1541"/>
      <c r="D148" s="834" t="s">
        <v>58</v>
      </c>
      <c r="E148" s="835"/>
      <c r="F148" s="835"/>
      <c r="G148" s="988">
        <f>G147/G7</f>
        <v>0.1626400000000037</v>
      </c>
      <c r="H148" s="837">
        <f>G148+'23'!H148</f>
        <v>-1.2114831992103072</v>
      </c>
      <c r="I148" s="990"/>
      <c r="J148" s="839">
        <f>H148/DAY(B2)</f>
        <v>-5.0478466633762799E-2</v>
      </c>
      <c r="O148" s="841"/>
    </row>
    <row r="149" spans="1:15">
      <c r="A149" s="1539" t="s">
        <v>312</v>
      </c>
      <c r="B149" s="1540"/>
      <c r="C149" s="1541"/>
      <c r="D149" s="834" t="s">
        <v>248</v>
      </c>
      <c r="E149" s="835"/>
      <c r="F149" s="835"/>
      <c r="G149" s="837">
        <f>G38+G52</f>
        <v>1238.2799999999988</v>
      </c>
      <c r="H149" s="837">
        <f>G149+'23'!H149</f>
        <v>-8608.2200000000594</v>
      </c>
      <c r="I149" s="856"/>
      <c r="J149" s="839">
        <f>H149/DAY(B2)</f>
        <v>-358.67583333333579</v>
      </c>
      <c r="K149" s="991"/>
      <c r="O149" s="841"/>
    </row>
    <row r="150" spans="1:15">
      <c r="A150" s="1539" t="s">
        <v>313</v>
      </c>
      <c r="B150" s="1540"/>
      <c r="C150" s="1541"/>
      <c r="D150" s="834" t="s">
        <v>58</v>
      </c>
      <c r="E150" s="835"/>
      <c r="F150" s="835"/>
      <c r="G150" s="988">
        <f>G149/G7</f>
        <v>7.2839999999999933E-2</v>
      </c>
      <c r="H150" s="837">
        <f>G150+'23'!H150</f>
        <v>-0.53856062886296097</v>
      </c>
      <c r="I150" s="990"/>
      <c r="J150" s="839">
        <f>H150/DAY(B2)</f>
        <v>-2.2440026202623375E-2</v>
      </c>
      <c r="O150" s="841"/>
    </row>
    <row r="151" spans="1:15">
      <c r="A151" s="1539" t="s">
        <v>314</v>
      </c>
      <c r="B151" s="1540"/>
      <c r="C151" s="1541"/>
      <c r="D151" s="834" t="s">
        <v>248</v>
      </c>
      <c r="E151" s="835"/>
      <c r="F151" s="835"/>
      <c r="G151" s="837">
        <f>G36+G50</f>
        <v>864.44000000000233</v>
      </c>
      <c r="H151" s="837">
        <f>G151+'23'!H151</f>
        <v>340264.59</v>
      </c>
      <c r="I151" s="990"/>
      <c r="J151" s="839">
        <f>H151/DAY(B2)</f>
        <v>14177.691250000002</v>
      </c>
      <c r="O151" s="841"/>
    </row>
    <row r="152" spans="1:15">
      <c r="A152" s="1539" t="s">
        <v>315</v>
      </c>
      <c r="B152" s="1540"/>
      <c r="C152" s="1541"/>
      <c r="D152" s="834" t="s">
        <v>58</v>
      </c>
      <c r="E152" s="835"/>
      <c r="F152" s="835"/>
      <c r="G152" s="988">
        <f>G151/G7</f>
        <v>5.0849411764706018E-2</v>
      </c>
      <c r="H152" s="837">
        <f>G152+'23'!H152</f>
        <v>19.974280350904834</v>
      </c>
      <c r="I152" s="856"/>
      <c r="J152" s="839">
        <f>H152/DAY(B2)</f>
        <v>0.83226168128770139</v>
      </c>
      <c r="O152" s="841"/>
    </row>
    <row r="153" spans="1:15">
      <c r="A153" s="1539" t="s">
        <v>316</v>
      </c>
      <c r="B153" s="1540"/>
      <c r="C153" s="1541"/>
      <c r="D153" s="834" t="s">
        <v>248</v>
      </c>
      <c r="E153" s="835"/>
      <c r="F153" s="835"/>
      <c r="G153" s="837">
        <f>G37+G51</f>
        <v>1287.3700000000099</v>
      </c>
      <c r="H153" s="837">
        <f>G153+'23'!H153</f>
        <v>-9083.25</v>
      </c>
      <c r="I153" s="856"/>
      <c r="J153" s="839">
        <f>H153/DAY(B2)</f>
        <v>-378.46875</v>
      </c>
      <c r="O153" s="841"/>
    </row>
    <row r="154" spans="1:15" ht="21" thickBot="1">
      <c r="A154" s="1565" t="s">
        <v>317</v>
      </c>
      <c r="B154" s="1566"/>
      <c r="C154" s="1567"/>
      <c r="D154" s="992" t="s">
        <v>58</v>
      </c>
      <c r="E154" s="993"/>
      <c r="F154" s="993"/>
      <c r="G154" s="994">
        <f>G153/G7</f>
        <v>7.5727647058824107E-2</v>
      </c>
      <c r="H154" s="837">
        <f>G154+'23'!H154</f>
        <v>-0.5653507125448981</v>
      </c>
      <c r="I154" s="995"/>
      <c r="J154" s="996">
        <f>H154/DAY(B2)</f>
        <v>-2.3556279689370754E-2</v>
      </c>
      <c r="O154" s="841"/>
    </row>
    <row r="155" spans="1:15">
      <c r="A155" s="997"/>
      <c r="B155" s="997"/>
      <c r="C155" s="997"/>
      <c r="D155" s="997"/>
      <c r="E155" s="997"/>
      <c r="F155" s="997"/>
      <c r="G155" s="997"/>
      <c r="H155" s="998"/>
      <c r="I155" s="997"/>
      <c r="J155" s="999"/>
      <c r="O155" s="841"/>
    </row>
    <row r="161" spans="1:7">
      <c r="A161" s="987" t="s">
        <v>318</v>
      </c>
      <c r="B161" s="987"/>
      <c r="C161" s="987"/>
      <c r="D161" s="821" t="s">
        <v>253</v>
      </c>
      <c r="E161" s="835">
        <f>'23'!F161</f>
        <v>37780.239999999998</v>
      </c>
      <c r="F161" s="1011">
        <v>37863.18</v>
      </c>
      <c r="G161" s="836">
        <f t="shared" ref="G161:G164" si="16">F161-E161</f>
        <v>82.940000000002328</v>
      </c>
    </row>
    <row r="162" spans="1:7" ht="21.75" customHeight="1">
      <c r="A162" s="987" t="s">
        <v>319</v>
      </c>
      <c r="B162" s="987"/>
      <c r="C162" s="987"/>
      <c r="D162" s="821" t="s">
        <v>253</v>
      </c>
      <c r="E162" s="835">
        <f>'23'!F162</f>
        <v>91687.55</v>
      </c>
      <c r="F162" s="1011">
        <v>92088.62</v>
      </c>
      <c r="G162" s="836">
        <f t="shared" si="16"/>
        <v>401.06999999999243</v>
      </c>
    </row>
    <row r="163" spans="1:7" ht="21.75" customHeight="1">
      <c r="A163" s="987" t="s">
        <v>320</v>
      </c>
      <c r="B163" s="987"/>
      <c r="C163" s="987"/>
      <c r="D163" s="821" t="s">
        <v>253</v>
      </c>
      <c r="E163" s="835">
        <f>'23'!F163</f>
        <v>43301.7</v>
      </c>
      <c r="F163" s="1011">
        <v>43511.01</v>
      </c>
      <c r="G163" s="836">
        <f t="shared" si="16"/>
        <v>209.31000000000495</v>
      </c>
    </row>
    <row r="164" spans="1:7" ht="21.75" customHeight="1">
      <c r="A164" s="987" t="s">
        <v>321</v>
      </c>
      <c r="B164" s="987"/>
      <c r="C164" s="987"/>
      <c r="D164" s="821" t="s">
        <v>253</v>
      </c>
      <c r="E164" s="835">
        <f>'23'!F164</f>
        <v>6501.17</v>
      </c>
      <c r="F164" s="1011">
        <v>6509.7</v>
      </c>
      <c r="G164" s="836">
        <f t="shared" si="16"/>
        <v>8.5299999999997453</v>
      </c>
    </row>
    <row r="165" spans="1:7" ht="21.75" customHeight="1">
      <c r="A165" s="917" t="s">
        <v>252</v>
      </c>
      <c r="B165" s="917"/>
      <c r="C165" s="917"/>
      <c r="D165" s="821" t="s">
        <v>253</v>
      </c>
      <c r="E165" s="918">
        <f>E62</f>
        <v>20419</v>
      </c>
      <c r="F165" s="918">
        <f>F62</f>
        <v>20419</v>
      </c>
      <c r="G165" s="836">
        <f t="shared" ref="G165:G172" si="17">F165-E165</f>
        <v>0</v>
      </c>
    </row>
    <row r="166" spans="1:7" ht="21.75" customHeight="1">
      <c r="A166" s="917" t="s">
        <v>254</v>
      </c>
      <c r="B166" s="917"/>
      <c r="C166" s="917"/>
      <c r="D166" s="821" t="s">
        <v>253</v>
      </c>
      <c r="E166" s="918">
        <f t="shared" ref="E166:E172" si="18">E63</f>
        <v>2445.87</v>
      </c>
      <c r="F166" s="918">
        <f t="shared" ref="F166:F172" si="19">F63</f>
        <v>2449.7199999999998</v>
      </c>
      <c r="G166" s="836">
        <f t="shared" si="17"/>
        <v>3.8499999999999091</v>
      </c>
    </row>
    <row r="167" spans="1:7" ht="21.75" customHeight="1">
      <c r="A167" s="1583" t="s">
        <v>161</v>
      </c>
      <c r="B167" s="1583"/>
      <c r="C167" s="1583"/>
      <c r="D167" s="834" t="s">
        <v>253</v>
      </c>
      <c r="E167" s="918">
        <f t="shared" si="18"/>
        <v>158385.74</v>
      </c>
      <c r="F167" s="918">
        <f t="shared" si="19"/>
        <v>158599.99</v>
      </c>
      <c r="G167" s="836">
        <f t="shared" si="17"/>
        <v>214.25</v>
      </c>
    </row>
    <row r="168" spans="1:7" ht="21.75" customHeight="1">
      <c r="A168" s="1583" t="s">
        <v>162</v>
      </c>
      <c r="B168" s="1583"/>
      <c r="C168" s="1583"/>
      <c r="D168" s="834" t="s">
        <v>253</v>
      </c>
      <c r="E168" s="918">
        <f t="shared" si="18"/>
        <v>159251.1</v>
      </c>
      <c r="F168" s="918">
        <f t="shared" si="19"/>
        <v>159470.85</v>
      </c>
      <c r="G168" s="836">
        <f t="shared" si="17"/>
        <v>219.75</v>
      </c>
    </row>
    <row r="169" spans="1:7" ht="21.75" customHeight="1">
      <c r="A169" s="1583" t="s">
        <v>255</v>
      </c>
      <c r="B169" s="1583"/>
      <c r="C169" s="1583"/>
      <c r="D169" s="834" t="s">
        <v>253</v>
      </c>
      <c r="E169" s="918">
        <f t="shared" si="18"/>
        <v>54623.42</v>
      </c>
      <c r="F169" s="918">
        <f t="shared" si="19"/>
        <v>54926.18</v>
      </c>
      <c r="G169" s="836">
        <f t="shared" si="17"/>
        <v>302.76000000000204</v>
      </c>
    </row>
    <row r="170" spans="1:7">
      <c r="A170" s="1583" t="s">
        <v>157</v>
      </c>
      <c r="B170" s="1583"/>
      <c r="C170" s="1583"/>
      <c r="D170" s="834" t="s">
        <v>253</v>
      </c>
      <c r="E170" s="918">
        <f t="shared" si="18"/>
        <v>248708.17</v>
      </c>
      <c r="F170" s="918">
        <f t="shared" si="19"/>
        <v>249138.4</v>
      </c>
      <c r="G170" s="836">
        <f t="shared" si="17"/>
        <v>430.22999999998137</v>
      </c>
    </row>
    <row r="171" spans="1:7" ht="24" customHeight="1">
      <c r="A171" s="1583" t="s">
        <v>164</v>
      </c>
      <c r="B171" s="1583"/>
      <c r="C171" s="1583"/>
      <c r="D171" s="834" t="s">
        <v>253</v>
      </c>
      <c r="E171" s="918">
        <f t="shared" si="18"/>
        <v>85321</v>
      </c>
      <c r="F171" s="918">
        <f t="shared" si="19"/>
        <v>85321</v>
      </c>
      <c r="G171" s="836">
        <f t="shared" si="17"/>
        <v>0</v>
      </c>
    </row>
    <row r="172" spans="1:7">
      <c r="A172" s="1583" t="s">
        <v>165</v>
      </c>
      <c r="B172" s="1583"/>
      <c r="C172" s="1583"/>
      <c r="D172" s="834" t="s">
        <v>253</v>
      </c>
      <c r="E172" s="918">
        <f t="shared" si="18"/>
        <v>80895.100000000006</v>
      </c>
      <c r="F172" s="918">
        <f t="shared" si="19"/>
        <v>80980.38</v>
      </c>
      <c r="G172" s="836">
        <f t="shared" si="17"/>
        <v>85.279999999998836</v>
      </c>
    </row>
    <row r="173" spans="1:7">
      <c r="G173" s="1002">
        <f>SUM(G161:G172)</f>
        <v>1957.9699999999816</v>
      </c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3" zoomScale="70" zoomScaleNormal="49" zoomScaleSheetLayoutView="70" workbookViewId="0">
      <selection activeCell="A33" sqref="A33:J33"/>
    </sheetView>
  </sheetViews>
  <sheetFormatPr defaultColWidth="22.33203125" defaultRowHeight="20.25"/>
  <cols>
    <col min="1" max="1" width="51.21875" style="1000" customWidth="1"/>
    <col min="2" max="2" width="24.88671875" style="1000" customWidth="1"/>
    <col min="3" max="3" width="12.44140625" style="1000" customWidth="1"/>
    <col min="4" max="4" width="13.6640625" style="1000" customWidth="1"/>
    <col min="5" max="5" width="28.109375" style="1000" customWidth="1"/>
    <col min="6" max="6" width="23.77734375" style="1379" customWidth="1"/>
    <col min="7" max="7" width="18.44140625" style="1000" customWidth="1"/>
    <col min="8" max="8" width="39.21875" style="1001" customWidth="1"/>
    <col min="9" max="9" width="12" style="1000" bestFit="1" customWidth="1"/>
    <col min="10" max="10" width="24" style="1002" customWidth="1"/>
    <col min="11" max="11" width="43.21875" style="801" hidden="1" customWidth="1"/>
    <col min="12" max="13" width="0" style="801" hidden="1" customWidth="1"/>
    <col min="14" max="14" width="25.109375" style="1003" customWidth="1"/>
    <col min="15" max="15" width="8" style="801" bestFit="1" customWidth="1"/>
    <col min="16" max="16384" width="22.33203125" style="801"/>
  </cols>
  <sheetData>
    <row r="1" spans="1:15" ht="22.5">
      <c r="A1" s="1528" t="s">
        <v>322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>
      <c r="A2" s="802" t="s">
        <v>323</v>
      </c>
      <c r="B2" s="1073">
        <v>43976</v>
      </c>
      <c r="C2" s="803" t="s">
        <v>111</v>
      </c>
      <c r="D2" s="1016">
        <v>0.54</v>
      </c>
      <c r="E2" s="805"/>
      <c r="F2" s="1363"/>
      <c r="G2" s="805" t="s">
        <v>184</v>
      </c>
      <c r="H2" s="805" t="s">
        <v>40</v>
      </c>
      <c r="I2" s="805" t="s">
        <v>42</v>
      </c>
      <c r="J2" s="806" t="s">
        <v>185</v>
      </c>
    </row>
    <row r="3" spans="1:15">
      <c r="A3" s="807"/>
      <c r="B3" s="808"/>
      <c r="C3" s="803" t="s">
        <v>186</v>
      </c>
      <c r="D3" s="803">
        <v>31</v>
      </c>
      <c r="E3" s="1537" t="s">
        <v>187</v>
      </c>
      <c r="F3" s="1538"/>
      <c r="G3" s="810">
        <f>'1'!G3</f>
        <v>0</v>
      </c>
      <c r="H3" s="811">
        <f>'1'!H3</f>
        <v>0</v>
      </c>
      <c r="I3" s="811">
        <f>'1'!I3</f>
        <v>0</v>
      </c>
      <c r="J3" s="812">
        <f>'1'!J3</f>
        <v>0</v>
      </c>
      <c r="K3" s="813"/>
      <c r="L3" s="814"/>
    </row>
    <row r="4" spans="1:15">
      <c r="A4" s="815"/>
      <c r="B4" s="816"/>
      <c r="C4" s="803" t="s">
        <v>188</v>
      </c>
      <c r="D4" s="1016">
        <v>0.8</v>
      </c>
      <c r="E4" s="817"/>
      <c r="F4" s="1340"/>
      <c r="G4" s="817"/>
      <c r="H4" s="817"/>
      <c r="I4" s="818"/>
      <c r="J4" s="812"/>
      <c r="K4" s="819"/>
      <c r="L4" s="814"/>
    </row>
    <row r="5" spans="1:15">
      <c r="A5" s="820" t="s">
        <v>189</v>
      </c>
      <c r="B5" s="821"/>
      <c r="C5" s="821"/>
      <c r="D5" s="821" t="s">
        <v>190</v>
      </c>
      <c r="E5" s="822" t="s">
        <v>191</v>
      </c>
      <c r="F5" s="1364" t="s">
        <v>177</v>
      </c>
      <c r="G5" s="823" t="s">
        <v>192</v>
      </c>
      <c r="H5" s="824" t="s">
        <v>193</v>
      </c>
      <c r="I5" s="825" t="s">
        <v>194</v>
      </c>
      <c r="J5" s="826" t="s">
        <v>195</v>
      </c>
      <c r="K5" s="827"/>
      <c r="L5" s="814"/>
    </row>
    <row r="6" spans="1:15">
      <c r="A6" s="1531" t="s">
        <v>196</v>
      </c>
      <c r="B6" s="1532"/>
      <c r="C6" s="1533"/>
      <c r="D6" s="828"/>
      <c r="E6" s="828"/>
      <c r="F6" s="1363"/>
      <c r="G6" s="828"/>
      <c r="H6" s="829"/>
      <c r="I6" s="829"/>
      <c r="J6" s="830"/>
      <c r="K6" s="831"/>
      <c r="L6" s="814"/>
    </row>
    <row r="7" spans="1:15" ht="21" thickBot="1">
      <c r="A7" s="832" t="s">
        <v>197</v>
      </c>
      <c r="B7" s="833"/>
      <c r="C7" s="833"/>
      <c r="D7" s="834" t="s">
        <v>198</v>
      </c>
      <c r="E7" s="835">
        <f>'24'!F7</f>
        <v>759941</v>
      </c>
      <c r="F7" s="1340">
        <f>E7+17000</f>
        <v>776941</v>
      </c>
      <c r="G7" s="836">
        <f>F7-E7</f>
        <v>17000</v>
      </c>
      <c r="H7" s="837">
        <f>G7+'24'!H7</f>
        <v>432529</v>
      </c>
      <c r="I7" s="838">
        <f>'1'!I7</f>
        <v>12000</v>
      </c>
      <c r="J7" s="839">
        <f>H7/DAY(B2)</f>
        <v>17301.16</v>
      </c>
      <c r="K7" s="840"/>
      <c r="L7" s="814"/>
      <c r="N7" s="1014">
        <f>G7/G8</f>
        <v>0.99125364431486884</v>
      </c>
      <c r="O7" s="841"/>
    </row>
    <row r="8" spans="1:15" ht="21" thickBot="1">
      <c r="A8" s="842" t="s">
        <v>199</v>
      </c>
      <c r="B8" s="843"/>
      <c r="C8" s="844"/>
      <c r="D8" s="845" t="s">
        <v>59</v>
      </c>
      <c r="E8" s="835">
        <f>'24'!F8</f>
        <v>764645</v>
      </c>
      <c r="F8" s="1365">
        <f>E8+17150</f>
        <v>781795</v>
      </c>
      <c r="G8" s="847">
        <f>F8-E8</f>
        <v>17150</v>
      </c>
      <c r="H8" s="837">
        <f>G8+'24'!H8</f>
        <v>435285</v>
      </c>
      <c r="I8" s="848">
        <f>'1'!I8</f>
        <v>12000</v>
      </c>
      <c r="J8" s="839">
        <f>H8/DAY(B2)</f>
        <v>17411.400000000001</v>
      </c>
      <c r="K8" s="840">
        <v>1375467</v>
      </c>
      <c r="L8" s="849">
        <v>1667461</v>
      </c>
      <c r="M8" s="850"/>
      <c r="O8" s="841"/>
    </row>
    <row r="9" spans="1:15">
      <c r="A9" s="851" t="s">
        <v>200</v>
      </c>
      <c r="B9" s="852"/>
      <c r="C9" s="852"/>
      <c r="D9" s="834" t="s">
        <v>198</v>
      </c>
      <c r="E9" s="835">
        <f>'24'!F9</f>
        <v>1881422</v>
      </c>
      <c r="F9" s="1366">
        <f>E9+16950</f>
        <v>1898372</v>
      </c>
      <c r="G9" s="836">
        <f t="shared" ref="G9:G12" si="0">F9-E9</f>
        <v>16950</v>
      </c>
      <c r="H9" s="837">
        <f>G9+'24'!H9</f>
        <v>424682</v>
      </c>
      <c r="I9" s="854">
        <f>I8-J8</f>
        <v>-5411.4000000000015</v>
      </c>
      <c r="J9" s="839">
        <f>H9/DAY(B2)</f>
        <v>16987.28</v>
      </c>
      <c r="K9" s="855"/>
      <c r="L9" s="814"/>
      <c r="O9" s="841"/>
    </row>
    <row r="10" spans="1:15">
      <c r="A10" s="832" t="s">
        <v>201</v>
      </c>
      <c r="B10" s="833"/>
      <c r="C10" s="833"/>
      <c r="D10" s="834" t="s">
        <v>198</v>
      </c>
      <c r="E10" s="835">
        <f>'24'!F10</f>
        <v>0</v>
      </c>
      <c r="F10" s="1366"/>
      <c r="G10" s="836">
        <f t="shared" si="0"/>
        <v>0</v>
      </c>
      <c r="H10" s="837">
        <f>G10+'24'!H10</f>
        <v>-2606.13</v>
      </c>
      <c r="I10" s="856"/>
      <c r="J10" s="839">
        <f>H10/DAY(B2)</f>
        <v>-104.24520000000001</v>
      </c>
      <c r="K10" s="855"/>
      <c r="L10" s="814">
        <f>L8-K8</f>
        <v>291994</v>
      </c>
      <c r="O10" s="841"/>
    </row>
    <row r="11" spans="1:15">
      <c r="A11" s="832" t="s">
        <v>202</v>
      </c>
      <c r="B11" s="833"/>
      <c r="C11" s="833"/>
      <c r="D11" s="834" t="s">
        <v>198</v>
      </c>
      <c r="E11" s="835">
        <f>'5'!E11</f>
        <v>37000</v>
      </c>
      <c r="F11" s="1340">
        <v>37000</v>
      </c>
      <c r="G11" s="836">
        <f t="shared" si="0"/>
        <v>0</v>
      </c>
      <c r="H11" s="837">
        <f>G11+'24'!H11</f>
        <v>0</v>
      </c>
      <c r="I11" s="856"/>
      <c r="J11" s="839">
        <f>H11/DAY(B2)</f>
        <v>0</v>
      </c>
      <c r="K11" s="855"/>
      <c r="L11" s="814"/>
      <c r="N11" s="1015">
        <f>G7*N7</f>
        <v>16851.311953352772</v>
      </c>
      <c r="O11" s="841"/>
    </row>
    <row r="12" spans="1:15">
      <c r="A12" s="832" t="s">
        <v>203</v>
      </c>
      <c r="B12" s="833"/>
      <c r="C12" s="833"/>
      <c r="D12" s="834" t="s">
        <v>198</v>
      </c>
      <c r="E12" s="835">
        <f>'5'!E12</f>
        <v>40010</v>
      </c>
      <c r="F12" s="1366">
        <v>40010</v>
      </c>
      <c r="G12" s="836">
        <f t="shared" si="0"/>
        <v>0</v>
      </c>
      <c r="H12" s="837">
        <f>G12+'24'!H12</f>
        <v>0</v>
      </c>
      <c r="I12" s="856"/>
      <c r="J12" s="839">
        <f>H12/DAY(B2)</f>
        <v>0</v>
      </c>
      <c r="K12" s="855"/>
      <c r="L12" s="814"/>
      <c r="O12" s="841"/>
    </row>
    <row r="13" spans="1:15">
      <c r="A13" s="857" t="s">
        <v>204</v>
      </c>
      <c r="B13" s="858"/>
      <c r="C13" s="858"/>
      <c r="D13" s="834"/>
      <c r="E13" s="835"/>
      <c r="F13" s="1340"/>
      <c r="G13" s="859">
        <f>G9+G10+G11+G12</f>
        <v>16950</v>
      </c>
      <c r="H13" s="837">
        <f>G13+'24'!H13</f>
        <v>405550.87</v>
      </c>
      <c r="I13" s="860">
        <f>G7-G13</f>
        <v>50</v>
      </c>
      <c r="J13" s="839">
        <f>H13/DAY(B2)</f>
        <v>16222.034799999999</v>
      </c>
      <c r="K13" s="855"/>
      <c r="L13" s="814">
        <f>L10-H7</f>
        <v>-140535</v>
      </c>
      <c r="O13" s="841"/>
    </row>
    <row r="14" spans="1:15">
      <c r="A14" s="1534" t="s">
        <v>205</v>
      </c>
      <c r="B14" s="1535"/>
      <c r="C14" s="1536"/>
      <c r="D14" s="829"/>
      <c r="E14" s="829"/>
      <c r="F14" s="934"/>
      <c r="G14" s="861"/>
      <c r="H14" s="829"/>
      <c r="I14" s="829"/>
      <c r="J14" s="830"/>
      <c r="K14" s="862"/>
      <c r="L14" s="814"/>
      <c r="O14" s="841"/>
    </row>
    <row r="15" spans="1:15">
      <c r="A15" s="863" t="s">
        <v>133</v>
      </c>
      <c r="B15" s="864"/>
      <c r="C15" s="864"/>
      <c r="D15" s="834" t="s">
        <v>206</v>
      </c>
      <c r="E15" s="835">
        <f>'24'!F15</f>
        <v>1696882</v>
      </c>
      <c r="F15" s="986">
        <f>E15+550</f>
        <v>1697432</v>
      </c>
      <c r="G15" s="1012">
        <f>(F15-E15)</f>
        <v>550</v>
      </c>
      <c r="H15" s="837">
        <f>G15+'24'!H15</f>
        <v>12908</v>
      </c>
      <c r="I15" s="838">
        <f>'1'!I15</f>
        <v>800</v>
      </c>
      <c r="J15" s="839">
        <f>H15/DAY(B2)</f>
        <v>516.32000000000005</v>
      </c>
      <c r="K15" s="855"/>
      <c r="L15" s="814"/>
      <c r="O15" s="841"/>
    </row>
    <row r="16" spans="1:15">
      <c r="A16" s="866"/>
      <c r="B16" s="867"/>
      <c r="C16" s="867"/>
      <c r="D16" s="868"/>
      <c r="E16" s="869"/>
      <c r="F16" s="1366"/>
      <c r="G16" s="836"/>
      <c r="H16" s="870"/>
      <c r="I16" s="871">
        <f>I15-J15</f>
        <v>283.67999999999995</v>
      </c>
      <c r="J16" s="872"/>
      <c r="K16" s="855"/>
      <c r="L16" s="814"/>
      <c r="O16" s="841">
        <f>580-990</f>
        <v>-410</v>
      </c>
    </row>
    <row r="17" spans="1:15">
      <c r="A17" s="1534" t="s">
        <v>207</v>
      </c>
      <c r="B17" s="1535"/>
      <c r="C17" s="1536"/>
      <c r="D17" s="829"/>
      <c r="E17" s="829"/>
      <c r="F17" s="934"/>
      <c r="G17" s="873"/>
      <c r="H17" s="829"/>
      <c r="I17" s="829"/>
      <c r="J17" s="830"/>
      <c r="K17" s="855"/>
      <c r="L17" s="814"/>
      <c r="O17" s="1257">
        <f>O16*3</f>
        <v>-1230</v>
      </c>
    </row>
    <row r="18" spans="1:15">
      <c r="A18" s="1539" t="s">
        <v>208</v>
      </c>
      <c r="B18" s="1540"/>
      <c r="C18" s="1541"/>
      <c r="D18" s="834" t="s">
        <v>209</v>
      </c>
      <c r="E18" s="835">
        <f>'24'!F18</f>
        <v>5</v>
      </c>
      <c r="F18" s="986">
        <v>6</v>
      </c>
      <c r="G18" s="859">
        <f>F18*10</f>
        <v>60</v>
      </c>
      <c r="H18" s="837">
        <f>G18+'24'!H18</f>
        <v>1240</v>
      </c>
      <c r="I18" s="838">
        <f>'1'!I18</f>
        <v>65</v>
      </c>
      <c r="J18" s="839">
        <f>H18/DAY(B2)</f>
        <v>49.6</v>
      </c>
      <c r="K18" s="855"/>
      <c r="L18" s="814"/>
      <c r="O18" s="841"/>
    </row>
    <row r="19" spans="1:15">
      <c r="A19" s="1539" t="s">
        <v>113</v>
      </c>
      <c r="B19" s="1540"/>
      <c r="C19" s="1541"/>
      <c r="D19" s="834" t="s">
        <v>209</v>
      </c>
      <c r="E19" s="835">
        <f>'24'!F19</f>
        <v>139202</v>
      </c>
      <c r="F19" s="986">
        <v>139262</v>
      </c>
      <c r="G19" s="836">
        <f t="shared" ref="G19" si="1">F19-E19</f>
        <v>60</v>
      </c>
      <c r="H19" s="837">
        <f>G19+'24'!H19</f>
        <v>-350</v>
      </c>
      <c r="I19" s="874"/>
      <c r="J19" s="839">
        <f>H19/DAY(B2)</f>
        <v>-14</v>
      </c>
      <c r="K19" s="855"/>
      <c r="L19" s="814"/>
      <c r="O19" s="841"/>
    </row>
    <row r="20" spans="1:15">
      <c r="A20" s="857" t="s">
        <v>210</v>
      </c>
      <c r="B20" s="858"/>
      <c r="C20" s="858"/>
      <c r="D20" s="875"/>
      <c r="E20" s="875"/>
      <c r="F20" s="1367"/>
      <c r="G20" s="876">
        <f>G18+G19</f>
        <v>120</v>
      </c>
      <c r="H20" s="837">
        <f>G20+'24'!H20</f>
        <v>890</v>
      </c>
      <c r="I20" s="877">
        <f>I18-J20</f>
        <v>29.4</v>
      </c>
      <c r="J20" s="839">
        <f>H20/DAY(B2)</f>
        <v>35.6</v>
      </c>
      <c r="K20" s="855"/>
      <c r="L20" s="814"/>
      <c r="O20" s="841"/>
    </row>
    <row r="21" spans="1:15">
      <c r="A21" s="1534" t="s">
        <v>211</v>
      </c>
      <c r="B21" s="1535"/>
      <c r="C21" s="1536"/>
      <c r="D21" s="829"/>
      <c r="E21" s="829"/>
      <c r="F21" s="934"/>
      <c r="G21" s="861"/>
      <c r="H21" s="829"/>
      <c r="I21" s="829"/>
      <c r="J21" s="830"/>
      <c r="K21" s="855"/>
      <c r="L21" s="814"/>
      <c r="O21" s="841"/>
    </row>
    <row r="22" spans="1:15">
      <c r="A22" s="863" t="s">
        <v>212</v>
      </c>
      <c r="B22" s="864"/>
      <c r="C22" s="864"/>
      <c r="D22" s="834" t="s">
        <v>213</v>
      </c>
      <c r="E22" s="1255">
        <v>2970</v>
      </c>
      <c r="F22" s="986">
        <v>2970</v>
      </c>
      <c r="G22" s="1256">
        <f t="shared" ref="G22" si="2">(F22-E22)</f>
        <v>0</v>
      </c>
      <c r="H22" s="837">
        <f>G22+'24'!H22</f>
        <v>0</v>
      </c>
      <c r="I22" s="856"/>
      <c r="J22" s="839">
        <f>H22/DAY(B2)</f>
        <v>0</v>
      </c>
      <c r="K22" s="855"/>
      <c r="L22" s="814"/>
      <c r="O22" s="841"/>
    </row>
    <row r="23" spans="1:15">
      <c r="A23" s="863" t="s">
        <v>214</v>
      </c>
      <c r="B23" s="864"/>
      <c r="C23" s="864"/>
      <c r="D23" s="834" t="s">
        <v>213</v>
      </c>
      <c r="E23" s="865">
        <f>'24'!F23</f>
        <v>2000</v>
      </c>
      <c r="F23" s="986">
        <v>2000</v>
      </c>
      <c r="G23" s="859">
        <v>0</v>
      </c>
      <c r="H23" s="837">
        <f>G23+'24'!H23</f>
        <v>0</v>
      </c>
      <c r="I23" s="856"/>
      <c r="J23" s="839">
        <f>H23/DAY(B2)</f>
        <v>0</v>
      </c>
      <c r="K23" s="855"/>
      <c r="L23" s="814"/>
      <c r="O23" s="841"/>
    </row>
    <row r="24" spans="1:15">
      <c r="A24" s="878" t="s">
        <v>215</v>
      </c>
      <c r="B24" s="879"/>
      <c r="C24" s="879"/>
      <c r="D24" s="821" t="s">
        <v>213</v>
      </c>
      <c r="E24" s="865">
        <f>'24'!F24</f>
        <v>4970</v>
      </c>
      <c r="F24" s="1368">
        <v>4970</v>
      </c>
      <c r="G24" s="859">
        <v>0</v>
      </c>
      <c r="H24" s="837">
        <f>G24+'24'!H24</f>
        <v>0</v>
      </c>
      <c r="I24" s="856"/>
      <c r="J24" s="839">
        <f>H24/DAY(B2)</f>
        <v>0</v>
      </c>
      <c r="K24" s="855"/>
      <c r="L24" s="814"/>
      <c r="O24" s="841"/>
    </row>
    <row r="25" spans="1:15" s="886" customFormat="1">
      <c r="A25" s="1531" t="s">
        <v>216</v>
      </c>
      <c r="B25" s="1532"/>
      <c r="C25" s="1533"/>
      <c r="D25" s="828"/>
      <c r="E25" s="828"/>
      <c r="F25" s="1363"/>
      <c r="G25" s="881"/>
      <c r="H25" s="882"/>
      <c r="I25" s="883"/>
      <c r="J25" s="884"/>
      <c r="K25" s="855"/>
      <c r="L25" s="885"/>
      <c r="N25" s="1004"/>
      <c r="O25" s="841"/>
    </row>
    <row r="26" spans="1:15" s="886" customFormat="1">
      <c r="A26" s="887" t="s">
        <v>217</v>
      </c>
      <c r="B26" s="888"/>
      <c r="C26" s="889"/>
      <c r="D26" s="890" t="s">
        <v>218</v>
      </c>
      <c r="E26" s="891"/>
      <c r="F26" s="1369"/>
      <c r="G26" s="892"/>
      <c r="H26" s="837"/>
      <c r="I26" s="893"/>
      <c r="J26" s="839"/>
      <c r="K26" s="862"/>
      <c r="L26" s="885"/>
      <c r="N26" s="1004"/>
      <c r="O26" s="841"/>
    </row>
    <row r="27" spans="1:15" s="886" customFormat="1" ht="22.5">
      <c r="A27" s="887" t="s">
        <v>40</v>
      </c>
      <c r="B27" s="888"/>
      <c r="C27" s="889"/>
      <c r="D27" s="894" t="s">
        <v>59</v>
      </c>
      <c r="E27" s="895">
        <f>G8</f>
        <v>17150</v>
      </c>
      <c r="F27" s="1296">
        <v>9</v>
      </c>
      <c r="G27" s="897">
        <f>E27*F27</f>
        <v>154350</v>
      </c>
      <c r="H27" s="837">
        <f>G27+'24'!H27</f>
        <v>3916728</v>
      </c>
      <c r="I27" s="898"/>
      <c r="J27" s="839">
        <f>H27/DAY(B2)</f>
        <v>156669.12</v>
      </c>
      <c r="K27" s="855"/>
      <c r="L27" s="885"/>
      <c r="N27" s="1004"/>
      <c r="O27" s="841"/>
    </row>
    <row r="28" spans="1:15" s="886" customFormat="1" ht="22.5">
      <c r="A28" s="887" t="s">
        <v>219</v>
      </c>
      <c r="B28" s="888"/>
      <c r="C28" s="889"/>
      <c r="D28" s="894" t="s">
        <v>220</v>
      </c>
      <c r="E28" s="895">
        <f>G15</f>
        <v>550</v>
      </c>
      <c r="F28" s="496">
        <v>52</v>
      </c>
      <c r="G28" s="897">
        <f>E28*F28</f>
        <v>28600</v>
      </c>
      <c r="H28" s="837">
        <f>G28+'24'!H28</f>
        <v>671216</v>
      </c>
      <c r="I28" s="899"/>
      <c r="J28" s="839">
        <f>H28/DAY(B2)</f>
        <v>26848.639999999999</v>
      </c>
      <c r="K28" s="855"/>
      <c r="L28" s="885"/>
      <c r="N28" s="1004"/>
      <c r="O28" s="841"/>
    </row>
    <row r="29" spans="1:15" s="886" customFormat="1">
      <c r="A29" s="887" t="s">
        <v>221</v>
      </c>
      <c r="B29" s="888"/>
      <c r="C29" s="889"/>
      <c r="D29" s="894" t="s">
        <v>222</v>
      </c>
      <c r="E29" s="895">
        <f>G24</f>
        <v>0</v>
      </c>
      <c r="F29" s="1370">
        <v>69</v>
      </c>
      <c r="G29" s="897">
        <f>E29*F29</f>
        <v>0</v>
      </c>
      <c r="H29" s="837">
        <f>G29+'24'!H29</f>
        <v>8280</v>
      </c>
      <c r="I29" s="899"/>
      <c r="J29" s="839">
        <f>H29/DAY(B2)</f>
        <v>331.2</v>
      </c>
      <c r="K29" s="855"/>
      <c r="L29" s="885"/>
      <c r="N29" s="1004"/>
      <c r="O29" s="841"/>
    </row>
    <row r="30" spans="1:15" s="886" customFormat="1">
      <c r="A30" s="887" t="s">
        <v>223</v>
      </c>
      <c r="B30" s="888"/>
      <c r="C30" s="889"/>
      <c r="D30" s="894" t="s">
        <v>224</v>
      </c>
      <c r="E30" s="895">
        <f>G19</f>
        <v>60</v>
      </c>
      <c r="F30" s="1370">
        <v>146</v>
      </c>
      <c r="G30" s="897">
        <f>E30*F30</f>
        <v>8760</v>
      </c>
      <c r="H30" s="837">
        <f>G30+'24'!H30</f>
        <v>-51100</v>
      </c>
      <c r="I30" s="899"/>
      <c r="J30" s="839">
        <f>H30/DAY(B2)</f>
        <v>-2044</v>
      </c>
      <c r="K30" s="855"/>
      <c r="L30" s="885"/>
      <c r="N30" s="1004"/>
      <c r="O30" s="841"/>
    </row>
    <row r="31" spans="1:15" s="886" customFormat="1">
      <c r="A31" s="887" t="s">
        <v>225</v>
      </c>
      <c r="B31" s="888"/>
      <c r="C31" s="889"/>
      <c r="D31" s="894" t="s">
        <v>209</v>
      </c>
      <c r="E31" s="895">
        <f>G18</f>
        <v>60</v>
      </c>
      <c r="F31" s="1370">
        <v>80</v>
      </c>
      <c r="G31" s="897">
        <f>E31*F31</f>
        <v>4800</v>
      </c>
      <c r="H31" s="837">
        <f>G31+'24'!H31</f>
        <v>99200</v>
      </c>
      <c r="I31" s="899"/>
      <c r="J31" s="839"/>
      <c r="K31" s="855"/>
      <c r="L31" s="885"/>
      <c r="N31" s="1004"/>
      <c r="O31" s="841"/>
    </row>
    <row r="32" spans="1:15" s="886" customFormat="1">
      <c r="A32" s="900" t="s">
        <v>226</v>
      </c>
      <c r="B32" s="901"/>
      <c r="C32" s="902"/>
      <c r="D32" s="903"/>
      <c r="E32" s="903"/>
      <c r="F32" s="1367"/>
      <c r="G32" s="904">
        <f>G27+G28+G29+G30+G31</f>
        <v>196510</v>
      </c>
      <c r="H32" s="837">
        <f>G32+'24'!H32</f>
        <v>4644324</v>
      </c>
      <c r="I32" s="905"/>
      <c r="J32" s="839">
        <f>H32/DAY(B2)</f>
        <v>185772.96</v>
      </c>
      <c r="K32" s="855"/>
      <c r="L32" s="885"/>
      <c r="N32" s="1004"/>
      <c r="O32" s="841">
        <f>340*3</f>
        <v>1020</v>
      </c>
    </row>
    <row r="33" spans="1:15" ht="18.75">
      <c r="A33" s="1542" t="s">
        <v>227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855"/>
      <c r="L33" s="814"/>
      <c r="O33" s="841">
        <f>O32/3</f>
        <v>340</v>
      </c>
    </row>
    <row r="34" spans="1:15">
      <c r="A34" s="906" t="s">
        <v>228</v>
      </c>
      <c r="B34" s="907"/>
      <c r="C34" s="907"/>
      <c r="D34" s="829"/>
      <c r="E34" s="828"/>
      <c r="F34" s="1363"/>
      <c r="G34" s="829"/>
      <c r="H34" s="829"/>
      <c r="I34" s="829"/>
      <c r="J34" s="830"/>
      <c r="K34" s="855"/>
      <c r="L34" s="814"/>
      <c r="O34" s="841"/>
    </row>
    <row r="35" spans="1:15">
      <c r="A35" s="832" t="s">
        <v>229</v>
      </c>
      <c r="B35" s="833"/>
      <c r="C35" s="833"/>
      <c r="D35" s="834" t="s">
        <v>198</v>
      </c>
      <c r="E35" s="835">
        <f>'24'!F35</f>
        <v>933635.91</v>
      </c>
      <c r="F35" s="1341">
        <v>935746.79</v>
      </c>
      <c r="G35" s="836">
        <f t="shared" ref="G35:G46" si="3">F35-E35</f>
        <v>2110.8800000000047</v>
      </c>
      <c r="H35" s="837">
        <f>G35+'24'!H35</f>
        <v>-14741.209999999963</v>
      </c>
      <c r="I35" s="835"/>
      <c r="J35" s="839">
        <f>H35/DAY(B2)</f>
        <v>-589.64839999999856</v>
      </c>
      <c r="K35" s="855"/>
      <c r="L35" s="814"/>
      <c r="O35" s="841"/>
    </row>
    <row r="36" spans="1:15">
      <c r="A36" s="832" t="s">
        <v>230</v>
      </c>
      <c r="B36" s="833"/>
      <c r="C36" s="833"/>
      <c r="D36" s="834" t="s">
        <v>198</v>
      </c>
      <c r="E36" s="835">
        <f>'24'!F36</f>
        <v>347065</v>
      </c>
      <c r="F36" s="1341">
        <v>347065</v>
      </c>
      <c r="G36" s="836">
        <f t="shared" si="3"/>
        <v>0</v>
      </c>
      <c r="H36" s="837">
        <f>G36+'24'!H36</f>
        <v>346892</v>
      </c>
      <c r="I36" s="835"/>
      <c r="J36" s="839">
        <f>H36/DAY(B2)</f>
        <v>13875.68</v>
      </c>
      <c r="K36" s="855"/>
      <c r="L36" s="814"/>
      <c r="O36" s="841"/>
    </row>
    <row r="37" spans="1:15">
      <c r="A37" s="832" t="s">
        <v>231</v>
      </c>
      <c r="B37" s="833"/>
      <c r="C37" s="833"/>
      <c r="D37" s="834" t="s">
        <v>198</v>
      </c>
      <c r="E37" s="835">
        <f>'24'!F37</f>
        <v>125152.88</v>
      </c>
      <c r="F37" s="1341">
        <v>126400.73</v>
      </c>
      <c r="G37" s="836">
        <f t="shared" si="3"/>
        <v>1247.8499999999913</v>
      </c>
      <c r="H37" s="837">
        <f>G37+'24'!H37</f>
        <v>-7835.2700000000041</v>
      </c>
      <c r="I37" s="835"/>
      <c r="J37" s="839">
        <f>H37/DAY(B2)</f>
        <v>-313.41080000000017</v>
      </c>
      <c r="K37" s="855"/>
      <c r="L37" s="814"/>
      <c r="O37" s="841"/>
    </row>
    <row r="38" spans="1:15">
      <c r="A38" s="832" t="s">
        <v>232</v>
      </c>
      <c r="B38" s="833"/>
      <c r="C38" s="833"/>
      <c r="D38" s="834" t="s">
        <v>198</v>
      </c>
      <c r="E38" s="835">
        <f>'24'!F38</f>
        <v>147796.71</v>
      </c>
      <c r="F38" s="1364">
        <v>149009.04</v>
      </c>
      <c r="G38" s="836">
        <f t="shared" si="3"/>
        <v>1212.3300000000163</v>
      </c>
      <c r="H38" s="837">
        <f>G38+'24'!H38</f>
        <v>-7395.9599999999919</v>
      </c>
      <c r="I38" s="835"/>
      <c r="J38" s="839">
        <f>H38/DAY(B2)</f>
        <v>-295.83839999999969</v>
      </c>
      <c r="K38" s="855"/>
      <c r="L38" s="814"/>
      <c r="O38" s="841"/>
    </row>
    <row r="39" spans="1:15">
      <c r="A39" s="832" t="s">
        <v>233</v>
      </c>
      <c r="B39" s="833"/>
      <c r="C39" s="833"/>
      <c r="D39" s="834" t="s">
        <v>198</v>
      </c>
      <c r="E39" s="835">
        <f>'24'!F39</f>
        <v>292734.51</v>
      </c>
      <c r="F39" s="1341">
        <v>294778.27</v>
      </c>
      <c r="G39" s="836">
        <f t="shared" si="3"/>
        <v>2043.7600000000093</v>
      </c>
      <c r="H39" s="837">
        <f>G39+'24'!H39</f>
        <v>-13394.729999999981</v>
      </c>
      <c r="I39" s="835"/>
      <c r="J39" s="839">
        <f>H39/DAY(B2)</f>
        <v>-535.78919999999925</v>
      </c>
      <c r="K39" s="855"/>
      <c r="L39" s="814"/>
      <c r="O39" s="841"/>
    </row>
    <row r="40" spans="1:15">
      <c r="A40" s="909" t="s">
        <v>234</v>
      </c>
      <c r="B40" s="910"/>
      <c r="C40" s="910"/>
      <c r="D40" s="834" t="s">
        <v>198</v>
      </c>
      <c r="E40" s="835">
        <f>'24'!F40</f>
        <v>686.48</v>
      </c>
      <c r="F40" s="1341">
        <v>686.48</v>
      </c>
      <c r="G40" s="836">
        <f t="shared" si="3"/>
        <v>0</v>
      </c>
      <c r="H40" s="837">
        <f>G40+'24'!H40</f>
        <v>-202.51999999999998</v>
      </c>
      <c r="I40" s="835"/>
      <c r="J40" s="839">
        <f>H40/DAY(B2)</f>
        <v>-8.1007999999999996</v>
      </c>
      <c r="K40" s="862"/>
      <c r="L40" s="814"/>
      <c r="O40" s="841"/>
    </row>
    <row r="41" spans="1:15">
      <c r="A41" s="832" t="s">
        <v>235</v>
      </c>
      <c r="B41" s="833"/>
      <c r="C41" s="833"/>
      <c r="D41" s="834" t="s">
        <v>198</v>
      </c>
      <c r="E41" s="835">
        <f>'24'!F41</f>
        <v>240478.13</v>
      </c>
      <c r="F41" s="1341">
        <v>240478.13</v>
      </c>
      <c r="G41" s="836">
        <f t="shared" si="3"/>
        <v>0</v>
      </c>
      <c r="H41" s="837">
        <f>G41+'24'!H41</f>
        <v>0.13000000000465661</v>
      </c>
      <c r="I41" s="835"/>
      <c r="J41" s="839">
        <f>H41/DAY(B2)</f>
        <v>5.2000000001862648E-3</v>
      </c>
      <c r="K41" s="855"/>
      <c r="L41" s="814"/>
      <c r="O41" s="841"/>
    </row>
    <row r="42" spans="1:15">
      <c r="A42" s="832" t="s">
        <v>236</v>
      </c>
      <c r="B42" s="833"/>
      <c r="C42" s="833"/>
      <c r="D42" s="834" t="s">
        <v>198</v>
      </c>
      <c r="E42" s="835">
        <f>'24'!F42</f>
        <v>59198.97</v>
      </c>
      <c r="F42" s="1341">
        <v>59198.97</v>
      </c>
      <c r="G42" s="836">
        <f t="shared" si="3"/>
        <v>0</v>
      </c>
      <c r="H42" s="837">
        <f>G42+'24'!H42</f>
        <v>0</v>
      </c>
      <c r="I42" s="835"/>
      <c r="J42" s="839">
        <f>H42/DAY(B2)</f>
        <v>0</v>
      </c>
      <c r="K42" s="855"/>
      <c r="L42" s="814"/>
      <c r="O42" s="841"/>
    </row>
    <row r="43" spans="1:15">
      <c r="A43" s="832" t="s">
        <v>237</v>
      </c>
      <c r="B43" s="833"/>
      <c r="C43" s="833"/>
      <c r="D43" s="834" t="s">
        <v>198</v>
      </c>
      <c r="E43" s="835">
        <f>'24'!F43</f>
        <v>1025857.8</v>
      </c>
      <c r="F43" s="1341">
        <v>1028056.5</v>
      </c>
      <c r="G43" s="836">
        <f t="shared" si="3"/>
        <v>2198.6999999999534</v>
      </c>
      <c r="H43" s="837">
        <f>G43+'24'!H43</f>
        <v>-14187.5</v>
      </c>
      <c r="I43" s="835"/>
      <c r="J43" s="839">
        <f>H43/DAY(B2)</f>
        <v>-567.5</v>
      </c>
      <c r="K43" s="855"/>
      <c r="L43" s="814"/>
      <c r="O43" s="841"/>
    </row>
    <row r="44" spans="1:15">
      <c r="A44" s="832" t="s">
        <v>238</v>
      </c>
      <c r="B44" s="833"/>
      <c r="C44" s="833"/>
      <c r="D44" s="834" t="s">
        <v>198</v>
      </c>
      <c r="E44" s="835">
        <f>'24'!F44</f>
        <v>0</v>
      </c>
      <c r="F44" s="1341">
        <v>0</v>
      </c>
      <c r="G44" s="836">
        <f t="shared" si="3"/>
        <v>0</v>
      </c>
      <c r="H44" s="837">
        <f>G44+'24'!H44</f>
        <v>0</v>
      </c>
      <c r="I44" s="835"/>
      <c r="J44" s="839">
        <f>H44/DAY(B2)</f>
        <v>0</v>
      </c>
      <c r="K44" s="855"/>
      <c r="L44" s="814"/>
      <c r="O44" s="841"/>
    </row>
    <row r="45" spans="1:15">
      <c r="A45" s="832" t="s">
        <v>239</v>
      </c>
      <c r="B45" s="833"/>
      <c r="C45" s="833"/>
      <c r="D45" s="834" t="s">
        <v>198</v>
      </c>
      <c r="E45" s="835">
        <f>'24'!F45</f>
        <v>614</v>
      </c>
      <c r="F45" s="1341">
        <v>614</v>
      </c>
      <c r="G45" s="836">
        <f t="shared" si="3"/>
        <v>0</v>
      </c>
      <c r="H45" s="837">
        <f>G45+'24'!H45</f>
        <v>614</v>
      </c>
      <c r="I45" s="835"/>
      <c r="J45" s="839">
        <f>H45/DAY(B2)</f>
        <v>24.56</v>
      </c>
      <c r="K45" s="855"/>
      <c r="L45" s="814"/>
      <c r="O45" s="841"/>
    </row>
    <row r="46" spans="1:15">
      <c r="A46" s="832" t="s">
        <v>240</v>
      </c>
      <c r="B46" s="833"/>
      <c r="C46" s="833"/>
      <c r="D46" s="834" t="s">
        <v>198</v>
      </c>
      <c r="E46" s="835">
        <f>'24'!F46</f>
        <v>187</v>
      </c>
      <c r="F46" s="1341">
        <v>187</v>
      </c>
      <c r="G46" s="836">
        <f t="shared" si="3"/>
        <v>0</v>
      </c>
      <c r="H46" s="837">
        <f>G46+'24'!H46</f>
        <v>186.95</v>
      </c>
      <c r="I46" s="835"/>
      <c r="J46" s="839">
        <f>H46/DAY(B2)</f>
        <v>7.4779999999999998</v>
      </c>
      <c r="K46" s="855"/>
      <c r="L46" s="814"/>
      <c r="O46" s="841"/>
    </row>
    <row r="47" spans="1:15">
      <c r="A47" s="857" t="s">
        <v>241</v>
      </c>
      <c r="B47" s="858"/>
      <c r="C47" s="858"/>
      <c r="D47" s="825"/>
      <c r="E47" s="821"/>
      <c r="F47" s="1363"/>
      <c r="G47" s="859">
        <f>G35+G36+G37+G38+G39+G40+G41+G42+G43+G44+G45+G46</f>
        <v>8813.519999999975</v>
      </c>
      <c r="H47" s="837">
        <f>G47+'24'!H47</f>
        <v>289936.38000000012</v>
      </c>
      <c r="I47" s="835"/>
      <c r="J47" s="839">
        <f>H47/DAY(B2)</f>
        <v>11597.455200000004</v>
      </c>
      <c r="K47" s="855"/>
      <c r="L47" s="814"/>
      <c r="N47" s="1005"/>
      <c r="O47" s="841"/>
    </row>
    <row r="48" spans="1:15">
      <c r="A48" s="906" t="s">
        <v>242</v>
      </c>
      <c r="B48" s="907"/>
      <c r="C48" s="907"/>
      <c r="D48" s="829"/>
      <c r="E48" s="828"/>
      <c r="F48" s="1363"/>
      <c r="G48" s="829"/>
      <c r="H48" s="829"/>
      <c r="I48" s="829"/>
      <c r="J48" s="830"/>
      <c r="K48" s="855"/>
      <c r="L48" s="814"/>
      <c r="O48" s="841"/>
    </row>
    <row r="49" spans="1:15">
      <c r="A49" s="832" t="s">
        <v>229</v>
      </c>
      <c r="B49" s="911"/>
      <c r="C49" s="911"/>
      <c r="D49" s="834" t="s">
        <v>198</v>
      </c>
      <c r="E49" s="1340">
        <f>'24'!F49</f>
        <v>260732.13</v>
      </c>
      <c r="F49" s="1341">
        <v>260732.13</v>
      </c>
      <c r="G49" s="1012">
        <f t="shared" ref="G49:G58" si="4">F49-E49</f>
        <v>0</v>
      </c>
      <c r="H49" s="837">
        <f>G49+'24'!H49</f>
        <v>0.13000000000465661</v>
      </c>
      <c r="I49" s="835"/>
      <c r="J49" s="839">
        <f>H49/DAY(B2)</f>
        <v>5.2000000001862648E-3</v>
      </c>
      <c r="K49" s="855"/>
      <c r="L49" s="814"/>
      <c r="O49" s="841"/>
    </row>
    <row r="50" spans="1:15">
      <c r="A50" s="832" t="s">
        <v>243</v>
      </c>
      <c r="B50" s="911"/>
      <c r="C50" s="911"/>
      <c r="D50" s="834" t="s">
        <v>198</v>
      </c>
      <c r="E50" s="835">
        <f>'24'!F50</f>
        <v>495908.59</v>
      </c>
      <c r="F50" s="1341">
        <v>496769.11</v>
      </c>
      <c r="G50" s="836">
        <f t="shared" si="4"/>
        <v>860.51999999996042</v>
      </c>
      <c r="H50" s="837">
        <f>G50+'24'!H50</f>
        <v>-6656.890000000014</v>
      </c>
      <c r="I50" s="835"/>
      <c r="J50" s="839">
        <f>H50/DAY(B2)</f>
        <v>-266.27560000000057</v>
      </c>
      <c r="K50" s="855"/>
      <c r="L50" s="814"/>
      <c r="O50" s="841"/>
    </row>
    <row r="51" spans="1:15">
      <c r="A51" s="832" t="s">
        <v>231</v>
      </c>
      <c r="B51" s="911"/>
      <c r="C51" s="911"/>
      <c r="D51" s="834" t="s">
        <v>198</v>
      </c>
      <c r="E51" s="835">
        <f>'24'!F51</f>
        <v>144639.87</v>
      </c>
      <c r="F51" s="1341">
        <v>144639.87</v>
      </c>
      <c r="G51" s="836">
        <f t="shared" si="4"/>
        <v>0</v>
      </c>
      <c r="H51" s="837">
        <f>G51+'24'!H51</f>
        <v>-0.13000000000465661</v>
      </c>
      <c r="I51" s="835"/>
      <c r="J51" s="839">
        <f>H51/DAY(B2)</f>
        <v>-5.2000000001862648E-3</v>
      </c>
      <c r="K51" s="855"/>
      <c r="L51" s="814"/>
      <c r="O51" s="841"/>
    </row>
    <row r="52" spans="1:15">
      <c r="A52" s="832" t="s">
        <v>244</v>
      </c>
      <c r="B52" s="911"/>
      <c r="C52" s="911"/>
      <c r="D52" s="834" t="s">
        <v>198</v>
      </c>
      <c r="E52" s="835">
        <f>'24'!F52</f>
        <v>539606.06999999995</v>
      </c>
      <c r="F52" s="1341">
        <v>539606.06999999995</v>
      </c>
      <c r="G52" s="836">
        <f t="shared" si="4"/>
        <v>0</v>
      </c>
      <c r="H52" s="837">
        <f>G52+'24'!H52</f>
        <v>0</v>
      </c>
      <c r="I52" s="835"/>
      <c r="J52" s="839">
        <f>H52/DAY(B2)</f>
        <v>0</v>
      </c>
      <c r="K52" s="855"/>
      <c r="L52" s="814"/>
      <c r="O52" s="841"/>
    </row>
    <row r="53" spans="1:15">
      <c r="A53" s="832" t="s">
        <v>233</v>
      </c>
      <c r="B53" s="911"/>
      <c r="C53" s="911"/>
      <c r="D53" s="834" t="s">
        <v>198</v>
      </c>
      <c r="E53" s="835">
        <f>'24'!F53</f>
        <v>428706.03</v>
      </c>
      <c r="F53" s="1341">
        <v>429230.87</v>
      </c>
      <c r="G53" s="836">
        <f t="shared" si="4"/>
        <v>524.8399999999674</v>
      </c>
      <c r="H53" s="837">
        <f>G53+'24'!H53</f>
        <v>-3313.460000000021</v>
      </c>
      <c r="I53" s="835"/>
      <c r="J53" s="839">
        <f>H53/DAY(B2)</f>
        <v>-132.53840000000085</v>
      </c>
      <c r="K53" s="855"/>
      <c r="L53" s="814"/>
      <c r="O53" s="841"/>
    </row>
    <row r="54" spans="1:15">
      <c r="A54" s="832" t="s">
        <v>245</v>
      </c>
      <c r="B54" s="911"/>
      <c r="C54" s="911"/>
      <c r="D54" s="834" t="s">
        <v>198</v>
      </c>
      <c r="E54" s="835">
        <f>'24'!F54</f>
        <v>13189.91</v>
      </c>
      <c r="F54" s="1341">
        <v>13269.62</v>
      </c>
      <c r="G54" s="836">
        <f t="shared" si="4"/>
        <v>79.710000000000946</v>
      </c>
      <c r="H54" s="837">
        <f>G54+'24'!H54</f>
        <v>-559.3799999999992</v>
      </c>
      <c r="I54" s="835"/>
      <c r="J54" s="839">
        <f>H54/DAY(B2)</f>
        <v>-22.375199999999968</v>
      </c>
      <c r="K54" s="855"/>
      <c r="L54" s="814"/>
      <c r="O54" s="841"/>
    </row>
    <row r="55" spans="1:15">
      <c r="A55" s="832" t="s">
        <v>246</v>
      </c>
      <c r="B55" s="911"/>
      <c r="C55" s="911"/>
      <c r="D55" s="834" t="s">
        <v>198</v>
      </c>
      <c r="E55" s="835">
        <f>'24'!F55</f>
        <v>59204.73</v>
      </c>
      <c r="F55" s="1341">
        <v>64199.47</v>
      </c>
      <c r="G55" s="836">
        <f t="shared" si="4"/>
        <v>4994.739999999998</v>
      </c>
      <c r="H55" s="837">
        <f>G55+'24'!H55</f>
        <v>-3911.5299999999988</v>
      </c>
      <c r="I55" s="835"/>
      <c r="J55" s="839">
        <f>H55/DAY(B2)</f>
        <v>-156.46119999999996</v>
      </c>
      <c r="K55" s="855"/>
      <c r="L55" s="814"/>
      <c r="O55" s="841"/>
    </row>
    <row r="56" spans="1:15">
      <c r="A56" s="832" t="s">
        <v>247</v>
      </c>
      <c r="B56" s="911"/>
      <c r="C56" s="911"/>
      <c r="D56" s="834" t="s">
        <v>248</v>
      </c>
      <c r="E56" s="835">
        <f>'24'!F56</f>
        <v>589534.11</v>
      </c>
      <c r="F56" s="1341">
        <v>589543.71</v>
      </c>
      <c r="G56" s="836">
        <f t="shared" si="4"/>
        <v>9.5999999999767169</v>
      </c>
      <c r="H56" s="837">
        <f>G56+'24'!H56</f>
        <v>-27654.290000000037</v>
      </c>
      <c r="I56" s="835"/>
      <c r="J56" s="839">
        <f>H56/DAY(B2)</f>
        <v>-1106.1716000000015</v>
      </c>
      <c r="K56" s="831"/>
      <c r="L56" s="814"/>
      <c r="O56" s="841"/>
    </row>
    <row r="57" spans="1:15">
      <c r="A57" s="832" t="s">
        <v>237</v>
      </c>
      <c r="B57" s="911"/>
      <c r="C57" s="911"/>
      <c r="D57" s="834" t="s">
        <v>198</v>
      </c>
      <c r="E57" s="835">
        <f>'24'!F57</f>
        <v>7711</v>
      </c>
      <c r="F57" s="1341">
        <v>7711</v>
      </c>
      <c r="G57" s="836">
        <f t="shared" si="4"/>
        <v>0</v>
      </c>
      <c r="H57" s="837">
        <f>G57+'24'!H57</f>
        <v>0</v>
      </c>
      <c r="I57" s="835"/>
      <c r="J57" s="839">
        <f>H57/DAY(B2)</f>
        <v>0</v>
      </c>
      <c r="K57" s="855"/>
      <c r="L57" s="814"/>
      <c r="O57" s="841"/>
    </row>
    <row r="58" spans="1:15">
      <c r="A58" s="832" t="s">
        <v>249</v>
      </c>
      <c r="B58" s="911"/>
      <c r="C58" s="911"/>
      <c r="D58" s="834" t="s">
        <v>198</v>
      </c>
      <c r="E58" s="835">
        <f>'24'!F58</f>
        <v>48687.37</v>
      </c>
      <c r="F58" s="1341">
        <v>48931.51</v>
      </c>
      <c r="G58" s="836">
        <f t="shared" si="4"/>
        <v>244.13999999999942</v>
      </c>
      <c r="H58" s="837">
        <f>G58+'24'!H58</f>
        <v>-932.69999999999709</v>
      </c>
      <c r="I58" s="835"/>
      <c r="J58" s="839">
        <f>H58/DAY(B2)</f>
        <v>-37.307999999999886</v>
      </c>
      <c r="K58" s="855"/>
      <c r="L58" s="814"/>
      <c r="O58" s="841"/>
    </row>
    <row r="59" spans="1:15">
      <c r="A59" s="857" t="s">
        <v>241</v>
      </c>
      <c r="B59" s="858"/>
      <c r="C59" s="858"/>
      <c r="D59" s="821"/>
      <c r="E59" s="821"/>
      <c r="F59" s="1363"/>
      <c r="G59" s="859">
        <f>G49+G50+G51+G52+G53+G54+G55+G56+G57+G58</f>
        <v>6713.5499999999029</v>
      </c>
      <c r="H59" s="837">
        <f>G59+'24'!H59</f>
        <v>-43028.180000000109</v>
      </c>
      <c r="I59" s="835">
        <f>G7-G60</f>
        <v>1472.9300000001222</v>
      </c>
      <c r="J59" s="839">
        <f>H59/DAY(B2)</f>
        <v>-1721.1272000000044</v>
      </c>
      <c r="K59" s="855"/>
      <c r="L59" s="814"/>
      <c r="O59" s="841"/>
    </row>
    <row r="60" spans="1:15">
      <c r="A60" s="832"/>
      <c r="B60" s="833"/>
      <c r="C60" s="833"/>
      <c r="D60" s="821" t="s">
        <v>250</v>
      </c>
      <c r="E60" s="821"/>
      <c r="F60" s="1363"/>
      <c r="G60" s="859">
        <f>G47+G59</f>
        <v>15527.069999999878</v>
      </c>
      <c r="H60" s="837">
        <f>G60+'24'!H60</f>
        <v>248116.73999999996</v>
      </c>
      <c r="I60" s="835">
        <f>G13-G60</f>
        <v>1422.9300000001222</v>
      </c>
      <c r="J60" s="839">
        <f>H60/DAY(B2)</f>
        <v>9924.6695999999993</v>
      </c>
      <c r="K60" s="855"/>
      <c r="L60" s="814"/>
      <c r="O60" s="841"/>
    </row>
    <row r="61" spans="1:15">
      <c r="A61" s="912" t="s">
        <v>251</v>
      </c>
      <c r="B61" s="913"/>
      <c r="C61" s="913"/>
      <c r="D61" s="913"/>
      <c r="E61" s="914"/>
      <c r="F61" s="1371"/>
      <c r="G61" s="913"/>
      <c r="H61" s="913"/>
      <c r="I61" s="913"/>
      <c r="J61" s="915"/>
      <c r="K61" s="855"/>
      <c r="L61" s="814"/>
      <c r="O61" s="841"/>
    </row>
    <row r="62" spans="1:15">
      <c r="A62" s="916" t="s">
        <v>252</v>
      </c>
      <c r="B62" s="917"/>
      <c r="C62" s="917"/>
      <c r="D62" s="821" t="s">
        <v>253</v>
      </c>
      <c r="E62" s="835">
        <f>'24'!F62</f>
        <v>20419</v>
      </c>
      <c r="F62" s="1372">
        <v>20419</v>
      </c>
      <c r="G62" s="836">
        <f t="shared" ref="G62:G69" si="5">F62-E62</f>
        <v>0</v>
      </c>
      <c r="H62" s="837">
        <f>G62+'24'!H62</f>
        <v>1.9999999967694748E-3</v>
      </c>
      <c r="I62" s="919"/>
      <c r="J62" s="839">
        <f>H62/DAY(B2)</f>
        <v>7.9999999870778991E-5</v>
      </c>
      <c r="K62" s="855"/>
      <c r="L62" s="814"/>
      <c r="O62" s="841"/>
    </row>
    <row r="63" spans="1:15">
      <c r="A63" s="916" t="s">
        <v>254</v>
      </c>
      <c r="B63" s="917"/>
      <c r="C63" s="917"/>
      <c r="D63" s="821" t="s">
        <v>253</v>
      </c>
      <c r="E63" s="835">
        <f>'24'!F63</f>
        <v>2449.7199999999998</v>
      </c>
      <c r="F63" s="1372">
        <v>2453.4699999999998</v>
      </c>
      <c r="G63" s="836">
        <f t="shared" si="5"/>
        <v>3.75</v>
      </c>
      <c r="H63" s="837">
        <f>G63+'24'!H63</f>
        <v>2453.4699999999998</v>
      </c>
      <c r="I63" s="919"/>
      <c r="J63" s="839">
        <f>H63/DAY(B2)</f>
        <v>98.138799999999989</v>
      </c>
      <c r="K63" s="855"/>
      <c r="L63" s="814"/>
      <c r="O63" s="841"/>
    </row>
    <row r="64" spans="1:15">
      <c r="A64" s="1545" t="s">
        <v>161</v>
      </c>
      <c r="B64" s="1546"/>
      <c r="C64" s="1547"/>
      <c r="D64" s="834" t="s">
        <v>253</v>
      </c>
      <c r="E64" s="835">
        <f>'24'!F64</f>
        <v>158599.99</v>
      </c>
      <c r="F64" s="986">
        <v>158798.06</v>
      </c>
      <c r="G64" s="836">
        <f t="shared" si="5"/>
        <v>198.07000000000698</v>
      </c>
      <c r="H64" s="837">
        <f>G64+'24'!H64</f>
        <v>-1133.9400000000023</v>
      </c>
      <c r="I64" s="856"/>
      <c r="J64" s="839">
        <f>H64/DAY(B2)</f>
        <v>-45.35760000000009</v>
      </c>
      <c r="K64" s="855"/>
      <c r="L64" s="814"/>
      <c r="O64" s="841"/>
    </row>
    <row r="65" spans="1:15">
      <c r="A65" s="1545" t="s">
        <v>162</v>
      </c>
      <c r="B65" s="1546"/>
      <c r="C65" s="1547"/>
      <c r="D65" s="834" t="s">
        <v>253</v>
      </c>
      <c r="E65" s="835">
        <f>'24'!F65</f>
        <v>159470.85</v>
      </c>
      <c r="F65" s="986">
        <v>159730</v>
      </c>
      <c r="G65" s="836">
        <f t="shared" si="5"/>
        <v>259.14999999999418</v>
      </c>
      <c r="H65" s="837">
        <f>G65+'24'!H65</f>
        <v>-1268</v>
      </c>
      <c r="I65" s="874"/>
      <c r="J65" s="839">
        <f>H65/DAY(B2)</f>
        <v>-50.72</v>
      </c>
      <c r="K65" s="855"/>
      <c r="L65" s="814"/>
      <c r="O65" s="841"/>
    </row>
    <row r="66" spans="1:15">
      <c r="A66" s="1545" t="s">
        <v>255</v>
      </c>
      <c r="B66" s="1546"/>
      <c r="C66" s="1547"/>
      <c r="D66" s="834" t="s">
        <v>253</v>
      </c>
      <c r="E66" s="835">
        <f>'24'!F66</f>
        <v>54926.18</v>
      </c>
      <c r="F66" s="986">
        <v>55178.79</v>
      </c>
      <c r="G66" s="836">
        <f t="shared" si="5"/>
        <v>252.61000000000058</v>
      </c>
      <c r="H66" s="837">
        <f>G66+'24'!H66</f>
        <v>-1626.2099999999991</v>
      </c>
      <c r="I66" s="856"/>
      <c r="J66" s="839">
        <f>H66/DAY(B2)</f>
        <v>-65.048399999999958</v>
      </c>
      <c r="K66" s="855"/>
      <c r="L66" s="814"/>
      <c r="O66" s="841"/>
    </row>
    <row r="67" spans="1:15">
      <c r="A67" s="1545" t="s">
        <v>157</v>
      </c>
      <c r="B67" s="1546"/>
      <c r="C67" s="1547"/>
      <c r="D67" s="834" t="s">
        <v>253</v>
      </c>
      <c r="E67" s="835">
        <f>'24'!F67</f>
        <v>249138.4</v>
      </c>
      <c r="F67" s="986">
        <v>249501.01</v>
      </c>
      <c r="G67" s="836">
        <f t="shared" si="5"/>
        <v>362.61000000001513</v>
      </c>
      <c r="H67" s="837">
        <f>G67+'24'!H67</f>
        <v>-2690.9899999999907</v>
      </c>
      <c r="I67" s="874"/>
      <c r="J67" s="839">
        <f>H67/DAY(B2)</f>
        <v>-107.63959999999963</v>
      </c>
      <c r="K67" s="862"/>
      <c r="L67" s="814"/>
      <c r="O67" s="841"/>
    </row>
    <row r="68" spans="1:15">
      <c r="A68" s="1545" t="s">
        <v>164</v>
      </c>
      <c r="B68" s="1546"/>
      <c r="C68" s="1547"/>
      <c r="D68" s="834" t="s">
        <v>253</v>
      </c>
      <c r="E68" s="835">
        <f>'24'!F68</f>
        <v>85321</v>
      </c>
      <c r="F68" s="986">
        <v>85321</v>
      </c>
      <c r="G68" s="836">
        <f t="shared" si="5"/>
        <v>0</v>
      </c>
      <c r="H68" s="837">
        <f>G68+'24'!H68</f>
        <v>0</v>
      </c>
      <c r="I68" s="920"/>
      <c r="J68" s="839">
        <f>H68/DAY(B2)</f>
        <v>0</v>
      </c>
      <c r="K68" s="921"/>
      <c r="L68" s="814"/>
      <c r="O68" s="841"/>
    </row>
    <row r="69" spans="1:15">
      <c r="A69" s="1545" t="s">
        <v>165</v>
      </c>
      <c r="B69" s="1546"/>
      <c r="C69" s="1547"/>
      <c r="D69" s="834" t="s">
        <v>253</v>
      </c>
      <c r="E69" s="835">
        <f>'24'!F69</f>
        <v>80980.38</v>
      </c>
      <c r="F69" s="986">
        <v>81051.97</v>
      </c>
      <c r="G69" s="836">
        <f t="shared" si="5"/>
        <v>71.589999999996508</v>
      </c>
      <c r="H69" s="837">
        <f>G69+'24'!H69</f>
        <v>-697.02999999999884</v>
      </c>
      <c r="I69" s="920"/>
      <c r="J69" s="839">
        <f>H69/DAY(B2)</f>
        <v>-27.881199999999954</v>
      </c>
      <c r="K69" s="922"/>
      <c r="L69" s="814"/>
      <c r="O69" s="841"/>
    </row>
    <row r="70" spans="1:15">
      <c r="A70" s="1554" t="s">
        <v>256</v>
      </c>
      <c r="B70" s="1555"/>
      <c r="C70" s="1556"/>
      <c r="D70" s="834" t="s">
        <v>253</v>
      </c>
      <c r="E70" s="923"/>
      <c r="F70" s="1373"/>
      <c r="G70" s="924"/>
      <c r="H70" s="837">
        <f>G70+'13'!H70</f>
        <v>0</v>
      </c>
      <c r="I70" s="924"/>
      <c r="J70" s="925"/>
      <c r="K70" s="922"/>
      <c r="L70" s="814"/>
      <c r="O70" s="841"/>
    </row>
    <row r="71" spans="1:15" ht="22.5">
      <c r="A71" s="1551" t="s">
        <v>257</v>
      </c>
      <c r="B71" s="1552"/>
      <c r="C71" s="1552"/>
      <c r="D71" s="1552"/>
      <c r="E71" s="1552"/>
      <c r="F71" s="1552"/>
      <c r="G71" s="1552"/>
      <c r="H71" s="1552"/>
      <c r="I71" s="1552"/>
      <c r="J71" s="1553"/>
      <c r="K71" s="921"/>
      <c r="L71" s="814"/>
      <c r="O71" s="841"/>
    </row>
    <row r="72" spans="1:15">
      <c r="A72" s="1545" t="s">
        <v>258</v>
      </c>
      <c r="B72" s="1546"/>
      <c r="C72" s="1547"/>
      <c r="D72" s="834" t="s">
        <v>253</v>
      </c>
      <c r="E72" s="835">
        <f>'24'!F72</f>
        <v>855760</v>
      </c>
      <c r="F72" s="927">
        <v>855769</v>
      </c>
      <c r="G72" s="836">
        <f t="shared" ref="G72:G84" si="6">F72-E72</f>
        <v>9</v>
      </c>
      <c r="H72" s="837">
        <f>G72+'24'!H72</f>
        <v>-117</v>
      </c>
      <c r="I72" s="856"/>
      <c r="J72" s="839">
        <f>H72/DAY(B2)</f>
        <v>-4.68</v>
      </c>
      <c r="K72" s="922"/>
      <c r="L72" s="814"/>
      <c r="O72" s="841"/>
    </row>
    <row r="73" spans="1:15">
      <c r="A73" s="1545" t="s">
        <v>259</v>
      </c>
      <c r="B73" s="1546"/>
      <c r="C73" s="1547"/>
      <c r="D73" s="834" t="s">
        <v>253</v>
      </c>
      <c r="E73" s="835">
        <f>'24'!F73</f>
        <v>885901</v>
      </c>
      <c r="F73" s="927">
        <v>885915</v>
      </c>
      <c r="G73" s="836">
        <f t="shared" si="6"/>
        <v>14</v>
      </c>
      <c r="H73" s="837">
        <f>G73+'24'!H73</f>
        <v>164</v>
      </c>
      <c r="I73" s="856"/>
      <c r="J73" s="839">
        <f>H73/DAY(B2)</f>
        <v>6.56</v>
      </c>
      <c r="K73" s="921"/>
      <c r="L73" s="814"/>
      <c r="O73" s="841"/>
    </row>
    <row r="74" spans="1:15">
      <c r="A74" s="1545" t="s">
        <v>260</v>
      </c>
      <c r="B74" s="1546"/>
      <c r="C74" s="1547"/>
      <c r="D74" s="834" t="s">
        <v>253</v>
      </c>
      <c r="E74" s="835">
        <f>'24'!F74</f>
        <v>2539.6799999999998</v>
      </c>
      <c r="F74" s="927">
        <v>2545.79</v>
      </c>
      <c r="G74" s="836">
        <f t="shared" si="6"/>
        <v>6.1100000000001273</v>
      </c>
      <c r="H74" s="837">
        <f>G74+'24'!H74</f>
        <v>-40.210000000000036</v>
      </c>
      <c r="I74" s="856"/>
      <c r="J74" s="839">
        <f>H74/DAY(B2)</f>
        <v>-1.6084000000000014</v>
      </c>
      <c r="K74" s="922"/>
      <c r="L74" s="814"/>
      <c r="O74" s="841"/>
    </row>
    <row r="75" spans="1:15">
      <c r="A75" s="1548" t="s">
        <v>261</v>
      </c>
      <c r="B75" s="1549"/>
      <c r="C75" s="1550"/>
      <c r="D75" s="834" t="s">
        <v>253</v>
      </c>
      <c r="E75" s="835">
        <f>'24'!F75</f>
        <v>12264.21</v>
      </c>
      <c r="F75" s="927">
        <v>12318.61</v>
      </c>
      <c r="G75" s="836">
        <f t="shared" si="6"/>
        <v>54.400000000001455</v>
      </c>
      <c r="H75" s="837">
        <f>G75+'24'!H75</f>
        <v>-350.38999999999942</v>
      </c>
      <c r="I75" s="856"/>
      <c r="J75" s="839">
        <f>H75/DAY(B2)</f>
        <v>-14.015599999999976</v>
      </c>
      <c r="K75" s="921"/>
      <c r="L75" s="814"/>
      <c r="O75" s="841"/>
    </row>
    <row r="76" spans="1:15">
      <c r="A76" s="1548" t="s">
        <v>262</v>
      </c>
      <c r="B76" s="1549"/>
      <c r="C76" s="1550"/>
      <c r="D76" s="834" t="s">
        <v>253</v>
      </c>
      <c r="E76" s="835">
        <f>'24'!F76</f>
        <v>7028.83</v>
      </c>
      <c r="F76" s="927">
        <v>7085.85</v>
      </c>
      <c r="G76" s="836">
        <f t="shared" si="6"/>
        <v>57.020000000000437</v>
      </c>
      <c r="H76" s="837">
        <f>G76+'24'!H76</f>
        <v>-120.14999999999964</v>
      </c>
      <c r="I76" s="899"/>
      <c r="J76" s="839">
        <f>H76/DAY(B2)</f>
        <v>-4.8059999999999858</v>
      </c>
      <c r="K76" s="921"/>
      <c r="L76" s="814"/>
      <c r="O76" s="841"/>
    </row>
    <row r="77" spans="1:15">
      <c r="A77" s="1545" t="s">
        <v>263</v>
      </c>
      <c r="B77" s="1546"/>
      <c r="C77" s="1547"/>
      <c r="D77" s="834" t="s">
        <v>253</v>
      </c>
      <c r="E77" s="835">
        <f>'24'!F77</f>
        <v>702542</v>
      </c>
      <c r="F77" s="927">
        <v>702588</v>
      </c>
      <c r="G77" s="836">
        <f t="shared" si="6"/>
        <v>46</v>
      </c>
      <c r="H77" s="837">
        <f>G77+'24'!H77</f>
        <v>-251</v>
      </c>
      <c r="I77" s="899"/>
      <c r="J77" s="839">
        <f>H77/DAY(B2)</f>
        <v>-10.039999999999999</v>
      </c>
      <c r="K77" s="921"/>
      <c r="L77" s="814"/>
      <c r="O77" s="841"/>
    </row>
    <row r="78" spans="1:15">
      <c r="A78" s="929" t="s">
        <v>264</v>
      </c>
      <c r="B78" s="1388"/>
      <c r="C78" s="1388"/>
      <c r="D78" s="834" t="s">
        <v>253</v>
      </c>
      <c r="E78" s="835">
        <f>'24'!F78</f>
        <v>672281</v>
      </c>
      <c r="F78" s="927">
        <v>672382</v>
      </c>
      <c r="G78" s="836">
        <f t="shared" si="6"/>
        <v>101</v>
      </c>
      <c r="H78" s="837">
        <f>G78+'24'!H78</f>
        <v>-650</v>
      </c>
      <c r="I78" s="899"/>
      <c r="J78" s="839">
        <f>H78/DAY(B2)</f>
        <v>-26</v>
      </c>
      <c r="K78" s="921"/>
      <c r="L78" s="814"/>
      <c r="O78" s="841"/>
    </row>
    <row r="79" spans="1:15">
      <c r="A79" s="1548" t="s">
        <v>151</v>
      </c>
      <c r="B79" s="1549"/>
      <c r="C79" s="1550"/>
      <c r="D79" s="868" t="s">
        <v>253</v>
      </c>
      <c r="E79" s="835">
        <f>'24'!F79</f>
        <v>830054</v>
      </c>
      <c r="F79" s="927">
        <v>830175</v>
      </c>
      <c r="G79" s="836">
        <f t="shared" si="6"/>
        <v>121</v>
      </c>
      <c r="H79" s="837">
        <f>G79+'24'!H79</f>
        <v>-1847</v>
      </c>
      <c r="I79" s="899"/>
      <c r="J79" s="839">
        <f>H79/DAY(B2)</f>
        <v>-73.88</v>
      </c>
      <c r="K79" s="921"/>
      <c r="L79" s="814"/>
      <c r="O79" s="841"/>
    </row>
    <row r="80" spans="1:15">
      <c r="A80" s="1548" t="s">
        <v>265</v>
      </c>
      <c r="B80" s="1549"/>
      <c r="C80" s="1550"/>
      <c r="D80" s="868" t="s">
        <v>253</v>
      </c>
      <c r="E80" s="835">
        <f>'24'!F80</f>
        <v>525089.04</v>
      </c>
      <c r="F80" s="927">
        <v>525454.12</v>
      </c>
      <c r="G80" s="836">
        <f t="shared" si="6"/>
        <v>365.07999999995809</v>
      </c>
      <c r="H80" s="837">
        <f>G80+'24'!H80</f>
        <v>-5091.4000000000233</v>
      </c>
      <c r="I80" s="899"/>
      <c r="J80" s="839">
        <f>H80/DAY(B2)</f>
        <v>-203.65600000000094</v>
      </c>
      <c r="K80" s="921"/>
      <c r="L80" s="814"/>
      <c r="O80" s="841"/>
    </row>
    <row r="81" spans="1:15">
      <c r="A81" s="1548" t="s">
        <v>266</v>
      </c>
      <c r="B81" s="1549"/>
      <c r="C81" s="1550"/>
      <c r="D81" s="868" t="s">
        <v>253</v>
      </c>
      <c r="E81" s="835">
        <f>'24'!F81</f>
        <v>638300.04</v>
      </c>
      <c r="F81" s="927">
        <v>638389.16</v>
      </c>
      <c r="G81" s="836">
        <f t="shared" si="6"/>
        <v>89.119999999995343</v>
      </c>
      <c r="H81" s="837">
        <f>G81+'24'!H81</f>
        <v>-508.8399999999674</v>
      </c>
      <c r="I81" s="899"/>
      <c r="J81" s="839">
        <f>H81/DAY(B2)</f>
        <v>-20.353599999998696</v>
      </c>
      <c r="K81" s="921"/>
      <c r="L81" s="814"/>
      <c r="O81" s="841"/>
    </row>
    <row r="82" spans="1:15">
      <c r="A82" s="1548" t="s">
        <v>267</v>
      </c>
      <c r="B82" s="1549"/>
      <c r="C82" s="1550"/>
      <c r="D82" s="869" t="s">
        <v>198</v>
      </c>
      <c r="E82" s="835">
        <f>'24'!F82</f>
        <v>108055.15</v>
      </c>
      <c r="F82" s="986">
        <v>108065.74</v>
      </c>
      <c r="G82" s="836">
        <f t="shared" si="6"/>
        <v>10.590000000011059</v>
      </c>
      <c r="H82" s="837">
        <f>G82+'24'!H82</f>
        <v>-92.259999999994761</v>
      </c>
      <c r="I82" s="870"/>
      <c r="J82" s="839">
        <f>H82/DAY(B2)</f>
        <v>-3.6903999999997903</v>
      </c>
      <c r="K82" s="921"/>
      <c r="L82" s="814"/>
      <c r="N82" s="1003">
        <f>371*0.99</f>
        <v>367.29</v>
      </c>
      <c r="O82" s="841"/>
    </row>
    <row r="83" spans="1:15">
      <c r="A83" s="1548" t="s">
        <v>268</v>
      </c>
      <c r="B83" s="1549"/>
      <c r="C83" s="1550"/>
      <c r="D83" s="931" t="s">
        <v>198</v>
      </c>
      <c r="E83" s="835">
        <f>'24'!F83</f>
        <v>19231</v>
      </c>
      <c r="F83" s="1363">
        <v>19414</v>
      </c>
      <c r="G83" s="836">
        <f t="shared" si="6"/>
        <v>183</v>
      </c>
      <c r="H83" s="837">
        <f>G83+'24'!H83</f>
        <v>-1092</v>
      </c>
      <c r="I83" s="859"/>
      <c r="J83" s="839">
        <f>H83/DAY(B2)</f>
        <v>-43.68</v>
      </c>
      <c r="K83" s="862"/>
      <c r="L83" s="814"/>
      <c r="O83" s="841"/>
    </row>
    <row r="84" spans="1:15">
      <c r="A84" s="932" t="s">
        <v>166</v>
      </c>
      <c r="B84" s="933"/>
      <c r="C84" s="933"/>
      <c r="D84" s="853" t="s">
        <v>198</v>
      </c>
      <c r="E84" s="835">
        <f>'24'!F84</f>
        <v>494738</v>
      </c>
      <c r="F84" s="934">
        <v>495387</v>
      </c>
      <c r="G84" s="836">
        <f t="shared" si="6"/>
        <v>649</v>
      </c>
      <c r="H84" s="837">
        <f>G84+'24'!H84</f>
        <v>-4907</v>
      </c>
      <c r="I84" s="859"/>
      <c r="J84" s="839">
        <f>H84/DAY(B2)</f>
        <v>-196.28</v>
      </c>
      <c r="K84" s="935"/>
      <c r="L84" s="814"/>
      <c r="O84" s="841"/>
    </row>
    <row r="85" spans="1:15" s="939" customFormat="1">
      <c r="A85" s="936" t="s">
        <v>102</v>
      </c>
      <c r="B85" s="937"/>
      <c r="C85" s="937"/>
      <c r="D85" s="874"/>
      <c r="E85" s="835"/>
      <c r="F85" s="934"/>
      <c r="G85" s="837">
        <f xml:space="preserve"> SUM(G72:G84)</f>
        <v>1705.3199999999665</v>
      </c>
      <c r="H85" s="837">
        <f>G85+'24'!H85</f>
        <v>-11359.729999999965</v>
      </c>
      <c r="I85" s="859"/>
      <c r="J85" s="839">
        <f>H85/DAY(B2)</f>
        <v>-454.3891999999986</v>
      </c>
      <c r="K85" s="935"/>
      <c r="L85" s="938"/>
      <c r="N85" s="1006"/>
      <c r="O85" s="841"/>
    </row>
    <row r="86" spans="1:15" s="949" customFormat="1">
      <c r="A86" s="940" t="s">
        <v>269</v>
      </c>
      <c r="B86" s="941"/>
      <c r="C86" s="941"/>
      <c r="D86" s="942" t="s">
        <v>248</v>
      </c>
      <c r="E86" s="835">
        <f>'24'!F86</f>
        <v>460712.84</v>
      </c>
      <c r="F86" s="943">
        <v>460736.84</v>
      </c>
      <c r="G86" s="944">
        <f t="shared" ref="G86:G91" si="7">F86-E86</f>
        <v>24</v>
      </c>
      <c r="H86" s="944">
        <f t="shared" ref="H86:H88" si="8">G86</f>
        <v>24</v>
      </c>
      <c r="I86" s="945"/>
      <c r="J86" s="946">
        <f>H86/DAY(B2)</f>
        <v>0.96</v>
      </c>
      <c r="K86" s="947"/>
      <c r="L86" s="948"/>
      <c r="N86" s="1007">
        <f>G86/0.995</f>
        <v>24.120603015075378</v>
      </c>
      <c r="O86" s="841"/>
    </row>
    <row r="87" spans="1:15" s="949" customFormat="1">
      <c r="A87" s="940" t="s">
        <v>270</v>
      </c>
      <c r="B87" s="941"/>
      <c r="C87" s="941"/>
      <c r="D87" s="942" t="s">
        <v>248</v>
      </c>
      <c r="E87" s="835">
        <f>'24'!F87</f>
        <v>81237.3</v>
      </c>
      <c r="F87" s="943">
        <v>81270.7</v>
      </c>
      <c r="G87" s="944">
        <f t="shared" si="7"/>
        <v>33.399999999994179</v>
      </c>
      <c r="H87" s="944">
        <f t="shared" si="8"/>
        <v>33.399999999994179</v>
      </c>
      <c r="I87" s="945"/>
      <c r="J87" s="946">
        <f>H87/DAY(B2)</f>
        <v>1.3359999999997672</v>
      </c>
      <c r="K87" s="947"/>
      <c r="L87" s="948"/>
      <c r="N87" s="1007"/>
      <c r="O87" s="841"/>
    </row>
    <row r="88" spans="1:15" s="949" customFormat="1">
      <c r="A88" s="940" t="s">
        <v>158</v>
      </c>
      <c r="B88" s="941"/>
      <c r="C88" s="941"/>
      <c r="D88" s="942" t="s">
        <v>248</v>
      </c>
      <c r="E88" s="835">
        <f>'24'!F88</f>
        <v>152832.03</v>
      </c>
      <c r="F88" s="943">
        <v>152855.96</v>
      </c>
      <c r="G88" s="944">
        <f t="shared" si="7"/>
        <v>23.929999999993015</v>
      </c>
      <c r="H88" s="944">
        <f t="shared" si="8"/>
        <v>23.929999999993015</v>
      </c>
      <c r="I88" s="945"/>
      <c r="J88" s="946">
        <f>H88/DAY(B2)</f>
        <v>0.95719999999972061</v>
      </c>
      <c r="K88" s="947"/>
      <c r="L88" s="948"/>
      <c r="N88" s="1007"/>
      <c r="O88" s="841"/>
    </row>
    <row r="89" spans="1:15" s="949" customFormat="1">
      <c r="A89" s="940" t="s">
        <v>272</v>
      </c>
      <c r="B89" s="941"/>
      <c r="C89" s="941"/>
      <c r="D89" s="942" t="s">
        <v>248</v>
      </c>
      <c r="E89" s="835">
        <f>'24'!F89</f>
        <v>65080.1</v>
      </c>
      <c r="F89" s="943">
        <v>65110</v>
      </c>
      <c r="G89" s="944">
        <f t="shared" si="7"/>
        <v>29.900000000001455</v>
      </c>
      <c r="H89" s="944">
        <f>G89</f>
        <v>29.900000000001455</v>
      </c>
      <c r="I89" s="945"/>
      <c r="J89" s="946">
        <f>H89/DAY(B2)</f>
        <v>1.1960000000000581</v>
      </c>
      <c r="K89" s="947"/>
      <c r="L89" s="948"/>
      <c r="N89" s="1013">
        <f>204/205</f>
        <v>0.99512195121951219</v>
      </c>
      <c r="O89" s="841"/>
    </row>
    <row r="90" spans="1:15" s="949" customFormat="1">
      <c r="A90" s="940" t="s">
        <v>272</v>
      </c>
      <c r="B90" s="941"/>
      <c r="C90" s="941"/>
      <c r="D90" s="942" t="s">
        <v>248</v>
      </c>
      <c r="E90" s="835">
        <f>'24'!F90</f>
        <v>3273.6</v>
      </c>
      <c r="F90" s="943">
        <v>3273.6</v>
      </c>
      <c r="G90" s="944">
        <f t="shared" si="7"/>
        <v>0</v>
      </c>
      <c r="H90" s="944">
        <f>G90</f>
        <v>0</v>
      </c>
      <c r="I90" s="945"/>
      <c r="J90" s="946">
        <f>H90/DAY(B2)</f>
        <v>0</v>
      </c>
      <c r="K90" s="947"/>
      <c r="L90" s="948"/>
      <c r="N90" s="1008"/>
      <c r="O90" s="841"/>
    </row>
    <row r="91" spans="1:15" s="1360" customFormat="1">
      <c r="A91" s="1354" t="s">
        <v>273</v>
      </c>
      <c r="B91" s="1355"/>
      <c r="C91" s="1355"/>
      <c r="D91" s="1356"/>
      <c r="E91" s="871">
        <f>'24'!F91</f>
        <v>27986.7</v>
      </c>
      <c r="F91" s="943">
        <v>27990</v>
      </c>
      <c r="G91" s="854">
        <f t="shared" si="7"/>
        <v>3.2999999999992724</v>
      </c>
      <c r="H91" s="854">
        <f>G91</f>
        <v>3.2999999999992724</v>
      </c>
      <c r="I91" s="1012"/>
      <c r="J91" s="1357"/>
      <c r="K91" s="1358"/>
      <c r="L91" s="1359"/>
      <c r="N91" s="1361"/>
      <c r="O91" s="1362"/>
    </row>
    <row r="92" spans="1:15" s="939" customFormat="1">
      <c r="A92" s="950" t="s">
        <v>274</v>
      </c>
      <c r="B92" s="829"/>
      <c r="C92" s="829"/>
      <c r="D92" s="829"/>
      <c r="E92" s="829"/>
      <c r="F92" s="934"/>
      <c r="G92" s="873"/>
      <c r="H92" s="829"/>
      <c r="I92" s="829"/>
      <c r="J92" s="830"/>
      <c r="K92" s="935"/>
      <c r="L92" s="938"/>
      <c r="N92" s="1006"/>
      <c r="O92" s="841"/>
    </row>
    <row r="93" spans="1:15">
      <c r="A93" s="1539" t="s">
        <v>275</v>
      </c>
      <c r="B93" s="1540"/>
      <c r="C93" s="1541"/>
      <c r="D93" s="834" t="s">
        <v>209</v>
      </c>
      <c r="E93" s="835">
        <f>'24'!F93</f>
        <v>245184</v>
      </c>
      <c r="F93" s="986">
        <v>245238</v>
      </c>
      <c r="G93" s="836">
        <f t="shared" ref="G93:G94" si="9">F93-E93</f>
        <v>54</v>
      </c>
      <c r="H93" s="837">
        <f>G93+'24'!H93</f>
        <v>-150</v>
      </c>
      <c r="I93" s="856"/>
      <c r="J93" s="839">
        <f>H93/DAY(B2)</f>
        <v>-6</v>
      </c>
      <c r="K93" s="862"/>
      <c r="L93" s="814"/>
      <c r="O93" s="841"/>
    </row>
    <row r="94" spans="1:15">
      <c r="A94" s="1539" t="s">
        <v>15</v>
      </c>
      <c r="B94" s="1540"/>
      <c r="C94" s="1541"/>
      <c r="D94" s="834" t="s">
        <v>209</v>
      </c>
      <c r="E94" s="835">
        <f>'24'!F94</f>
        <v>185520</v>
      </c>
      <c r="F94" s="986">
        <v>185617</v>
      </c>
      <c r="G94" s="836">
        <f t="shared" si="9"/>
        <v>97</v>
      </c>
      <c r="H94" s="837">
        <f>G94+'24'!H94</f>
        <v>-504</v>
      </c>
      <c r="I94" s="856"/>
      <c r="J94" s="839">
        <f>H94/DAY(B2)</f>
        <v>-20.16</v>
      </c>
      <c r="K94" s="935"/>
      <c r="L94" s="814"/>
      <c r="O94" s="841"/>
    </row>
    <row r="95" spans="1:15">
      <c r="A95" s="1557" t="s">
        <v>276</v>
      </c>
      <c r="B95" s="1558"/>
      <c r="C95" s="1559"/>
      <c r="D95" s="834"/>
      <c r="E95" s="835">
        <f>'24'!F95</f>
        <v>0</v>
      </c>
      <c r="F95" s="986"/>
      <c r="G95" s="836">
        <f>G93+G94</f>
        <v>151</v>
      </c>
      <c r="H95" s="837">
        <f>G95+'24'!H95</f>
        <v>-730</v>
      </c>
      <c r="I95" s="856"/>
      <c r="J95" s="839">
        <f>H95/DAY(B2)</f>
        <v>-29.2</v>
      </c>
      <c r="K95" s="935"/>
      <c r="L95" s="814"/>
      <c r="O95" s="841"/>
    </row>
    <row r="96" spans="1:15">
      <c r="A96" s="1539" t="s">
        <v>16</v>
      </c>
      <c r="B96" s="1540"/>
      <c r="C96" s="1541"/>
      <c r="D96" s="834" t="s">
        <v>209</v>
      </c>
      <c r="E96" s="835">
        <f>'24'!F96</f>
        <v>413924</v>
      </c>
      <c r="F96" s="986">
        <v>414002</v>
      </c>
      <c r="G96" s="836">
        <f t="shared" ref="G96:G101" si="10">F96-E96</f>
        <v>78</v>
      </c>
      <c r="H96" s="837">
        <f>G96+'24'!H96</f>
        <v>-281</v>
      </c>
      <c r="I96" s="856"/>
      <c r="J96" s="839">
        <f>H96/DAY(B2)</f>
        <v>-11.24</v>
      </c>
      <c r="K96" s="935"/>
      <c r="L96" s="814"/>
      <c r="O96" s="841"/>
    </row>
    <row r="97" spans="1:15">
      <c r="A97" s="863" t="s">
        <v>17</v>
      </c>
      <c r="B97" s="864"/>
      <c r="C97" s="864"/>
      <c r="D97" s="834" t="s">
        <v>209</v>
      </c>
      <c r="E97" s="835">
        <f>'24'!F97</f>
        <v>102578</v>
      </c>
      <c r="F97" s="986">
        <v>102587</v>
      </c>
      <c r="G97" s="836">
        <f t="shared" si="10"/>
        <v>9</v>
      </c>
      <c r="H97" s="837">
        <f>G97+'24'!H97</f>
        <v>-61</v>
      </c>
      <c r="I97" s="856"/>
      <c r="J97" s="839">
        <f>H97/DAY(B2)</f>
        <v>-2.44</v>
      </c>
      <c r="K97" s="831"/>
      <c r="L97" s="814"/>
      <c r="O97" s="841"/>
    </row>
    <row r="98" spans="1:15">
      <c r="A98" s="863" t="s">
        <v>18</v>
      </c>
      <c r="B98" s="864"/>
      <c r="C98" s="864"/>
      <c r="D98" s="834" t="s">
        <v>209</v>
      </c>
      <c r="E98" s="835">
        <f>'24'!F98</f>
        <v>97796</v>
      </c>
      <c r="F98" s="986">
        <v>97809</v>
      </c>
      <c r="G98" s="836">
        <f t="shared" si="10"/>
        <v>13</v>
      </c>
      <c r="H98" s="837">
        <f>G98+'24'!H98</f>
        <v>-141</v>
      </c>
      <c r="I98" s="856"/>
      <c r="J98" s="839">
        <f>H98/DAY(B2)</f>
        <v>-5.64</v>
      </c>
      <c r="K98" s="951"/>
      <c r="L98" s="814"/>
      <c r="O98" s="841"/>
    </row>
    <row r="99" spans="1:15">
      <c r="A99" s="863" t="s">
        <v>19</v>
      </c>
      <c r="B99" s="864"/>
      <c r="C99" s="864"/>
      <c r="D99" s="834" t="s">
        <v>209</v>
      </c>
      <c r="E99" s="835">
        <f>'24'!F99</f>
        <v>149818</v>
      </c>
      <c r="F99" s="986">
        <v>149825</v>
      </c>
      <c r="G99" s="836">
        <f t="shared" si="10"/>
        <v>7</v>
      </c>
      <c r="H99" s="837">
        <f>G99+'24'!H99</f>
        <v>-27</v>
      </c>
      <c r="I99" s="856"/>
      <c r="J99" s="839">
        <f>H99/DAY(B2)</f>
        <v>-1.08</v>
      </c>
      <c r="K99" s="935"/>
      <c r="L99" s="814"/>
      <c r="O99" s="841"/>
    </row>
    <row r="100" spans="1:15">
      <c r="A100" s="863" t="s">
        <v>20</v>
      </c>
      <c r="B100" s="864"/>
      <c r="C100" s="864"/>
      <c r="D100" s="834" t="s">
        <v>209</v>
      </c>
      <c r="E100" s="835">
        <f>'24'!F100</f>
        <v>7328</v>
      </c>
      <c r="F100" s="986">
        <v>7334</v>
      </c>
      <c r="G100" s="836">
        <f t="shared" si="10"/>
        <v>6</v>
      </c>
      <c r="H100" s="837">
        <f>G100+'24'!H100</f>
        <v>-35</v>
      </c>
      <c r="I100" s="856"/>
      <c r="J100" s="839">
        <f>H100/DAY(B2)</f>
        <v>-1.4</v>
      </c>
      <c r="K100" s="935"/>
      <c r="L100" s="814"/>
      <c r="O100" s="841"/>
    </row>
    <row r="101" spans="1:15">
      <c r="A101" s="863" t="s">
        <v>21</v>
      </c>
      <c r="B101" s="864"/>
      <c r="C101" s="864"/>
      <c r="D101" s="834" t="s">
        <v>209</v>
      </c>
      <c r="E101" s="835">
        <f>'24'!F101</f>
        <v>5325</v>
      </c>
      <c r="F101" s="986">
        <v>5341</v>
      </c>
      <c r="G101" s="836">
        <f t="shared" si="10"/>
        <v>16</v>
      </c>
      <c r="H101" s="837">
        <f>G101+'24'!H101</f>
        <v>-50</v>
      </c>
      <c r="I101" s="856"/>
      <c r="J101" s="839">
        <f>H101/DAY(B2)</f>
        <v>-2</v>
      </c>
      <c r="K101" s="935"/>
      <c r="L101" s="814"/>
      <c r="O101" s="841"/>
    </row>
    <row r="102" spans="1:15">
      <c r="A102" s="1557" t="s">
        <v>277</v>
      </c>
      <c r="B102" s="1558"/>
      <c r="C102" s="1559"/>
      <c r="D102" s="868"/>
      <c r="E102" s="868"/>
      <c r="F102" s="934"/>
      <c r="G102" s="952">
        <f>SUM(G96:G101)</f>
        <v>129</v>
      </c>
      <c r="H102" s="837">
        <f>G102+'24'!H102</f>
        <v>-595</v>
      </c>
      <c r="I102" s="953"/>
      <c r="J102" s="839">
        <f>H102/DAY(B2)</f>
        <v>-23.8</v>
      </c>
      <c r="K102" s="935"/>
      <c r="L102" s="814"/>
      <c r="O102" s="841"/>
    </row>
    <row r="103" spans="1:15" s="886" customFormat="1">
      <c r="A103" s="954" t="s">
        <v>278</v>
      </c>
      <c r="B103" s="955"/>
      <c r="C103" s="955"/>
      <c r="D103" s="956"/>
      <c r="E103" s="957"/>
      <c r="F103" s="1374"/>
      <c r="G103" s="959"/>
      <c r="H103" s="960"/>
      <c r="I103" s="961"/>
      <c r="J103" s="962"/>
      <c r="N103" s="1004"/>
      <c r="O103" s="841"/>
    </row>
    <row r="104" spans="1:15" s="886" customFormat="1">
      <c r="A104" s="1568" t="s">
        <v>279</v>
      </c>
      <c r="B104" s="1569"/>
      <c r="C104" s="963"/>
      <c r="D104" s="964"/>
      <c r="E104" s="965"/>
      <c r="F104" s="969"/>
      <c r="G104" s="965"/>
      <c r="H104" s="966"/>
      <c r="I104" s="965"/>
      <c r="J104" s="967"/>
      <c r="N104" s="1004"/>
      <c r="O104" s="841"/>
    </row>
    <row r="105" spans="1:15" s="886" customFormat="1">
      <c r="A105" s="1570" t="s">
        <v>22</v>
      </c>
      <c r="B105" s="1571"/>
      <c r="C105" s="968"/>
      <c r="D105" s="964" t="s">
        <v>209</v>
      </c>
      <c r="E105" s="965">
        <f>'24'!F105</f>
        <v>7484</v>
      </c>
      <c r="F105" s="969">
        <v>7484</v>
      </c>
      <c r="G105" s="965">
        <f>F105-E105</f>
        <v>0</v>
      </c>
      <c r="H105" s="966">
        <f>SUM(G105+'1'!G76)</f>
        <v>57</v>
      </c>
      <c r="I105" s="965"/>
      <c r="J105" s="967">
        <f>H105/DAY(B2)</f>
        <v>2.2799999999999998</v>
      </c>
      <c r="N105" s="1004"/>
      <c r="O105" s="841"/>
    </row>
    <row r="106" spans="1:15" s="886" customFormat="1">
      <c r="A106" s="1570" t="s">
        <v>23</v>
      </c>
      <c r="B106" s="1571"/>
      <c r="C106" s="968"/>
      <c r="D106" s="964" t="s">
        <v>209</v>
      </c>
      <c r="E106" s="965">
        <f>'24'!F106</f>
        <v>35907</v>
      </c>
      <c r="F106" s="969">
        <v>35923</v>
      </c>
      <c r="G106" s="965">
        <f t="shared" ref="G106:G107" si="11">F106-E106</f>
        <v>16</v>
      </c>
      <c r="H106" s="966">
        <f>SUM(G106+'1'!G77)</f>
        <v>65</v>
      </c>
      <c r="I106" s="965"/>
      <c r="J106" s="967">
        <f>H106/DAY(B2)</f>
        <v>2.6</v>
      </c>
      <c r="N106" s="1004"/>
      <c r="O106" s="841"/>
    </row>
    <row r="107" spans="1:15" s="886" customFormat="1">
      <c r="A107" s="1570" t="s">
        <v>24</v>
      </c>
      <c r="B107" s="1572"/>
      <c r="C107" s="1571"/>
      <c r="D107" s="964" t="s">
        <v>209</v>
      </c>
      <c r="E107" s="965">
        <f>'24'!F107</f>
        <v>19685</v>
      </c>
      <c r="F107" s="969">
        <v>19685</v>
      </c>
      <c r="G107" s="965">
        <f t="shared" si="11"/>
        <v>0</v>
      </c>
      <c r="H107" s="966">
        <f>SUM(G107+'1'!G78)</f>
        <v>55</v>
      </c>
      <c r="I107" s="965"/>
      <c r="J107" s="967">
        <f>H107/DAY(B2)</f>
        <v>2.2000000000000002</v>
      </c>
      <c r="N107" s="1004"/>
      <c r="O107" s="841"/>
    </row>
    <row r="108" spans="1:15" s="886" customFormat="1">
      <c r="A108" s="1573" t="s">
        <v>102</v>
      </c>
      <c r="B108" s="1574"/>
      <c r="C108" s="968"/>
      <c r="D108" s="964"/>
      <c r="E108" s="965">
        <f>'24'!F108</f>
        <v>0</v>
      </c>
      <c r="F108" s="969"/>
      <c r="G108" s="965">
        <f>SUM(G105:G107)</f>
        <v>16</v>
      </c>
      <c r="H108" s="966">
        <f>SUM(G108+'1'!G79)</f>
        <v>171</v>
      </c>
      <c r="I108" s="965"/>
      <c r="J108" s="967">
        <f>H108/DAY(B2)</f>
        <v>6.84</v>
      </c>
      <c r="N108" s="1004"/>
      <c r="O108" s="841"/>
    </row>
    <row r="109" spans="1:15" s="886" customFormat="1">
      <c r="A109" s="1575" t="s">
        <v>120</v>
      </c>
      <c r="B109" s="1576"/>
      <c r="C109" s="968"/>
      <c r="D109" s="964" t="s">
        <v>209</v>
      </c>
      <c r="E109" s="965">
        <f>'24'!F109</f>
        <v>0</v>
      </c>
      <c r="F109" s="969"/>
      <c r="G109" s="965"/>
      <c r="H109" s="966"/>
      <c r="I109" s="965"/>
      <c r="J109" s="967"/>
      <c r="N109" s="1004"/>
      <c r="O109" s="841"/>
    </row>
    <row r="110" spans="1:15" s="886" customFormat="1">
      <c r="A110" s="1570" t="s">
        <v>25</v>
      </c>
      <c r="B110" s="1571"/>
      <c r="C110" s="968"/>
      <c r="D110" s="964" t="s">
        <v>209</v>
      </c>
      <c r="E110" s="965">
        <f>'24'!F110</f>
        <v>62370</v>
      </c>
      <c r="F110" s="969">
        <v>62420</v>
      </c>
      <c r="G110" s="965">
        <f>F110-E110</f>
        <v>50</v>
      </c>
      <c r="H110" s="966">
        <f>SUM(G110+'1'!G81)</f>
        <v>144</v>
      </c>
      <c r="I110" s="965"/>
      <c r="J110" s="967">
        <f>H110/DAY(B2)</f>
        <v>5.76</v>
      </c>
      <c r="N110" s="1004"/>
      <c r="O110" s="841"/>
    </row>
    <row r="111" spans="1:15" s="886" customFormat="1">
      <c r="A111" s="1570" t="s">
        <v>26</v>
      </c>
      <c r="B111" s="1571"/>
      <c r="C111" s="968"/>
      <c r="D111" s="964" t="s">
        <v>209</v>
      </c>
      <c r="E111" s="965">
        <f>'24'!F111</f>
        <v>32518</v>
      </c>
      <c r="F111" s="969">
        <v>32518</v>
      </c>
      <c r="G111" s="965">
        <f t="shared" ref="G111:G112" si="12">F111-E111</f>
        <v>0</v>
      </c>
      <c r="H111" s="966">
        <f>SUM(G111+'1'!G82)</f>
        <v>11</v>
      </c>
      <c r="I111" s="965"/>
      <c r="J111" s="967">
        <f>H111/DAY(B2)</f>
        <v>0.44</v>
      </c>
      <c r="N111" s="1004"/>
      <c r="O111" s="841"/>
    </row>
    <row r="112" spans="1:15" s="886" customFormat="1">
      <c r="A112" s="1570" t="s">
        <v>27</v>
      </c>
      <c r="B112" s="1571"/>
      <c r="C112" s="968"/>
      <c r="D112" s="964" t="s">
        <v>209</v>
      </c>
      <c r="E112" s="965">
        <f>'24'!F112</f>
        <v>4527</v>
      </c>
      <c r="F112" s="969">
        <v>4543</v>
      </c>
      <c r="G112" s="965">
        <f t="shared" si="12"/>
        <v>16</v>
      </c>
      <c r="H112" s="966">
        <f>SUM(G112+'1'!G83)</f>
        <v>168</v>
      </c>
      <c r="I112" s="965"/>
      <c r="J112" s="967">
        <f>H112/DAY(B2)</f>
        <v>6.72</v>
      </c>
      <c r="N112" s="1004"/>
      <c r="O112" s="841"/>
    </row>
    <row r="113" spans="1:15" s="886" customFormat="1">
      <c r="A113" s="1577" t="s">
        <v>174</v>
      </c>
      <c r="B113" s="1578"/>
      <c r="C113" s="968"/>
      <c r="D113" s="964"/>
      <c r="E113" s="965">
        <f>'24'!F113</f>
        <v>0</v>
      </c>
      <c r="F113" s="969"/>
      <c r="G113" s="965">
        <f>SUM(G110:G112)</f>
        <v>66</v>
      </c>
      <c r="H113" s="966">
        <f>SUM(G113+'1'!G84)</f>
        <v>893</v>
      </c>
      <c r="I113" s="965"/>
      <c r="J113" s="967">
        <f>H113/DAY(B2)</f>
        <v>35.72</v>
      </c>
      <c r="N113" s="1004"/>
      <c r="O113" s="841"/>
    </row>
    <row r="114" spans="1:15" s="886" customFormat="1">
      <c r="A114" s="1575" t="s">
        <v>280</v>
      </c>
      <c r="B114" s="1576"/>
      <c r="C114" s="968"/>
      <c r="D114" s="964"/>
      <c r="E114" s="965">
        <f>'24'!F114</f>
        <v>0</v>
      </c>
      <c r="F114" s="969"/>
      <c r="G114" s="965"/>
      <c r="H114" s="966"/>
      <c r="I114" s="965"/>
      <c r="J114" s="967">
        <f>H114/DAY(B2)</f>
        <v>0</v>
      </c>
      <c r="N114" s="1004"/>
      <c r="O114" s="841"/>
    </row>
    <row r="115" spans="1:15" s="886" customFormat="1">
      <c r="A115" s="1570" t="s">
        <v>28</v>
      </c>
      <c r="B115" s="1571"/>
      <c r="C115" s="970"/>
      <c r="D115" s="964" t="s">
        <v>209</v>
      </c>
      <c r="E115" s="965">
        <f>'24'!F115</f>
        <v>11444</v>
      </c>
      <c r="F115" s="969">
        <v>11452</v>
      </c>
      <c r="G115" s="969">
        <f>F115-E115</f>
        <v>8</v>
      </c>
      <c r="H115" s="966">
        <f>SUM(G115+'1'!G92)</f>
        <v>8</v>
      </c>
      <c r="I115" s="965"/>
      <c r="J115" s="967">
        <f>H115/DAY(B2)</f>
        <v>0.32</v>
      </c>
      <c r="N115" s="1004"/>
      <c r="O115" s="841"/>
    </row>
    <row r="116" spans="1:15" s="886" customFormat="1">
      <c r="A116" s="1570" t="s">
        <v>29</v>
      </c>
      <c r="B116" s="1571"/>
      <c r="C116" s="970"/>
      <c r="D116" s="964" t="s">
        <v>209</v>
      </c>
      <c r="E116" s="965">
        <f>'24'!F116</f>
        <v>8261</v>
      </c>
      <c r="F116" s="969">
        <v>8273</v>
      </c>
      <c r="G116" s="969">
        <f t="shared" ref="G116:G117" si="13">F116-E116</f>
        <v>12</v>
      </c>
      <c r="H116" s="966">
        <f>SUM(G116+'1'!G93)</f>
        <v>30</v>
      </c>
      <c r="I116" s="965"/>
      <c r="J116" s="967">
        <f>H116/DAY(B2)</f>
        <v>1.2</v>
      </c>
      <c r="N116" s="1004"/>
      <c r="O116" s="841"/>
    </row>
    <row r="117" spans="1:15" s="886" customFormat="1">
      <c r="A117" s="1570" t="s">
        <v>281</v>
      </c>
      <c r="B117" s="1571"/>
      <c r="C117" s="970"/>
      <c r="D117" s="964" t="s">
        <v>209</v>
      </c>
      <c r="E117" s="969"/>
      <c r="F117" s="969"/>
      <c r="G117" s="969">
        <f t="shared" si="13"/>
        <v>0</v>
      </c>
      <c r="H117" s="966">
        <f>SUM(G117+'1'!G94)</f>
        <v>58</v>
      </c>
      <c r="I117" s="965"/>
      <c r="J117" s="967">
        <f>H117/DAY(B2)</f>
        <v>2.3199999999999998</v>
      </c>
      <c r="N117" s="1004"/>
      <c r="O117" s="841"/>
    </row>
    <row r="118" spans="1:15" s="972" customFormat="1">
      <c r="A118" s="1573" t="s">
        <v>102</v>
      </c>
      <c r="B118" s="1574"/>
      <c r="C118" s="970"/>
      <c r="D118" s="971"/>
      <c r="E118" s="969"/>
      <c r="F118" s="969"/>
      <c r="G118" s="969">
        <f>SUM(G115:G117)</f>
        <v>20</v>
      </c>
      <c r="H118" s="966">
        <f>SUM(G118+'1'!G96)</f>
        <v>60</v>
      </c>
      <c r="I118" s="969"/>
      <c r="J118" s="967">
        <f>H118/DAY(B2)</f>
        <v>2.4</v>
      </c>
      <c r="N118" s="1009"/>
      <c r="O118" s="841"/>
    </row>
    <row r="119" spans="1:15" s="764" customFormat="1">
      <c r="A119" s="1579" t="s">
        <v>282</v>
      </c>
      <c r="B119" s="1580"/>
      <c r="C119" s="973"/>
      <c r="D119" s="974" t="s">
        <v>209</v>
      </c>
      <c r="E119" s="975"/>
      <c r="F119" s="976"/>
      <c r="G119" s="976">
        <f>SUM(G19+G93)</f>
        <v>114</v>
      </c>
      <c r="H119" s="966">
        <f>SUM(G119+'1'!G97)</f>
        <v>127</v>
      </c>
      <c r="I119" s="975"/>
      <c r="J119" s="977">
        <f>H119/DAY(B2)</f>
        <v>5.08</v>
      </c>
      <c r="N119" s="1010"/>
      <c r="O119" s="841"/>
    </row>
    <row r="120" spans="1:15" s="764" customFormat="1">
      <c r="A120" s="1579" t="s">
        <v>283</v>
      </c>
      <c r="B120" s="1580"/>
      <c r="C120" s="973"/>
      <c r="D120" s="974" t="s">
        <v>209</v>
      </c>
      <c r="E120" s="975"/>
      <c r="F120" s="976"/>
      <c r="G120" s="976">
        <f>SUM(G96,G97,G98,G100,G101)</f>
        <v>122</v>
      </c>
      <c r="H120" s="966">
        <f>SUM(G120+'1'!G99)</f>
        <v>129</v>
      </c>
      <c r="I120" s="975"/>
      <c r="J120" s="977">
        <f>H120/DAY(B2)</f>
        <v>5.16</v>
      </c>
      <c r="N120" s="1010"/>
      <c r="O120" s="841"/>
    </row>
    <row r="121" spans="1:15" s="764" customFormat="1">
      <c r="A121" s="1579" t="s">
        <v>284</v>
      </c>
      <c r="B121" s="1580"/>
      <c r="C121" s="973"/>
      <c r="D121" s="974" t="s">
        <v>209</v>
      </c>
      <c r="E121" s="975"/>
      <c r="F121" s="969"/>
      <c r="G121" s="969">
        <f>SUM(G113)</f>
        <v>66</v>
      </c>
      <c r="H121" s="966">
        <f>SUM(G121+'1'!G101)</f>
        <v>70</v>
      </c>
      <c r="I121" s="975"/>
      <c r="J121" s="977">
        <f>H121/DAY(B2)</f>
        <v>2.8</v>
      </c>
      <c r="N121" s="1010"/>
      <c r="O121" s="841"/>
    </row>
    <row r="122" spans="1:15" s="886" customFormat="1">
      <c r="A122" s="1581"/>
      <c r="B122" s="1582"/>
      <c r="C122" s="968"/>
      <c r="D122" s="963"/>
      <c r="E122" s="963"/>
      <c r="F122" s="1375"/>
      <c r="G122" s="963"/>
      <c r="H122" s="978"/>
      <c r="I122" s="963"/>
      <c r="J122" s="979"/>
      <c r="N122" s="1004"/>
      <c r="O122" s="841"/>
    </row>
    <row r="123" spans="1:15">
      <c r="A123" s="1560" t="s">
        <v>285</v>
      </c>
      <c r="B123" s="1561"/>
      <c r="C123" s="1562"/>
      <c r="D123" s="829"/>
      <c r="E123" s="829"/>
      <c r="F123" s="934"/>
      <c r="G123" s="861"/>
      <c r="H123" s="861"/>
      <c r="I123" s="861"/>
      <c r="J123" s="980"/>
      <c r="K123" s="935"/>
      <c r="L123" s="814"/>
      <c r="O123" s="841"/>
    </row>
    <row r="124" spans="1:15">
      <c r="A124" s="863" t="s">
        <v>286</v>
      </c>
      <c r="B124" s="864"/>
      <c r="C124" s="864"/>
      <c r="D124" s="834" t="s">
        <v>206</v>
      </c>
      <c r="E124" s="835">
        <f>'24'!F124</f>
        <v>830957</v>
      </c>
      <c r="F124" s="1366">
        <v>831165.4</v>
      </c>
      <c r="G124" s="836">
        <f t="shared" ref="G124:G128" si="14">F124-E124</f>
        <v>208.40000000002328</v>
      </c>
      <c r="H124" s="837">
        <f>G124+'24'!H124</f>
        <v>-1200.5999999999767</v>
      </c>
      <c r="I124" s="953"/>
      <c r="J124" s="839">
        <f>H124/DAY(B2)</f>
        <v>-48.02399999999907</v>
      </c>
      <c r="K124" s="935"/>
      <c r="L124" s="814"/>
      <c r="O124" s="841"/>
    </row>
    <row r="125" spans="1:15">
      <c r="A125" s="863" t="s">
        <v>287</v>
      </c>
      <c r="B125" s="864"/>
      <c r="C125" s="864"/>
      <c r="D125" s="834" t="s">
        <v>206</v>
      </c>
      <c r="E125" s="835">
        <f>'24'!F125</f>
        <v>73583.399999999994</v>
      </c>
      <c r="F125" s="1366">
        <v>73583.399999999994</v>
      </c>
      <c r="G125" s="836">
        <f t="shared" si="14"/>
        <v>0</v>
      </c>
      <c r="H125" s="837">
        <f>G125+'24'!H125</f>
        <v>0</v>
      </c>
      <c r="I125" s="953"/>
      <c r="J125" s="839">
        <f>H125/DAY(B2)</f>
        <v>0</v>
      </c>
      <c r="K125" s="935"/>
      <c r="L125" s="814"/>
      <c r="O125" s="841"/>
    </row>
    <row r="126" spans="1:15">
      <c r="A126" s="1545" t="s">
        <v>288</v>
      </c>
      <c r="B126" s="1546"/>
      <c r="C126" s="1547"/>
      <c r="D126" s="834" t="s">
        <v>206</v>
      </c>
      <c r="E126" s="835">
        <f>'24'!F126</f>
        <v>146037.63</v>
      </c>
      <c r="F126" s="1366">
        <v>146111.75</v>
      </c>
      <c r="G126" s="836">
        <f t="shared" si="14"/>
        <v>74.119999999995343</v>
      </c>
      <c r="H126" s="837">
        <f>G126+'24'!H126</f>
        <v>-379.25</v>
      </c>
      <c r="I126" s="953"/>
      <c r="J126" s="839">
        <f>H126/DAY(B2)</f>
        <v>-15.17</v>
      </c>
      <c r="K126" s="935"/>
      <c r="L126" s="814"/>
      <c r="O126" s="841"/>
    </row>
    <row r="127" spans="1:15">
      <c r="A127" s="982" t="s">
        <v>289</v>
      </c>
      <c r="B127" s="864"/>
      <c r="C127" s="864"/>
      <c r="D127" s="834" t="s">
        <v>206</v>
      </c>
      <c r="E127" s="835">
        <f>'24'!F127</f>
        <v>31404.2</v>
      </c>
      <c r="F127" s="1366">
        <v>31404.2</v>
      </c>
      <c r="G127" s="836">
        <f t="shared" si="14"/>
        <v>0</v>
      </c>
      <c r="H127" s="837">
        <f>G127+'24'!H127</f>
        <v>-1.7999999999992724</v>
      </c>
      <c r="I127" s="953"/>
      <c r="J127" s="839">
        <f>H127/DAY(B2)</f>
        <v>-7.1999999999970893E-2</v>
      </c>
      <c r="K127" s="935"/>
      <c r="L127" s="814"/>
      <c r="O127" s="841"/>
    </row>
    <row r="128" spans="1:15">
      <c r="A128" s="982" t="s">
        <v>290</v>
      </c>
      <c r="B128" s="864"/>
      <c r="C128" s="864"/>
      <c r="D128" s="834" t="s">
        <v>206</v>
      </c>
      <c r="E128" s="835">
        <f>'24'!F128</f>
        <v>8970.6</v>
      </c>
      <c r="F128" s="1366">
        <v>8970.6</v>
      </c>
      <c r="G128" s="836">
        <f t="shared" si="14"/>
        <v>0</v>
      </c>
      <c r="H128" s="837">
        <f>G128+'24'!H128</f>
        <v>-1.3999999999996362</v>
      </c>
      <c r="I128" s="856"/>
      <c r="J128" s="839">
        <f>H128/DAY(B2)</f>
        <v>-5.599999999998545E-2</v>
      </c>
      <c r="K128" s="935"/>
      <c r="L128" s="814"/>
      <c r="O128" s="841"/>
    </row>
    <row r="129" spans="1:16">
      <c r="A129" s="982" t="s">
        <v>291</v>
      </c>
      <c r="B129" s="864"/>
      <c r="C129" s="864"/>
      <c r="D129" s="834"/>
      <c r="E129" s="835"/>
      <c r="F129" s="1366"/>
      <c r="G129" s="836">
        <f>G15-SUM(G124:G128)</f>
        <v>267.47999999998137</v>
      </c>
      <c r="H129" s="837">
        <f>G129+'24'!H129</f>
        <v>2888.0499999999756</v>
      </c>
      <c r="I129" s="856"/>
      <c r="J129" s="839">
        <f>H129/DAY(B2)</f>
        <v>115.52199999999903</v>
      </c>
      <c r="K129" s="935"/>
      <c r="L129" s="814"/>
      <c r="O129" s="841"/>
    </row>
    <row r="130" spans="1:16">
      <c r="A130" s="983" t="s">
        <v>292</v>
      </c>
      <c r="B130" s="828"/>
      <c r="C130" s="828"/>
      <c r="D130" s="828"/>
      <c r="E130" s="828"/>
      <c r="F130" s="1363"/>
      <c r="G130" s="984"/>
      <c r="H130" s="984"/>
      <c r="I130" s="984"/>
      <c r="J130" s="985"/>
      <c r="O130" s="841"/>
    </row>
    <row r="131" spans="1:16">
      <c r="A131" s="863" t="s">
        <v>293</v>
      </c>
      <c r="B131" s="864"/>
      <c r="C131" s="864"/>
      <c r="D131" s="834" t="s">
        <v>294</v>
      </c>
      <c r="E131" s="835">
        <f>'24'!F131</f>
        <v>0</v>
      </c>
      <c r="F131" s="986">
        <v>0</v>
      </c>
      <c r="G131" s="836">
        <f t="shared" ref="G131:G141" si="15">F131-E131</f>
        <v>0</v>
      </c>
      <c r="H131" s="837">
        <f>G131+'24'!H131</f>
        <v>0</v>
      </c>
      <c r="I131" s="856"/>
      <c r="J131" s="839">
        <f>H131/DAY(B2)</f>
        <v>0</v>
      </c>
      <c r="O131" s="841"/>
    </row>
    <row r="132" spans="1:16">
      <c r="A132" s="863" t="s">
        <v>295</v>
      </c>
      <c r="B132" s="864"/>
      <c r="C132" s="864"/>
      <c r="D132" s="834" t="s">
        <v>294</v>
      </c>
      <c r="E132" s="835">
        <f>'24'!F132</f>
        <v>0</v>
      </c>
      <c r="F132" s="986">
        <v>0</v>
      </c>
      <c r="G132" s="836">
        <f t="shared" si="15"/>
        <v>0</v>
      </c>
      <c r="H132" s="837">
        <f>G132+'24'!H132</f>
        <v>0</v>
      </c>
      <c r="I132" s="856"/>
      <c r="J132" s="839">
        <f>H132/DAY(B2)</f>
        <v>0</v>
      </c>
      <c r="O132" s="841"/>
    </row>
    <row r="133" spans="1:16">
      <c r="A133" s="863" t="s">
        <v>296</v>
      </c>
      <c r="B133" s="864"/>
      <c r="C133" s="864"/>
      <c r="D133" s="834" t="s">
        <v>294</v>
      </c>
      <c r="E133" s="835">
        <f>'24'!F133</f>
        <v>40059.1</v>
      </c>
      <c r="F133" s="986">
        <v>40059.1</v>
      </c>
      <c r="G133" s="836">
        <f t="shared" si="15"/>
        <v>0</v>
      </c>
      <c r="H133" s="837">
        <f>G133+'24'!H133</f>
        <v>24</v>
      </c>
      <c r="I133" s="856"/>
      <c r="J133" s="839">
        <f>H133/DAY(B2)</f>
        <v>0.96</v>
      </c>
      <c r="O133" s="841"/>
      <c r="P133" s="801">
        <f>49-24</f>
        <v>25</v>
      </c>
    </row>
    <row r="134" spans="1:16">
      <c r="A134" s="863" t="s">
        <v>297</v>
      </c>
      <c r="B134" s="864"/>
      <c r="C134" s="864"/>
      <c r="D134" s="834" t="s">
        <v>294</v>
      </c>
      <c r="E134" s="835">
        <f>'24'!F134</f>
        <v>300</v>
      </c>
      <c r="F134" s="986">
        <v>300</v>
      </c>
      <c r="G134" s="836">
        <f t="shared" si="15"/>
        <v>0</v>
      </c>
      <c r="H134" s="837">
        <f>G134+'24'!H134</f>
        <v>0</v>
      </c>
      <c r="I134" s="856">
        <f>G131+G132+G133+G134</f>
        <v>0</v>
      </c>
      <c r="J134" s="839">
        <f>H134/DAY(B2)</f>
        <v>0</v>
      </c>
      <c r="O134" s="841"/>
    </row>
    <row r="135" spans="1:16">
      <c r="A135" s="863" t="s">
        <v>298</v>
      </c>
      <c r="B135" s="864"/>
      <c r="C135" s="864"/>
      <c r="D135" s="834" t="s">
        <v>294</v>
      </c>
      <c r="E135" s="835">
        <f>'24'!F135</f>
        <v>41661.39</v>
      </c>
      <c r="F135" s="986">
        <v>41685.300000000003</v>
      </c>
      <c r="G135" s="836">
        <f t="shared" si="15"/>
        <v>23.910000000003492</v>
      </c>
      <c r="H135" s="837">
        <f>G135+'24'!H135</f>
        <v>47.910000000003492</v>
      </c>
      <c r="I135" s="856"/>
      <c r="J135" s="839">
        <f>H135/DAY(B2)</f>
        <v>1.9164000000001398</v>
      </c>
      <c r="O135" s="841"/>
    </row>
    <row r="136" spans="1:16">
      <c r="A136" s="863" t="s">
        <v>299</v>
      </c>
      <c r="B136" s="864"/>
      <c r="C136" s="864"/>
      <c r="D136" s="834" t="s">
        <v>294</v>
      </c>
      <c r="E136" s="835">
        <f>'24'!F136</f>
        <v>32582.93</v>
      </c>
      <c r="F136" s="986">
        <v>32582.93</v>
      </c>
      <c r="G136" s="836">
        <f t="shared" si="15"/>
        <v>0</v>
      </c>
      <c r="H136" s="837">
        <f>G136+'24'!H136</f>
        <v>13</v>
      </c>
      <c r="I136" s="856"/>
      <c r="J136" s="839">
        <f>H136/DAY(B2)</f>
        <v>0.52</v>
      </c>
      <c r="O136" s="841"/>
    </row>
    <row r="137" spans="1:16">
      <c r="A137" s="863" t="s">
        <v>300</v>
      </c>
      <c r="B137" s="864"/>
      <c r="C137" s="864"/>
      <c r="D137" s="834" t="s">
        <v>294</v>
      </c>
      <c r="E137" s="835">
        <f>'24'!F137</f>
        <v>22783.45</v>
      </c>
      <c r="F137" s="986">
        <v>22791.35</v>
      </c>
      <c r="G137" s="836">
        <f t="shared" si="15"/>
        <v>7.8999999999978172</v>
      </c>
      <c r="H137" s="837">
        <f>G137+'24'!H137</f>
        <v>-15.890000000003056</v>
      </c>
      <c r="I137" s="856">
        <f>G135+G136+G137</f>
        <v>31.81000000000131</v>
      </c>
      <c r="J137" s="839">
        <f>H137/DAY(B2)</f>
        <v>-0.63560000000012229</v>
      </c>
      <c r="O137" s="841"/>
    </row>
    <row r="138" spans="1:16">
      <c r="A138" s="863" t="s">
        <v>301</v>
      </c>
      <c r="B138" s="864"/>
      <c r="C138" s="864"/>
      <c r="D138" s="834" t="s">
        <v>294</v>
      </c>
      <c r="E138" s="835">
        <f>'24'!F138</f>
        <v>25051.72</v>
      </c>
      <c r="F138" s="986">
        <v>25051.73</v>
      </c>
      <c r="G138" s="836">
        <f t="shared" si="15"/>
        <v>9.9999999983992893E-3</v>
      </c>
      <c r="H138" s="837">
        <f>G138+'24'!H138</f>
        <v>8.0099999999983993</v>
      </c>
      <c r="I138" s="856"/>
      <c r="J138" s="839">
        <f>H138/DAY(B2)</f>
        <v>0.32039999999993596</v>
      </c>
      <c r="O138" s="841"/>
    </row>
    <row r="139" spans="1:16">
      <c r="A139" s="863" t="s">
        <v>302</v>
      </c>
      <c r="B139" s="864"/>
      <c r="C139" s="864"/>
      <c r="D139" s="834" t="s">
        <v>294</v>
      </c>
      <c r="E139" s="835">
        <f>'24'!F139</f>
        <v>70389.350000000006</v>
      </c>
      <c r="F139" s="986">
        <v>70389.350000000006</v>
      </c>
      <c r="G139" s="836">
        <f t="shared" si="15"/>
        <v>0</v>
      </c>
      <c r="H139" s="837">
        <f>G139+'24'!H139</f>
        <v>25.25</v>
      </c>
      <c r="I139" s="856">
        <f>G138+G139</f>
        <v>9.9999999983992893E-3</v>
      </c>
      <c r="J139" s="839">
        <f>H139/DAY(B2)</f>
        <v>1.01</v>
      </c>
      <c r="O139" s="841"/>
    </row>
    <row r="140" spans="1:16">
      <c r="A140" s="863" t="s">
        <v>303</v>
      </c>
      <c r="B140" s="864"/>
      <c r="C140" s="864"/>
      <c r="D140" s="834" t="s">
        <v>294</v>
      </c>
      <c r="E140" s="835">
        <f>'24'!F140</f>
        <v>1801.71</v>
      </c>
      <c r="F140" s="986">
        <v>1809.4</v>
      </c>
      <c r="G140" s="836">
        <f t="shared" si="15"/>
        <v>7.6900000000000546</v>
      </c>
      <c r="H140" s="837">
        <f>G140+'24'!H140</f>
        <v>-44.899999999999864</v>
      </c>
      <c r="I140" s="987"/>
      <c r="J140" s="839">
        <f>H140/DAY(B2)</f>
        <v>-1.7959999999999945</v>
      </c>
      <c r="O140" s="841"/>
    </row>
    <row r="141" spans="1:16">
      <c r="A141" s="863" t="s">
        <v>304</v>
      </c>
      <c r="B141" s="864"/>
      <c r="C141" s="864"/>
      <c r="D141" s="834" t="s">
        <v>294</v>
      </c>
      <c r="E141" s="835">
        <f>'24'!F141</f>
        <v>4636.58</v>
      </c>
      <c r="F141" s="986">
        <v>4636.88</v>
      </c>
      <c r="G141" s="836">
        <f t="shared" si="15"/>
        <v>0.3000000000001819</v>
      </c>
      <c r="H141" s="837">
        <f>G141+'24'!H141</f>
        <v>-0.11999999999989086</v>
      </c>
      <c r="I141" s="987"/>
      <c r="J141" s="839">
        <f>H141/DAY(B2)</f>
        <v>-4.7999999999956341E-3</v>
      </c>
      <c r="O141" s="841"/>
    </row>
    <row r="142" spans="1:16">
      <c r="A142" s="1563" t="s">
        <v>305</v>
      </c>
      <c r="B142" s="1564"/>
      <c r="C142" s="829"/>
      <c r="D142" s="829"/>
      <c r="E142" s="829"/>
      <c r="F142" s="934"/>
      <c r="G142" s="861"/>
      <c r="H142" s="861"/>
      <c r="I142" s="861"/>
      <c r="J142" s="980"/>
      <c r="K142" s="935"/>
      <c r="L142" s="814"/>
      <c r="O142" s="841"/>
    </row>
    <row r="143" spans="1:16">
      <c r="A143" s="1539" t="s">
        <v>306</v>
      </c>
      <c r="B143" s="1540"/>
      <c r="C143" s="1541"/>
      <c r="D143" s="834" t="s">
        <v>198</v>
      </c>
      <c r="E143" s="834"/>
      <c r="F143" s="934"/>
      <c r="G143" s="837">
        <f>G35+G43+G49+G57</f>
        <v>4309.5799999999581</v>
      </c>
      <c r="H143" s="837">
        <f>G143+'24'!H143</f>
        <v>-29217.579999999958</v>
      </c>
      <c r="I143" s="856"/>
      <c r="J143" s="839">
        <f>H143/DAY(B2)</f>
        <v>-1168.7031999999983</v>
      </c>
      <c r="K143" s="935"/>
      <c r="L143" s="814"/>
      <c r="O143" s="841"/>
    </row>
    <row r="144" spans="1:16">
      <c r="A144" s="1539" t="s">
        <v>307</v>
      </c>
      <c r="B144" s="1540"/>
      <c r="C144" s="1541"/>
      <c r="D144" s="834" t="s">
        <v>58</v>
      </c>
      <c r="E144" s="821"/>
      <c r="F144" s="1363"/>
      <c r="G144" s="988">
        <f>G143/G7</f>
        <v>0.25350470588235047</v>
      </c>
      <c r="H144" s="837">
        <f>G144+'24'!H144</f>
        <v>-1.8309876209014015</v>
      </c>
      <c r="I144" s="989"/>
      <c r="J144" s="839">
        <f>H144/DAY(B2)</f>
        <v>-7.3239504836056069E-2</v>
      </c>
      <c r="K144" s="935"/>
      <c r="L144" s="814"/>
      <c r="O144" s="841"/>
    </row>
    <row r="145" spans="1:15">
      <c r="A145" s="1539" t="s">
        <v>308</v>
      </c>
      <c r="B145" s="1540"/>
      <c r="C145" s="1541"/>
      <c r="D145" s="834" t="s">
        <v>198</v>
      </c>
      <c r="E145" s="835"/>
      <c r="F145" s="1340"/>
      <c r="G145" s="837">
        <f>G41+G42+G55+G56</f>
        <v>5004.3399999999747</v>
      </c>
      <c r="H145" s="837">
        <f>G145+'24'!H145</f>
        <v>-31565.690000000024</v>
      </c>
      <c r="I145" s="856"/>
      <c r="J145" s="839">
        <f>H145/DAY(B2)</f>
        <v>-1262.6276000000009</v>
      </c>
      <c r="K145" s="935"/>
      <c r="L145" s="814"/>
      <c r="O145" s="841"/>
    </row>
    <row r="146" spans="1:15">
      <c r="A146" s="1539" t="s">
        <v>309</v>
      </c>
      <c r="B146" s="1540"/>
      <c r="C146" s="1541"/>
      <c r="D146" s="834" t="s">
        <v>58</v>
      </c>
      <c r="E146" s="835"/>
      <c r="F146" s="1340"/>
      <c r="G146" s="988">
        <f>G145/G7</f>
        <v>0.29437294117646912</v>
      </c>
      <c r="H146" s="837">
        <f>G146+'24'!H146</f>
        <v>-1.9936065081332373</v>
      </c>
      <c r="I146" s="989"/>
      <c r="J146" s="839">
        <f>H146/DAY(B2)</f>
        <v>-7.9744260325329497E-2</v>
      </c>
      <c r="K146" s="935"/>
      <c r="L146" s="814"/>
      <c r="O146" s="841"/>
    </row>
    <row r="147" spans="1:15">
      <c r="A147" s="1539" t="s">
        <v>310</v>
      </c>
      <c r="B147" s="1540"/>
      <c r="C147" s="1541"/>
      <c r="D147" s="834" t="s">
        <v>198</v>
      </c>
      <c r="E147" s="835"/>
      <c r="F147" s="1340"/>
      <c r="G147" s="837">
        <f>G39+G53</f>
        <v>2568.5999999999767</v>
      </c>
      <c r="H147" s="837">
        <f>G147+'24'!H147</f>
        <v>-16707.859999999986</v>
      </c>
      <c r="I147" s="990"/>
      <c r="J147" s="839">
        <f>H147/DAY(B2)</f>
        <v>-668.31439999999941</v>
      </c>
      <c r="K147" s="935"/>
      <c r="L147" s="814"/>
      <c r="O147" s="841"/>
    </row>
    <row r="148" spans="1:15">
      <c r="A148" s="1539" t="s">
        <v>311</v>
      </c>
      <c r="B148" s="1540"/>
      <c r="C148" s="1541"/>
      <c r="D148" s="834" t="s">
        <v>58</v>
      </c>
      <c r="E148" s="835"/>
      <c r="F148" s="1340"/>
      <c r="G148" s="988">
        <f>G147/G7</f>
        <v>0.15109411764705746</v>
      </c>
      <c r="H148" s="837">
        <f>G148+'24'!H148</f>
        <v>-1.0603890815632497</v>
      </c>
      <c r="I148" s="990"/>
      <c r="J148" s="839">
        <f>H148/DAY(B2)</f>
        <v>-4.2415563262529987E-2</v>
      </c>
      <c r="O148" s="841"/>
    </row>
    <row r="149" spans="1:15">
      <c r="A149" s="1539" t="s">
        <v>312</v>
      </c>
      <c r="B149" s="1540"/>
      <c r="C149" s="1541"/>
      <c r="D149" s="834" t="s">
        <v>248</v>
      </c>
      <c r="E149" s="835"/>
      <c r="F149" s="1340"/>
      <c r="G149" s="837">
        <f>G38+G52</f>
        <v>1212.3300000000163</v>
      </c>
      <c r="H149" s="837">
        <f>G149+'24'!H149</f>
        <v>-7395.8900000000431</v>
      </c>
      <c r="I149" s="856"/>
      <c r="J149" s="839">
        <f>H149/DAY(B2)</f>
        <v>-295.8356000000017</v>
      </c>
      <c r="K149" s="991"/>
      <c r="O149" s="841"/>
    </row>
    <row r="150" spans="1:15">
      <c r="A150" s="1539" t="s">
        <v>313</v>
      </c>
      <c r="B150" s="1540"/>
      <c r="C150" s="1541"/>
      <c r="D150" s="834" t="s">
        <v>58</v>
      </c>
      <c r="E150" s="835"/>
      <c r="F150" s="1340"/>
      <c r="G150" s="988">
        <f>G149/G7</f>
        <v>7.1313529411765664E-2</v>
      </c>
      <c r="H150" s="837">
        <f>G150+'24'!H150</f>
        <v>-0.4672470994511953</v>
      </c>
      <c r="I150" s="990"/>
      <c r="J150" s="839">
        <f>H150/DAY(B2)</f>
        <v>-1.8689883978047814E-2</v>
      </c>
      <c r="O150" s="841"/>
    </row>
    <row r="151" spans="1:15">
      <c r="A151" s="1539" t="s">
        <v>314</v>
      </c>
      <c r="B151" s="1540"/>
      <c r="C151" s="1541"/>
      <c r="D151" s="834" t="s">
        <v>248</v>
      </c>
      <c r="E151" s="835"/>
      <c r="F151" s="1340"/>
      <c r="G151" s="837">
        <f>G36+G50</f>
        <v>860.51999999996042</v>
      </c>
      <c r="H151" s="837">
        <f>G151+'24'!H151</f>
        <v>341125.11</v>
      </c>
      <c r="I151" s="990"/>
      <c r="J151" s="839">
        <f>H151/DAY(B2)</f>
        <v>13645.0044</v>
      </c>
      <c r="O151" s="841"/>
    </row>
    <row r="152" spans="1:15">
      <c r="A152" s="1539" t="s">
        <v>315</v>
      </c>
      <c r="B152" s="1540"/>
      <c r="C152" s="1541"/>
      <c r="D152" s="834" t="s">
        <v>58</v>
      </c>
      <c r="E152" s="835"/>
      <c r="F152" s="1340"/>
      <c r="G152" s="988">
        <f>G151/G7</f>
        <v>5.0618823529409433E-2</v>
      </c>
      <c r="H152" s="837">
        <f>G152+'24'!H152</f>
        <v>20.024899174434243</v>
      </c>
      <c r="I152" s="856"/>
      <c r="J152" s="839">
        <f>H152/DAY(B2)</f>
        <v>0.80099596697736974</v>
      </c>
      <c r="O152" s="841"/>
    </row>
    <row r="153" spans="1:15">
      <c r="A153" s="1539" t="s">
        <v>316</v>
      </c>
      <c r="B153" s="1540"/>
      <c r="C153" s="1541"/>
      <c r="D153" s="834" t="s">
        <v>248</v>
      </c>
      <c r="E153" s="835"/>
      <c r="F153" s="1340"/>
      <c r="G153" s="837">
        <f>G37+G51</f>
        <v>1247.8499999999913</v>
      </c>
      <c r="H153" s="837">
        <f>G153+'24'!H153</f>
        <v>-7835.4000000000087</v>
      </c>
      <c r="I153" s="856"/>
      <c r="J153" s="839">
        <f>H153/DAY(B2)</f>
        <v>-313.41600000000034</v>
      </c>
      <c r="O153" s="841"/>
    </row>
    <row r="154" spans="1:15" ht="21" thickBot="1">
      <c r="A154" s="1565" t="s">
        <v>317</v>
      </c>
      <c r="B154" s="1566"/>
      <c r="C154" s="1567"/>
      <c r="D154" s="992" t="s">
        <v>58</v>
      </c>
      <c r="E154" s="993"/>
      <c r="F154" s="1376"/>
      <c r="G154" s="994">
        <f>G153/G7</f>
        <v>7.3402941176470074E-2</v>
      </c>
      <c r="H154" s="837">
        <f>G154+'24'!H154</f>
        <v>-0.49194777136842804</v>
      </c>
      <c r="I154" s="995"/>
      <c r="J154" s="996">
        <f>H154/DAY(B2)</f>
        <v>-1.9677910854737121E-2</v>
      </c>
      <c r="O154" s="841"/>
    </row>
    <row r="155" spans="1:15">
      <c r="A155" s="997"/>
      <c r="B155" s="997"/>
      <c r="C155" s="997"/>
      <c r="D155" s="997"/>
      <c r="E155" s="997"/>
      <c r="F155" s="1377"/>
      <c r="G155" s="997"/>
      <c r="H155" s="998"/>
      <c r="I155" s="997"/>
      <c r="J155" s="999"/>
      <c r="O155" s="841"/>
    </row>
    <row r="161" spans="1:7">
      <c r="A161" s="987" t="s">
        <v>318</v>
      </c>
      <c r="B161" s="987"/>
      <c r="C161" s="987"/>
      <c r="D161" s="821" t="s">
        <v>253</v>
      </c>
      <c r="E161" s="835">
        <f>'24'!F161</f>
        <v>37863.18</v>
      </c>
      <c r="F161" s="1378">
        <v>37945.339999999997</v>
      </c>
      <c r="G161" s="836">
        <f t="shared" ref="G161:G164" si="16">F161-E161</f>
        <v>82.159999999996217</v>
      </c>
    </row>
    <row r="162" spans="1:7" ht="21.75" customHeight="1">
      <c r="A162" s="987" t="s">
        <v>319</v>
      </c>
      <c r="B162" s="987"/>
      <c r="C162" s="987"/>
      <c r="D162" s="821" t="s">
        <v>253</v>
      </c>
      <c r="E162" s="835">
        <f>'24'!F162</f>
        <v>92088.62</v>
      </c>
      <c r="F162" s="1378">
        <v>92482.99</v>
      </c>
      <c r="G162" s="836">
        <f t="shared" si="16"/>
        <v>394.3700000000099</v>
      </c>
    </row>
    <row r="163" spans="1:7" ht="21.75" customHeight="1">
      <c r="A163" s="987" t="s">
        <v>320</v>
      </c>
      <c r="B163" s="987"/>
      <c r="C163" s="987"/>
      <c r="D163" s="821" t="s">
        <v>253</v>
      </c>
      <c r="E163" s="835">
        <f>'24'!F163</f>
        <v>43511.01</v>
      </c>
      <c r="F163" s="1378">
        <v>43713.43</v>
      </c>
      <c r="G163" s="836">
        <f t="shared" si="16"/>
        <v>202.41999999999825</v>
      </c>
    </row>
    <row r="164" spans="1:7" ht="21.75" customHeight="1">
      <c r="A164" s="987" t="s">
        <v>321</v>
      </c>
      <c r="B164" s="987"/>
      <c r="C164" s="987"/>
      <c r="D164" s="821" t="s">
        <v>253</v>
      </c>
      <c r="E164" s="835">
        <f>'24'!F164</f>
        <v>6509.7</v>
      </c>
      <c r="F164" s="1378">
        <v>6516.74</v>
      </c>
      <c r="G164" s="836">
        <f t="shared" si="16"/>
        <v>7.0399999999999636</v>
      </c>
    </row>
    <row r="165" spans="1:7" ht="21.75" customHeight="1">
      <c r="A165" s="917" t="s">
        <v>252</v>
      </c>
      <c r="B165" s="917"/>
      <c r="C165" s="917"/>
      <c r="D165" s="821" t="s">
        <v>253</v>
      </c>
      <c r="E165" s="918">
        <f>E62</f>
        <v>20419</v>
      </c>
      <c r="F165" s="1372">
        <f>F62</f>
        <v>20419</v>
      </c>
      <c r="G165" s="836">
        <f t="shared" ref="G165:G172" si="17">F165-E165</f>
        <v>0</v>
      </c>
    </row>
    <row r="166" spans="1:7" ht="21.75" customHeight="1">
      <c r="A166" s="917" t="s">
        <v>254</v>
      </c>
      <c r="B166" s="917"/>
      <c r="C166" s="917"/>
      <c r="D166" s="821" t="s">
        <v>253</v>
      </c>
      <c r="E166" s="918">
        <f t="shared" ref="E166:E172" si="18">E63</f>
        <v>2449.7199999999998</v>
      </c>
      <c r="F166" s="1372">
        <f t="shared" ref="F166:F172" si="19">F63</f>
        <v>2453.4699999999998</v>
      </c>
      <c r="G166" s="836">
        <f t="shared" si="17"/>
        <v>3.75</v>
      </c>
    </row>
    <row r="167" spans="1:7" ht="21.75" customHeight="1">
      <c r="A167" s="1583" t="s">
        <v>161</v>
      </c>
      <c r="B167" s="1583"/>
      <c r="C167" s="1583"/>
      <c r="D167" s="834" t="s">
        <v>253</v>
      </c>
      <c r="E167" s="918">
        <f t="shared" si="18"/>
        <v>158599.99</v>
      </c>
      <c r="F167" s="1372">
        <f t="shared" si="19"/>
        <v>158798.06</v>
      </c>
      <c r="G167" s="836">
        <f t="shared" si="17"/>
        <v>198.07000000000698</v>
      </c>
    </row>
    <row r="168" spans="1:7" ht="21.75" customHeight="1">
      <c r="A168" s="1583" t="s">
        <v>162</v>
      </c>
      <c r="B168" s="1583"/>
      <c r="C168" s="1583"/>
      <c r="D168" s="834" t="s">
        <v>253</v>
      </c>
      <c r="E168" s="918">
        <f t="shared" si="18"/>
        <v>159470.85</v>
      </c>
      <c r="F168" s="1372">
        <f t="shared" si="19"/>
        <v>159730</v>
      </c>
      <c r="G168" s="836">
        <f t="shared" si="17"/>
        <v>259.14999999999418</v>
      </c>
    </row>
    <row r="169" spans="1:7" ht="21.75" customHeight="1">
      <c r="A169" s="1583" t="s">
        <v>255</v>
      </c>
      <c r="B169" s="1583"/>
      <c r="C169" s="1583"/>
      <c r="D169" s="834" t="s">
        <v>253</v>
      </c>
      <c r="E169" s="918">
        <f t="shared" si="18"/>
        <v>54926.18</v>
      </c>
      <c r="F169" s="1372">
        <f t="shared" si="19"/>
        <v>55178.79</v>
      </c>
      <c r="G169" s="836">
        <f t="shared" si="17"/>
        <v>252.61000000000058</v>
      </c>
    </row>
    <row r="170" spans="1:7">
      <c r="A170" s="1583" t="s">
        <v>157</v>
      </c>
      <c r="B170" s="1583"/>
      <c r="C170" s="1583"/>
      <c r="D170" s="834" t="s">
        <v>253</v>
      </c>
      <c r="E170" s="918">
        <f t="shared" si="18"/>
        <v>249138.4</v>
      </c>
      <c r="F170" s="1372">
        <f t="shared" si="19"/>
        <v>249501.01</v>
      </c>
      <c r="G170" s="836">
        <f t="shared" si="17"/>
        <v>362.61000000001513</v>
      </c>
    </row>
    <row r="171" spans="1:7" ht="24" customHeight="1">
      <c r="A171" s="1583" t="s">
        <v>164</v>
      </c>
      <c r="B171" s="1583"/>
      <c r="C171" s="1583"/>
      <c r="D171" s="834" t="s">
        <v>253</v>
      </c>
      <c r="E171" s="918">
        <f t="shared" si="18"/>
        <v>85321</v>
      </c>
      <c r="F171" s="1372">
        <f t="shared" si="19"/>
        <v>85321</v>
      </c>
      <c r="G171" s="836">
        <f t="shared" si="17"/>
        <v>0</v>
      </c>
    </row>
    <row r="172" spans="1:7">
      <c r="A172" s="1583" t="s">
        <v>165</v>
      </c>
      <c r="B172" s="1583"/>
      <c r="C172" s="1583"/>
      <c r="D172" s="834" t="s">
        <v>253</v>
      </c>
      <c r="E172" s="918">
        <f t="shared" si="18"/>
        <v>80980.38</v>
      </c>
      <c r="F172" s="1372">
        <f t="shared" si="19"/>
        <v>81051.97</v>
      </c>
      <c r="G172" s="836">
        <f t="shared" si="17"/>
        <v>71.589999999996508</v>
      </c>
    </row>
    <row r="173" spans="1:7">
      <c r="G173" s="1002">
        <f>SUM(G161:G172)</f>
        <v>1833.7700000000177</v>
      </c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SheetLayoutView="70" workbookViewId="0">
      <selection activeCell="A33" sqref="A33:J33"/>
    </sheetView>
  </sheetViews>
  <sheetFormatPr defaultColWidth="22.33203125" defaultRowHeight="20.25"/>
  <cols>
    <col min="1" max="1" width="51.21875" style="1000" customWidth="1"/>
    <col min="2" max="2" width="24.88671875" style="1000" customWidth="1"/>
    <col min="3" max="3" width="12.44140625" style="1000" customWidth="1"/>
    <col min="4" max="4" width="13.6640625" style="1000" customWidth="1"/>
    <col min="5" max="5" width="28.109375" style="1000" customWidth="1"/>
    <col min="6" max="6" width="23.77734375" style="1000" customWidth="1"/>
    <col min="7" max="7" width="19.88671875" style="1000" customWidth="1"/>
    <col min="8" max="8" width="39.21875" style="1001" customWidth="1"/>
    <col min="9" max="9" width="12" style="1000" bestFit="1" customWidth="1"/>
    <col min="10" max="10" width="24" style="1002" customWidth="1"/>
    <col min="11" max="11" width="43.21875" style="801" hidden="1" customWidth="1"/>
    <col min="12" max="13" width="0" style="801" hidden="1" customWidth="1"/>
    <col min="14" max="14" width="25.109375" style="1003" customWidth="1"/>
    <col min="15" max="15" width="6.77734375" style="801" bestFit="1" customWidth="1"/>
    <col min="16" max="16384" width="22.33203125" style="801"/>
  </cols>
  <sheetData>
    <row r="1" spans="1:15" ht="20.100000000000001" customHeight="1">
      <c r="A1" s="1528" t="s">
        <v>322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ht="30.75" customHeight="1">
      <c r="A2" s="802" t="s">
        <v>360</v>
      </c>
      <c r="B2" s="1073">
        <v>43947</v>
      </c>
      <c r="C2" s="803" t="s">
        <v>111</v>
      </c>
      <c r="D2" s="1016">
        <v>0.54</v>
      </c>
      <c r="E2" s="805"/>
      <c r="F2" s="805"/>
      <c r="G2" s="805" t="s">
        <v>184</v>
      </c>
      <c r="H2" s="805" t="s">
        <v>40</v>
      </c>
      <c r="I2" s="805" t="s">
        <v>42</v>
      </c>
      <c r="J2" s="806" t="s">
        <v>185</v>
      </c>
    </row>
    <row r="3" spans="1:15" ht="20.100000000000001" customHeight="1">
      <c r="A3" s="807"/>
      <c r="B3" s="808"/>
      <c r="C3" s="803" t="s">
        <v>186</v>
      </c>
      <c r="D3" s="803">
        <v>28</v>
      </c>
      <c r="E3" s="1537" t="s">
        <v>187</v>
      </c>
      <c r="F3" s="1538"/>
      <c r="G3" s="810"/>
      <c r="H3" s="811"/>
      <c r="I3" s="811"/>
      <c r="J3" s="812"/>
      <c r="K3" s="813"/>
      <c r="L3" s="814"/>
    </row>
    <row r="4" spans="1:15" ht="20.100000000000001" customHeight="1">
      <c r="A4" s="815"/>
      <c r="B4" s="816"/>
      <c r="C4" s="803" t="s">
        <v>188</v>
      </c>
      <c r="D4" s="1016">
        <v>0.74</v>
      </c>
      <c r="E4" s="817"/>
      <c r="F4" s="817"/>
      <c r="G4" s="817"/>
      <c r="H4" s="817"/>
      <c r="I4" s="818"/>
      <c r="J4" s="812"/>
      <c r="K4" s="819"/>
      <c r="L4" s="814"/>
    </row>
    <row r="5" spans="1:15" ht="22.5" customHeight="1">
      <c r="A5" s="820" t="s">
        <v>189</v>
      </c>
      <c r="B5" s="821"/>
      <c r="C5" s="821"/>
      <c r="D5" s="821" t="s">
        <v>190</v>
      </c>
      <c r="E5" s="822" t="s">
        <v>191</v>
      </c>
      <c r="F5" s="822" t="s">
        <v>177</v>
      </c>
      <c r="G5" s="823" t="s">
        <v>192</v>
      </c>
      <c r="H5" s="824" t="s">
        <v>193</v>
      </c>
      <c r="I5" s="825" t="s">
        <v>194</v>
      </c>
      <c r="J5" s="826" t="s">
        <v>195</v>
      </c>
      <c r="K5" s="827"/>
      <c r="L5" s="814"/>
    </row>
    <row r="6" spans="1:15" ht="20.100000000000001" customHeight="1">
      <c r="A6" s="1531" t="s">
        <v>196</v>
      </c>
      <c r="B6" s="1532"/>
      <c r="C6" s="1533"/>
      <c r="D6" s="828"/>
      <c r="E6" s="828"/>
      <c r="F6" s="828"/>
      <c r="G6" s="828"/>
      <c r="H6" s="829"/>
      <c r="I6" s="829"/>
      <c r="J6" s="830"/>
      <c r="K6" s="831"/>
      <c r="L6" s="814"/>
    </row>
    <row r="7" spans="1:15" ht="25.5" customHeight="1" thickBot="1">
      <c r="A7" s="832" t="s">
        <v>197</v>
      </c>
      <c r="B7" s="833"/>
      <c r="C7" s="833"/>
      <c r="D7" s="834" t="s">
        <v>198</v>
      </c>
      <c r="E7" s="835">
        <f>'25'!F7</f>
        <v>776941</v>
      </c>
      <c r="F7" s="835">
        <f>E7+17000</f>
        <v>793941</v>
      </c>
      <c r="G7" s="836">
        <f>F7-E7</f>
        <v>17000</v>
      </c>
      <c r="H7" s="837">
        <f>G7+'25'!H7</f>
        <v>449529</v>
      </c>
      <c r="I7" s="838">
        <f>'1'!I7</f>
        <v>12000</v>
      </c>
      <c r="J7" s="839">
        <f>H7/DAY(B2)</f>
        <v>17289.576923076922</v>
      </c>
      <c r="K7" s="840"/>
      <c r="L7" s="814"/>
      <c r="N7" s="1014"/>
      <c r="O7" s="841"/>
    </row>
    <row r="8" spans="1:15" ht="20.100000000000001" customHeight="1" thickBot="1">
      <c r="A8" s="842" t="s">
        <v>199</v>
      </c>
      <c r="B8" s="843"/>
      <c r="C8" s="844"/>
      <c r="D8" s="845" t="s">
        <v>59</v>
      </c>
      <c r="E8" s="835">
        <f>'25'!F8</f>
        <v>781795</v>
      </c>
      <c r="F8" s="846">
        <f>E8+17150</f>
        <v>798945</v>
      </c>
      <c r="G8" s="847">
        <f>F8-E8</f>
        <v>17150</v>
      </c>
      <c r="H8" s="837">
        <f>G8+'25'!H8</f>
        <v>452435</v>
      </c>
      <c r="I8" s="848">
        <f>'1'!I8</f>
        <v>12000</v>
      </c>
      <c r="J8" s="839">
        <f>H8/DAY(B2)</f>
        <v>17401.346153846152</v>
      </c>
      <c r="K8" s="840"/>
      <c r="L8" s="849"/>
      <c r="M8" s="850"/>
      <c r="O8" s="841"/>
    </row>
    <row r="9" spans="1:15" ht="20.100000000000001" customHeight="1">
      <c r="A9" s="851" t="s">
        <v>200</v>
      </c>
      <c r="B9" s="852"/>
      <c r="C9" s="852"/>
      <c r="D9" s="834" t="s">
        <v>198</v>
      </c>
      <c r="E9" s="835">
        <f>'25'!F9</f>
        <v>1898372</v>
      </c>
      <c r="F9" s="853">
        <f>E9+16950</f>
        <v>1915322</v>
      </c>
      <c r="G9" s="836">
        <f>F9-E9</f>
        <v>16950</v>
      </c>
      <c r="H9" s="837">
        <f>G9+'25'!H9</f>
        <v>441632</v>
      </c>
      <c r="I9" s="854">
        <f>I8-J8</f>
        <v>-5401.3461538461524</v>
      </c>
      <c r="J9" s="839">
        <f>H9/DAY(B2)</f>
        <v>16985.846153846152</v>
      </c>
      <c r="K9" s="855"/>
      <c r="L9" s="814"/>
      <c r="O9" s="841"/>
    </row>
    <row r="10" spans="1:15" ht="20.100000000000001" customHeight="1">
      <c r="A10" s="832" t="s">
        <v>201</v>
      </c>
      <c r="B10" s="833"/>
      <c r="C10" s="833"/>
      <c r="D10" s="834" t="s">
        <v>198</v>
      </c>
      <c r="E10" s="835">
        <f>'25'!F10</f>
        <v>0</v>
      </c>
      <c r="F10" s="853"/>
      <c r="G10" s="836">
        <f t="shared" ref="G10:G12" si="0">F10-E10</f>
        <v>0</v>
      </c>
      <c r="H10" s="837">
        <f>G10+'25'!H10</f>
        <v>-2606.13</v>
      </c>
      <c r="I10" s="856"/>
      <c r="J10" s="839">
        <f>H10/DAY(B2)</f>
        <v>-100.23576923076924</v>
      </c>
      <c r="K10" s="855"/>
      <c r="L10" s="814"/>
      <c r="O10" s="841"/>
    </row>
    <row r="11" spans="1:15" ht="20.100000000000001" customHeight="1">
      <c r="A11" s="832" t="s">
        <v>202</v>
      </c>
      <c r="B11" s="833"/>
      <c r="C11" s="833"/>
      <c r="D11" s="834" t="s">
        <v>198</v>
      </c>
      <c r="E11" s="835">
        <f>'5'!E11</f>
        <v>37000</v>
      </c>
      <c r="F11" s="835">
        <v>37000</v>
      </c>
      <c r="G11" s="836">
        <f t="shared" si="0"/>
        <v>0</v>
      </c>
      <c r="H11" s="837">
        <f>G11+'25'!H11</f>
        <v>0</v>
      </c>
      <c r="I11" s="856"/>
      <c r="J11" s="839">
        <f>H11/DAY(B2)</f>
        <v>0</v>
      </c>
      <c r="K11" s="855"/>
      <c r="L11" s="814">
        <v>1375467</v>
      </c>
      <c r="N11" s="1015"/>
      <c r="O11" s="841"/>
    </row>
    <row r="12" spans="1:15" ht="20.100000000000001" customHeight="1">
      <c r="A12" s="832" t="s">
        <v>203</v>
      </c>
      <c r="B12" s="833"/>
      <c r="C12" s="833"/>
      <c r="D12" s="834" t="s">
        <v>198</v>
      </c>
      <c r="E12" s="835">
        <f>'5'!E12</f>
        <v>40010</v>
      </c>
      <c r="F12" s="853">
        <v>40010</v>
      </c>
      <c r="G12" s="836">
        <f t="shared" si="0"/>
        <v>0</v>
      </c>
      <c r="H12" s="837">
        <f>G12+'25'!H12</f>
        <v>0</v>
      </c>
      <c r="I12" s="856"/>
      <c r="J12" s="839">
        <f>H12/DAY(B2)</f>
        <v>0</v>
      </c>
      <c r="K12" s="855"/>
      <c r="L12" s="814"/>
      <c r="O12" s="841"/>
    </row>
    <row r="13" spans="1:15" ht="20.100000000000001" customHeight="1">
      <c r="A13" s="857" t="s">
        <v>204</v>
      </c>
      <c r="B13" s="858"/>
      <c r="C13" s="858"/>
      <c r="D13" s="834"/>
      <c r="E13" s="835"/>
      <c r="F13" s="835"/>
      <c r="G13" s="859">
        <f>G9+G10+G11+G12</f>
        <v>16950</v>
      </c>
      <c r="H13" s="837">
        <f>G13+'25'!H13</f>
        <v>422500.87</v>
      </c>
      <c r="I13" s="860">
        <f>G7-G13</f>
        <v>50</v>
      </c>
      <c r="J13" s="839">
        <f>H13/DAY(B2)</f>
        <v>16250.033461538462</v>
      </c>
      <c r="K13" s="855"/>
      <c r="L13" s="814"/>
      <c r="O13" s="841"/>
    </row>
    <row r="14" spans="1:15" ht="28.5" customHeight="1">
      <c r="A14" s="1534" t="s">
        <v>205</v>
      </c>
      <c r="B14" s="1535"/>
      <c r="C14" s="1536"/>
      <c r="D14" s="829"/>
      <c r="E14" s="829"/>
      <c r="F14" s="829"/>
      <c r="G14" s="861"/>
      <c r="H14" s="829"/>
      <c r="I14" s="829"/>
      <c r="J14" s="830"/>
      <c r="K14" s="862"/>
      <c r="L14" s="814">
        <v>1679344</v>
      </c>
      <c r="O14" s="841"/>
    </row>
    <row r="15" spans="1:15">
      <c r="A15" s="863" t="s">
        <v>133</v>
      </c>
      <c r="B15" s="864"/>
      <c r="C15" s="864"/>
      <c r="D15" s="834" t="s">
        <v>206</v>
      </c>
      <c r="E15" s="835">
        <f>'25'!F15</f>
        <v>1697432</v>
      </c>
      <c r="F15" s="865">
        <f>E15+550</f>
        <v>1697982</v>
      </c>
      <c r="G15" s="1012">
        <f>(F15-E15)</f>
        <v>550</v>
      </c>
      <c r="H15" s="837">
        <f>G15+'25'!H15</f>
        <v>13458</v>
      </c>
      <c r="I15" s="838">
        <f>'1'!I15</f>
        <v>800</v>
      </c>
      <c r="J15" s="839">
        <f>H15/DAY(B2)</f>
        <v>517.61538461538464</v>
      </c>
      <c r="K15" s="855"/>
      <c r="L15" s="814"/>
      <c r="O15" s="841"/>
    </row>
    <row r="16" spans="1:15" ht="20.100000000000001" customHeight="1">
      <c r="A16" s="866"/>
      <c r="B16" s="867"/>
      <c r="C16" s="867"/>
      <c r="D16" s="868"/>
      <c r="E16" s="869"/>
      <c r="F16" s="869"/>
      <c r="G16" s="836"/>
      <c r="H16" s="870"/>
      <c r="I16" s="871">
        <f>I15-J15</f>
        <v>282.38461538461536</v>
      </c>
      <c r="J16" s="872"/>
      <c r="K16" s="855"/>
      <c r="L16" s="814">
        <f>L14-L11</f>
        <v>303877</v>
      </c>
      <c r="O16" s="841"/>
    </row>
    <row r="17" spans="1:15" ht="20.100000000000001" customHeight="1">
      <c r="A17" s="1534" t="s">
        <v>207</v>
      </c>
      <c r="B17" s="1535"/>
      <c r="C17" s="1536"/>
      <c r="D17" s="829"/>
      <c r="E17" s="829"/>
      <c r="F17" s="829"/>
      <c r="G17" s="873"/>
      <c r="H17" s="829"/>
      <c r="I17" s="829"/>
      <c r="J17" s="830"/>
      <c r="K17" s="855"/>
      <c r="L17" s="814"/>
      <c r="O17" s="841"/>
    </row>
    <row r="18" spans="1:15" ht="20.100000000000001" customHeight="1">
      <c r="A18" s="1539" t="s">
        <v>208</v>
      </c>
      <c r="B18" s="1540"/>
      <c r="C18" s="1541"/>
      <c r="D18" s="834" t="s">
        <v>209</v>
      </c>
      <c r="E18" s="835">
        <f>'25'!F18</f>
        <v>6</v>
      </c>
      <c r="F18" s="865">
        <v>6</v>
      </c>
      <c r="G18" s="859">
        <f>F18*10</f>
        <v>60</v>
      </c>
      <c r="H18" s="837">
        <f>G18+'25'!H18</f>
        <v>1300</v>
      </c>
      <c r="I18" s="838">
        <f>'1'!I18</f>
        <v>65</v>
      </c>
      <c r="J18" s="839">
        <f>H18/DAY(B2)</f>
        <v>50</v>
      </c>
      <c r="K18" s="855"/>
      <c r="L18" s="814"/>
      <c r="O18" s="841"/>
    </row>
    <row r="19" spans="1:15" ht="20.100000000000001" customHeight="1">
      <c r="A19" s="1539" t="s">
        <v>113</v>
      </c>
      <c r="B19" s="1540"/>
      <c r="C19" s="1541"/>
      <c r="D19" s="834" t="s">
        <v>209</v>
      </c>
      <c r="E19" s="835">
        <f>'25'!F19</f>
        <v>139262</v>
      </c>
      <c r="F19" s="865">
        <v>139315</v>
      </c>
      <c r="G19" s="836">
        <f t="shared" ref="G19" si="1">F19-E19</f>
        <v>53</v>
      </c>
      <c r="H19" s="837">
        <f>G19+'25'!H19</f>
        <v>-297</v>
      </c>
      <c r="I19" s="874"/>
      <c r="J19" s="839">
        <f>H19/DAY(B2)</f>
        <v>-11.423076923076923</v>
      </c>
      <c r="K19" s="855"/>
      <c r="L19" s="814">
        <f>L16/26</f>
        <v>11687.576923076924</v>
      </c>
      <c r="O19" s="841"/>
    </row>
    <row r="20" spans="1:15" ht="20.100000000000001" customHeight="1">
      <c r="A20" s="857" t="s">
        <v>210</v>
      </c>
      <c r="B20" s="858"/>
      <c r="C20" s="858"/>
      <c r="D20" s="875"/>
      <c r="E20" s="875"/>
      <c r="F20" s="875"/>
      <c r="G20" s="876">
        <f>G18+G19</f>
        <v>113</v>
      </c>
      <c r="H20" s="837">
        <f>G20+'25'!H20</f>
        <v>1003</v>
      </c>
      <c r="I20" s="877">
        <f>I18-J20</f>
        <v>26.42307692307692</v>
      </c>
      <c r="J20" s="839">
        <f>H20/DAY(B2)</f>
        <v>38.57692307692308</v>
      </c>
      <c r="K20" s="855"/>
      <c r="L20" s="814"/>
      <c r="O20" s="841"/>
    </row>
    <row r="21" spans="1:15" ht="20.100000000000001" customHeight="1">
      <c r="A21" s="1534" t="s">
        <v>211</v>
      </c>
      <c r="B21" s="1535"/>
      <c r="C21" s="1536"/>
      <c r="D21" s="829"/>
      <c r="E21" s="829"/>
      <c r="F21" s="829"/>
      <c r="G21" s="861"/>
      <c r="H21" s="829"/>
      <c r="I21" s="829"/>
      <c r="J21" s="830"/>
      <c r="K21" s="855"/>
      <c r="L21" s="814" t="e">
        <f>#REF!/G11</f>
        <v>#REF!</v>
      </c>
      <c r="O21" s="841"/>
    </row>
    <row r="22" spans="1:15" ht="20.100000000000001" customHeight="1">
      <c r="A22" s="863" t="s">
        <v>212</v>
      </c>
      <c r="B22" s="864"/>
      <c r="C22" s="864"/>
      <c r="D22" s="834" t="s">
        <v>213</v>
      </c>
      <c r="E22" s="865">
        <f>'25'!F22</f>
        <v>2970</v>
      </c>
      <c r="F22" s="865">
        <v>2970</v>
      </c>
      <c r="G22" s="859">
        <f t="shared" ref="G22:G23" si="2">E22-F22</f>
        <v>0</v>
      </c>
      <c r="H22" s="837">
        <f>G22+'25'!H22</f>
        <v>0</v>
      </c>
      <c r="I22" s="856"/>
      <c r="J22" s="839">
        <f>H22/DAY(B2)</f>
        <v>0</v>
      </c>
      <c r="K22" s="855"/>
      <c r="L22" s="814"/>
      <c r="O22" s="841"/>
    </row>
    <row r="23" spans="1:15" ht="20.100000000000001" customHeight="1">
      <c r="A23" s="863" t="s">
        <v>214</v>
      </c>
      <c r="B23" s="864"/>
      <c r="C23" s="864"/>
      <c r="D23" s="834" t="s">
        <v>213</v>
      </c>
      <c r="E23" s="865">
        <f>'25'!F23</f>
        <v>2000</v>
      </c>
      <c r="F23" s="865">
        <v>2000</v>
      </c>
      <c r="G23" s="859">
        <f t="shared" si="2"/>
        <v>0</v>
      </c>
      <c r="H23" s="837">
        <f>G23+'25'!H23</f>
        <v>0</v>
      </c>
      <c r="I23" s="856"/>
      <c r="J23" s="839">
        <f>H23/DAY(B2)</f>
        <v>0</v>
      </c>
      <c r="K23" s="855"/>
      <c r="L23" s="814"/>
      <c r="O23" s="841"/>
    </row>
    <row r="24" spans="1:15" ht="20.100000000000001" customHeight="1">
      <c r="A24" s="878" t="s">
        <v>215</v>
      </c>
      <c r="B24" s="879"/>
      <c r="C24" s="879"/>
      <c r="D24" s="821" t="s">
        <v>213</v>
      </c>
      <c r="E24" s="865">
        <f>'25'!F24</f>
        <v>4970</v>
      </c>
      <c r="F24" s="880">
        <v>4970</v>
      </c>
      <c r="G24" s="859">
        <f>E24-F24</f>
        <v>0</v>
      </c>
      <c r="H24" s="837">
        <f>G24+'25'!H24</f>
        <v>0</v>
      </c>
      <c r="I24" s="856"/>
      <c r="J24" s="839">
        <f>H24/DAY(B2)</f>
        <v>0</v>
      </c>
      <c r="K24" s="855"/>
      <c r="L24" s="814"/>
      <c r="O24" s="841"/>
    </row>
    <row r="25" spans="1:15" s="886" customFormat="1" ht="18.75" customHeight="1">
      <c r="A25" s="1531" t="s">
        <v>216</v>
      </c>
      <c r="B25" s="1532"/>
      <c r="C25" s="1533"/>
      <c r="D25" s="828"/>
      <c r="E25" s="828"/>
      <c r="F25" s="828"/>
      <c r="G25" s="881"/>
      <c r="H25" s="882"/>
      <c r="I25" s="883"/>
      <c r="J25" s="884"/>
      <c r="K25" s="855"/>
      <c r="L25" s="885"/>
      <c r="N25" s="1004"/>
      <c r="O25" s="841"/>
    </row>
    <row r="26" spans="1:15" s="886" customFormat="1" ht="18.75" customHeight="1">
      <c r="A26" s="887" t="s">
        <v>217</v>
      </c>
      <c r="B26" s="888"/>
      <c r="C26" s="889"/>
      <c r="D26" s="890" t="s">
        <v>218</v>
      </c>
      <c r="E26" s="891"/>
      <c r="F26" s="891"/>
      <c r="G26" s="892"/>
      <c r="H26" s="837"/>
      <c r="I26" s="893"/>
      <c r="J26" s="839"/>
      <c r="K26" s="862"/>
      <c r="L26" s="885"/>
      <c r="N26" s="1004"/>
      <c r="O26" s="841"/>
    </row>
    <row r="27" spans="1:15" s="886" customFormat="1" ht="18.75" customHeight="1">
      <c r="A27" s="887" t="s">
        <v>40</v>
      </c>
      <c r="B27" s="888"/>
      <c r="C27" s="889"/>
      <c r="D27" s="894" t="s">
        <v>59</v>
      </c>
      <c r="E27" s="895">
        <f>G8</f>
        <v>17150</v>
      </c>
      <c r="F27" s="496">
        <v>9</v>
      </c>
      <c r="G27" s="897">
        <f>E27*F27</f>
        <v>154350</v>
      </c>
      <c r="H27" s="837">
        <f>G27+'25'!H27</f>
        <v>4071078</v>
      </c>
      <c r="I27" s="898"/>
      <c r="J27" s="839">
        <f>H27/DAY(B2)</f>
        <v>156579.92307692306</v>
      </c>
      <c r="K27" s="855"/>
      <c r="L27" s="885"/>
      <c r="N27" s="1004"/>
      <c r="O27" s="841"/>
    </row>
    <row r="28" spans="1:15" s="886" customFormat="1" ht="18.75" customHeight="1">
      <c r="A28" s="887" t="s">
        <v>219</v>
      </c>
      <c r="B28" s="888"/>
      <c r="C28" s="889"/>
      <c r="D28" s="894" t="s">
        <v>220</v>
      </c>
      <c r="E28" s="895">
        <f>G15</f>
        <v>550</v>
      </c>
      <c r="F28" s="496">
        <v>52</v>
      </c>
      <c r="G28" s="897">
        <f>E28*F28</f>
        <v>28600</v>
      </c>
      <c r="H28" s="837">
        <f>G28+'25'!H28</f>
        <v>699816</v>
      </c>
      <c r="I28" s="899"/>
      <c r="J28" s="839">
        <f>H28/DAY(B2)</f>
        <v>26916</v>
      </c>
      <c r="K28" s="855"/>
      <c r="L28" s="885"/>
      <c r="N28" s="1004"/>
      <c r="O28" s="841"/>
    </row>
    <row r="29" spans="1:15" s="886" customFormat="1" ht="18.75" customHeight="1">
      <c r="A29" s="887" t="s">
        <v>221</v>
      </c>
      <c r="B29" s="888"/>
      <c r="C29" s="889"/>
      <c r="D29" s="894" t="s">
        <v>222</v>
      </c>
      <c r="E29" s="895">
        <f>G16</f>
        <v>0</v>
      </c>
      <c r="F29" s="896">
        <v>69</v>
      </c>
      <c r="G29" s="897">
        <f>E29*F29</f>
        <v>0</v>
      </c>
      <c r="H29" s="837">
        <f>G29+'25'!H29</f>
        <v>8280</v>
      </c>
      <c r="I29" s="899"/>
      <c r="J29" s="839">
        <f>H29/DAY(B2)</f>
        <v>318.46153846153845</v>
      </c>
      <c r="K29" s="855"/>
      <c r="L29" s="885"/>
      <c r="N29" s="1004"/>
      <c r="O29" s="841"/>
    </row>
    <row r="30" spans="1:15" s="886" customFormat="1" ht="18.75" customHeight="1">
      <c r="A30" s="887" t="s">
        <v>223</v>
      </c>
      <c r="B30" s="888"/>
      <c r="C30" s="889"/>
      <c r="D30" s="894" t="s">
        <v>224</v>
      </c>
      <c r="E30" s="895">
        <f>G19</f>
        <v>53</v>
      </c>
      <c r="F30" s="896">
        <v>146</v>
      </c>
      <c r="G30" s="897">
        <f>E30*F30</f>
        <v>7738</v>
      </c>
      <c r="H30" s="837">
        <f>G30+'25'!H30</f>
        <v>-43362</v>
      </c>
      <c r="I30" s="899"/>
      <c r="J30" s="839">
        <f>H30/DAY(B2)</f>
        <v>-1667.7692307692307</v>
      </c>
      <c r="K30" s="855"/>
      <c r="L30" s="885"/>
      <c r="N30" s="1004"/>
      <c r="O30" s="841"/>
    </row>
    <row r="31" spans="1:15" s="886" customFormat="1" ht="18.75" customHeight="1">
      <c r="A31" s="887" t="s">
        <v>225</v>
      </c>
      <c r="B31" s="888"/>
      <c r="C31" s="889"/>
      <c r="D31" s="894" t="s">
        <v>209</v>
      </c>
      <c r="E31" s="895">
        <f>G18</f>
        <v>60</v>
      </c>
      <c r="F31" s="896">
        <v>80</v>
      </c>
      <c r="G31" s="897">
        <f>E31*F31</f>
        <v>4800</v>
      </c>
      <c r="H31" s="837">
        <f>G31+'25'!H31</f>
        <v>104000</v>
      </c>
      <c r="I31" s="899"/>
      <c r="J31" s="839"/>
      <c r="K31" s="855"/>
      <c r="L31" s="885"/>
      <c r="N31" s="1004"/>
      <c r="O31" s="841"/>
    </row>
    <row r="32" spans="1:15" s="886" customFormat="1" ht="18.75" customHeight="1">
      <c r="A32" s="900" t="s">
        <v>226</v>
      </c>
      <c r="B32" s="901"/>
      <c r="C32" s="902"/>
      <c r="D32" s="903"/>
      <c r="E32" s="903"/>
      <c r="F32" s="903"/>
      <c r="G32" s="904">
        <f>G27+G28+G29+G30+G31</f>
        <v>195488</v>
      </c>
      <c r="H32" s="837">
        <f>G32+'25'!H32</f>
        <v>4839812</v>
      </c>
      <c r="I32" s="905"/>
      <c r="J32" s="839">
        <f>H32/DAY(B2)</f>
        <v>186146.61538461538</v>
      </c>
      <c r="K32" s="855"/>
      <c r="L32" s="885"/>
      <c r="N32" s="1004"/>
      <c r="O32" s="841"/>
    </row>
    <row r="33" spans="1:15" ht="20.100000000000001" customHeight="1">
      <c r="A33" s="1542" t="s">
        <v>227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855"/>
      <c r="L33" s="814"/>
      <c r="O33" s="841"/>
    </row>
    <row r="34" spans="1:15" ht="20.100000000000001" customHeight="1">
      <c r="A34" s="906" t="s">
        <v>228</v>
      </c>
      <c r="B34" s="907"/>
      <c r="C34" s="907"/>
      <c r="D34" s="829"/>
      <c r="E34" s="828"/>
      <c r="F34" s="828"/>
      <c r="G34" s="829"/>
      <c r="H34" s="829"/>
      <c r="I34" s="829"/>
      <c r="J34" s="830"/>
      <c r="K34" s="855"/>
      <c r="L34" s="814"/>
      <c r="O34" s="841"/>
    </row>
    <row r="35" spans="1:15" ht="20.100000000000001" customHeight="1">
      <c r="A35" s="832" t="s">
        <v>229</v>
      </c>
      <c r="B35" s="833"/>
      <c r="C35" s="833"/>
      <c r="D35" s="834" t="s">
        <v>198</v>
      </c>
      <c r="E35" s="835">
        <f>'25'!F35</f>
        <v>935746.79</v>
      </c>
      <c r="F35" s="908">
        <v>938391.75</v>
      </c>
      <c r="G35" s="836">
        <f t="shared" ref="G35:G46" si="3">F35-E35</f>
        <v>2644.9599999999627</v>
      </c>
      <c r="H35" s="837">
        <f>G35+'25'!H35</f>
        <v>-12096.25</v>
      </c>
      <c r="I35" s="835"/>
      <c r="J35" s="839">
        <f>H35/DAY(B2)</f>
        <v>-465.24038461538464</v>
      </c>
      <c r="K35" s="855"/>
      <c r="L35" s="814"/>
      <c r="O35" s="841"/>
    </row>
    <row r="36" spans="1:15" ht="20.100000000000001" customHeight="1">
      <c r="A36" s="832" t="s">
        <v>230</v>
      </c>
      <c r="B36" s="833"/>
      <c r="C36" s="833"/>
      <c r="D36" s="834" t="s">
        <v>198</v>
      </c>
      <c r="E36" s="835">
        <f>'25'!F36</f>
        <v>347065</v>
      </c>
      <c r="F36" s="908">
        <v>347065</v>
      </c>
      <c r="G36" s="836">
        <f t="shared" si="3"/>
        <v>0</v>
      </c>
      <c r="H36" s="837">
        <f>G36+'25'!H36</f>
        <v>346892</v>
      </c>
      <c r="I36" s="835"/>
      <c r="J36" s="839">
        <f>H36/DAY(B2)</f>
        <v>13342</v>
      </c>
      <c r="K36" s="855"/>
      <c r="L36" s="814"/>
      <c r="O36" s="841"/>
    </row>
    <row r="37" spans="1:15" ht="20.100000000000001" customHeight="1">
      <c r="A37" s="832" t="s">
        <v>231</v>
      </c>
      <c r="B37" s="833"/>
      <c r="C37" s="833"/>
      <c r="D37" s="834" t="s">
        <v>198</v>
      </c>
      <c r="E37" s="835">
        <f>'25'!F37</f>
        <v>126400.73</v>
      </c>
      <c r="F37" s="908">
        <v>127744.73</v>
      </c>
      <c r="G37" s="836">
        <f t="shared" si="3"/>
        <v>1344</v>
      </c>
      <c r="H37" s="837">
        <f>G37+'25'!H37</f>
        <v>-6491.2700000000041</v>
      </c>
      <c r="I37" s="835"/>
      <c r="J37" s="839">
        <f>H37/DAY(B2)</f>
        <v>-249.66423076923093</v>
      </c>
      <c r="K37" s="855"/>
      <c r="L37" s="814"/>
      <c r="O37" s="841"/>
    </row>
    <row r="38" spans="1:15" ht="20.100000000000001" customHeight="1">
      <c r="A38" s="832" t="s">
        <v>232</v>
      </c>
      <c r="B38" s="833"/>
      <c r="C38" s="833"/>
      <c r="D38" s="834" t="s">
        <v>198</v>
      </c>
      <c r="E38" s="835">
        <f>'25'!F38</f>
        <v>149009.04</v>
      </c>
      <c r="F38" s="824">
        <v>150235.39000000001</v>
      </c>
      <c r="G38" s="836">
        <f t="shared" si="3"/>
        <v>1226.3500000000058</v>
      </c>
      <c r="H38" s="837">
        <f>G38+'25'!H38</f>
        <v>-6169.609999999986</v>
      </c>
      <c r="I38" s="835"/>
      <c r="J38" s="839">
        <f>H38/DAY(B2)</f>
        <v>-237.29269230769177</v>
      </c>
      <c r="K38" s="855"/>
      <c r="L38" s="814"/>
      <c r="O38" s="841"/>
    </row>
    <row r="39" spans="1:15" ht="20.100000000000001" customHeight="1">
      <c r="A39" s="832" t="s">
        <v>233</v>
      </c>
      <c r="B39" s="833"/>
      <c r="C39" s="833"/>
      <c r="D39" s="834" t="s">
        <v>198</v>
      </c>
      <c r="E39" s="835">
        <f>'25'!F39</f>
        <v>294778.27</v>
      </c>
      <c r="F39" s="908">
        <v>296927.46999999997</v>
      </c>
      <c r="G39" s="836">
        <f t="shared" si="3"/>
        <v>2149.1999999999534</v>
      </c>
      <c r="H39" s="837">
        <f>G39+'25'!H39</f>
        <v>-11245.530000000028</v>
      </c>
      <c r="I39" s="835"/>
      <c r="J39" s="839">
        <f>H39/DAY(B2)</f>
        <v>-432.52038461538569</v>
      </c>
      <c r="K39" s="855"/>
      <c r="L39" s="814"/>
      <c r="O39" s="841"/>
    </row>
    <row r="40" spans="1:15" ht="20.100000000000001" customHeight="1">
      <c r="A40" s="909" t="s">
        <v>234</v>
      </c>
      <c r="B40" s="910"/>
      <c r="C40" s="910"/>
      <c r="D40" s="834" t="s">
        <v>198</v>
      </c>
      <c r="E40" s="835">
        <f>'25'!F40</f>
        <v>686.48</v>
      </c>
      <c r="F40" s="908">
        <v>888.99</v>
      </c>
      <c r="G40" s="836">
        <f t="shared" si="3"/>
        <v>202.51</v>
      </c>
      <c r="H40" s="837">
        <f>G40+'25'!H40</f>
        <v>-9.9999999999909051E-3</v>
      </c>
      <c r="I40" s="835"/>
      <c r="J40" s="839">
        <f>H40/DAY(B2)</f>
        <v>-3.846153846150348E-4</v>
      </c>
      <c r="K40" s="862"/>
      <c r="L40" s="814"/>
      <c r="O40" s="841"/>
    </row>
    <row r="41" spans="1:15" ht="20.100000000000001" customHeight="1">
      <c r="A41" s="832" t="s">
        <v>235</v>
      </c>
      <c r="B41" s="833"/>
      <c r="C41" s="833"/>
      <c r="D41" s="834" t="s">
        <v>198</v>
      </c>
      <c r="E41" s="835">
        <f>'25'!F41</f>
        <v>240478.13</v>
      </c>
      <c r="F41" s="908">
        <v>240478.13</v>
      </c>
      <c r="G41" s="836">
        <f t="shared" si="3"/>
        <v>0</v>
      </c>
      <c r="H41" s="837">
        <f>G41+'25'!H41</f>
        <v>0.13000000000465661</v>
      </c>
      <c r="I41" s="835"/>
      <c r="J41" s="839">
        <f>H41/DAY(B2)</f>
        <v>5.0000000001791008E-3</v>
      </c>
      <c r="K41" s="855"/>
      <c r="L41" s="814"/>
      <c r="O41" s="841"/>
    </row>
    <row r="42" spans="1:15" ht="20.100000000000001" customHeight="1">
      <c r="A42" s="832" t="s">
        <v>236</v>
      </c>
      <c r="B42" s="833"/>
      <c r="C42" s="833"/>
      <c r="D42" s="834" t="s">
        <v>198</v>
      </c>
      <c r="E42" s="835">
        <f>'25'!F42</f>
        <v>59198.97</v>
      </c>
      <c r="F42" s="908">
        <v>59198.97</v>
      </c>
      <c r="G42" s="836">
        <f t="shared" si="3"/>
        <v>0</v>
      </c>
      <c r="H42" s="837">
        <f>G42+'25'!H42</f>
        <v>0</v>
      </c>
      <c r="I42" s="835"/>
      <c r="J42" s="839">
        <f>H42/DAY(B2)</f>
        <v>0</v>
      </c>
      <c r="K42" s="855"/>
      <c r="L42" s="814"/>
      <c r="N42" s="1005">
        <f>3450-G42</f>
        <v>3450</v>
      </c>
      <c r="O42" s="841"/>
    </row>
    <row r="43" spans="1:15" ht="20.100000000000001" customHeight="1">
      <c r="A43" s="832" t="s">
        <v>237</v>
      </c>
      <c r="B43" s="833"/>
      <c r="C43" s="833"/>
      <c r="D43" s="834" t="s">
        <v>198</v>
      </c>
      <c r="E43" s="835">
        <f>'25'!F43</f>
        <v>1028056.5</v>
      </c>
      <c r="F43" s="908">
        <v>1030659.3</v>
      </c>
      <c r="G43" s="836">
        <f t="shared" si="3"/>
        <v>2602.8000000000466</v>
      </c>
      <c r="H43" s="837">
        <f>G43+'25'!H43</f>
        <v>-11584.699999999953</v>
      </c>
      <c r="I43" s="835"/>
      <c r="J43" s="839">
        <f>H43/DAY(B2)</f>
        <v>-445.56538461538281</v>
      </c>
      <c r="K43" s="855"/>
      <c r="L43" s="814"/>
      <c r="O43" s="841"/>
    </row>
    <row r="44" spans="1:15" ht="20.100000000000001" customHeight="1">
      <c r="A44" s="832" t="s">
        <v>238</v>
      </c>
      <c r="B44" s="833"/>
      <c r="C44" s="833"/>
      <c r="D44" s="834" t="s">
        <v>198</v>
      </c>
      <c r="E44" s="835">
        <f>'25'!F44</f>
        <v>0</v>
      </c>
      <c r="F44" s="908">
        <v>0</v>
      </c>
      <c r="G44" s="836">
        <f t="shared" si="3"/>
        <v>0</v>
      </c>
      <c r="H44" s="837">
        <f>G44+'25'!H44</f>
        <v>0</v>
      </c>
      <c r="I44" s="835"/>
      <c r="J44" s="839">
        <f>H44/DAY(B2)</f>
        <v>0</v>
      </c>
      <c r="K44" s="855"/>
      <c r="L44" s="814"/>
      <c r="O44" s="841"/>
    </row>
    <row r="45" spans="1:15" ht="20.100000000000001" customHeight="1">
      <c r="A45" s="832" t="s">
        <v>239</v>
      </c>
      <c r="B45" s="833"/>
      <c r="C45" s="833"/>
      <c r="D45" s="834" t="s">
        <v>198</v>
      </c>
      <c r="E45" s="835">
        <f>'25'!F45</f>
        <v>614</v>
      </c>
      <c r="F45" s="908">
        <v>614</v>
      </c>
      <c r="G45" s="836">
        <f t="shared" si="3"/>
        <v>0</v>
      </c>
      <c r="H45" s="837">
        <f>G45+'25'!H45</f>
        <v>614</v>
      </c>
      <c r="I45" s="835"/>
      <c r="J45" s="839">
        <f>H45/DAY(B2)</f>
        <v>23.615384615384617</v>
      </c>
      <c r="K45" s="855"/>
      <c r="L45" s="814"/>
      <c r="O45" s="841"/>
    </row>
    <row r="46" spans="1:15" ht="20.100000000000001" customHeight="1">
      <c r="A46" s="832" t="s">
        <v>240</v>
      </c>
      <c r="B46" s="833"/>
      <c r="C46" s="833"/>
      <c r="D46" s="834" t="s">
        <v>198</v>
      </c>
      <c r="E46" s="835">
        <f>'25'!F46</f>
        <v>187</v>
      </c>
      <c r="F46" s="908">
        <v>187</v>
      </c>
      <c r="G46" s="836">
        <f t="shared" si="3"/>
        <v>0</v>
      </c>
      <c r="H46" s="837">
        <f>G46+'25'!H46</f>
        <v>186.95</v>
      </c>
      <c r="I46" s="835"/>
      <c r="J46" s="839">
        <f>H46/DAY(B2)</f>
        <v>7.1903846153846152</v>
      </c>
      <c r="K46" s="855"/>
      <c r="L46" s="814"/>
      <c r="O46" s="841"/>
    </row>
    <row r="47" spans="1:15" ht="20.100000000000001" customHeight="1">
      <c r="A47" s="857" t="s">
        <v>241</v>
      </c>
      <c r="B47" s="858"/>
      <c r="C47" s="858"/>
      <c r="D47" s="825"/>
      <c r="E47" s="821"/>
      <c r="F47" s="821"/>
      <c r="G47" s="859">
        <f>G35+G36+G37+G38+G39+G40+G41+G42+G43+G44+G45+G46</f>
        <v>10169.819999999969</v>
      </c>
      <c r="H47" s="837">
        <f>G47+'25'!H47</f>
        <v>300106.20000000007</v>
      </c>
      <c r="I47" s="835"/>
      <c r="J47" s="839">
        <f>H47/DAY(B2)</f>
        <v>11542.546153846157</v>
      </c>
      <c r="K47" s="855"/>
      <c r="L47" s="814"/>
      <c r="N47" s="1005"/>
      <c r="O47" s="841"/>
    </row>
    <row r="48" spans="1:15" ht="20.100000000000001" customHeight="1">
      <c r="A48" s="906" t="s">
        <v>242</v>
      </c>
      <c r="B48" s="907"/>
      <c r="C48" s="907"/>
      <c r="D48" s="829"/>
      <c r="E48" s="828"/>
      <c r="F48" s="828"/>
      <c r="G48" s="829"/>
      <c r="H48" s="829"/>
      <c r="I48" s="829"/>
      <c r="J48" s="830"/>
      <c r="K48" s="855"/>
      <c r="L48" s="814"/>
      <c r="O48" s="841"/>
    </row>
    <row r="49" spans="1:15" ht="20.100000000000001" customHeight="1">
      <c r="A49" s="832" t="s">
        <v>229</v>
      </c>
      <c r="B49" s="911"/>
      <c r="C49" s="911"/>
      <c r="D49" s="834" t="s">
        <v>198</v>
      </c>
      <c r="E49" s="835">
        <f>'25'!F49</f>
        <v>260732.13</v>
      </c>
      <c r="F49" s="908">
        <v>260732.13</v>
      </c>
      <c r="G49" s="836">
        <f t="shared" ref="G49:G58" si="4">F49-E49</f>
        <v>0</v>
      </c>
      <c r="H49" s="837">
        <f>G49+'25'!H49</f>
        <v>0.13000000000465661</v>
      </c>
      <c r="I49" s="835"/>
      <c r="J49" s="839">
        <f>H49/DAY(B2)</f>
        <v>5.0000000001791008E-3</v>
      </c>
      <c r="K49" s="855"/>
      <c r="L49" s="814"/>
      <c r="O49" s="841"/>
    </row>
    <row r="50" spans="1:15" ht="20.100000000000001" customHeight="1">
      <c r="A50" s="832" t="s">
        <v>243</v>
      </c>
      <c r="B50" s="911"/>
      <c r="C50" s="911"/>
      <c r="D50" s="834" t="s">
        <v>198</v>
      </c>
      <c r="E50" s="835">
        <f>'25'!F50</f>
        <v>496769.11</v>
      </c>
      <c r="F50" s="908">
        <v>498182.83</v>
      </c>
      <c r="G50" s="836">
        <f t="shared" si="4"/>
        <v>1413.7200000000303</v>
      </c>
      <c r="H50" s="837">
        <f>G50+'25'!H50</f>
        <v>-5243.1699999999837</v>
      </c>
      <c r="I50" s="835"/>
      <c r="J50" s="839">
        <f>H50/DAY(B2)</f>
        <v>-201.66038461538398</v>
      </c>
      <c r="K50" s="855"/>
      <c r="L50" s="814"/>
      <c r="O50" s="841"/>
    </row>
    <row r="51" spans="1:15" ht="20.100000000000001" customHeight="1">
      <c r="A51" s="832" t="s">
        <v>231</v>
      </c>
      <c r="B51" s="911"/>
      <c r="C51" s="911"/>
      <c r="D51" s="834" t="s">
        <v>198</v>
      </c>
      <c r="E51" s="835">
        <f>'25'!F51</f>
        <v>144639.87</v>
      </c>
      <c r="F51" s="908">
        <v>144639.87</v>
      </c>
      <c r="G51" s="836">
        <f t="shared" si="4"/>
        <v>0</v>
      </c>
      <c r="H51" s="837">
        <f>G51+'25'!H51</f>
        <v>-0.13000000000465661</v>
      </c>
      <c r="I51" s="835"/>
      <c r="J51" s="839">
        <f>H51/DAY(B2)</f>
        <v>-5.0000000001791008E-3</v>
      </c>
      <c r="K51" s="855"/>
      <c r="L51" s="814"/>
      <c r="O51" s="841"/>
    </row>
    <row r="52" spans="1:15" ht="20.100000000000001" customHeight="1">
      <c r="A52" s="832" t="s">
        <v>244</v>
      </c>
      <c r="B52" s="911"/>
      <c r="C52" s="911"/>
      <c r="D52" s="834" t="s">
        <v>198</v>
      </c>
      <c r="E52" s="835">
        <f>'25'!F52</f>
        <v>539606.06999999995</v>
      </c>
      <c r="F52" s="908">
        <v>539606.06999999995</v>
      </c>
      <c r="G52" s="836">
        <f t="shared" si="4"/>
        <v>0</v>
      </c>
      <c r="H52" s="837">
        <f>G52+'25'!H52</f>
        <v>0</v>
      </c>
      <c r="I52" s="835"/>
      <c r="J52" s="839">
        <f>H52/DAY(B2)</f>
        <v>0</v>
      </c>
      <c r="K52" s="855"/>
      <c r="L52" s="814"/>
      <c r="O52" s="841"/>
    </row>
    <row r="53" spans="1:15" ht="20.100000000000001" customHeight="1">
      <c r="A53" s="832" t="s">
        <v>233</v>
      </c>
      <c r="B53" s="911"/>
      <c r="C53" s="911"/>
      <c r="D53" s="834" t="s">
        <v>198</v>
      </c>
      <c r="E53" s="835">
        <f>'25'!F53</f>
        <v>429230.87</v>
      </c>
      <c r="F53" s="908">
        <v>429772.55</v>
      </c>
      <c r="G53" s="836">
        <f t="shared" si="4"/>
        <v>541.67999999999302</v>
      </c>
      <c r="H53" s="837">
        <f>G53+'25'!H53</f>
        <v>-2771.7800000000279</v>
      </c>
      <c r="I53" s="835"/>
      <c r="J53" s="839">
        <f>H53/DAY(B2)</f>
        <v>-106.60692307692415</v>
      </c>
      <c r="K53" s="855"/>
      <c r="L53" s="814"/>
      <c r="O53" s="841"/>
    </row>
    <row r="54" spans="1:15" ht="20.100000000000001" customHeight="1">
      <c r="A54" s="832" t="s">
        <v>245</v>
      </c>
      <c r="B54" s="911"/>
      <c r="C54" s="911"/>
      <c r="D54" s="834" t="s">
        <v>198</v>
      </c>
      <c r="E54" s="835">
        <f>'25'!F54</f>
        <v>13269.62</v>
      </c>
      <c r="F54" s="908">
        <v>13353</v>
      </c>
      <c r="G54" s="836">
        <f t="shared" si="4"/>
        <v>83.3799999999992</v>
      </c>
      <c r="H54" s="837">
        <f>G54+'25'!H54</f>
        <v>-476</v>
      </c>
      <c r="I54" s="835"/>
      <c r="J54" s="839">
        <f>H54/DAY(B2)</f>
        <v>-18.307692307692307</v>
      </c>
      <c r="K54" s="855"/>
      <c r="L54" s="814"/>
      <c r="O54" s="841"/>
    </row>
    <row r="55" spans="1:15" ht="20.100000000000001" customHeight="1">
      <c r="A55" s="832" t="s">
        <v>246</v>
      </c>
      <c r="B55" s="911"/>
      <c r="C55" s="911"/>
      <c r="D55" s="834" t="s">
        <v>198</v>
      </c>
      <c r="E55" s="835">
        <f>'25'!F55</f>
        <v>64199.47</v>
      </c>
      <c r="F55" s="908">
        <v>68110.679999999993</v>
      </c>
      <c r="G55" s="836">
        <f t="shared" si="4"/>
        <v>3911.2099999999919</v>
      </c>
      <c r="H55" s="837">
        <f>G55+'25'!H55</f>
        <v>-0.32000000000698492</v>
      </c>
      <c r="I55" s="835"/>
      <c r="J55" s="839">
        <f>H55/DAY(B2)</f>
        <v>-1.2307692307960959E-2</v>
      </c>
      <c r="K55" s="855"/>
      <c r="L55" s="814"/>
      <c r="O55" s="841"/>
    </row>
    <row r="56" spans="1:15" ht="20.100000000000001" customHeight="1">
      <c r="A56" s="832" t="s">
        <v>247</v>
      </c>
      <c r="B56" s="911"/>
      <c r="C56" s="911"/>
      <c r="D56" s="834" t="s">
        <v>248</v>
      </c>
      <c r="E56" s="835">
        <f>'25'!F56</f>
        <v>589543.71</v>
      </c>
      <c r="F56" s="908">
        <v>591627.75</v>
      </c>
      <c r="G56" s="836">
        <f t="shared" si="4"/>
        <v>2084.0400000000373</v>
      </c>
      <c r="H56" s="837">
        <f>G56+'25'!H56</f>
        <v>-25570.25</v>
      </c>
      <c r="I56" s="835"/>
      <c r="J56" s="839">
        <f>H56/DAY(B2)</f>
        <v>-983.47115384615381</v>
      </c>
      <c r="K56" s="831"/>
      <c r="L56" s="814"/>
      <c r="O56" s="841"/>
    </row>
    <row r="57" spans="1:15" ht="20.100000000000001" customHeight="1">
      <c r="A57" s="832" t="s">
        <v>237</v>
      </c>
      <c r="B57" s="911"/>
      <c r="C57" s="911"/>
      <c r="D57" s="834" t="s">
        <v>198</v>
      </c>
      <c r="E57" s="835">
        <f>'25'!F57</f>
        <v>7711</v>
      </c>
      <c r="F57" s="908">
        <v>7711</v>
      </c>
      <c r="G57" s="836">
        <f t="shared" si="4"/>
        <v>0</v>
      </c>
      <c r="H57" s="837">
        <f>G57+'25'!H57</f>
        <v>0</v>
      </c>
      <c r="I57" s="835"/>
      <c r="J57" s="839">
        <f>H57/DAY(B2)</f>
        <v>0</v>
      </c>
      <c r="K57" s="855"/>
      <c r="L57" s="814"/>
      <c r="O57" s="841"/>
    </row>
    <row r="58" spans="1:15" ht="20.100000000000001" customHeight="1">
      <c r="A58" s="832" t="s">
        <v>249</v>
      </c>
      <c r="B58" s="911"/>
      <c r="C58" s="911"/>
      <c r="D58" s="834" t="s">
        <v>198</v>
      </c>
      <c r="E58" s="835">
        <f>'25'!F58</f>
        <v>48931.51</v>
      </c>
      <c r="F58" s="908">
        <v>48968.68</v>
      </c>
      <c r="G58" s="836">
        <f t="shared" si="4"/>
        <v>37.169999999998254</v>
      </c>
      <c r="H58" s="837">
        <f>G58+'25'!H58</f>
        <v>-895.52999999999884</v>
      </c>
      <c r="I58" s="835"/>
      <c r="J58" s="839">
        <f>H58/DAY(B2)</f>
        <v>-34.443461538461492</v>
      </c>
      <c r="K58" s="855"/>
      <c r="L58" s="814"/>
      <c r="O58" s="841"/>
    </row>
    <row r="59" spans="1:15" ht="20.100000000000001" customHeight="1">
      <c r="A59" s="857" t="s">
        <v>241</v>
      </c>
      <c r="B59" s="858"/>
      <c r="C59" s="858"/>
      <c r="D59" s="821"/>
      <c r="E59" s="821"/>
      <c r="F59" s="821"/>
      <c r="G59" s="859">
        <f>G49+G50+G51+G52+G53+G54+G55+G56+G57+G58</f>
        <v>8071.2000000000498</v>
      </c>
      <c r="H59" s="837">
        <f>G59+'25'!H59</f>
        <v>-34956.980000000061</v>
      </c>
      <c r="I59" s="835">
        <f>G7-G60</f>
        <v>-1241.0200000000186</v>
      </c>
      <c r="J59" s="839">
        <f>H59/DAY(B2)</f>
        <v>-1344.4992307692332</v>
      </c>
      <c r="K59" s="855"/>
      <c r="L59" s="814"/>
      <c r="O59" s="841"/>
    </row>
    <row r="60" spans="1:15" ht="20.100000000000001" customHeight="1">
      <c r="A60" s="832"/>
      <c r="B60" s="833"/>
      <c r="C60" s="833"/>
      <c r="D60" s="821" t="s">
        <v>250</v>
      </c>
      <c r="E60" s="821"/>
      <c r="F60" s="821"/>
      <c r="G60" s="859">
        <f>G47+G59</f>
        <v>18241.020000000019</v>
      </c>
      <c r="H60" s="837">
        <f>G60+'25'!H60</f>
        <v>266357.76000000001</v>
      </c>
      <c r="I60" s="835">
        <f>G13-G60</f>
        <v>-1291.0200000000186</v>
      </c>
      <c r="J60" s="839">
        <f>H60/DAY(B2)</f>
        <v>10244.529230769231</v>
      </c>
      <c r="K60" s="855"/>
      <c r="L60" s="814"/>
      <c r="O60" s="841"/>
    </row>
    <row r="61" spans="1:15" ht="20.100000000000001" customHeight="1">
      <c r="A61" s="912" t="s">
        <v>251</v>
      </c>
      <c r="B61" s="913"/>
      <c r="C61" s="913"/>
      <c r="D61" s="913"/>
      <c r="E61" s="914"/>
      <c r="F61" s="914"/>
      <c r="G61" s="913"/>
      <c r="H61" s="913"/>
      <c r="I61" s="913"/>
      <c r="J61" s="915"/>
      <c r="K61" s="855"/>
      <c r="L61" s="814"/>
      <c r="O61" s="841"/>
    </row>
    <row r="62" spans="1:15" ht="20.100000000000001" customHeight="1">
      <c r="A62" s="916" t="s">
        <v>252</v>
      </c>
      <c r="B62" s="917"/>
      <c r="C62" s="917"/>
      <c r="D62" s="821" t="s">
        <v>253</v>
      </c>
      <c r="E62" s="835">
        <f>'25'!F62</f>
        <v>20419</v>
      </c>
      <c r="F62" s="918">
        <v>20419</v>
      </c>
      <c r="G62" s="836">
        <f t="shared" ref="G62:G69" si="5">F62-E62</f>
        <v>0</v>
      </c>
      <c r="H62" s="837">
        <f>G62+'25'!H62</f>
        <v>1.9999999967694748E-3</v>
      </c>
      <c r="I62" s="919"/>
      <c r="J62" s="839">
        <f>H62/DAY(B2)</f>
        <v>7.6923076798825961E-5</v>
      </c>
      <c r="K62" s="855"/>
      <c r="L62" s="814"/>
      <c r="O62" s="841"/>
    </row>
    <row r="63" spans="1:15" ht="20.100000000000001" customHeight="1">
      <c r="A63" s="916" t="s">
        <v>254</v>
      </c>
      <c r="B63" s="917"/>
      <c r="C63" s="917"/>
      <c r="D63" s="821" t="s">
        <v>253</v>
      </c>
      <c r="E63" s="835">
        <f>'25'!F63</f>
        <v>2453.4699999999998</v>
      </c>
      <c r="F63" s="918">
        <v>2457.1</v>
      </c>
      <c r="G63" s="836">
        <f t="shared" si="5"/>
        <v>3.6300000000001091</v>
      </c>
      <c r="H63" s="837">
        <f>G63+'25'!H63</f>
        <v>2457.1</v>
      </c>
      <c r="I63" s="919"/>
      <c r="J63" s="839">
        <f>H63/DAY(B2)</f>
        <v>94.503846153846155</v>
      </c>
      <c r="K63" s="855"/>
      <c r="L63" s="814"/>
      <c r="O63" s="841"/>
    </row>
    <row r="64" spans="1:15" ht="20.100000000000001" customHeight="1">
      <c r="A64" s="1545" t="s">
        <v>161</v>
      </c>
      <c r="B64" s="1546"/>
      <c r="C64" s="1547"/>
      <c r="D64" s="834" t="s">
        <v>253</v>
      </c>
      <c r="E64" s="835">
        <f>'25'!F64</f>
        <v>158798.06</v>
      </c>
      <c r="F64" s="865">
        <v>158972.70000000001</v>
      </c>
      <c r="G64" s="836">
        <f t="shared" si="5"/>
        <v>174.64000000001397</v>
      </c>
      <c r="H64" s="837">
        <f>G64+'25'!H64</f>
        <v>-959.29999999998836</v>
      </c>
      <c r="I64" s="856"/>
      <c r="J64" s="839">
        <f>H64/DAY(B2)</f>
        <v>-36.896153846153396</v>
      </c>
      <c r="K64" s="855"/>
      <c r="L64" s="814"/>
      <c r="O64" s="841"/>
    </row>
    <row r="65" spans="1:15" ht="20.100000000000001" customHeight="1">
      <c r="A65" s="1545" t="s">
        <v>162</v>
      </c>
      <c r="B65" s="1546"/>
      <c r="C65" s="1547"/>
      <c r="D65" s="834" t="s">
        <v>253</v>
      </c>
      <c r="E65" s="835">
        <f>'25'!F65</f>
        <v>159730</v>
      </c>
      <c r="F65" s="865">
        <v>159915.88</v>
      </c>
      <c r="G65" s="836">
        <f t="shared" si="5"/>
        <v>185.88000000000466</v>
      </c>
      <c r="H65" s="837">
        <f>G65+'25'!H65</f>
        <v>-1082.1199999999953</v>
      </c>
      <c r="I65" s="874"/>
      <c r="J65" s="839">
        <f>H65/DAY(B2)</f>
        <v>-41.61999999999982</v>
      </c>
      <c r="K65" s="855"/>
      <c r="L65" s="814"/>
      <c r="O65" s="841"/>
    </row>
    <row r="66" spans="1:15" ht="20.100000000000001" customHeight="1">
      <c r="A66" s="1545" t="s">
        <v>255</v>
      </c>
      <c r="B66" s="1546"/>
      <c r="C66" s="1547"/>
      <c r="D66" s="834" t="s">
        <v>253</v>
      </c>
      <c r="E66" s="835">
        <f>'25'!F66</f>
        <v>55178.79</v>
      </c>
      <c r="F66" s="865">
        <v>55424.42</v>
      </c>
      <c r="G66" s="836">
        <f t="shared" si="5"/>
        <v>245.62999999999738</v>
      </c>
      <c r="H66" s="837">
        <f>G66+'25'!H66</f>
        <v>-1380.5800000000017</v>
      </c>
      <c r="I66" s="856"/>
      <c r="J66" s="839">
        <f>H66/DAY(B2)</f>
        <v>-53.099230769230836</v>
      </c>
      <c r="K66" s="855"/>
      <c r="L66" s="814"/>
      <c r="O66" s="841"/>
    </row>
    <row r="67" spans="1:15" ht="20.100000000000001" customHeight="1">
      <c r="A67" s="1545" t="s">
        <v>157</v>
      </c>
      <c r="B67" s="1546"/>
      <c r="C67" s="1547"/>
      <c r="D67" s="834" t="s">
        <v>253</v>
      </c>
      <c r="E67" s="835">
        <f>'25'!F67</f>
        <v>249501.01</v>
      </c>
      <c r="F67" s="865">
        <v>249886.57</v>
      </c>
      <c r="G67" s="836">
        <f t="shared" si="5"/>
        <v>385.55999999999767</v>
      </c>
      <c r="H67" s="837">
        <f>G67+'25'!H67</f>
        <v>-2305.429999999993</v>
      </c>
      <c r="I67" s="874"/>
      <c r="J67" s="839">
        <f>H67/DAY(B2)</f>
        <v>-88.67038461538435</v>
      </c>
      <c r="K67" s="862"/>
      <c r="L67" s="814"/>
      <c r="O67" s="841"/>
    </row>
    <row r="68" spans="1:15" ht="20.100000000000001" customHeight="1">
      <c r="A68" s="1545" t="s">
        <v>164</v>
      </c>
      <c r="B68" s="1546"/>
      <c r="C68" s="1547"/>
      <c r="D68" s="834" t="s">
        <v>253</v>
      </c>
      <c r="E68" s="835">
        <f>'25'!F68</f>
        <v>85321</v>
      </c>
      <c r="F68" s="865">
        <v>85321</v>
      </c>
      <c r="G68" s="836">
        <f t="shared" si="5"/>
        <v>0</v>
      </c>
      <c r="H68" s="837">
        <f>G68+'25'!H68</f>
        <v>0</v>
      </c>
      <c r="I68" s="920"/>
      <c r="J68" s="839">
        <f>H68/DAY(B2)</f>
        <v>0</v>
      </c>
      <c r="K68" s="921"/>
      <c r="L68" s="814"/>
      <c r="O68" s="841"/>
    </row>
    <row r="69" spans="1:15" ht="20.100000000000001" customHeight="1">
      <c r="A69" s="1545" t="s">
        <v>165</v>
      </c>
      <c r="B69" s="1546"/>
      <c r="C69" s="1547"/>
      <c r="D69" s="834" t="s">
        <v>253</v>
      </c>
      <c r="E69" s="835">
        <f>'25'!F69</f>
        <v>81051.97</v>
      </c>
      <c r="F69" s="865">
        <v>81191.509999999995</v>
      </c>
      <c r="G69" s="836">
        <f t="shared" si="5"/>
        <v>139.5399999999936</v>
      </c>
      <c r="H69" s="837">
        <f>G69+'25'!H69</f>
        <v>-557.49000000000524</v>
      </c>
      <c r="I69" s="920"/>
      <c r="J69" s="839">
        <f>H69/DAY(B2)</f>
        <v>-21.441923076923278</v>
      </c>
      <c r="K69" s="922"/>
      <c r="L69" s="814"/>
      <c r="O69" s="841"/>
    </row>
    <row r="70" spans="1:15" ht="20.100000000000001" customHeight="1">
      <c r="A70" s="1554" t="s">
        <v>256</v>
      </c>
      <c r="B70" s="1555"/>
      <c r="C70" s="1556"/>
      <c r="D70" s="834" t="s">
        <v>253</v>
      </c>
      <c r="E70" s="923"/>
      <c r="F70" s="924"/>
      <c r="G70" s="924"/>
      <c r="H70" s="837">
        <f>G70+'13'!H70</f>
        <v>0</v>
      </c>
      <c r="I70" s="924"/>
      <c r="J70" s="925"/>
      <c r="K70" s="922"/>
      <c r="L70" s="814"/>
      <c r="O70" s="841"/>
    </row>
    <row r="71" spans="1:15" ht="20.100000000000001" customHeight="1">
      <c r="A71" s="1551" t="s">
        <v>257</v>
      </c>
      <c r="B71" s="1552"/>
      <c r="C71" s="1552"/>
      <c r="D71" s="1552"/>
      <c r="E71" s="1552"/>
      <c r="F71" s="1552"/>
      <c r="G71" s="1552"/>
      <c r="H71" s="1552"/>
      <c r="I71" s="1552"/>
      <c r="J71" s="1553"/>
      <c r="K71" s="921"/>
      <c r="L71" s="814"/>
      <c r="O71" s="841"/>
    </row>
    <row r="72" spans="1:15" ht="20.100000000000001" customHeight="1">
      <c r="A72" s="1545" t="s">
        <v>258</v>
      </c>
      <c r="B72" s="1546"/>
      <c r="C72" s="1547"/>
      <c r="D72" s="834" t="s">
        <v>253</v>
      </c>
      <c r="E72" s="835">
        <f>'25'!F72</f>
        <v>855769</v>
      </c>
      <c r="F72" s="926">
        <v>855782</v>
      </c>
      <c r="G72" s="836">
        <f t="shared" ref="G72:G84" si="6">F72-E72</f>
        <v>13</v>
      </c>
      <c r="H72" s="837">
        <f>G72+'25'!H72</f>
        <v>-104</v>
      </c>
      <c r="I72" s="856"/>
      <c r="J72" s="839">
        <f>H72/DAY(B2)</f>
        <v>-4</v>
      </c>
      <c r="K72" s="922"/>
      <c r="L72" s="814"/>
      <c r="O72" s="841"/>
    </row>
    <row r="73" spans="1:15" ht="20.100000000000001" customHeight="1">
      <c r="A73" s="1545" t="s">
        <v>259</v>
      </c>
      <c r="B73" s="1546"/>
      <c r="C73" s="1547"/>
      <c r="D73" s="834" t="s">
        <v>253</v>
      </c>
      <c r="E73" s="835">
        <f>'25'!F73</f>
        <v>885915</v>
      </c>
      <c r="F73" s="927">
        <v>885932</v>
      </c>
      <c r="G73" s="836">
        <f t="shared" si="6"/>
        <v>17</v>
      </c>
      <c r="H73" s="837">
        <f>G73+'25'!H73</f>
        <v>181</v>
      </c>
      <c r="I73" s="856"/>
      <c r="J73" s="839">
        <f>H73/DAY(B2)</f>
        <v>6.9615384615384617</v>
      </c>
      <c r="K73" s="921"/>
      <c r="L73" s="814"/>
      <c r="O73" s="841"/>
    </row>
    <row r="74" spans="1:15" ht="20.100000000000001" customHeight="1">
      <c r="A74" s="1545" t="s">
        <v>260</v>
      </c>
      <c r="B74" s="1546"/>
      <c r="C74" s="1547"/>
      <c r="D74" s="834" t="s">
        <v>253</v>
      </c>
      <c r="E74" s="835">
        <f>'25'!F74</f>
        <v>2545.79</v>
      </c>
      <c r="F74" s="928">
        <v>2553.0700000000002</v>
      </c>
      <c r="G74" s="836">
        <f t="shared" si="6"/>
        <v>7.2800000000002001</v>
      </c>
      <c r="H74" s="837">
        <f>G74+'25'!H74</f>
        <v>-32.929999999999836</v>
      </c>
      <c r="I74" s="856"/>
      <c r="J74" s="839">
        <f>H74/DAY(B2)</f>
        <v>-1.2665384615384552</v>
      </c>
      <c r="K74" s="922"/>
      <c r="L74" s="814"/>
      <c r="O74" s="841"/>
    </row>
    <row r="75" spans="1:15" ht="20.100000000000001" customHeight="1">
      <c r="A75" s="1548" t="s">
        <v>261</v>
      </c>
      <c r="B75" s="1549"/>
      <c r="C75" s="1550"/>
      <c r="D75" s="834" t="s">
        <v>253</v>
      </c>
      <c r="E75" s="835">
        <f>'25'!F75</f>
        <v>12318.61</v>
      </c>
      <c r="F75" s="928">
        <v>12387.5</v>
      </c>
      <c r="G75" s="836">
        <f t="shared" si="6"/>
        <v>68.889999999999418</v>
      </c>
      <c r="H75" s="837">
        <f>G75+'25'!H75</f>
        <v>-281.5</v>
      </c>
      <c r="I75" s="856"/>
      <c r="J75" s="839">
        <f>H75/DAY(B2)</f>
        <v>-10.826923076923077</v>
      </c>
      <c r="K75" s="921"/>
      <c r="L75" s="814"/>
      <c r="O75" s="841"/>
    </row>
    <row r="76" spans="1:15" ht="20.100000000000001" customHeight="1">
      <c r="A76" s="1548" t="s">
        <v>262</v>
      </c>
      <c r="B76" s="1549"/>
      <c r="C76" s="1550"/>
      <c r="D76" s="834" t="s">
        <v>253</v>
      </c>
      <c r="E76" s="835">
        <f>'25'!F76</f>
        <v>7085.85</v>
      </c>
      <c r="F76" s="927">
        <v>7139</v>
      </c>
      <c r="G76" s="836">
        <f t="shared" si="6"/>
        <v>53.149999999999636</v>
      </c>
      <c r="H76" s="837">
        <f>G76+'25'!H76</f>
        <v>-67</v>
      </c>
      <c r="I76" s="899"/>
      <c r="J76" s="839">
        <f>H76/DAY(B2)</f>
        <v>-2.5769230769230771</v>
      </c>
      <c r="K76" s="921"/>
      <c r="L76" s="814"/>
      <c r="O76" s="841"/>
    </row>
    <row r="77" spans="1:15" ht="20.100000000000001" customHeight="1">
      <c r="A77" s="1545" t="s">
        <v>263</v>
      </c>
      <c r="B77" s="1546"/>
      <c r="C77" s="1547"/>
      <c r="D77" s="834" t="s">
        <v>253</v>
      </c>
      <c r="E77" s="835">
        <f>'25'!F77</f>
        <v>702588</v>
      </c>
      <c r="F77" s="927">
        <v>702629</v>
      </c>
      <c r="G77" s="836">
        <f t="shared" si="6"/>
        <v>41</v>
      </c>
      <c r="H77" s="837">
        <f>G77+'25'!H77</f>
        <v>-210</v>
      </c>
      <c r="I77" s="899"/>
      <c r="J77" s="839">
        <f>H77/DAY(B2)</f>
        <v>-8.0769230769230766</v>
      </c>
      <c r="K77" s="921"/>
      <c r="L77" s="814"/>
      <c r="O77" s="841"/>
    </row>
    <row r="78" spans="1:15" ht="18.75" customHeight="1">
      <c r="A78" s="929" t="s">
        <v>264</v>
      </c>
      <c r="B78" s="1388"/>
      <c r="C78" s="1388"/>
      <c r="D78" s="834" t="s">
        <v>253</v>
      </c>
      <c r="E78" s="835">
        <f>'25'!F78</f>
        <v>672382</v>
      </c>
      <c r="F78" s="928">
        <v>672391</v>
      </c>
      <c r="G78" s="836">
        <f t="shared" si="6"/>
        <v>9</v>
      </c>
      <c r="H78" s="837">
        <f>G78+'25'!H78</f>
        <v>-641</v>
      </c>
      <c r="I78" s="899"/>
      <c r="J78" s="839">
        <f>H78/DAY(B2)</f>
        <v>-24.653846153846153</v>
      </c>
      <c r="K78" s="921"/>
      <c r="L78" s="814"/>
      <c r="O78" s="841"/>
    </row>
    <row r="79" spans="1:15" ht="20.100000000000001" customHeight="1">
      <c r="A79" s="1548" t="s">
        <v>151</v>
      </c>
      <c r="B79" s="1549"/>
      <c r="C79" s="1550"/>
      <c r="D79" s="868" t="s">
        <v>253</v>
      </c>
      <c r="E79" s="835">
        <f>'25'!F79</f>
        <v>830175</v>
      </c>
      <c r="F79" s="928">
        <v>830307</v>
      </c>
      <c r="G79" s="836">
        <f t="shared" si="6"/>
        <v>132</v>
      </c>
      <c r="H79" s="837">
        <f>G79+'25'!H79</f>
        <v>-1715</v>
      </c>
      <c r="I79" s="899"/>
      <c r="J79" s="839">
        <f>H79/DAY(B2)</f>
        <v>-65.961538461538467</v>
      </c>
      <c r="K79" s="921"/>
      <c r="L79" s="814"/>
      <c r="O79" s="841"/>
    </row>
    <row r="80" spans="1:15" ht="20.100000000000001" customHeight="1">
      <c r="A80" s="1548" t="s">
        <v>265</v>
      </c>
      <c r="B80" s="1549"/>
      <c r="C80" s="1550"/>
      <c r="D80" s="868" t="s">
        <v>253</v>
      </c>
      <c r="E80" s="835">
        <f>'25'!F80</f>
        <v>525454.12</v>
      </c>
      <c r="F80" s="1148">
        <v>525838.04</v>
      </c>
      <c r="G80" s="836">
        <f t="shared" si="6"/>
        <v>383.92000000004191</v>
      </c>
      <c r="H80" s="837">
        <f>G80+'25'!H80</f>
        <v>-4707.4799999999814</v>
      </c>
      <c r="I80" s="899"/>
      <c r="J80" s="839">
        <f>H80/DAY(B2)</f>
        <v>-181.05692307692237</v>
      </c>
      <c r="K80" s="921"/>
      <c r="L80" s="814"/>
      <c r="O80" s="841"/>
    </row>
    <row r="81" spans="1:15" ht="20.100000000000001" customHeight="1">
      <c r="A81" s="1548" t="s">
        <v>266</v>
      </c>
      <c r="B81" s="1549"/>
      <c r="C81" s="1550"/>
      <c r="D81" s="868" t="s">
        <v>253</v>
      </c>
      <c r="E81" s="835">
        <f>'25'!F81</f>
        <v>638389.16</v>
      </c>
      <c r="F81" s="927">
        <v>638467.72</v>
      </c>
      <c r="G81" s="836">
        <f t="shared" si="6"/>
        <v>78.559999999939464</v>
      </c>
      <c r="H81" s="837">
        <f>G81+'25'!H81</f>
        <v>-430.28000000002794</v>
      </c>
      <c r="I81" s="899"/>
      <c r="J81" s="839">
        <f>H81/DAY(B2)</f>
        <v>-16.549230769231844</v>
      </c>
      <c r="K81" s="921"/>
      <c r="L81" s="814"/>
      <c r="O81" s="841"/>
    </row>
    <row r="82" spans="1:15" ht="20.100000000000001" customHeight="1">
      <c r="A82" s="1548" t="s">
        <v>267</v>
      </c>
      <c r="B82" s="1549"/>
      <c r="C82" s="1550"/>
      <c r="D82" s="869" t="s">
        <v>198</v>
      </c>
      <c r="E82" s="835">
        <f>'25'!F82</f>
        <v>108065.74</v>
      </c>
      <c r="F82" s="930">
        <v>108076.42</v>
      </c>
      <c r="G82" s="836">
        <f t="shared" si="6"/>
        <v>10.679999999993015</v>
      </c>
      <c r="H82" s="837">
        <f>G82+'25'!H82</f>
        <v>-81.580000000001746</v>
      </c>
      <c r="I82" s="870"/>
      <c r="J82" s="839">
        <f>H82/DAY(B2)</f>
        <v>-3.1376923076923751</v>
      </c>
      <c r="K82" s="921"/>
      <c r="L82" s="814"/>
      <c r="O82" s="841"/>
    </row>
    <row r="83" spans="1:15" ht="20.100000000000001" customHeight="1">
      <c r="A83" s="1548" t="s">
        <v>268</v>
      </c>
      <c r="B83" s="1549"/>
      <c r="C83" s="1550"/>
      <c r="D83" s="931" t="s">
        <v>198</v>
      </c>
      <c r="E83" s="835">
        <f>'25'!F83</f>
        <v>19414</v>
      </c>
      <c r="F83" s="821">
        <v>19604</v>
      </c>
      <c r="G83" s="836">
        <f t="shared" si="6"/>
        <v>190</v>
      </c>
      <c r="H83" s="837">
        <f>G83+'25'!H83</f>
        <v>-902</v>
      </c>
      <c r="I83" s="859"/>
      <c r="J83" s="839">
        <f>H83/DAY(B2)</f>
        <v>-34.692307692307693</v>
      </c>
      <c r="K83" s="862"/>
      <c r="L83" s="814"/>
      <c r="O83" s="841"/>
    </row>
    <row r="84" spans="1:15" ht="20.100000000000001" customHeight="1">
      <c r="A84" s="932" t="s">
        <v>166</v>
      </c>
      <c r="B84" s="933"/>
      <c r="C84" s="933"/>
      <c r="D84" s="853" t="s">
        <v>198</v>
      </c>
      <c r="E84" s="835">
        <f>'25'!F84</f>
        <v>495387</v>
      </c>
      <c r="F84" s="934">
        <v>496173</v>
      </c>
      <c r="G84" s="836">
        <f t="shared" si="6"/>
        <v>786</v>
      </c>
      <c r="H84" s="837">
        <f>G84+'25'!H84</f>
        <v>-4121</v>
      </c>
      <c r="I84" s="859"/>
      <c r="J84" s="839">
        <f>H84/DAY(B2)</f>
        <v>-158.5</v>
      </c>
      <c r="K84" s="935"/>
      <c r="L84" s="814"/>
      <c r="O84" s="841"/>
    </row>
    <row r="85" spans="1:15" s="939" customFormat="1" ht="20.100000000000001" customHeight="1">
      <c r="A85" s="936" t="s">
        <v>102</v>
      </c>
      <c r="B85" s="937"/>
      <c r="C85" s="937"/>
      <c r="D85" s="874"/>
      <c r="E85" s="835">
        <f>'25'!F85</f>
        <v>0</v>
      </c>
      <c r="F85" s="834"/>
      <c r="G85" s="837">
        <f xml:space="preserve"> SUM(G72:G84)</f>
        <v>1790.4799999999736</v>
      </c>
      <c r="H85" s="837">
        <f>G85+'25'!H85</f>
        <v>-9569.2499999999909</v>
      </c>
      <c r="I85" s="859"/>
      <c r="J85" s="839">
        <f>H85/DAY(B2)</f>
        <v>-368.04807692307656</v>
      </c>
      <c r="K85" s="935"/>
      <c r="L85" s="938"/>
      <c r="N85" s="1006"/>
      <c r="O85" s="841"/>
    </row>
    <row r="86" spans="1:15" s="949" customFormat="1">
      <c r="A86" s="940" t="s">
        <v>269</v>
      </c>
      <c r="B86" s="941"/>
      <c r="C86" s="941"/>
      <c r="D86" s="942" t="s">
        <v>248</v>
      </c>
      <c r="E86" s="835">
        <f>'25'!F86</f>
        <v>460736.84</v>
      </c>
      <c r="F86" s="943">
        <v>460767.32</v>
      </c>
      <c r="G86" s="944">
        <f t="shared" ref="G86:G91" si="7">F86-E86</f>
        <v>30.479999999981374</v>
      </c>
      <c r="H86" s="944">
        <f t="shared" ref="H86:H88" si="8">G86</f>
        <v>30.479999999981374</v>
      </c>
      <c r="I86" s="945"/>
      <c r="J86" s="946">
        <f>H86/DAY(B2)</f>
        <v>1.172307692306976</v>
      </c>
      <c r="K86" s="947"/>
      <c r="L86" s="948"/>
      <c r="N86" s="1007"/>
      <c r="O86" s="841"/>
    </row>
    <row r="87" spans="1:15" s="949" customFormat="1">
      <c r="A87" s="940" t="s">
        <v>270</v>
      </c>
      <c r="B87" s="941"/>
      <c r="C87" s="941"/>
      <c r="D87" s="942" t="s">
        <v>248</v>
      </c>
      <c r="E87" s="835">
        <f>'25'!F87</f>
        <v>81270.7</v>
      </c>
      <c r="F87" s="1200">
        <v>81289.5</v>
      </c>
      <c r="G87" s="944">
        <f t="shared" si="7"/>
        <v>18.80000000000291</v>
      </c>
      <c r="H87" s="944">
        <f t="shared" si="8"/>
        <v>18.80000000000291</v>
      </c>
      <c r="I87" s="945"/>
      <c r="J87" s="946">
        <f>H87/DAY(B2)</f>
        <v>0.72307692307703497</v>
      </c>
      <c r="K87" s="947"/>
      <c r="L87" s="948"/>
      <c r="N87" s="1007"/>
      <c r="O87" s="841"/>
    </row>
    <row r="88" spans="1:15" s="949" customFormat="1">
      <c r="A88" s="940" t="s">
        <v>158</v>
      </c>
      <c r="B88" s="941"/>
      <c r="C88" s="941"/>
      <c r="D88" s="942" t="s">
        <v>248</v>
      </c>
      <c r="E88" s="835">
        <f>'25'!F88</f>
        <v>152855.96</v>
      </c>
      <c r="F88" s="943">
        <v>152878.01</v>
      </c>
      <c r="G88" s="944">
        <f t="shared" si="7"/>
        <v>22.050000000017462</v>
      </c>
      <c r="H88" s="944">
        <f t="shared" si="8"/>
        <v>22.050000000017462</v>
      </c>
      <c r="I88" s="945"/>
      <c r="J88" s="946">
        <f>H88/DAY(B2)</f>
        <v>0.84807692307759475</v>
      </c>
      <c r="K88" s="947"/>
      <c r="L88" s="948"/>
      <c r="N88" s="1007"/>
      <c r="O88" s="841"/>
    </row>
    <row r="89" spans="1:15" s="949" customFormat="1">
      <c r="A89" s="940" t="s">
        <v>272</v>
      </c>
      <c r="B89" s="941"/>
      <c r="C89" s="941"/>
      <c r="D89" s="942" t="s">
        <v>248</v>
      </c>
      <c r="E89" s="835">
        <f>'25'!F89</f>
        <v>65110</v>
      </c>
      <c r="F89" s="943">
        <v>65120.4</v>
      </c>
      <c r="G89" s="944">
        <f t="shared" si="7"/>
        <v>10.400000000001455</v>
      </c>
      <c r="H89" s="944">
        <f>G89</f>
        <v>10.400000000001455</v>
      </c>
      <c r="I89" s="945"/>
      <c r="J89" s="946">
        <f>H89/DAY(B2)</f>
        <v>0.40000000000005598</v>
      </c>
      <c r="K89" s="947"/>
      <c r="L89" s="948"/>
      <c r="N89" s="1013"/>
      <c r="O89" s="841"/>
    </row>
    <row r="90" spans="1:15" s="949" customFormat="1">
      <c r="A90" s="940" t="s">
        <v>272</v>
      </c>
      <c r="B90" s="941"/>
      <c r="C90" s="941"/>
      <c r="D90" s="942" t="s">
        <v>248</v>
      </c>
      <c r="E90" s="835">
        <f>'25'!F90</f>
        <v>3273.6</v>
      </c>
      <c r="F90" s="943">
        <v>3273.6</v>
      </c>
      <c r="G90" s="944">
        <f t="shared" si="7"/>
        <v>0</v>
      </c>
      <c r="H90" s="944">
        <f>G90</f>
        <v>0</v>
      </c>
      <c r="I90" s="945"/>
      <c r="J90" s="946">
        <f>H90/DAY(B2)</f>
        <v>0</v>
      </c>
      <c r="K90" s="947"/>
      <c r="L90" s="948"/>
      <c r="N90" s="1008"/>
      <c r="O90" s="841"/>
    </row>
    <row r="91" spans="1:15" s="731" customFormat="1" ht="29.25">
      <c r="A91" s="726" t="s">
        <v>273</v>
      </c>
      <c r="B91" s="727"/>
      <c r="C91" s="727"/>
      <c r="D91" s="728"/>
      <c r="E91" s="835">
        <f>'25'!F91</f>
        <v>27990</v>
      </c>
      <c r="F91" s="943">
        <v>28000.92</v>
      </c>
      <c r="G91" s="701">
        <f t="shared" si="7"/>
        <v>10.919999999998254</v>
      </c>
      <c r="H91" s="701">
        <f>G91</f>
        <v>10.919999999998254</v>
      </c>
      <c r="I91" s="648"/>
      <c r="J91" s="703"/>
      <c r="K91" s="729"/>
      <c r="L91" s="730"/>
      <c r="N91" s="773"/>
      <c r="O91" s="379"/>
    </row>
    <row r="92" spans="1:15" s="939" customFormat="1" ht="20.100000000000001" customHeight="1">
      <c r="A92" s="950" t="s">
        <v>274</v>
      </c>
      <c r="B92" s="829"/>
      <c r="C92" s="829"/>
      <c r="D92" s="829"/>
      <c r="E92" s="829"/>
      <c r="F92" s="829"/>
      <c r="G92" s="873"/>
      <c r="H92" s="829"/>
      <c r="I92" s="829"/>
      <c r="J92" s="830"/>
      <c r="K92" s="935"/>
      <c r="L92" s="938"/>
      <c r="N92" s="1006"/>
      <c r="O92" s="841"/>
    </row>
    <row r="93" spans="1:15" ht="20.100000000000001" customHeight="1">
      <c r="A93" s="1539" t="s">
        <v>275</v>
      </c>
      <c r="B93" s="1540"/>
      <c r="C93" s="1541"/>
      <c r="D93" s="834" t="s">
        <v>209</v>
      </c>
      <c r="E93" s="835">
        <f>'25'!F93</f>
        <v>245238</v>
      </c>
      <c r="F93" s="865">
        <v>245276</v>
      </c>
      <c r="G93" s="836">
        <f t="shared" ref="G93:G94" si="9">F93-E93</f>
        <v>38</v>
      </c>
      <c r="H93" s="837">
        <f>G93+'25'!H93</f>
        <v>-112</v>
      </c>
      <c r="I93" s="856"/>
      <c r="J93" s="839">
        <f>H93/DAY(B2)</f>
        <v>-4.3076923076923075</v>
      </c>
      <c r="K93" s="862"/>
      <c r="L93" s="814"/>
      <c r="O93" s="841"/>
    </row>
    <row r="94" spans="1:15" ht="20.100000000000001" customHeight="1">
      <c r="A94" s="1539" t="s">
        <v>15</v>
      </c>
      <c r="B94" s="1540"/>
      <c r="C94" s="1541"/>
      <c r="D94" s="834" t="s">
        <v>209</v>
      </c>
      <c r="E94" s="835">
        <f>'25'!F94</f>
        <v>185617</v>
      </c>
      <c r="F94" s="865">
        <v>185696</v>
      </c>
      <c r="G94" s="836">
        <f t="shared" si="9"/>
        <v>79</v>
      </c>
      <c r="H94" s="837">
        <f>G94+'25'!H94</f>
        <v>-425</v>
      </c>
      <c r="I94" s="856"/>
      <c r="J94" s="839">
        <f>H94/DAY(B2)</f>
        <v>-16.346153846153847</v>
      </c>
      <c r="K94" s="935"/>
      <c r="L94" s="814"/>
      <c r="O94" s="841"/>
    </row>
    <row r="95" spans="1:15" ht="20.100000000000001" customHeight="1">
      <c r="A95" s="1557" t="s">
        <v>276</v>
      </c>
      <c r="B95" s="1558"/>
      <c r="C95" s="1559"/>
      <c r="D95" s="834"/>
      <c r="E95" s="835">
        <f>'25'!F95</f>
        <v>0</v>
      </c>
      <c r="F95" s="865"/>
      <c r="G95" s="836">
        <f>G93+G94</f>
        <v>117</v>
      </c>
      <c r="H95" s="837">
        <f>G95+'25'!H95</f>
        <v>-613</v>
      </c>
      <c r="I95" s="856"/>
      <c r="J95" s="839">
        <f>H95/DAY(B2)</f>
        <v>-23.576923076923077</v>
      </c>
      <c r="K95" s="935"/>
      <c r="L95" s="814"/>
      <c r="O95" s="841"/>
    </row>
    <row r="96" spans="1:15" ht="20.100000000000001" customHeight="1">
      <c r="A96" s="1539" t="s">
        <v>16</v>
      </c>
      <c r="B96" s="1540"/>
      <c r="C96" s="1541"/>
      <c r="D96" s="834" t="s">
        <v>209</v>
      </c>
      <c r="E96" s="835">
        <f>'25'!F96</f>
        <v>414002</v>
      </c>
      <c r="F96" s="865">
        <v>414045</v>
      </c>
      <c r="G96" s="836">
        <f t="shared" ref="G96:G101" si="10">F96-E96</f>
        <v>43</v>
      </c>
      <c r="H96" s="837">
        <f>G96+'25'!H96</f>
        <v>-238</v>
      </c>
      <c r="I96" s="856"/>
      <c r="J96" s="839">
        <f>H96/DAY(B2)</f>
        <v>-9.1538461538461533</v>
      </c>
      <c r="K96" s="935"/>
      <c r="L96" s="814"/>
      <c r="O96" s="841"/>
    </row>
    <row r="97" spans="1:15" ht="20.100000000000001" customHeight="1">
      <c r="A97" s="863" t="s">
        <v>17</v>
      </c>
      <c r="B97" s="864"/>
      <c r="C97" s="864"/>
      <c r="D97" s="834" t="s">
        <v>209</v>
      </c>
      <c r="E97" s="835">
        <f>'25'!F97</f>
        <v>102587</v>
      </c>
      <c r="F97" s="865">
        <v>102596</v>
      </c>
      <c r="G97" s="836">
        <f t="shared" si="10"/>
        <v>9</v>
      </c>
      <c r="H97" s="837">
        <f>G97+'25'!H97</f>
        <v>-52</v>
      </c>
      <c r="I97" s="856"/>
      <c r="J97" s="839">
        <f>H97/DAY(B2)</f>
        <v>-2</v>
      </c>
      <c r="K97" s="831"/>
      <c r="L97" s="814"/>
      <c r="O97" s="841"/>
    </row>
    <row r="98" spans="1:15" ht="20.100000000000001" customHeight="1">
      <c r="A98" s="863" t="s">
        <v>18</v>
      </c>
      <c r="B98" s="864"/>
      <c r="C98" s="864"/>
      <c r="D98" s="834" t="s">
        <v>209</v>
      </c>
      <c r="E98" s="835">
        <f>'25'!F98</f>
        <v>97809</v>
      </c>
      <c r="F98" s="865">
        <v>97827</v>
      </c>
      <c r="G98" s="836">
        <f t="shared" si="10"/>
        <v>18</v>
      </c>
      <c r="H98" s="837">
        <f>G98+'25'!H98</f>
        <v>-123</v>
      </c>
      <c r="I98" s="856"/>
      <c r="J98" s="839">
        <f>H98/DAY(B2)</f>
        <v>-4.7307692307692308</v>
      </c>
      <c r="K98" s="951"/>
      <c r="L98" s="814"/>
      <c r="O98" s="841"/>
    </row>
    <row r="99" spans="1:15" ht="20.100000000000001" customHeight="1">
      <c r="A99" s="863" t="s">
        <v>19</v>
      </c>
      <c r="B99" s="864"/>
      <c r="C99" s="864"/>
      <c r="D99" s="834" t="s">
        <v>209</v>
      </c>
      <c r="E99" s="835">
        <f>'25'!F99</f>
        <v>149825</v>
      </c>
      <c r="F99" s="865">
        <v>149830</v>
      </c>
      <c r="G99" s="836">
        <f t="shared" si="10"/>
        <v>5</v>
      </c>
      <c r="H99" s="837">
        <f>G99+'25'!H99</f>
        <v>-22</v>
      </c>
      <c r="I99" s="856"/>
      <c r="J99" s="839">
        <f>H99/DAY(B2)</f>
        <v>-0.84615384615384615</v>
      </c>
      <c r="K99" s="935"/>
      <c r="L99" s="814"/>
      <c r="O99" s="841"/>
    </row>
    <row r="100" spans="1:15" ht="20.100000000000001" customHeight="1">
      <c r="A100" s="863" t="s">
        <v>20</v>
      </c>
      <c r="B100" s="864"/>
      <c r="C100" s="864"/>
      <c r="D100" s="834" t="s">
        <v>209</v>
      </c>
      <c r="E100" s="835">
        <f>'25'!F100</f>
        <v>7334</v>
      </c>
      <c r="F100" s="865">
        <v>7338</v>
      </c>
      <c r="G100" s="836">
        <f t="shared" si="10"/>
        <v>4</v>
      </c>
      <c r="H100" s="837">
        <f>G100+'25'!H100</f>
        <v>-31</v>
      </c>
      <c r="I100" s="856"/>
      <c r="J100" s="839">
        <f>H100/DAY(B2)</f>
        <v>-1.1923076923076923</v>
      </c>
      <c r="K100" s="935"/>
      <c r="L100" s="814"/>
      <c r="O100" s="841"/>
    </row>
    <row r="101" spans="1:15" ht="20.100000000000001" customHeight="1">
      <c r="A101" s="863" t="s">
        <v>21</v>
      </c>
      <c r="B101" s="864"/>
      <c r="C101" s="864"/>
      <c r="D101" s="834" t="s">
        <v>209</v>
      </c>
      <c r="E101" s="835">
        <f>'25'!F101</f>
        <v>5341</v>
      </c>
      <c r="F101" s="865">
        <v>5347</v>
      </c>
      <c r="G101" s="836">
        <f t="shared" si="10"/>
        <v>6</v>
      </c>
      <c r="H101" s="837">
        <f>G101+'25'!H101</f>
        <v>-44</v>
      </c>
      <c r="I101" s="856"/>
      <c r="J101" s="839">
        <f>H101/DAY(B2)</f>
        <v>-1.6923076923076923</v>
      </c>
      <c r="K101" s="935"/>
      <c r="L101" s="814"/>
      <c r="O101" s="841"/>
    </row>
    <row r="102" spans="1:15" ht="20.100000000000001" customHeight="1">
      <c r="A102" s="1557" t="s">
        <v>277</v>
      </c>
      <c r="B102" s="1558"/>
      <c r="C102" s="1559"/>
      <c r="D102" s="868"/>
      <c r="E102" s="868"/>
      <c r="F102" s="868"/>
      <c r="G102" s="952">
        <f>SUM(G96:G101)</f>
        <v>85</v>
      </c>
      <c r="H102" s="837">
        <f>G102+'25'!H102</f>
        <v>-510</v>
      </c>
      <c r="I102" s="953"/>
      <c r="J102" s="839">
        <f>H102/DAY(B2)</f>
        <v>-19.615384615384617</v>
      </c>
      <c r="K102" s="935"/>
      <c r="L102" s="814"/>
      <c r="O102" s="841"/>
    </row>
    <row r="103" spans="1:15" s="886" customFormat="1" ht="25.5" customHeight="1">
      <c r="A103" s="954" t="s">
        <v>278</v>
      </c>
      <c r="B103" s="955"/>
      <c r="C103" s="955"/>
      <c r="D103" s="956"/>
      <c r="E103" s="957"/>
      <c r="F103" s="958"/>
      <c r="G103" s="959"/>
      <c r="H103" s="960"/>
      <c r="I103" s="961"/>
      <c r="J103" s="962"/>
      <c r="N103" s="1004"/>
      <c r="O103" s="841"/>
    </row>
    <row r="104" spans="1:15" s="886" customFormat="1" ht="21.75" customHeight="1">
      <c r="A104" s="1568" t="s">
        <v>279</v>
      </c>
      <c r="B104" s="1569"/>
      <c r="C104" s="963"/>
      <c r="D104" s="964"/>
      <c r="E104" s="965"/>
      <c r="F104" s="965"/>
      <c r="G104" s="965"/>
      <c r="H104" s="966"/>
      <c r="I104" s="965"/>
      <c r="J104" s="967"/>
      <c r="N104" s="1004"/>
      <c r="O104" s="841"/>
    </row>
    <row r="105" spans="1:15" s="886" customFormat="1" ht="21.75" customHeight="1">
      <c r="A105" s="1570" t="s">
        <v>22</v>
      </c>
      <c r="B105" s="1571"/>
      <c r="C105" s="968"/>
      <c r="D105" s="964" t="s">
        <v>209</v>
      </c>
      <c r="E105" s="965">
        <f>'25'!F105</f>
        <v>7484</v>
      </c>
      <c r="F105" s="965">
        <v>7484</v>
      </c>
      <c r="G105" s="965">
        <f>F105-E105</f>
        <v>0</v>
      </c>
      <c r="H105" s="966">
        <f>SUM(G105+'1'!G76)</f>
        <v>57</v>
      </c>
      <c r="I105" s="965"/>
      <c r="J105" s="967">
        <f>H105/DAY(B2)</f>
        <v>2.1923076923076925</v>
      </c>
      <c r="N105" s="1004"/>
      <c r="O105" s="841"/>
    </row>
    <row r="106" spans="1:15" s="886" customFormat="1" ht="21.75" customHeight="1">
      <c r="A106" s="1570" t="s">
        <v>23</v>
      </c>
      <c r="B106" s="1571"/>
      <c r="C106" s="968"/>
      <c r="D106" s="964" t="s">
        <v>209</v>
      </c>
      <c r="E106" s="965">
        <f>'25'!F106</f>
        <v>35923</v>
      </c>
      <c r="F106" s="969">
        <v>35924</v>
      </c>
      <c r="G106" s="965">
        <f t="shared" ref="G106:G107" si="11">F106-E106</f>
        <v>1</v>
      </c>
      <c r="H106" s="966">
        <f>SUM(G106+'1'!G77)</f>
        <v>50</v>
      </c>
      <c r="I106" s="965"/>
      <c r="J106" s="967">
        <f>H106/DAY(B2)</f>
        <v>1.9230769230769231</v>
      </c>
      <c r="N106" s="1004"/>
      <c r="O106" s="841"/>
    </row>
    <row r="107" spans="1:15" s="886" customFormat="1" ht="21.75" customHeight="1">
      <c r="A107" s="1570" t="s">
        <v>24</v>
      </c>
      <c r="B107" s="1572"/>
      <c r="C107" s="1571"/>
      <c r="D107" s="964" t="s">
        <v>209</v>
      </c>
      <c r="E107" s="965">
        <f>'25'!F107</f>
        <v>19685</v>
      </c>
      <c r="F107" s="965">
        <v>19692</v>
      </c>
      <c r="G107" s="965">
        <f t="shared" si="11"/>
        <v>7</v>
      </c>
      <c r="H107" s="966">
        <f>SUM(G107+'1'!G78)</f>
        <v>62</v>
      </c>
      <c r="I107" s="965"/>
      <c r="J107" s="967">
        <f>H107/DAY(B2)</f>
        <v>2.3846153846153846</v>
      </c>
      <c r="N107" s="1004"/>
      <c r="O107" s="841"/>
    </row>
    <row r="108" spans="1:15" s="886" customFormat="1" ht="21.75" customHeight="1">
      <c r="A108" s="1573" t="s">
        <v>102</v>
      </c>
      <c r="B108" s="1574"/>
      <c r="C108" s="968"/>
      <c r="D108" s="964"/>
      <c r="E108" s="965">
        <f>'25'!F108</f>
        <v>0</v>
      </c>
      <c r="F108" s="965"/>
      <c r="G108" s="965">
        <f>SUM(G105:G107)</f>
        <v>8</v>
      </c>
      <c r="H108" s="966">
        <f>SUM(G108+'1'!G79)</f>
        <v>163</v>
      </c>
      <c r="I108" s="965"/>
      <c r="J108" s="967">
        <f>H108/DAY(B2)</f>
        <v>6.2692307692307692</v>
      </c>
      <c r="N108" s="1004"/>
      <c r="O108" s="841"/>
    </row>
    <row r="109" spans="1:15" s="886" customFormat="1" ht="21.75" customHeight="1">
      <c r="A109" s="1575" t="s">
        <v>120</v>
      </c>
      <c r="B109" s="1576"/>
      <c r="C109" s="968"/>
      <c r="D109" s="964" t="s">
        <v>209</v>
      </c>
      <c r="E109" s="965">
        <f>'25'!F109</f>
        <v>0</v>
      </c>
      <c r="F109" s="965"/>
      <c r="G109" s="965"/>
      <c r="H109" s="966"/>
      <c r="I109" s="965"/>
      <c r="J109" s="967"/>
      <c r="N109" s="1004"/>
      <c r="O109" s="841"/>
    </row>
    <row r="110" spans="1:15" s="886" customFormat="1" ht="21.75" customHeight="1">
      <c r="A110" s="1570" t="s">
        <v>25</v>
      </c>
      <c r="B110" s="1571"/>
      <c r="C110" s="968"/>
      <c r="D110" s="964" t="s">
        <v>209</v>
      </c>
      <c r="E110" s="965">
        <f>'25'!F110</f>
        <v>62420</v>
      </c>
      <c r="F110" s="965">
        <v>62518</v>
      </c>
      <c r="G110" s="965">
        <f>F110-E110</f>
        <v>98</v>
      </c>
      <c r="H110" s="966">
        <f>SUM(G110+'1'!G81)</f>
        <v>192</v>
      </c>
      <c r="I110" s="965"/>
      <c r="J110" s="967">
        <f>H110/DAY(B2)</f>
        <v>7.384615384615385</v>
      </c>
      <c r="N110" s="1004"/>
      <c r="O110" s="841"/>
    </row>
    <row r="111" spans="1:15" s="886" customFormat="1" ht="21.75" customHeight="1">
      <c r="A111" s="1570" t="s">
        <v>26</v>
      </c>
      <c r="B111" s="1571"/>
      <c r="C111" s="968"/>
      <c r="D111" s="964" t="s">
        <v>209</v>
      </c>
      <c r="E111" s="965">
        <f>'25'!F111</f>
        <v>32518</v>
      </c>
      <c r="F111" s="965">
        <v>32542</v>
      </c>
      <c r="G111" s="965">
        <f t="shared" ref="G111:G112" si="12">F111-E111</f>
        <v>24</v>
      </c>
      <c r="H111" s="966">
        <f>SUM(G111+'1'!G82)</f>
        <v>35</v>
      </c>
      <c r="I111" s="965"/>
      <c r="J111" s="967">
        <f>H111/DAY(B2)</f>
        <v>1.3461538461538463</v>
      </c>
      <c r="N111" s="1004"/>
      <c r="O111" s="841"/>
    </row>
    <row r="112" spans="1:15" s="886" customFormat="1" ht="21.75" customHeight="1">
      <c r="A112" s="1570" t="s">
        <v>27</v>
      </c>
      <c r="B112" s="1571"/>
      <c r="C112" s="968"/>
      <c r="D112" s="964" t="s">
        <v>209</v>
      </c>
      <c r="E112" s="965">
        <f>'25'!F112</f>
        <v>4543</v>
      </c>
      <c r="F112" s="965">
        <v>4543</v>
      </c>
      <c r="G112" s="965">
        <f t="shared" si="12"/>
        <v>0</v>
      </c>
      <c r="H112" s="966">
        <f>SUM(G112+'1'!G83)</f>
        <v>152</v>
      </c>
      <c r="I112" s="965"/>
      <c r="J112" s="967">
        <f>H112/DAY(B2)</f>
        <v>5.8461538461538458</v>
      </c>
      <c r="N112" s="1004"/>
      <c r="O112" s="841"/>
    </row>
    <row r="113" spans="1:15" s="886" customFormat="1" ht="21.75" customHeight="1">
      <c r="A113" s="1577" t="s">
        <v>174</v>
      </c>
      <c r="B113" s="1578"/>
      <c r="C113" s="968"/>
      <c r="D113" s="964"/>
      <c r="E113" s="965">
        <f>'25'!F113</f>
        <v>0</v>
      </c>
      <c r="F113" s="965"/>
      <c r="G113" s="965">
        <f>SUM(G110:G112)</f>
        <v>122</v>
      </c>
      <c r="H113" s="966">
        <f>SUM(G113+'1'!G84)</f>
        <v>949</v>
      </c>
      <c r="I113" s="965"/>
      <c r="J113" s="967">
        <f>H113/DAY(B2)</f>
        <v>36.5</v>
      </c>
      <c r="N113" s="1004"/>
      <c r="O113" s="841"/>
    </row>
    <row r="114" spans="1:15" s="886" customFormat="1" ht="21.75" customHeight="1">
      <c r="A114" s="1575" t="s">
        <v>280</v>
      </c>
      <c r="B114" s="1576"/>
      <c r="C114" s="968"/>
      <c r="D114" s="964"/>
      <c r="E114" s="965">
        <f>'25'!F114</f>
        <v>0</v>
      </c>
      <c r="F114" s="965"/>
      <c r="G114" s="965"/>
      <c r="H114" s="966"/>
      <c r="I114" s="965"/>
      <c r="J114" s="967">
        <f>H114/DAY(B2)</f>
        <v>0</v>
      </c>
      <c r="N114" s="1004"/>
      <c r="O114" s="841"/>
    </row>
    <row r="115" spans="1:15" s="886" customFormat="1" ht="21.75" customHeight="1">
      <c r="A115" s="1570" t="s">
        <v>28</v>
      </c>
      <c r="B115" s="1571"/>
      <c r="C115" s="970"/>
      <c r="D115" s="964" t="s">
        <v>209</v>
      </c>
      <c r="E115" s="965">
        <f>'25'!F115</f>
        <v>11452</v>
      </c>
      <c r="F115" s="969">
        <v>11457</v>
      </c>
      <c r="G115" s="969">
        <f>F115-E115</f>
        <v>5</v>
      </c>
      <c r="H115" s="966">
        <f>SUM(G115+'1'!G92)</f>
        <v>5</v>
      </c>
      <c r="I115" s="965"/>
      <c r="J115" s="967">
        <f>H115/DAY(B2)</f>
        <v>0.19230769230769232</v>
      </c>
      <c r="N115" s="1004"/>
      <c r="O115" s="841"/>
    </row>
    <row r="116" spans="1:15" s="886" customFormat="1" ht="21.75" customHeight="1">
      <c r="A116" s="1570" t="s">
        <v>29</v>
      </c>
      <c r="B116" s="1571"/>
      <c r="C116" s="970"/>
      <c r="D116" s="964" t="s">
        <v>209</v>
      </c>
      <c r="E116" s="965">
        <f>'25'!F116</f>
        <v>8273</v>
      </c>
      <c r="F116" s="969">
        <v>8279</v>
      </c>
      <c r="G116" s="969">
        <f t="shared" ref="G116:G117" si="13">F116-E116</f>
        <v>6</v>
      </c>
      <c r="H116" s="966">
        <f>SUM(G116+'1'!G93)</f>
        <v>24</v>
      </c>
      <c r="I116" s="965"/>
      <c r="J116" s="967">
        <f>H116/DAY(B2)</f>
        <v>0.92307692307692313</v>
      </c>
      <c r="N116" s="1004"/>
      <c r="O116" s="841"/>
    </row>
    <row r="117" spans="1:15" s="886" customFormat="1" ht="21.75" customHeight="1">
      <c r="A117" s="1570" t="s">
        <v>281</v>
      </c>
      <c r="B117" s="1571"/>
      <c r="C117" s="970"/>
      <c r="D117" s="964" t="s">
        <v>209</v>
      </c>
      <c r="E117" s="969"/>
      <c r="F117" s="969"/>
      <c r="G117" s="969">
        <f t="shared" si="13"/>
        <v>0</v>
      </c>
      <c r="H117" s="966">
        <f>SUM(G117+'1'!G94)</f>
        <v>58</v>
      </c>
      <c r="I117" s="965"/>
      <c r="J117" s="967">
        <f>H117/DAY(B2)</f>
        <v>2.2307692307692308</v>
      </c>
      <c r="N117" s="1004"/>
      <c r="O117" s="841"/>
    </row>
    <row r="118" spans="1:15" s="972" customFormat="1">
      <c r="A118" s="1573" t="s">
        <v>102</v>
      </c>
      <c r="B118" s="1574"/>
      <c r="C118" s="970"/>
      <c r="D118" s="971"/>
      <c r="E118" s="969"/>
      <c r="F118" s="969"/>
      <c r="G118" s="969">
        <f>SUM(G115:G117)</f>
        <v>11</v>
      </c>
      <c r="H118" s="966">
        <f>SUM(G118+'1'!G96)</f>
        <v>51</v>
      </c>
      <c r="I118" s="969"/>
      <c r="J118" s="967">
        <f>H118/DAY(B2)</f>
        <v>1.9615384615384615</v>
      </c>
      <c r="N118" s="1009"/>
      <c r="O118" s="841"/>
    </row>
    <row r="119" spans="1:15" s="764" customFormat="1">
      <c r="A119" s="1579" t="s">
        <v>282</v>
      </c>
      <c r="B119" s="1580"/>
      <c r="C119" s="973"/>
      <c r="D119" s="974" t="s">
        <v>209</v>
      </c>
      <c r="E119" s="975"/>
      <c r="F119" s="976"/>
      <c r="G119" s="976">
        <f>SUM(G19+G93)</f>
        <v>91</v>
      </c>
      <c r="H119" s="966">
        <f>SUM(G119+'1'!G97)</f>
        <v>104</v>
      </c>
      <c r="I119" s="975"/>
      <c r="J119" s="977">
        <f>H119/DAY(B2)</f>
        <v>4</v>
      </c>
      <c r="N119" s="1010"/>
      <c r="O119" s="841"/>
    </row>
    <row r="120" spans="1:15" s="764" customFormat="1">
      <c r="A120" s="1579" t="s">
        <v>283</v>
      </c>
      <c r="B120" s="1580"/>
      <c r="C120" s="973"/>
      <c r="D120" s="974" t="s">
        <v>209</v>
      </c>
      <c r="E120" s="975"/>
      <c r="F120" s="976"/>
      <c r="G120" s="976">
        <f>SUM(G96,G97,G98,G100,G101)</f>
        <v>80</v>
      </c>
      <c r="H120" s="966">
        <f>SUM(G120+'1'!G99)</f>
        <v>87</v>
      </c>
      <c r="I120" s="975"/>
      <c r="J120" s="977">
        <f>H120/DAY(B2)</f>
        <v>3.3461538461538463</v>
      </c>
      <c r="N120" s="1010"/>
      <c r="O120" s="841"/>
    </row>
    <row r="121" spans="1:15" s="764" customFormat="1">
      <c r="A121" s="1579" t="s">
        <v>284</v>
      </c>
      <c r="B121" s="1580"/>
      <c r="C121" s="973"/>
      <c r="D121" s="974" t="s">
        <v>209</v>
      </c>
      <c r="E121" s="975"/>
      <c r="F121" s="969"/>
      <c r="G121" s="969">
        <f>SUM(G113)</f>
        <v>122</v>
      </c>
      <c r="H121" s="966">
        <f>SUM(G121+'1'!G101)</f>
        <v>126</v>
      </c>
      <c r="I121" s="975"/>
      <c r="J121" s="977">
        <f>H121/DAY(B2)</f>
        <v>4.8461538461538458</v>
      </c>
      <c r="N121" s="1010"/>
      <c r="O121" s="841"/>
    </row>
    <row r="122" spans="1:15" s="886" customFormat="1" ht="18.75" customHeight="1">
      <c r="A122" s="1581"/>
      <c r="B122" s="1582"/>
      <c r="C122" s="968"/>
      <c r="D122" s="963"/>
      <c r="E122" s="963"/>
      <c r="F122" s="963"/>
      <c r="G122" s="963"/>
      <c r="H122" s="978"/>
      <c r="I122" s="963"/>
      <c r="J122" s="979"/>
      <c r="N122" s="1004"/>
      <c r="O122" s="841"/>
    </row>
    <row r="123" spans="1:15" ht="20.100000000000001" customHeight="1">
      <c r="A123" s="1560" t="s">
        <v>285</v>
      </c>
      <c r="B123" s="1561"/>
      <c r="C123" s="1562"/>
      <c r="D123" s="829"/>
      <c r="E123" s="829"/>
      <c r="F123" s="829"/>
      <c r="G123" s="861"/>
      <c r="H123" s="861"/>
      <c r="I123" s="861"/>
      <c r="J123" s="980"/>
      <c r="K123" s="935"/>
      <c r="L123" s="814"/>
      <c r="O123" s="841"/>
    </row>
    <row r="124" spans="1:15" ht="22.5" customHeight="1">
      <c r="A124" s="863" t="s">
        <v>286</v>
      </c>
      <c r="B124" s="864"/>
      <c r="C124" s="864"/>
      <c r="D124" s="834" t="s">
        <v>206</v>
      </c>
      <c r="E124" s="835">
        <f>'25'!F124</f>
        <v>831165.4</v>
      </c>
      <c r="F124" s="853">
        <v>831372.91</v>
      </c>
      <c r="G124" s="836">
        <f t="shared" ref="G124:G128" si="14">F124-E124</f>
        <v>207.51000000000931</v>
      </c>
      <c r="H124" s="837">
        <f>G124+'25'!H124</f>
        <v>-993.0899999999674</v>
      </c>
      <c r="I124" s="953"/>
      <c r="J124" s="839">
        <f>H124/DAY(B2)</f>
        <v>-38.195769230767979</v>
      </c>
      <c r="K124" s="935"/>
      <c r="L124" s="814"/>
      <c r="O124" s="841"/>
    </row>
    <row r="125" spans="1:15" ht="22.5" customHeight="1">
      <c r="A125" s="863" t="s">
        <v>287</v>
      </c>
      <c r="B125" s="864"/>
      <c r="C125" s="864"/>
      <c r="D125" s="834" t="s">
        <v>206</v>
      </c>
      <c r="E125" s="835">
        <f>'25'!F125</f>
        <v>73583.399999999994</v>
      </c>
      <c r="F125" s="981">
        <v>73583.399999999994</v>
      </c>
      <c r="G125" s="836">
        <f t="shared" si="14"/>
        <v>0</v>
      </c>
      <c r="H125" s="837">
        <f>G125+'25'!H125</f>
        <v>0</v>
      </c>
      <c r="I125" s="953"/>
      <c r="J125" s="839">
        <f>H125/DAY(B2)</f>
        <v>0</v>
      </c>
      <c r="K125" s="935"/>
      <c r="L125" s="814"/>
      <c r="O125" s="841"/>
    </row>
    <row r="126" spans="1:15" ht="22.5" customHeight="1">
      <c r="A126" s="1545" t="s">
        <v>288</v>
      </c>
      <c r="B126" s="1546"/>
      <c r="C126" s="1547"/>
      <c r="D126" s="834" t="s">
        <v>206</v>
      </c>
      <c r="E126" s="835">
        <f>'25'!F126</f>
        <v>146111.75</v>
      </c>
      <c r="F126" s="853">
        <v>146182.97</v>
      </c>
      <c r="G126" s="836">
        <f t="shared" si="14"/>
        <v>71.220000000001164</v>
      </c>
      <c r="H126" s="837">
        <f>G126+'25'!H126</f>
        <v>-308.02999999999884</v>
      </c>
      <c r="I126" s="953"/>
      <c r="J126" s="839">
        <f>H126/DAY(B2)</f>
        <v>-11.847307692307648</v>
      </c>
      <c r="K126" s="935"/>
      <c r="L126" s="814"/>
      <c r="O126" s="841"/>
    </row>
    <row r="127" spans="1:15" ht="20.100000000000001" customHeight="1">
      <c r="A127" s="982" t="s">
        <v>289</v>
      </c>
      <c r="B127" s="864"/>
      <c r="C127" s="864"/>
      <c r="D127" s="834" t="s">
        <v>206</v>
      </c>
      <c r="E127" s="835">
        <f>'25'!F127</f>
        <v>31404.2</v>
      </c>
      <c r="F127" s="981">
        <v>31404.2</v>
      </c>
      <c r="G127" s="836">
        <f t="shared" si="14"/>
        <v>0</v>
      </c>
      <c r="H127" s="837">
        <f>G127+'25'!H127</f>
        <v>-1.7999999999992724</v>
      </c>
      <c r="I127" s="953"/>
      <c r="J127" s="839">
        <f>H127/DAY(B2)</f>
        <v>-6.9230769230741243E-2</v>
      </c>
      <c r="K127" s="935"/>
      <c r="L127" s="814"/>
      <c r="O127" s="841"/>
    </row>
    <row r="128" spans="1:15" ht="20.100000000000001" customHeight="1">
      <c r="A128" s="982" t="s">
        <v>290</v>
      </c>
      <c r="B128" s="864"/>
      <c r="C128" s="864"/>
      <c r="D128" s="834" t="s">
        <v>206</v>
      </c>
      <c r="E128" s="835">
        <f>'25'!F128</f>
        <v>8970.6</v>
      </c>
      <c r="F128" s="981">
        <v>8970.6</v>
      </c>
      <c r="G128" s="836">
        <f t="shared" si="14"/>
        <v>0</v>
      </c>
      <c r="H128" s="837">
        <f>G128+'25'!H128</f>
        <v>-1.3999999999996362</v>
      </c>
      <c r="I128" s="856"/>
      <c r="J128" s="839">
        <f>H128/DAY(B2)</f>
        <v>-5.3846153846139853E-2</v>
      </c>
      <c r="K128" s="935"/>
      <c r="L128" s="814"/>
      <c r="O128" s="841"/>
    </row>
    <row r="129" spans="1:15" ht="21.75" customHeight="1">
      <c r="A129" s="982" t="s">
        <v>291</v>
      </c>
      <c r="B129" s="864"/>
      <c r="C129" s="864"/>
      <c r="D129" s="834"/>
      <c r="E129" s="835"/>
      <c r="F129" s="853"/>
      <c r="G129" s="836">
        <f>G15-SUM(G124:G128)</f>
        <v>271.26999999998952</v>
      </c>
      <c r="H129" s="837">
        <f>G129+'25'!H129</f>
        <v>3159.3199999999651</v>
      </c>
      <c r="I129" s="856"/>
      <c r="J129" s="839">
        <f>H129/DAY(B2)</f>
        <v>121.51230769230635</v>
      </c>
      <c r="K129" s="935"/>
      <c r="L129" s="814"/>
      <c r="O129" s="841"/>
    </row>
    <row r="130" spans="1:15">
      <c r="A130" s="983" t="s">
        <v>292</v>
      </c>
      <c r="B130" s="828"/>
      <c r="C130" s="828"/>
      <c r="D130" s="828"/>
      <c r="E130" s="828"/>
      <c r="F130" s="828"/>
      <c r="G130" s="984"/>
      <c r="H130" s="984"/>
      <c r="I130" s="984"/>
      <c r="J130" s="985"/>
      <c r="O130" s="841"/>
    </row>
    <row r="131" spans="1:15">
      <c r="A131" s="863" t="s">
        <v>293</v>
      </c>
      <c r="B131" s="864"/>
      <c r="C131" s="864"/>
      <c r="D131" s="834" t="s">
        <v>294</v>
      </c>
      <c r="E131" s="835">
        <f>'25'!F131</f>
        <v>0</v>
      </c>
      <c r="F131" s="865">
        <v>0</v>
      </c>
      <c r="G131" s="836">
        <f t="shared" ref="G131:G141" si="15">F131-E131</f>
        <v>0</v>
      </c>
      <c r="H131" s="837">
        <f>G131+'25'!H131</f>
        <v>0</v>
      </c>
      <c r="I131" s="856"/>
      <c r="J131" s="839">
        <f>H131/DAY(B2)</f>
        <v>0</v>
      </c>
      <c r="O131" s="841"/>
    </row>
    <row r="132" spans="1:15">
      <c r="A132" s="863" t="s">
        <v>295</v>
      </c>
      <c r="B132" s="864"/>
      <c r="C132" s="864"/>
      <c r="D132" s="834" t="s">
        <v>294</v>
      </c>
      <c r="E132" s="835">
        <f>'25'!F132</f>
        <v>0</v>
      </c>
      <c r="F132" s="865">
        <v>0</v>
      </c>
      <c r="G132" s="836">
        <f t="shared" si="15"/>
        <v>0</v>
      </c>
      <c r="H132" s="837">
        <f>G132+'25'!H132</f>
        <v>0</v>
      </c>
      <c r="I132" s="856"/>
      <c r="J132" s="839">
        <f>H132/DAY(B2)</f>
        <v>0</v>
      </c>
      <c r="O132" s="841"/>
    </row>
    <row r="133" spans="1:15">
      <c r="A133" s="863" t="s">
        <v>296</v>
      </c>
      <c r="B133" s="864"/>
      <c r="C133" s="864"/>
      <c r="D133" s="834" t="s">
        <v>294</v>
      </c>
      <c r="E133" s="835">
        <f>'25'!F133</f>
        <v>40059.1</v>
      </c>
      <c r="F133" s="986">
        <v>40059.1</v>
      </c>
      <c r="G133" s="836">
        <f t="shared" si="15"/>
        <v>0</v>
      </c>
      <c r="H133" s="837">
        <f>G133+'25'!H133</f>
        <v>24</v>
      </c>
      <c r="I133" s="856"/>
      <c r="J133" s="839">
        <f>H133/DAY(B2)</f>
        <v>0.92307692307692313</v>
      </c>
      <c r="O133" s="841"/>
    </row>
    <row r="134" spans="1:15">
      <c r="A134" s="863" t="s">
        <v>297</v>
      </c>
      <c r="B134" s="864"/>
      <c r="C134" s="864"/>
      <c r="D134" s="834" t="s">
        <v>294</v>
      </c>
      <c r="E134" s="835">
        <f>'25'!F134</f>
        <v>300</v>
      </c>
      <c r="F134" s="986">
        <v>300</v>
      </c>
      <c r="G134" s="836">
        <f t="shared" si="15"/>
        <v>0</v>
      </c>
      <c r="H134" s="837">
        <f>G134+'25'!H134</f>
        <v>0</v>
      </c>
      <c r="I134" s="856">
        <f>G131+G132+G133+G134</f>
        <v>0</v>
      </c>
      <c r="J134" s="839">
        <f>H134/DAY(B2)</f>
        <v>0</v>
      </c>
      <c r="O134" s="841"/>
    </row>
    <row r="135" spans="1:15">
      <c r="A135" s="863" t="s">
        <v>298</v>
      </c>
      <c r="B135" s="864"/>
      <c r="C135" s="864"/>
      <c r="D135" s="834" t="s">
        <v>294</v>
      </c>
      <c r="E135" s="835">
        <f>'25'!F135+21</f>
        <v>41706.300000000003</v>
      </c>
      <c r="F135" s="986">
        <v>41730.339999999997</v>
      </c>
      <c r="G135" s="836">
        <f t="shared" si="15"/>
        <v>24.039999999993597</v>
      </c>
      <c r="H135" s="837">
        <f>G135+'25'!H135</f>
        <v>71.94999999999709</v>
      </c>
      <c r="I135" s="856"/>
      <c r="J135" s="839">
        <f>H135/DAY(B2)</f>
        <v>2.7673076923075803</v>
      </c>
      <c r="O135" s="841"/>
    </row>
    <row r="136" spans="1:15">
      <c r="A136" s="863" t="s">
        <v>299</v>
      </c>
      <c r="B136" s="864"/>
      <c r="C136" s="864"/>
      <c r="D136" s="834" t="s">
        <v>294</v>
      </c>
      <c r="E136" s="835">
        <f>'25'!F136</f>
        <v>32582.93</v>
      </c>
      <c r="F136" s="986">
        <v>32595</v>
      </c>
      <c r="G136" s="836">
        <f t="shared" si="15"/>
        <v>12.069999999999709</v>
      </c>
      <c r="H136" s="837">
        <f>G136+'25'!H136</f>
        <v>25.069999999999709</v>
      </c>
      <c r="I136" s="856"/>
      <c r="J136" s="839">
        <f>H136/DAY(B2)</f>
        <v>0.96423076923075801</v>
      </c>
      <c r="O136" s="841"/>
    </row>
    <row r="137" spans="1:15">
      <c r="A137" s="863" t="s">
        <v>300</v>
      </c>
      <c r="B137" s="864"/>
      <c r="C137" s="864"/>
      <c r="D137" s="834" t="s">
        <v>294</v>
      </c>
      <c r="E137" s="835">
        <f>'25'!F137</f>
        <v>22791.35</v>
      </c>
      <c r="F137" s="986">
        <v>22791.360000000001</v>
      </c>
      <c r="G137" s="836">
        <f t="shared" si="15"/>
        <v>1.0000000002037268E-2</v>
      </c>
      <c r="H137" s="837">
        <f>G137+'25'!H137</f>
        <v>-15.880000000001019</v>
      </c>
      <c r="I137" s="856">
        <f>G135+G136+G137</f>
        <v>36.119999999995343</v>
      </c>
      <c r="J137" s="839">
        <f>H137/DAY(B2)</f>
        <v>-0.61076923076926992</v>
      </c>
      <c r="O137" s="841"/>
    </row>
    <row r="138" spans="1:15">
      <c r="A138" s="863" t="s">
        <v>301</v>
      </c>
      <c r="B138" s="864"/>
      <c r="C138" s="864"/>
      <c r="D138" s="834" t="s">
        <v>294</v>
      </c>
      <c r="E138" s="835">
        <f>'25'!F138</f>
        <v>25051.73</v>
      </c>
      <c r="F138" s="986">
        <v>25051.72</v>
      </c>
      <c r="G138" s="836">
        <f t="shared" si="15"/>
        <v>-9.9999999983992893E-3</v>
      </c>
      <c r="H138" s="837">
        <f>G138+'25'!H138</f>
        <v>8</v>
      </c>
      <c r="I138" s="856"/>
      <c r="J138" s="839">
        <f>H138/DAY(B2)</f>
        <v>0.30769230769230771</v>
      </c>
      <c r="O138" s="841"/>
    </row>
    <row r="139" spans="1:15">
      <c r="A139" s="863" t="s">
        <v>302</v>
      </c>
      <c r="B139" s="864"/>
      <c r="C139" s="864"/>
      <c r="D139" s="834" t="s">
        <v>294</v>
      </c>
      <c r="E139" s="835">
        <f>'25'!F139</f>
        <v>70389.350000000006</v>
      </c>
      <c r="F139" s="986">
        <v>70392.179999999993</v>
      </c>
      <c r="G139" s="836">
        <f t="shared" si="15"/>
        <v>2.8299999999871943</v>
      </c>
      <c r="H139" s="837">
        <f>G139+'25'!H139</f>
        <v>28.079999999987194</v>
      </c>
      <c r="I139" s="856">
        <f>G138+G139</f>
        <v>2.819999999988795</v>
      </c>
      <c r="J139" s="839">
        <f>H139/DAY(B2)</f>
        <v>1.0799999999995076</v>
      </c>
      <c r="O139" s="841"/>
    </row>
    <row r="140" spans="1:15">
      <c r="A140" s="863" t="s">
        <v>303</v>
      </c>
      <c r="B140" s="864"/>
      <c r="C140" s="864"/>
      <c r="D140" s="834" t="s">
        <v>294</v>
      </c>
      <c r="E140" s="835">
        <f>'25'!F140</f>
        <v>1809.4</v>
      </c>
      <c r="F140" s="865">
        <v>1817.18</v>
      </c>
      <c r="G140" s="836">
        <f t="shared" si="15"/>
        <v>7.7799999999999727</v>
      </c>
      <c r="H140" s="837">
        <f>G140+'25'!H140</f>
        <v>-37.119999999999891</v>
      </c>
      <c r="I140" s="987"/>
      <c r="J140" s="839">
        <f>H140/DAY(B2)</f>
        <v>-1.4276923076923036</v>
      </c>
      <c r="O140" s="841"/>
    </row>
    <row r="141" spans="1:15">
      <c r="A141" s="863" t="s">
        <v>304</v>
      </c>
      <c r="B141" s="864"/>
      <c r="C141" s="864"/>
      <c r="D141" s="834" t="s">
        <v>294</v>
      </c>
      <c r="E141" s="835">
        <f>'25'!F141</f>
        <v>4636.88</v>
      </c>
      <c r="F141" s="865">
        <v>4636.88</v>
      </c>
      <c r="G141" s="836">
        <f t="shared" si="15"/>
        <v>0</v>
      </c>
      <c r="H141" s="837">
        <f>G141+'25'!H141</f>
        <v>-0.11999999999989086</v>
      </c>
      <c r="I141" s="987"/>
      <c r="J141" s="839">
        <f>H141/DAY(B2)</f>
        <v>-4.6153846153804178E-3</v>
      </c>
      <c r="O141" s="841"/>
    </row>
    <row r="142" spans="1:15">
      <c r="A142" s="1563" t="s">
        <v>305</v>
      </c>
      <c r="B142" s="1564"/>
      <c r="C142" s="829"/>
      <c r="D142" s="829"/>
      <c r="E142" s="829"/>
      <c r="F142" s="829"/>
      <c r="G142" s="861"/>
      <c r="H142" s="861"/>
      <c r="I142" s="861"/>
      <c r="J142" s="980"/>
      <c r="K142" s="935"/>
      <c r="L142" s="814"/>
      <c r="O142" s="841"/>
    </row>
    <row r="143" spans="1:15">
      <c r="A143" s="1539" t="s">
        <v>306</v>
      </c>
      <c r="B143" s="1540"/>
      <c r="C143" s="1541"/>
      <c r="D143" s="834" t="s">
        <v>198</v>
      </c>
      <c r="E143" s="834"/>
      <c r="F143" s="834"/>
      <c r="G143" s="837">
        <f>G35+G43+G49+G57</f>
        <v>5247.7600000000093</v>
      </c>
      <c r="H143" s="837">
        <f>G143+'25'!H143</f>
        <v>-23969.819999999949</v>
      </c>
      <c r="I143" s="856"/>
      <c r="J143" s="839">
        <f>H143/DAY(B2)</f>
        <v>-921.91615384615193</v>
      </c>
      <c r="K143" s="935"/>
      <c r="L143" s="814"/>
      <c r="O143" s="841"/>
    </row>
    <row r="144" spans="1:15">
      <c r="A144" s="1539" t="s">
        <v>307</v>
      </c>
      <c r="B144" s="1540"/>
      <c r="C144" s="1541"/>
      <c r="D144" s="834" t="s">
        <v>58</v>
      </c>
      <c r="E144" s="821"/>
      <c r="F144" s="825">
        <f>G135-24</f>
        <v>3.9999999993597157E-2</v>
      </c>
      <c r="G144" s="988">
        <f>G143/G7</f>
        <v>0.30869176470588289</v>
      </c>
      <c r="H144" s="837">
        <f>G144+'25'!H144</f>
        <v>-1.5222958561955187</v>
      </c>
      <c r="I144" s="989"/>
      <c r="J144" s="839">
        <f>H144/DAY(B2)</f>
        <v>-5.8549840622904567E-2</v>
      </c>
      <c r="K144" s="935"/>
      <c r="L144" s="814"/>
      <c r="O144" s="841"/>
    </row>
    <row r="145" spans="1:15">
      <c r="A145" s="1539" t="s">
        <v>308</v>
      </c>
      <c r="B145" s="1540"/>
      <c r="C145" s="1541"/>
      <c r="D145" s="834" t="s">
        <v>198</v>
      </c>
      <c r="E145" s="835"/>
      <c r="F145" s="835"/>
      <c r="G145" s="837">
        <f>G41+G42+G55+G56</f>
        <v>5995.2500000000291</v>
      </c>
      <c r="H145" s="837">
        <f>G145+'25'!H145</f>
        <v>-25570.439999999995</v>
      </c>
      <c r="I145" s="856"/>
      <c r="J145" s="839">
        <f>H145/DAY(B2)</f>
        <v>-983.47846153846137</v>
      </c>
      <c r="K145" s="935"/>
      <c r="L145" s="814"/>
      <c r="O145" s="841"/>
    </row>
    <row r="146" spans="1:15" ht="20.100000000000001" customHeight="1">
      <c r="A146" s="1539" t="s">
        <v>309</v>
      </c>
      <c r="B146" s="1540"/>
      <c r="C146" s="1541"/>
      <c r="D146" s="834" t="s">
        <v>58</v>
      </c>
      <c r="E146" s="835"/>
      <c r="F146" s="835"/>
      <c r="G146" s="988">
        <f>G145/G7</f>
        <v>0.35266176470588406</v>
      </c>
      <c r="H146" s="837">
        <f>G146+'25'!H146</f>
        <v>-1.6409447434273532</v>
      </c>
      <c r="I146" s="989"/>
      <c r="J146" s="839">
        <f>H146/DAY(B2)</f>
        <v>-6.3113259362590504E-2</v>
      </c>
      <c r="K146" s="935"/>
      <c r="L146" s="814"/>
      <c r="O146" s="841"/>
    </row>
    <row r="147" spans="1:15" ht="20.100000000000001" customHeight="1">
      <c r="A147" s="1539" t="s">
        <v>310</v>
      </c>
      <c r="B147" s="1540"/>
      <c r="C147" s="1541"/>
      <c r="D147" s="834" t="s">
        <v>198</v>
      </c>
      <c r="E147" s="835"/>
      <c r="F147" s="835"/>
      <c r="G147" s="837">
        <f>G39+G53</f>
        <v>2690.8799999999464</v>
      </c>
      <c r="H147" s="837">
        <f>G147+'25'!H147</f>
        <v>-14016.98000000004</v>
      </c>
      <c r="I147" s="990"/>
      <c r="J147" s="839">
        <f>H147/DAY(B2)</f>
        <v>-539.11461538461685</v>
      </c>
      <c r="K147" s="935"/>
      <c r="L147" s="814"/>
      <c r="O147" s="841"/>
    </row>
    <row r="148" spans="1:15" ht="20.100000000000001" customHeight="1">
      <c r="A148" s="1539" t="s">
        <v>311</v>
      </c>
      <c r="B148" s="1540"/>
      <c r="C148" s="1541"/>
      <c r="D148" s="834" t="s">
        <v>58</v>
      </c>
      <c r="E148" s="835"/>
      <c r="F148" s="835"/>
      <c r="G148" s="988">
        <f>G147/G7</f>
        <v>0.15828705882352626</v>
      </c>
      <c r="H148" s="837">
        <f>G148+'25'!H148</f>
        <v>-0.90210202273972351</v>
      </c>
      <c r="I148" s="990"/>
      <c r="J148" s="839">
        <f>H148/DAY(B2)</f>
        <v>-3.4696231643835521E-2</v>
      </c>
      <c r="O148" s="841"/>
    </row>
    <row r="149" spans="1:15" ht="20.100000000000001" customHeight="1">
      <c r="A149" s="1539" t="s">
        <v>312</v>
      </c>
      <c r="B149" s="1540"/>
      <c r="C149" s="1541"/>
      <c r="D149" s="834" t="s">
        <v>248</v>
      </c>
      <c r="E149" s="835"/>
      <c r="F149" s="835"/>
      <c r="G149" s="837">
        <f>G38+G52</f>
        <v>1226.3500000000058</v>
      </c>
      <c r="H149" s="837">
        <f>G149+'25'!H149</f>
        <v>-6169.5400000000373</v>
      </c>
      <c r="I149" s="856"/>
      <c r="J149" s="839">
        <f>H149/DAY(B2)</f>
        <v>-237.29000000000144</v>
      </c>
      <c r="K149" s="991"/>
      <c r="O149" s="841"/>
    </row>
    <row r="150" spans="1:15" ht="20.100000000000001" customHeight="1">
      <c r="A150" s="1539" t="s">
        <v>313</v>
      </c>
      <c r="B150" s="1540"/>
      <c r="C150" s="1541"/>
      <c r="D150" s="834" t="s">
        <v>58</v>
      </c>
      <c r="E150" s="835"/>
      <c r="F150" s="835"/>
      <c r="G150" s="988">
        <f>G149/G7</f>
        <v>7.2138235294117989E-2</v>
      </c>
      <c r="H150" s="837">
        <f>G150+'25'!H150</f>
        <v>-0.3951088641570773</v>
      </c>
      <c r="I150" s="990"/>
      <c r="J150" s="839">
        <f>H150/DAY(B2)</f>
        <v>-1.5196494775272204E-2</v>
      </c>
      <c r="O150" s="841"/>
    </row>
    <row r="151" spans="1:15" ht="20.100000000000001" customHeight="1">
      <c r="A151" s="1539" t="s">
        <v>314</v>
      </c>
      <c r="B151" s="1540"/>
      <c r="C151" s="1541"/>
      <c r="D151" s="834" t="s">
        <v>248</v>
      </c>
      <c r="E151" s="835"/>
      <c r="F151" s="835"/>
      <c r="G151" s="837">
        <f>G36+G50</f>
        <v>1413.7200000000303</v>
      </c>
      <c r="H151" s="837">
        <f>G151+'25'!H151</f>
        <v>342538.83</v>
      </c>
      <c r="I151" s="990"/>
      <c r="J151" s="839">
        <f>H151/DAY(B2)</f>
        <v>13174.570384615385</v>
      </c>
      <c r="O151" s="841"/>
    </row>
    <row r="152" spans="1:15" ht="20.100000000000001" customHeight="1">
      <c r="A152" s="1539" t="s">
        <v>315</v>
      </c>
      <c r="B152" s="1540"/>
      <c r="C152" s="1541"/>
      <c r="D152" s="834" t="s">
        <v>58</v>
      </c>
      <c r="E152" s="835"/>
      <c r="F152" s="835"/>
      <c r="G152" s="988">
        <f>G151/G7</f>
        <v>8.3160000000001774E-2</v>
      </c>
      <c r="H152" s="837">
        <f>G152+'25'!H152</f>
        <v>20.108059174434246</v>
      </c>
      <c r="I152" s="856"/>
      <c r="J152" s="839">
        <f>H152/DAY(B2)</f>
        <v>0.77338689132439409</v>
      </c>
      <c r="O152" s="841"/>
    </row>
    <row r="153" spans="1:15" ht="20.100000000000001" customHeight="1">
      <c r="A153" s="1539" t="s">
        <v>316</v>
      </c>
      <c r="B153" s="1540"/>
      <c r="C153" s="1541"/>
      <c r="D153" s="834" t="s">
        <v>248</v>
      </c>
      <c r="E153" s="835"/>
      <c r="F153" s="835"/>
      <c r="G153" s="837">
        <f>G37+G51</f>
        <v>1344</v>
      </c>
      <c r="H153" s="837">
        <f>G153+'25'!H153</f>
        <v>-6491.4000000000087</v>
      </c>
      <c r="I153" s="856"/>
      <c r="J153" s="839">
        <f>H153/DAY(B2)</f>
        <v>-249.66923076923109</v>
      </c>
      <c r="O153" s="841"/>
    </row>
    <row r="154" spans="1:15" ht="20.100000000000001" customHeight="1" thickBot="1">
      <c r="A154" s="1565" t="s">
        <v>317</v>
      </c>
      <c r="B154" s="1566"/>
      <c r="C154" s="1567"/>
      <c r="D154" s="992" t="s">
        <v>58</v>
      </c>
      <c r="E154" s="993"/>
      <c r="F154" s="993"/>
      <c r="G154" s="994">
        <f>G153/G7</f>
        <v>7.9058823529411765E-2</v>
      </c>
      <c r="H154" s="837">
        <f>G154+'25'!H154</f>
        <v>-0.41288894783901631</v>
      </c>
      <c r="I154" s="995"/>
      <c r="J154" s="996">
        <f>H154/DAY(B2)</f>
        <v>-1.5880344147654473E-2</v>
      </c>
      <c r="O154" s="841"/>
    </row>
    <row r="155" spans="1:15" ht="44.25" customHeight="1">
      <c r="A155" s="997"/>
      <c r="B155" s="997"/>
      <c r="C155" s="997"/>
      <c r="D155" s="997"/>
      <c r="E155" s="997"/>
      <c r="F155" s="997"/>
      <c r="G155" s="997"/>
      <c r="H155" s="998"/>
      <c r="I155" s="997"/>
      <c r="J155" s="999"/>
      <c r="O155" s="841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87" t="s">
        <v>318</v>
      </c>
      <c r="B161" s="987"/>
      <c r="C161" s="987"/>
      <c r="D161" s="821" t="s">
        <v>253</v>
      </c>
      <c r="E161" s="835">
        <f>'25'!F161</f>
        <v>37945.339999999997</v>
      </c>
      <c r="F161" s="1011">
        <v>38024.69</v>
      </c>
      <c r="G161" s="836">
        <f t="shared" ref="G161:G164" si="16">F161-E161</f>
        <v>79.350000000005821</v>
      </c>
    </row>
    <row r="162" spans="1:7" ht="21.75" customHeight="1">
      <c r="A162" s="987" t="s">
        <v>319</v>
      </c>
      <c r="B162" s="987"/>
      <c r="C162" s="987"/>
      <c r="D162" s="821" t="s">
        <v>253</v>
      </c>
      <c r="E162" s="835">
        <f>'25'!F162</f>
        <v>92482.99</v>
      </c>
      <c r="F162" s="1011">
        <v>92856.51</v>
      </c>
      <c r="G162" s="836">
        <f t="shared" si="16"/>
        <v>373.51999999998952</v>
      </c>
    </row>
    <row r="163" spans="1:7" ht="21.75" customHeight="1">
      <c r="A163" s="987" t="s">
        <v>320</v>
      </c>
      <c r="B163" s="987"/>
      <c r="C163" s="987"/>
      <c r="D163" s="821" t="s">
        <v>253</v>
      </c>
      <c r="E163" s="835">
        <f>'25'!F163</f>
        <v>43713.43</v>
      </c>
      <c r="F163" s="1011">
        <v>43914</v>
      </c>
      <c r="G163" s="836">
        <f t="shared" si="16"/>
        <v>200.56999999999971</v>
      </c>
    </row>
    <row r="164" spans="1:7" ht="21.75" customHeight="1">
      <c r="A164" s="987" t="s">
        <v>321</v>
      </c>
      <c r="B164" s="987"/>
      <c r="C164" s="987"/>
      <c r="D164" s="821" t="s">
        <v>253</v>
      </c>
      <c r="E164" s="835">
        <f>'25'!F164</f>
        <v>6516.74</v>
      </c>
      <c r="F164" s="1011">
        <v>6525.9</v>
      </c>
      <c r="G164" s="836">
        <f t="shared" si="16"/>
        <v>9.1599999999998545</v>
      </c>
    </row>
    <row r="165" spans="1:7" ht="21.75" customHeight="1">
      <c r="A165" s="917" t="s">
        <v>252</v>
      </c>
      <c r="B165" s="917"/>
      <c r="C165" s="917"/>
      <c r="D165" s="821" t="s">
        <v>253</v>
      </c>
      <c r="E165" s="918">
        <f>E62</f>
        <v>20419</v>
      </c>
      <c r="F165" s="918">
        <f>F62</f>
        <v>20419</v>
      </c>
      <c r="G165" s="836">
        <f t="shared" ref="G165:G172" si="17">F165-E165</f>
        <v>0</v>
      </c>
    </row>
    <row r="166" spans="1:7" ht="21.75" customHeight="1">
      <c r="A166" s="917" t="s">
        <v>254</v>
      </c>
      <c r="B166" s="917"/>
      <c r="C166" s="917"/>
      <c r="D166" s="821" t="s">
        <v>253</v>
      </c>
      <c r="E166" s="918">
        <f t="shared" ref="E166:E172" si="18">E63</f>
        <v>2453.4699999999998</v>
      </c>
      <c r="F166" s="918">
        <f t="shared" ref="F166:F172" si="19">F63</f>
        <v>2457.1</v>
      </c>
      <c r="G166" s="836">
        <f t="shared" si="17"/>
        <v>3.6300000000001091</v>
      </c>
    </row>
    <row r="167" spans="1:7" ht="21.75" customHeight="1">
      <c r="A167" s="1583" t="s">
        <v>161</v>
      </c>
      <c r="B167" s="1583"/>
      <c r="C167" s="1583"/>
      <c r="D167" s="834" t="s">
        <v>253</v>
      </c>
      <c r="E167" s="918">
        <f t="shared" si="18"/>
        <v>158798.06</v>
      </c>
      <c r="F167" s="918">
        <f t="shared" si="19"/>
        <v>158972.70000000001</v>
      </c>
      <c r="G167" s="836">
        <f t="shared" si="17"/>
        <v>174.64000000001397</v>
      </c>
    </row>
    <row r="168" spans="1:7" ht="21.75" customHeight="1">
      <c r="A168" s="1583" t="s">
        <v>162</v>
      </c>
      <c r="B168" s="1583"/>
      <c r="C168" s="1583"/>
      <c r="D168" s="834" t="s">
        <v>253</v>
      </c>
      <c r="E168" s="918">
        <f t="shared" si="18"/>
        <v>159730</v>
      </c>
      <c r="F168" s="918">
        <f t="shared" si="19"/>
        <v>159915.88</v>
      </c>
      <c r="G168" s="836">
        <f t="shared" si="17"/>
        <v>185.88000000000466</v>
      </c>
    </row>
    <row r="169" spans="1:7" ht="21.75" customHeight="1">
      <c r="A169" s="1583" t="s">
        <v>255</v>
      </c>
      <c r="B169" s="1583"/>
      <c r="C169" s="1583"/>
      <c r="D169" s="834" t="s">
        <v>253</v>
      </c>
      <c r="E169" s="918">
        <f t="shared" si="18"/>
        <v>55178.79</v>
      </c>
      <c r="F169" s="918">
        <f t="shared" si="19"/>
        <v>55424.42</v>
      </c>
      <c r="G169" s="836">
        <f t="shared" si="17"/>
        <v>245.62999999999738</v>
      </c>
    </row>
    <row r="170" spans="1:7" ht="21.75" customHeight="1">
      <c r="A170" s="1583" t="s">
        <v>157</v>
      </c>
      <c r="B170" s="1583"/>
      <c r="C170" s="1583"/>
      <c r="D170" s="834" t="s">
        <v>253</v>
      </c>
      <c r="E170" s="918">
        <f t="shared" si="18"/>
        <v>249501.01</v>
      </c>
      <c r="F170" s="918">
        <f t="shared" si="19"/>
        <v>249886.57</v>
      </c>
      <c r="G170" s="836">
        <f t="shared" si="17"/>
        <v>385.55999999999767</v>
      </c>
    </row>
    <row r="171" spans="1:7" ht="24" customHeight="1">
      <c r="A171" s="1583" t="s">
        <v>164</v>
      </c>
      <c r="B171" s="1583"/>
      <c r="C171" s="1583"/>
      <c r="D171" s="834" t="s">
        <v>253</v>
      </c>
      <c r="E171" s="918">
        <f t="shared" si="18"/>
        <v>85321</v>
      </c>
      <c r="F171" s="918">
        <f t="shared" si="19"/>
        <v>85321</v>
      </c>
      <c r="G171" s="836">
        <f t="shared" si="17"/>
        <v>0</v>
      </c>
    </row>
    <row r="172" spans="1:7">
      <c r="A172" s="1583" t="s">
        <v>165</v>
      </c>
      <c r="B172" s="1583"/>
      <c r="C172" s="1583"/>
      <c r="D172" s="834" t="s">
        <v>253</v>
      </c>
      <c r="E172" s="918">
        <f t="shared" si="18"/>
        <v>81051.97</v>
      </c>
      <c r="F172" s="918">
        <f t="shared" si="19"/>
        <v>81191.509999999995</v>
      </c>
      <c r="G172" s="836">
        <f t="shared" si="17"/>
        <v>139.5399999999936</v>
      </c>
    </row>
    <row r="173" spans="1:7">
      <c r="G173" s="1002">
        <f>SUM(G161:G172)</f>
        <v>1797.4800000000023</v>
      </c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topLeftCell="A100" zoomScale="55" zoomScaleSheetLayoutView="55" workbookViewId="0">
      <selection activeCell="A33" sqref="A33:J33"/>
    </sheetView>
  </sheetViews>
  <sheetFormatPr defaultColWidth="22.33203125" defaultRowHeight="29.25"/>
  <cols>
    <col min="1" max="1" width="51.21875" style="449" customWidth="1"/>
    <col min="2" max="2" width="24.88671875" style="452" customWidth="1"/>
    <col min="3" max="3" width="15.88671875" style="452" customWidth="1"/>
    <col min="4" max="4" width="13.6640625" style="532" customWidth="1"/>
    <col min="5" max="5" width="30" style="532" customWidth="1"/>
    <col min="6" max="6" width="30" style="659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2" width="0" style="373" hidden="1" customWidth="1"/>
    <col min="13" max="13" width="4.44140625" style="373" customWidth="1"/>
    <col min="14" max="14" width="25.5546875" style="373" customWidth="1"/>
    <col min="15" max="16384" width="22.33203125" style="373"/>
  </cols>
  <sheetData>
    <row r="1" spans="1:14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4" s="278" customFormat="1" ht="27">
      <c r="A2" s="570" t="s">
        <v>337</v>
      </c>
      <c r="B2" s="1108">
        <v>43978</v>
      </c>
      <c r="C2" s="1394" t="s">
        <v>111</v>
      </c>
      <c r="D2" s="606">
        <v>0.7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4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4" s="278" customFormat="1" ht="27">
      <c r="A4" s="571"/>
      <c r="B4" s="611"/>
      <c r="C4" s="1394" t="s">
        <v>188</v>
      </c>
      <c r="D4" s="606">
        <v>0.78</v>
      </c>
      <c r="E4" s="459"/>
      <c r="F4" s="459"/>
      <c r="G4" s="459"/>
      <c r="H4" s="459"/>
      <c r="I4" s="460"/>
      <c r="J4" s="610"/>
      <c r="K4" s="369"/>
      <c r="L4" s="289"/>
    </row>
    <row r="5" spans="1:14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4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4" ht="30" thickBot="1">
      <c r="A7" s="672" t="s">
        <v>197</v>
      </c>
      <c r="B7" s="673"/>
      <c r="C7" s="673"/>
      <c r="D7" s="633" t="s">
        <v>198</v>
      </c>
      <c r="E7" s="628">
        <f>'26'!F7</f>
        <v>793941</v>
      </c>
      <c r="F7" s="450">
        <f>E7+17000</f>
        <v>810941</v>
      </c>
      <c r="G7" s="674">
        <f>F7-E7</f>
        <v>17000</v>
      </c>
      <c r="H7" s="675">
        <f>G7+'26'!H7</f>
        <v>466529</v>
      </c>
      <c r="I7" s="676">
        <f>'1'!I7</f>
        <v>12000</v>
      </c>
      <c r="J7" s="677">
        <f>H7/DAY(B2)</f>
        <v>17278.85185185185</v>
      </c>
      <c r="K7" s="544"/>
      <c r="L7" s="374">
        <v>1375467</v>
      </c>
      <c r="M7" s="373">
        <v>1691553</v>
      </c>
      <c r="N7" s="379">
        <f>M7-L7</f>
        <v>316086</v>
      </c>
    </row>
    <row r="8" spans="1:14" ht="27.75" thickBot="1">
      <c r="A8" s="678" t="s">
        <v>199</v>
      </c>
      <c r="B8" s="679"/>
      <c r="C8" s="680"/>
      <c r="D8" s="681" t="s">
        <v>59</v>
      </c>
      <c r="E8" s="628">
        <f>'26'!F8</f>
        <v>798945</v>
      </c>
      <c r="F8" s="450">
        <f>E8+17150</f>
        <v>816095</v>
      </c>
      <c r="G8" s="685">
        <f>F8-E8</f>
        <v>17150</v>
      </c>
      <c r="H8" s="675">
        <f>G8+'26'!H8</f>
        <v>469585</v>
      </c>
      <c r="I8" s="682">
        <f>'1'!I8</f>
        <v>12000</v>
      </c>
      <c r="J8" s="677">
        <f>H8/DAY(B2)</f>
        <v>17392.037037037036</v>
      </c>
      <c r="K8" s="544"/>
      <c r="L8" s="421"/>
      <c r="M8" s="435"/>
      <c r="N8" s="699"/>
    </row>
    <row r="9" spans="1:14">
      <c r="A9" s="683" t="s">
        <v>200</v>
      </c>
      <c r="B9" s="684"/>
      <c r="C9" s="684"/>
      <c r="D9" s="633" t="s">
        <v>198</v>
      </c>
      <c r="E9" s="630">
        <f>'26'!F9</f>
        <v>1915322</v>
      </c>
      <c r="F9" s="473">
        <f>E9+16950</f>
        <v>1932272</v>
      </c>
      <c r="G9" s="698">
        <f t="shared" ref="G9:G12" si="0">F9-E9</f>
        <v>16950</v>
      </c>
      <c r="H9" s="675">
        <f>G9+'26'!H9</f>
        <v>458582</v>
      </c>
      <c r="I9" s="686">
        <f>I8-J8</f>
        <v>-5392.0370370370365</v>
      </c>
      <c r="J9" s="677">
        <f>H9/DAY(B2)</f>
        <v>16984.518518518518</v>
      </c>
      <c r="K9" s="424"/>
      <c r="L9" s="374"/>
      <c r="N9" s="379"/>
    </row>
    <row r="10" spans="1:14">
      <c r="A10" s="672" t="s">
        <v>201</v>
      </c>
      <c r="B10" s="673"/>
      <c r="C10" s="673"/>
      <c r="D10" s="633" t="s">
        <v>198</v>
      </c>
      <c r="E10" s="630">
        <f>'26'!F10</f>
        <v>0</v>
      </c>
      <c r="F10" s="473"/>
      <c r="G10" s="685">
        <f t="shared" si="0"/>
        <v>0</v>
      </c>
      <c r="H10" s="675">
        <f>G10+'26'!H10</f>
        <v>-2606.13</v>
      </c>
      <c r="I10" s="687"/>
      <c r="J10" s="677">
        <f>H10/DAY(B2)</f>
        <v>-96.523333333333341</v>
      </c>
      <c r="K10" s="424"/>
      <c r="L10" s="374"/>
      <c r="N10" s="379"/>
    </row>
    <row r="11" spans="1:14">
      <c r="A11" s="672" t="s">
        <v>202</v>
      </c>
      <c r="B11" s="673"/>
      <c r="C11" s="673"/>
      <c r="D11" s="633" t="s">
        <v>198</v>
      </c>
      <c r="E11" s="628">
        <f>'5'!E11</f>
        <v>37000</v>
      </c>
      <c r="F11" s="450">
        <v>37000</v>
      </c>
      <c r="G11" s="685">
        <f t="shared" si="0"/>
        <v>0</v>
      </c>
      <c r="H11" s="675">
        <f>G11+'26'!H11</f>
        <v>0</v>
      </c>
      <c r="I11" s="687"/>
      <c r="J11" s="677">
        <f>H11/DAY(B2)</f>
        <v>0</v>
      </c>
      <c r="K11" s="424"/>
      <c r="L11" s="374"/>
      <c r="N11" s="379"/>
    </row>
    <row r="12" spans="1:14">
      <c r="A12" s="672" t="s">
        <v>203</v>
      </c>
      <c r="B12" s="673"/>
      <c r="C12" s="673"/>
      <c r="D12" s="633" t="s">
        <v>198</v>
      </c>
      <c r="E12" s="630">
        <f>'5'!E12</f>
        <v>40010</v>
      </c>
      <c r="F12" s="473">
        <v>40010</v>
      </c>
      <c r="G12" s="685">
        <f t="shared" si="0"/>
        <v>0</v>
      </c>
      <c r="H12" s="675">
        <f>G12+'26'!H12</f>
        <v>0</v>
      </c>
      <c r="I12" s="687"/>
      <c r="J12" s="677">
        <f>H12/DAY(B2)</f>
        <v>0</v>
      </c>
      <c r="K12" s="424"/>
      <c r="L12" s="374"/>
      <c r="N12" s="379"/>
    </row>
    <row r="13" spans="1:14">
      <c r="A13" s="688" t="s">
        <v>204</v>
      </c>
      <c r="B13" s="689"/>
      <c r="C13" s="689"/>
      <c r="D13" s="633"/>
      <c r="E13" s="628"/>
      <c r="F13" s="450"/>
      <c r="G13" s="690">
        <f>G9+G10+G11+G12</f>
        <v>16950</v>
      </c>
      <c r="H13" s="675">
        <f>G13+'26'!H13</f>
        <v>439450.87</v>
      </c>
      <c r="I13" s="691">
        <f>G7-G13</f>
        <v>50</v>
      </c>
      <c r="J13" s="677">
        <f>H13/DAY(B2)</f>
        <v>16275.958148148147</v>
      </c>
      <c r="K13" s="424"/>
      <c r="L13" s="374"/>
      <c r="N13" s="379"/>
    </row>
    <row r="14" spans="1:14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379"/>
    </row>
    <row r="15" spans="1:14">
      <c r="A15" s="661" t="s">
        <v>133</v>
      </c>
      <c r="B15" s="662"/>
      <c r="C15" s="662"/>
      <c r="D15" s="663" t="s">
        <v>206</v>
      </c>
      <c r="E15" s="664">
        <f>'26'!F15</f>
        <v>1697982</v>
      </c>
      <c r="F15" s="696">
        <f>E15+550</f>
        <v>1698532</v>
      </c>
      <c r="G15" s="660">
        <f>(F15-E15)</f>
        <v>550</v>
      </c>
      <c r="H15" s="666">
        <f>G15+'26'!H15</f>
        <v>14008</v>
      </c>
      <c r="I15" s="667">
        <v>800</v>
      </c>
      <c r="J15" s="1201">
        <f>H15/DAY(B2)</f>
        <v>518.81481481481478</v>
      </c>
      <c r="K15" s="424"/>
      <c r="L15" s="374"/>
      <c r="N15" s="379"/>
    </row>
    <row r="16" spans="1:14">
      <c r="A16" s="669"/>
      <c r="B16" s="670"/>
      <c r="C16" s="670"/>
      <c r="D16" s="663"/>
      <c r="E16" s="664"/>
      <c r="F16" s="696"/>
      <c r="G16" s="665"/>
      <c r="H16" s="666"/>
      <c r="I16" s="671">
        <f>I15-J15</f>
        <v>281.18518518518522</v>
      </c>
      <c r="J16" s="668"/>
      <c r="K16" s="424"/>
      <c r="L16" s="374"/>
      <c r="N16" s="379"/>
    </row>
    <row r="17" spans="1:14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379"/>
    </row>
    <row r="18" spans="1:14" ht="27.75">
      <c r="A18" s="1506" t="s">
        <v>208</v>
      </c>
      <c r="B18" s="1507"/>
      <c r="C18" s="1508"/>
      <c r="D18" s="633" t="s">
        <v>209</v>
      </c>
      <c r="E18" s="630">
        <f>'26'!F18</f>
        <v>6</v>
      </c>
      <c r="F18" s="473">
        <v>6</v>
      </c>
      <c r="G18" s="690">
        <f>F18*10</f>
        <v>60</v>
      </c>
      <c r="H18" s="675">
        <f>G18+'26'!H18</f>
        <v>1360</v>
      </c>
      <c r="I18" s="676">
        <f>'1'!I18</f>
        <v>65</v>
      </c>
      <c r="J18" s="677">
        <f>H18/DAY(B2)</f>
        <v>50.370370370370374</v>
      </c>
      <c r="K18" s="424"/>
      <c r="L18" s="374"/>
      <c r="N18" s="379"/>
    </row>
    <row r="19" spans="1:14" ht="27.75">
      <c r="A19" s="1506" t="s">
        <v>113</v>
      </c>
      <c r="B19" s="1507"/>
      <c r="C19" s="1508"/>
      <c r="D19" s="633" t="s">
        <v>209</v>
      </c>
      <c r="E19" s="630">
        <f>'26'!F19</f>
        <v>139315</v>
      </c>
      <c r="F19" s="473">
        <v>139376</v>
      </c>
      <c r="G19" s="685">
        <f t="shared" ref="G19" si="1">F19-E19</f>
        <v>61</v>
      </c>
      <c r="H19" s="675">
        <f>G19+'26'!H19</f>
        <v>-236</v>
      </c>
      <c r="I19" s="692"/>
      <c r="J19" s="677">
        <f>H19/DAY(B2)</f>
        <v>-8.7407407407407405</v>
      </c>
      <c r="K19" s="424"/>
      <c r="L19" s="374"/>
      <c r="N19" s="379"/>
    </row>
    <row r="20" spans="1:14">
      <c r="A20" s="688" t="s">
        <v>210</v>
      </c>
      <c r="B20" s="689"/>
      <c r="C20" s="689"/>
      <c r="D20" s="633"/>
      <c r="E20" s="633"/>
      <c r="F20" s="518"/>
      <c r="G20" s="693">
        <f>G18+G19</f>
        <v>121</v>
      </c>
      <c r="H20" s="675">
        <f>G20+'26'!H20</f>
        <v>1124</v>
      </c>
      <c r="I20" s="694">
        <f>I18-J20</f>
        <v>23.370370370370374</v>
      </c>
      <c r="J20" s="677">
        <f>H20/DAY(B2)</f>
        <v>41.629629629629626</v>
      </c>
      <c r="K20" s="424"/>
      <c r="L20" s="374"/>
      <c r="N20" s="379"/>
    </row>
    <row r="21" spans="1:14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379"/>
    </row>
    <row r="22" spans="1:14">
      <c r="A22" s="1392" t="s">
        <v>212</v>
      </c>
      <c r="B22" s="584"/>
      <c r="C22" s="584"/>
      <c r="D22" s="518" t="s">
        <v>213</v>
      </c>
      <c r="E22" s="479">
        <f>'26'!F22</f>
        <v>2970</v>
      </c>
      <c r="F22" s="473">
        <v>2970</v>
      </c>
      <c r="G22" s="476">
        <f t="shared" ref="G22" si="2">(F22-E22)</f>
        <v>0</v>
      </c>
      <c r="H22" s="455">
        <f>G22+'26'!H22</f>
        <v>0</v>
      </c>
      <c r="I22" s="475"/>
      <c r="J22" s="547">
        <f>H22/DAY(B2)</f>
        <v>0</v>
      </c>
      <c r="K22" s="424"/>
      <c r="L22" s="374"/>
      <c r="N22" s="379"/>
    </row>
    <row r="23" spans="1:14">
      <c r="A23" s="1392" t="s">
        <v>214</v>
      </c>
      <c r="B23" s="584"/>
      <c r="C23" s="584"/>
      <c r="D23" s="518" t="s">
        <v>213</v>
      </c>
      <c r="E23" s="479">
        <f>'26'!F23</f>
        <v>2000</v>
      </c>
      <c r="F23" s="473">
        <v>2000</v>
      </c>
      <c r="G23" s="476">
        <v>0</v>
      </c>
      <c r="H23" s="455">
        <f>G23+'26'!H23</f>
        <v>0</v>
      </c>
      <c r="I23" s="475"/>
      <c r="J23" s="547">
        <f>H23/DAY(B2)</f>
        <v>0</v>
      </c>
      <c r="K23" s="424"/>
      <c r="L23" s="374"/>
      <c r="N23" s="379"/>
    </row>
    <row r="24" spans="1:14">
      <c r="A24" s="585" t="s">
        <v>215</v>
      </c>
      <c r="B24" s="586"/>
      <c r="C24" s="586"/>
      <c r="D24" s="506" t="s">
        <v>213</v>
      </c>
      <c r="E24" s="480">
        <f>SUM(E22:E23)</f>
        <v>4970</v>
      </c>
      <c r="F24" s="480">
        <f>SUM(F22:F23)</f>
        <v>4970</v>
      </c>
      <c r="G24" s="476">
        <v>0</v>
      </c>
      <c r="H24" s="455">
        <f>G24+'26'!H24</f>
        <v>0</v>
      </c>
      <c r="I24" s="475"/>
      <c r="J24" s="547">
        <f>H24/DAY(B2)</f>
        <v>0</v>
      </c>
      <c r="K24" s="424"/>
      <c r="L24" s="374"/>
      <c r="N24" s="379"/>
    </row>
    <row r="25" spans="1:14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379"/>
    </row>
    <row r="26" spans="1:14" s="437" customFormat="1" ht="27.75">
      <c r="A26" s="587" t="s">
        <v>217</v>
      </c>
      <c r="B26" s="588"/>
      <c r="C26" s="589"/>
      <c r="D26" s="613" t="s">
        <v>218</v>
      </c>
      <c r="E26" s="492"/>
      <c r="F26" s="450"/>
      <c r="G26" s="493"/>
      <c r="H26" s="455"/>
      <c r="I26" s="494"/>
      <c r="J26" s="547"/>
      <c r="K26" s="371"/>
      <c r="L26" s="438"/>
      <c r="N26" s="379"/>
    </row>
    <row r="27" spans="1:14" s="437" customFormat="1" ht="27.75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G27+'26'!H27</f>
        <v>4225428</v>
      </c>
      <c r="I27" s="498"/>
      <c r="J27" s="547">
        <f>H27/DAY(B2)</f>
        <v>156497.33333333334</v>
      </c>
      <c r="K27" s="370"/>
      <c r="L27" s="438"/>
      <c r="N27" s="379"/>
    </row>
    <row r="28" spans="1:14" s="437" customFormat="1" ht="27.75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G28+'26'!H28</f>
        <v>728416</v>
      </c>
      <c r="I28" s="500"/>
      <c r="J28" s="547">
        <f>H28/DAY(B2)</f>
        <v>26978.370370370369</v>
      </c>
      <c r="K28" s="370"/>
      <c r="L28" s="438"/>
      <c r="N28" s="379"/>
    </row>
    <row r="29" spans="1:14" s="437" customFormat="1" ht="27.75">
      <c r="A29" s="587" t="s">
        <v>221</v>
      </c>
      <c r="B29" s="588"/>
      <c r="C29" s="589"/>
      <c r="D29" s="614" t="s">
        <v>222</v>
      </c>
      <c r="E29" s="695">
        <f>G24</f>
        <v>0</v>
      </c>
      <c r="F29" s="496">
        <v>69</v>
      </c>
      <c r="G29" s="497">
        <f>E29*F29</f>
        <v>0</v>
      </c>
      <c r="H29" s="455">
        <f>G29+'26'!H29</f>
        <v>8280</v>
      </c>
      <c r="I29" s="500"/>
      <c r="J29" s="547">
        <f>H29/DAY(B2)</f>
        <v>306.66666666666669</v>
      </c>
      <c r="K29" s="370"/>
      <c r="L29" s="438"/>
      <c r="N29" s="379"/>
    </row>
    <row r="30" spans="1:14" s="437" customFormat="1" ht="27.75">
      <c r="A30" s="587" t="s">
        <v>223</v>
      </c>
      <c r="B30" s="588"/>
      <c r="C30" s="589"/>
      <c r="D30" s="614" t="s">
        <v>224</v>
      </c>
      <c r="E30" s="695">
        <f>G19</f>
        <v>61</v>
      </c>
      <c r="F30" s="496">
        <v>146</v>
      </c>
      <c r="G30" s="497">
        <f>E30*F30</f>
        <v>8906</v>
      </c>
      <c r="H30" s="455">
        <f>G30+'26'!H30</f>
        <v>-34456</v>
      </c>
      <c r="I30" s="500"/>
      <c r="J30" s="547">
        <f>H30/DAY(B2)</f>
        <v>-1276.148148148148</v>
      </c>
      <c r="K30" s="370"/>
      <c r="L30" s="438"/>
      <c r="N30" s="379"/>
    </row>
    <row r="31" spans="1:14" s="437" customFormat="1" ht="27.75">
      <c r="A31" s="587" t="s">
        <v>225</v>
      </c>
      <c r="B31" s="588"/>
      <c r="C31" s="589"/>
      <c r="D31" s="614" t="s">
        <v>209</v>
      </c>
      <c r="E31" s="695">
        <f>G18</f>
        <v>60</v>
      </c>
      <c r="F31" s="496">
        <v>80</v>
      </c>
      <c r="G31" s="497">
        <f>E31*F31</f>
        <v>4800</v>
      </c>
      <c r="H31" s="455">
        <f>G31+'26'!H31</f>
        <v>108800</v>
      </c>
      <c r="I31" s="500"/>
      <c r="J31" s="547"/>
      <c r="K31" s="370"/>
      <c r="L31" s="438"/>
      <c r="N31" s="379"/>
    </row>
    <row r="32" spans="1:14" s="437" customFormat="1" ht="27.75">
      <c r="A32" s="590" t="s">
        <v>226</v>
      </c>
      <c r="B32" s="591"/>
      <c r="C32" s="592"/>
      <c r="D32" s="502"/>
      <c r="E32" s="502"/>
      <c r="F32" s="519"/>
      <c r="G32" s="503">
        <f>G27+G28+G29+G30+G31</f>
        <v>196656</v>
      </c>
      <c r="H32" s="455">
        <f>G32+'26'!H32</f>
        <v>5036468</v>
      </c>
      <c r="I32" s="504"/>
      <c r="J32" s="547">
        <f>H32/DAY(B2)</f>
        <v>186535.85185185185</v>
      </c>
      <c r="K32" s="370"/>
      <c r="L32" s="438"/>
      <c r="N32" s="379"/>
    </row>
    <row r="33" spans="1:14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379"/>
    </row>
    <row r="34" spans="1:14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379"/>
    </row>
    <row r="35" spans="1:14">
      <c r="A35" s="573" t="s">
        <v>229</v>
      </c>
      <c r="B35" s="574"/>
      <c r="C35" s="574"/>
      <c r="D35" s="518" t="s">
        <v>198</v>
      </c>
      <c r="E35" s="505">
        <f>'26'!F35</f>
        <v>938391.75</v>
      </c>
      <c r="F35" s="505">
        <v>940873</v>
      </c>
      <c r="G35" s="468">
        <f t="shared" ref="G35:G46" si="3">F35-E35</f>
        <v>2481.25</v>
      </c>
      <c r="H35" s="455">
        <f>G35+'26'!H35</f>
        <v>-9615</v>
      </c>
      <c r="I35" s="450"/>
      <c r="J35" s="547">
        <f>H35/DAY(B2)</f>
        <v>-356.11111111111109</v>
      </c>
      <c r="K35" s="424"/>
      <c r="L35" s="374"/>
      <c r="N35" s="379"/>
    </row>
    <row r="36" spans="1:14">
      <c r="A36" s="573" t="s">
        <v>230</v>
      </c>
      <c r="B36" s="574"/>
      <c r="C36" s="574"/>
      <c r="D36" s="518" t="s">
        <v>198</v>
      </c>
      <c r="E36" s="505">
        <f>'26'!F36</f>
        <v>347065</v>
      </c>
      <c r="F36" s="505">
        <v>347065</v>
      </c>
      <c r="G36" s="468">
        <f t="shared" si="3"/>
        <v>0</v>
      </c>
      <c r="H36" s="455">
        <f>G36+'26'!H36</f>
        <v>346892</v>
      </c>
      <c r="I36" s="450"/>
      <c r="J36" s="547">
        <f>H36/DAY(B2)</f>
        <v>12847.851851851852</v>
      </c>
      <c r="K36" s="424"/>
      <c r="L36" s="374"/>
      <c r="N36" s="623"/>
    </row>
    <row r="37" spans="1:14">
      <c r="A37" s="573" t="s">
        <v>231</v>
      </c>
      <c r="B37" s="574"/>
      <c r="C37" s="574"/>
      <c r="D37" s="518" t="s">
        <v>198</v>
      </c>
      <c r="E37" s="505">
        <f>'26'!F37</f>
        <v>127744.73</v>
      </c>
      <c r="F37" s="505">
        <v>129041</v>
      </c>
      <c r="G37" s="468">
        <f t="shared" si="3"/>
        <v>1296.2700000000041</v>
      </c>
      <c r="H37" s="455">
        <f>G37+'26'!H37</f>
        <v>-5195</v>
      </c>
      <c r="I37" s="450"/>
      <c r="J37" s="547">
        <f>H37/DAY(B2)</f>
        <v>-192.40740740740742</v>
      </c>
      <c r="K37" s="424"/>
      <c r="L37" s="374"/>
      <c r="N37" s="624"/>
    </row>
    <row r="38" spans="1:14">
      <c r="A38" s="573" t="s">
        <v>232</v>
      </c>
      <c r="B38" s="574"/>
      <c r="C38" s="574"/>
      <c r="D38" s="518" t="s">
        <v>198</v>
      </c>
      <c r="E38" s="505">
        <f>'26'!F38</f>
        <v>150235.39000000001</v>
      </c>
      <c r="F38" s="464">
        <v>151412</v>
      </c>
      <c r="G38" s="468">
        <f t="shared" si="3"/>
        <v>1176.609999999986</v>
      </c>
      <c r="H38" s="455">
        <f>G38+'26'!H38</f>
        <v>-4993</v>
      </c>
      <c r="I38" s="450"/>
      <c r="J38" s="547">
        <f>H38/DAY(B2)</f>
        <v>-184.92592592592592</v>
      </c>
      <c r="K38" s="424"/>
      <c r="L38" s="374"/>
      <c r="N38" s="379"/>
    </row>
    <row r="39" spans="1:14">
      <c r="A39" s="573" t="s">
        <v>233</v>
      </c>
      <c r="B39" s="574"/>
      <c r="C39" s="574"/>
      <c r="D39" s="518" t="s">
        <v>198</v>
      </c>
      <c r="E39" s="505">
        <f>'26'!F39</f>
        <v>296927.46999999997</v>
      </c>
      <c r="F39" s="505">
        <v>299149</v>
      </c>
      <c r="G39" s="468">
        <f t="shared" si="3"/>
        <v>2221.5300000000279</v>
      </c>
      <c r="H39" s="455">
        <f>G39+'26'!H39</f>
        <v>-9024</v>
      </c>
      <c r="I39" s="450"/>
      <c r="J39" s="547">
        <f>H39/DAY(B2)</f>
        <v>-334.22222222222223</v>
      </c>
      <c r="K39" s="424"/>
      <c r="L39" s="374"/>
      <c r="N39" s="379"/>
    </row>
    <row r="40" spans="1:14">
      <c r="A40" s="594" t="s">
        <v>234</v>
      </c>
      <c r="B40" s="595"/>
      <c r="C40" s="595"/>
      <c r="D40" s="518" t="s">
        <v>198</v>
      </c>
      <c r="E40" s="505">
        <f>'26'!F40</f>
        <v>888.99</v>
      </c>
      <c r="F40" s="505">
        <v>889</v>
      </c>
      <c r="G40" s="468">
        <f t="shared" si="3"/>
        <v>9.9999999999909051E-3</v>
      </c>
      <c r="H40" s="455">
        <f>G40+'26'!H40</f>
        <v>0</v>
      </c>
      <c r="I40" s="450"/>
      <c r="J40" s="547">
        <f>H40/DAY(B2)</f>
        <v>0</v>
      </c>
      <c r="K40" s="425"/>
      <c r="L40" s="374"/>
      <c r="N40" s="379"/>
    </row>
    <row r="41" spans="1:14">
      <c r="A41" s="573" t="s">
        <v>235</v>
      </c>
      <c r="B41" s="574"/>
      <c r="C41" s="574"/>
      <c r="D41" s="518" t="s">
        <v>198</v>
      </c>
      <c r="E41" s="505">
        <f>'26'!F41</f>
        <v>240478.13</v>
      </c>
      <c r="F41" s="505">
        <v>240478</v>
      </c>
      <c r="G41" s="468">
        <f t="shared" si="3"/>
        <v>-0.13000000000465661</v>
      </c>
      <c r="H41" s="455">
        <f>G41+'26'!H41</f>
        <v>0</v>
      </c>
      <c r="I41" s="450"/>
      <c r="J41" s="547">
        <f>H41/DAY(B2)</f>
        <v>0</v>
      </c>
      <c r="K41" s="424"/>
      <c r="L41" s="374"/>
      <c r="N41" s="379"/>
    </row>
    <row r="42" spans="1:14">
      <c r="A42" s="573" t="s">
        <v>236</v>
      </c>
      <c r="B42" s="574"/>
      <c r="C42" s="574"/>
      <c r="D42" s="518" t="s">
        <v>198</v>
      </c>
      <c r="E42" s="505">
        <f>'26'!F42</f>
        <v>59198.97</v>
      </c>
      <c r="F42" s="505">
        <v>59199</v>
      </c>
      <c r="G42" s="468">
        <f t="shared" si="3"/>
        <v>2.9999999998835847E-2</v>
      </c>
      <c r="H42" s="455">
        <f>G42+'26'!H42</f>
        <v>2.9999999998835847E-2</v>
      </c>
      <c r="I42" s="450"/>
      <c r="J42" s="547">
        <f>H42/DAY(B2)</f>
        <v>1.1111111110679943E-3</v>
      </c>
      <c r="K42" s="424"/>
      <c r="L42" s="374"/>
      <c r="N42" s="379"/>
    </row>
    <row r="43" spans="1:14">
      <c r="A43" s="573" t="s">
        <v>237</v>
      </c>
      <c r="B43" s="574"/>
      <c r="C43" s="574"/>
      <c r="D43" s="518" t="s">
        <v>198</v>
      </c>
      <c r="E43" s="505">
        <f>'26'!F43</f>
        <v>1030659.3</v>
      </c>
      <c r="F43" s="505">
        <v>1033005</v>
      </c>
      <c r="G43" s="468">
        <f t="shared" si="3"/>
        <v>2345.6999999999534</v>
      </c>
      <c r="H43" s="455">
        <f>G43+'26'!H43</f>
        <v>-9239</v>
      </c>
      <c r="I43" s="450"/>
      <c r="J43" s="547">
        <f>H43/DAY(B2)</f>
        <v>-342.18518518518516</v>
      </c>
      <c r="K43" s="424"/>
      <c r="L43" s="374"/>
      <c r="N43" s="379"/>
    </row>
    <row r="44" spans="1:14">
      <c r="A44" s="573" t="s">
        <v>238</v>
      </c>
      <c r="B44" s="574"/>
      <c r="C44" s="574"/>
      <c r="D44" s="518" t="s">
        <v>198</v>
      </c>
      <c r="E44" s="505">
        <f>'26'!F44</f>
        <v>0</v>
      </c>
      <c r="F44" s="505">
        <v>0</v>
      </c>
      <c r="G44" s="468">
        <f t="shared" si="3"/>
        <v>0</v>
      </c>
      <c r="H44" s="455">
        <f>G44+'26'!H44</f>
        <v>0</v>
      </c>
      <c r="I44" s="450"/>
      <c r="J44" s="547">
        <f>H44/DAY(B2)</f>
        <v>0</v>
      </c>
      <c r="K44" s="424"/>
      <c r="L44" s="374"/>
      <c r="N44" s="379"/>
    </row>
    <row r="45" spans="1:14">
      <c r="A45" s="573" t="s">
        <v>239</v>
      </c>
      <c r="B45" s="574"/>
      <c r="C45" s="574"/>
      <c r="D45" s="518" t="s">
        <v>198</v>
      </c>
      <c r="E45" s="505">
        <f>'26'!F45</f>
        <v>614</v>
      </c>
      <c r="F45" s="505">
        <v>614</v>
      </c>
      <c r="G45" s="468">
        <f t="shared" si="3"/>
        <v>0</v>
      </c>
      <c r="H45" s="455">
        <f>G45+'26'!H45</f>
        <v>614</v>
      </c>
      <c r="I45" s="450"/>
      <c r="J45" s="547">
        <f>H45/DAY(B2)</f>
        <v>22.74074074074074</v>
      </c>
      <c r="K45" s="424"/>
      <c r="L45" s="374"/>
      <c r="N45" s="379"/>
    </row>
    <row r="46" spans="1:14">
      <c r="A46" s="573" t="s">
        <v>240</v>
      </c>
      <c r="B46" s="574"/>
      <c r="C46" s="574"/>
      <c r="D46" s="518" t="s">
        <v>198</v>
      </c>
      <c r="E46" s="505">
        <f>'26'!F46</f>
        <v>187</v>
      </c>
      <c r="F46" s="505">
        <v>187</v>
      </c>
      <c r="G46" s="468">
        <f t="shared" si="3"/>
        <v>0</v>
      </c>
      <c r="H46" s="455">
        <f>G46+'26'!H46</f>
        <v>186.95</v>
      </c>
      <c r="I46" s="450"/>
      <c r="J46" s="547">
        <f>H46/DAY(B2)</f>
        <v>6.924074074074074</v>
      </c>
      <c r="K46" s="424"/>
      <c r="L46" s="374"/>
      <c r="N46" s="379"/>
    </row>
    <row r="47" spans="1:14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9521.2699999999659</v>
      </c>
      <c r="H47" s="455">
        <f>G47+'26'!H47</f>
        <v>309627.47000000003</v>
      </c>
      <c r="I47" s="450"/>
      <c r="J47" s="547">
        <f>H47/DAY(B2)</f>
        <v>11467.684074074075</v>
      </c>
      <c r="K47" s="424"/>
      <c r="L47" s="374"/>
      <c r="N47" s="379"/>
    </row>
    <row r="48" spans="1:14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379"/>
    </row>
    <row r="49" spans="1:14">
      <c r="A49" s="573" t="s">
        <v>229</v>
      </c>
      <c r="B49" s="596"/>
      <c r="C49" s="596"/>
      <c r="D49" s="518" t="s">
        <v>198</v>
      </c>
      <c r="E49" s="505">
        <f>'26'!F49</f>
        <v>260732.13</v>
      </c>
      <c r="F49" s="505">
        <v>260732.13</v>
      </c>
      <c r="G49" s="468">
        <f t="shared" ref="G49:G58" si="4">F49-E49</f>
        <v>0</v>
      </c>
      <c r="H49" s="455">
        <f>G49+'26'!H49</f>
        <v>0.13000000000465661</v>
      </c>
      <c r="I49" s="450"/>
      <c r="J49" s="547">
        <f>H49/DAY(B2)</f>
        <v>4.8148148149872822E-3</v>
      </c>
      <c r="K49" s="424"/>
      <c r="L49" s="374"/>
      <c r="N49" s="379"/>
    </row>
    <row r="50" spans="1:14">
      <c r="A50" s="573" t="s">
        <v>243</v>
      </c>
      <c r="B50" s="596"/>
      <c r="C50" s="596"/>
      <c r="D50" s="518" t="s">
        <v>198</v>
      </c>
      <c r="E50" s="505">
        <f>'26'!F50</f>
        <v>498182.83</v>
      </c>
      <c r="F50" s="505">
        <v>499028</v>
      </c>
      <c r="G50" s="468">
        <f t="shared" si="4"/>
        <v>845.1699999999837</v>
      </c>
      <c r="H50" s="455">
        <f>G50+'26'!H50</f>
        <v>-4398</v>
      </c>
      <c r="I50" s="450"/>
      <c r="J50" s="547">
        <f>H50/DAY(B2)</f>
        <v>-162.88888888888889</v>
      </c>
      <c r="K50" s="424"/>
      <c r="L50" s="374"/>
      <c r="N50" s="379"/>
    </row>
    <row r="51" spans="1:14">
      <c r="A51" s="573" t="s">
        <v>231</v>
      </c>
      <c r="B51" s="596"/>
      <c r="C51" s="596"/>
      <c r="D51" s="518" t="s">
        <v>198</v>
      </c>
      <c r="E51" s="505">
        <f>'26'!F51</f>
        <v>144639.87</v>
      </c>
      <c r="F51" s="505">
        <v>144640</v>
      </c>
      <c r="G51" s="468">
        <f t="shared" si="4"/>
        <v>0.13000000000465661</v>
      </c>
      <c r="H51" s="455">
        <f>G51+'26'!H51</f>
        <v>0</v>
      </c>
      <c r="I51" s="450"/>
      <c r="J51" s="547">
        <f>H51/DAY(B2)</f>
        <v>0</v>
      </c>
      <c r="K51" s="424"/>
      <c r="L51" s="374"/>
      <c r="N51" s="379"/>
    </row>
    <row r="52" spans="1:14">
      <c r="A52" s="573" t="s">
        <v>244</v>
      </c>
      <c r="B52" s="596"/>
      <c r="C52" s="596"/>
      <c r="D52" s="518" t="s">
        <v>198</v>
      </c>
      <c r="E52" s="505">
        <f>'26'!F52</f>
        <v>539606.06999999995</v>
      </c>
      <c r="F52" s="505">
        <v>539606</v>
      </c>
      <c r="G52" s="468">
        <f t="shared" si="4"/>
        <v>-6.9999999948777258E-2</v>
      </c>
      <c r="H52" s="455">
        <f>G52+'26'!H52</f>
        <v>-6.9999999948777258E-2</v>
      </c>
      <c r="I52" s="450"/>
      <c r="J52" s="547">
        <f>H52/DAY(B2)</f>
        <v>-2.5925925906954538E-3</v>
      </c>
      <c r="K52" s="424"/>
      <c r="L52" s="374"/>
      <c r="N52" s="379"/>
    </row>
    <row r="53" spans="1:14">
      <c r="A53" s="573" t="s">
        <v>233</v>
      </c>
      <c r="B53" s="596"/>
      <c r="C53" s="596"/>
      <c r="D53" s="518" t="s">
        <v>198</v>
      </c>
      <c r="E53" s="505">
        <f>'26'!F53</f>
        <v>429772.55</v>
      </c>
      <c r="F53" s="505">
        <v>430325</v>
      </c>
      <c r="G53" s="468">
        <f t="shared" si="4"/>
        <v>552.45000000001164</v>
      </c>
      <c r="H53" s="455">
        <f>G53+'26'!H53</f>
        <v>-2219.3300000000163</v>
      </c>
      <c r="I53" s="450"/>
      <c r="J53" s="547">
        <f>H53/DAY(B2)</f>
        <v>-82.197407407408008</v>
      </c>
      <c r="K53" s="424"/>
      <c r="L53" s="374"/>
      <c r="N53" s="379"/>
    </row>
    <row r="54" spans="1:14">
      <c r="A54" s="573" t="s">
        <v>245</v>
      </c>
      <c r="B54" s="596"/>
      <c r="C54" s="596"/>
      <c r="D54" s="518" t="s">
        <v>198</v>
      </c>
      <c r="E54" s="505">
        <f>'26'!F54</f>
        <v>13353</v>
      </c>
      <c r="F54" s="505">
        <v>13434</v>
      </c>
      <c r="G54" s="468">
        <f t="shared" si="4"/>
        <v>81</v>
      </c>
      <c r="H54" s="455">
        <f>G54+'26'!H54</f>
        <v>-395</v>
      </c>
      <c r="I54" s="450"/>
      <c r="J54" s="547">
        <f>H54/DAY(B2)</f>
        <v>-14.62962962962963</v>
      </c>
      <c r="K54" s="424"/>
      <c r="L54" s="374"/>
      <c r="N54" s="379"/>
    </row>
    <row r="55" spans="1:14">
      <c r="A55" s="573" t="s">
        <v>246</v>
      </c>
      <c r="B55" s="596"/>
      <c r="C55" s="596"/>
      <c r="D55" s="518" t="s">
        <v>198</v>
      </c>
      <c r="E55" s="505">
        <f>'26'!F55</f>
        <v>68110.679999999993</v>
      </c>
      <c r="F55" s="649">
        <v>68111</v>
      </c>
      <c r="G55" s="468">
        <f t="shared" si="4"/>
        <v>0.32000000000698492</v>
      </c>
      <c r="H55" s="701">
        <f>G55+'26'!H55</f>
        <v>0</v>
      </c>
      <c r="I55" s="702"/>
      <c r="J55" s="703">
        <f>H55/DAY(B2)</f>
        <v>0</v>
      </c>
      <c r="K55" s="424"/>
      <c r="L55" s="374"/>
      <c r="N55" s="379"/>
    </row>
    <row r="56" spans="1:14">
      <c r="A56" s="573" t="s">
        <v>247</v>
      </c>
      <c r="B56" s="596"/>
      <c r="C56" s="596"/>
      <c r="D56" s="518" t="s">
        <v>248</v>
      </c>
      <c r="E56" s="505">
        <f>'26'!F56</f>
        <v>591627.75</v>
      </c>
      <c r="F56" s="649">
        <v>596395</v>
      </c>
      <c r="G56" s="468">
        <f t="shared" si="4"/>
        <v>4767.25</v>
      </c>
      <c r="H56" s="455">
        <f>G56+'26'!H56</f>
        <v>-20803</v>
      </c>
      <c r="I56" s="450"/>
      <c r="J56" s="547">
        <f>H56/DAY(B2)</f>
        <v>-770.48148148148152</v>
      </c>
      <c r="K56" s="423"/>
      <c r="L56" s="374"/>
      <c r="N56" s="379"/>
    </row>
    <row r="57" spans="1:14">
      <c r="A57" s="573" t="s">
        <v>237</v>
      </c>
      <c r="B57" s="596"/>
      <c r="C57" s="596"/>
      <c r="D57" s="518" t="s">
        <v>198</v>
      </c>
      <c r="E57" s="505">
        <f>'26'!F57</f>
        <v>7711</v>
      </c>
      <c r="F57" s="505">
        <v>7711</v>
      </c>
      <c r="G57" s="468">
        <f t="shared" si="4"/>
        <v>0</v>
      </c>
      <c r="H57" s="455">
        <f>G57+'26'!H57</f>
        <v>0</v>
      </c>
      <c r="I57" s="450"/>
      <c r="J57" s="547">
        <f>H57/DAY(B2)</f>
        <v>0</v>
      </c>
      <c r="K57" s="424"/>
      <c r="L57" s="374"/>
      <c r="N57" s="379"/>
    </row>
    <row r="58" spans="1:14">
      <c r="A58" s="573" t="s">
        <v>249</v>
      </c>
      <c r="B58" s="596"/>
      <c r="C58" s="596"/>
      <c r="D58" s="518" t="s">
        <v>198</v>
      </c>
      <c r="E58" s="505">
        <f>'26'!F58</f>
        <v>48968.68</v>
      </c>
      <c r="F58" s="649">
        <v>49051</v>
      </c>
      <c r="G58" s="468">
        <f t="shared" si="4"/>
        <v>82.319999999999709</v>
      </c>
      <c r="H58" s="455">
        <f>G58+'26'!H58</f>
        <v>-813.20999999999913</v>
      </c>
      <c r="I58" s="450"/>
      <c r="J58" s="547">
        <f>H58/DAY(B2)</f>
        <v>-30.118888888888858</v>
      </c>
      <c r="K58" s="424"/>
      <c r="L58" s="374"/>
      <c r="N58" s="379"/>
    </row>
    <row r="59" spans="1:14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6328.5700000000579</v>
      </c>
      <c r="H59" s="455">
        <f>G59+'26'!H59</f>
        <v>-28628.410000000003</v>
      </c>
      <c r="I59" s="450">
        <f>G7-G60</f>
        <v>1150.1599999999762</v>
      </c>
      <c r="J59" s="547">
        <f>H59/DAY(B2)</f>
        <v>-1060.3114814814817</v>
      </c>
      <c r="K59" s="424"/>
      <c r="L59" s="374"/>
      <c r="N59" s="379"/>
    </row>
    <row r="60" spans="1:14">
      <c r="A60" s="573"/>
      <c r="B60" s="574"/>
      <c r="C60" s="574"/>
      <c r="D60" s="506" t="s">
        <v>250</v>
      </c>
      <c r="E60" s="506"/>
      <c r="F60" s="506"/>
      <c r="G60" s="476">
        <f>G47+G59</f>
        <v>15849.840000000024</v>
      </c>
      <c r="H60" s="455">
        <f>G60+'26'!H60</f>
        <v>282207.60000000003</v>
      </c>
      <c r="I60" s="450">
        <f>G13-G60</f>
        <v>1100.1599999999762</v>
      </c>
      <c r="J60" s="547">
        <f>H60/DAY(B2)</f>
        <v>10452.133333333335</v>
      </c>
      <c r="K60" s="424"/>
      <c r="L60" s="374"/>
      <c r="N60" s="379"/>
    </row>
    <row r="61" spans="1:14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379"/>
    </row>
    <row r="62" spans="1:14">
      <c r="A62" s="598" t="s">
        <v>252</v>
      </c>
      <c r="B62" s="599"/>
      <c r="C62" s="599"/>
      <c r="D62" s="506" t="s">
        <v>253</v>
      </c>
      <c r="E62" s="509">
        <f>'26'!F62</f>
        <v>20419</v>
      </c>
      <c r="F62" s="509">
        <v>20419</v>
      </c>
      <c r="G62" s="468">
        <f t="shared" ref="G62:G69" si="5">F62-E62</f>
        <v>0</v>
      </c>
      <c r="H62" s="455">
        <f>G62+'26'!H62</f>
        <v>1.9999999967694748E-3</v>
      </c>
      <c r="I62" s="510"/>
      <c r="J62" s="547">
        <f>H62/DAY(B2)</f>
        <v>7.4074073954424991E-5</v>
      </c>
      <c r="K62" s="424"/>
      <c r="L62" s="374"/>
      <c r="N62" s="379"/>
    </row>
    <row r="63" spans="1:14">
      <c r="A63" s="598" t="s">
        <v>254</v>
      </c>
      <c r="B63" s="599"/>
      <c r="C63" s="599"/>
      <c r="D63" s="506" t="s">
        <v>253</v>
      </c>
      <c r="E63" s="509">
        <f>'26'!F63</f>
        <v>2457.1</v>
      </c>
      <c r="F63" s="509">
        <v>2460</v>
      </c>
      <c r="G63" s="468">
        <f t="shared" si="5"/>
        <v>2.9000000000000909</v>
      </c>
      <c r="H63" s="455">
        <f>G63+'26'!H63</f>
        <v>2460</v>
      </c>
      <c r="I63" s="510"/>
      <c r="J63" s="547">
        <f>H63/DAY(B2)</f>
        <v>91.111111111111114</v>
      </c>
      <c r="K63" s="424"/>
      <c r="L63" s="374"/>
      <c r="N63" s="379"/>
    </row>
    <row r="64" spans="1:14" ht="27.75">
      <c r="A64" s="1450" t="s">
        <v>161</v>
      </c>
      <c r="B64" s="1451"/>
      <c r="C64" s="1452"/>
      <c r="D64" s="518" t="s">
        <v>253</v>
      </c>
      <c r="E64" s="509">
        <f>'26'!F64</f>
        <v>158972.70000000001</v>
      </c>
      <c r="F64" s="473">
        <v>159169</v>
      </c>
      <c r="G64" s="468">
        <f t="shared" si="5"/>
        <v>196.29999999998836</v>
      </c>
      <c r="H64" s="455">
        <f>G64+'26'!H64</f>
        <v>-763</v>
      </c>
      <c r="I64" s="475"/>
      <c r="J64" s="547">
        <f>H64/DAY(B2)</f>
        <v>-28.25925925925926</v>
      </c>
      <c r="K64" s="424"/>
      <c r="L64" s="374"/>
      <c r="N64" s="379"/>
    </row>
    <row r="65" spans="1:14" ht="27.75">
      <c r="A65" s="1450" t="s">
        <v>162</v>
      </c>
      <c r="B65" s="1451"/>
      <c r="C65" s="1452"/>
      <c r="D65" s="518" t="s">
        <v>253</v>
      </c>
      <c r="E65" s="509">
        <f>'26'!F65</f>
        <v>159915.88</v>
      </c>
      <c r="F65" s="621">
        <v>160130</v>
      </c>
      <c r="G65" s="468">
        <f t="shared" si="5"/>
        <v>214.11999999999534</v>
      </c>
      <c r="H65" s="455">
        <f>G65+'26'!H65</f>
        <v>-868</v>
      </c>
      <c r="I65" s="484"/>
      <c r="J65" s="547">
        <f>H65/DAY(B2)</f>
        <v>-32.148148148148145</v>
      </c>
      <c r="K65" s="424"/>
      <c r="L65" s="374"/>
      <c r="N65" s="379"/>
    </row>
    <row r="66" spans="1:14" ht="27.75">
      <c r="A66" s="1450" t="s">
        <v>255</v>
      </c>
      <c r="B66" s="1451"/>
      <c r="C66" s="1452"/>
      <c r="D66" s="518" t="s">
        <v>253</v>
      </c>
      <c r="E66" s="509">
        <f>'26'!F66</f>
        <v>55424.42</v>
      </c>
      <c r="F66" s="621">
        <v>55692</v>
      </c>
      <c r="G66" s="468">
        <f t="shared" si="5"/>
        <v>267.58000000000175</v>
      </c>
      <c r="H66" s="455">
        <f>G66+'26'!H66</f>
        <v>-1113</v>
      </c>
      <c r="I66" s="475"/>
      <c r="J66" s="547">
        <f>H66/DAY(B2)</f>
        <v>-41.222222222222221</v>
      </c>
      <c r="K66" s="424"/>
      <c r="L66" s="374"/>
      <c r="N66" s="379"/>
    </row>
    <row r="67" spans="1:14" ht="27.75">
      <c r="A67" s="1450" t="s">
        <v>157</v>
      </c>
      <c r="B67" s="1451"/>
      <c r="C67" s="1452"/>
      <c r="D67" s="518" t="s">
        <v>253</v>
      </c>
      <c r="E67" s="509">
        <f>'26'!F67</f>
        <v>249886.57</v>
      </c>
      <c r="F67" s="473">
        <v>250333</v>
      </c>
      <c r="G67" s="468">
        <f t="shared" si="5"/>
        <v>446.42999999999302</v>
      </c>
      <c r="H67" s="455">
        <f>G67+'26'!H67</f>
        <v>-1859</v>
      </c>
      <c r="I67" s="484"/>
      <c r="J67" s="547">
        <f>H67/DAY(B2)</f>
        <v>-68.851851851851848</v>
      </c>
      <c r="K67" s="425"/>
      <c r="L67" s="374"/>
      <c r="N67" s="379"/>
    </row>
    <row r="68" spans="1:14" ht="27.75">
      <c r="A68" s="1450" t="s">
        <v>164</v>
      </c>
      <c r="B68" s="1451"/>
      <c r="C68" s="1452"/>
      <c r="D68" s="518" t="s">
        <v>253</v>
      </c>
      <c r="E68" s="509">
        <f>'26'!F68</f>
        <v>85321</v>
      </c>
      <c r="F68" s="473">
        <v>85321</v>
      </c>
      <c r="G68" s="468">
        <f t="shared" si="5"/>
        <v>0</v>
      </c>
      <c r="H68" s="455">
        <f>G68+'26'!H68</f>
        <v>0</v>
      </c>
      <c r="I68" s="511"/>
      <c r="J68" s="547">
        <f>H68/DAY(B2)</f>
        <v>0</v>
      </c>
      <c r="K68" s="426"/>
      <c r="L68" s="374"/>
      <c r="N68" s="379"/>
    </row>
    <row r="69" spans="1:14" ht="27.75">
      <c r="A69" s="1450" t="s">
        <v>165</v>
      </c>
      <c r="B69" s="1451"/>
      <c r="C69" s="1452"/>
      <c r="D69" s="518" t="s">
        <v>253</v>
      </c>
      <c r="E69" s="509">
        <f>'26'!F69</f>
        <v>81191.509999999995</v>
      </c>
      <c r="F69" s="473">
        <v>81292</v>
      </c>
      <c r="G69" s="468">
        <f t="shared" si="5"/>
        <v>100.49000000000524</v>
      </c>
      <c r="H69" s="455">
        <f>G69+'26'!H69</f>
        <v>-457</v>
      </c>
      <c r="I69" s="511"/>
      <c r="J69" s="547">
        <f>H69/DAY(B2)</f>
        <v>-16.925925925925927</v>
      </c>
      <c r="K69" s="427"/>
      <c r="L69" s="374"/>
      <c r="N69" s="379"/>
    </row>
    <row r="70" spans="1:14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>G70+'13'!H70</f>
        <v>0</v>
      </c>
      <c r="I70" s="513"/>
      <c r="J70" s="551"/>
      <c r="K70" s="427"/>
      <c r="L70" s="374"/>
      <c r="N70" s="379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379"/>
    </row>
    <row r="72" spans="1:14" ht="27.75">
      <c r="A72" s="1450" t="s">
        <v>258</v>
      </c>
      <c r="B72" s="1451"/>
      <c r="C72" s="1452"/>
      <c r="D72" s="518" t="s">
        <v>253</v>
      </c>
      <c r="E72" s="514">
        <f>'26'!F72</f>
        <v>855782</v>
      </c>
      <c r="F72" s="650">
        <v>855792</v>
      </c>
      <c r="G72" s="468">
        <f t="shared" ref="G72:G84" si="6">F72-E72</f>
        <v>10</v>
      </c>
      <c r="H72" s="455">
        <f>G72+'26'!H72</f>
        <v>-94</v>
      </c>
      <c r="I72" s="475"/>
      <c r="J72" s="547">
        <f>H72/DAY(B2)</f>
        <v>-3.4814814814814814</v>
      </c>
      <c r="K72" s="427"/>
      <c r="L72" s="374"/>
      <c r="N72" s="379"/>
    </row>
    <row r="73" spans="1:14" ht="27.75">
      <c r="A73" s="1450" t="s">
        <v>259</v>
      </c>
      <c r="B73" s="1451"/>
      <c r="C73" s="1452"/>
      <c r="D73" s="518" t="s">
        <v>253</v>
      </c>
      <c r="E73" s="514">
        <f>'26'!F73</f>
        <v>885932</v>
      </c>
      <c r="F73" s="651">
        <v>885933</v>
      </c>
      <c r="G73" s="648">
        <f t="shared" si="6"/>
        <v>1</v>
      </c>
      <c r="H73" s="455">
        <f>G73+'26'!H73</f>
        <v>182</v>
      </c>
      <c r="I73" s="475"/>
      <c r="J73" s="547">
        <f>H73/DAY(B2)</f>
        <v>6.7407407407407405</v>
      </c>
      <c r="K73" s="426"/>
      <c r="L73" s="374"/>
      <c r="N73" s="379"/>
    </row>
    <row r="74" spans="1:14" ht="27.75">
      <c r="A74" s="1450" t="s">
        <v>260</v>
      </c>
      <c r="B74" s="1451"/>
      <c r="C74" s="1452"/>
      <c r="D74" s="518" t="s">
        <v>253</v>
      </c>
      <c r="E74" s="514">
        <f>'26'!F74</f>
        <v>2553.0700000000002</v>
      </c>
      <c r="F74" s="651">
        <v>2559</v>
      </c>
      <c r="G74" s="468">
        <f t="shared" si="6"/>
        <v>5.9299999999998363</v>
      </c>
      <c r="H74" s="455">
        <f>G74+'26'!H74</f>
        <v>-27</v>
      </c>
      <c r="I74" s="475"/>
      <c r="J74" s="547">
        <f>H74/DAY(B2)</f>
        <v>-1</v>
      </c>
      <c r="K74" s="427"/>
      <c r="L74" s="374"/>
      <c r="N74" s="379"/>
    </row>
    <row r="75" spans="1:14" ht="27.75">
      <c r="A75" s="1499" t="s">
        <v>261</v>
      </c>
      <c r="B75" s="1500"/>
      <c r="C75" s="1501"/>
      <c r="D75" s="518" t="s">
        <v>253</v>
      </c>
      <c r="E75" s="514">
        <f>'26'!F75</f>
        <v>12387.5</v>
      </c>
      <c r="F75" s="650">
        <v>12447</v>
      </c>
      <c r="G75" s="468">
        <f t="shared" si="6"/>
        <v>59.5</v>
      </c>
      <c r="H75" s="455">
        <f>G75+'26'!H75</f>
        <v>-222</v>
      </c>
      <c r="I75" s="475"/>
      <c r="J75" s="547">
        <f>H75/DAY(B2)</f>
        <v>-8.2222222222222214</v>
      </c>
      <c r="K75" s="426"/>
      <c r="L75" s="374"/>
      <c r="N75" s="379"/>
    </row>
    <row r="76" spans="1:14" ht="27.75">
      <c r="A76" s="1499" t="s">
        <v>262</v>
      </c>
      <c r="B76" s="1500"/>
      <c r="C76" s="1501"/>
      <c r="D76" s="518" t="s">
        <v>253</v>
      </c>
      <c r="E76" s="514">
        <f>'26'!F76</f>
        <v>7139</v>
      </c>
      <c r="F76" s="651">
        <v>7193</v>
      </c>
      <c r="G76" s="468">
        <f t="shared" si="6"/>
        <v>54</v>
      </c>
      <c r="H76" s="455">
        <f>G76+'26'!H76</f>
        <v>-13</v>
      </c>
      <c r="I76" s="500"/>
      <c r="J76" s="547">
        <f>H76/DAY(B2)</f>
        <v>-0.48148148148148145</v>
      </c>
      <c r="K76" s="426"/>
      <c r="L76" s="374"/>
      <c r="N76" s="379"/>
    </row>
    <row r="77" spans="1:14" ht="27.75">
      <c r="A77" s="1450" t="s">
        <v>263</v>
      </c>
      <c r="B77" s="1451"/>
      <c r="C77" s="1452"/>
      <c r="D77" s="518" t="s">
        <v>253</v>
      </c>
      <c r="E77" s="514">
        <f>'26'!F77</f>
        <v>702629</v>
      </c>
      <c r="F77" s="651">
        <v>702673</v>
      </c>
      <c r="G77" s="648">
        <f t="shared" si="6"/>
        <v>44</v>
      </c>
      <c r="H77" s="455">
        <f>G77+'26'!H77</f>
        <v>-166</v>
      </c>
      <c r="I77" s="500"/>
      <c r="J77" s="547">
        <f>H77/DAY(B2)</f>
        <v>-6.1481481481481479</v>
      </c>
      <c r="K77" s="426"/>
      <c r="L77" s="374"/>
      <c r="N77" s="379"/>
    </row>
    <row r="78" spans="1:14" ht="27.75">
      <c r="A78" s="1395" t="s">
        <v>264</v>
      </c>
      <c r="B78" s="1387"/>
      <c r="C78" s="1387"/>
      <c r="D78" s="518" t="s">
        <v>253</v>
      </c>
      <c r="E78" s="514">
        <f>'26'!F78</f>
        <v>672391</v>
      </c>
      <c r="F78" s="650">
        <v>672455</v>
      </c>
      <c r="G78" s="468">
        <f t="shared" si="6"/>
        <v>64</v>
      </c>
      <c r="H78" s="455">
        <f>G78+'26'!H78</f>
        <v>-577</v>
      </c>
      <c r="I78" s="500"/>
      <c r="J78" s="547">
        <f>H78/DAY(B2)</f>
        <v>-21.37037037037037</v>
      </c>
      <c r="K78" s="426"/>
      <c r="L78" s="374"/>
      <c r="N78" s="379"/>
    </row>
    <row r="79" spans="1:14" ht="27.75">
      <c r="A79" s="1499" t="s">
        <v>151</v>
      </c>
      <c r="B79" s="1500"/>
      <c r="C79" s="1501"/>
      <c r="D79" s="519" t="s">
        <v>253</v>
      </c>
      <c r="E79" s="514">
        <f>'26'!F79</f>
        <v>830307</v>
      </c>
      <c r="F79" s="650">
        <v>830419</v>
      </c>
      <c r="G79" s="468">
        <f t="shared" si="6"/>
        <v>112</v>
      </c>
      <c r="H79" s="455">
        <f>G79+'26'!H79</f>
        <v>-1603</v>
      </c>
      <c r="I79" s="500"/>
      <c r="J79" s="547">
        <f>H79/DAY(B2)</f>
        <v>-59.370370370370374</v>
      </c>
      <c r="K79" s="426"/>
      <c r="L79" s="374"/>
      <c r="N79" s="379"/>
    </row>
    <row r="80" spans="1:14" ht="27.75">
      <c r="A80" s="1499" t="s">
        <v>265</v>
      </c>
      <c r="B80" s="1500"/>
      <c r="C80" s="1501"/>
      <c r="D80" s="519" t="s">
        <v>253</v>
      </c>
      <c r="E80" s="514">
        <f>'26'!F80</f>
        <v>525838.04</v>
      </c>
      <c r="F80" s="651">
        <v>526181</v>
      </c>
      <c r="G80" s="468">
        <f t="shared" si="6"/>
        <v>342.95999999996275</v>
      </c>
      <c r="H80" s="455">
        <f>G80+'26'!H80</f>
        <v>-4364.5200000000186</v>
      </c>
      <c r="I80" s="500"/>
      <c r="J80" s="547">
        <f>H80/DAY(B2)</f>
        <v>-161.64888888888959</v>
      </c>
      <c r="K80" s="426"/>
      <c r="L80" s="374"/>
      <c r="N80" s="379"/>
    </row>
    <row r="81" spans="1:15" ht="27.75">
      <c r="A81" s="1499" t="s">
        <v>266</v>
      </c>
      <c r="B81" s="1500"/>
      <c r="C81" s="1501"/>
      <c r="D81" s="519" t="s">
        <v>253</v>
      </c>
      <c r="E81" s="514">
        <f>'26'!F81</f>
        <v>638467.72</v>
      </c>
      <c r="F81" s="651">
        <v>638548</v>
      </c>
      <c r="G81" s="468">
        <f t="shared" si="6"/>
        <v>80.28000000002794</v>
      </c>
      <c r="H81" s="455">
        <f>G81+'26'!H81</f>
        <v>-350</v>
      </c>
      <c r="I81" s="500"/>
      <c r="J81" s="547">
        <f>H81/DAY(B2)</f>
        <v>-12.962962962962964</v>
      </c>
      <c r="K81" s="426"/>
      <c r="L81" s="374"/>
      <c r="N81" s="379"/>
    </row>
    <row r="82" spans="1:15" ht="27.75">
      <c r="A82" s="1499" t="s">
        <v>267</v>
      </c>
      <c r="B82" s="1500"/>
      <c r="C82" s="1501"/>
      <c r="D82" s="480" t="s">
        <v>198</v>
      </c>
      <c r="E82" s="514">
        <f>'26'!F82</f>
        <v>108076.42</v>
      </c>
      <c r="F82" s="647">
        <v>108101</v>
      </c>
      <c r="G82" s="468">
        <f t="shared" si="6"/>
        <v>24.580000000001746</v>
      </c>
      <c r="H82" s="455">
        <f>G82+'26'!H82</f>
        <v>-57</v>
      </c>
      <c r="I82" s="481"/>
      <c r="J82" s="547">
        <f>H82/DAY(B2)</f>
        <v>-2.1111111111111112</v>
      </c>
      <c r="K82" s="426"/>
      <c r="L82" s="374"/>
      <c r="N82" s="379"/>
    </row>
    <row r="83" spans="1:15" ht="27.75">
      <c r="A83" s="1499" t="s">
        <v>268</v>
      </c>
      <c r="B83" s="1500"/>
      <c r="C83" s="1501"/>
      <c r="D83" s="615" t="s">
        <v>198</v>
      </c>
      <c r="E83" s="514">
        <f>'26'!F83</f>
        <v>19604</v>
      </c>
      <c r="F83" s="615">
        <v>19771</v>
      </c>
      <c r="G83" s="468">
        <f t="shared" si="6"/>
        <v>167</v>
      </c>
      <c r="H83" s="455">
        <f>G83+'26'!H83</f>
        <v>-735</v>
      </c>
      <c r="I83" s="476"/>
      <c r="J83" s="547">
        <f>H83/DAY(B2)</f>
        <v>-27.222222222222221</v>
      </c>
      <c r="K83" s="425"/>
      <c r="L83" s="374"/>
      <c r="N83" s="379"/>
    </row>
    <row r="84" spans="1:15">
      <c r="A84" s="1396" t="s">
        <v>166</v>
      </c>
      <c r="B84" s="566"/>
      <c r="C84" s="566"/>
      <c r="D84" s="473" t="s">
        <v>198</v>
      </c>
      <c r="E84" s="514">
        <f>'26'!F84</f>
        <v>496173</v>
      </c>
      <c r="F84" s="519">
        <v>496936</v>
      </c>
      <c r="G84" s="468">
        <f t="shared" si="6"/>
        <v>763</v>
      </c>
      <c r="H84" s="455">
        <f>G84+'26'!H84</f>
        <v>-3358</v>
      </c>
      <c r="I84" s="476"/>
      <c r="J84" s="547">
        <f>H84/DAY(B2)</f>
        <v>-124.37037037037037</v>
      </c>
      <c r="K84" s="377"/>
      <c r="L84" s="374"/>
      <c r="N84" s="379"/>
    </row>
    <row r="85" spans="1:15" s="376" customFormat="1">
      <c r="A85" s="600" t="s">
        <v>102</v>
      </c>
      <c r="B85" s="567"/>
      <c r="C85" s="567"/>
      <c r="D85" s="484"/>
      <c r="E85" s="622">
        <f>'26'!F85</f>
        <v>0</v>
      </c>
      <c r="F85" s="518">
        <v>0</v>
      </c>
      <c r="G85" s="455">
        <f xml:space="preserve"> SUM(G72:G84)</f>
        <v>1728.2499999999923</v>
      </c>
      <c r="H85" s="455">
        <f>G85+'26'!H85</f>
        <v>-7840.9999999999982</v>
      </c>
      <c r="I85" s="476"/>
      <c r="J85" s="547">
        <f>H85/DAY(B2)</f>
        <v>-290.40740740740733</v>
      </c>
      <c r="K85" s="377"/>
      <c r="L85" s="375"/>
      <c r="N85" s="379"/>
    </row>
    <row r="86" spans="1:15" s="731" customFormat="1">
      <c r="A86" s="726" t="s">
        <v>269</v>
      </c>
      <c r="B86" s="727"/>
      <c r="C86" s="727"/>
      <c r="D86" s="728" t="s">
        <v>248</v>
      </c>
      <c r="E86" s="622">
        <f>'26'!F86</f>
        <v>460767.32</v>
      </c>
      <c r="F86" s="643">
        <v>460802</v>
      </c>
      <c r="G86" s="701">
        <f>F86-E86</f>
        <v>34.679999999993015</v>
      </c>
      <c r="H86" s="701">
        <f t="shared" ref="H86:H88" si="7">G86</f>
        <v>34.679999999993015</v>
      </c>
      <c r="I86" s="648"/>
      <c r="J86" s="703">
        <f>H86/DAY(B2)</f>
        <v>1.2844444444441858</v>
      </c>
      <c r="K86" s="729"/>
      <c r="L86" s="730"/>
      <c r="O86" s="709"/>
    </row>
    <row r="87" spans="1:15" s="731" customFormat="1">
      <c r="A87" s="726" t="s">
        <v>270</v>
      </c>
      <c r="B87" s="727"/>
      <c r="C87" s="727"/>
      <c r="D87" s="728" t="s">
        <v>248</v>
      </c>
      <c r="E87" s="622">
        <f>'26'!F87</f>
        <v>81289.5</v>
      </c>
      <c r="F87" s="643">
        <v>81307</v>
      </c>
      <c r="G87" s="701">
        <f t="shared" ref="G87:G91" si="8">F87-E87</f>
        <v>17.5</v>
      </c>
      <c r="H87" s="701">
        <f t="shared" si="7"/>
        <v>17.5</v>
      </c>
      <c r="I87" s="648"/>
      <c r="J87" s="703">
        <f>H87/DAY(B2)</f>
        <v>0.64814814814814814</v>
      </c>
      <c r="K87" s="729"/>
      <c r="L87" s="730"/>
      <c r="O87" s="709"/>
    </row>
    <row r="88" spans="1:15" s="731" customFormat="1">
      <c r="A88" s="726" t="s">
        <v>158</v>
      </c>
      <c r="B88" s="727"/>
      <c r="C88" s="727"/>
      <c r="D88" s="728" t="s">
        <v>248</v>
      </c>
      <c r="E88" s="622">
        <f>'26'!F88</f>
        <v>152878.01</v>
      </c>
      <c r="F88" s="643">
        <v>152900</v>
      </c>
      <c r="G88" s="701">
        <f t="shared" si="8"/>
        <v>21.989999999990687</v>
      </c>
      <c r="H88" s="701">
        <f t="shared" si="7"/>
        <v>21.989999999990687</v>
      </c>
      <c r="I88" s="648"/>
      <c r="J88" s="703">
        <f>H88/DAY(B2)</f>
        <v>0.81444444444409947</v>
      </c>
      <c r="K88" s="729"/>
      <c r="L88" s="730"/>
      <c r="O88" s="709"/>
    </row>
    <row r="89" spans="1:15" s="731" customFormat="1">
      <c r="A89" s="726" t="s">
        <v>272</v>
      </c>
      <c r="B89" s="727"/>
      <c r="C89" s="727"/>
      <c r="D89" s="728" t="s">
        <v>248</v>
      </c>
      <c r="E89" s="622">
        <f>'26'!F89</f>
        <v>65120.4</v>
      </c>
      <c r="F89" s="643">
        <v>65131</v>
      </c>
      <c r="G89" s="701">
        <f t="shared" si="8"/>
        <v>10.599999999998545</v>
      </c>
      <c r="H89" s="701">
        <f>G89</f>
        <v>10.599999999998545</v>
      </c>
      <c r="I89" s="648"/>
      <c r="J89" s="703">
        <f>H89/DAY(B2)</f>
        <v>0.3925925925925387</v>
      </c>
      <c r="K89" s="729"/>
      <c r="L89" s="730"/>
      <c r="N89" s="773"/>
      <c r="O89" s="379"/>
    </row>
    <row r="90" spans="1:15" s="731" customFormat="1">
      <c r="A90" s="726" t="s">
        <v>272</v>
      </c>
      <c r="B90" s="727"/>
      <c r="C90" s="727"/>
      <c r="D90" s="728" t="s">
        <v>248</v>
      </c>
      <c r="E90" s="622">
        <f>'26'!F90</f>
        <v>3273.6</v>
      </c>
      <c r="F90" s="643">
        <v>3274</v>
      </c>
      <c r="G90" s="701">
        <f t="shared" si="8"/>
        <v>0.40000000000009095</v>
      </c>
      <c r="H90" s="701">
        <f>G90</f>
        <v>0.40000000000009095</v>
      </c>
      <c r="I90" s="648"/>
      <c r="J90" s="703">
        <f>H90/DAY(B2)</f>
        <v>1.4814814814818182E-2</v>
      </c>
      <c r="K90" s="729"/>
      <c r="L90" s="730"/>
      <c r="N90" s="773"/>
      <c r="O90" s="379"/>
    </row>
    <row r="91" spans="1:15" s="731" customFormat="1">
      <c r="A91" s="726" t="s">
        <v>273</v>
      </c>
      <c r="B91" s="727"/>
      <c r="C91" s="727"/>
      <c r="D91" s="728"/>
      <c r="E91" s="622">
        <f>'26'!F91</f>
        <v>28000.92</v>
      </c>
      <c r="F91" s="643">
        <v>28005</v>
      </c>
      <c r="G91" s="701">
        <f t="shared" si="8"/>
        <v>4.0800000000017462</v>
      </c>
      <c r="H91" s="701">
        <f>G91</f>
        <v>4.0800000000017462</v>
      </c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379"/>
    </row>
    <row r="93" spans="1:15" ht="27.75">
      <c r="A93" s="1453" t="s">
        <v>275</v>
      </c>
      <c r="B93" s="1454"/>
      <c r="C93" s="1455"/>
      <c r="D93" s="518" t="s">
        <v>209</v>
      </c>
      <c r="E93" s="479">
        <f>'26'!F93</f>
        <v>245276</v>
      </c>
      <c r="F93" s="473">
        <v>245311</v>
      </c>
      <c r="G93" s="468">
        <f t="shared" ref="G93:G94" si="9">F93-E93</f>
        <v>35</v>
      </c>
      <c r="H93" s="455">
        <f>G93+'26'!H93</f>
        <v>-77</v>
      </c>
      <c r="I93" s="475"/>
      <c r="J93" s="547">
        <f>H93/DAY(B2)</f>
        <v>-2.8518518518518516</v>
      </c>
      <c r="K93" s="425"/>
      <c r="L93" s="374"/>
      <c r="N93" s="379"/>
    </row>
    <row r="94" spans="1:15" ht="27.75">
      <c r="A94" s="1453" t="s">
        <v>15</v>
      </c>
      <c r="B94" s="1454"/>
      <c r="C94" s="1455"/>
      <c r="D94" s="518" t="s">
        <v>209</v>
      </c>
      <c r="E94" s="479">
        <f>'26'!F94</f>
        <v>185696</v>
      </c>
      <c r="F94" s="480">
        <v>185782</v>
      </c>
      <c r="G94" s="468">
        <f t="shared" si="9"/>
        <v>86</v>
      </c>
      <c r="H94" s="455">
        <f>G94+'26'!H94</f>
        <v>-339</v>
      </c>
      <c r="I94" s="475"/>
      <c r="J94" s="547">
        <f>H94/DAY(B2)</f>
        <v>-12.555555555555555</v>
      </c>
      <c r="K94" s="377"/>
      <c r="L94" s="374"/>
      <c r="N94" s="379"/>
    </row>
    <row r="95" spans="1:15">
      <c r="A95" s="1447" t="s">
        <v>276</v>
      </c>
      <c r="B95" s="1448"/>
      <c r="C95" s="1449"/>
      <c r="D95" s="518"/>
      <c r="E95" s="479">
        <f>'26'!F95</f>
        <v>0</v>
      </c>
      <c r="F95" s="473"/>
      <c r="G95" s="468">
        <f>G93+G94</f>
        <v>121</v>
      </c>
      <c r="H95" s="455">
        <f>G95+'26'!H95</f>
        <v>-492</v>
      </c>
      <c r="I95" s="475"/>
      <c r="J95" s="547">
        <f>H95/DAY(B2)</f>
        <v>-18.222222222222221</v>
      </c>
      <c r="K95" s="377"/>
      <c r="L95" s="374"/>
      <c r="N95" s="379"/>
    </row>
    <row r="96" spans="1:15" ht="27.75">
      <c r="A96" s="1453" t="s">
        <v>16</v>
      </c>
      <c r="B96" s="1454"/>
      <c r="C96" s="1455"/>
      <c r="D96" s="518" t="s">
        <v>209</v>
      </c>
      <c r="E96" s="479">
        <f>'26'!F96</f>
        <v>414045</v>
      </c>
      <c r="F96" s="473">
        <v>414094</v>
      </c>
      <c r="G96" s="468">
        <f t="shared" ref="G96:G101" si="10">F96-E96</f>
        <v>49</v>
      </c>
      <c r="H96" s="455">
        <f>G96+'26'!H96</f>
        <v>-189</v>
      </c>
      <c r="I96" s="475"/>
      <c r="J96" s="547">
        <f>H96/DAY(B2)</f>
        <v>-7</v>
      </c>
      <c r="K96" s="377"/>
      <c r="L96" s="374"/>
      <c r="N96" s="379"/>
    </row>
    <row r="97" spans="1:14" ht="27.75">
      <c r="A97" s="1392" t="s">
        <v>17</v>
      </c>
      <c r="B97" s="1393"/>
      <c r="C97" s="1393"/>
      <c r="D97" s="518" t="s">
        <v>209</v>
      </c>
      <c r="E97" s="479">
        <f>'26'!F97</f>
        <v>102596</v>
      </c>
      <c r="F97" s="473">
        <v>102607</v>
      </c>
      <c r="G97" s="468">
        <f t="shared" si="10"/>
        <v>11</v>
      </c>
      <c r="H97" s="455">
        <f>G97+'26'!H97</f>
        <v>-41</v>
      </c>
      <c r="I97" s="475"/>
      <c r="J97" s="547">
        <f>H97/DAY(B2)</f>
        <v>-1.5185185185185186</v>
      </c>
      <c r="K97" s="423"/>
      <c r="L97" s="374"/>
      <c r="N97" s="379"/>
    </row>
    <row r="98" spans="1:14" ht="27.75">
      <c r="A98" s="1392" t="s">
        <v>18</v>
      </c>
      <c r="B98" s="1393"/>
      <c r="C98" s="1393"/>
      <c r="D98" s="518" t="s">
        <v>209</v>
      </c>
      <c r="E98" s="479">
        <f>'26'!F98</f>
        <v>97827</v>
      </c>
      <c r="F98" s="473">
        <v>97844</v>
      </c>
      <c r="G98" s="468">
        <f t="shared" si="10"/>
        <v>17</v>
      </c>
      <c r="H98" s="455">
        <f>G98+'26'!H98</f>
        <v>-106</v>
      </c>
      <c r="I98" s="475"/>
      <c r="J98" s="547">
        <f>H98/DAY(B2)</f>
        <v>-3.925925925925926</v>
      </c>
      <c r="K98" s="428"/>
      <c r="L98" s="374"/>
      <c r="N98" s="800"/>
    </row>
    <row r="99" spans="1:14" ht="27.75">
      <c r="A99" s="1392" t="s">
        <v>19</v>
      </c>
      <c r="B99" s="1393"/>
      <c r="C99" s="1393"/>
      <c r="D99" s="518" t="s">
        <v>209</v>
      </c>
      <c r="E99" s="479">
        <f>'26'!F99</f>
        <v>149830</v>
      </c>
      <c r="F99" s="473">
        <v>149838</v>
      </c>
      <c r="G99" s="468">
        <f t="shared" si="10"/>
        <v>8</v>
      </c>
      <c r="H99" s="455">
        <f>G99+'26'!H99</f>
        <v>-14</v>
      </c>
      <c r="I99" s="475"/>
      <c r="J99" s="547">
        <f>H99/DAY(B2)</f>
        <v>-0.51851851851851849</v>
      </c>
      <c r="K99" s="377"/>
      <c r="L99" s="374"/>
      <c r="N99" s="1025"/>
    </row>
    <row r="100" spans="1:14" ht="27.75">
      <c r="A100" s="1392" t="s">
        <v>20</v>
      </c>
      <c r="B100" s="1393"/>
      <c r="C100" s="1393"/>
      <c r="D100" s="518" t="s">
        <v>209</v>
      </c>
      <c r="E100" s="479">
        <f>'26'!F100</f>
        <v>7338</v>
      </c>
      <c r="F100" s="473">
        <v>7345</v>
      </c>
      <c r="G100" s="468">
        <f t="shared" si="10"/>
        <v>7</v>
      </c>
      <c r="H100" s="455">
        <f>G100+'26'!H100</f>
        <v>-24</v>
      </c>
      <c r="I100" s="475"/>
      <c r="J100" s="547">
        <f>H100/DAY(B2)</f>
        <v>-0.88888888888888884</v>
      </c>
      <c r="K100" s="377"/>
      <c r="L100" s="374"/>
      <c r="N100" s="800"/>
    </row>
    <row r="101" spans="1:14" ht="27.75">
      <c r="A101" s="1392" t="s">
        <v>21</v>
      </c>
      <c r="B101" s="1393"/>
      <c r="C101" s="1393"/>
      <c r="D101" s="518" t="s">
        <v>209</v>
      </c>
      <c r="E101" s="479">
        <f>'26'!F101</f>
        <v>5347</v>
      </c>
      <c r="F101" s="473">
        <v>5354</v>
      </c>
      <c r="G101" s="468">
        <f t="shared" si="10"/>
        <v>7</v>
      </c>
      <c r="H101" s="455">
        <f>G101+'26'!H101</f>
        <v>-37</v>
      </c>
      <c r="I101" s="475"/>
      <c r="J101" s="547">
        <f>H101/DAY(B2)</f>
        <v>-1.3703703703703705</v>
      </c>
      <c r="K101" s="377"/>
      <c r="L101" s="374"/>
      <c r="N101" s="800"/>
    </row>
    <row r="102" spans="1:14">
      <c r="A102" s="1447" t="s">
        <v>277</v>
      </c>
      <c r="B102" s="1448"/>
      <c r="C102" s="1449"/>
      <c r="D102" s="519"/>
      <c r="E102" s="519"/>
      <c r="F102" s="519"/>
      <c r="G102" s="520">
        <f>SUM(G96:G101)</f>
        <v>99</v>
      </c>
      <c r="H102" s="455">
        <f>G102+'26'!H102</f>
        <v>-411</v>
      </c>
      <c r="I102" s="521"/>
      <c r="J102" s="547">
        <f>H102/DAY(B2)</f>
        <v>-15.222222222222221</v>
      </c>
      <c r="K102" s="377"/>
      <c r="L102" s="374"/>
      <c r="N102" s="800"/>
    </row>
    <row r="103" spans="1:14" s="437" customFormat="1" ht="27">
      <c r="A103" s="602" t="s">
        <v>278</v>
      </c>
      <c r="B103" s="603"/>
      <c r="C103" s="603"/>
      <c r="D103" s="616"/>
      <c r="E103" s="523"/>
      <c r="F103" s="653"/>
      <c r="G103" s="524"/>
      <c r="H103" s="525"/>
      <c r="I103" s="526"/>
      <c r="J103" s="552"/>
      <c r="N103" s="379"/>
    </row>
    <row r="104" spans="1:14" s="437" customFormat="1" ht="27.75">
      <c r="A104" s="1456" t="s">
        <v>279</v>
      </c>
      <c r="B104" s="1457"/>
      <c r="C104" s="568"/>
      <c r="D104" s="617"/>
      <c r="E104" s="527"/>
      <c r="F104" s="654"/>
      <c r="G104" s="527"/>
      <c r="H104" s="528"/>
      <c r="I104" s="527"/>
      <c r="J104" s="553"/>
      <c r="N104" s="379"/>
    </row>
    <row r="105" spans="1:14" s="437" customFormat="1" ht="27.75">
      <c r="A105" s="1458" t="s">
        <v>22</v>
      </c>
      <c r="B105" s="1459"/>
      <c r="C105" s="1391"/>
      <c r="D105" s="617" t="s">
        <v>209</v>
      </c>
      <c r="E105" s="527">
        <f>'26'!F105</f>
        <v>7484</v>
      </c>
      <c r="F105" s="654">
        <v>7484</v>
      </c>
      <c r="G105" s="527">
        <f>F105-E105</f>
        <v>0</v>
      </c>
      <c r="H105" s="528">
        <f>SUM(G105+'1'!G76)</f>
        <v>57</v>
      </c>
      <c r="I105" s="527"/>
      <c r="J105" s="553">
        <f>H105/DAY(B2)</f>
        <v>2.1111111111111112</v>
      </c>
      <c r="N105" s="379"/>
    </row>
    <row r="106" spans="1:14" s="437" customFormat="1" ht="27.75">
      <c r="A106" s="1458" t="s">
        <v>23</v>
      </c>
      <c r="B106" s="1459"/>
      <c r="C106" s="1391"/>
      <c r="D106" s="617" t="s">
        <v>209</v>
      </c>
      <c r="E106" s="527">
        <f>'26'!F106</f>
        <v>35924</v>
      </c>
      <c r="F106" s="799">
        <v>35924</v>
      </c>
      <c r="G106" s="527">
        <f t="shared" ref="G106:G107" si="11">F106-E106</f>
        <v>0</v>
      </c>
      <c r="H106" s="528">
        <f>SUM(G106+'1'!G77)</f>
        <v>49</v>
      </c>
      <c r="I106" s="527"/>
      <c r="J106" s="553">
        <f>H106/DAY(B2)</f>
        <v>1.8148148148148149</v>
      </c>
      <c r="N106" s="379"/>
    </row>
    <row r="107" spans="1:14" s="437" customFormat="1" ht="27.75">
      <c r="A107" s="1458" t="s">
        <v>24</v>
      </c>
      <c r="B107" s="1460"/>
      <c r="C107" s="1459"/>
      <c r="D107" s="617" t="s">
        <v>209</v>
      </c>
      <c r="E107" s="527">
        <f>'26'!F107</f>
        <v>19692</v>
      </c>
      <c r="F107" s="655">
        <v>19694</v>
      </c>
      <c r="G107" s="527">
        <f t="shared" si="11"/>
        <v>2</v>
      </c>
      <c r="H107" s="528">
        <f>SUM(G107+'1'!G78)</f>
        <v>57</v>
      </c>
      <c r="I107" s="527"/>
      <c r="J107" s="553">
        <f>H107/DAY(B2)</f>
        <v>2.1111111111111112</v>
      </c>
      <c r="N107" s="379"/>
    </row>
    <row r="108" spans="1:14" s="437" customFormat="1" ht="27.75">
      <c r="A108" s="1461" t="s">
        <v>102</v>
      </c>
      <c r="B108" s="1462"/>
      <c r="C108" s="1391"/>
      <c r="D108" s="617"/>
      <c r="E108" s="527">
        <f>'26'!F108</f>
        <v>0</v>
      </c>
      <c r="F108" s="655"/>
      <c r="G108" s="527">
        <f>SUM(G105:G107)</f>
        <v>2</v>
      </c>
      <c r="H108" s="528">
        <f>SUM(G108+'1'!G79)</f>
        <v>157</v>
      </c>
      <c r="I108" s="527"/>
      <c r="J108" s="553">
        <f>H108/DAY(B2)</f>
        <v>5.8148148148148149</v>
      </c>
      <c r="N108" s="379"/>
    </row>
    <row r="109" spans="1:14" s="437" customFormat="1" ht="27.75">
      <c r="A109" s="1463" t="s">
        <v>120</v>
      </c>
      <c r="B109" s="1464"/>
      <c r="C109" s="1391"/>
      <c r="D109" s="617" t="s">
        <v>209</v>
      </c>
      <c r="E109" s="527">
        <f>'26'!F109</f>
        <v>0</v>
      </c>
      <c r="F109" s="655"/>
      <c r="G109" s="527"/>
      <c r="H109" s="528"/>
      <c r="I109" s="527"/>
      <c r="J109" s="553"/>
      <c r="N109" s="379"/>
    </row>
    <row r="110" spans="1:14" s="437" customFormat="1" ht="27.75">
      <c r="A110" s="1458" t="s">
        <v>25</v>
      </c>
      <c r="B110" s="1459"/>
      <c r="C110" s="1391"/>
      <c r="D110" s="617" t="s">
        <v>209</v>
      </c>
      <c r="E110" s="527">
        <f>'26'!F110</f>
        <v>62518</v>
      </c>
      <c r="F110" s="799">
        <v>62589</v>
      </c>
      <c r="G110" s="527">
        <f>F110-E110</f>
        <v>71</v>
      </c>
      <c r="H110" s="528">
        <f>SUM(G110+'1'!G81)</f>
        <v>165</v>
      </c>
      <c r="I110" s="527"/>
      <c r="J110" s="553">
        <f>H110/DAY(B2)</f>
        <v>6.1111111111111107</v>
      </c>
      <c r="N110" s="379"/>
    </row>
    <row r="111" spans="1:14" s="437" customFormat="1" ht="27.75">
      <c r="A111" s="1458" t="s">
        <v>26</v>
      </c>
      <c r="B111" s="1459"/>
      <c r="C111" s="1391"/>
      <c r="D111" s="617" t="s">
        <v>209</v>
      </c>
      <c r="E111" s="527">
        <f>'26'!F111</f>
        <v>32542</v>
      </c>
      <c r="F111" s="799">
        <v>32542</v>
      </c>
      <c r="G111" s="527">
        <f t="shared" ref="G111:G112" si="12">F111-E111</f>
        <v>0</v>
      </c>
      <c r="H111" s="528">
        <f>SUM(G111+'1'!G82)</f>
        <v>11</v>
      </c>
      <c r="I111" s="527"/>
      <c r="J111" s="553">
        <f>H111/DAY(B2)</f>
        <v>0.40740740740740738</v>
      </c>
      <c r="N111" s="379"/>
    </row>
    <row r="112" spans="1:14" s="437" customFormat="1" ht="27.75">
      <c r="A112" s="1458" t="s">
        <v>27</v>
      </c>
      <c r="B112" s="1459"/>
      <c r="C112" s="1391"/>
      <c r="D112" s="617" t="s">
        <v>209</v>
      </c>
      <c r="E112" s="527">
        <f>'26'!F112</f>
        <v>4543</v>
      </c>
      <c r="F112" s="655">
        <v>4559</v>
      </c>
      <c r="G112" s="529">
        <f t="shared" si="12"/>
        <v>16</v>
      </c>
      <c r="H112" s="528">
        <f>SUM(G112+'1'!G83)</f>
        <v>168</v>
      </c>
      <c r="I112" s="527"/>
      <c r="J112" s="553">
        <f>H112/DAY(B2)</f>
        <v>6.2222222222222223</v>
      </c>
      <c r="N112" s="379"/>
    </row>
    <row r="113" spans="1:14" s="437" customFormat="1" ht="27.75">
      <c r="A113" s="1461" t="s">
        <v>174</v>
      </c>
      <c r="B113" s="1462"/>
      <c r="C113" s="1391"/>
      <c r="D113" s="617"/>
      <c r="E113" s="527">
        <f>'26'!F113</f>
        <v>0</v>
      </c>
      <c r="F113" s="655"/>
      <c r="G113" s="527">
        <f>SUM(G110:G112)</f>
        <v>87</v>
      </c>
      <c r="H113" s="528">
        <f>SUM(G113+'1'!G84)</f>
        <v>914</v>
      </c>
      <c r="I113" s="527"/>
      <c r="J113" s="553">
        <f>H113/DAY(B2)</f>
        <v>33.851851851851855</v>
      </c>
      <c r="N113" s="379"/>
    </row>
    <row r="114" spans="1:14" s="437" customFormat="1" ht="27.75">
      <c r="A114" s="1463" t="s">
        <v>280</v>
      </c>
      <c r="B114" s="1464"/>
      <c r="C114" s="1391"/>
      <c r="D114" s="617"/>
      <c r="E114" s="527">
        <f>'26'!F114</f>
        <v>0</v>
      </c>
      <c r="F114" s="655"/>
      <c r="G114" s="527"/>
      <c r="H114" s="528"/>
      <c r="I114" s="527"/>
      <c r="J114" s="553">
        <f>H114/DAY(B2)</f>
        <v>0</v>
      </c>
      <c r="N114" s="379"/>
    </row>
    <row r="115" spans="1:14" s="437" customFormat="1" ht="27.75">
      <c r="A115" s="1458" t="s">
        <v>28</v>
      </c>
      <c r="B115" s="1459"/>
      <c r="C115" s="569"/>
      <c r="D115" s="617" t="s">
        <v>209</v>
      </c>
      <c r="E115" s="527">
        <f>'26'!F115</f>
        <v>11457</v>
      </c>
      <c r="F115" s="655">
        <v>11467</v>
      </c>
      <c r="G115" s="529">
        <f>F115-E115</f>
        <v>10</v>
      </c>
      <c r="H115" s="528">
        <f>SUM(G115+'1'!G92)</f>
        <v>10</v>
      </c>
      <c r="I115" s="527"/>
      <c r="J115" s="553">
        <f>H115/DAY(B2)</f>
        <v>0.37037037037037035</v>
      </c>
      <c r="N115" s="379"/>
    </row>
    <row r="116" spans="1:14" s="437" customFormat="1" ht="27.75">
      <c r="A116" s="1458" t="s">
        <v>29</v>
      </c>
      <c r="B116" s="1459"/>
      <c r="C116" s="569"/>
      <c r="D116" s="617" t="s">
        <v>209</v>
      </c>
      <c r="E116" s="527">
        <f>'26'!F116</f>
        <v>8279</v>
      </c>
      <c r="F116" s="655">
        <v>8285</v>
      </c>
      <c r="G116" s="529">
        <f t="shared" ref="G116:G117" si="13">F116-E116</f>
        <v>6</v>
      </c>
      <c r="H116" s="528">
        <f>SUM(G116+'1'!G93)</f>
        <v>24</v>
      </c>
      <c r="I116" s="527"/>
      <c r="J116" s="553">
        <f>H116/DAY(B2)</f>
        <v>0.88888888888888884</v>
      </c>
      <c r="N116" s="379"/>
    </row>
    <row r="117" spans="1:14" s="437" customFormat="1" ht="27.75">
      <c r="A117" s="1458" t="s">
        <v>281</v>
      </c>
      <c r="B117" s="1459"/>
      <c r="C117" s="569"/>
      <c r="D117" s="617" t="s">
        <v>209</v>
      </c>
      <c r="E117" s="529"/>
      <c r="F117" s="655"/>
      <c r="G117" s="529">
        <f t="shared" si="13"/>
        <v>0</v>
      </c>
      <c r="H117" s="528">
        <f>SUM(G117+'1'!G94)</f>
        <v>58</v>
      </c>
      <c r="I117" s="527"/>
      <c r="J117" s="553">
        <f>H117/DAY(B2)</f>
        <v>2.1481481481481484</v>
      </c>
      <c r="N117" s="379"/>
    </row>
    <row r="118" spans="1:14" s="440" customFormat="1" ht="27.75">
      <c r="A118" s="1461" t="s">
        <v>102</v>
      </c>
      <c r="B118" s="1462"/>
      <c r="C118" s="569"/>
      <c r="D118" s="618"/>
      <c r="E118" s="529"/>
      <c r="F118" s="655"/>
      <c r="G118" s="529">
        <f>SUM(G115:G117)</f>
        <v>16</v>
      </c>
      <c r="H118" s="528">
        <f>SUM(G118+'1'!G96)</f>
        <v>56</v>
      </c>
      <c r="I118" s="529"/>
      <c r="J118" s="553">
        <f>H118/DAY(B2)</f>
        <v>2.074074074074074</v>
      </c>
      <c r="N118" s="379"/>
    </row>
    <row r="119" spans="1:14" s="441" customFormat="1" ht="27.75">
      <c r="A119" s="1492" t="s">
        <v>282</v>
      </c>
      <c r="B119" s="1493"/>
      <c r="C119" s="1389"/>
      <c r="D119" s="619" t="s">
        <v>209</v>
      </c>
      <c r="E119" s="531"/>
      <c r="F119" s="656"/>
      <c r="G119" s="531">
        <f>SUM(G19+G93)</f>
        <v>96</v>
      </c>
      <c r="H119" s="528">
        <f>SUM(G119+'1'!G97)</f>
        <v>109</v>
      </c>
      <c r="I119" s="530"/>
      <c r="J119" s="554">
        <f>H119/DAY(B2)</f>
        <v>4.0370370370370372</v>
      </c>
      <c r="N119" s="379"/>
    </row>
    <row r="120" spans="1:14" s="441" customFormat="1" ht="27.75">
      <c r="A120" s="1492" t="s">
        <v>283</v>
      </c>
      <c r="B120" s="1493"/>
      <c r="C120" s="1389"/>
      <c r="D120" s="619" t="s">
        <v>209</v>
      </c>
      <c r="E120" s="531"/>
      <c r="F120" s="656"/>
      <c r="G120" s="531">
        <f>SUM(G96,G97,G98,G100,G101)</f>
        <v>91</v>
      </c>
      <c r="H120" s="528">
        <f>SUM(G120+'1'!G99)</f>
        <v>98</v>
      </c>
      <c r="I120" s="530"/>
      <c r="J120" s="554">
        <f>H120/DAY(B2)</f>
        <v>3.6296296296296298</v>
      </c>
      <c r="N120" s="379"/>
    </row>
    <row r="121" spans="1:14" s="441" customFormat="1" ht="27.75">
      <c r="A121" s="1492" t="s">
        <v>284</v>
      </c>
      <c r="B121" s="1493"/>
      <c r="C121" s="1389"/>
      <c r="D121" s="619" t="s">
        <v>209</v>
      </c>
      <c r="E121" s="529"/>
      <c r="F121" s="655"/>
      <c r="G121" s="529">
        <f>SUM(G113)</f>
        <v>87</v>
      </c>
      <c r="H121" s="528">
        <f>SUM(G121+'1'!G101)</f>
        <v>91</v>
      </c>
      <c r="I121" s="530"/>
      <c r="J121" s="554">
        <f>H121/DAY(B2)</f>
        <v>3.3703703703703702</v>
      </c>
      <c r="N121" s="379"/>
    </row>
    <row r="122" spans="1:14" s="437" customFormat="1" ht="27.75">
      <c r="A122" s="1494"/>
      <c r="B122" s="1495"/>
      <c r="C122" s="1390"/>
      <c r="D122" s="555"/>
      <c r="E122" s="555"/>
      <c r="F122" s="657"/>
      <c r="G122" s="555"/>
      <c r="H122" s="556"/>
      <c r="I122" s="555"/>
      <c r="J122" s="557"/>
      <c r="N122" s="379"/>
    </row>
    <row r="123" spans="1:14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379"/>
    </row>
    <row r="124" spans="1:14" ht="27.75">
      <c r="A124" s="1392" t="s">
        <v>286</v>
      </c>
      <c r="B124" s="1393"/>
      <c r="C124" s="1393"/>
      <c r="D124" s="518" t="s">
        <v>206</v>
      </c>
      <c r="E124" s="473">
        <f>'26'!F124</f>
        <v>831372.91</v>
      </c>
      <c r="F124" s="473">
        <v>831578</v>
      </c>
      <c r="G124" s="468">
        <f t="shared" ref="G124:G128" si="14">F124-E124</f>
        <v>205.0899999999674</v>
      </c>
      <c r="H124" s="455">
        <f>G124+'26'!H124</f>
        <v>-788</v>
      </c>
      <c r="I124" s="521">
        <f>G124/5</f>
        <v>41.017999999993478</v>
      </c>
      <c r="J124" s="547">
        <f>H124/DAY(B2)</f>
        <v>-29.185185185185187</v>
      </c>
      <c r="K124" s="377"/>
      <c r="L124" s="374"/>
      <c r="N124" s="379"/>
    </row>
    <row r="125" spans="1:14" ht="27.75">
      <c r="A125" s="1392" t="s">
        <v>287</v>
      </c>
      <c r="B125" s="1393"/>
      <c r="C125" s="1393"/>
      <c r="D125" s="518" t="s">
        <v>206</v>
      </c>
      <c r="E125" s="473">
        <f>'26'!F125</f>
        <v>73583.399999999994</v>
      </c>
      <c r="F125" s="621">
        <v>73583.399999999994</v>
      </c>
      <c r="G125" s="468">
        <f t="shared" si="14"/>
        <v>0</v>
      </c>
      <c r="H125" s="455">
        <f>G125+'26'!H125</f>
        <v>0</v>
      </c>
      <c r="I125" s="521"/>
      <c r="J125" s="547">
        <f>H125/DAY(B2)</f>
        <v>0</v>
      </c>
      <c r="K125" s="377"/>
      <c r="L125" s="374"/>
      <c r="N125" s="379"/>
    </row>
    <row r="126" spans="1:14" ht="27.75">
      <c r="A126" s="1450" t="s">
        <v>288</v>
      </c>
      <c r="B126" s="1451"/>
      <c r="C126" s="1452"/>
      <c r="D126" s="518" t="s">
        <v>206</v>
      </c>
      <c r="E126" s="473">
        <f>'26'!F126</f>
        <v>146182.97</v>
      </c>
      <c r="F126" s="480">
        <v>146236</v>
      </c>
      <c r="G126" s="468">
        <f t="shared" si="14"/>
        <v>53.029999999998836</v>
      </c>
      <c r="H126" s="455">
        <f>G126+'26'!H126</f>
        <v>-255</v>
      </c>
      <c r="I126" s="521"/>
      <c r="J126" s="547">
        <f>H126/DAY(B2)</f>
        <v>-9.4444444444444446</v>
      </c>
      <c r="K126" s="377"/>
      <c r="L126" s="374"/>
      <c r="N126" s="379"/>
    </row>
    <row r="127" spans="1:14" ht="27.75">
      <c r="A127" s="604" t="s">
        <v>289</v>
      </c>
      <c r="B127" s="1393"/>
      <c r="C127" s="1393"/>
      <c r="D127" s="518" t="s">
        <v>206</v>
      </c>
      <c r="E127" s="473">
        <f>'26'!F127</f>
        <v>31404.2</v>
      </c>
      <c r="F127" s="621">
        <v>31404.2</v>
      </c>
      <c r="G127" s="468">
        <f t="shared" si="14"/>
        <v>0</v>
      </c>
      <c r="H127" s="455">
        <f>G127+'26'!H127</f>
        <v>-1.7999999999992724</v>
      </c>
      <c r="I127" s="521"/>
      <c r="J127" s="547">
        <f>H127/DAY(B2)</f>
        <v>-6.6666666666639715E-2</v>
      </c>
      <c r="K127" s="377"/>
      <c r="L127" s="374"/>
      <c r="N127" s="379"/>
    </row>
    <row r="128" spans="1:14" ht="27.75">
      <c r="A128" s="604" t="s">
        <v>290</v>
      </c>
      <c r="B128" s="1393"/>
      <c r="C128" s="1393"/>
      <c r="D128" s="518" t="s">
        <v>206</v>
      </c>
      <c r="E128" s="473">
        <f>'26'!F128</f>
        <v>8970.6</v>
      </c>
      <c r="F128" s="621">
        <v>8970.6</v>
      </c>
      <c r="G128" s="468">
        <f t="shared" si="14"/>
        <v>0</v>
      </c>
      <c r="H128" s="455">
        <f>G128+'26'!H128</f>
        <v>-1.3999999999996362</v>
      </c>
      <c r="I128" s="475"/>
      <c r="J128" s="547">
        <f>H128/DAY(B2)</f>
        <v>-5.1851851851838375E-2</v>
      </c>
      <c r="K128" s="377"/>
      <c r="L128" s="374"/>
      <c r="N128" s="379"/>
    </row>
    <row r="129" spans="1:14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291.88000000003376</v>
      </c>
      <c r="H129" s="455">
        <f>G129+'26'!H129</f>
        <v>3451.1999999999989</v>
      </c>
      <c r="I129" s="475"/>
      <c r="J129" s="547">
        <f>H129/DAY(B2)</f>
        <v>127.82222222222218</v>
      </c>
      <c r="K129" s="361"/>
      <c r="L129" s="289"/>
      <c r="N129" s="379"/>
    </row>
    <row r="130" spans="1:14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N130" s="379"/>
    </row>
    <row r="131" spans="1:14" ht="27.75">
      <c r="A131" s="1392" t="s">
        <v>293</v>
      </c>
      <c r="B131" s="1393"/>
      <c r="C131" s="1393"/>
      <c r="D131" s="518" t="s">
        <v>294</v>
      </c>
      <c r="E131" s="479">
        <f>'26'!F131</f>
        <v>0</v>
      </c>
      <c r="F131" s="473"/>
      <c r="G131" s="468">
        <f t="shared" ref="G131:G141" si="15">F131-E131</f>
        <v>0</v>
      </c>
      <c r="H131" s="455">
        <f>G131+'26'!H131</f>
        <v>0</v>
      </c>
      <c r="I131" s="475"/>
      <c r="J131" s="547">
        <f>H131/DAY(B2)</f>
        <v>0</v>
      </c>
      <c r="N131" s="379"/>
    </row>
    <row r="132" spans="1:14" ht="27.75">
      <c r="A132" s="1392" t="s">
        <v>295</v>
      </c>
      <c r="B132" s="1393"/>
      <c r="C132" s="1393"/>
      <c r="D132" s="518" t="s">
        <v>294</v>
      </c>
      <c r="E132" s="479">
        <f>'26'!F132</f>
        <v>0</v>
      </c>
      <c r="F132" s="473"/>
      <c r="G132" s="468">
        <f t="shared" si="15"/>
        <v>0</v>
      </c>
      <c r="H132" s="455">
        <f>G132+'26'!H132</f>
        <v>0</v>
      </c>
      <c r="I132" s="475"/>
      <c r="J132" s="547">
        <f>H132/DAY(B2)</f>
        <v>0</v>
      </c>
      <c r="N132" s="379"/>
    </row>
    <row r="133" spans="1:14" ht="27.75">
      <c r="A133" s="1392" t="s">
        <v>296</v>
      </c>
      <c r="B133" s="1393"/>
      <c r="C133" s="1393"/>
      <c r="D133" s="518" t="s">
        <v>294</v>
      </c>
      <c r="E133" s="479">
        <f>'26'!F133</f>
        <v>40059.1</v>
      </c>
      <c r="F133" s="480">
        <v>40059.1</v>
      </c>
      <c r="G133" s="468">
        <f t="shared" si="15"/>
        <v>0</v>
      </c>
      <c r="H133" s="455">
        <f>G133+'26'!H133</f>
        <v>24</v>
      </c>
      <c r="I133" s="475"/>
      <c r="J133" s="547">
        <f>H133/DAY(B2)</f>
        <v>0.88888888888888884</v>
      </c>
      <c r="N133" s="379"/>
    </row>
    <row r="134" spans="1:14" ht="27.75">
      <c r="A134" s="1392" t="s">
        <v>297</v>
      </c>
      <c r="B134" s="1393"/>
      <c r="C134" s="1393"/>
      <c r="D134" s="518" t="s">
        <v>294</v>
      </c>
      <c r="E134" s="479">
        <f>'26'!F134</f>
        <v>300</v>
      </c>
      <c r="F134" s="647">
        <v>300</v>
      </c>
      <c r="G134" s="468">
        <f t="shared" si="15"/>
        <v>0</v>
      </c>
      <c r="H134" s="455">
        <f>G134+'26'!H134</f>
        <v>0</v>
      </c>
      <c r="I134" s="475">
        <f>G131+G132+G133+G134</f>
        <v>0</v>
      </c>
      <c r="J134" s="547">
        <f>H134/DAY(B2)</f>
        <v>0</v>
      </c>
      <c r="N134" s="379"/>
    </row>
    <row r="135" spans="1:14" ht="27.75">
      <c r="A135" s="1392" t="s">
        <v>298</v>
      </c>
      <c r="B135" s="1393"/>
      <c r="C135" s="1393"/>
      <c r="D135" s="518" t="s">
        <v>294</v>
      </c>
      <c r="E135" s="479">
        <f>'26'!F135</f>
        <v>41730.339999999997</v>
      </c>
      <c r="F135" s="480">
        <v>41730.339999999997</v>
      </c>
      <c r="G135" s="468">
        <f t="shared" si="15"/>
        <v>0</v>
      </c>
      <c r="H135" s="455">
        <f>G135+'26'!H135</f>
        <v>71.94999999999709</v>
      </c>
      <c r="I135" s="475"/>
      <c r="J135" s="547">
        <f>H135/DAY(B2)</f>
        <v>2.6648148148147071</v>
      </c>
      <c r="N135" s="379"/>
    </row>
    <row r="136" spans="1:14" ht="27.75">
      <c r="A136" s="1392" t="s">
        <v>299</v>
      </c>
      <c r="B136" s="1393"/>
      <c r="C136" s="1393"/>
      <c r="D136" s="518" t="s">
        <v>294</v>
      </c>
      <c r="E136" s="479">
        <f>'26'!F136</f>
        <v>32595</v>
      </c>
      <c r="F136" s="480">
        <v>32619.040000000001</v>
      </c>
      <c r="G136" s="468">
        <f t="shared" si="15"/>
        <v>24.040000000000873</v>
      </c>
      <c r="H136" s="455">
        <f>G136+'26'!H136</f>
        <v>49.110000000000582</v>
      </c>
      <c r="I136" s="475"/>
      <c r="J136" s="547">
        <f>H136/DAY(B2)</f>
        <v>1.8188888888889105</v>
      </c>
      <c r="N136" s="379"/>
    </row>
    <row r="137" spans="1:14" ht="27.75">
      <c r="A137" s="1392" t="s">
        <v>300</v>
      </c>
      <c r="B137" s="1393"/>
      <c r="C137" s="1393"/>
      <c r="D137" s="518" t="s">
        <v>294</v>
      </c>
      <c r="E137" s="479">
        <f>'26'!F137</f>
        <v>22791.360000000001</v>
      </c>
      <c r="F137" s="480">
        <v>22791.360000000001</v>
      </c>
      <c r="G137" s="468">
        <f t="shared" si="15"/>
        <v>0</v>
      </c>
      <c r="H137" s="455">
        <f>G137+'26'!H137</f>
        <v>-15.880000000001019</v>
      </c>
      <c r="I137" s="475">
        <f>G135+G136+G137</f>
        <v>24.040000000000873</v>
      </c>
      <c r="J137" s="547">
        <f>H137/DAY(B2)</f>
        <v>-0.58814814814818583</v>
      </c>
      <c r="N137" s="379"/>
    </row>
    <row r="138" spans="1:14" ht="27.75">
      <c r="A138" s="1392" t="s">
        <v>301</v>
      </c>
      <c r="B138" s="1393"/>
      <c r="C138" s="1393"/>
      <c r="D138" s="518" t="s">
        <v>294</v>
      </c>
      <c r="E138" s="479">
        <f>'26'!F138</f>
        <v>25051.72</v>
      </c>
      <c r="F138" s="647">
        <v>25051.72</v>
      </c>
      <c r="G138" s="468">
        <f t="shared" si="15"/>
        <v>0</v>
      </c>
      <c r="H138" s="455">
        <f>G138+'26'!H138</f>
        <v>8</v>
      </c>
      <c r="I138" s="475"/>
      <c r="J138" s="547">
        <f>H138/DAY(B2)</f>
        <v>0.29629629629629628</v>
      </c>
      <c r="N138" s="379"/>
    </row>
    <row r="139" spans="1:14" ht="27.75">
      <c r="A139" s="1392" t="s">
        <v>302</v>
      </c>
      <c r="B139" s="1393"/>
      <c r="C139" s="1393"/>
      <c r="D139" s="518" t="s">
        <v>294</v>
      </c>
      <c r="E139" s="479">
        <f>'26'!F139</f>
        <v>70392.179999999993</v>
      </c>
      <c r="F139" s="480">
        <v>70401.960000000006</v>
      </c>
      <c r="G139" s="468">
        <f t="shared" si="15"/>
        <v>9.7800000000133878</v>
      </c>
      <c r="H139" s="455">
        <f>G139+'26'!H139</f>
        <v>37.860000000000582</v>
      </c>
      <c r="I139" s="475">
        <f>G138+G139</f>
        <v>9.7800000000133878</v>
      </c>
      <c r="J139" s="547">
        <f>H139/DAY(B2)</f>
        <v>1.4022222222222438</v>
      </c>
      <c r="N139" s="379"/>
    </row>
    <row r="140" spans="1:14" ht="27.75">
      <c r="A140" s="1392" t="s">
        <v>303</v>
      </c>
      <c r="B140" s="1393"/>
      <c r="C140" s="1393"/>
      <c r="D140" s="518" t="s">
        <v>294</v>
      </c>
      <c r="E140" s="479">
        <f>'26'!F140</f>
        <v>1817.18</v>
      </c>
      <c r="F140" s="480">
        <v>1824.81</v>
      </c>
      <c r="G140" s="468">
        <f t="shared" si="15"/>
        <v>7.6299999999998818</v>
      </c>
      <c r="H140" s="455">
        <f>G140+'26'!H140</f>
        <v>-29.490000000000009</v>
      </c>
      <c r="I140" s="537"/>
      <c r="J140" s="547">
        <f>H140/DAY(B2)</f>
        <v>-1.0922222222222226</v>
      </c>
      <c r="N140" s="379"/>
    </row>
    <row r="141" spans="1:14" ht="27.75">
      <c r="A141" s="1392" t="s">
        <v>304</v>
      </c>
      <c r="B141" s="1393"/>
      <c r="C141" s="1393"/>
      <c r="D141" s="518" t="s">
        <v>294</v>
      </c>
      <c r="E141" s="479">
        <f>'26'!F141</f>
        <v>4636.88</v>
      </c>
      <c r="F141" s="473">
        <v>4636.88</v>
      </c>
      <c r="G141" s="468">
        <f t="shared" si="15"/>
        <v>0</v>
      </c>
      <c r="H141" s="455">
        <f>G141+'26'!H141</f>
        <v>-0.11999999999989086</v>
      </c>
      <c r="I141" s="537"/>
      <c r="J141" s="547">
        <f>H141/DAY(B2)</f>
        <v>-4.4444444444404025E-3</v>
      </c>
      <c r="N141" s="379"/>
    </row>
    <row r="142" spans="1:14">
      <c r="A142" s="1488" t="s">
        <v>305</v>
      </c>
      <c r="B142" s="1489"/>
      <c r="C142" s="1398"/>
      <c r="D142" s="467"/>
      <c r="E142" s="467"/>
      <c r="F142" s="467" t="s">
        <v>182</v>
      </c>
      <c r="G142" s="478"/>
      <c r="H142" s="478"/>
      <c r="I142" s="478"/>
      <c r="J142" s="558"/>
      <c r="K142" s="377"/>
      <c r="L142" s="374"/>
      <c r="N142" s="379"/>
    </row>
    <row r="143" spans="1:14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4826.9499999999534</v>
      </c>
      <c r="H143" s="455">
        <f>G143+'26'!H143</f>
        <v>-19142.869999999995</v>
      </c>
      <c r="I143" s="475"/>
      <c r="J143" s="547">
        <f>H143/DAY(B2)</f>
        <v>-708.99518518518505</v>
      </c>
      <c r="K143" s="377"/>
      <c r="L143" s="374"/>
      <c r="N143" s="379"/>
    </row>
    <row r="144" spans="1:14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0.28393823529411488</v>
      </c>
      <c r="H144" s="455">
        <f>G144+'26'!H144</f>
        <v>-1.2383576209014038</v>
      </c>
      <c r="I144" s="539"/>
      <c r="J144" s="547">
        <f>H144/DAY(B2)</f>
        <v>-4.5865097070422363E-2</v>
      </c>
      <c r="K144" s="377"/>
      <c r="L144" s="374"/>
      <c r="N144" s="379"/>
    </row>
    <row r="145" spans="1:14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4767.4700000000012</v>
      </c>
      <c r="H145" s="455">
        <f>G145+'26'!H145</f>
        <v>-20802.969999999994</v>
      </c>
      <c r="I145" s="475"/>
      <c r="J145" s="547">
        <f>H145/DAY(B2)</f>
        <v>-770.48037037037011</v>
      </c>
      <c r="K145" s="377"/>
      <c r="L145" s="374"/>
      <c r="N145" s="379"/>
    </row>
    <row r="146" spans="1:14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0.28043941176470594</v>
      </c>
      <c r="H146" s="455">
        <f>G146+'26'!H146</f>
        <v>-1.3605053316626472</v>
      </c>
      <c r="I146" s="539"/>
      <c r="J146" s="547">
        <f>H146/DAY(B2)</f>
        <v>-5.0389086357875819E-2</v>
      </c>
      <c r="K146" s="377"/>
      <c r="L146" s="374"/>
      <c r="N146" s="379"/>
    </row>
    <row r="147" spans="1:14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2773.9800000000396</v>
      </c>
      <c r="H147" s="455">
        <f>G147+'26'!H147</f>
        <v>-11243</v>
      </c>
      <c r="I147" s="540"/>
      <c r="J147" s="547">
        <f>H147/DAY(B2)</f>
        <v>-416.40740740740739</v>
      </c>
      <c r="K147" s="377"/>
      <c r="L147" s="374"/>
      <c r="N147" s="379"/>
    </row>
    <row r="148" spans="1:14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0.16317529411764939</v>
      </c>
      <c r="H148" s="455">
        <f>G148+'26'!H148</f>
        <v>-0.73892672862207409</v>
      </c>
      <c r="I148" s="540"/>
      <c r="J148" s="547">
        <f>H148/DAY(B2)</f>
        <v>-2.7367656615632372E-2</v>
      </c>
      <c r="N148" s="379"/>
    </row>
    <row r="149" spans="1:14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1176.5400000000373</v>
      </c>
      <c r="H149" s="455">
        <f>G149+'26'!H149</f>
        <v>-4993</v>
      </c>
      <c r="I149" s="475"/>
      <c r="J149" s="547">
        <f>H149/DAY(B2)</f>
        <v>-184.92592592592592</v>
      </c>
      <c r="K149" s="378"/>
      <c r="N149" s="379"/>
    </row>
    <row r="150" spans="1:14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6.9208235294119833E-2</v>
      </c>
      <c r="H150" s="455">
        <f>G150+'26'!H150</f>
        <v>-0.32590062886295745</v>
      </c>
      <c r="I150" s="540"/>
      <c r="J150" s="547">
        <f>H150/DAY(B2)</f>
        <v>-1.2070393661591017E-2</v>
      </c>
      <c r="N150" s="379"/>
    </row>
    <row r="151" spans="1:14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845.1699999999837</v>
      </c>
      <c r="H151" s="455">
        <f>G151+'26'!H151</f>
        <v>343384</v>
      </c>
      <c r="I151" s="540"/>
      <c r="J151" s="547">
        <f>H151/DAY(B2)</f>
        <v>12717.925925925925</v>
      </c>
      <c r="N151" s="379"/>
    </row>
    <row r="152" spans="1:14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4.9715882352940215E-2</v>
      </c>
      <c r="H152" s="455">
        <f>G152+'26'!H152</f>
        <v>20.157775056787187</v>
      </c>
      <c r="I152" s="475"/>
      <c r="J152" s="547">
        <f>H152/DAY(B2)</f>
        <v>0.74658426136248845</v>
      </c>
      <c r="N152" s="379"/>
    </row>
    <row r="153" spans="1:14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1296.4000000000087</v>
      </c>
      <c r="H153" s="455">
        <f>G153+'26'!H153</f>
        <v>-5195</v>
      </c>
      <c r="I153" s="475"/>
      <c r="J153" s="547">
        <f>H153/DAY(B2)</f>
        <v>-192.40740740740742</v>
      </c>
      <c r="N153" s="379"/>
    </row>
    <row r="154" spans="1:14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7.6258823529412281E-2</v>
      </c>
      <c r="H154" s="455">
        <f>G154+'26'!H154</f>
        <v>-0.33663012430960404</v>
      </c>
      <c r="I154" s="563"/>
      <c r="J154" s="564">
        <f>H154/DAY(B2)</f>
        <v>-1.2467782381837187E-2</v>
      </c>
      <c r="N154" s="379"/>
    </row>
    <row r="155" spans="1:14">
      <c r="A155" s="461"/>
      <c r="B155" s="451"/>
      <c r="C155" s="451"/>
      <c r="D155" s="541"/>
      <c r="E155" s="541"/>
      <c r="F155" s="658"/>
      <c r="G155" s="541"/>
      <c r="H155" s="542"/>
      <c r="I155" s="541"/>
      <c r="J155" s="543"/>
      <c r="N155" s="379"/>
    </row>
    <row r="161" spans="1:7">
      <c r="A161" s="780" t="s">
        <v>318</v>
      </c>
      <c r="B161" s="781"/>
      <c r="C161" s="781"/>
      <c r="D161" s="506" t="s">
        <v>253</v>
      </c>
      <c r="E161" s="536">
        <f>'26'!F161</f>
        <v>38024.69</v>
      </c>
      <c r="F161" s="654">
        <v>38104</v>
      </c>
      <c r="G161" s="468">
        <f t="shared" ref="G161:G164" si="16">F161-E161</f>
        <v>79.309999999997672</v>
      </c>
    </row>
    <row r="162" spans="1:7">
      <c r="A162" s="780" t="s">
        <v>319</v>
      </c>
      <c r="B162" s="781"/>
      <c r="C162" s="781"/>
      <c r="D162" s="506" t="s">
        <v>253</v>
      </c>
      <c r="E162" s="536">
        <f>'26'!F162</f>
        <v>92856.51</v>
      </c>
      <c r="F162" s="654">
        <v>93230</v>
      </c>
      <c r="G162" s="468">
        <f t="shared" si="16"/>
        <v>373.49000000000524</v>
      </c>
    </row>
    <row r="163" spans="1:7">
      <c r="A163" s="780" t="s">
        <v>320</v>
      </c>
      <c r="B163" s="781"/>
      <c r="C163" s="781"/>
      <c r="D163" s="506" t="s">
        <v>253</v>
      </c>
      <c r="E163" s="536">
        <f>'26'!F163</f>
        <v>43914</v>
      </c>
      <c r="F163" s="654">
        <v>44117</v>
      </c>
      <c r="G163" s="468">
        <f t="shared" si="16"/>
        <v>203</v>
      </c>
    </row>
    <row r="164" spans="1:7">
      <c r="A164" s="780" t="s">
        <v>321</v>
      </c>
      <c r="B164" s="781"/>
      <c r="C164" s="781"/>
      <c r="D164" s="506" t="s">
        <v>253</v>
      </c>
      <c r="E164" s="536">
        <f>'26'!F164</f>
        <v>6525.9</v>
      </c>
      <c r="F164" s="654">
        <v>6533</v>
      </c>
      <c r="G164" s="468">
        <f t="shared" si="16"/>
        <v>7.1000000000003638</v>
      </c>
    </row>
    <row r="165" spans="1:7">
      <c r="A165" s="782" t="s">
        <v>252</v>
      </c>
      <c r="B165" s="599"/>
      <c r="C165" s="599"/>
      <c r="D165" s="506" t="s">
        <v>253</v>
      </c>
      <c r="E165" s="509">
        <f>E62</f>
        <v>20419</v>
      </c>
      <c r="F165" s="509">
        <f>F62</f>
        <v>20419</v>
      </c>
      <c r="G165" s="468">
        <f t="shared" ref="G165:G172" si="17">F165-E165</f>
        <v>0</v>
      </c>
    </row>
    <row r="166" spans="1:7">
      <c r="A166" s="782" t="s">
        <v>254</v>
      </c>
      <c r="B166" s="599"/>
      <c r="C166" s="599"/>
      <c r="D166" s="506" t="s">
        <v>253</v>
      </c>
      <c r="E166" s="509">
        <f t="shared" ref="E166:E172" si="18">E63</f>
        <v>2457.1</v>
      </c>
      <c r="F166" s="509">
        <f t="shared" ref="F166:F172" si="19">F63</f>
        <v>2460</v>
      </c>
      <c r="G166" s="468">
        <f t="shared" si="17"/>
        <v>2.9000000000000909</v>
      </c>
    </row>
    <row r="167" spans="1:7" ht="27.75">
      <c r="A167" s="1502" t="s">
        <v>161</v>
      </c>
      <c r="B167" s="1502"/>
      <c r="C167" s="1502"/>
      <c r="D167" s="518" t="s">
        <v>253</v>
      </c>
      <c r="E167" s="509">
        <f t="shared" si="18"/>
        <v>158972.70000000001</v>
      </c>
      <c r="F167" s="509">
        <f t="shared" si="19"/>
        <v>159169</v>
      </c>
      <c r="G167" s="468">
        <f t="shared" si="17"/>
        <v>196.29999999998836</v>
      </c>
    </row>
    <row r="168" spans="1:7" ht="27.75">
      <c r="A168" s="1502" t="s">
        <v>162</v>
      </c>
      <c r="B168" s="1502"/>
      <c r="C168" s="1502"/>
      <c r="D168" s="518" t="s">
        <v>253</v>
      </c>
      <c r="E168" s="509">
        <f t="shared" si="18"/>
        <v>159915.88</v>
      </c>
      <c r="F168" s="509">
        <f t="shared" si="19"/>
        <v>160130</v>
      </c>
      <c r="G168" s="468">
        <f t="shared" si="17"/>
        <v>214.11999999999534</v>
      </c>
    </row>
    <row r="169" spans="1:7" ht="27.75">
      <c r="A169" s="1502" t="s">
        <v>255</v>
      </c>
      <c r="B169" s="1502"/>
      <c r="C169" s="1502"/>
      <c r="D169" s="518" t="s">
        <v>253</v>
      </c>
      <c r="E169" s="509">
        <f t="shared" si="18"/>
        <v>55424.42</v>
      </c>
      <c r="F169" s="509">
        <f t="shared" si="19"/>
        <v>55692</v>
      </c>
      <c r="G169" s="468">
        <f t="shared" si="17"/>
        <v>267.58000000000175</v>
      </c>
    </row>
    <row r="170" spans="1:7" ht="27.75">
      <c r="A170" s="1502" t="s">
        <v>157</v>
      </c>
      <c r="B170" s="1502"/>
      <c r="C170" s="1502"/>
      <c r="D170" s="518" t="s">
        <v>253</v>
      </c>
      <c r="E170" s="509">
        <f t="shared" si="18"/>
        <v>249886.57</v>
      </c>
      <c r="F170" s="509">
        <f t="shared" si="19"/>
        <v>250333</v>
      </c>
      <c r="G170" s="468">
        <f t="shared" si="17"/>
        <v>446.42999999999302</v>
      </c>
    </row>
    <row r="171" spans="1:7" ht="27.75">
      <c r="A171" s="1502" t="s">
        <v>164</v>
      </c>
      <c r="B171" s="1502"/>
      <c r="C171" s="1502"/>
      <c r="D171" s="518" t="s">
        <v>253</v>
      </c>
      <c r="E171" s="509">
        <f t="shared" si="18"/>
        <v>85321</v>
      </c>
      <c r="F171" s="509">
        <f t="shared" si="19"/>
        <v>85321</v>
      </c>
      <c r="G171" s="468">
        <f t="shared" si="17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509">
        <f t="shared" si="18"/>
        <v>81191.509999999995</v>
      </c>
      <c r="F172" s="509">
        <f t="shared" si="19"/>
        <v>81292</v>
      </c>
      <c r="G172" s="468">
        <f t="shared" si="17"/>
        <v>100.49000000000524</v>
      </c>
    </row>
    <row r="173" spans="1:7">
      <c r="G173" s="534">
        <f>SUM(G161:G172)</f>
        <v>1890.7199999999871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zoomScale="55" zoomScaleNormal="80" zoomScaleSheetLayoutView="55" workbookViewId="0">
      <selection activeCell="A33" sqref="A33:J33"/>
    </sheetView>
  </sheetViews>
  <sheetFormatPr defaultColWidth="22.33203125" defaultRowHeight="29.25"/>
  <cols>
    <col min="1" max="1" width="51.21875" style="449" customWidth="1"/>
    <col min="2" max="2" width="25.88671875" style="452" customWidth="1"/>
    <col min="3" max="3" width="15.88671875" style="452" customWidth="1"/>
    <col min="4" max="4" width="13.6640625" style="532" customWidth="1"/>
    <col min="5" max="5" width="30" style="534" customWidth="1"/>
    <col min="6" max="6" width="30" style="751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5546875" style="1097" customWidth="1"/>
    <col min="15" max="17" width="22.33203125" style="765"/>
    <col min="18" max="16384" width="22.33203125" style="373"/>
  </cols>
  <sheetData>
    <row r="1" spans="1:17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7" s="278" customFormat="1" ht="27">
      <c r="A2" s="570" t="s">
        <v>361</v>
      </c>
      <c r="B2" s="1258">
        <v>44344</v>
      </c>
      <c r="C2" s="1394" t="s">
        <v>111</v>
      </c>
      <c r="D2" s="606">
        <v>0.71</v>
      </c>
      <c r="E2" s="732"/>
      <c r="F2" s="732"/>
      <c r="G2" s="456" t="s">
        <v>184</v>
      </c>
      <c r="H2" s="456" t="s">
        <v>40</v>
      </c>
      <c r="I2" s="456" t="s">
        <v>42</v>
      </c>
      <c r="J2" s="608" t="s">
        <v>185</v>
      </c>
      <c r="N2" s="1097"/>
      <c r="O2" s="765"/>
      <c r="P2" s="765"/>
      <c r="Q2" s="765"/>
    </row>
    <row r="3" spans="1:17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1097"/>
      <c r="O3" s="765"/>
      <c r="P3" s="765"/>
      <c r="Q3" s="765"/>
    </row>
    <row r="4" spans="1:17" s="278" customFormat="1" ht="27">
      <c r="A4" s="571"/>
      <c r="B4" s="611"/>
      <c r="C4" s="1394" t="s">
        <v>188</v>
      </c>
      <c r="D4" s="606">
        <v>0.78</v>
      </c>
      <c r="E4" s="458"/>
      <c r="F4" s="458"/>
      <c r="G4" s="459"/>
      <c r="H4" s="459"/>
      <c r="I4" s="460"/>
      <c r="J4" s="610"/>
      <c r="K4" s="369"/>
      <c r="L4" s="289"/>
      <c r="N4" s="1097"/>
      <c r="O4" s="765"/>
      <c r="P4" s="767"/>
      <c r="Q4" s="765"/>
    </row>
    <row r="5" spans="1:17">
      <c r="A5" s="572" t="s">
        <v>189</v>
      </c>
      <c r="B5" s="454"/>
      <c r="C5" s="454"/>
      <c r="D5" s="506" t="s">
        <v>190</v>
      </c>
      <c r="E5" s="509" t="s">
        <v>191</v>
      </c>
      <c r="F5" s="509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  <c r="P5" s="767"/>
    </row>
    <row r="6" spans="1:17">
      <c r="A6" s="1468" t="s">
        <v>196</v>
      </c>
      <c r="B6" s="1469"/>
      <c r="C6" s="1470"/>
      <c r="D6" s="466"/>
      <c r="E6" s="490"/>
      <c r="F6" s="490"/>
      <c r="G6" s="466"/>
      <c r="H6" s="467"/>
      <c r="I6" s="467"/>
      <c r="J6" s="546"/>
      <c r="K6" s="423"/>
      <c r="L6" s="374"/>
      <c r="M6" s="373">
        <v>1691553</v>
      </c>
    </row>
    <row r="7" spans="1:17" ht="30" thickBot="1">
      <c r="A7" s="672" t="s">
        <v>197</v>
      </c>
      <c r="B7" s="673"/>
      <c r="C7" s="673"/>
      <c r="D7" s="633" t="s">
        <v>198</v>
      </c>
      <c r="E7" s="675">
        <f>'27'!F7</f>
        <v>810941</v>
      </c>
      <c r="F7" s="455">
        <f>E7+17000</f>
        <v>827941</v>
      </c>
      <c r="G7" s="674">
        <f>F7-E7</f>
        <v>17000</v>
      </c>
      <c r="H7" s="675">
        <f>G7+'27'!H7</f>
        <v>483529</v>
      </c>
      <c r="I7" s="676">
        <f>'1'!I7</f>
        <v>12000</v>
      </c>
      <c r="J7" s="677">
        <f>H7/DAY(B2)</f>
        <v>17268.892857142859</v>
      </c>
      <c r="K7" s="544"/>
      <c r="L7" s="374"/>
      <c r="N7" s="1098"/>
    </row>
    <row r="8" spans="1:17" ht="27.75" thickBot="1">
      <c r="A8" s="678" t="s">
        <v>199</v>
      </c>
      <c r="B8" s="679"/>
      <c r="C8" s="680"/>
      <c r="D8" s="681" t="s">
        <v>59</v>
      </c>
      <c r="E8" s="675">
        <f>'27'!F8</f>
        <v>816095</v>
      </c>
      <c r="F8" s="455">
        <f>E8+17150</f>
        <v>833245</v>
      </c>
      <c r="G8" s="685">
        <f>F8-E8</f>
        <v>17150</v>
      </c>
      <c r="H8" s="675">
        <f>G8+'27'!H8</f>
        <v>486735</v>
      </c>
      <c r="I8" s="682">
        <f>'1'!I8</f>
        <v>12000</v>
      </c>
      <c r="J8" s="677">
        <f>H8/DAY(B2)</f>
        <v>17383.392857142859</v>
      </c>
      <c r="K8" s="544"/>
      <c r="L8" s="421">
        <v>1375467</v>
      </c>
      <c r="M8" s="435">
        <v>1703438</v>
      </c>
      <c r="N8" s="1098"/>
    </row>
    <row r="9" spans="1:17">
      <c r="A9" s="683" t="s">
        <v>200</v>
      </c>
      <c r="B9" s="684"/>
      <c r="C9" s="684"/>
      <c r="D9" s="633" t="s">
        <v>198</v>
      </c>
      <c r="E9" s="675">
        <f>'27'!F9</f>
        <v>1932272</v>
      </c>
      <c r="F9" s="733">
        <f>E9+16950</f>
        <v>1949222</v>
      </c>
      <c r="G9" s="698">
        <f t="shared" ref="G9:G12" si="0">F9-E9</f>
        <v>16950</v>
      </c>
      <c r="H9" s="675">
        <f>G9+'27'!H9</f>
        <v>475532</v>
      </c>
      <c r="I9" s="686">
        <f>I8-J8</f>
        <v>-5383.3928571428587</v>
      </c>
      <c r="J9" s="677">
        <f>H9/DAY(B2)</f>
        <v>16983.285714285714</v>
      </c>
      <c r="K9" s="424"/>
      <c r="L9" s="374"/>
      <c r="N9" s="1098"/>
    </row>
    <row r="10" spans="1:17">
      <c r="A10" s="672" t="s">
        <v>201</v>
      </c>
      <c r="B10" s="673"/>
      <c r="C10" s="673"/>
      <c r="D10" s="633" t="s">
        <v>198</v>
      </c>
      <c r="E10" s="675">
        <f>'27'!F10</f>
        <v>0</v>
      </c>
      <c r="F10" s="733"/>
      <c r="G10" s="685">
        <f t="shared" si="0"/>
        <v>0</v>
      </c>
      <c r="H10" s="675">
        <f>G10+'27'!H10</f>
        <v>-2606.13</v>
      </c>
      <c r="I10" s="687"/>
      <c r="J10" s="677">
        <f>H10/DAY(B2)</f>
        <v>-93.076071428571439</v>
      </c>
      <c r="K10" s="424"/>
      <c r="L10" s="374"/>
      <c r="M10" s="373">
        <f>170</f>
        <v>170</v>
      </c>
      <c r="N10" s="1098"/>
    </row>
    <row r="11" spans="1:17">
      <c r="A11" s="672" t="s">
        <v>202</v>
      </c>
      <c r="B11" s="673"/>
      <c r="C11" s="673"/>
      <c r="D11" s="633" t="s">
        <v>198</v>
      </c>
      <c r="E11" s="675">
        <f>'5'!E11</f>
        <v>37000</v>
      </c>
      <c r="F11" s="455">
        <v>37000</v>
      </c>
      <c r="G11" s="685">
        <f t="shared" si="0"/>
        <v>0</v>
      </c>
      <c r="H11" s="675">
        <f>G11+'27'!H11</f>
        <v>0</v>
      </c>
      <c r="I11" s="687"/>
      <c r="J11" s="677">
        <f>H11/DAY(B2)</f>
        <v>0</v>
      </c>
      <c r="K11" s="424"/>
      <c r="L11" s="374"/>
      <c r="N11" s="1098"/>
    </row>
    <row r="12" spans="1:17">
      <c r="A12" s="672" t="s">
        <v>203</v>
      </c>
      <c r="B12" s="673"/>
      <c r="C12" s="673"/>
      <c r="D12" s="633" t="s">
        <v>198</v>
      </c>
      <c r="E12" s="675">
        <f>'5'!E12</f>
        <v>40010</v>
      </c>
      <c r="F12" s="733">
        <v>40010</v>
      </c>
      <c r="G12" s="685">
        <f t="shared" si="0"/>
        <v>0</v>
      </c>
      <c r="H12" s="675">
        <f>G12+'27'!H12</f>
        <v>0</v>
      </c>
      <c r="I12" s="687"/>
      <c r="J12" s="677">
        <f>H12/DAY(B2)</f>
        <v>0</v>
      </c>
      <c r="K12" s="424"/>
      <c r="L12" s="374"/>
      <c r="N12" s="1098"/>
    </row>
    <row r="13" spans="1:17">
      <c r="A13" s="688" t="s">
        <v>204</v>
      </c>
      <c r="B13" s="689"/>
      <c r="C13" s="689"/>
      <c r="D13" s="633"/>
      <c r="E13" s="675"/>
      <c r="F13" s="455"/>
      <c r="G13" s="690">
        <f>G9+G10+G11+G12</f>
        <v>16950</v>
      </c>
      <c r="H13" s="675">
        <f>G13+'27'!H13</f>
        <v>456400.87</v>
      </c>
      <c r="I13" s="691">
        <f>G7-G13</f>
        <v>50</v>
      </c>
      <c r="J13" s="677">
        <f>H13/DAY(B2)</f>
        <v>16300.031071428572</v>
      </c>
      <c r="K13" s="424"/>
      <c r="L13" s="374"/>
      <c r="N13" s="1098"/>
    </row>
    <row r="14" spans="1:17">
      <c r="A14" s="1471" t="s">
        <v>205</v>
      </c>
      <c r="B14" s="1472"/>
      <c r="C14" s="1473"/>
      <c r="D14" s="467"/>
      <c r="E14" s="734"/>
      <c r="F14" s="734"/>
      <c r="G14" s="478"/>
      <c r="H14" s="467"/>
      <c r="I14" s="467"/>
      <c r="J14" s="546"/>
      <c r="K14" s="425"/>
      <c r="L14" s="374"/>
      <c r="N14" s="1098"/>
    </row>
    <row r="15" spans="1:17">
      <c r="A15" s="661" t="s">
        <v>133</v>
      </c>
      <c r="B15" s="662"/>
      <c r="C15" s="662"/>
      <c r="D15" s="663" t="s">
        <v>206</v>
      </c>
      <c r="E15" s="752">
        <f>'27'!F15</f>
        <v>1698532</v>
      </c>
      <c r="F15" s="735">
        <f>E15+550</f>
        <v>1699082</v>
      </c>
      <c r="G15" s="660">
        <f>(F15-E15)</f>
        <v>550</v>
      </c>
      <c r="H15" s="1083">
        <f>G15+'27'!H15</f>
        <v>14558</v>
      </c>
      <c r="I15" s="1084">
        <v>800</v>
      </c>
      <c r="J15" s="1085">
        <f>H15/DAY(B2)</f>
        <v>519.92857142857144</v>
      </c>
      <c r="K15" s="424"/>
      <c r="L15" s="374"/>
      <c r="N15" s="1098"/>
    </row>
    <row r="16" spans="1:17">
      <c r="A16" s="669"/>
      <c r="B16" s="670"/>
      <c r="C16" s="670"/>
      <c r="D16" s="663"/>
      <c r="E16" s="752"/>
      <c r="F16" s="735"/>
      <c r="G16" s="665"/>
      <c r="H16" s="1083"/>
      <c r="I16" s="1086">
        <f>I15-J15</f>
        <v>280.07142857142856</v>
      </c>
      <c r="J16" s="1085"/>
      <c r="K16" s="424"/>
      <c r="L16" s="374"/>
      <c r="N16" s="1098"/>
    </row>
    <row r="17" spans="1:17">
      <c r="A17" s="1471" t="s">
        <v>207</v>
      </c>
      <c r="B17" s="1472"/>
      <c r="C17" s="1473"/>
      <c r="D17" s="467"/>
      <c r="E17" s="734"/>
      <c r="F17" s="734"/>
      <c r="G17" s="483"/>
      <c r="H17" s="467"/>
      <c r="I17" s="467"/>
      <c r="J17" s="546"/>
      <c r="K17" s="424"/>
      <c r="L17" s="374"/>
      <c r="N17" s="1098"/>
    </row>
    <row r="18" spans="1:17" ht="27.75">
      <c r="A18" s="1506" t="s">
        <v>208</v>
      </c>
      <c r="B18" s="1507"/>
      <c r="C18" s="1508"/>
      <c r="D18" s="633" t="s">
        <v>209</v>
      </c>
      <c r="E18" s="753">
        <f>'27'!F18</f>
        <v>6</v>
      </c>
      <c r="F18" s="733">
        <v>4</v>
      </c>
      <c r="G18" s="690">
        <f>F18*10</f>
        <v>40</v>
      </c>
      <c r="H18" s="675">
        <f>G18+'27'!H18</f>
        <v>1400</v>
      </c>
      <c r="I18" s="676">
        <f>'1'!I18</f>
        <v>65</v>
      </c>
      <c r="J18" s="677">
        <f>H18/DAY(B2)</f>
        <v>50</v>
      </c>
      <c r="K18" s="424"/>
      <c r="L18" s="374"/>
      <c r="N18" s="1098"/>
    </row>
    <row r="19" spans="1:17" ht="27.75">
      <c r="A19" s="1506" t="s">
        <v>113</v>
      </c>
      <c r="B19" s="1507"/>
      <c r="C19" s="1508"/>
      <c r="D19" s="633" t="s">
        <v>209</v>
      </c>
      <c r="E19" s="753">
        <f>'27'!F19</f>
        <v>139376</v>
      </c>
      <c r="F19" s="733">
        <v>139436</v>
      </c>
      <c r="G19" s="685">
        <f t="shared" ref="G19" si="1">F19-E19</f>
        <v>60</v>
      </c>
      <c r="H19" s="675">
        <f>G19+'27'!H19</f>
        <v>-176</v>
      </c>
      <c r="I19" s="692"/>
      <c r="J19" s="677">
        <f>H19/DAY(B2)</f>
        <v>-6.2857142857142856</v>
      </c>
      <c r="K19" s="424"/>
      <c r="L19" s="374"/>
      <c r="N19" s="1098"/>
    </row>
    <row r="20" spans="1:17">
      <c r="A20" s="688" t="s">
        <v>210</v>
      </c>
      <c r="B20" s="689"/>
      <c r="C20" s="689"/>
      <c r="D20" s="633"/>
      <c r="E20" s="675"/>
      <c r="F20" s="455"/>
      <c r="G20" s="693">
        <f>G18+G19</f>
        <v>100</v>
      </c>
      <c r="H20" s="675">
        <f>G20+'27'!H20</f>
        <v>1224</v>
      </c>
      <c r="I20" s="694">
        <f>I18-J20</f>
        <v>21.285714285714285</v>
      </c>
      <c r="J20" s="677">
        <f>H20/DAY(B2)</f>
        <v>43.714285714285715</v>
      </c>
      <c r="K20" s="424"/>
      <c r="L20" s="374"/>
      <c r="N20" s="1098"/>
    </row>
    <row r="21" spans="1:17">
      <c r="A21" s="1471" t="s">
        <v>211</v>
      </c>
      <c r="B21" s="1472"/>
      <c r="C21" s="1473"/>
      <c r="D21" s="467"/>
      <c r="E21" s="734"/>
      <c r="F21" s="734"/>
      <c r="G21" s="478"/>
      <c r="H21" s="467"/>
      <c r="I21" s="467"/>
      <c r="J21" s="546"/>
      <c r="K21" s="424"/>
      <c r="L21" s="374"/>
      <c r="N21" s="1098"/>
    </row>
    <row r="22" spans="1:17">
      <c r="A22" s="1392" t="s">
        <v>212</v>
      </c>
      <c r="B22" s="584"/>
      <c r="C22" s="584"/>
      <c r="D22" s="518" t="s">
        <v>213</v>
      </c>
      <c r="E22" s="754">
        <f>'27'!F22</f>
        <v>2970</v>
      </c>
      <c r="F22" s="733">
        <v>2970</v>
      </c>
      <c r="G22" s="476">
        <f t="shared" ref="G22" si="2">(F22-E22)</f>
        <v>0</v>
      </c>
      <c r="H22" s="455">
        <f>G22+'27'!H22</f>
        <v>0</v>
      </c>
      <c r="I22" s="475"/>
      <c r="J22" s="547">
        <f>H22/DAY(B2)</f>
        <v>0</v>
      </c>
      <c r="K22" s="424"/>
      <c r="L22" s="374"/>
      <c r="N22" s="1098"/>
    </row>
    <row r="23" spans="1:17">
      <c r="A23" s="1392" t="s">
        <v>214</v>
      </c>
      <c r="B23" s="584"/>
      <c r="C23" s="584"/>
      <c r="D23" s="518" t="s">
        <v>213</v>
      </c>
      <c r="E23" s="754">
        <f>'27'!F23</f>
        <v>2000</v>
      </c>
      <c r="F23" s="733">
        <v>2000</v>
      </c>
      <c r="G23" s="476">
        <v>0</v>
      </c>
      <c r="H23" s="455">
        <f>G23+'27'!H23</f>
        <v>0</v>
      </c>
      <c r="I23" s="475"/>
      <c r="J23" s="547">
        <f>H23/DAY(B2)</f>
        <v>0</v>
      </c>
      <c r="K23" s="424"/>
      <c r="L23" s="374"/>
      <c r="N23" s="1098"/>
    </row>
    <row r="24" spans="1:17">
      <c r="A24" s="585" t="s">
        <v>215</v>
      </c>
      <c r="B24" s="586"/>
      <c r="C24" s="586"/>
      <c r="D24" s="506" t="s">
        <v>213</v>
      </c>
      <c r="E24" s="755">
        <f>'27'!F24</f>
        <v>4970</v>
      </c>
      <c r="F24" s="755">
        <f>SUM(F22:F23)</f>
        <v>4970</v>
      </c>
      <c r="G24" s="476">
        <v>0</v>
      </c>
      <c r="H24" s="455">
        <f>G24+'27'!H24</f>
        <v>0</v>
      </c>
      <c r="I24" s="475"/>
      <c r="J24" s="547">
        <f>H24/DAY(B2)</f>
        <v>0</v>
      </c>
      <c r="K24" s="424"/>
      <c r="L24" s="374"/>
      <c r="N24" s="1098"/>
    </row>
    <row r="25" spans="1:17" s="437" customFormat="1" ht="27">
      <c r="A25" s="1476" t="s">
        <v>216</v>
      </c>
      <c r="B25" s="1477"/>
      <c r="C25" s="1478"/>
      <c r="D25" s="466"/>
      <c r="E25" s="490"/>
      <c r="F25" s="490"/>
      <c r="G25" s="489"/>
      <c r="H25" s="490"/>
      <c r="I25" s="491"/>
      <c r="J25" s="549"/>
      <c r="K25" s="370"/>
      <c r="L25" s="438"/>
      <c r="N25" s="1098"/>
      <c r="O25" s="765"/>
      <c r="P25" s="765"/>
      <c r="Q25" s="765"/>
    </row>
    <row r="26" spans="1:17" s="437" customFormat="1" ht="27">
      <c r="A26" s="587" t="s">
        <v>217</v>
      </c>
      <c r="B26" s="588"/>
      <c r="C26" s="589"/>
      <c r="D26" s="613" t="s">
        <v>218</v>
      </c>
      <c r="E26" s="756"/>
      <c r="F26" s="455"/>
      <c r="G26" s="493"/>
      <c r="H26" s="455"/>
      <c r="I26" s="494"/>
      <c r="J26" s="547"/>
      <c r="K26" s="371"/>
      <c r="L26" s="438"/>
      <c r="N26" s="1098"/>
      <c r="O26" s="765"/>
      <c r="P26" s="765"/>
      <c r="Q26" s="765"/>
    </row>
    <row r="27" spans="1:17" s="437" customFormat="1" ht="27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G27+'27'!H27</f>
        <v>4379778</v>
      </c>
      <c r="I27" s="498"/>
      <c r="J27" s="547">
        <f>H27/DAY(B2)</f>
        <v>156420.64285714287</v>
      </c>
      <c r="K27" s="370"/>
      <c r="L27" s="438"/>
      <c r="N27" s="1098"/>
      <c r="O27" s="765"/>
      <c r="P27" s="765"/>
      <c r="Q27" s="765"/>
    </row>
    <row r="28" spans="1:17" s="437" customFormat="1" ht="27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G28+'27'!H28</f>
        <v>757016</v>
      </c>
      <c r="I28" s="500"/>
      <c r="J28" s="547">
        <f>H28/DAY(B2)</f>
        <v>27036.285714285714</v>
      </c>
      <c r="K28" s="370"/>
      <c r="L28" s="438"/>
      <c r="N28" s="1098"/>
      <c r="O28" s="765"/>
      <c r="P28" s="765"/>
      <c r="Q28" s="765"/>
    </row>
    <row r="29" spans="1:17" s="437" customFormat="1" ht="27">
      <c r="A29" s="587" t="s">
        <v>221</v>
      </c>
      <c r="B29" s="588"/>
      <c r="C29" s="589"/>
      <c r="D29" s="614" t="s">
        <v>222</v>
      </c>
      <c r="E29" s="695">
        <f>G24</f>
        <v>0</v>
      </c>
      <c r="F29" s="695">
        <v>69</v>
      </c>
      <c r="G29" s="497">
        <f>E29*F29</f>
        <v>0</v>
      </c>
      <c r="H29" s="455">
        <f>G29+'27'!H29</f>
        <v>8280</v>
      </c>
      <c r="I29" s="500"/>
      <c r="J29" s="547">
        <f>H29/DAY(B2)</f>
        <v>295.71428571428572</v>
      </c>
      <c r="K29" s="370"/>
      <c r="L29" s="438"/>
      <c r="N29" s="1098"/>
      <c r="O29" s="765"/>
      <c r="P29" s="765"/>
      <c r="Q29" s="765"/>
    </row>
    <row r="30" spans="1:17" s="437" customFormat="1" ht="27">
      <c r="A30" s="587" t="s">
        <v>223</v>
      </c>
      <c r="B30" s="588"/>
      <c r="C30" s="589"/>
      <c r="D30" s="614" t="s">
        <v>224</v>
      </c>
      <c r="E30" s="695">
        <f>G19</f>
        <v>60</v>
      </c>
      <c r="F30" s="695">
        <v>146</v>
      </c>
      <c r="G30" s="497">
        <f>E30*F30</f>
        <v>8760</v>
      </c>
      <c r="H30" s="455">
        <f>G30+'27'!H30</f>
        <v>-25696</v>
      </c>
      <c r="I30" s="500"/>
      <c r="J30" s="547">
        <f>H30/DAY(B2)</f>
        <v>-917.71428571428567</v>
      </c>
      <c r="K30" s="370"/>
      <c r="L30" s="438"/>
      <c r="N30" s="1098"/>
      <c r="O30" s="765"/>
      <c r="P30" s="765"/>
      <c r="Q30" s="765"/>
    </row>
    <row r="31" spans="1:17" s="437" customFormat="1" ht="27">
      <c r="A31" s="587" t="s">
        <v>225</v>
      </c>
      <c r="B31" s="588"/>
      <c r="C31" s="589"/>
      <c r="D31" s="614" t="s">
        <v>209</v>
      </c>
      <c r="E31" s="695">
        <f>G18</f>
        <v>40</v>
      </c>
      <c r="F31" s="695">
        <v>80</v>
      </c>
      <c r="G31" s="497">
        <f>E31*F31</f>
        <v>3200</v>
      </c>
      <c r="H31" s="455">
        <f>G31+'27'!H31</f>
        <v>112000</v>
      </c>
      <c r="I31" s="500"/>
      <c r="J31" s="547"/>
      <c r="K31" s="370"/>
      <c r="L31" s="438"/>
      <c r="N31" s="1098"/>
      <c r="O31" s="765"/>
      <c r="P31" s="765"/>
      <c r="Q31" s="765"/>
    </row>
    <row r="32" spans="1:17" s="437" customFormat="1" ht="27">
      <c r="A32" s="590" t="s">
        <v>226</v>
      </c>
      <c r="B32" s="591"/>
      <c r="C32" s="592"/>
      <c r="D32" s="502"/>
      <c r="E32" s="757"/>
      <c r="F32" s="481"/>
      <c r="G32" s="503">
        <f>G27+G28+G29+G30+G31</f>
        <v>194910</v>
      </c>
      <c r="H32" s="455">
        <f>G32+'27'!H32</f>
        <v>5231378</v>
      </c>
      <c r="I32" s="504"/>
      <c r="J32" s="547">
        <f>H32/DAY(B2)</f>
        <v>186834.92857142858</v>
      </c>
      <c r="K32" s="370"/>
      <c r="L32" s="438"/>
      <c r="N32" s="1098"/>
      <c r="O32" s="765"/>
      <c r="P32" s="765"/>
      <c r="Q32" s="765"/>
    </row>
    <row r="33" spans="1:14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1098"/>
    </row>
    <row r="34" spans="1:14">
      <c r="A34" s="593" t="s">
        <v>228</v>
      </c>
      <c r="B34" s="1397"/>
      <c r="C34" s="1397"/>
      <c r="D34" s="467"/>
      <c r="E34" s="490"/>
      <c r="F34" s="490"/>
      <c r="G34" s="467"/>
      <c r="H34" s="467"/>
      <c r="I34" s="467"/>
      <c r="J34" s="546"/>
      <c r="K34" s="424"/>
      <c r="L34" s="374"/>
      <c r="N34" s="1098"/>
    </row>
    <row r="35" spans="1:14">
      <c r="A35" s="573" t="s">
        <v>229</v>
      </c>
      <c r="B35" s="574"/>
      <c r="C35" s="574"/>
      <c r="D35" s="518" t="s">
        <v>198</v>
      </c>
      <c r="E35" s="737">
        <f>'27'!F35</f>
        <v>940873</v>
      </c>
      <c r="F35" s="737">
        <v>943358</v>
      </c>
      <c r="G35" s="468">
        <f t="shared" ref="G35:G46" si="3">F35-E35</f>
        <v>2485</v>
      </c>
      <c r="H35" s="455">
        <f>G35+'27'!H35</f>
        <v>-7130</v>
      </c>
      <c r="I35" s="450"/>
      <c r="J35" s="547">
        <f>H35/DAY(B2)</f>
        <v>-254.64285714285714</v>
      </c>
      <c r="K35" s="424"/>
      <c r="L35" s="374"/>
      <c r="N35" s="1098"/>
    </row>
    <row r="36" spans="1:14">
      <c r="A36" s="573" t="s">
        <v>230</v>
      </c>
      <c r="B36" s="574"/>
      <c r="C36" s="574"/>
      <c r="D36" s="518" t="s">
        <v>198</v>
      </c>
      <c r="E36" s="737">
        <f>'27'!F36</f>
        <v>347065</v>
      </c>
      <c r="F36" s="737">
        <v>347065</v>
      </c>
      <c r="G36" s="468">
        <f t="shared" si="3"/>
        <v>0</v>
      </c>
      <c r="H36" s="455">
        <f>G36+'27'!H36</f>
        <v>346892</v>
      </c>
      <c r="I36" s="450"/>
      <c r="J36" s="547">
        <f>H36/DAY(B2)</f>
        <v>12389</v>
      </c>
      <c r="K36" s="424"/>
      <c r="L36" s="374"/>
      <c r="N36" s="1098"/>
    </row>
    <row r="37" spans="1:14">
      <c r="A37" s="573" t="s">
        <v>231</v>
      </c>
      <c r="B37" s="574"/>
      <c r="C37" s="574"/>
      <c r="D37" s="518" t="s">
        <v>198</v>
      </c>
      <c r="E37" s="737">
        <f>'27'!F37</f>
        <v>129041</v>
      </c>
      <c r="F37" s="737">
        <v>130320</v>
      </c>
      <c r="G37" s="468">
        <f t="shared" si="3"/>
        <v>1279</v>
      </c>
      <c r="H37" s="455">
        <f>G37+'27'!H37</f>
        <v>-3916</v>
      </c>
      <c r="I37" s="450"/>
      <c r="J37" s="547">
        <f>H37/DAY(B2)</f>
        <v>-139.85714285714286</v>
      </c>
      <c r="K37" s="424"/>
      <c r="L37" s="374"/>
      <c r="N37" s="1098"/>
    </row>
    <row r="38" spans="1:14">
      <c r="A38" s="573" t="s">
        <v>232</v>
      </c>
      <c r="B38" s="574"/>
      <c r="C38" s="574"/>
      <c r="D38" s="518" t="s">
        <v>198</v>
      </c>
      <c r="E38" s="737">
        <f>'27'!F38</f>
        <v>151412</v>
      </c>
      <c r="F38" s="465">
        <v>152607</v>
      </c>
      <c r="G38" s="468">
        <f t="shared" si="3"/>
        <v>1195</v>
      </c>
      <c r="H38" s="455">
        <f>G38+'27'!H38</f>
        <v>-3798</v>
      </c>
      <c r="I38" s="450"/>
      <c r="J38" s="547">
        <f>H38/DAY(B2)</f>
        <v>-135.64285714285714</v>
      </c>
      <c r="K38" s="424"/>
      <c r="L38" s="374"/>
      <c r="N38" s="1098"/>
    </row>
    <row r="39" spans="1:14">
      <c r="A39" s="573" t="s">
        <v>233</v>
      </c>
      <c r="B39" s="574"/>
      <c r="C39" s="574"/>
      <c r="D39" s="518" t="s">
        <v>198</v>
      </c>
      <c r="E39" s="737">
        <f>'27'!F39</f>
        <v>299149</v>
      </c>
      <c r="F39" s="737">
        <v>301259</v>
      </c>
      <c r="G39" s="468">
        <f>F39-E39</f>
        <v>2110</v>
      </c>
      <c r="H39" s="455">
        <f>G39+'27'!H39</f>
        <v>-6914</v>
      </c>
      <c r="I39" s="450"/>
      <c r="J39" s="547">
        <f>H39/DAY(B2)</f>
        <v>-246.92857142857142</v>
      </c>
      <c r="K39" s="424"/>
      <c r="L39" s="374"/>
      <c r="N39" s="1098"/>
    </row>
    <row r="40" spans="1:14">
      <c r="A40" s="594" t="s">
        <v>234</v>
      </c>
      <c r="B40" s="595"/>
      <c r="C40" s="595"/>
      <c r="D40" s="518" t="s">
        <v>198</v>
      </c>
      <c r="E40" s="737">
        <f>'27'!F40</f>
        <v>889</v>
      </c>
      <c r="F40" s="737">
        <v>889</v>
      </c>
      <c r="G40" s="468">
        <f t="shared" si="3"/>
        <v>0</v>
      </c>
      <c r="H40" s="455">
        <f>G40+'27'!H40</f>
        <v>0</v>
      </c>
      <c r="I40" s="450"/>
      <c r="J40" s="547">
        <f>H40/DAY(B2)</f>
        <v>0</v>
      </c>
      <c r="K40" s="425"/>
      <c r="L40" s="374"/>
      <c r="N40" s="1098"/>
    </row>
    <row r="41" spans="1:14">
      <c r="A41" s="573" t="s">
        <v>235</v>
      </c>
      <c r="B41" s="574"/>
      <c r="C41" s="574"/>
      <c r="D41" s="518" t="s">
        <v>198</v>
      </c>
      <c r="E41" s="737">
        <f>'27'!F41</f>
        <v>240478</v>
      </c>
      <c r="F41" s="737">
        <v>240478</v>
      </c>
      <c r="G41" s="468">
        <f t="shared" si="3"/>
        <v>0</v>
      </c>
      <c r="H41" s="455">
        <f>G41+'27'!H41</f>
        <v>0</v>
      </c>
      <c r="I41" s="450"/>
      <c r="J41" s="547">
        <f>H41/DAY(B2)</f>
        <v>0</v>
      </c>
      <c r="K41" s="424"/>
      <c r="L41" s="374"/>
      <c r="N41" s="1098"/>
    </row>
    <row r="42" spans="1:14">
      <c r="A42" s="573" t="s">
        <v>236</v>
      </c>
      <c r="B42" s="574"/>
      <c r="C42" s="574"/>
      <c r="D42" s="518" t="s">
        <v>198</v>
      </c>
      <c r="E42" s="737">
        <f>'27'!F42</f>
        <v>59199</v>
      </c>
      <c r="F42" s="737">
        <v>59199</v>
      </c>
      <c r="G42" s="468">
        <f t="shared" si="3"/>
        <v>0</v>
      </c>
      <c r="H42" s="455">
        <f>G42+'27'!H42</f>
        <v>2.9999999998835847E-2</v>
      </c>
      <c r="I42" s="450"/>
      <c r="J42" s="547">
        <f>H42/DAY(B2)</f>
        <v>1.0714285713869945E-3</v>
      </c>
      <c r="K42" s="424"/>
      <c r="L42" s="374"/>
      <c r="N42" s="1098"/>
    </row>
    <row r="43" spans="1:14">
      <c r="A43" s="573" t="s">
        <v>237</v>
      </c>
      <c r="B43" s="574"/>
      <c r="C43" s="574"/>
      <c r="D43" s="518" t="s">
        <v>198</v>
      </c>
      <c r="E43" s="737">
        <f>'27'!F43</f>
        <v>1033005</v>
      </c>
      <c r="F43" s="737">
        <v>1035334</v>
      </c>
      <c r="G43" s="468">
        <f t="shared" si="3"/>
        <v>2329</v>
      </c>
      <c r="H43" s="455">
        <f>G43+'27'!H43</f>
        <v>-6910</v>
      </c>
      <c r="I43" s="450"/>
      <c r="J43" s="547">
        <f>H43/DAY(B2)</f>
        <v>-246.78571428571428</v>
      </c>
      <c r="K43" s="424"/>
      <c r="L43" s="374"/>
      <c r="N43" s="1098"/>
    </row>
    <row r="44" spans="1:14">
      <c r="A44" s="573" t="s">
        <v>238</v>
      </c>
      <c r="B44" s="574"/>
      <c r="C44" s="574"/>
      <c r="D44" s="518" t="s">
        <v>198</v>
      </c>
      <c r="E44" s="737">
        <f>'27'!F44</f>
        <v>0</v>
      </c>
      <c r="F44" s="737">
        <v>0</v>
      </c>
      <c r="G44" s="468">
        <f t="shared" si="3"/>
        <v>0</v>
      </c>
      <c r="H44" s="455">
        <f>G44+'27'!H44</f>
        <v>0</v>
      </c>
      <c r="I44" s="450"/>
      <c r="J44" s="547">
        <f>H44/DAY(B2)</f>
        <v>0</v>
      </c>
      <c r="K44" s="424"/>
      <c r="L44" s="374"/>
      <c r="N44" s="1098"/>
    </row>
    <row r="45" spans="1:14">
      <c r="A45" s="573" t="s">
        <v>239</v>
      </c>
      <c r="B45" s="574"/>
      <c r="C45" s="574"/>
      <c r="D45" s="518" t="s">
        <v>198</v>
      </c>
      <c r="E45" s="737">
        <f>'27'!F45</f>
        <v>614</v>
      </c>
      <c r="F45" s="737">
        <v>614</v>
      </c>
      <c r="G45" s="468">
        <f t="shared" si="3"/>
        <v>0</v>
      </c>
      <c r="H45" s="455">
        <f>G45+'27'!H45</f>
        <v>614</v>
      </c>
      <c r="I45" s="450"/>
      <c r="J45" s="547">
        <f>H45/DAY(B2)</f>
        <v>21.928571428571427</v>
      </c>
      <c r="K45" s="424"/>
      <c r="L45" s="374"/>
      <c r="N45" s="1098"/>
    </row>
    <row r="46" spans="1:14">
      <c r="A46" s="573" t="s">
        <v>240</v>
      </c>
      <c r="B46" s="574"/>
      <c r="C46" s="574"/>
      <c r="D46" s="518" t="s">
        <v>198</v>
      </c>
      <c r="E46" s="737">
        <f>'27'!F46</f>
        <v>187</v>
      </c>
      <c r="F46" s="737">
        <v>187</v>
      </c>
      <c r="G46" s="468">
        <f t="shared" si="3"/>
        <v>0</v>
      </c>
      <c r="H46" s="455">
        <f>G46+'27'!H46</f>
        <v>186.95</v>
      </c>
      <c r="I46" s="450"/>
      <c r="J46" s="547">
        <f>H46/DAY(B2)</f>
        <v>6.6767857142857139</v>
      </c>
      <c r="K46" s="424"/>
      <c r="L46" s="374"/>
      <c r="N46" s="1098"/>
    </row>
    <row r="47" spans="1:14">
      <c r="A47" s="580" t="s">
        <v>241</v>
      </c>
      <c r="B47" s="581"/>
      <c r="C47" s="581"/>
      <c r="D47" s="465"/>
      <c r="E47" s="465"/>
      <c r="F47" s="465"/>
      <c r="G47" s="476">
        <f>G35+G36+G37+G38+G39+G40+G41+G42+G43+G44+G45+G46</f>
        <v>9398</v>
      </c>
      <c r="H47" s="455">
        <f>G47+'27'!H47</f>
        <v>319025.47000000003</v>
      </c>
      <c r="I47" s="450"/>
      <c r="J47" s="547">
        <f>H47/DAY(B2)</f>
        <v>11393.766785714286</v>
      </c>
      <c r="K47" s="424"/>
      <c r="L47" s="374"/>
      <c r="N47" s="1098"/>
    </row>
    <row r="48" spans="1:14">
      <c r="A48" s="593" t="s">
        <v>242</v>
      </c>
      <c r="B48" s="1397"/>
      <c r="C48" s="1397"/>
      <c r="D48" s="467"/>
      <c r="E48" s="490"/>
      <c r="F48" s="490"/>
      <c r="G48" s="467"/>
      <c r="H48" s="467"/>
      <c r="I48" s="467"/>
      <c r="J48" s="546"/>
      <c r="K48" s="424"/>
      <c r="L48" s="374"/>
      <c r="N48" s="1098"/>
    </row>
    <row r="49" spans="1:14">
      <c r="A49" s="573" t="s">
        <v>229</v>
      </c>
      <c r="B49" s="596"/>
      <c r="C49" s="596"/>
      <c r="D49" s="518" t="s">
        <v>198</v>
      </c>
      <c r="E49" s="737">
        <f>'27'!F49</f>
        <v>260732.13</v>
      </c>
      <c r="F49" s="737">
        <v>260732.13</v>
      </c>
      <c r="G49" s="468">
        <f t="shared" ref="G49:G58" si="4">F49-E49</f>
        <v>0</v>
      </c>
      <c r="H49" s="455">
        <f>G49+'27'!H49</f>
        <v>0.13000000000465661</v>
      </c>
      <c r="I49" s="450"/>
      <c r="J49" s="547">
        <f>H49/DAY(B2)</f>
        <v>4.6428571430234501E-3</v>
      </c>
      <c r="K49" s="424"/>
      <c r="L49" s="374"/>
      <c r="N49" s="1098"/>
    </row>
    <row r="50" spans="1:14">
      <c r="A50" s="573" t="s">
        <v>243</v>
      </c>
      <c r="B50" s="596"/>
      <c r="C50" s="596"/>
      <c r="D50" s="518" t="s">
        <v>198</v>
      </c>
      <c r="E50" s="737">
        <f>'27'!F50</f>
        <v>499028</v>
      </c>
      <c r="F50" s="737">
        <v>499860</v>
      </c>
      <c r="G50" s="468">
        <f t="shared" si="4"/>
        <v>832</v>
      </c>
      <c r="H50" s="455">
        <f>G50+'27'!H50</f>
        <v>-3566</v>
      </c>
      <c r="I50" s="450"/>
      <c r="J50" s="547">
        <f>H50/DAY(B2)</f>
        <v>-127.35714285714286</v>
      </c>
      <c r="K50" s="424"/>
      <c r="L50" s="374"/>
      <c r="N50" s="1098"/>
    </row>
    <row r="51" spans="1:14">
      <c r="A51" s="573" t="s">
        <v>231</v>
      </c>
      <c r="B51" s="596"/>
      <c r="C51" s="596"/>
      <c r="D51" s="518" t="s">
        <v>198</v>
      </c>
      <c r="E51" s="737">
        <f>'27'!F51</f>
        <v>144640</v>
      </c>
      <c r="F51" s="737">
        <v>144640</v>
      </c>
      <c r="G51" s="468">
        <f t="shared" si="4"/>
        <v>0</v>
      </c>
      <c r="H51" s="455">
        <f>G51+'27'!H51</f>
        <v>0</v>
      </c>
      <c r="I51" s="450"/>
      <c r="J51" s="547">
        <f>H51/DAY(B2)</f>
        <v>0</v>
      </c>
      <c r="K51" s="424"/>
      <c r="L51" s="374"/>
      <c r="N51" s="1098"/>
    </row>
    <row r="52" spans="1:14">
      <c r="A52" s="573" t="s">
        <v>244</v>
      </c>
      <c r="B52" s="596"/>
      <c r="C52" s="596"/>
      <c r="D52" s="518" t="s">
        <v>198</v>
      </c>
      <c r="E52" s="737">
        <f>'27'!F52</f>
        <v>539606</v>
      </c>
      <c r="F52" s="737">
        <v>539606.06999999995</v>
      </c>
      <c r="G52" s="468">
        <f t="shared" si="4"/>
        <v>6.9999999948777258E-2</v>
      </c>
      <c r="H52" s="455">
        <f>G52+'27'!H52</f>
        <v>0</v>
      </c>
      <c r="I52" s="450"/>
      <c r="J52" s="547">
        <f>H52/DAY(B2)</f>
        <v>0</v>
      </c>
      <c r="K52" s="424"/>
      <c r="L52" s="374"/>
      <c r="N52" s="1098"/>
    </row>
    <row r="53" spans="1:14">
      <c r="A53" s="573" t="s">
        <v>233</v>
      </c>
      <c r="B53" s="596"/>
      <c r="C53" s="596"/>
      <c r="D53" s="518" t="s">
        <v>198</v>
      </c>
      <c r="E53" s="737">
        <f>'27'!F53</f>
        <v>430325</v>
      </c>
      <c r="F53" s="737">
        <v>430926</v>
      </c>
      <c r="G53" s="468">
        <f t="shared" si="4"/>
        <v>601</v>
      </c>
      <c r="H53" s="455">
        <f>G53+'27'!H53</f>
        <v>-1618.3300000000163</v>
      </c>
      <c r="I53" s="450"/>
      <c r="J53" s="547">
        <f>H53/DAY(B2)</f>
        <v>-57.797500000000582</v>
      </c>
      <c r="K53" s="424"/>
      <c r="L53" s="374"/>
      <c r="N53" s="1098"/>
    </row>
    <row r="54" spans="1:14">
      <c r="A54" s="573" t="s">
        <v>245</v>
      </c>
      <c r="B54" s="596"/>
      <c r="C54" s="596"/>
      <c r="D54" s="518" t="s">
        <v>198</v>
      </c>
      <c r="E54" s="737">
        <f>'27'!F54</f>
        <v>13434</v>
      </c>
      <c r="F54" s="737">
        <v>13516</v>
      </c>
      <c r="G54" s="468">
        <f t="shared" si="4"/>
        <v>82</v>
      </c>
      <c r="H54" s="455">
        <f>G54+'27'!H54</f>
        <v>-313</v>
      </c>
      <c r="I54" s="450"/>
      <c r="J54" s="547">
        <f>H54/DAY(B2)</f>
        <v>-11.178571428571429</v>
      </c>
      <c r="K54" s="424"/>
      <c r="L54" s="374"/>
      <c r="N54" s="1098"/>
    </row>
    <row r="55" spans="1:14">
      <c r="A55" s="573" t="s">
        <v>246</v>
      </c>
      <c r="B55" s="596"/>
      <c r="C55" s="596"/>
      <c r="D55" s="518" t="s">
        <v>198</v>
      </c>
      <c r="E55" s="737">
        <f>'27'!F55</f>
        <v>68111</v>
      </c>
      <c r="F55" s="738">
        <v>68111</v>
      </c>
      <c r="G55" s="648">
        <f t="shared" si="4"/>
        <v>0</v>
      </c>
      <c r="H55" s="701">
        <f>G55+'27'!H55</f>
        <v>0</v>
      </c>
      <c r="I55" s="702"/>
      <c r="J55" s="703">
        <f>H55/DAY(B2)</f>
        <v>0</v>
      </c>
      <c r="K55" s="424"/>
      <c r="L55" s="374"/>
      <c r="N55" s="1098"/>
    </row>
    <row r="56" spans="1:14">
      <c r="A56" s="573" t="s">
        <v>247</v>
      </c>
      <c r="B56" s="596"/>
      <c r="C56" s="596"/>
      <c r="D56" s="518" t="s">
        <v>248</v>
      </c>
      <c r="E56" s="737">
        <f>'27'!F56</f>
        <v>596395</v>
      </c>
      <c r="F56" s="738">
        <v>601191</v>
      </c>
      <c r="G56" s="468">
        <f t="shared" si="4"/>
        <v>4796</v>
      </c>
      <c r="H56" s="455">
        <f>G56+'27'!H56</f>
        <v>-16007</v>
      </c>
      <c r="I56" s="450"/>
      <c r="J56" s="547">
        <f>H56/DAY(B2)</f>
        <v>-571.67857142857144</v>
      </c>
      <c r="K56" s="423"/>
      <c r="L56" s="374"/>
      <c r="N56" s="1098"/>
    </row>
    <row r="57" spans="1:14">
      <c r="A57" s="573" t="s">
        <v>237</v>
      </c>
      <c r="B57" s="596"/>
      <c r="C57" s="596"/>
      <c r="D57" s="518" t="s">
        <v>198</v>
      </c>
      <c r="E57" s="737">
        <f>'27'!F57</f>
        <v>7711</v>
      </c>
      <c r="F57" s="737">
        <v>7711.33</v>
      </c>
      <c r="G57" s="468">
        <f t="shared" si="4"/>
        <v>0.32999999999992724</v>
      </c>
      <c r="H57" s="455">
        <f>G57+'27'!H57</f>
        <v>0.32999999999992724</v>
      </c>
      <c r="I57" s="450"/>
      <c r="J57" s="547">
        <f>H57/DAY(B2)</f>
        <v>1.1785714285711688E-2</v>
      </c>
      <c r="K57" s="424"/>
      <c r="L57" s="374"/>
      <c r="N57" s="1098"/>
    </row>
    <row r="58" spans="1:14">
      <c r="A58" s="573" t="s">
        <v>249</v>
      </c>
      <c r="B58" s="596"/>
      <c r="C58" s="596"/>
      <c r="D58" s="518" t="s">
        <v>198</v>
      </c>
      <c r="E58" s="737">
        <f>'27'!F58</f>
        <v>49051</v>
      </c>
      <c r="F58" s="1149">
        <v>49264</v>
      </c>
      <c r="G58" s="468">
        <f t="shared" si="4"/>
        <v>213</v>
      </c>
      <c r="H58" s="455">
        <f>G58+'27'!H58</f>
        <v>-600.20999999999913</v>
      </c>
      <c r="I58" s="450"/>
      <c r="J58" s="547">
        <f>H58/DAY(B2)</f>
        <v>-21.436071428571399</v>
      </c>
      <c r="K58" s="424"/>
      <c r="L58" s="374"/>
      <c r="N58" s="1098"/>
    </row>
    <row r="59" spans="1:14">
      <c r="A59" s="580" t="s">
        <v>241</v>
      </c>
      <c r="B59" s="581"/>
      <c r="C59" s="581"/>
      <c r="D59" s="506"/>
      <c r="E59" s="465"/>
      <c r="F59" s="465"/>
      <c r="G59" s="476">
        <f>G49+G50+G51+G52+G53+G54+G55+G56+G57+G58</f>
        <v>6524.3999999999487</v>
      </c>
      <c r="H59" s="455">
        <f>G59+'27'!H59</f>
        <v>-22104.010000000053</v>
      </c>
      <c r="I59" s="450">
        <f>G7-G60</f>
        <v>1077.6000000000513</v>
      </c>
      <c r="J59" s="547">
        <f>H59/DAY(B2)</f>
        <v>-789.42892857143045</v>
      </c>
      <c r="K59" s="424"/>
      <c r="L59" s="374"/>
      <c r="N59" s="1098"/>
    </row>
    <row r="60" spans="1:14">
      <c r="A60" s="573"/>
      <c r="B60" s="574"/>
      <c r="C60" s="574"/>
      <c r="D60" s="506" t="s">
        <v>250</v>
      </c>
      <c r="E60" s="465"/>
      <c r="F60" s="465"/>
      <c r="G60" s="476">
        <f>G47+G59</f>
        <v>15922.399999999949</v>
      </c>
      <c r="H60" s="455">
        <f>G60+'27'!H60</f>
        <v>298130</v>
      </c>
      <c r="I60" s="450">
        <f>G13-G60</f>
        <v>1027.6000000000513</v>
      </c>
      <c r="J60" s="547">
        <f>H60/DAY(B2)</f>
        <v>10647.5</v>
      </c>
      <c r="K60" s="424"/>
      <c r="L60" s="374"/>
      <c r="N60" s="1098"/>
    </row>
    <row r="61" spans="1:14">
      <c r="A61" s="597" t="s">
        <v>251</v>
      </c>
      <c r="B61" s="448"/>
      <c r="C61" s="448"/>
      <c r="D61" s="508"/>
      <c r="E61" s="739"/>
      <c r="F61" s="739"/>
      <c r="G61" s="508"/>
      <c r="H61" s="508"/>
      <c r="I61" s="508"/>
      <c r="J61" s="550"/>
      <c r="K61" s="424"/>
      <c r="L61" s="374"/>
      <c r="N61" s="1098"/>
    </row>
    <row r="62" spans="1:14">
      <c r="A62" s="598" t="s">
        <v>252</v>
      </c>
      <c r="B62" s="599"/>
      <c r="C62" s="599"/>
      <c r="D62" s="506" t="s">
        <v>253</v>
      </c>
      <c r="E62" s="509">
        <f>'27'!F62</f>
        <v>20419</v>
      </c>
      <c r="F62" s="509">
        <v>20419</v>
      </c>
      <c r="G62" s="468">
        <f t="shared" ref="G62:G69" si="5">F62-E62</f>
        <v>0</v>
      </c>
      <c r="H62" s="455">
        <f>G62+'27'!H62</f>
        <v>1.9999999967694748E-3</v>
      </c>
      <c r="I62" s="510"/>
      <c r="J62" s="547">
        <f>H62/DAY(B2)</f>
        <v>7.1428571313195531E-5</v>
      </c>
      <c r="K62" s="424"/>
      <c r="L62" s="374"/>
      <c r="N62" s="1098"/>
    </row>
    <row r="63" spans="1:14">
      <c r="A63" s="598" t="s">
        <v>254</v>
      </c>
      <c r="B63" s="599"/>
      <c r="C63" s="599"/>
      <c r="D63" s="506" t="s">
        <v>253</v>
      </c>
      <c r="E63" s="509">
        <f>'27'!F63</f>
        <v>2460</v>
      </c>
      <c r="F63" s="509">
        <v>2464</v>
      </c>
      <c r="G63" s="468">
        <f t="shared" si="5"/>
        <v>4</v>
      </c>
      <c r="H63" s="455">
        <f>G63+'27'!H63</f>
        <v>2464</v>
      </c>
      <c r="I63" s="510"/>
      <c r="J63" s="547">
        <f>H63/DAY(B2)</f>
        <v>88</v>
      </c>
      <c r="K63" s="424"/>
      <c r="L63" s="374"/>
      <c r="N63" s="1098"/>
    </row>
    <row r="64" spans="1:14" ht="27.75">
      <c r="A64" s="1450" t="s">
        <v>161</v>
      </c>
      <c r="B64" s="1451"/>
      <c r="C64" s="1452"/>
      <c r="D64" s="518" t="s">
        <v>253</v>
      </c>
      <c r="E64" s="509">
        <f>'27'!F64</f>
        <v>159169</v>
      </c>
      <c r="F64" s="733">
        <v>159360</v>
      </c>
      <c r="G64" s="468">
        <f t="shared" si="5"/>
        <v>191</v>
      </c>
      <c r="H64" s="455">
        <f>G64+'27'!H64</f>
        <v>-572</v>
      </c>
      <c r="I64" s="475"/>
      <c r="J64" s="547">
        <f>H64/DAY(B2)</f>
        <v>-20.428571428571427</v>
      </c>
      <c r="K64" s="424"/>
      <c r="L64" s="374"/>
      <c r="N64" s="1098"/>
    </row>
    <row r="65" spans="1:14" ht="27.75">
      <c r="A65" s="1450" t="s">
        <v>162</v>
      </c>
      <c r="B65" s="1451"/>
      <c r="C65" s="1452"/>
      <c r="D65" s="518" t="s">
        <v>253</v>
      </c>
      <c r="E65" s="509">
        <f>'27'!F65</f>
        <v>160130</v>
      </c>
      <c r="F65" s="740">
        <v>160348</v>
      </c>
      <c r="G65" s="468">
        <f t="shared" si="5"/>
        <v>218</v>
      </c>
      <c r="H65" s="455">
        <f>G65+'27'!H65</f>
        <v>-650</v>
      </c>
      <c r="I65" s="484"/>
      <c r="J65" s="547">
        <f>H65/DAY(B2)</f>
        <v>-23.214285714285715</v>
      </c>
      <c r="K65" s="424"/>
      <c r="L65" s="374"/>
      <c r="N65" s="1098"/>
    </row>
    <row r="66" spans="1:14" ht="27.75">
      <c r="A66" s="1450" t="s">
        <v>255</v>
      </c>
      <c r="B66" s="1451"/>
      <c r="C66" s="1452"/>
      <c r="D66" s="518" t="s">
        <v>253</v>
      </c>
      <c r="E66" s="509">
        <f>'27'!F66</f>
        <v>55692</v>
      </c>
      <c r="F66" s="733">
        <v>55940</v>
      </c>
      <c r="G66" s="468">
        <f t="shared" si="5"/>
        <v>248</v>
      </c>
      <c r="H66" s="455">
        <f>G66+'27'!H66</f>
        <v>-865</v>
      </c>
      <c r="I66" s="475"/>
      <c r="J66" s="547">
        <f>H66/DAY(B2)</f>
        <v>-30.892857142857142</v>
      </c>
      <c r="K66" s="424"/>
      <c r="L66" s="374"/>
      <c r="N66" s="1098"/>
    </row>
    <row r="67" spans="1:14" ht="27.75">
      <c r="A67" s="1450" t="s">
        <v>157</v>
      </c>
      <c r="B67" s="1451"/>
      <c r="C67" s="1452"/>
      <c r="D67" s="518" t="s">
        <v>253</v>
      </c>
      <c r="E67" s="509">
        <f>'27'!F67</f>
        <v>250333</v>
      </c>
      <c r="F67" s="733">
        <v>250705</v>
      </c>
      <c r="G67" s="468">
        <f t="shared" si="5"/>
        <v>372</v>
      </c>
      <c r="H67" s="455">
        <f>G67+'27'!H67</f>
        <v>-1487</v>
      </c>
      <c r="I67" s="484"/>
      <c r="J67" s="547">
        <f>H67/DAY(B2)</f>
        <v>-53.107142857142854</v>
      </c>
      <c r="K67" s="425"/>
      <c r="L67" s="374"/>
      <c r="N67" s="1098"/>
    </row>
    <row r="68" spans="1:14" ht="27.75">
      <c r="A68" s="1450" t="s">
        <v>164</v>
      </c>
      <c r="B68" s="1451"/>
      <c r="C68" s="1452"/>
      <c r="D68" s="518" t="s">
        <v>253</v>
      </c>
      <c r="E68" s="509">
        <f>'27'!F68</f>
        <v>85321</v>
      </c>
      <c r="F68" s="733">
        <v>85321</v>
      </c>
      <c r="G68" s="468">
        <f t="shared" si="5"/>
        <v>0</v>
      </c>
      <c r="H68" s="455">
        <f>G68+'27'!H68</f>
        <v>0</v>
      </c>
      <c r="I68" s="511"/>
      <c r="J68" s="547">
        <f>H68/DAY(B2)</f>
        <v>0</v>
      </c>
      <c r="K68" s="426"/>
      <c r="L68" s="374"/>
      <c r="N68" s="1098"/>
    </row>
    <row r="69" spans="1:14" ht="27.75">
      <c r="A69" s="1450" t="s">
        <v>165</v>
      </c>
      <c r="B69" s="1451"/>
      <c r="C69" s="1452"/>
      <c r="D69" s="518" t="s">
        <v>253</v>
      </c>
      <c r="E69" s="509">
        <f>'27'!F69</f>
        <v>81292</v>
      </c>
      <c r="F69" s="733">
        <v>81418</v>
      </c>
      <c r="G69" s="468">
        <f t="shared" si="5"/>
        <v>126</v>
      </c>
      <c r="H69" s="455">
        <f>G69+'27'!H69</f>
        <v>-331</v>
      </c>
      <c r="I69" s="511"/>
      <c r="J69" s="547">
        <f>H69/DAY(B2)</f>
        <v>-11.821428571428571</v>
      </c>
      <c r="K69" s="427"/>
      <c r="L69" s="374"/>
      <c r="N69" s="1098"/>
    </row>
    <row r="70" spans="1:14" ht="27.75">
      <c r="A70" s="1482" t="s">
        <v>256</v>
      </c>
      <c r="B70" s="1483"/>
      <c r="C70" s="1484"/>
      <c r="D70" s="518" t="s">
        <v>253</v>
      </c>
      <c r="E70" s="741"/>
      <c r="F70" s="741"/>
      <c r="G70" s="513"/>
      <c r="H70" s="455">
        <f>G70+'13'!H70</f>
        <v>0</v>
      </c>
      <c r="I70" s="513"/>
      <c r="J70" s="551"/>
      <c r="K70" s="427"/>
      <c r="L70" s="374"/>
      <c r="N70" s="1098"/>
    </row>
    <row r="71" spans="1:14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1098"/>
    </row>
    <row r="72" spans="1:14" ht="27.75">
      <c r="A72" s="1450" t="s">
        <v>258</v>
      </c>
      <c r="B72" s="1451"/>
      <c r="C72" s="1452"/>
      <c r="D72" s="518" t="s">
        <v>253</v>
      </c>
      <c r="E72" s="758">
        <f>'27'!F72</f>
        <v>855792</v>
      </c>
      <c r="F72" s="742">
        <v>855806</v>
      </c>
      <c r="G72" s="468">
        <f t="shared" ref="G72:G84" si="6">F72-E72</f>
        <v>14</v>
      </c>
      <c r="H72" s="455">
        <f>G72+'27'!H72</f>
        <v>-80</v>
      </c>
      <c r="I72" s="475"/>
      <c r="J72" s="547">
        <f>H72/DAY(B2)</f>
        <v>-2.8571428571428572</v>
      </c>
      <c r="K72" s="427"/>
      <c r="L72" s="374"/>
      <c r="N72" s="1098"/>
    </row>
    <row r="73" spans="1:14" ht="27.75">
      <c r="A73" s="1450" t="s">
        <v>259</v>
      </c>
      <c r="B73" s="1451"/>
      <c r="C73" s="1452"/>
      <c r="D73" s="518" t="s">
        <v>253</v>
      </c>
      <c r="E73" s="758">
        <f>'27'!F73</f>
        <v>885933</v>
      </c>
      <c r="F73" s="743">
        <v>885934</v>
      </c>
      <c r="G73" s="648">
        <f t="shared" si="6"/>
        <v>1</v>
      </c>
      <c r="H73" s="455">
        <f>G73+'27'!H73</f>
        <v>183</v>
      </c>
      <c r="I73" s="475"/>
      <c r="J73" s="547">
        <f>H73/DAY(B2)</f>
        <v>6.5357142857142856</v>
      </c>
      <c r="K73" s="426"/>
      <c r="L73" s="374"/>
      <c r="N73" s="1098"/>
    </row>
    <row r="74" spans="1:14" ht="27.75">
      <c r="A74" s="1450" t="s">
        <v>260</v>
      </c>
      <c r="B74" s="1451"/>
      <c r="C74" s="1452"/>
      <c r="D74" s="518" t="s">
        <v>253</v>
      </c>
      <c r="E74" s="758">
        <f>'27'!F74</f>
        <v>2559</v>
      </c>
      <c r="F74" s="743">
        <v>2566</v>
      </c>
      <c r="G74" s="468">
        <f t="shared" si="6"/>
        <v>7</v>
      </c>
      <c r="H74" s="455">
        <f>G74+'27'!H74</f>
        <v>-20</v>
      </c>
      <c r="I74" s="475"/>
      <c r="J74" s="547">
        <f>H74/DAY(B2)</f>
        <v>-0.7142857142857143</v>
      </c>
      <c r="K74" s="427"/>
      <c r="L74" s="374"/>
      <c r="N74" s="1098"/>
    </row>
    <row r="75" spans="1:14" ht="27.75">
      <c r="A75" s="1499" t="s">
        <v>261</v>
      </c>
      <c r="B75" s="1500"/>
      <c r="C75" s="1501"/>
      <c r="D75" s="518" t="s">
        <v>253</v>
      </c>
      <c r="E75" s="758">
        <f>'27'!F75</f>
        <v>12447</v>
      </c>
      <c r="F75" s="743">
        <v>12505</v>
      </c>
      <c r="G75" s="468">
        <f t="shared" si="6"/>
        <v>58</v>
      </c>
      <c r="H75" s="455">
        <f>G75+'27'!H75</f>
        <v>-164</v>
      </c>
      <c r="I75" s="475"/>
      <c r="J75" s="547">
        <f>H75/DAY(B2)</f>
        <v>-5.8571428571428568</v>
      </c>
      <c r="K75" s="426"/>
      <c r="L75" s="374"/>
      <c r="N75" s="1098"/>
    </row>
    <row r="76" spans="1:14" ht="27.75">
      <c r="A76" s="1499" t="s">
        <v>262</v>
      </c>
      <c r="B76" s="1500"/>
      <c r="C76" s="1501"/>
      <c r="D76" s="518" t="s">
        <v>253</v>
      </c>
      <c r="E76" s="758">
        <f>'27'!F76</f>
        <v>7193</v>
      </c>
      <c r="F76" s="743">
        <v>7250</v>
      </c>
      <c r="G76" s="468">
        <f t="shared" si="6"/>
        <v>57</v>
      </c>
      <c r="H76" s="455">
        <f>G76+'27'!H76</f>
        <v>44</v>
      </c>
      <c r="I76" s="500"/>
      <c r="J76" s="547">
        <f>H76/DAY(B2)</f>
        <v>1.5714285714285714</v>
      </c>
      <c r="K76" s="426"/>
      <c r="L76" s="374"/>
      <c r="N76" s="1098"/>
    </row>
    <row r="77" spans="1:14" ht="27.75">
      <c r="A77" s="1450" t="s">
        <v>263</v>
      </c>
      <c r="B77" s="1451"/>
      <c r="C77" s="1452"/>
      <c r="D77" s="518" t="s">
        <v>253</v>
      </c>
      <c r="E77" s="758">
        <f>'27'!F77</f>
        <v>702673</v>
      </c>
      <c r="F77" s="743">
        <v>702712</v>
      </c>
      <c r="G77" s="648">
        <f t="shared" si="6"/>
        <v>39</v>
      </c>
      <c r="H77" s="455">
        <f>G77+'27'!H77</f>
        <v>-127</v>
      </c>
      <c r="I77" s="500"/>
      <c r="J77" s="547">
        <f>H77/DAY(B2)</f>
        <v>-4.5357142857142856</v>
      </c>
      <c r="K77" s="426"/>
      <c r="L77" s="374"/>
      <c r="N77" s="1098"/>
    </row>
    <row r="78" spans="1:14" ht="27.75">
      <c r="A78" s="1395" t="s">
        <v>264</v>
      </c>
      <c r="B78" s="1387"/>
      <c r="C78" s="1387"/>
      <c r="D78" s="518" t="s">
        <v>253</v>
      </c>
      <c r="E78" s="758">
        <f>'27'!F78</f>
        <v>672455</v>
      </c>
      <c r="F78" s="743">
        <v>672565</v>
      </c>
      <c r="G78" s="648">
        <f t="shared" si="6"/>
        <v>110</v>
      </c>
      <c r="H78" s="455">
        <f>G78+'27'!H78</f>
        <v>-467</v>
      </c>
      <c r="I78" s="500"/>
      <c r="J78" s="547">
        <f>H78/DAY(B2)</f>
        <v>-16.678571428571427</v>
      </c>
      <c r="K78" s="426"/>
      <c r="L78" s="374"/>
      <c r="N78" s="1098"/>
    </row>
    <row r="79" spans="1:14" ht="27.75">
      <c r="A79" s="1499" t="s">
        <v>151</v>
      </c>
      <c r="B79" s="1500"/>
      <c r="C79" s="1501"/>
      <c r="D79" s="519" t="s">
        <v>253</v>
      </c>
      <c r="E79" s="758">
        <f>'27'!F79</f>
        <v>830419</v>
      </c>
      <c r="F79" s="744">
        <v>830553</v>
      </c>
      <c r="G79" s="468">
        <f t="shared" si="6"/>
        <v>134</v>
      </c>
      <c r="H79" s="455">
        <f>G79+'27'!H79</f>
        <v>-1469</v>
      </c>
      <c r="I79" s="500"/>
      <c r="J79" s="547">
        <f>H79/DAY(B2)</f>
        <v>-52.464285714285715</v>
      </c>
      <c r="K79" s="426"/>
      <c r="L79" s="374"/>
      <c r="N79" s="1098"/>
    </row>
    <row r="80" spans="1:14" ht="27.75">
      <c r="A80" s="1499" t="s">
        <v>265</v>
      </c>
      <c r="B80" s="1500"/>
      <c r="C80" s="1501"/>
      <c r="D80" s="519" t="s">
        <v>253</v>
      </c>
      <c r="E80" s="758">
        <f>'27'!F80</f>
        <v>526181</v>
      </c>
      <c r="F80" s="743">
        <v>526526</v>
      </c>
      <c r="G80" s="468">
        <f t="shared" si="6"/>
        <v>345</v>
      </c>
      <c r="H80" s="455">
        <f>G80+'27'!H80</f>
        <v>-4019.5200000000186</v>
      </c>
      <c r="I80" s="500"/>
      <c r="J80" s="547">
        <f>H80/DAY(B2)</f>
        <v>-143.55428571428638</v>
      </c>
      <c r="K80" s="426"/>
      <c r="L80" s="374"/>
      <c r="N80" s="1098"/>
    </row>
    <row r="81" spans="1:17" ht="27.75">
      <c r="A81" s="1499" t="s">
        <v>266</v>
      </c>
      <c r="B81" s="1500"/>
      <c r="C81" s="1501"/>
      <c r="D81" s="519" t="s">
        <v>253</v>
      </c>
      <c r="E81" s="758">
        <f>'27'!F81</f>
        <v>638548</v>
      </c>
      <c r="F81" s="743">
        <v>638625</v>
      </c>
      <c r="G81" s="468">
        <f t="shared" si="6"/>
        <v>77</v>
      </c>
      <c r="H81" s="455">
        <f>G81+'27'!H81</f>
        <v>-273</v>
      </c>
      <c r="I81" s="500"/>
      <c r="J81" s="547">
        <f>H81/DAY(B2)</f>
        <v>-9.75</v>
      </c>
      <c r="K81" s="426"/>
      <c r="L81" s="374"/>
      <c r="N81" s="1098"/>
    </row>
    <row r="82" spans="1:17" ht="27.75">
      <c r="A82" s="1499" t="s">
        <v>267</v>
      </c>
      <c r="B82" s="1500"/>
      <c r="C82" s="1501"/>
      <c r="D82" s="480" t="s">
        <v>198</v>
      </c>
      <c r="E82" s="758">
        <f>'27'!F82</f>
        <v>108101</v>
      </c>
      <c r="F82" s="740">
        <v>108112</v>
      </c>
      <c r="G82" s="468">
        <f t="shared" si="6"/>
        <v>11</v>
      </c>
      <c r="H82" s="455">
        <f>G82+'27'!H82</f>
        <v>-46</v>
      </c>
      <c r="I82" s="481"/>
      <c r="J82" s="547">
        <f>H82/DAY(B2)</f>
        <v>-1.6428571428571428</v>
      </c>
      <c r="K82" s="426"/>
      <c r="L82" s="374"/>
      <c r="N82" s="1098"/>
    </row>
    <row r="83" spans="1:17" ht="27.75">
      <c r="A83" s="1499" t="s">
        <v>268</v>
      </c>
      <c r="B83" s="1500"/>
      <c r="C83" s="1501"/>
      <c r="D83" s="615" t="s">
        <v>198</v>
      </c>
      <c r="E83" s="758">
        <f>'27'!F83</f>
        <v>19771</v>
      </c>
      <c r="F83" s="465">
        <v>19920</v>
      </c>
      <c r="G83" s="468">
        <f t="shared" si="6"/>
        <v>149</v>
      </c>
      <c r="H83" s="455">
        <f>G83+'27'!H83</f>
        <v>-586</v>
      </c>
      <c r="I83" s="476"/>
      <c r="J83" s="547">
        <f>H83/DAY(B2)</f>
        <v>-20.928571428571427</v>
      </c>
      <c r="K83" s="425"/>
      <c r="L83" s="374"/>
      <c r="N83" s="1098"/>
    </row>
    <row r="84" spans="1:17">
      <c r="A84" s="1396" t="s">
        <v>166</v>
      </c>
      <c r="B84" s="566"/>
      <c r="C84" s="566"/>
      <c r="D84" s="473" t="s">
        <v>198</v>
      </c>
      <c r="E84" s="758">
        <f>'27'!F84</f>
        <v>496936</v>
      </c>
      <c r="F84" s="701">
        <v>497815</v>
      </c>
      <c r="G84" s="468">
        <f t="shared" si="6"/>
        <v>879</v>
      </c>
      <c r="H84" s="455">
        <f>G84+'27'!H84</f>
        <v>-2479</v>
      </c>
      <c r="I84" s="476"/>
      <c r="J84" s="547">
        <f>H84/DAY(B2)</f>
        <v>-88.535714285714292</v>
      </c>
      <c r="K84" s="377"/>
      <c r="L84" s="374"/>
      <c r="N84" s="1098"/>
    </row>
    <row r="85" spans="1:17" s="376" customFormat="1">
      <c r="A85" s="600" t="s">
        <v>102</v>
      </c>
      <c r="B85" s="567"/>
      <c r="C85" s="567"/>
      <c r="D85" s="484"/>
      <c r="E85" s="701">
        <f>'27'!F85</f>
        <v>0</v>
      </c>
      <c r="F85" s="455"/>
      <c r="G85" s="455">
        <f xml:space="preserve"> SUM(G72:G84)</f>
        <v>1881</v>
      </c>
      <c r="H85" s="455">
        <f>G85+'27'!H85</f>
        <v>-5959.9999999999982</v>
      </c>
      <c r="I85" s="476"/>
      <c r="J85" s="547">
        <f>H85/DAY(B2)</f>
        <v>-212.8571428571428</v>
      </c>
      <c r="K85" s="377"/>
      <c r="L85" s="375"/>
      <c r="N85" s="1098"/>
      <c r="O85" s="765"/>
      <c r="P85" s="765"/>
      <c r="Q85" s="765"/>
    </row>
    <row r="86" spans="1:17" s="731" customFormat="1">
      <c r="A86" s="726" t="s">
        <v>269</v>
      </c>
      <c r="B86" s="727"/>
      <c r="C86" s="727"/>
      <c r="D86" s="728" t="s">
        <v>248</v>
      </c>
      <c r="E86" s="701">
        <f>'27'!F86</f>
        <v>460802</v>
      </c>
      <c r="F86" s="745">
        <v>460836</v>
      </c>
      <c r="G86" s="701">
        <f t="shared" ref="G86:G88" si="7">F86-E86</f>
        <v>34</v>
      </c>
      <c r="H86" s="701">
        <f t="shared" ref="H86:H88" si="8">G86</f>
        <v>34</v>
      </c>
      <c r="I86" s="648"/>
      <c r="J86" s="703">
        <f>H86/DAY(B2)</f>
        <v>1.2142857142857142</v>
      </c>
      <c r="K86" s="729"/>
      <c r="L86" s="730"/>
      <c r="N86" s="1098"/>
      <c r="O86" s="765"/>
      <c r="P86" s="765"/>
      <c r="Q86" s="766"/>
    </row>
    <row r="87" spans="1:17" s="731" customFormat="1">
      <c r="A87" s="726" t="s">
        <v>270</v>
      </c>
      <c r="B87" s="727"/>
      <c r="C87" s="727"/>
      <c r="D87" s="728" t="s">
        <v>248</v>
      </c>
      <c r="E87" s="701">
        <f>'27'!F87</f>
        <v>81307</v>
      </c>
      <c r="F87" s="745">
        <v>81325</v>
      </c>
      <c r="G87" s="701">
        <f t="shared" si="7"/>
        <v>18</v>
      </c>
      <c r="H87" s="701">
        <f t="shared" si="8"/>
        <v>18</v>
      </c>
      <c r="I87" s="648"/>
      <c r="J87" s="703">
        <f>H87/DAY(B2)</f>
        <v>0.6428571428571429</v>
      </c>
      <c r="K87" s="729"/>
      <c r="L87" s="730"/>
      <c r="N87" s="1098"/>
      <c r="O87" s="765"/>
      <c r="P87" s="765"/>
      <c r="Q87" s="766"/>
    </row>
    <row r="88" spans="1:17" s="731" customFormat="1">
      <c r="A88" s="726" t="s">
        <v>158</v>
      </c>
      <c r="B88" s="727"/>
      <c r="C88" s="727"/>
      <c r="D88" s="728" t="s">
        <v>248</v>
      </c>
      <c r="E88" s="701">
        <f>'27'!F88</f>
        <v>152900</v>
      </c>
      <c r="F88" s="745">
        <v>152923</v>
      </c>
      <c r="G88" s="701">
        <f t="shared" si="7"/>
        <v>23</v>
      </c>
      <c r="H88" s="701">
        <f t="shared" si="8"/>
        <v>23</v>
      </c>
      <c r="I88" s="648"/>
      <c r="J88" s="703">
        <f>H88/DAY(B2)</f>
        <v>0.8214285714285714</v>
      </c>
      <c r="K88" s="729"/>
      <c r="L88" s="730"/>
      <c r="N88" s="1098"/>
      <c r="O88" s="765"/>
      <c r="P88" s="765"/>
      <c r="Q88" s="766"/>
    </row>
    <row r="89" spans="1:17" s="731" customFormat="1">
      <c r="A89" s="726" t="s">
        <v>272</v>
      </c>
      <c r="B89" s="727"/>
      <c r="C89" s="727"/>
      <c r="D89" s="728" t="s">
        <v>248</v>
      </c>
      <c r="E89" s="701">
        <f>'27'!F89</f>
        <v>65131</v>
      </c>
      <c r="F89" s="745">
        <v>65142</v>
      </c>
      <c r="G89" s="701">
        <f t="shared" ref="G89:G91" si="9">F89-E89</f>
        <v>11</v>
      </c>
      <c r="H89" s="701">
        <f t="shared" ref="H89:H91" si="10">G89</f>
        <v>11</v>
      </c>
      <c r="I89" s="648"/>
      <c r="J89" s="703">
        <f>H89/DAY(B2)</f>
        <v>0.39285714285714285</v>
      </c>
      <c r="K89" s="729"/>
      <c r="L89" s="730"/>
      <c r="N89" s="1098"/>
      <c r="O89" s="379"/>
    </row>
    <row r="90" spans="1:17" s="731" customFormat="1">
      <c r="A90" s="726" t="s">
        <v>272</v>
      </c>
      <c r="B90" s="727"/>
      <c r="C90" s="727"/>
      <c r="D90" s="728" t="s">
        <v>248</v>
      </c>
      <c r="E90" s="701">
        <f>'27'!F90</f>
        <v>3274</v>
      </c>
      <c r="F90" s="745">
        <v>3274</v>
      </c>
      <c r="G90" s="701">
        <f t="shared" si="9"/>
        <v>0</v>
      </c>
      <c r="H90" s="701">
        <f t="shared" si="10"/>
        <v>0</v>
      </c>
      <c r="I90" s="648"/>
      <c r="J90" s="703">
        <f>H90/DAY(B2)</f>
        <v>0</v>
      </c>
      <c r="K90" s="729"/>
      <c r="L90" s="730"/>
      <c r="N90" s="1098"/>
      <c r="O90" s="379"/>
    </row>
    <row r="91" spans="1:17" s="731" customFormat="1">
      <c r="A91" s="726" t="s">
        <v>273</v>
      </c>
      <c r="B91" s="727"/>
      <c r="C91" s="727"/>
      <c r="D91" s="728"/>
      <c r="E91" s="701">
        <f>'27'!F91</f>
        <v>28005</v>
      </c>
      <c r="F91" s="643">
        <v>28010</v>
      </c>
      <c r="G91" s="701">
        <f t="shared" si="9"/>
        <v>5</v>
      </c>
      <c r="H91" s="701">
        <f t="shared" si="10"/>
        <v>5</v>
      </c>
      <c r="I91" s="648"/>
      <c r="J91" s="703"/>
      <c r="K91" s="729"/>
      <c r="L91" s="730"/>
      <c r="N91" s="773"/>
      <c r="O91" s="379"/>
    </row>
    <row r="92" spans="1:17" s="376" customFormat="1">
      <c r="A92" s="601" t="s">
        <v>274</v>
      </c>
      <c r="B92" s="1398"/>
      <c r="C92" s="1398"/>
      <c r="D92" s="467"/>
      <c r="E92" s="734"/>
      <c r="F92" s="734" t="s">
        <v>362</v>
      </c>
      <c r="G92" s="483"/>
      <c r="H92" s="467"/>
      <c r="I92" s="467"/>
      <c r="J92" s="546"/>
      <c r="K92" s="377"/>
      <c r="L92" s="375"/>
      <c r="N92" s="1098"/>
      <c r="O92" s="765"/>
      <c r="P92" s="765"/>
      <c r="Q92" s="765"/>
    </row>
    <row r="93" spans="1:17" ht="27.75">
      <c r="A93" s="1453" t="s">
        <v>275</v>
      </c>
      <c r="B93" s="1454"/>
      <c r="C93" s="1455"/>
      <c r="D93" s="518" t="s">
        <v>209</v>
      </c>
      <c r="E93" s="754">
        <f>'27'!F93</f>
        <v>245311</v>
      </c>
      <c r="F93" s="733">
        <v>245339</v>
      </c>
      <c r="G93" s="468">
        <f t="shared" ref="G93:G94" si="11">F93-E93</f>
        <v>28</v>
      </c>
      <c r="H93" s="455">
        <f>G93+'27'!H93</f>
        <v>-49</v>
      </c>
      <c r="I93" s="475"/>
      <c r="J93" s="547">
        <f>H93/DAY(B2)</f>
        <v>-1.75</v>
      </c>
      <c r="K93" s="425"/>
      <c r="L93" s="374"/>
      <c r="N93" s="1098"/>
    </row>
    <row r="94" spans="1:17" ht="27.75">
      <c r="A94" s="1453" t="s">
        <v>15</v>
      </c>
      <c r="B94" s="1454"/>
      <c r="C94" s="1455"/>
      <c r="D94" s="518" t="s">
        <v>209</v>
      </c>
      <c r="E94" s="754">
        <f>'27'!F94</f>
        <v>185782</v>
      </c>
      <c r="F94" s="733">
        <v>185862</v>
      </c>
      <c r="G94" s="468">
        <f t="shared" si="11"/>
        <v>80</v>
      </c>
      <c r="H94" s="455">
        <f>G94+'27'!H94</f>
        <v>-259</v>
      </c>
      <c r="I94" s="475"/>
      <c r="J94" s="547">
        <f>H94/DAY(B2)</f>
        <v>-9.25</v>
      </c>
      <c r="K94" s="377"/>
      <c r="L94" s="374"/>
      <c r="N94" s="1098"/>
    </row>
    <row r="95" spans="1:17">
      <c r="A95" s="1447" t="s">
        <v>276</v>
      </c>
      <c r="B95" s="1448"/>
      <c r="C95" s="1449"/>
      <c r="D95" s="518"/>
      <c r="E95" s="754">
        <f>'27'!F95</f>
        <v>0</v>
      </c>
      <c r="F95" s="733"/>
      <c r="G95" s="468">
        <f>G93+G94</f>
        <v>108</v>
      </c>
      <c r="H95" s="455">
        <f>G95+'27'!H95</f>
        <v>-384</v>
      </c>
      <c r="I95" s="475"/>
      <c r="J95" s="547">
        <f>H95/DAY(B2)</f>
        <v>-13.714285714285714</v>
      </c>
      <c r="K95" s="377"/>
      <c r="L95" s="374"/>
      <c r="N95" s="1098"/>
    </row>
    <row r="96" spans="1:17" ht="27.75">
      <c r="A96" s="1453" t="s">
        <v>16</v>
      </c>
      <c r="B96" s="1454"/>
      <c r="C96" s="1455"/>
      <c r="D96" s="518" t="s">
        <v>209</v>
      </c>
      <c r="E96" s="754">
        <f>'27'!F96</f>
        <v>414094</v>
      </c>
      <c r="F96" s="733">
        <v>414145</v>
      </c>
      <c r="G96" s="468">
        <f t="shared" ref="G96:G101" si="12">F96-E96</f>
        <v>51</v>
      </c>
      <c r="H96" s="455">
        <f>G96+'27'!H96</f>
        <v>-138</v>
      </c>
      <c r="I96" s="475"/>
      <c r="J96" s="547">
        <f>H96/DAY(B2)</f>
        <v>-4.9285714285714288</v>
      </c>
      <c r="K96" s="377"/>
      <c r="L96" s="374"/>
      <c r="N96" s="1098"/>
    </row>
    <row r="97" spans="1:17" ht="27.75">
      <c r="A97" s="1392" t="s">
        <v>17</v>
      </c>
      <c r="B97" s="1393"/>
      <c r="C97" s="1393"/>
      <c r="D97" s="518" t="s">
        <v>209</v>
      </c>
      <c r="E97" s="754">
        <f>'27'!F97</f>
        <v>102607</v>
      </c>
      <c r="F97" s="733">
        <v>102614</v>
      </c>
      <c r="G97" s="468">
        <f t="shared" si="12"/>
        <v>7</v>
      </c>
      <c r="H97" s="455">
        <f>G97+'27'!H97</f>
        <v>-34</v>
      </c>
      <c r="I97" s="475"/>
      <c r="J97" s="547">
        <f>H97/DAY(B2)</f>
        <v>-1.2142857142857142</v>
      </c>
      <c r="K97" s="423"/>
      <c r="L97" s="374"/>
      <c r="N97" s="1098"/>
    </row>
    <row r="98" spans="1:17" ht="27.75">
      <c r="A98" s="1392" t="s">
        <v>18</v>
      </c>
      <c r="B98" s="1393"/>
      <c r="C98" s="1393"/>
      <c r="D98" s="518" t="s">
        <v>209</v>
      </c>
      <c r="E98" s="754">
        <f>'27'!F98</f>
        <v>97844</v>
      </c>
      <c r="F98" s="733">
        <v>97862</v>
      </c>
      <c r="G98" s="468">
        <f t="shared" si="12"/>
        <v>18</v>
      </c>
      <c r="H98" s="455">
        <f>G98+'27'!H98</f>
        <v>-88</v>
      </c>
      <c r="I98" s="475"/>
      <c r="J98" s="547">
        <f>H98/DAY(B2)</f>
        <v>-3.1428571428571428</v>
      </c>
      <c r="K98" s="428"/>
      <c r="L98" s="374"/>
      <c r="N98" s="1098"/>
    </row>
    <row r="99" spans="1:17" ht="27.75">
      <c r="A99" s="1392" t="s">
        <v>19</v>
      </c>
      <c r="B99" s="1393"/>
      <c r="C99" s="1393"/>
      <c r="D99" s="518" t="s">
        <v>209</v>
      </c>
      <c r="E99" s="754">
        <f>'27'!F99</f>
        <v>149838</v>
      </c>
      <c r="F99" s="733">
        <v>149842</v>
      </c>
      <c r="G99" s="468">
        <f t="shared" si="12"/>
        <v>4</v>
      </c>
      <c r="H99" s="455">
        <f>G99+'27'!H99</f>
        <v>-10</v>
      </c>
      <c r="I99" s="475"/>
      <c r="J99" s="547">
        <f>H99/DAY(B2)</f>
        <v>-0.35714285714285715</v>
      </c>
      <c r="K99" s="377"/>
      <c r="L99" s="374"/>
      <c r="N99" s="1098"/>
    </row>
    <row r="100" spans="1:17" ht="27.75">
      <c r="A100" s="1392" t="s">
        <v>20</v>
      </c>
      <c r="B100" s="1393"/>
      <c r="C100" s="1393"/>
      <c r="D100" s="518" t="s">
        <v>209</v>
      </c>
      <c r="E100" s="754">
        <f>'27'!F100</f>
        <v>7345</v>
      </c>
      <c r="F100" s="733">
        <v>7351</v>
      </c>
      <c r="G100" s="468">
        <f t="shared" si="12"/>
        <v>6</v>
      </c>
      <c r="H100" s="455">
        <f>G100+'27'!H100</f>
        <v>-18</v>
      </c>
      <c r="I100" s="475"/>
      <c r="J100" s="547">
        <f>H100/DAY(B2)</f>
        <v>-0.6428571428571429</v>
      </c>
      <c r="K100" s="377"/>
      <c r="L100" s="374"/>
      <c r="N100" s="1098"/>
    </row>
    <row r="101" spans="1:17" ht="27.75">
      <c r="A101" s="1392" t="s">
        <v>21</v>
      </c>
      <c r="B101" s="1393"/>
      <c r="C101" s="1393"/>
      <c r="D101" s="518" t="s">
        <v>209</v>
      </c>
      <c r="E101" s="754">
        <f>'27'!F101</f>
        <v>5354</v>
      </c>
      <c r="F101" s="733">
        <v>5360</v>
      </c>
      <c r="G101" s="468">
        <f t="shared" si="12"/>
        <v>6</v>
      </c>
      <c r="H101" s="455">
        <f>G101+'27'!H101</f>
        <v>-31</v>
      </c>
      <c r="I101" s="475"/>
      <c r="J101" s="547">
        <f>H101/DAY(B2)</f>
        <v>-1.1071428571428572</v>
      </c>
      <c r="K101" s="377"/>
      <c r="L101" s="374"/>
      <c r="N101" s="1098"/>
    </row>
    <row r="102" spans="1:17">
      <c r="A102" s="1447" t="s">
        <v>277</v>
      </c>
      <c r="B102" s="1448"/>
      <c r="C102" s="1449"/>
      <c r="D102" s="519"/>
      <c r="E102" s="481"/>
      <c r="F102" s="481"/>
      <c r="G102" s="520">
        <f>SUM(G96:G101)</f>
        <v>92</v>
      </c>
      <c r="H102" s="455">
        <f>G102+'27'!H102</f>
        <v>-319</v>
      </c>
      <c r="I102" s="521"/>
      <c r="J102" s="547">
        <f>H102/DAY(B2)</f>
        <v>-11.392857142857142</v>
      </c>
      <c r="K102" s="377"/>
      <c r="L102" s="374"/>
      <c r="N102" s="1098"/>
    </row>
    <row r="103" spans="1:17" s="437" customFormat="1" ht="27">
      <c r="A103" s="602" t="s">
        <v>278</v>
      </c>
      <c r="B103" s="603"/>
      <c r="C103" s="603"/>
      <c r="D103" s="616"/>
      <c r="E103" s="760"/>
      <c r="F103" s="746"/>
      <c r="G103" s="524"/>
      <c r="H103" s="525"/>
      <c r="I103" s="526"/>
      <c r="J103" s="552"/>
      <c r="N103" s="1098"/>
      <c r="O103" s="765"/>
      <c r="P103" s="765"/>
      <c r="Q103" s="765"/>
    </row>
    <row r="104" spans="1:17" s="437" customFormat="1" ht="27">
      <c r="A104" s="1456" t="s">
        <v>279</v>
      </c>
      <c r="B104" s="1457"/>
      <c r="C104" s="568"/>
      <c r="D104" s="617"/>
      <c r="E104" s="528"/>
      <c r="F104" s="747"/>
      <c r="G104" s="527"/>
      <c r="H104" s="528"/>
      <c r="I104" s="527"/>
      <c r="J104" s="553"/>
      <c r="N104" s="1098"/>
      <c r="O104" s="765"/>
      <c r="P104" s="765"/>
      <c r="Q104" s="765"/>
    </row>
    <row r="105" spans="1:17" s="437" customFormat="1" ht="27">
      <c r="A105" s="1458" t="s">
        <v>22</v>
      </c>
      <c r="B105" s="1459"/>
      <c r="C105" s="1391"/>
      <c r="D105" s="617" t="s">
        <v>209</v>
      </c>
      <c r="E105" s="528">
        <f>'27'!F105</f>
        <v>7484</v>
      </c>
      <c r="F105" s="747">
        <v>7484</v>
      </c>
      <c r="G105" s="527">
        <f>F105-E105</f>
        <v>0</v>
      </c>
      <c r="H105" s="528">
        <f>SUM(G105+'1'!G76)</f>
        <v>57</v>
      </c>
      <c r="I105" s="527"/>
      <c r="J105" s="553">
        <f>H105/DAY(B2)</f>
        <v>2.0357142857142856</v>
      </c>
      <c r="N105" s="1098"/>
      <c r="O105" s="765"/>
      <c r="P105" s="765"/>
      <c r="Q105" s="765"/>
    </row>
    <row r="106" spans="1:17" s="437" customFormat="1" ht="27">
      <c r="A106" s="1458" t="s">
        <v>23</v>
      </c>
      <c r="B106" s="1459"/>
      <c r="C106" s="1391"/>
      <c r="D106" s="617" t="s">
        <v>209</v>
      </c>
      <c r="E106" s="528">
        <f>'27'!F106</f>
        <v>35924</v>
      </c>
      <c r="F106" s="656">
        <v>35938</v>
      </c>
      <c r="G106" s="527">
        <f t="shared" ref="G106" si="13">F106-E106</f>
        <v>14</v>
      </c>
      <c r="H106" s="528">
        <f>SUM(G106+'1'!G77)</f>
        <v>63</v>
      </c>
      <c r="I106" s="527"/>
      <c r="J106" s="553">
        <f>H106/DAY(B2)</f>
        <v>2.25</v>
      </c>
      <c r="N106" s="1098"/>
      <c r="O106" s="765"/>
      <c r="P106" s="765"/>
      <c r="Q106" s="765"/>
    </row>
    <row r="107" spans="1:17" s="437" customFormat="1" ht="27">
      <c r="A107" s="1458" t="s">
        <v>24</v>
      </c>
      <c r="B107" s="1460"/>
      <c r="C107" s="1459"/>
      <c r="D107" s="617" t="s">
        <v>209</v>
      </c>
      <c r="E107" s="528">
        <f>'27'!F107</f>
        <v>19694</v>
      </c>
      <c r="F107" s="656">
        <v>19699</v>
      </c>
      <c r="G107" s="527">
        <f>F107-E107</f>
        <v>5</v>
      </c>
      <c r="H107" s="528">
        <f>SUM(G107+'1'!G78)</f>
        <v>60</v>
      </c>
      <c r="I107" s="527"/>
      <c r="J107" s="553">
        <f>H107/DAY(B2)</f>
        <v>2.1428571428571428</v>
      </c>
      <c r="N107" s="1098"/>
      <c r="O107" s="765"/>
      <c r="P107" s="765"/>
      <c r="Q107" s="765"/>
    </row>
    <row r="108" spans="1:17" s="437" customFormat="1" ht="27">
      <c r="A108" s="1461" t="s">
        <v>102</v>
      </c>
      <c r="B108" s="1462"/>
      <c r="C108" s="1391"/>
      <c r="D108" s="617"/>
      <c r="E108" s="528">
        <f>'27'!F108</f>
        <v>0</v>
      </c>
      <c r="F108" s="656"/>
      <c r="G108" s="527">
        <f>SUM(G105:G107)</f>
        <v>19</v>
      </c>
      <c r="H108" s="528">
        <f>SUM(G108+'1'!G79)</f>
        <v>174</v>
      </c>
      <c r="I108" s="527"/>
      <c r="J108" s="553">
        <f>H108/DAY(B2)</f>
        <v>6.2142857142857144</v>
      </c>
      <c r="N108" s="1098"/>
      <c r="O108" s="765"/>
      <c r="P108" s="765"/>
      <c r="Q108" s="765"/>
    </row>
    <row r="109" spans="1:17" s="437" customFormat="1" ht="27">
      <c r="A109" s="1463" t="s">
        <v>120</v>
      </c>
      <c r="B109" s="1464"/>
      <c r="C109" s="1391"/>
      <c r="D109" s="617" t="s">
        <v>209</v>
      </c>
      <c r="E109" s="528">
        <f>'27'!F109</f>
        <v>0</v>
      </c>
      <c r="F109" s="656"/>
      <c r="G109" s="527"/>
      <c r="H109" s="528"/>
      <c r="I109" s="527"/>
      <c r="J109" s="553"/>
      <c r="N109" s="1098"/>
      <c r="O109" s="765"/>
      <c r="P109" s="765"/>
      <c r="Q109" s="765"/>
    </row>
    <row r="110" spans="1:17" s="437" customFormat="1" ht="27">
      <c r="A110" s="1458" t="s">
        <v>25</v>
      </c>
      <c r="B110" s="1459"/>
      <c r="C110" s="1391"/>
      <c r="D110" s="617" t="s">
        <v>209</v>
      </c>
      <c r="E110" s="528">
        <f>'27'!F110</f>
        <v>62589</v>
      </c>
      <c r="F110" s="656">
        <v>62645</v>
      </c>
      <c r="G110" s="527">
        <f>F110-E110</f>
        <v>56</v>
      </c>
      <c r="H110" s="528">
        <f>SUM(G110+'1'!G81)</f>
        <v>150</v>
      </c>
      <c r="I110" s="527"/>
      <c r="J110" s="553">
        <f>H110/DAY(B2)</f>
        <v>5.3571428571428568</v>
      </c>
      <c r="N110" s="1098"/>
      <c r="O110" s="765"/>
      <c r="P110" s="765"/>
      <c r="Q110" s="765"/>
    </row>
    <row r="111" spans="1:17" s="437" customFormat="1" ht="27">
      <c r="A111" s="1458" t="s">
        <v>26</v>
      </c>
      <c r="B111" s="1459"/>
      <c r="C111" s="1391"/>
      <c r="D111" s="617" t="s">
        <v>209</v>
      </c>
      <c r="E111" s="528">
        <f>'27'!F111</f>
        <v>32542</v>
      </c>
      <c r="F111" s="656">
        <v>32542</v>
      </c>
      <c r="G111" s="527">
        <f t="shared" ref="G111:G112" si="14">F111-E111</f>
        <v>0</v>
      </c>
      <c r="H111" s="528">
        <f>SUM(G111+'1'!G82)</f>
        <v>11</v>
      </c>
      <c r="I111" s="527"/>
      <c r="J111" s="553">
        <f>H111/DAY(B2)</f>
        <v>0.39285714285714285</v>
      </c>
      <c r="N111" s="1098"/>
      <c r="O111" s="765"/>
      <c r="P111" s="765"/>
      <c r="Q111" s="765"/>
    </row>
    <row r="112" spans="1:17" s="437" customFormat="1" ht="27">
      <c r="A112" s="1458" t="s">
        <v>27</v>
      </c>
      <c r="B112" s="1459"/>
      <c r="C112" s="1391"/>
      <c r="D112" s="617" t="s">
        <v>209</v>
      </c>
      <c r="E112" s="528">
        <f>'27'!F112</f>
        <v>4559</v>
      </c>
      <c r="F112" s="656">
        <v>4559</v>
      </c>
      <c r="G112" s="529">
        <f t="shared" si="14"/>
        <v>0</v>
      </c>
      <c r="H112" s="528">
        <f>SUM(G112+'1'!G83)</f>
        <v>152</v>
      </c>
      <c r="I112" s="527"/>
      <c r="J112" s="553">
        <f>H112/DAY(B2)</f>
        <v>5.4285714285714288</v>
      </c>
      <c r="N112" s="1098"/>
      <c r="O112" s="765"/>
      <c r="P112" s="765"/>
      <c r="Q112" s="765"/>
    </row>
    <row r="113" spans="1:17" s="437" customFormat="1" ht="27">
      <c r="A113" s="1461" t="s">
        <v>174</v>
      </c>
      <c r="B113" s="1462"/>
      <c r="C113" s="1391"/>
      <c r="D113" s="617"/>
      <c r="E113" s="528">
        <f>'27'!F113</f>
        <v>0</v>
      </c>
      <c r="F113" s="656"/>
      <c r="G113" s="527">
        <f>SUM(G110:G112)</f>
        <v>56</v>
      </c>
      <c r="H113" s="528">
        <f>SUM(G113+'1'!G84)</f>
        <v>883</v>
      </c>
      <c r="I113" s="527"/>
      <c r="J113" s="553">
        <f>H113/DAY(B2)</f>
        <v>31.535714285714285</v>
      </c>
      <c r="N113" s="1098"/>
      <c r="O113" s="765"/>
      <c r="P113" s="765"/>
      <c r="Q113" s="765"/>
    </row>
    <row r="114" spans="1:17" s="437" customFormat="1" ht="27">
      <c r="A114" s="1463" t="s">
        <v>280</v>
      </c>
      <c r="B114" s="1464"/>
      <c r="C114" s="1391"/>
      <c r="D114" s="617"/>
      <c r="E114" s="528">
        <f>'27'!F114</f>
        <v>0</v>
      </c>
      <c r="F114" s="656"/>
      <c r="G114" s="527"/>
      <c r="H114" s="528"/>
      <c r="I114" s="527"/>
      <c r="J114" s="553">
        <f>H114/DAY(B2)</f>
        <v>0</v>
      </c>
      <c r="N114" s="1098"/>
      <c r="O114" s="765"/>
      <c r="P114" s="765"/>
      <c r="Q114" s="765"/>
    </row>
    <row r="115" spans="1:17" s="437" customFormat="1" ht="27">
      <c r="A115" s="1458" t="s">
        <v>28</v>
      </c>
      <c r="B115" s="1459"/>
      <c r="C115" s="569"/>
      <c r="D115" s="617" t="s">
        <v>209</v>
      </c>
      <c r="E115" s="528">
        <f>'27'!F115</f>
        <v>11467</v>
      </c>
      <c r="F115" s="656">
        <v>11473</v>
      </c>
      <c r="G115" s="529">
        <f>F115-E115</f>
        <v>6</v>
      </c>
      <c r="H115" s="528">
        <f>SUM(G115+'1'!G92)</f>
        <v>6</v>
      </c>
      <c r="I115" s="527"/>
      <c r="J115" s="553">
        <f>H115/DAY(B2)</f>
        <v>0.21428571428571427</v>
      </c>
      <c r="N115" s="1098"/>
      <c r="O115" s="765"/>
      <c r="P115" s="765"/>
      <c r="Q115" s="765"/>
    </row>
    <row r="116" spans="1:17" s="437" customFormat="1" ht="27">
      <c r="A116" s="1458" t="s">
        <v>29</v>
      </c>
      <c r="B116" s="1459"/>
      <c r="C116" s="569"/>
      <c r="D116" s="617" t="s">
        <v>209</v>
      </c>
      <c r="E116" s="528">
        <f>'27'!F116</f>
        <v>8285</v>
      </c>
      <c r="F116" s="656">
        <v>8289</v>
      </c>
      <c r="G116" s="529">
        <f t="shared" ref="G116:G117" si="15">F116-E116</f>
        <v>4</v>
      </c>
      <c r="H116" s="528">
        <f>SUM(G116+'1'!G93)</f>
        <v>22</v>
      </c>
      <c r="I116" s="527"/>
      <c r="J116" s="553">
        <f>H116/DAY(B2)</f>
        <v>0.7857142857142857</v>
      </c>
      <c r="N116" s="1098"/>
      <c r="O116" s="765"/>
      <c r="P116" s="765"/>
      <c r="Q116" s="765"/>
    </row>
    <row r="117" spans="1:17" s="437" customFormat="1" ht="27">
      <c r="A117" s="1458" t="s">
        <v>281</v>
      </c>
      <c r="B117" s="1459"/>
      <c r="C117" s="569"/>
      <c r="D117" s="617" t="s">
        <v>209</v>
      </c>
      <c r="E117" s="531"/>
      <c r="F117" s="656"/>
      <c r="G117" s="529">
        <f t="shared" si="15"/>
        <v>0</v>
      </c>
      <c r="H117" s="528">
        <f>SUM(G117+'1'!G94)</f>
        <v>58</v>
      </c>
      <c r="I117" s="527"/>
      <c r="J117" s="553">
        <f>H117/DAY(B2)</f>
        <v>2.0714285714285716</v>
      </c>
      <c r="N117" s="1098"/>
      <c r="O117" s="765"/>
      <c r="P117" s="765"/>
      <c r="Q117" s="765"/>
    </row>
    <row r="118" spans="1:17" s="440" customFormat="1" ht="27">
      <c r="A118" s="1461" t="s">
        <v>102</v>
      </c>
      <c r="B118" s="1462"/>
      <c r="C118" s="569"/>
      <c r="D118" s="618"/>
      <c r="E118" s="531"/>
      <c r="F118" s="656"/>
      <c r="G118" s="529">
        <f>SUM(G115:G117)</f>
        <v>10</v>
      </c>
      <c r="H118" s="528">
        <f>SUM(G118+'1'!G96)</f>
        <v>50</v>
      </c>
      <c r="I118" s="529"/>
      <c r="J118" s="553">
        <f>H118/DAY(B2)</f>
        <v>1.7857142857142858</v>
      </c>
      <c r="N118" s="1098"/>
      <c r="O118" s="765"/>
      <c r="P118" s="765"/>
      <c r="Q118" s="766"/>
    </row>
    <row r="119" spans="1:17" s="441" customFormat="1" ht="27">
      <c r="A119" s="1492" t="s">
        <v>282</v>
      </c>
      <c r="B119" s="1493"/>
      <c r="C119" s="1389"/>
      <c r="D119" s="619" t="s">
        <v>209</v>
      </c>
      <c r="E119" s="531"/>
      <c r="F119" s="656"/>
      <c r="G119" s="531">
        <f>SUM(G19+G93)</f>
        <v>88</v>
      </c>
      <c r="H119" s="528">
        <f>SUM(G119+'1'!G97)</f>
        <v>101</v>
      </c>
      <c r="I119" s="530"/>
      <c r="J119" s="554">
        <f>H119/DAY(B2)</f>
        <v>3.6071428571428572</v>
      </c>
      <c r="N119" s="1098"/>
      <c r="O119" s="765"/>
      <c r="P119" s="765"/>
      <c r="Q119" s="766"/>
    </row>
    <row r="120" spans="1:17" s="441" customFormat="1" ht="27">
      <c r="A120" s="1492" t="s">
        <v>283</v>
      </c>
      <c r="B120" s="1493"/>
      <c r="C120" s="1389"/>
      <c r="D120" s="619" t="s">
        <v>209</v>
      </c>
      <c r="E120" s="531"/>
      <c r="F120" s="656"/>
      <c r="G120" s="531">
        <f>SUM(G96,G97,G98,G100,G101)</f>
        <v>88</v>
      </c>
      <c r="H120" s="528">
        <f>SUM(G120+'1'!G99)</f>
        <v>95</v>
      </c>
      <c r="I120" s="530"/>
      <c r="J120" s="554">
        <f>H120/DAY(B2)</f>
        <v>3.3928571428571428</v>
      </c>
      <c r="N120" s="1098"/>
      <c r="O120" s="765"/>
      <c r="P120" s="765"/>
      <c r="Q120" s="766"/>
    </row>
    <row r="121" spans="1:17" s="441" customFormat="1" ht="27">
      <c r="A121" s="1492" t="s">
        <v>284</v>
      </c>
      <c r="B121" s="1493"/>
      <c r="C121" s="1389"/>
      <c r="D121" s="619" t="s">
        <v>209</v>
      </c>
      <c r="E121" s="531"/>
      <c r="F121" s="656"/>
      <c r="G121" s="529">
        <f>SUM(G113)</f>
        <v>56</v>
      </c>
      <c r="H121" s="528">
        <f>SUM(G121+'1'!G101)</f>
        <v>60</v>
      </c>
      <c r="I121" s="530"/>
      <c r="J121" s="554">
        <f>H121/DAY(B2)</f>
        <v>2.1428571428571428</v>
      </c>
      <c r="N121" s="1098"/>
      <c r="O121" s="765"/>
      <c r="P121" s="765"/>
      <c r="Q121" s="766"/>
    </row>
    <row r="122" spans="1:17" s="437" customFormat="1" ht="27">
      <c r="A122" s="1494"/>
      <c r="B122" s="1495"/>
      <c r="C122" s="1390"/>
      <c r="D122" s="555"/>
      <c r="E122" s="761"/>
      <c r="F122" s="748"/>
      <c r="G122" s="555"/>
      <c r="H122" s="556"/>
      <c r="I122" s="555"/>
      <c r="J122" s="557"/>
      <c r="N122" s="1098"/>
      <c r="O122" s="765"/>
      <c r="P122" s="765"/>
      <c r="Q122" s="765"/>
    </row>
    <row r="123" spans="1:17">
      <c r="A123" s="1444" t="s">
        <v>285</v>
      </c>
      <c r="B123" s="1445"/>
      <c r="C123" s="1446"/>
      <c r="D123" s="467"/>
      <c r="E123" s="734"/>
      <c r="F123" s="734"/>
      <c r="G123" s="478"/>
      <c r="H123" s="478"/>
      <c r="I123" s="478"/>
      <c r="J123" s="558"/>
      <c r="K123" s="377"/>
      <c r="L123" s="374"/>
      <c r="N123" s="1098"/>
    </row>
    <row r="124" spans="1:17" ht="27.75">
      <c r="A124" s="1392" t="s">
        <v>286</v>
      </c>
      <c r="B124" s="1393"/>
      <c r="C124" s="1393"/>
      <c r="D124" s="518" t="s">
        <v>206</v>
      </c>
      <c r="E124" s="733">
        <f>'27'!F124</f>
        <v>831578</v>
      </c>
      <c r="F124" s="733">
        <v>831775</v>
      </c>
      <c r="G124" s="468">
        <f t="shared" ref="G124:G128" si="16">F124-E124</f>
        <v>197</v>
      </c>
      <c r="H124" s="455">
        <f>G124+'27'!H124</f>
        <v>-591</v>
      </c>
      <c r="I124" s="521"/>
      <c r="J124" s="547">
        <f>H124/DAY(B2)</f>
        <v>-21.107142857142858</v>
      </c>
      <c r="K124" s="377"/>
      <c r="L124" s="374"/>
      <c r="N124" s="1098"/>
    </row>
    <row r="125" spans="1:17" ht="27.75">
      <c r="A125" s="1392" t="s">
        <v>287</v>
      </c>
      <c r="B125" s="1393"/>
      <c r="C125" s="1393"/>
      <c r="D125" s="518" t="s">
        <v>206</v>
      </c>
      <c r="E125" s="733">
        <f>'27'!F125</f>
        <v>73583.399999999994</v>
      </c>
      <c r="F125" s="749">
        <v>73583.399999999994</v>
      </c>
      <c r="G125" s="468">
        <f t="shared" si="16"/>
        <v>0</v>
      </c>
      <c r="H125" s="455">
        <f>G125+'27'!H125</f>
        <v>0</v>
      </c>
      <c r="I125" s="521"/>
      <c r="J125" s="547">
        <f>H125/DAY(B2)</f>
        <v>0</v>
      </c>
      <c r="K125" s="377"/>
      <c r="L125" s="374"/>
      <c r="N125" s="1098"/>
    </row>
    <row r="126" spans="1:17" ht="27.75">
      <c r="A126" s="1450" t="s">
        <v>288</v>
      </c>
      <c r="B126" s="1451"/>
      <c r="C126" s="1452"/>
      <c r="D126" s="518" t="s">
        <v>206</v>
      </c>
      <c r="E126" s="733">
        <f>'27'!F126</f>
        <v>146236</v>
      </c>
      <c r="F126" s="733">
        <v>146302</v>
      </c>
      <c r="G126" s="468">
        <f t="shared" si="16"/>
        <v>66</v>
      </c>
      <c r="H126" s="455">
        <f>G126+'27'!H126</f>
        <v>-189</v>
      </c>
      <c r="I126" s="521"/>
      <c r="J126" s="547">
        <f>H126/DAY(B2)</f>
        <v>-6.75</v>
      </c>
      <c r="K126" s="377"/>
      <c r="L126" s="374"/>
      <c r="N126" s="1098"/>
    </row>
    <row r="127" spans="1:17" ht="27.75">
      <c r="A127" s="604" t="s">
        <v>289</v>
      </c>
      <c r="B127" s="1393"/>
      <c r="C127" s="1393"/>
      <c r="D127" s="518" t="s">
        <v>206</v>
      </c>
      <c r="E127" s="733">
        <f>'27'!F127</f>
        <v>31404.2</v>
      </c>
      <c r="F127" s="749">
        <v>31404</v>
      </c>
      <c r="G127" s="468">
        <f t="shared" si="16"/>
        <v>-0.2000000000007276</v>
      </c>
      <c r="H127" s="455">
        <f>G127+'27'!H127</f>
        <v>-2</v>
      </c>
      <c r="I127" s="521"/>
      <c r="J127" s="547">
        <f>H127/DAY(B2)</f>
        <v>-7.1428571428571425E-2</v>
      </c>
      <c r="K127" s="377"/>
      <c r="L127" s="374"/>
      <c r="N127" s="1098"/>
    </row>
    <row r="128" spans="1:17" ht="27.75">
      <c r="A128" s="604" t="s">
        <v>290</v>
      </c>
      <c r="B128" s="1393"/>
      <c r="C128" s="1393"/>
      <c r="D128" s="518" t="s">
        <v>206</v>
      </c>
      <c r="E128" s="733">
        <f>'27'!F128</f>
        <v>8970.6</v>
      </c>
      <c r="F128" s="749">
        <v>8971</v>
      </c>
      <c r="G128" s="468">
        <f t="shared" si="16"/>
        <v>0.3999999999996362</v>
      </c>
      <c r="H128" s="455">
        <f>G128+'27'!H128</f>
        <v>-1</v>
      </c>
      <c r="I128" s="475"/>
      <c r="J128" s="547">
        <f>H128/DAY(B2)</f>
        <v>-3.5714285714285712E-2</v>
      </c>
      <c r="K128" s="377"/>
      <c r="L128" s="374"/>
      <c r="N128" s="1098"/>
    </row>
    <row r="129" spans="1:17" s="278" customFormat="1" ht="27">
      <c r="A129" s="604" t="s">
        <v>291</v>
      </c>
      <c r="B129" s="1393"/>
      <c r="C129" s="1393"/>
      <c r="D129" s="518"/>
      <c r="E129" s="733"/>
      <c r="F129" s="733"/>
      <c r="G129" s="468">
        <f>G15-SUM(G124:G128)</f>
        <v>286.80000000000109</v>
      </c>
      <c r="H129" s="455"/>
      <c r="I129" s="475"/>
      <c r="J129" s="547"/>
      <c r="K129" s="361"/>
      <c r="L129" s="289"/>
      <c r="N129" s="1098"/>
      <c r="O129" s="765"/>
      <c r="P129" s="765"/>
      <c r="Q129" s="765"/>
    </row>
    <row r="130" spans="1:17">
      <c r="A130" s="605" t="s">
        <v>292</v>
      </c>
      <c r="B130" s="453"/>
      <c r="C130" s="453"/>
      <c r="D130" s="466"/>
      <c r="E130" s="490"/>
      <c r="F130" s="490"/>
      <c r="G130" s="535"/>
      <c r="H130" s="535"/>
      <c r="I130" s="535"/>
      <c r="J130" s="559"/>
    </row>
    <row r="131" spans="1:17" ht="27.75">
      <c r="A131" s="1392" t="s">
        <v>293</v>
      </c>
      <c r="B131" s="1393"/>
      <c r="C131" s="1393"/>
      <c r="D131" s="518" t="s">
        <v>294</v>
      </c>
      <c r="E131" s="754">
        <f>'27'!F131</f>
        <v>0</v>
      </c>
      <c r="F131" s="733"/>
      <c r="G131" s="468">
        <f t="shared" ref="G131:G141" si="17">F131-E131</f>
        <v>0</v>
      </c>
      <c r="H131" s="455">
        <f>G131+'27'!H131</f>
        <v>0</v>
      </c>
      <c r="I131" s="475"/>
      <c r="J131" s="547">
        <f>H131/DAY(B2)</f>
        <v>0</v>
      </c>
    </row>
    <row r="132" spans="1:17" ht="27.75">
      <c r="A132" s="1392" t="s">
        <v>295</v>
      </c>
      <c r="B132" s="1393"/>
      <c r="C132" s="1393"/>
      <c r="D132" s="518" t="s">
        <v>294</v>
      </c>
      <c r="E132" s="754">
        <f>'27'!F132</f>
        <v>0</v>
      </c>
      <c r="F132" s="733"/>
      <c r="G132" s="468">
        <f t="shared" si="17"/>
        <v>0</v>
      </c>
      <c r="H132" s="455">
        <f>G132+'27'!H132</f>
        <v>0</v>
      </c>
      <c r="I132" s="475"/>
      <c r="J132" s="547">
        <f>H132/DAY(B2)</f>
        <v>0</v>
      </c>
    </row>
    <row r="133" spans="1:17" ht="27.75">
      <c r="A133" s="1392" t="s">
        <v>296</v>
      </c>
      <c r="B133" s="1393"/>
      <c r="C133" s="1393"/>
      <c r="D133" s="518" t="s">
        <v>294</v>
      </c>
      <c r="E133" s="763">
        <f>'27'!F133</f>
        <v>40059.1</v>
      </c>
      <c r="F133" s="749">
        <v>40059</v>
      </c>
      <c r="G133" s="468">
        <f t="shared" si="17"/>
        <v>-9.9999999998544808E-2</v>
      </c>
      <c r="H133" s="455">
        <f>G133+'27'!H133</f>
        <v>23.900000000001455</v>
      </c>
      <c r="I133" s="475"/>
      <c r="J133" s="547">
        <f>H133/DAY(B2)</f>
        <v>0.85357142857148049</v>
      </c>
    </row>
    <row r="134" spans="1:17" ht="27.75">
      <c r="A134" s="1392" t="s">
        <v>297</v>
      </c>
      <c r="B134" s="1393"/>
      <c r="C134" s="1393"/>
      <c r="D134" s="518" t="s">
        <v>294</v>
      </c>
      <c r="E134" s="763">
        <f>'27'!F134</f>
        <v>300</v>
      </c>
      <c r="F134" s="749">
        <v>300</v>
      </c>
      <c r="G134" s="468">
        <f t="shared" si="17"/>
        <v>0</v>
      </c>
      <c r="H134" s="455">
        <f>G134+'27'!H134</f>
        <v>0</v>
      </c>
      <c r="I134" s="475">
        <f>G131+G132+G133+G134</f>
        <v>-9.9999999998544808E-2</v>
      </c>
      <c r="J134" s="547">
        <f>H134/DAY(B2)</f>
        <v>0</v>
      </c>
    </row>
    <row r="135" spans="1:17" ht="27.75">
      <c r="A135" s="1392" t="s">
        <v>298</v>
      </c>
      <c r="B135" s="1393"/>
      <c r="C135" s="1393"/>
      <c r="D135" s="518" t="s">
        <v>294</v>
      </c>
      <c r="E135" s="763">
        <f>'27'!F135</f>
        <v>41730.339999999997</v>
      </c>
      <c r="F135" s="749">
        <v>41730</v>
      </c>
      <c r="G135" s="468">
        <f t="shared" si="17"/>
        <v>-0.33999999999650754</v>
      </c>
      <c r="H135" s="455">
        <f>G135+'27'!H135</f>
        <v>71.610000000000582</v>
      </c>
      <c r="I135" s="475"/>
      <c r="J135" s="547">
        <f>H135/DAY(B2)</f>
        <v>2.557500000000021</v>
      </c>
      <c r="O135" s="765">
        <f>9-24</f>
        <v>-15</v>
      </c>
    </row>
    <row r="136" spans="1:17" ht="27.75">
      <c r="A136" s="1392" t="s">
        <v>299</v>
      </c>
      <c r="B136" s="1393"/>
      <c r="C136" s="1393"/>
      <c r="D136" s="518" t="s">
        <v>294</v>
      </c>
      <c r="E136" s="762">
        <f>'27'!F136</f>
        <v>32619.040000000001</v>
      </c>
      <c r="F136" s="740">
        <v>32643.16</v>
      </c>
      <c r="G136" s="468">
        <f t="shared" si="17"/>
        <v>24.119999999998981</v>
      </c>
      <c r="H136" s="455">
        <f>G136+'27'!H136</f>
        <v>73.229999999999563</v>
      </c>
      <c r="I136" s="475"/>
      <c r="J136" s="547">
        <f>H136/DAY(B2)</f>
        <v>2.6153571428571274</v>
      </c>
    </row>
    <row r="137" spans="1:17" ht="27.75">
      <c r="A137" s="1392" t="s">
        <v>300</v>
      </c>
      <c r="B137" s="1393"/>
      <c r="C137" s="1393"/>
      <c r="D137" s="518" t="s">
        <v>294</v>
      </c>
      <c r="E137" s="762">
        <f>'27'!F137</f>
        <v>22791.360000000001</v>
      </c>
      <c r="F137" s="740">
        <v>22799</v>
      </c>
      <c r="G137" s="468">
        <f t="shared" si="17"/>
        <v>7.6399999999994179</v>
      </c>
      <c r="H137" s="455">
        <f>G137+'27'!H137</f>
        <v>-8.2400000000016007</v>
      </c>
      <c r="I137" s="475">
        <f>G135+G136+G137</f>
        <v>31.420000000001892</v>
      </c>
      <c r="J137" s="547">
        <f>H137/DAY(B2)</f>
        <v>-0.29428571428577144</v>
      </c>
    </row>
    <row r="138" spans="1:17" ht="27.75">
      <c r="A138" s="1392" t="s">
        <v>301</v>
      </c>
      <c r="B138" s="1393"/>
      <c r="C138" s="1393"/>
      <c r="D138" s="518" t="s">
        <v>294</v>
      </c>
      <c r="E138" s="762">
        <f>'27'!F138</f>
        <v>25051.72</v>
      </c>
      <c r="F138" s="740">
        <v>25051.82</v>
      </c>
      <c r="G138" s="468">
        <f t="shared" si="17"/>
        <v>9.9999999998544808E-2</v>
      </c>
      <c r="H138" s="455">
        <f>G138+'27'!H138</f>
        <v>8.0999999999985448</v>
      </c>
      <c r="I138" s="475"/>
      <c r="J138" s="547">
        <f>H138/DAY(B2)</f>
        <v>0.2892857142856623</v>
      </c>
    </row>
    <row r="139" spans="1:17" ht="27.75">
      <c r="A139" s="1392" t="s">
        <v>302</v>
      </c>
      <c r="B139" s="1393"/>
      <c r="C139" s="1393"/>
      <c r="D139" s="518" t="s">
        <v>294</v>
      </c>
      <c r="E139" s="762">
        <f>'27'!F139</f>
        <v>70401.960000000006</v>
      </c>
      <c r="F139" s="740">
        <v>70402</v>
      </c>
      <c r="G139" s="468">
        <f t="shared" si="17"/>
        <v>3.9999999993597157E-2</v>
      </c>
      <c r="H139" s="455">
        <f>G139+'27'!H139</f>
        <v>37.899999999994179</v>
      </c>
      <c r="I139" s="475">
        <f>G138+G139</f>
        <v>0.13999999999214197</v>
      </c>
      <c r="J139" s="547">
        <f>H139/DAY(B2)</f>
        <v>1.3535714285712206</v>
      </c>
    </row>
    <row r="140" spans="1:17" ht="27.75">
      <c r="A140" s="1392" t="s">
        <v>303</v>
      </c>
      <c r="B140" s="1393"/>
      <c r="C140" s="1393"/>
      <c r="D140" s="518" t="s">
        <v>294</v>
      </c>
      <c r="E140" s="763">
        <f>'27'!F140</f>
        <v>1824.81</v>
      </c>
      <c r="F140" s="749">
        <v>1832</v>
      </c>
      <c r="G140" s="468">
        <f t="shared" si="17"/>
        <v>7.1900000000000546</v>
      </c>
      <c r="H140" s="455">
        <f>G140+'27'!H140</f>
        <v>-22.299999999999955</v>
      </c>
      <c r="I140" s="537"/>
      <c r="J140" s="547">
        <f>H140/DAY(B2)</f>
        <v>-0.79642857142856982</v>
      </c>
    </row>
    <row r="141" spans="1:17" ht="27.75">
      <c r="A141" s="1392" t="s">
        <v>304</v>
      </c>
      <c r="B141" s="1393"/>
      <c r="C141" s="1393"/>
      <c r="D141" s="518" t="s">
        <v>294</v>
      </c>
      <c r="E141" s="762">
        <f>'27'!F141</f>
        <v>4636.88</v>
      </c>
      <c r="F141" s="733">
        <v>4636.88</v>
      </c>
      <c r="G141" s="468">
        <f t="shared" si="17"/>
        <v>0</v>
      </c>
      <c r="H141" s="455">
        <f>G141+'27'!H141</f>
        <v>-0.11999999999989086</v>
      </c>
      <c r="I141" s="537"/>
      <c r="J141" s="547">
        <f>H141/DAY(B2)</f>
        <v>-4.285714285710388E-3</v>
      </c>
    </row>
    <row r="142" spans="1:17">
      <c r="A142" s="1488" t="s">
        <v>305</v>
      </c>
      <c r="B142" s="1489"/>
      <c r="C142" s="1398"/>
      <c r="D142" s="467"/>
      <c r="E142" s="734"/>
      <c r="F142" s="734"/>
      <c r="G142" s="478"/>
      <c r="H142" s="478"/>
      <c r="I142" s="478"/>
      <c r="J142" s="558"/>
      <c r="K142" s="377"/>
      <c r="L142" s="374"/>
    </row>
    <row r="143" spans="1:17" ht="27.75">
      <c r="A143" s="1453" t="s">
        <v>306</v>
      </c>
      <c r="B143" s="1454"/>
      <c r="C143" s="1455"/>
      <c r="D143" s="518" t="s">
        <v>198</v>
      </c>
      <c r="E143" s="455"/>
      <c r="F143" s="455"/>
      <c r="G143" s="455">
        <f>G35+G43+G49+G57</f>
        <v>4814.33</v>
      </c>
      <c r="H143" s="455">
        <f>G143+'27'!H143</f>
        <v>-14328.539999999995</v>
      </c>
      <c r="I143" s="475"/>
      <c r="J143" s="547">
        <f>H143/DAY(B2)</f>
        <v>-511.73357142857128</v>
      </c>
      <c r="K143" s="377"/>
      <c r="L143" s="374"/>
    </row>
    <row r="144" spans="1:17" ht="27.75">
      <c r="A144" s="1453" t="s">
        <v>307</v>
      </c>
      <c r="B144" s="1454"/>
      <c r="C144" s="1455"/>
      <c r="D144" s="518" t="s">
        <v>58</v>
      </c>
      <c r="E144" s="465"/>
      <c r="F144" s="465"/>
      <c r="G144" s="538">
        <f>G143/G7</f>
        <v>0.28319588235294119</v>
      </c>
      <c r="H144" s="455">
        <f>G144+'27'!H144</f>
        <v>-0.95516173854846254</v>
      </c>
      <c r="I144" s="539"/>
      <c r="J144" s="547">
        <f>H144/DAY(B2)</f>
        <v>-3.4112919233873662E-2</v>
      </c>
      <c r="K144" s="377"/>
      <c r="L144" s="374"/>
    </row>
    <row r="145" spans="1:12" ht="27.75">
      <c r="A145" s="1453" t="s">
        <v>308</v>
      </c>
      <c r="B145" s="1454"/>
      <c r="C145" s="1455"/>
      <c r="D145" s="518" t="s">
        <v>198</v>
      </c>
      <c r="E145" s="455"/>
      <c r="F145" s="455"/>
      <c r="G145" s="455">
        <f>G41+G42+G55+G56</f>
        <v>4796</v>
      </c>
      <c r="H145" s="455">
        <f>G145+'27'!H145</f>
        <v>-16006.969999999994</v>
      </c>
      <c r="I145" s="475"/>
      <c r="J145" s="547">
        <f>H145/DAY(B2)</f>
        <v>-571.67749999999978</v>
      </c>
      <c r="K145" s="377"/>
      <c r="L145" s="374"/>
    </row>
    <row r="146" spans="1:12" ht="27.75">
      <c r="A146" s="1453" t="s">
        <v>309</v>
      </c>
      <c r="B146" s="1454"/>
      <c r="C146" s="1455"/>
      <c r="D146" s="518" t="s">
        <v>58</v>
      </c>
      <c r="E146" s="455"/>
      <c r="F146" s="455"/>
      <c r="G146" s="538">
        <f>G145/G7</f>
        <v>0.28211764705882353</v>
      </c>
      <c r="H146" s="455">
        <f>G146+'27'!H146</f>
        <v>-1.0783876846038236</v>
      </c>
      <c r="I146" s="539"/>
      <c r="J146" s="547">
        <f>H146/DAY(B2)</f>
        <v>-3.8513845878707986E-2</v>
      </c>
      <c r="K146" s="377"/>
      <c r="L146" s="374"/>
    </row>
    <row r="147" spans="1:12" ht="27.75">
      <c r="A147" s="1453" t="s">
        <v>310</v>
      </c>
      <c r="B147" s="1454"/>
      <c r="C147" s="1455"/>
      <c r="D147" s="518" t="s">
        <v>198</v>
      </c>
      <c r="E147" s="455"/>
      <c r="F147" s="455"/>
      <c r="G147" s="455">
        <f>G39+G53</f>
        <v>2711</v>
      </c>
      <c r="H147" s="455">
        <f>G147+'27'!H147</f>
        <v>-8532</v>
      </c>
      <c r="I147" s="540"/>
      <c r="J147" s="547">
        <f>H147/DAY(B2)</f>
        <v>-304.71428571428572</v>
      </c>
      <c r="K147" s="377"/>
      <c r="L147" s="374"/>
    </row>
    <row r="148" spans="1:12" ht="27.75">
      <c r="A148" s="1453" t="s">
        <v>311</v>
      </c>
      <c r="B148" s="1454"/>
      <c r="C148" s="1455"/>
      <c r="D148" s="518" t="s">
        <v>58</v>
      </c>
      <c r="E148" s="455"/>
      <c r="F148" s="455"/>
      <c r="G148" s="538">
        <f>G147/G7</f>
        <v>0.15947058823529411</v>
      </c>
      <c r="H148" s="455">
        <f>G148+'27'!H148</f>
        <v>-0.57945614038677995</v>
      </c>
      <c r="I148" s="540"/>
      <c r="J148" s="547">
        <f>H148/DAY(B2)</f>
        <v>-2.0694862156670712E-2</v>
      </c>
    </row>
    <row r="149" spans="1:12" ht="27.75">
      <c r="A149" s="1453" t="s">
        <v>312</v>
      </c>
      <c r="B149" s="1454"/>
      <c r="C149" s="1455"/>
      <c r="D149" s="518" t="s">
        <v>248</v>
      </c>
      <c r="E149" s="455"/>
      <c r="F149" s="455"/>
      <c r="G149" s="455">
        <f>G38+G52</f>
        <v>1195.0699999999488</v>
      </c>
      <c r="H149" s="455">
        <f>G149+'27'!H149</f>
        <v>-3797.9300000000512</v>
      </c>
      <c r="I149" s="475"/>
      <c r="J149" s="547">
        <f>H149/DAY(B2)</f>
        <v>-135.64035714285896</v>
      </c>
      <c r="K149" s="378"/>
    </row>
    <row r="150" spans="1:12" ht="27.75">
      <c r="A150" s="1453" t="s">
        <v>313</v>
      </c>
      <c r="B150" s="1454"/>
      <c r="C150" s="1455"/>
      <c r="D150" s="518" t="s">
        <v>58</v>
      </c>
      <c r="E150" s="455"/>
      <c r="F150" s="455"/>
      <c r="G150" s="538">
        <f>G149/G7</f>
        <v>7.0298235294114636E-2</v>
      </c>
      <c r="H150" s="455">
        <f>G150+'27'!H150</f>
        <v>-0.25560239356884285</v>
      </c>
      <c r="I150" s="540"/>
      <c r="J150" s="547">
        <f>H150/DAY(B2)</f>
        <v>-9.128656913172958E-3</v>
      </c>
    </row>
    <row r="151" spans="1:12" ht="27.75">
      <c r="A151" s="1453" t="s">
        <v>314</v>
      </c>
      <c r="B151" s="1454"/>
      <c r="C151" s="1455"/>
      <c r="D151" s="518" t="s">
        <v>248</v>
      </c>
      <c r="E151" s="455"/>
      <c r="F151" s="455"/>
      <c r="G151" s="455">
        <f>G36+G50</f>
        <v>832</v>
      </c>
      <c r="H151" s="455">
        <f>G151+'27'!H151</f>
        <v>344216</v>
      </c>
      <c r="I151" s="540"/>
      <c r="J151" s="547">
        <f>H151/DAY(B2)</f>
        <v>12293.428571428571</v>
      </c>
    </row>
    <row r="152" spans="1:12" ht="27.75">
      <c r="A152" s="1453" t="s">
        <v>315</v>
      </c>
      <c r="B152" s="1454"/>
      <c r="C152" s="1455"/>
      <c r="D152" s="518" t="s">
        <v>58</v>
      </c>
      <c r="E152" s="455"/>
      <c r="F152" s="455"/>
      <c r="G152" s="538">
        <f>G151/G7</f>
        <v>4.8941176470588238E-2</v>
      </c>
      <c r="H152" s="455">
        <f>G152+'27'!H152</f>
        <v>20.206716233257776</v>
      </c>
      <c r="I152" s="475"/>
      <c r="J152" s="547">
        <f>H152/DAY(B2)</f>
        <v>0.72166843690206339</v>
      </c>
    </row>
    <row r="153" spans="1:12" ht="27.75">
      <c r="A153" s="1453" t="s">
        <v>316</v>
      </c>
      <c r="B153" s="1454"/>
      <c r="C153" s="1455"/>
      <c r="D153" s="518" t="s">
        <v>248</v>
      </c>
      <c r="E153" s="455"/>
      <c r="F153" s="455"/>
      <c r="G153" s="455">
        <f>G37+G51</f>
        <v>1279</v>
      </c>
      <c r="H153" s="455">
        <f>G153+'27'!H153</f>
        <v>-3916</v>
      </c>
      <c r="I153" s="475"/>
      <c r="J153" s="547">
        <f>H153/DAY(B2)</f>
        <v>-139.85714285714286</v>
      </c>
    </row>
    <row r="154" spans="1:12" ht="28.5" thickBot="1">
      <c r="A154" s="1485" t="s">
        <v>317</v>
      </c>
      <c r="B154" s="1486"/>
      <c r="C154" s="1487"/>
      <c r="D154" s="620" t="s">
        <v>58</v>
      </c>
      <c r="E154" s="562"/>
      <c r="F154" s="562"/>
      <c r="G154" s="561">
        <f>G153/G7</f>
        <v>7.5235294117647053E-2</v>
      </c>
      <c r="H154" s="455">
        <f>G154+'27'!H154</f>
        <v>-0.26139483019195697</v>
      </c>
      <c r="I154" s="563"/>
      <c r="J154" s="564">
        <f>H154/DAY(B2)</f>
        <v>-9.3355296497127493E-3</v>
      </c>
    </row>
    <row r="155" spans="1:12">
      <c r="A155" s="461"/>
      <c r="B155" s="451"/>
      <c r="C155" s="451"/>
      <c r="D155" s="541"/>
      <c r="E155" s="543"/>
      <c r="F155" s="750"/>
      <c r="G155" s="541"/>
      <c r="H155" s="542"/>
      <c r="I155" s="541"/>
      <c r="J155" s="543"/>
    </row>
    <row r="161" spans="1:7">
      <c r="A161" s="780" t="s">
        <v>318</v>
      </c>
      <c r="B161" s="781"/>
      <c r="C161" s="781"/>
      <c r="D161" s="506" t="s">
        <v>253</v>
      </c>
      <c r="E161" s="762">
        <f>'27'!F161</f>
        <v>38104</v>
      </c>
      <c r="F161" s="654">
        <v>38185</v>
      </c>
      <c r="G161" s="468">
        <f t="shared" ref="G161:G164" si="18">F161-E161</f>
        <v>81</v>
      </c>
    </row>
    <row r="162" spans="1:7">
      <c r="A162" s="780" t="s">
        <v>319</v>
      </c>
      <c r="B162" s="781"/>
      <c r="C162" s="781"/>
      <c r="D162" s="506" t="s">
        <v>253</v>
      </c>
      <c r="E162" s="762">
        <f>'27'!F162</f>
        <v>93230</v>
      </c>
      <c r="F162" s="654">
        <v>93616</v>
      </c>
      <c r="G162" s="468">
        <f t="shared" si="18"/>
        <v>386</v>
      </c>
    </row>
    <row r="163" spans="1:7">
      <c r="A163" s="780" t="s">
        <v>320</v>
      </c>
      <c r="B163" s="781"/>
      <c r="C163" s="781"/>
      <c r="D163" s="506" t="s">
        <v>253</v>
      </c>
      <c r="E163" s="762">
        <f>'27'!F163</f>
        <v>44117</v>
      </c>
      <c r="F163" s="654">
        <v>44322</v>
      </c>
      <c r="G163" s="468">
        <f t="shared" si="18"/>
        <v>205</v>
      </c>
    </row>
    <row r="164" spans="1:7">
      <c r="A164" s="780" t="s">
        <v>321</v>
      </c>
      <c r="B164" s="781"/>
      <c r="C164" s="781"/>
      <c r="D164" s="506" t="s">
        <v>253</v>
      </c>
      <c r="E164" s="762">
        <f>'27'!F164</f>
        <v>6533</v>
      </c>
      <c r="F164" s="654">
        <v>6542</v>
      </c>
      <c r="G164" s="468">
        <f t="shared" si="18"/>
        <v>9</v>
      </c>
    </row>
    <row r="165" spans="1:7">
      <c r="A165" s="782" t="s">
        <v>252</v>
      </c>
      <c r="B165" s="599"/>
      <c r="C165" s="599"/>
      <c r="D165" s="506" t="s">
        <v>253</v>
      </c>
      <c r="E165" s="509">
        <f>E62</f>
        <v>20419</v>
      </c>
      <c r="F165" s="509">
        <f>F62</f>
        <v>20419</v>
      </c>
      <c r="G165" s="468">
        <f t="shared" ref="G165:G172" si="19">F165-E165</f>
        <v>0</v>
      </c>
    </row>
    <row r="166" spans="1:7">
      <c r="A166" s="782" t="s">
        <v>254</v>
      </c>
      <c r="B166" s="599"/>
      <c r="C166" s="599"/>
      <c r="D166" s="506" t="s">
        <v>253</v>
      </c>
      <c r="E166" s="509">
        <f t="shared" ref="E166:E172" si="20">E63</f>
        <v>2460</v>
      </c>
      <c r="F166" s="509">
        <f t="shared" ref="F166:F172" si="21">F63</f>
        <v>2464</v>
      </c>
      <c r="G166" s="468">
        <f t="shared" si="19"/>
        <v>4</v>
      </c>
    </row>
    <row r="167" spans="1:7" ht="27.75">
      <c r="A167" s="1502" t="s">
        <v>161</v>
      </c>
      <c r="B167" s="1502"/>
      <c r="C167" s="1502"/>
      <c r="D167" s="518" t="s">
        <v>253</v>
      </c>
      <c r="E167" s="509">
        <f t="shared" si="20"/>
        <v>159169</v>
      </c>
      <c r="F167" s="509">
        <f t="shared" si="21"/>
        <v>159360</v>
      </c>
      <c r="G167" s="468">
        <f t="shared" si="19"/>
        <v>191</v>
      </c>
    </row>
    <row r="168" spans="1:7" ht="27.75">
      <c r="A168" s="1502" t="s">
        <v>162</v>
      </c>
      <c r="B168" s="1502"/>
      <c r="C168" s="1502"/>
      <c r="D168" s="518" t="s">
        <v>253</v>
      </c>
      <c r="E168" s="509">
        <f t="shared" si="20"/>
        <v>160130</v>
      </c>
      <c r="F168" s="509">
        <f t="shared" si="21"/>
        <v>160348</v>
      </c>
      <c r="G168" s="468">
        <f t="shared" si="19"/>
        <v>218</v>
      </c>
    </row>
    <row r="169" spans="1:7" ht="27.75">
      <c r="A169" s="1502" t="s">
        <v>255</v>
      </c>
      <c r="B169" s="1502"/>
      <c r="C169" s="1502"/>
      <c r="D169" s="518" t="s">
        <v>253</v>
      </c>
      <c r="E169" s="509">
        <f t="shared" si="20"/>
        <v>55692</v>
      </c>
      <c r="F169" s="509">
        <f t="shared" si="21"/>
        <v>55940</v>
      </c>
      <c r="G169" s="468">
        <f t="shared" si="19"/>
        <v>248</v>
      </c>
    </row>
    <row r="170" spans="1:7" ht="27.75">
      <c r="A170" s="1502" t="s">
        <v>157</v>
      </c>
      <c r="B170" s="1502"/>
      <c r="C170" s="1502"/>
      <c r="D170" s="518" t="s">
        <v>253</v>
      </c>
      <c r="E170" s="509">
        <f t="shared" si="20"/>
        <v>250333</v>
      </c>
      <c r="F170" s="509">
        <f t="shared" si="21"/>
        <v>250705</v>
      </c>
      <c r="G170" s="468">
        <f t="shared" si="19"/>
        <v>372</v>
      </c>
    </row>
    <row r="171" spans="1:7" ht="27.75">
      <c r="A171" s="1502" t="s">
        <v>164</v>
      </c>
      <c r="B171" s="1502"/>
      <c r="C171" s="1502"/>
      <c r="D171" s="518" t="s">
        <v>253</v>
      </c>
      <c r="E171" s="509">
        <f t="shared" si="20"/>
        <v>85321</v>
      </c>
      <c r="F171" s="509">
        <f t="shared" si="21"/>
        <v>85321</v>
      </c>
      <c r="G171" s="468">
        <f t="shared" si="19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509">
        <f t="shared" si="20"/>
        <v>81292</v>
      </c>
      <c r="F172" s="509">
        <f t="shared" si="21"/>
        <v>81418</v>
      </c>
      <c r="G172" s="468">
        <f t="shared" si="19"/>
        <v>126</v>
      </c>
    </row>
    <row r="173" spans="1:7">
      <c r="G173" s="534">
        <f>SUM(G161:G172)</f>
        <v>1840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zoomScale="55" zoomScaleNormal="78" zoomScaleSheetLayoutView="55" workbookViewId="0">
      <selection activeCell="A33" sqref="A33:J33"/>
    </sheetView>
  </sheetViews>
  <sheetFormatPr defaultColWidth="22.33203125" defaultRowHeight="29.25"/>
  <cols>
    <col min="1" max="1" width="51.21875" style="449" customWidth="1"/>
    <col min="2" max="2" width="24.88671875" style="452" customWidth="1"/>
    <col min="3" max="3" width="15.88671875" style="452" customWidth="1"/>
    <col min="4" max="4" width="13.6640625" style="532" customWidth="1"/>
    <col min="5" max="5" width="30" style="534" customWidth="1"/>
    <col min="6" max="6" width="30" style="751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5" width="22.33203125" style="765"/>
    <col min="16" max="16384" width="22.33203125" style="373"/>
  </cols>
  <sheetData>
    <row r="1" spans="1:54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54" s="278" customFormat="1" ht="27">
      <c r="A2" s="570" t="s">
        <v>344</v>
      </c>
      <c r="B2" s="1028">
        <v>44345</v>
      </c>
      <c r="C2" s="1394" t="s">
        <v>111</v>
      </c>
      <c r="D2" s="606">
        <v>0.98</v>
      </c>
      <c r="E2" s="732"/>
      <c r="F2" s="732"/>
      <c r="G2" s="456" t="s">
        <v>184</v>
      </c>
      <c r="H2" s="456" t="s">
        <v>40</v>
      </c>
      <c r="I2" s="456" t="s">
        <v>42</v>
      </c>
      <c r="J2" s="608" t="s">
        <v>185</v>
      </c>
      <c r="N2" s="765"/>
      <c r="O2" s="765"/>
    </row>
    <row r="3" spans="1:54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  <c r="N3" s="765"/>
      <c r="O3" s="765"/>
    </row>
    <row r="4" spans="1:54" s="278" customFormat="1" ht="27">
      <c r="A4" s="571"/>
      <c r="B4" s="611"/>
      <c r="C4" s="1394" t="s">
        <v>188</v>
      </c>
      <c r="D4" s="606">
        <v>0.78</v>
      </c>
      <c r="E4" s="458"/>
      <c r="F4" s="458"/>
      <c r="G4" s="459"/>
      <c r="H4" s="459"/>
      <c r="I4" s="460"/>
      <c r="J4" s="610"/>
      <c r="K4" s="369"/>
      <c r="L4" s="289"/>
      <c r="N4" s="767"/>
      <c r="O4" s="765"/>
    </row>
    <row r="5" spans="1:54">
      <c r="A5" s="572" t="s">
        <v>189</v>
      </c>
      <c r="B5" s="454"/>
      <c r="C5" s="454"/>
      <c r="D5" s="506" t="s">
        <v>190</v>
      </c>
      <c r="E5" s="509" t="s">
        <v>191</v>
      </c>
      <c r="F5" s="509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  <c r="N5" s="767"/>
    </row>
    <row r="6" spans="1:54">
      <c r="A6" s="1468" t="s">
        <v>196</v>
      </c>
      <c r="B6" s="1469"/>
      <c r="C6" s="1470"/>
      <c r="D6" s="466"/>
      <c r="E6" s="490"/>
      <c r="F6" s="490"/>
      <c r="G6" s="466"/>
      <c r="H6" s="467"/>
      <c r="I6" s="467"/>
      <c r="J6" s="546"/>
      <c r="K6" s="423"/>
      <c r="L6" s="374"/>
    </row>
    <row r="7" spans="1:54" ht="30" thickBot="1">
      <c r="A7" s="672" t="s">
        <v>197</v>
      </c>
      <c r="B7" s="673"/>
      <c r="C7" s="673"/>
      <c r="D7" s="633" t="s">
        <v>198</v>
      </c>
      <c r="E7" s="675">
        <f>'28'!F7</f>
        <v>827941</v>
      </c>
      <c r="F7" s="455">
        <f>E7+17000</f>
        <v>844941</v>
      </c>
      <c r="G7" s="674">
        <f>F7-E7</f>
        <v>17000</v>
      </c>
      <c r="H7" s="675">
        <f>G7+'28'!H7</f>
        <v>500529</v>
      </c>
      <c r="I7" s="676">
        <f>'1'!I7</f>
        <v>12000</v>
      </c>
      <c r="J7" s="677">
        <f>H7/DAY(B2)</f>
        <v>17259.620689655174</v>
      </c>
      <c r="K7" s="544">
        <v>1703438</v>
      </c>
      <c r="L7" s="374">
        <v>1715917</v>
      </c>
      <c r="O7" s="768"/>
    </row>
    <row r="8" spans="1:54" ht="27.75" thickBot="1">
      <c r="A8" s="678" t="s">
        <v>199</v>
      </c>
      <c r="B8" s="679"/>
      <c r="C8" s="680"/>
      <c r="D8" s="681" t="s">
        <v>59</v>
      </c>
      <c r="E8" s="675">
        <f>'28'!F8</f>
        <v>833245</v>
      </c>
      <c r="F8" s="455">
        <f>E8+17150</f>
        <v>850395</v>
      </c>
      <c r="G8" s="685">
        <f>F8-E8</f>
        <v>17150</v>
      </c>
      <c r="H8" s="675">
        <f>G8+'28'!H8</f>
        <v>503885</v>
      </c>
      <c r="I8" s="682"/>
      <c r="J8" s="677">
        <f>H8/DAY(B2)</f>
        <v>17375.344827586207</v>
      </c>
      <c r="K8" s="544">
        <v>1375467</v>
      </c>
      <c r="L8" s="421"/>
      <c r="M8" s="435"/>
      <c r="O8" s="768"/>
    </row>
    <row r="9" spans="1:54">
      <c r="A9" s="683" t="s">
        <v>200</v>
      </c>
      <c r="B9" s="684"/>
      <c r="C9" s="684"/>
      <c r="D9" s="633" t="s">
        <v>198</v>
      </c>
      <c r="E9" s="675">
        <f>'28'!F9</f>
        <v>1949222</v>
      </c>
      <c r="F9" s="733">
        <f>E9+16950</f>
        <v>1966172</v>
      </c>
      <c r="G9" s="698">
        <f t="shared" ref="G9:G12" si="0">F9-E9</f>
        <v>16950</v>
      </c>
      <c r="H9" s="675">
        <f>G9+'28'!H9</f>
        <v>492482</v>
      </c>
      <c r="I9" s="686">
        <f>I7-J7</f>
        <v>-5259.6206896551739</v>
      </c>
      <c r="J9" s="677">
        <f>H9/DAY(B2)</f>
        <v>16982.137931034482</v>
      </c>
      <c r="K9" s="424"/>
      <c r="L9" s="374"/>
      <c r="O9" s="768"/>
    </row>
    <row r="10" spans="1:54">
      <c r="A10" s="672" t="s">
        <v>201</v>
      </c>
      <c r="B10" s="673"/>
      <c r="C10" s="673"/>
      <c r="D10" s="633" t="s">
        <v>198</v>
      </c>
      <c r="E10" s="675">
        <f>'28'!F10</f>
        <v>0</v>
      </c>
      <c r="F10" s="733"/>
      <c r="G10" s="685">
        <f t="shared" si="0"/>
        <v>0</v>
      </c>
      <c r="H10" s="675">
        <f>G10+'28'!H10</f>
        <v>-2606.13</v>
      </c>
      <c r="I10" s="687"/>
      <c r="J10" s="677">
        <f>H10/DAY(B2)</f>
        <v>-89.866551724137935</v>
      </c>
      <c r="K10" s="424"/>
      <c r="L10" s="374"/>
      <c r="BB10" s="373">
        <v>0</v>
      </c>
    </row>
    <row r="11" spans="1:54">
      <c r="A11" s="672" t="s">
        <v>202</v>
      </c>
      <c r="B11" s="673"/>
      <c r="C11" s="673"/>
      <c r="D11" s="633" t="s">
        <v>198</v>
      </c>
      <c r="E11" s="675">
        <f>'5'!E11</f>
        <v>37000</v>
      </c>
      <c r="F11" s="455">
        <v>37000</v>
      </c>
      <c r="G11" s="685">
        <f t="shared" si="0"/>
        <v>0</v>
      </c>
      <c r="H11" s="675">
        <f>G11+'28'!H11</f>
        <v>0</v>
      </c>
      <c r="I11" s="687"/>
      <c r="J11" s="677">
        <f>H11/DAY(B2)</f>
        <v>0</v>
      </c>
      <c r="K11" s="424"/>
      <c r="L11" s="374"/>
    </row>
    <row r="12" spans="1:54">
      <c r="A12" s="672" t="s">
        <v>203</v>
      </c>
      <c r="B12" s="673"/>
      <c r="C12" s="673"/>
      <c r="D12" s="1093" t="s">
        <v>198</v>
      </c>
      <c r="E12" s="1087">
        <f>'5'!E12</f>
        <v>40010</v>
      </c>
      <c r="F12" s="733">
        <v>40010</v>
      </c>
      <c r="G12" s="685">
        <f t="shared" si="0"/>
        <v>0</v>
      </c>
      <c r="H12" s="675">
        <f>G12+'28'!H12</f>
        <v>0</v>
      </c>
      <c r="I12" s="687"/>
      <c r="J12" s="677">
        <f>H12/DAY(B2)</f>
        <v>0</v>
      </c>
      <c r="K12" s="424"/>
      <c r="L12" s="374"/>
    </row>
    <row r="13" spans="1:54">
      <c r="A13" s="688" t="s">
        <v>204</v>
      </c>
      <c r="B13" s="689"/>
      <c r="C13" s="689"/>
      <c r="D13" s="1093"/>
      <c r="E13" s="1087"/>
      <c r="F13" s="455"/>
      <c r="G13" s="690">
        <f>G9+G10+G11+G12</f>
        <v>16950</v>
      </c>
      <c r="H13" s="1087">
        <f>G13+'28'!H13</f>
        <v>473350.87</v>
      </c>
      <c r="I13" s="1088">
        <f>G7-G13</f>
        <v>50</v>
      </c>
      <c r="J13" s="1089">
        <f>H13/DAY(B2)</f>
        <v>16322.443793103448</v>
      </c>
      <c r="K13" s="424"/>
      <c r="L13" s="374"/>
    </row>
    <row r="14" spans="1:54">
      <c r="A14" s="1471" t="s">
        <v>205</v>
      </c>
      <c r="B14" s="1472"/>
      <c r="C14" s="1473"/>
      <c r="D14" s="1090"/>
      <c r="E14" s="1094"/>
      <c r="F14" s="734"/>
      <c r="G14" s="478"/>
      <c r="H14" s="1090"/>
      <c r="I14" s="1090"/>
      <c r="J14" s="1091"/>
      <c r="K14" s="425"/>
      <c r="L14" s="374"/>
    </row>
    <row r="15" spans="1:54">
      <c r="A15" s="661" t="s">
        <v>133</v>
      </c>
      <c r="B15" s="662"/>
      <c r="C15" s="662"/>
      <c r="D15" s="1095" t="s">
        <v>206</v>
      </c>
      <c r="E15" s="1096">
        <f>'28'!F15</f>
        <v>1699082</v>
      </c>
      <c r="F15" s="735">
        <f>E15+550</f>
        <v>1699632</v>
      </c>
      <c r="G15" s="660">
        <f>(F15-E15)</f>
        <v>550</v>
      </c>
      <c r="H15" s="1083">
        <f>G15+'28'!H15</f>
        <v>15108</v>
      </c>
      <c r="I15" s="1084">
        <f>'1'!I15</f>
        <v>800</v>
      </c>
      <c r="J15" s="1085">
        <f>H15/DAY(B2)</f>
        <v>520.9655172413793</v>
      </c>
      <c r="K15" s="424"/>
      <c r="L15" s="374"/>
    </row>
    <row r="16" spans="1:54">
      <c r="A16" s="669"/>
      <c r="B16" s="670"/>
      <c r="C16" s="670"/>
      <c r="D16" s="1095"/>
      <c r="E16" s="1096"/>
      <c r="F16" s="735"/>
      <c r="G16" s="665"/>
      <c r="H16" s="1083"/>
      <c r="I16" s="1086">
        <f>I15-J15</f>
        <v>279.0344827586207</v>
      </c>
      <c r="J16" s="1085"/>
      <c r="K16" s="424"/>
      <c r="L16" s="374"/>
    </row>
    <row r="17" spans="1:15">
      <c r="A17" s="1471" t="s">
        <v>207</v>
      </c>
      <c r="B17" s="1472"/>
      <c r="C17" s="1473"/>
      <c r="D17" s="1090"/>
      <c r="E17" s="1094"/>
      <c r="F17" s="734"/>
      <c r="G17" s="483"/>
      <c r="H17" s="1090"/>
      <c r="I17" s="1090"/>
      <c r="J17" s="1091"/>
      <c r="K17" s="424"/>
      <c r="L17" s="374"/>
    </row>
    <row r="18" spans="1:15" ht="27.75">
      <c r="A18" s="1506" t="s">
        <v>208</v>
      </c>
      <c r="B18" s="1507"/>
      <c r="C18" s="1508"/>
      <c r="D18" s="633" t="s">
        <v>209</v>
      </c>
      <c r="E18" s="753">
        <f>'28'!F18</f>
        <v>4</v>
      </c>
      <c r="F18" s="733">
        <v>6</v>
      </c>
      <c r="G18" s="690">
        <f>F18*10</f>
        <v>60</v>
      </c>
      <c r="H18" s="1087">
        <f>G18+'28'!H18</f>
        <v>1460</v>
      </c>
      <c r="I18" s="1092">
        <f>'1'!I18</f>
        <v>65</v>
      </c>
      <c r="J18" s="1089">
        <f>H18/DAY(B2)</f>
        <v>50.344827586206897</v>
      </c>
      <c r="K18" s="424"/>
      <c r="L18" s="374"/>
    </row>
    <row r="19" spans="1:15" ht="27.75">
      <c r="A19" s="1506" t="s">
        <v>113</v>
      </c>
      <c r="B19" s="1507"/>
      <c r="C19" s="1508"/>
      <c r="D19" s="633" t="s">
        <v>209</v>
      </c>
      <c r="E19" s="753">
        <f>'28'!F19</f>
        <v>139436</v>
      </c>
      <c r="F19" s="733">
        <v>139493</v>
      </c>
      <c r="G19" s="685">
        <f t="shared" ref="G19" si="1">F19-E19</f>
        <v>57</v>
      </c>
      <c r="H19" s="675">
        <f>G19+'28'!H19</f>
        <v>-119</v>
      </c>
      <c r="I19" s="692"/>
      <c r="J19" s="677">
        <f>H19/DAY(B2)</f>
        <v>-4.1034482758620694</v>
      </c>
      <c r="K19" s="424"/>
      <c r="L19" s="374"/>
    </row>
    <row r="20" spans="1:15">
      <c r="A20" s="688" t="s">
        <v>210</v>
      </c>
      <c r="B20" s="689"/>
      <c r="C20" s="689"/>
      <c r="D20" s="633"/>
      <c r="E20" s="675"/>
      <c r="F20" s="455"/>
      <c r="G20" s="693">
        <f>G18+G19</f>
        <v>117</v>
      </c>
      <c r="H20" s="675">
        <f>G20+'28'!H20</f>
        <v>1341</v>
      </c>
      <c r="I20" s="694">
        <f>I18-J20</f>
        <v>18.758620689655174</v>
      </c>
      <c r="J20" s="677">
        <f>H20/DAY(B2)</f>
        <v>46.241379310344826</v>
      </c>
      <c r="K20" s="424"/>
      <c r="L20" s="374"/>
    </row>
    <row r="21" spans="1:15">
      <c r="A21" s="1471" t="s">
        <v>211</v>
      </c>
      <c r="B21" s="1472"/>
      <c r="C21" s="1473"/>
      <c r="D21" s="467"/>
      <c r="E21" s="734"/>
      <c r="F21" s="734"/>
      <c r="G21" s="478"/>
      <c r="H21" s="467"/>
      <c r="I21" s="467"/>
      <c r="J21" s="546"/>
      <c r="K21" s="424"/>
      <c r="L21" s="374"/>
    </row>
    <row r="22" spans="1:15">
      <c r="A22" s="1392" t="s">
        <v>212</v>
      </c>
      <c r="B22" s="584"/>
      <c r="C22" s="584"/>
      <c r="D22" s="518" t="s">
        <v>213</v>
      </c>
      <c r="E22" s="754">
        <f>'28'!F22</f>
        <v>2970</v>
      </c>
      <c r="F22" s="733">
        <v>2970</v>
      </c>
      <c r="G22" s="476">
        <f t="shared" ref="G22" si="2">(F22-E22)</f>
        <v>0</v>
      </c>
      <c r="H22" s="455">
        <f>G22+'28'!H22</f>
        <v>0</v>
      </c>
      <c r="I22" s="475"/>
      <c r="J22" s="547">
        <f>H22/DAY(B2)</f>
        <v>0</v>
      </c>
      <c r="K22" s="424"/>
      <c r="L22" s="374"/>
    </row>
    <row r="23" spans="1:15">
      <c r="A23" s="1392" t="s">
        <v>214</v>
      </c>
      <c r="B23" s="584"/>
      <c r="C23" s="584"/>
      <c r="D23" s="518" t="s">
        <v>213</v>
      </c>
      <c r="E23" s="754">
        <f>'28'!F23</f>
        <v>2000</v>
      </c>
      <c r="F23" s="733">
        <v>2000</v>
      </c>
      <c r="G23" s="476">
        <v>0</v>
      </c>
      <c r="H23" s="455">
        <f>G23+'28'!H23</f>
        <v>0</v>
      </c>
      <c r="I23" s="475"/>
      <c r="J23" s="547">
        <f>H23/DAY(B2)</f>
        <v>0</v>
      </c>
      <c r="K23" s="424"/>
      <c r="L23" s="374"/>
    </row>
    <row r="24" spans="1:15">
      <c r="A24" s="585" t="s">
        <v>215</v>
      </c>
      <c r="B24" s="586"/>
      <c r="C24" s="586"/>
      <c r="D24" s="506" t="s">
        <v>213</v>
      </c>
      <c r="E24" s="755">
        <f>'28'!F24</f>
        <v>4970</v>
      </c>
      <c r="F24" s="736">
        <v>4970</v>
      </c>
      <c r="G24" s="476">
        <v>0</v>
      </c>
      <c r="H24" s="455">
        <f>G24+'28'!H24</f>
        <v>0</v>
      </c>
      <c r="I24" s="475"/>
      <c r="J24" s="547">
        <f>H24/DAY(B2)</f>
        <v>0</v>
      </c>
      <c r="K24" s="424"/>
      <c r="L24" s="374"/>
    </row>
    <row r="25" spans="1:15" s="437" customFormat="1" ht="27">
      <c r="A25" s="1476" t="s">
        <v>216</v>
      </c>
      <c r="B25" s="1477"/>
      <c r="C25" s="1478"/>
      <c r="D25" s="466"/>
      <c r="E25" s="490"/>
      <c r="F25" s="490"/>
      <c r="G25" s="489"/>
      <c r="H25" s="490"/>
      <c r="I25" s="491"/>
      <c r="J25" s="549"/>
      <c r="K25" s="370"/>
      <c r="L25" s="438"/>
      <c r="N25" s="765"/>
      <c r="O25" s="765"/>
    </row>
    <row r="26" spans="1:15" s="437" customFormat="1" ht="27">
      <c r="A26" s="587" t="s">
        <v>217</v>
      </c>
      <c r="B26" s="588"/>
      <c r="C26" s="589"/>
      <c r="D26" s="613" t="s">
        <v>218</v>
      </c>
      <c r="E26" s="756"/>
      <c r="F26" s="455"/>
      <c r="G26" s="493"/>
      <c r="H26" s="455"/>
      <c r="I26" s="494"/>
      <c r="J26" s="547"/>
      <c r="K26" s="371"/>
      <c r="L26" s="438"/>
      <c r="N26" s="765"/>
      <c r="O26" s="765"/>
    </row>
    <row r="27" spans="1:15" s="437" customFormat="1" ht="27">
      <c r="A27" s="587" t="s">
        <v>40</v>
      </c>
      <c r="B27" s="588"/>
      <c r="C27" s="589"/>
      <c r="D27" s="614" t="s">
        <v>59</v>
      </c>
      <c r="E27" s="695">
        <f>G8</f>
        <v>17150</v>
      </c>
      <c r="F27" s="496">
        <v>9</v>
      </c>
      <c r="G27" s="497">
        <f>E27*F27</f>
        <v>154350</v>
      </c>
      <c r="H27" s="455">
        <f>G27+'28'!H27</f>
        <v>4534128</v>
      </c>
      <c r="I27" s="498"/>
      <c r="J27" s="547">
        <f>H27/DAY(B2)</f>
        <v>156349.24137931035</v>
      </c>
      <c r="K27" s="370"/>
      <c r="L27" s="438"/>
      <c r="N27" s="765"/>
      <c r="O27" s="765"/>
    </row>
    <row r="28" spans="1:15" s="437" customFormat="1" ht="27">
      <c r="A28" s="587" t="s">
        <v>219</v>
      </c>
      <c r="B28" s="588"/>
      <c r="C28" s="589"/>
      <c r="D28" s="614" t="s">
        <v>220</v>
      </c>
      <c r="E28" s="695">
        <f>G15</f>
        <v>550</v>
      </c>
      <c r="F28" s="496">
        <v>52</v>
      </c>
      <c r="G28" s="497">
        <f>E28*F28</f>
        <v>28600</v>
      </c>
      <c r="H28" s="455">
        <f>G28+'28'!H28</f>
        <v>785616</v>
      </c>
      <c r="I28" s="500"/>
      <c r="J28" s="547">
        <f>H28/DAY(B2)</f>
        <v>27090.206896551725</v>
      </c>
      <c r="K28" s="370"/>
      <c r="L28" s="438"/>
      <c r="N28" s="765"/>
      <c r="O28" s="765"/>
    </row>
    <row r="29" spans="1:15" s="437" customFormat="1" ht="27">
      <c r="A29" s="587" t="s">
        <v>221</v>
      </c>
      <c r="B29" s="588"/>
      <c r="C29" s="589"/>
      <c r="D29" s="614" t="s">
        <v>222</v>
      </c>
      <c r="E29" s="695">
        <f>G24</f>
        <v>0</v>
      </c>
      <c r="F29" s="695">
        <v>69</v>
      </c>
      <c r="G29" s="497">
        <f>E29*F29</f>
        <v>0</v>
      </c>
      <c r="H29" s="455">
        <f>G29+'28'!H29</f>
        <v>8280</v>
      </c>
      <c r="I29" s="500"/>
      <c r="J29" s="547">
        <f>H29/DAY(B2)</f>
        <v>285.51724137931035</v>
      </c>
      <c r="K29" s="370"/>
      <c r="L29" s="438"/>
      <c r="N29" s="765"/>
      <c r="O29" s="765"/>
    </row>
    <row r="30" spans="1:15" s="437" customFormat="1" ht="27">
      <c r="A30" s="587" t="s">
        <v>223</v>
      </c>
      <c r="B30" s="588"/>
      <c r="C30" s="589"/>
      <c r="D30" s="614" t="s">
        <v>224</v>
      </c>
      <c r="E30" s="695">
        <f>G19</f>
        <v>57</v>
      </c>
      <c r="F30" s="695">
        <v>146</v>
      </c>
      <c r="G30" s="497">
        <f>E30*F30</f>
        <v>8322</v>
      </c>
      <c r="H30" s="455">
        <f>G30+'28'!H30</f>
        <v>-17374</v>
      </c>
      <c r="I30" s="500"/>
      <c r="J30" s="547">
        <f>H30/DAY(B2)</f>
        <v>-599.10344827586209</v>
      </c>
      <c r="K30" s="370"/>
      <c r="L30" s="438"/>
      <c r="N30" s="765"/>
      <c r="O30" s="765"/>
    </row>
    <row r="31" spans="1:15" s="437" customFormat="1" ht="27">
      <c r="A31" s="587" t="s">
        <v>225</v>
      </c>
      <c r="B31" s="588"/>
      <c r="C31" s="589"/>
      <c r="D31" s="614" t="s">
        <v>209</v>
      </c>
      <c r="E31" s="695">
        <f>G18</f>
        <v>60</v>
      </c>
      <c r="F31" s="695">
        <v>80</v>
      </c>
      <c r="G31" s="497">
        <f>E31*F31</f>
        <v>4800</v>
      </c>
      <c r="H31" s="455">
        <f>G31+'28'!H31</f>
        <v>116800</v>
      </c>
      <c r="I31" s="500"/>
      <c r="J31" s="547"/>
      <c r="K31" s="370"/>
      <c r="L31" s="438"/>
      <c r="N31" s="765"/>
      <c r="O31" s="765"/>
    </row>
    <row r="32" spans="1:15" s="437" customFormat="1" ht="27">
      <c r="A32" s="590" t="s">
        <v>226</v>
      </c>
      <c r="B32" s="591"/>
      <c r="C32" s="592"/>
      <c r="D32" s="502"/>
      <c r="E32" s="757"/>
      <c r="F32" s="481"/>
      <c r="G32" s="503">
        <f>G27+G28+G29+G30+G31</f>
        <v>196072</v>
      </c>
      <c r="H32" s="455">
        <f>G32+'28'!H32</f>
        <v>5427450</v>
      </c>
      <c r="I32" s="504"/>
      <c r="J32" s="547">
        <f>H32/DAY(B2)</f>
        <v>187153.44827586206</v>
      </c>
      <c r="K32" s="370"/>
      <c r="L32" s="438"/>
      <c r="N32" s="765"/>
      <c r="O32" s="765"/>
    </row>
    <row r="33" spans="1:15" ht="25.5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</row>
    <row r="34" spans="1:15">
      <c r="A34" s="593" t="s">
        <v>228</v>
      </c>
      <c r="B34" s="1397"/>
      <c r="C34" s="1397"/>
      <c r="D34" s="467"/>
      <c r="E34" s="490"/>
      <c r="F34" s="490"/>
      <c r="G34" s="467"/>
      <c r="H34" s="467"/>
      <c r="I34" s="467"/>
      <c r="J34" s="546"/>
      <c r="K34" s="424"/>
      <c r="L34" s="374"/>
    </row>
    <row r="35" spans="1:15">
      <c r="A35" s="573" t="s">
        <v>229</v>
      </c>
      <c r="B35" s="574"/>
      <c r="C35" s="574"/>
      <c r="D35" s="518" t="s">
        <v>198</v>
      </c>
      <c r="E35" s="737">
        <f>'28'!F35</f>
        <v>943358</v>
      </c>
      <c r="F35" s="737">
        <v>945766</v>
      </c>
      <c r="G35" s="468">
        <f t="shared" ref="G35:G46" si="3">F35-E35</f>
        <v>2408</v>
      </c>
      <c r="H35" s="455">
        <f>G35+'28'!H35</f>
        <v>-4722</v>
      </c>
      <c r="I35" s="450"/>
      <c r="J35" s="547">
        <f>H35/DAY(B2)</f>
        <v>-162.82758620689654</v>
      </c>
      <c r="K35" s="424"/>
      <c r="L35" s="374"/>
    </row>
    <row r="36" spans="1:15">
      <c r="A36" s="573" t="s">
        <v>230</v>
      </c>
      <c r="B36" s="574"/>
      <c r="C36" s="574"/>
      <c r="D36" s="518" t="s">
        <v>198</v>
      </c>
      <c r="E36" s="737">
        <f>'28'!F36</f>
        <v>347065</v>
      </c>
      <c r="F36" s="737">
        <v>347065</v>
      </c>
      <c r="G36" s="468">
        <f t="shared" si="3"/>
        <v>0</v>
      </c>
      <c r="H36" s="455">
        <f>G36+'28'!H36</f>
        <v>346892</v>
      </c>
      <c r="I36" s="450"/>
      <c r="J36" s="547">
        <f>H36/DAY(B2)</f>
        <v>11961.793103448275</v>
      </c>
      <c r="K36" s="424"/>
      <c r="L36" s="374"/>
    </row>
    <row r="37" spans="1:15" s="436" customFormat="1">
      <c r="A37" s="1099" t="s">
        <v>231</v>
      </c>
      <c r="B37" s="1103"/>
      <c r="C37" s="1103"/>
      <c r="D37" s="622" t="s">
        <v>198</v>
      </c>
      <c r="E37" s="738">
        <f>'28'!F37</f>
        <v>130320</v>
      </c>
      <c r="F37" s="738">
        <v>131674</v>
      </c>
      <c r="G37" s="648">
        <f t="shared" si="3"/>
        <v>1354</v>
      </c>
      <c r="H37" s="701">
        <f>G37+'28'!H37</f>
        <v>-2562</v>
      </c>
      <c r="I37" s="702"/>
      <c r="J37" s="703">
        <f>H37/DAY(B2)</f>
        <v>-88.34482758620689</v>
      </c>
      <c r="K37" s="1101"/>
      <c r="L37" s="1102"/>
      <c r="N37" s="766"/>
      <c r="O37" s="766"/>
    </row>
    <row r="38" spans="1:15" s="436" customFormat="1">
      <c r="A38" s="1099" t="s">
        <v>232</v>
      </c>
      <c r="B38" s="1103"/>
      <c r="C38" s="1103"/>
      <c r="D38" s="622" t="s">
        <v>198</v>
      </c>
      <c r="E38" s="738">
        <f>'28'!F38</f>
        <v>152607</v>
      </c>
      <c r="F38" s="1104">
        <v>153825</v>
      </c>
      <c r="G38" s="648">
        <f t="shared" si="3"/>
        <v>1218</v>
      </c>
      <c r="H38" s="701">
        <f>G38+'28'!H38</f>
        <v>-2580</v>
      </c>
      <c r="I38" s="702"/>
      <c r="J38" s="703">
        <f>H38/DAY(B2)</f>
        <v>-88.965517241379317</v>
      </c>
      <c r="K38" s="1101"/>
      <c r="L38" s="1102"/>
      <c r="N38" s="766"/>
      <c r="O38" s="766"/>
    </row>
    <row r="39" spans="1:15" s="436" customFormat="1">
      <c r="A39" s="1099" t="s">
        <v>233</v>
      </c>
      <c r="B39" s="1103"/>
      <c r="C39" s="1103"/>
      <c r="D39" s="622" t="s">
        <v>198</v>
      </c>
      <c r="E39" s="738">
        <f>'28'!F39</f>
        <v>301259</v>
      </c>
      <c r="F39" s="738">
        <v>303589</v>
      </c>
      <c r="G39" s="648">
        <f t="shared" si="3"/>
        <v>2330</v>
      </c>
      <c r="H39" s="701">
        <f>G39+'28'!H39</f>
        <v>-4584</v>
      </c>
      <c r="I39" s="702"/>
      <c r="J39" s="703">
        <f>H39/DAY(B2)</f>
        <v>-158.06896551724137</v>
      </c>
      <c r="K39" s="1101"/>
      <c r="L39" s="1102"/>
      <c r="N39" s="766"/>
      <c r="O39" s="766"/>
    </row>
    <row r="40" spans="1:15" s="436" customFormat="1">
      <c r="A40" s="1105" t="s">
        <v>234</v>
      </c>
      <c r="B40" s="1106"/>
      <c r="C40" s="1106"/>
      <c r="D40" s="622" t="s">
        <v>198</v>
      </c>
      <c r="E40" s="738">
        <f>'28'!F40</f>
        <v>889</v>
      </c>
      <c r="F40" s="738">
        <v>889</v>
      </c>
      <c r="G40" s="648">
        <f t="shared" si="3"/>
        <v>0</v>
      </c>
      <c r="H40" s="701">
        <f>G40+'28'!H40</f>
        <v>0</v>
      </c>
      <c r="I40" s="702"/>
      <c r="J40" s="703">
        <f>H40/DAY(B2)</f>
        <v>0</v>
      </c>
      <c r="K40" s="1107"/>
      <c r="L40" s="1102"/>
      <c r="N40" s="766"/>
      <c r="O40" s="766"/>
    </row>
    <row r="41" spans="1:15" s="436" customFormat="1">
      <c r="A41" s="1099" t="s">
        <v>235</v>
      </c>
      <c r="B41" s="1103"/>
      <c r="C41" s="1103"/>
      <c r="D41" s="622" t="s">
        <v>198</v>
      </c>
      <c r="E41" s="738">
        <f>'28'!F41</f>
        <v>240478</v>
      </c>
      <c r="F41" s="738">
        <v>240478</v>
      </c>
      <c r="G41" s="648">
        <f>F41-E41</f>
        <v>0</v>
      </c>
      <c r="H41" s="701">
        <f>G41+'28'!H41</f>
        <v>0</v>
      </c>
      <c r="I41" s="702"/>
      <c r="J41" s="703">
        <f>H41/DAY(B2)</f>
        <v>0</v>
      </c>
      <c r="K41" s="1101"/>
      <c r="L41" s="1102"/>
      <c r="N41" s="766"/>
      <c r="O41" s="766"/>
    </row>
    <row r="42" spans="1:15">
      <c r="A42" s="573" t="s">
        <v>236</v>
      </c>
      <c r="B42" s="574"/>
      <c r="C42" s="574"/>
      <c r="D42" s="518" t="s">
        <v>198</v>
      </c>
      <c r="E42" s="737">
        <f>'28'!F42</f>
        <v>59199</v>
      </c>
      <c r="F42" s="737">
        <v>59199</v>
      </c>
      <c r="G42" s="468">
        <f t="shared" si="3"/>
        <v>0</v>
      </c>
      <c r="H42" s="455">
        <f>G42+'28'!H42</f>
        <v>2.9999999998835847E-2</v>
      </c>
      <c r="I42" s="450"/>
      <c r="J42" s="547">
        <f>H42/DAY(B2)</f>
        <v>1.0344827585805464E-3</v>
      </c>
      <c r="K42" s="424"/>
      <c r="L42" s="374"/>
    </row>
    <row r="43" spans="1:15">
      <c r="A43" s="573" t="s">
        <v>237</v>
      </c>
      <c r="B43" s="574"/>
      <c r="C43" s="574"/>
      <c r="D43" s="518" t="s">
        <v>198</v>
      </c>
      <c r="E43" s="737">
        <f>'28'!F43</f>
        <v>1035334</v>
      </c>
      <c r="F43" s="737">
        <v>1037660</v>
      </c>
      <c r="G43" s="468">
        <f t="shared" si="3"/>
        <v>2326</v>
      </c>
      <c r="H43" s="455">
        <f>G43+'28'!H43</f>
        <v>-4584</v>
      </c>
      <c r="I43" s="450"/>
      <c r="J43" s="547">
        <f>H43/DAY(B2)</f>
        <v>-158.06896551724137</v>
      </c>
      <c r="K43" s="424"/>
      <c r="L43" s="374"/>
    </row>
    <row r="44" spans="1:15">
      <c r="A44" s="573" t="s">
        <v>238</v>
      </c>
      <c r="B44" s="574"/>
      <c r="C44" s="574"/>
      <c r="D44" s="518" t="s">
        <v>198</v>
      </c>
      <c r="E44" s="737">
        <f>'28'!F44</f>
        <v>0</v>
      </c>
      <c r="F44" s="737">
        <v>0</v>
      </c>
      <c r="G44" s="468">
        <f t="shared" si="3"/>
        <v>0</v>
      </c>
      <c r="H44" s="455">
        <f>G44+'28'!H44</f>
        <v>0</v>
      </c>
      <c r="I44" s="450"/>
      <c r="J44" s="547">
        <f>H44/DAY(B2)</f>
        <v>0</v>
      </c>
      <c r="K44" s="424"/>
      <c r="L44" s="374"/>
    </row>
    <row r="45" spans="1:15">
      <c r="A45" s="573" t="s">
        <v>239</v>
      </c>
      <c r="B45" s="574"/>
      <c r="C45" s="574"/>
      <c r="D45" s="518" t="s">
        <v>198</v>
      </c>
      <c r="E45" s="737">
        <f>'28'!F45</f>
        <v>614</v>
      </c>
      <c r="F45" s="737">
        <v>614</v>
      </c>
      <c r="G45" s="468">
        <f t="shared" si="3"/>
        <v>0</v>
      </c>
      <c r="H45" s="455">
        <f>G45+'28'!H45</f>
        <v>614</v>
      </c>
      <c r="I45" s="450"/>
      <c r="J45" s="547">
        <f>H45/DAY(B2)</f>
        <v>21.172413793103448</v>
      </c>
      <c r="K45" s="424"/>
      <c r="L45" s="374"/>
    </row>
    <row r="46" spans="1:15">
      <c r="A46" s="573" t="s">
        <v>240</v>
      </c>
      <c r="B46" s="574"/>
      <c r="C46" s="574"/>
      <c r="D46" s="518" t="s">
        <v>198</v>
      </c>
      <c r="E46" s="737">
        <f>'28'!F46</f>
        <v>187</v>
      </c>
      <c r="F46" s="737">
        <v>187</v>
      </c>
      <c r="G46" s="468">
        <f t="shared" si="3"/>
        <v>0</v>
      </c>
      <c r="H46" s="455">
        <f>G46+'28'!H46</f>
        <v>186.95</v>
      </c>
      <c r="I46" s="450"/>
      <c r="J46" s="547">
        <f>H46/DAY(B2)</f>
        <v>6.4465517241379304</v>
      </c>
      <c r="K46" s="424"/>
      <c r="L46" s="374"/>
    </row>
    <row r="47" spans="1:15">
      <c r="A47" s="580" t="s">
        <v>241</v>
      </c>
      <c r="B47" s="581"/>
      <c r="C47" s="581"/>
      <c r="D47" s="465"/>
      <c r="E47" s="465"/>
      <c r="F47" s="465"/>
      <c r="G47" s="476">
        <f>G35+G36+G37+G38+G39+G40+G41+G42+G43+G44+G45+G46</f>
        <v>9636</v>
      </c>
      <c r="H47" s="455">
        <f>G47+'28'!H47</f>
        <v>328661.47000000003</v>
      </c>
      <c r="I47" s="450"/>
      <c r="J47" s="547">
        <f>H47/DAY(B2)</f>
        <v>11333.154137931035</v>
      </c>
      <c r="K47" s="424"/>
      <c r="L47" s="374"/>
    </row>
    <row r="48" spans="1:15">
      <c r="A48" s="593" t="s">
        <v>242</v>
      </c>
      <c r="B48" s="1397"/>
      <c r="C48" s="1397"/>
      <c r="D48" s="467"/>
      <c r="E48" s="490"/>
      <c r="F48" s="490"/>
      <c r="G48" s="467"/>
      <c r="H48" s="467"/>
      <c r="I48" s="467"/>
      <c r="J48" s="546"/>
      <c r="K48" s="424"/>
      <c r="L48" s="374"/>
    </row>
    <row r="49" spans="1:15" s="436" customFormat="1">
      <c r="A49" s="1099" t="s">
        <v>229</v>
      </c>
      <c r="B49" s="1100"/>
      <c r="C49" s="1100"/>
      <c r="D49" s="622" t="s">
        <v>198</v>
      </c>
      <c r="E49" s="738">
        <f>'28'!F49</f>
        <v>260732.13</v>
      </c>
      <c r="F49" s="738">
        <v>260732.13</v>
      </c>
      <c r="G49" s="648">
        <f t="shared" ref="G49:G58" si="4">F49-E49</f>
        <v>0</v>
      </c>
      <c r="H49" s="701">
        <f>G49+'28'!H49</f>
        <v>0.13000000000465661</v>
      </c>
      <c r="I49" s="702"/>
      <c r="J49" s="703">
        <f>H49/DAY(B2)</f>
        <v>4.4827586208502279E-3</v>
      </c>
      <c r="K49" s="1101"/>
      <c r="L49" s="1102"/>
      <c r="N49" s="766"/>
      <c r="O49" s="766"/>
    </row>
    <row r="50" spans="1:15" s="436" customFormat="1">
      <c r="A50" s="1099" t="s">
        <v>243</v>
      </c>
      <c r="B50" s="1100" t="s">
        <v>363</v>
      </c>
      <c r="C50" s="1100"/>
      <c r="D50" s="622" t="s">
        <v>198</v>
      </c>
      <c r="E50" s="738">
        <f>'28'!F50</f>
        <v>499860</v>
      </c>
      <c r="F50" s="738">
        <v>500726</v>
      </c>
      <c r="G50" s="648">
        <f t="shared" si="4"/>
        <v>866</v>
      </c>
      <c r="H50" s="701">
        <f>G50+'28'!H50</f>
        <v>-2700</v>
      </c>
      <c r="I50" s="702"/>
      <c r="J50" s="703">
        <f>H50/DAY(B2)</f>
        <v>-93.103448275862064</v>
      </c>
      <c r="K50" s="1101"/>
      <c r="L50" s="1102"/>
      <c r="N50" s="766"/>
      <c r="O50" s="766"/>
    </row>
    <row r="51" spans="1:15" s="436" customFormat="1">
      <c r="A51" s="1099" t="s">
        <v>231</v>
      </c>
      <c r="B51" s="1100"/>
      <c r="C51" s="1100"/>
      <c r="D51" s="622" t="s">
        <v>198</v>
      </c>
      <c r="E51" s="738">
        <f>'28'!F51</f>
        <v>144640</v>
      </c>
      <c r="F51" s="738">
        <v>144639.87</v>
      </c>
      <c r="G51" s="648">
        <f t="shared" si="4"/>
        <v>-0.13000000000465661</v>
      </c>
      <c r="H51" s="701">
        <f>G51+'28'!H51</f>
        <v>-0.13000000000465661</v>
      </c>
      <c r="I51" s="702"/>
      <c r="J51" s="703">
        <f>H51/DAY(B2)</f>
        <v>-4.4827586208502279E-3</v>
      </c>
      <c r="K51" s="1101"/>
      <c r="L51" s="1102"/>
      <c r="N51" s="766"/>
      <c r="O51" s="766"/>
    </row>
    <row r="52" spans="1:15" s="436" customFormat="1">
      <c r="A52" s="1099" t="s">
        <v>244</v>
      </c>
      <c r="B52" s="1100"/>
      <c r="C52" s="1100"/>
      <c r="D52" s="622" t="s">
        <v>198</v>
      </c>
      <c r="E52" s="738">
        <f>'28'!F52</f>
        <v>539606.06999999995</v>
      </c>
      <c r="F52" s="738">
        <v>539606.06999999995</v>
      </c>
      <c r="G52" s="648">
        <f t="shared" si="4"/>
        <v>0</v>
      </c>
      <c r="H52" s="701">
        <f>G52+'28'!H52</f>
        <v>0</v>
      </c>
      <c r="I52" s="702"/>
      <c r="J52" s="703">
        <f>H52/DAY(B2)</f>
        <v>0</v>
      </c>
      <c r="K52" s="1101"/>
      <c r="L52" s="1102"/>
      <c r="N52" s="766"/>
      <c r="O52" s="766"/>
    </row>
    <row r="53" spans="1:15" s="436" customFormat="1">
      <c r="A53" s="1099" t="s">
        <v>233</v>
      </c>
      <c r="B53" s="1100"/>
      <c r="C53" s="1100"/>
      <c r="D53" s="622" t="s">
        <v>198</v>
      </c>
      <c r="E53" s="738">
        <f>'28'!F53</f>
        <v>430926</v>
      </c>
      <c r="F53" s="738">
        <v>431514</v>
      </c>
      <c r="G53" s="648">
        <f t="shared" si="4"/>
        <v>588</v>
      </c>
      <c r="H53" s="701">
        <f>G53+'28'!H53</f>
        <v>-1030.3300000000163</v>
      </c>
      <c r="I53" s="702"/>
      <c r="J53" s="703">
        <f>H53/DAY(B2)</f>
        <v>-35.528620689655732</v>
      </c>
      <c r="K53" s="1101"/>
      <c r="L53" s="1102"/>
      <c r="N53" s="766"/>
      <c r="O53" s="766"/>
    </row>
    <row r="54" spans="1:15">
      <c r="A54" s="573" t="s">
        <v>245</v>
      </c>
      <c r="B54" s="596"/>
      <c r="C54" s="596"/>
      <c r="D54" s="518" t="s">
        <v>198</v>
      </c>
      <c r="E54" s="738">
        <f>'28'!F54</f>
        <v>13516</v>
      </c>
      <c r="F54" s="737">
        <v>13596</v>
      </c>
      <c r="G54" s="468">
        <f t="shared" si="4"/>
        <v>80</v>
      </c>
      <c r="H54" s="455">
        <f>G54+'28'!H54</f>
        <v>-233</v>
      </c>
      <c r="I54" s="450"/>
      <c r="J54" s="547">
        <f>H54/DAY(B2)</f>
        <v>-8.0344827586206904</v>
      </c>
      <c r="K54" s="424"/>
      <c r="L54" s="374"/>
    </row>
    <row r="55" spans="1:15">
      <c r="A55" s="573" t="s">
        <v>246</v>
      </c>
      <c r="B55" s="596"/>
      <c r="C55" s="596"/>
      <c r="D55" s="518" t="s">
        <v>198</v>
      </c>
      <c r="E55" s="738">
        <f>'28'!F55</f>
        <v>68111</v>
      </c>
      <c r="F55" s="738">
        <v>68111</v>
      </c>
      <c r="G55" s="648">
        <f t="shared" si="4"/>
        <v>0</v>
      </c>
      <c r="H55" s="701">
        <f>G55+'28'!H55</f>
        <v>0</v>
      </c>
      <c r="I55" s="702"/>
      <c r="J55" s="703">
        <f>H55/DAY(B2)</f>
        <v>0</v>
      </c>
      <c r="K55" s="424"/>
      <c r="L55" s="374"/>
    </row>
    <row r="56" spans="1:15">
      <c r="A56" s="573" t="s">
        <v>247</v>
      </c>
      <c r="B56" s="596"/>
      <c r="C56" s="596"/>
      <c r="D56" s="518" t="s">
        <v>248</v>
      </c>
      <c r="E56" s="738">
        <f>'28'!F56</f>
        <v>601191</v>
      </c>
      <c r="F56" s="738">
        <v>606023</v>
      </c>
      <c r="G56" s="468">
        <f t="shared" si="4"/>
        <v>4832</v>
      </c>
      <c r="H56" s="455">
        <f>G56+'28'!H56</f>
        <v>-11175</v>
      </c>
      <c r="I56" s="450"/>
      <c r="J56" s="547">
        <f>H56/DAY(B2)</f>
        <v>-385.34482758620692</v>
      </c>
      <c r="K56" s="423"/>
      <c r="L56" s="374"/>
    </row>
    <row r="57" spans="1:15">
      <c r="A57" s="573" t="s">
        <v>237</v>
      </c>
      <c r="B57" s="596"/>
      <c r="C57" s="596"/>
      <c r="D57" s="518" t="s">
        <v>198</v>
      </c>
      <c r="E57" s="738">
        <f>'28'!F57</f>
        <v>7711.33</v>
      </c>
      <c r="F57" s="737">
        <v>7711</v>
      </c>
      <c r="G57" s="468">
        <f t="shared" si="4"/>
        <v>-0.32999999999992724</v>
      </c>
      <c r="H57" s="455">
        <f>G57+'28'!H57</f>
        <v>0</v>
      </c>
      <c r="I57" s="450"/>
      <c r="J57" s="547">
        <f>H57/DAY(B2)</f>
        <v>0</v>
      </c>
      <c r="K57" s="424"/>
      <c r="L57" s="374"/>
    </row>
    <row r="58" spans="1:15">
      <c r="A58" s="573" t="s">
        <v>249</v>
      </c>
      <c r="B58" s="596"/>
      <c r="C58" s="596"/>
      <c r="D58" s="518" t="s">
        <v>198</v>
      </c>
      <c r="E58" s="738">
        <f>'28'!F58</f>
        <v>49264</v>
      </c>
      <c r="F58" s="738">
        <v>49264</v>
      </c>
      <c r="G58" s="468">
        <f t="shared" si="4"/>
        <v>0</v>
      </c>
      <c r="H58" s="455">
        <f>G58+'28'!H58</f>
        <v>-600.20999999999913</v>
      </c>
      <c r="I58" s="450"/>
      <c r="J58" s="547">
        <f>H58/DAY(B2)</f>
        <v>-20.696896551724109</v>
      </c>
      <c r="K58" s="424"/>
      <c r="L58" s="374"/>
    </row>
    <row r="59" spans="1:15">
      <c r="A59" s="580">
        <v>1</v>
      </c>
      <c r="B59" s="581"/>
      <c r="C59" s="581"/>
      <c r="D59" s="506"/>
      <c r="E59" s="465"/>
      <c r="F59" s="465"/>
      <c r="G59" s="476">
        <f>G49+G50+G51+G52+G53+G54+G55+G56+G57+G58</f>
        <v>6365.5399999999954</v>
      </c>
      <c r="H59" s="455">
        <f>G59+'28'!H59</f>
        <v>-15738.470000000058</v>
      </c>
      <c r="I59" s="450">
        <f>G7-G60</f>
        <v>998.46000000000458</v>
      </c>
      <c r="J59" s="547">
        <f>H59/DAY(B2)</f>
        <v>-542.70586206896746</v>
      </c>
      <c r="K59" s="424"/>
      <c r="L59" s="374"/>
      <c r="O59" s="765">
        <f>159+122+341+154</f>
        <v>776</v>
      </c>
    </row>
    <row r="60" spans="1:15">
      <c r="A60" s="573"/>
      <c r="B60" s="574"/>
      <c r="C60" s="574"/>
      <c r="D60" s="506" t="s">
        <v>250</v>
      </c>
      <c r="E60" s="465"/>
      <c r="F60" s="465"/>
      <c r="G60" s="476">
        <f>G47+G59</f>
        <v>16001.539999999995</v>
      </c>
      <c r="H60" s="455">
        <f>G60+'28'!H60</f>
        <v>314131.53999999998</v>
      </c>
      <c r="I60" s="450">
        <f>G13-G60</f>
        <v>948.46000000000458</v>
      </c>
      <c r="J60" s="547">
        <f>H60/DAY(B2)</f>
        <v>10832.122068965517</v>
      </c>
      <c r="K60" s="424"/>
      <c r="L60" s="374"/>
    </row>
    <row r="61" spans="1:15">
      <c r="A61" s="597" t="s">
        <v>251</v>
      </c>
      <c r="B61" s="448"/>
      <c r="C61" s="448"/>
      <c r="D61" s="508"/>
      <c r="E61" s="739"/>
      <c r="F61" s="739"/>
      <c r="G61" s="508"/>
      <c r="H61" s="508"/>
      <c r="I61" s="508"/>
      <c r="J61" s="550"/>
      <c r="K61" s="424"/>
      <c r="L61" s="374"/>
    </row>
    <row r="62" spans="1:15">
      <c r="A62" s="598" t="s">
        <v>252</v>
      </c>
      <c r="B62" s="599"/>
      <c r="C62" s="599"/>
      <c r="D62" s="506" t="s">
        <v>253</v>
      </c>
      <c r="E62" s="509">
        <f>'28'!F62</f>
        <v>20419</v>
      </c>
      <c r="F62" s="509">
        <v>20419</v>
      </c>
      <c r="G62" s="468">
        <f t="shared" ref="G62:G69" si="5">F62-E62</f>
        <v>0</v>
      </c>
      <c r="H62" s="455">
        <f>G62+'28'!H62</f>
        <v>1.9999999967694748E-3</v>
      </c>
      <c r="I62" s="510"/>
      <c r="J62" s="547">
        <f>H62/DAY(B2)</f>
        <v>6.896551712998189E-5</v>
      </c>
      <c r="K62" s="424"/>
      <c r="L62" s="374"/>
    </row>
    <row r="63" spans="1:15">
      <c r="A63" s="598" t="s">
        <v>254</v>
      </c>
      <c r="B63" s="599"/>
      <c r="C63" s="599"/>
      <c r="D63" s="506" t="s">
        <v>253</v>
      </c>
      <c r="E63" s="509">
        <f>'28'!F63</f>
        <v>2464</v>
      </c>
      <c r="F63" s="509">
        <v>2468</v>
      </c>
      <c r="G63" s="468">
        <f t="shared" si="5"/>
        <v>4</v>
      </c>
      <c r="H63" s="455">
        <f>G63+'28'!H63</f>
        <v>2468</v>
      </c>
      <c r="I63" s="510"/>
      <c r="J63" s="547">
        <f>H63/DAY(B2)</f>
        <v>85.103448275862064</v>
      </c>
      <c r="K63" s="424"/>
      <c r="L63" s="374"/>
    </row>
    <row r="64" spans="1:15" ht="27.75">
      <c r="A64" s="1450" t="s">
        <v>161</v>
      </c>
      <c r="B64" s="1451"/>
      <c r="C64" s="1452"/>
      <c r="D64" s="518" t="s">
        <v>253</v>
      </c>
      <c r="E64" s="509">
        <f>'28'!F64</f>
        <v>159360</v>
      </c>
      <c r="F64" s="733">
        <v>159553</v>
      </c>
      <c r="G64" s="468">
        <f t="shared" si="5"/>
        <v>193</v>
      </c>
      <c r="H64" s="455">
        <f>G64+'28'!H64</f>
        <v>-379</v>
      </c>
      <c r="I64" s="475"/>
      <c r="J64" s="547">
        <f>H64/DAY(B2)</f>
        <v>-13.068965517241379</v>
      </c>
      <c r="K64" s="424"/>
      <c r="L64" s="374"/>
    </row>
    <row r="65" spans="1:12" ht="27.75">
      <c r="A65" s="1450" t="s">
        <v>162</v>
      </c>
      <c r="B65" s="1451"/>
      <c r="C65" s="1452"/>
      <c r="D65" s="518" t="s">
        <v>253</v>
      </c>
      <c r="E65" s="509">
        <f>'28'!F65</f>
        <v>160348</v>
      </c>
      <c r="F65" s="740">
        <v>160561</v>
      </c>
      <c r="G65" s="468">
        <f t="shared" si="5"/>
        <v>213</v>
      </c>
      <c r="H65" s="455">
        <f>G65+'28'!H65</f>
        <v>-437</v>
      </c>
      <c r="I65" s="484"/>
      <c r="J65" s="547">
        <f>H65/DAY(B2)</f>
        <v>-15.068965517241379</v>
      </c>
      <c r="K65" s="424"/>
      <c r="L65" s="374"/>
    </row>
    <row r="66" spans="1:12" ht="27.75">
      <c r="A66" s="1450" t="s">
        <v>255</v>
      </c>
      <c r="B66" s="1451"/>
      <c r="C66" s="1452"/>
      <c r="D66" s="518" t="s">
        <v>253</v>
      </c>
      <c r="E66" s="509">
        <f>'28'!F66</f>
        <v>55940</v>
      </c>
      <c r="F66" s="733">
        <v>56221</v>
      </c>
      <c r="G66" s="468">
        <f t="shared" si="5"/>
        <v>281</v>
      </c>
      <c r="H66" s="455">
        <f>G66+'28'!H66</f>
        <v>-584</v>
      </c>
      <c r="I66" s="475"/>
      <c r="J66" s="547">
        <f>H66/DAY(B2)</f>
        <v>-20.137931034482758</v>
      </c>
      <c r="K66" s="424"/>
      <c r="L66" s="374"/>
    </row>
    <row r="67" spans="1:12" ht="27.75">
      <c r="A67" s="1450" t="s">
        <v>157</v>
      </c>
      <c r="B67" s="1451"/>
      <c r="C67" s="1452"/>
      <c r="D67" s="518" t="s">
        <v>253</v>
      </c>
      <c r="E67" s="509">
        <f>'28'!F67</f>
        <v>250705</v>
      </c>
      <c r="F67" s="733">
        <v>251244</v>
      </c>
      <c r="G67" s="468">
        <f t="shared" si="5"/>
        <v>539</v>
      </c>
      <c r="H67" s="455">
        <f>G67+'28'!H67</f>
        <v>-948</v>
      </c>
      <c r="I67" s="484"/>
      <c r="J67" s="547">
        <f>H67/DAY(B2)</f>
        <v>-32.689655172413794</v>
      </c>
      <c r="K67" s="425"/>
      <c r="L67" s="374"/>
    </row>
    <row r="68" spans="1:12" ht="27.75">
      <c r="A68" s="1450" t="s">
        <v>164</v>
      </c>
      <c r="B68" s="1451"/>
      <c r="C68" s="1452"/>
      <c r="D68" s="518" t="s">
        <v>253</v>
      </c>
      <c r="E68" s="509">
        <f>'28'!F68</f>
        <v>85321</v>
      </c>
      <c r="F68" s="733">
        <v>85321</v>
      </c>
      <c r="G68" s="468">
        <f t="shared" si="5"/>
        <v>0</v>
      </c>
      <c r="H68" s="455">
        <f>G68+'28'!H68</f>
        <v>0</v>
      </c>
      <c r="I68" s="511"/>
      <c r="J68" s="547">
        <f>H68/DAY(B2)</f>
        <v>0</v>
      </c>
      <c r="K68" s="426"/>
      <c r="L68" s="374"/>
    </row>
    <row r="69" spans="1:12" ht="27.75">
      <c r="A69" s="1450" t="s">
        <v>165</v>
      </c>
      <c r="B69" s="1451"/>
      <c r="C69" s="1452"/>
      <c r="D69" s="518" t="s">
        <v>253</v>
      </c>
      <c r="E69" s="509">
        <f>'28'!F69</f>
        <v>81418</v>
      </c>
      <c r="F69" s="733">
        <v>81507</v>
      </c>
      <c r="G69" s="468">
        <f t="shared" si="5"/>
        <v>89</v>
      </c>
      <c r="H69" s="455">
        <f>G69+'28'!H69</f>
        <v>-242</v>
      </c>
      <c r="I69" s="511"/>
      <c r="J69" s="547">
        <f>H69/DAY(B2)</f>
        <v>-8.3448275862068968</v>
      </c>
      <c r="K69" s="427"/>
      <c r="L69" s="374"/>
    </row>
    <row r="70" spans="1:12" ht="27.75">
      <c r="A70" s="1482" t="s">
        <v>256</v>
      </c>
      <c r="B70" s="1483"/>
      <c r="C70" s="1484"/>
      <c r="D70" s="518" t="s">
        <v>253</v>
      </c>
      <c r="E70" s="741"/>
      <c r="F70" s="741"/>
      <c r="G70" s="513"/>
      <c r="H70" s="455">
        <f>G70+'13'!H70</f>
        <v>0</v>
      </c>
      <c r="I70" s="513"/>
      <c r="J70" s="551"/>
      <c r="K70" s="427"/>
      <c r="L70" s="374"/>
    </row>
    <row r="71" spans="1:12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</row>
    <row r="72" spans="1:12" ht="27.75">
      <c r="A72" s="1450" t="s">
        <v>258</v>
      </c>
      <c r="B72" s="1451"/>
      <c r="C72" s="1452"/>
      <c r="D72" s="518" t="s">
        <v>253</v>
      </c>
      <c r="E72" s="758">
        <f>'28'!F72</f>
        <v>855806</v>
      </c>
      <c r="F72" s="742">
        <v>855817</v>
      </c>
      <c r="G72" s="468">
        <f t="shared" ref="G72:G84" si="6">F72-E72</f>
        <v>11</v>
      </c>
      <c r="H72" s="455">
        <f>G72+'28'!H72</f>
        <v>-69</v>
      </c>
      <c r="I72" s="475"/>
      <c r="J72" s="547">
        <f>H72/DAY(B2)</f>
        <v>-2.3793103448275863</v>
      </c>
      <c r="K72" s="427"/>
      <c r="L72" s="374"/>
    </row>
    <row r="73" spans="1:12" ht="27.75">
      <c r="A73" s="1450" t="s">
        <v>259</v>
      </c>
      <c r="B73" s="1451"/>
      <c r="C73" s="1452"/>
      <c r="D73" s="518" t="s">
        <v>253</v>
      </c>
      <c r="E73" s="758">
        <f>'28'!F73</f>
        <v>885934</v>
      </c>
      <c r="F73" s="743">
        <v>885935</v>
      </c>
      <c r="G73" s="648">
        <f>F73-E73</f>
        <v>1</v>
      </c>
      <c r="H73" s="455">
        <f>G73+'28'!H73</f>
        <v>184</v>
      </c>
      <c r="I73" s="475"/>
      <c r="J73" s="547">
        <f>H73/DAY(B2)</f>
        <v>6.3448275862068968</v>
      </c>
      <c r="K73" s="426"/>
      <c r="L73" s="374"/>
    </row>
    <row r="74" spans="1:12" ht="27.75">
      <c r="A74" s="1450" t="s">
        <v>260</v>
      </c>
      <c r="B74" s="1451"/>
      <c r="C74" s="1452"/>
      <c r="D74" s="518" t="s">
        <v>253</v>
      </c>
      <c r="E74" s="758">
        <f>'28'!F74</f>
        <v>2566</v>
      </c>
      <c r="F74" s="743">
        <v>2573</v>
      </c>
      <c r="G74" s="468">
        <f t="shared" si="6"/>
        <v>7</v>
      </c>
      <c r="H74" s="455">
        <f>G74+'28'!H74</f>
        <v>-13</v>
      </c>
      <c r="I74" s="475"/>
      <c r="J74" s="547">
        <f>H74/DAY(B2)</f>
        <v>-0.44827586206896552</v>
      </c>
      <c r="K74" s="427"/>
      <c r="L74" s="374"/>
    </row>
    <row r="75" spans="1:12" ht="27.75">
      <c r="A75" s="1499" t="s">
        <v>261</v>
      </c>
      <c r="B75" s="1500"/>
      <c r="C75" s="1501"/>
      <c r="D75" s="518" t="s">
        <v>253</v>
      </c>
      <c r="E75" s="758">
        <f>'28'!F75</f>
        <v>12505</v>
      </c>
      <c r="F75" s="743">
        <v>12561</v>
      </c>
      <c r="G75" s="468">
        <f t="shared" si="6"/>
        <v>56</v>
      </c>
      <c r="H75" s="455">
        <f>G75+'28'!H75</f>
        <v>-108</v>
      </c>
      <c r="I75" s="475"/>
      <c r="J75" s="547">
        <f>H75/DAY(B2)</f>
        <v>-3.7241379310344827</v>
      </c>
      <c r="K75" s="426"/>
      <c r="L75" s="374"/>
    </row>
    <row r="76" spans="1:12" ht="27.75">
      <c r="A76" s="1499" t="s">
        <v>262</v>
      </c>
      <c r="B76" s="1500"/>
      <c r="C76" s="1501"/>
      <c r="D76" s="518" t="s">
        <v>253</v>
      </c>
      <c r="E76" s="758">
        <f>'28'!F76</f>
        <v>7250</v>
      </c>
      <c r="F76" s="743">
        <v>7308</v>
      </c>
      <c r="G76" s="468">
        <f t="shared" si="6"/>
        <v>58</v>
      </c>
      <c r="H76" s="455">
        <f>G76+'28'!H76</f>
        <v>102</v>
      </c>
      <c r="I76" s="500"/>
      <c r="J76" s="547">
        <f>H76/DAY(B2)</f>
        <v>3.5172413793103448</v>
      </c>
      <c r="K76" s="426"/>
      <c r="L76" s="374"/>
    </row>
    <row r="77" spans="1:12" ht="27.75">
      <c r="A77" s="1450" t="s">
        <v>263</v>
      </c>
      <c r="B77" s="1451"/>
      <c r="C77" s="1452"/>
      <c r="D77" s="518" t="s">
        <v>253</v>
      </c>
      <c r="E77" s="758">
        <f>'28'!F77</f>
        <v>702712</v>
      </c>
      <c r="F77" s="743">
        <v>702750</v>
      </c>
      <c r="G77" s="648">
        <f t="shared" si="6"/>
        <v>38</v>
      </c>
      <c r="H77" s="455">
        <f>G77+'28'!H77</f>
        <v>-89</v>
      </c>
      <c r="I77" s="500"/>
      <c r="J77" s="547">
        <f>H77/DAY(B2)</f>
        <v>-3.0689655172413794</v>
      </c>
      <c r="K77" s="426"/>
      <c r="L77" s="374"/>
    </row>
    <row r="78" spans="1:12" ht="27.75">
      <c r="A78" s="1395" t="s">
        <v>264</v>
      </c>
      <c r="B78" s="1387"/>
      <c r="C78" s="1387"/>
      <c r="D78" s="518" t="s">
        <v>253</v>
      </c>
      <c r="E78" s="758">
        <f>'28'!F78</f>
        <v>672565</v>
      </c>
      <c r="F78" s="743">
        <v>672760</v>
      </c>
      <c r="G78" s="648">
        <f t="shared" si="6"/>
        <v>195</v>
      </c>
      <c r="H78" s="455">
        <f>G78+'28'!H78</f>
        <v>-272</v>
      </c>
      <c r="I78" s="500"/>
      <c r="J78" s="547">
        <f>H78/DAY(B2)</f>
        <v>-9.3793103448275854</v>
      </c>
      <c r="K78" s="426"/>
      <c r="L78" s="374"/>
    </row>
    <row r="79" spans="1:12" ht="27.75">
      <c r="A79" s="1499" t="s">
        <v>151</v>
      </c>
      <c r="B79" s="1500"/>
      <c r="C79" s="1501"/>
      <c r="D79" s="519" t="s">
        <v>253</v>
      </c>
      <c r="E79" s="758">
        <f>'28'!F79</f>
        <v>830553</v>
      </c>
      <c r="F79" s="744">
        <v>830691</v>
      </c>
      <c r="G79" s="468">
        <f t="shared" si="6"/>
        <v>138</v>
      </c>
      <c r="H79" s="455">
        <f>G79+'28'!H79</f>
        <v>-1331</v>
      </c>
      <c r="I79" s="500"/>
      <c r="J79" s="547">
        <f>H79/DAY(B2)</f>
        <v>-45.896551724137929</v>
      </c>
      <c r="K79" s="426"/>
      <c r="L79" s="374"/>
    </row>
    <row r="80" spans="1:12" ht="27.75">
      <c r="A80" s="1499" t="s">
        <v>265</v>
      </c>
      <c r="B80" s="1500"/>
      <c r="C80" s="1501"/>
      <c r="D80" s="519" t="s">
        <v>253</v>
      </c>
      <c r="E80" s="758">
        <f>'28'!F80</f>
        <v>526526</v>
      </c>
      <c r="F80" s="743">
        <v>526918</v>
      </c>
      <c r="G80" s="468">
        <f t="shared" si="6"/>
        <v>392</v>
      </c>
      <c r="H80" s="455">
        <f>G80+'28'!H80</f>
        <v>-3627.5200000000186</v>
      </c>
      <c r="I80" s="500"/>
      <c r="J80" s="547">
        <f>H80/DAY(B2)</f>
        <v>-125.08689655172478</v>
      </c>
      <c r="K80" s="426"/>
      <c r="L80" s="374"/>
    </row>
    <row r="81" spans="1:15" ht="27.75">
      <c r="A81" s="1499" t="s">
        <v>266</v>
      </c>
      <c r="B81" s="1500"/>
      <c r="C81" s="1501"/>
      <c r="D81" s="519" t="s">
        <v>253</v>
      </c>
      <c r="E81" s="758">
        <f>'28'!F81</f>
        <v>638625</v>
      </c>
      <c r="F81" s="743">
        <v>638711</v>
      </c>
      <c r="G81" s="468">
        <f t="shared" si="6"/>
        <v>86</v>
      </c>
      <c r="H81" s="455">
        <f>G81+'28'!H81</f>
        <v>-187</v>
      </c>
      <c r="I81" s="500"/>
      <c r="J81" s="547">
        <f>H81/DAY(B2)</f>
        <v>-6.4482758620689653</v>
      </c>
      <c r="K81" s="426"/>
      <c r="L81" s="374"/>
    </row>
    <row r="82" spans="1:15" ht="27.75">
      <c r="A82" s="1499" t="s">
        <v>267</v>
      </c>
      <c r="B82" s="1500"/>
      <c r="C82" s="1501"/>
      <c r="D82" s="480" t="s">
        <v>198</v>
      </c>
      <c r="E82" s="758">
        <f>'28'!F82</f>
        <v>108112</v>
      </c>
      <c r="F82" s="740">
        <v>108123</v>
      </c>
      <c r="G82" s="468">
        <f t="shared" si="6"/>
        <v>11</v>
      </c>
      <c r="H82" s="455">
        <f>G82+'28'!H82</f>
        <v>-35</v>
      </c>
      <c r="I82" s="481"/>
      <c r="J82" s="547">
        <f>H82/DAY(B2)</f>
        <v>-1.2068965517241379</v>
      </c>
      <c r="K82" s="426"/>
      <c r="L82" s="374"/>
    </row>
    <row r="83" spans="1:15" ht="27.75">
      <c r="A83" s="1499" t="s">
        <v>268</v>
      </c>
      <c r="B83" s="1500"/>
      <c r="C83" s="1501"/>
      <c r="D83" s="615" t="s">
        <v>198</v>
      </c>
      <c r="E83" s="758">
        <f>'28'!F83</f>
        <v>19920</v>
      </c>
      <c r="F83" s="465">
        <v>20089</v>
      </c>
      <c r="G83" s="468">
        <f t="shared" si="6"/>
        <v>169</v>
      </c>
      <c r="H83" s="455">
        <f>G83+'28'!H83</f>
        <v>-417</v>
      </c>
      <c r="I83" s="476"/>
      <c r="J83" s="547">
        <f>H83/DAY(B2)</f>
        <v>-14.379310344827585</v>
      </c>
      <c r="K83" s="425"/>
      <c r="L83" s="374"/>
    </row>
    <row r="84" spans="1:15">
      <c r="A84" s="1396" t="s">
        <v>166</v>
      </c>
      <c r="B84" s="566"/>
      <c r="C84" s="566"/>
      <c r="D84" s="473" t="s">
        <v>198</v>
      </c>
      <c r="E84" s="758">
        <f>'28'!F84</f>
        <v>497815</v>
      </c>
      <c r="F84" s="701">
        <v>498687</v>
      </c>
      <c r="G84" s="468">
        <f t="shared" si="6"/>
        <v>872</v>
      </c>
      <c r="H84" s="455">
        <f>G84+'28'!H84</f>
        <v>-1607</v>
      </c>
      <c r="I84" s="476"/>
      <c r="J84" s="547">
        <f>H84/DAY(B2)</f>
        <v>-55.413793103448278</v>
      </c>
      <c r="K84" s="377"/>
      <c r="L84" s="374"/>
    </row>
    <row r="85" spans="1:15" s="376" customFormat="1">
      <c r="A85" s="600" t="s">
        <v>102</v>
      </c>
      <c r="B85" s="567"/>
      <c r="C85" s="567"/>
      <c r="D85" s="484"/>
      <c r="E85" s="701">
        <f>'28'!F85</f>
        <v>0</v>
      </c>
      <c r="F85" s="455"/>
      <c r="G85" s="455">
        <f xml:space="preserve"> SUM(G72:G84)</f>
        <v>2034</v>
      </c>
      <c r="H85" s="455">
        <f>G85+'28'!H85</f>
        <v>-3925.9999999999982</v>
      </c>
      <c r="I85" s="476"/>
      <c r="J85" s="547">
        <f>H85/DAY(B2)</f>
        <v>-135.37931034482753</v>
      </c>
      <c r="K85" s="377"/>
      <c r="L85" s="375"/>
      <c r="N85" s="765"/>
      <c r="O85" s="765"/>
    </row>
    <row r="86" spans="1:15" s="731" customFormat="1">
      <c r="A86" s="726" t="s">
        <v>269</v>
      </c>
      <c r="B86" s="727"/>
      <c r="C86" s="727"/>
      <c r="D86" s="728" t="s">
        <v>248</v>
      </c>
      <c r="E86" s="701">
        <f>'28'!F86</f>
        <v>460836</v>
      </c>
      <c r="F86" s="745">
        <v>460871</v>
      </c>
      <c r="G86" s="701">
        <f t="shared" ref="G86:G91" si="7">F86-E86</f>
        <v>35</v>
      </c>
      <c r="H86" s="701">
        <f t="shared" ref="H86:H88" si="8">G86</f>
        <v>35</v>
      </c>
      <c r="I86" s="648"/>
      <c r="J86" s="703">
        <f>H86/DAY(B2)</f>
        <v>1.2068965517241379</v>
      </c>
      <c r="K86" s="729"/>
      <c r="L86" s="730"/>
      <c r="N86" s="766"/>
      <c r="O86" s="766"/>
    </row>
    <row r="87" spans="1:15" s="731" customFormat="1">
      <c r="A87" s="726" t="s">
        <v>270</v>
      </c>
      <c r="B87" s="727"/>
      <c r="C87" s="727"/>
      <c r="D87" s="728" t="s">
        <v>248</v>
      </c>
      <c r="E87" s="701">
        <f>'28'!F87</f>
        <v>81325</v>
      </c>
      <c r="F87" s="745">
        <v>81340</v>
      </c>
      <c r="G87" s="701">
        <f t="shared" si="7"/>
        <v>15</v>
      </c>
      <c r="H87" s="701">
        <f t="shared" si="8"/>
        <v>15</v>
      </c>
      <c r="I87" s="648"/>
      <c r="J87" s="703">
        <f>H87/DAY(B2)</f>
        <v>0.51724137931034486</v>
      </c>
      <c r="K87" s="729"/>
      <c r="L87" s="730"/>
      <c r="N87" s="766"/>
      <c r="O87" s="766"/>
    </row>
    <row r="88" spans="1:15" s="731" customFormat="1">
      <c r="A88" s="726" t="s">
        <v>158</v>
      </c>
      <c r="B88" s="727"/>
      <c r="C88" s="727"/>
      <c r="D88" s="728" t="s">
        <v>248</v>
      </c>
      <c r="E88" s="701">
        <f>'28'!F88</f>
        <v>152923</v>
      </c>
      <c r="F88" s="745">
        <v>152946</v>
      </c>
      <c r="G88" s="701">
        <f t="shared" si="7"/>
        <v>23</v>
      </c>
      <c r="H88" s="701">
        <f t="shared" si="8"/>
        <v>23</v>
      </c>
      <c r="I88" s="648"/>
      <c r="J88" s="703">
        <f>H88/DAY(B2)</f>
        <v>0.7931034482758621</v>
      </c>
      <c r="K88" s="729"/>
      <c r="L88" s="730"/>
      <c r="N88" s="766">
        <f>122+359</f>
        <v>481</v>
      </c>
      <c r="O88" s="766"/>
    </row>
    <row r="89" spans="1:15" s="731" customFormat="1">
      <c r="A89" s="726" t="s">
        <v>272</v>
      </c>
      <c r="B89" s="727"/>
      <c r="C89" s="727"/>
      <c r="D89" s="728" t="s">
        <v>248</v>
      </c>
      <c r="E89" s="701">
        <f>'28'!F89</f>
        <v>65142</v>
      </c>
      <c r="F89" s="643">
        <v>65153</v>
      </c>
      <c r="G89" s="701">
        <f t="shared" si="7"/>
        <v>11</v>
      </c>
      <c r="H89" s="701">
        <f>G89</f>
        <v>11</v>
      </c>
      <c r="I89" s="648"/>
      <c r="J89" s="703">
        <f>H89/DAY(B2)</f>
        <v>0.37931034482758619</v>
      </c>
      <c r="K89" s="729"/>
      <c r="L89" s="730"/>
    </row>
    <row r="90" spans="1:15" s="731" customFormat="1">
      <c r="A90" s="726" t="s">
        <v>272</v>
      </c>
      <c r="B90" s="727"/>
      <c r="C90" s="727"/>
      <c r="D90" s="728" t="s">
        <v>248</v>
      </c>
      <c r="E90" s="701">
        <f>'28'!F90</f>
        <v>3274</v>
      </c>
      <c r="F90" s="643">
        <v>3274</v>
      </c>
      <c r="G90" s="701">
        <f t="shared" si="7"/>
        <v>0</v>
      </c>
      <c r="H90" s="701">
        <f>G90</f>
        <v>0</v>
      </c>
      <c r="I90" s="648"/>
      <c r="J90" s="703">
        <f>H90/DAY(B2)</f>
        <v>0</v>
      </c>
      <c r="K90" s="729"/>
      <c r="L90" s="730"/>
    </row>
    <row r="91" spans="1:15" s="731" customFormat="1">
      <c r="A91" s="726" t="s">
        <v>273</v>
      </c>
      <c r="B91" s="727"/>
      <c r="C91" s="727"/>
      <c r="D91" s="728"/>
      <c r="E91" s="701">
        <f>'28'!F91</f>
        <v>28010</v>
      </c>
      <c r="F91" s="643">
        <v>28014</v>
      </c>
      <c r="G91" s="701">
        <f t="shared" si="7"/>
        <v>4</v>
      </c>
      <c r="H91" s="701">
        <f>G91</f>
        <v>4</v>
      </c>
      <c r="I91" s="648"/>
      <c r="J91" s="703"/>
      <c r="K91" s="729"/>
      <c r="L91" s="730"/>
      <c r="N91" s="773"/>
      <c r="O91" s="379"/>
    </row>
    <row r="92" spans="1:15" s="376" customFormat="1">
      <c r="A92" s="601" t="s">
        <v>274</v>
      </c>
      <c r="B92" s="1398"/>
      <c r="C92" s="1398"/>
      <c r="D92" s="467"/>
      <c r="E92" s="734"/>
      <c r="F92" s="734"/>
      <c r="G92" s="483"/>
      <c r="H92" s="467"/>
      <c r="I92" s="467"/>
      <c r="J92" s="546"/>
      <c r="K92" s="377"/>
      <c r="L92" s="375"/>
      <c r="N92" s="765"/>
      <c r="O92" s="765"/>
    </row>
    <row r="93" spans="1:15" ht="27.75">
      <c r="A93" s="1453" t="s">
        <v>275</v>
      </c>
      <c r="B93" s="1454"/>
      <c r="C93" s="1455"/>
      <c r="D93" s="518" t="s">
        <v>209</v>
      </c>
      <c r="E93" s="754">
        <f>'28'!F93</f>
        <v>245339</v>
      </c>
      <c r="F93" s="733">
        <v>245378</v>
      </c>
      <c r="G93" s="468">
        <f>F93-E93</f>
        <v>39</v>
      </c>
      <c r="H93" s="455">
        <f>G93+'28'!H93</f>
        <v>-10</v>
      </c>
      <c r="I93" s="475"/>
      <c r="J93" s="547">
        <f>H93/DAY(B2)</f>
        <v>-0.34482758620689657</v>
      </c>
      <c r="K93" s="425"/>
      <c r="L93" s="374"/>
    </row>
    <row r="94" spans="1:15" ht="27.75">
      <c r="A94" s="1453" t="s">
        <v>15</v>
      </c>
      <c r="B94" s="1454"/>
      <c r="C94" s="1455"/>
      <c r="D94" s="518" t="s">
        <v>209</v>
      </c>
      <c r="E94" s="754">
        <f>'28'!F94</f>
        <v>185862</v>
      </c>
      <c r="F94" s="733">
        <v>185930</v>
      </c>
      <c r="G94" s="468">
        <f>F94-E94</f>
        <v>68</v>
      </c>
      <c r="H94" s="455">
        <f>G94+'28'!H94</f>
        <v>-191</v>
      </c>
      <c r="I94" s="475"/>
      <c r="J94" s="547">
        <f>H94/DAY(B2)</f>
        <v>-6.5862068965517242</v>
      </c>
      <c r="K94" s="377"/>
      <c r="L94" s="374"/>
    </row>
    <row r="95" spans="1:15">
      <c r="A95" s="1447" t="s">
        <v>276</v>
      </c>
      <c r="B95" s="1448"/>
      <c r="C95" s="1449"/>
      <c r="D95" s="518"/>
      <c r="E95" s="754"/>
      <c r="F95" s="733">
        <v>3</v>
      </c>
      <c r="G95" s="468">
        <f>G93+G94</f>
        <v>107</v>
      </c>
      <c r="H95" s="455">
        <f>G95+'28'!H95</f>
        <v>-277</v>
      </c>
      <c r="I95" s="475"/>
      <c r="J95" s="547">
        <f>H95/DAY(B2)</f>
        <v>-9.5517241379310338</v>
      </c>
      <c r="K95" s="377"/>
      <c r="L95" s="374"/>
    </row>
    <row r="96" spans="1:15" ht="27.75">
      <c r="A96" s="1453" t="s">
        <v>16</v>
      </c>
      <c r="B96" s="1454"/>
      <c r="C96" s="1455"/>
      <c r="D96" s="518" t="s">
        <v>209</v>
      </c>
      <c r="E96" s="754">
        <f>'28'!F96</f>
        <v>414145</v>
      </c>
      <c r="F96" s="733">
        <v>414191</v>
      </c>
      <c r="G96" s="468">
        <f t="shared" ref="G96:G101" si="9">F96-E96</f>
        <v>46</v>
      </c>
      <c r="H96" s="455">
        <f>G96+'28'!H96</f>
        <v>-92</v>
      </c>
      <c r="I96" s="475"/>
      <c r="J96" s="547">
        <f>H96/DAY(B2)</f>
        <v>-3.1724137931034484</v>
      </c>
      <c r="K96" s="377"/>
      <c r="L96" s="374"/>
    </row>
    <row r="97" spans="1:15" ht="27.75">
      <c r="A97" s="1392" t="s">
        <v>17</v>
      </c>
      <c r="B97" s="1393"/>
      <c r="C97" s="1393"/>
      <c r="D97" s="518" t="s">
        <v>209</v>
      </c>
      <c r="E97" s="754">
        <f>'28'!F97</f>
        <v>102614</v>
      </c>
      <c r="F97" s="733">
        <v>102623</v>
      </c>
      <c r="G97" s="468">
        <f t="shared" si="9"/>
        <v>9</v>
      </c>
      <c r="H97" s="455">
        <f>G97+'28'!H97</f>
        <v>-25</v>
      </c>
      <c r="I97" s="475"/>
      <c r="J97" s="547">
        <f>H97/DAY(B2)</f>
        <v>-0.86206896551724133</v>
      </c>
      <c r="K97" s="423"/>
      <c r="L97" s="374"/>
    </row>
    <row r="98" spans="1:15" ht="27.75">
      <c r="A98" s="1392" t="s">
        <v>18</v>
      </c>
      <c r="B98" s="1393"/>
      <c r="C98" s="1393"/>
      <c r="D98" s="518" t="s">
        <v>209</v>
      </c>
      <c r="E98" s="754">
        <f>'28'!F98</f>
        <v>97862</v>
      </c>
      <c r="F98" s="733">
        <v>97897</v>
      </c>
      <c r="G98" s="468">
        <f t="shared" si="9"/>
        <v>35</v>
      </c>
      <c r="H98" s="455">
        <f>G98+'28'!H98</f>
        <v>-53</v>
      </c>
      <c r="I98" s="475"/>
      <c r="J98" s="547">
        <f>H98/DAY(B2)</f>
        <v>-1.8275862068965518</v>
      </c>
      <c r="K98" s="428"/>
      <c r="L98" s="374"/>
    </row>
    <row r="99" spans="1:15" ht="27.75">
      <c r="A99" s="1392" t="s">
        <v>19</v>
      </c>
      <c r="B99" s="1393"/>
      <c r="C99" s="1393"/>
      <c r="D99" s="518" t="s">
        <v>209</v>
      </c>
      <c r="E99" s="754">
        <f>'28'!F99</f>
        <v>149842</v>
      </c>
      <c r="F99" s="733">
        <v>149846</v>
      </c>
      <c r="G99" s="468">
        <f t="shared" si="9"/>
        <v>4</v>
      </c>
      <c r="H99" s="455">
        <f>G99+'28'!H99</f>
        <v>-6</v>
      </c>
      <c r="I99" s="475"/>
      <c r="J99" s="547">
        <f>H99/DAY(B2)</f>
        <v>-0.20689655172413793</v>
      </c>
      <c r="K99" s="377"/>
      <c r="L99" s="374"/>
    </row>
    <row r="100" spans="1:15" ht="27.75">
      <c r="A100" s="1392" t="s">
        <v>20</v>
      </c>
      <c r="B100" s="1393"/>
      <c r="C100" s="1393"/>
      <c r="D100" s="518" t="s">
        <v>209</v>
      </c>
      <c r="E100" s="754">
        <f>'28'!F100</f>
        <v>7351</v>
      </c>
      <c r="F100" s="733">
        <v>7356</v>
      </c>
      <c r="G100" s="468">
        <f t="shared" si="9"/>
        <v>5</v>
      </c>
      <c r="H100" s="455">
        <f>G100+'28'!H100</f>
        <v>-13</v>
      </c>
      <c r="I100" s="475"/>
      <c r="J100" s="547">
        <f>H100/DAY(B2)</f>
        <v>-0.44827586206896552</v>
      </c>
      <c r="K100" s="377"/>
      <c r="L100" s="374"/>
    </row>
    <row r="101" spans="1:15" ht="27.75">
      <c r="A101" s="1392" t="s">
        <v>21</v>
      </c>
      <c r="B101" s="1393"/>
      <c r="C101" s="1393"/>
      <c r="D101" s="518" t="s">
        <v>209</v>
      </c>
      <c r="E101" s="754">
        <f>'28'!F101</f>
        <v>5360</v>
      </c>
      <c r="F101" s="733">
        <v>5372</v>
      </c>
      <c r="G101" s="468">
        <f t="shared" si="9"/>
        <v>12</v>
      </c>
      <c r="H101" s="455">
        <f>G101+'28'!H101</f>
        <v>-19</v>
      </c>
      <c r="I101" s="475"/>
      <c r="J101" s="547">
        <f>H101/DAY(B2)</f>
        <v>-0.65517241379310343</v>
      </c>
      <c r="K101" s="377"/>
      <c r="L101" s="374"/>
    </row>
    <row r="102" spans="1:15">
      <c r="A102" s="1447" t="s">
        <v>277</v>
      </c>
      <c r="B102" s="1448"/>
      <c r="C102" s="1449"/>
      <c r="D102" s="519"/>
      <c r="E102" s="481"/>
      <c r="F102" s="481"/>
      <c r="G102" s="520">
        <f>SUM(G96:G101)</f>
        <v>111</v>
      </c>
      <c r="H102" s="455">
        <f>G102+'28'!H102</f>
        <v>-208</v>
      </c>
      <c r="I102" s="521"/>
      <c r="J102" s="547">
        <f>H102/DAY(B2)</f>
        <v>-7.1724137931034484</v>
      </c>
      <c r="K102" s="377"/>
      <c r="L102" s="374"/>
    </row>
    <row r="103" spans="1:15" s="437" customFormat="1" ht="27">
      <c r="A103" s="602" t="s">
        <v>278</v>
      </c>
      <c r="B103" s="603"/>
      <c r="C103" s="603"/>
      <c r="D103" s="616"/>
      <c r="E103" s="760"/>
      <c r="F103" s="746"/>
      <c r="G103" s="524"/>
      <c r="H103" s="525"/>
      <c r="I103" s="526"/>
      <c r="J103" s="552"/>
      <c r="N103" s="765"/>
      <c r="O103" s="765"/>
    </row>
    <row r="104" spans="1:15" s="437" customFormat="1" ht="27">
      <c r="A104" s="1456" t="s">
        <v>279</v>
      </c>
      <c r="B104" s="1457"/>
      <c r="C104" s="568"/>
      <c r="D104" s="617"/>
      <c r="E104" s="528"/>
      <c r="F104" s="747"/>
      <c r="G104" s="527"/>
      <c r="H104" s="528"/>
      <c r="I104" s="527"/>
      <c r="J104" s="553"/>
      <c r="N104" s="765"/>
      <c r="O104" s="765"/>
    </row>
    <row r="105" spans="1:15" s="437" customFormat="1" ht="27">
      <c r="A105" s="1458" t="s">
        <v>22</v>
      </c>
      <c r="B105" s="1459"/>
      <c r="C105" s="1391"/>
      <c r="D105" s="617" t="s">
        <v>209</v>
      </c>
      <c r="E105" s="528">
        <f>'28'!F105</f>
        <v>7484</v>
      </c>
      <c r="F105" s="747">
        <v>7484</v>
      </c>
      <c r="G105" s="527">
        <f>F105-E105</f>
        <v>0</v>
      </c>
      <c r="H105" s="528">
        <f>SUM(G105+'1'!G76)</f>
        <v>57</v>
      </c>
      <c r="I105" s="527"/>
      <c r="J105" s="553">
        <f>H105/DAY(B2)</f>
        <v>1.9655172413793103</v>
      </c>
      <c r="N105" s="765"/>
      <c r="O105" s="765"/>
    </row>
    <row r="106" spans="1:15" s="437" customFormat="1" ht="27">
      <c r="A106" s="1458" t="s">
        <v>23</v>
      </c>
      <c r="B106" s="1459"/>
      <c r="C106" s="1391"/>
      <c r="D106" s="617" t="s">
        <v>209</v>
      </c>
      <c r="E106" s="528">
        <f>'28'!F106</f>
        <v>35938</v>
      </c>
      <c r="F106" s="656">
        <v>35938</v>
      </c>
      <c r="G106" s="527">
        <f t="shared" ref="G106:G107" si="10">F106-E106</f>
        <v>0</v>
      </c>
      <c r="H106" s="528">
        <f>SUM(G106+'1'!G77)</f>
        <v>49</v>
      </c>
      <c r="I106" s="527"/>
      <c r="J106" s="553">
        <f>H106/DAY(B2)</f>
        <v>1.6896551724137931</v>
      </c>
      <c r="N106" s="765"/>
      <c r="O106" s="765"/>
    </row>
    <row r="107" spans="1:15" s="437" customFormat="1" ht="27">
      <c r="A107" s="1458" t="s">
        <v>24</v>
      </c>
      <c r="B107" s="1460"/>
      <c r="C107" s="1459"/>
      <c r="D107" s="617" t="s">
        <v>209</v>
      </c>
      <c r="E107" s="528">
        <f>'28'!F107</f>
        <v>19699</v>
      </c>
      <c r="F107" s="656">
        <v>19699</v>
      </c>
      <c r="G107" s="527">
        <f t="shared" si="10"/>
        <v>0</v>
      </c>
      <c r="H107" s="528">
        <f>SUM(G107+'1'!G78)</f>
        <v>55</v>
      </c>
      <c r="I107" s="527"/>
      <c r="J107" s="553">
        <f>H107/DAY(B2)</f>
        <v>1.896551724137931</v>
      </c>
      <c r="N107" s="765"/>
      <c r="O107" s="765"/>
    </row>
    <row r="108" spans="1:15" s="437" customFormat="1" ht="27">
      <c r="A108" s="1461" t="s">
        <v>102</v>
      </c>
      <c r="B108" s="1462"/>
      <c r="C108" s="1391"/>
      <c r="D108" s="617"/>
      <c r="E108" s="528">
        <f>'28'!F108</f>
        <v>0</v>
      </c>
      <c r="F108" s="656"/>
      <c r="G108" s="527">
        <f>SUM(G105:G107)</f>
        <v>0</v>
      </c>
      <c r="H108" s="528">
        <f>SUM(G108+'1'!G79)</f>
        <v>155</v>
      </c>
      <c r="I108" s="527"/>
      <c r="J108" s="553">
        <f>H108/DAY(B2)</f>
        <v>5.3448275862068968</v>
      </c>
      <c r="N108" s="765"/>
      <c r="O108" s="765"/>
    </row>
    <row r="109" spans="1:15" s="437" customFormat="1" ht="27">
      <c r="A109" s="1463" t="s">
        <v>120</v>
      </c>
      <c r="B109" s="1464"/>
      <c r="C109" s="1391"/>
      <c r="D109" s="617" t="s">
        <v>209</v>
      </c>
      <c r="E109" s="528">
        <f>'28'!F109</f>
        <v>0</v>
      </c>
      <c r="F109" s="656"/>
      <c r="G109" s="527"/>
      <c r="H109" s="528"/>
      <c r="I109" s="527"/>
      <c r="J109" s="553"/>
      <c r="N109" s="765"/>
      <c r="O109" s="765"/>
    </row>
    <row r="110" spans="1:15" s="437" customFormat="1" ht="27">
      <c r="A110" s="1458" t="s">
        <v>25</v>
      </c>
      <c r="B110" s="1459"/>
      <c r="C110" s="1391"/>
      <c r="D110" s="617" t="s">
        <v>209</v>
      </c>
      <c r="E110" s="528">
        <f>'28'!F110</f>
        <v>62645</v>
      </c>
      <c r="F110" s="656">
        <v>62711</v>
      </c>
      <c r="G110" s="527">
        <f>F110-E110</f>
        <v>66</v>
      </c>
      <c r="H110" s="528">
        <f>SUM(G110+'1'!G81)</f>
        <v>160</v>
      </c>
      <c r="I110" s="527"/>
      <c r="J110" s="553">
        <f>H110/DAY(B2)</f>
        <v>5.5172413793103452</v>
      </c>
      <c r="N110" s="765"/>
      <c r="O110" s="765"/>
    </row>
    <row r="111" spans="1:15" s="437" customFormat="1" ht="27">
      <c r="A111" s="1458" t="s">
        <v>26</v>
      </c>
      <c r="B111" s="1459"/>
      <c r="C111" s="1391"/>
      <c r="D111" s="617" t="s">
        <v>209</v>
      </c>
      <c r="E111" s="528">
        <f>'28'!F111</f>
        <v>32542</v>
      </c>
      <c r="F111" s="656">
        <v>32560</v>
      </c>
      <c r="G111" s="527">
        <f t="shared" ref="G111:G112" si="11">F111-E111</f>
        <v>18</v>
      </c>
      <c r="H111" s="528">
        <f>SUM(G111+'1'!G82)</f>
        <v>29</v>
      </c>
      <c r="I111" s="527"/>
      <c r="J111" s="553">
        <f>H111/DAY(B2)</f>
        <v>1</v>
      </c>
      <c r="N111" s="765"/>
      <c r="O111" s="765"/>
    </row>
    <row r="112" spans="1:15" s="437" customFormat="1" ht="27">
      <c r="A112" s="1458" t="s">
        <v>27</v>
      </c>
      <c r="B112" s="1459"/>
      <c r="C112" s="1391"/>
      <c r="D112" s="617" t="s">
        <v>209</v>
      </c>
      <c r="E112" s="528">
        <f>'28'!F112</f>
        <v>4559</v>
      </c>
      <c r="F112" s="656">
        <v>4576</v>
      </c>
      <c r="G112" s="529">
        <f t="shared" si="11"/>
        <v>17</v>
      </c>
      <c r="H112" s="528">
        <f>SUM(G112+'1'!G83)</f>
        <v>169</v>
      </c>
      <c r="I112" s="527"/>
      <c r="J112" s="553">
        <f>H112/DAY(B2)</f>
        <v>5.8275862068965516</v>
      </c>
      <c r="N112" s="765"/>
      <c r="O112" s="765"/>
    </row>
    <row r="113" spans="1:15" s="437" customFormat="1" ht="27">
      <c r="A113" s="1461" t="s">
        <v>174</v>
      </c>
      <c r="B113" s="1462"/>
      <c r="C113" s="1391"/>
      <c r="D113" s="617"/>
      <c r="E113" s="528">
        <f>'28'!F113</f>
        <v>0</v>
      </c>
      <c r="F113" s="656"/>
      <c r="G113" s="527">
        <f>SUM(G110:G112)</f>
        <v>101</v>
      </c>
      <c r="H113" s="528">
        <f>SUM(G113+'1'!G84)</f>
        <v>928</v>
      </c>
      <c r="I113" s="527"/>
      <c r="J113" s="553">
        <f>H113/DAY(B2)</f>
        <v>32</v>
      </c>
      <c r="N113" s="765"/>
      <c r="O113" s="765"/>
    </row>
    <row r="114" spans="1:15" s="437" customFormat="1" ht="27">
      <c r="A114" s="1463" t="s">
        <v>280</v>
      </c>
      <c r="B114" s="1464"/>
      <c r="C114" s="1391"/>
      <c r="D114" s="617"/>
      <c r="E114" s="528">
        <f>'28'!F114</f>
        <v>0</v>
      </c>
      <c r="F114" s="656"/>
      <c r="G114" s="527"/>
      <c r="H114" s="528"/>
      <c r="I114" s="527"/>
      <c r="J114" s="553">
        <f>H114/DAY(B2)</f>
        <v>0</v>
      </c>
      <c r="N114" s="765"/>
      <c r="O114" s="765"/>
    </row>
    <row r="115" spans="1:15" s="437" customFormat="1" ht="27">
      <c r="A115" s="1458" t="s">
        <v>28</v>
      </c>
      <c r="B115" s="1459"/>
      <c r="C115" s="569"/>
      <c r="D115" s="617" t="s">
        <v>209</v>
      </c>
      <c r="E115" s="528">
        <f>'28'!F115</f>
        <v>11473</v>
      </c>
      <c r="F115" s="656">
        <v>11480</v>
      </c>
      <c r="G115" s="529">
        <f>F115-E115</f>
        <v>7</v>
      </c>
      <c r="H115" s="528">
        <f>SUM(G115+'1'!G92)</f>
        <v>7</v>
      </c>
      <c r="I115" s="527"/>
      <c r="J115" s="553">
        <f>H115/DAY(B2)</f>
        <v>0.2413793103448276</v>
      </c>
      <c r="N115" s="765"/>
      <c r="O115" s="765"/>
    </row>
    <row r="116" spans="1:15" s="437" customFormat="1" ht="27">
      <c r="A116" s="1458" t="s">
        <v>29</v>
      </c>
      <c r="B116" s="1459"/>
      <c r="C116" s="569"/>
      <c r="D116" s="617" t="s">
        <v>209</v>
      </c>
      <c r="E116" s="528">
        <f>'28'!F116</f>
        <v>8289</v>
      </c>
      <c r="F116" s="656">
        <v>8295</v>
      </c>
      <c r="G116" s="529">
        <f t="shared" ref="G116:G117" si="12">F116-E116</f>
        <v>6</v>
      </c>
      <c r="H116" s="528">
        <f>SUM(G116+'1'!G93)</f>
        <v>24</v>
      </c>
      <c r="I116" s="527"/>
      <c r="J116" s="553">
        <f>H116/DAY(B2)</f>
        <v>0.82758620689655171</v>
      </c>
      <c r="N116" s="765"/>
      <c r="O116" s="765"/>
    </row>
    <row r="117" spans="1:15" s="437" customFormat="1" ht="27">
      <c r="A117" s="1458" t="s">
        <v>281</v>
      </c>
      <c r="B117" s="1459"/>
      <c r="C117" s="569"/>
      <c r="D117" s="617" t="s">
        <v>209</v>
      </c>
      <c r="E117" s="531"/>
      <c r="F117" s="656"/>
      <c r="G117" s="529">
        <f t="shared" si="12"/>
        <v>0</v>
      </c>
      <c r="H117" s="528">
        <f>SUM(G117+'1'!G94)</f>
        <v>58</v>
      </c>
      <c r="I117" s="527"/>
      <c r="J117" s="553">
        <f>H117/DAY(B2)</f>
        <v>2</v>
      </c>
      <c r="N117" s="765"/>
      <c r="O117" s="765"/>
    </row>
    <row r="118" spans="1:15" s="440" customFormat="1" ht="27">
      <c r="A118" s="1461" t="s">
        <v>102</v>
      </c>
      <c r="B118" s="1462"/>
      <c r="C118" s="569"/>
      <c r="D118" s="618"/>
      <c r="E118" s="531"/>
      <c r="F118" s="656"/>
      <c r="G118" s="529">
        <f>SUM(G115:G117)</f>
        <v>13</v>
      </c>
      <c r="H118" s="528">
        <f>SUM(G118+'1'!G96)</f>
        <v>53</v>
      </c>
      <c r="I118" s="529"/>
      <c r="J118" s="553">
        <f>H118/DAY(B2)</f>
        <v>1.8275862068965518</v>
      </c>
      <c r="N118" s="765"/>
      <c r="O118" s="766"/>
    </row>
    <row r="119" spans="1:15" s="441" customFormat="1" ht="27">
      <c r="A119" s="1492" t="s">
        <v>282</v>
      </c>
      <c r="B119" s="1493"/>
      <c r="C119" s="1389"/>
      <c r="D119" s="619" t="s">
        <v>209</v>
      </c>
      <c r="E119" s="531"/>
      <c r="F119" s="656"/>
      <c r="G119" s="531">
        <f>SUM(G19+G93)</f>
        <v>96</v>
      </c>
      <c r="H119" s="528">
        <f>SUM(G119+'1'!G97)</f>
        <v>109</v>
      </c>
      <c r="I119" s="530"/>
      <c r="J119" s="554">
        <f>H119/DAY(B2)</f>
        <v>3.7586206896551726</v>
      </c>
      <c r="N119" s="765"/>
      <c r="O119" s="766"/>
    </row>
    <row r="120" spans="1:15" s="441" customFormat="1" ht="27">
      <c r="A120" s="1492" t="s">
        <v>283</v>
      </c>
      <c r="B120" s="1493"/>
      <c r="C120" s="1389"/>
      <c r="D120" s="619" t="s">
        <v>209</v>
      </c>
      <c r="E120" s="531"/>
      <c r="F120" s="656"/>
      <c r="G120" s="531">
        <f>SUM(G96,G97,G98,G100,G101)</f>
        <v>107</v>
      </c>
      <c r="H120" s="528">
        <f>SUM(G120+'1'!G99)</f>
        <v>114</v>
      </c>
      <c r="I120" s="530"/>
      <c r="J120" s="554">
        <f>H120/DAY(B2)</f>
        <v>3.9310344827586206</v>
      </c>
      <c r="N120" s="765"/>
      <c r="O120" s="766"/>
    </row>
    <row r="121" spans="1:15" s="441" customFormat="1" ht="27">
      <c r="A121" s="1492" t="s">
        <v>284</v>
      </c>
      <c r="B121" s="1493"/>
      <c r="C121" s="1389"/>
      <c r="D121" s="619" t="s">
        <v>209</v>
      </c>
      <c r="E121" s="531"/>
      <c r="F121" s="656"/>
      <c r="G121" s="529">
        <f>SUM(G113)</f>
        <v>101</v>
      </c>
      <c r="H121" s="528">
        <f>SUM(G121+'1'!G101)</f>
        <v>105</v>
      </c>
      <c r="I121" s="530"/>
      <c r="J121" s="554">
        <f>H121/DAY(B2)</f>
        <v>3.6206896551724137</v>
      </c>
      <c r="N121" s="765"/>
      <c r="O121" s="766"/>
    </row>
    <row r="122" spans="1:15" s="437" customFormat="1" ht="27">
      <c r="A122" s="1494"/>
      <c r="B122" s="1495"/>
      <c r="C122" s="1390"/>
      <c r="D122" s="555"/>
      <c r="E122" s="761"/>
      <c r="F122" s="748"/>
      <c r="G122" s="555"/>
      <c r="H122" s="556"/>
      <c r="I122" s="555"/>
      <c r="J122" s="557"/>
      <c r="N122" s="765"/>
      <c r="O122" s="765"/>
    </row>
    <row r="123" spans="1:15">
      <c r="A123" s="1444" t="s">
        <v>285</v>
      </c>
      <c r="B123" s="1445"/>
      <c r="C123" s="1446"/>
      <c r="D123" s="467"/>
      <c r="E123" s="734"/>
      <c r="F123" s="734"/>
      <c r="G123" s="478"/>
      <c r="H123" s="478"/>
      <c r="I123" s="478"/>
      <c r="J123" s="558"/>
      <c r="K123" s="377"/>
      <c r="L123" s="374"/>
    </row>
    <row r="124" spans="1:15" ht="27.75">
      <c r="A124" s="1392" t="s">
        <v>286</v>
      </c>
      <c r="B124" s="1393"/>
      <c r="C124" s="1393"/>
      <c r="D124" s="518" t="s">
        <v>206</v>
      </c>
      <c r="E124" s="733">
        <f>'28'!F124</f>
        <v>831775</v>
      </c>
      <c r="F124" s="733">
        <v>831972</v>
      </c>
      <c r="G124" s="468">
        <f t="shared" ref="G124:G128" si="13">F124-E124</f>
        <v>197</v>
      </c>
      <c r="H124" s="455">
        <f>G124+'28'!H124</f>
        <v>-394</v>
      </c>
      <c r="I124" s="521"/>
      <c r="J124" s="547">
        <f>H124/DAY(B2)</f>
        <v>-13.586206896551724</v>
      </c>
      <c r="K124" s="377"/>
      <c r="L124" s="374"/>
    </row>
    <row r="125" spans="1:15" ht="27.75">
      <c r="A125" s="1392" t="s">
        <v>287</v>
      </c>
      <c r="B125" s="1393"/>
      <c r="C125" s="1393"/>
      <c r="D125" s="518" t="s">
        <v>206</v>
      </c>
      <c r="E125" s="733">
        <f>'28'!F125</f>
        <v>73583.399999999994</v>
      </c>
      <c r="F125" s="749">
        <v>73583</v>
      </c>
      <c r="G125" s="468">
        <f t="shared" si="13"/>
        <v>-0.39999999999417923</v>
      </c>
      <c r="H125" s="455">
        <f>G125+'28'!H125</f>
        <v>-0.39999999999417923</v>
      </c>
      <c r="I125" s="521"/>
      <c r="J125" s="547">
        <f>H125/DAY(B2)</f>
        <v>-1.3793103448075146E-2</v>
      </c>
      <c r="K125" s="377"/>
      <c r="L125" s="374"/>
    </row>
    <row r="126" spans="1:15" ht="27.75">
      <c r="A126" s="1450" t="s">
        <v>288</v>
      </c>
      <c r="B126" s="1451"/>
      <c r="C126" s="1452"/>
      <c r="D126" s="518" t="s">
        <v>206</v>
      </c>
      <c r="E126" s="733">
        <f>'28'!F126</f>
        <v>146302</v>
      </c>
      <c r="F126" s="733">
        <v>146368</v>
      </c>
      <c r="G126" s="468">
        <f t="shared" si="13"/>
        <v>66</v>
      </c>
      <c r="H126" s="455">
        <f>G126+'28'!H126</f>
        <v>-123</v>
      </c>
      <c r="I126" s="521"/>
      <c r="J126" s="547">
        <f>H126/DAY(B2)</f>
        <v>-4.2413793103448274</v>
      </c>
      <c r="K126" s="377"/>
      <c r="L126" s="374"/>
    </row>
    <row r="127" spans="1:15" ht="27.75">
      <c r="A127" s="604" t="s">
        <v>289</v>
      </c>
      <c r="B127" s="1393"/>
      <c r="C127" s="1393"/>
      <c r="D127" s="518" t="s">
        <v>206</v>
      </c>
      <c r="E127" s="733">
        <f>'28'!F127</f>
        <v>31404</v>
      </c>
      <c r="F127" s="749">
        <v>31404</v>
      </c>
      <c r="G127" s="468">
        <f t="shared" si="13"/>
        <v>0</v>
      </c>
      <c r="H127" s="455">
        <f>G127+'28'!H127</f>
        <v>-2</v>
      </c>
      <c r="I127" s="521"/>
      <c r="J127" s="547">
        <f>H127/DAY(B2)</f>
        <v>-6.8965517241379309E-2</v>
      </c>
      <c r="K127" s="377"/>
      <c r="L127" s="374"/>
    </row>
    <row r="128" spans="1:15" ht="27.75">
      <c r="A128" s="604" t="s">
        <v>290</v>
      </c>
      <c r="B128" s="1393"/>
      <c r="C128" s="1393"/>
      <c r="D128" s="518" t="s">
        <v>206</v>
      </c>
      <c r="E128" s="733">
        <f>'28'!F128</f>
        <v>8971</v>
      </c>
      <c r="F128" s="749">
        <v>8971</v>
      </c>
      <c r="G128" s="468">
        <f t="shared" si="13"/>
        <v>0</v>
      </c>
      <c r="H128" s="455">
        <f>G128+'28'!H128</f>
        <v>-1</v>
      </c>
      <c r="I128" s="475"/>
      <c r="J128" s="547">
        <f>H128/DAY(B2)</f>
        <v>-3.4482758620689655E-2</v>
      </c>
      <c r="K128" s="377"/>
      <c r="L128" s="374"/>
    </row>
    <row r="129" spans="1:15" s="278" customFormat="1" ht="27">
      <c r="A129" s="604" t="s">
        <v>291</v>
      </c>
      <c r="B129" s="1393"/>
      <c r="C129" s="1393"/>
      <c r="D129" s="518"/>
      <c r="E129" s="733"/>
      <c r="F129" s="733"/>
      <c r="G129" s="468">
        <f>G15-SUM(G124:G128)</f>
        <v>287.39999999999418</v>
      </c>
      <c r="H129" s="455"/>
      <c r="I129" s="475"/>
      <c r="J129" s="547"/>
      <c r="K129" s="361"/>
      <c r="L129" s="289"/>
      <c r="N129" s="765"/>
      <c r="O129" s="765"/>
    </row>
    <row r="130" spans="1:15">
      <c r="A130" s="605" t="s">
        <v>292</v>
      </c>
      <c r="B130" s="453"/>
      <c r="C130" s="453"/>
      <c r="D130" s="466"/>
      <c r="E130" s="490"/>
      <c r="F130" s="490"/>
      <c r="G130" s="535"/>
      <c r="H130" s="535"/>
      <c r="I130" s="535"/>
      <c r="J130" s="559"/>
    </row>
    <row r="131" spans="1:15" ht="27.75">
      <c r="A131" s="1392" t="s">
        <v>293</v>
      </c>
      <c r="B131" s="1393"/>
      <c r="C131" s="1393"/>
      <c r="D131" s="518" t="s">
        <v>294</v>
      </c>
      <c r="E131" s="754">
        <f>'28'!F131</f>
        <v>0</v>
      </c>
      <c r="F131" s="733"/>
      <c r="G131" s="468">
        <f t="shared" ref="G131:G141" si="14">F131-E131</f>
        <v>0</v>
      </c>
      <c r="H131" s="455">
        <f>G131+'28'!H131</f>
        <v>0</v>
      </c>
      <c r="I131" s="475"/>
      <c r="J131" s="547">
        <f>H131/DAY(B2)</f>
        <v>0</v>
      </c>
    </row>
    <row r="132" spans="1:15" ht="27.75">
      <c r="A132" s="1392" t="s">
        <v>295</v>
      </c>
      <c r="B132" s="1393"/>
      <c r="C132" s="1393"/>
      <c r="D132" s="518" t="s">
        <v>294</v>
      </c>
      <c r="E132" s="754">
        <f>'28'!F132</f>
        <v>0</v>
      </c>
      <c r="F132" s="733"/>
      <c r="G132" s="468">
        <f t="shared" si="14"/>
        <v>0</v>
      </c>
      <c r="H132" s="455">
        <f>G132+'28'!H132</f>
        <v>0</v>
      </c>
      <c r="I132" s="475"/>
      <c r="J132" s="547">
        <f>H132/DAY(B2)</f>
        <v>0</v>
      </c>
    </row>
    <row r="133" spans="1:15" ht="27.75">
      <c r="A133" s="1392" t="s">
        <v>296</v>
      </c>
      <c r="B133" s="1393"/>
      <c r="C133" s="1393"/>
      <c r="D133" s="518" t="s">
        <v>294</v>
      </c>
      <c r="E133" s="763">
        <f>'28'!F133</f>
        <v>40059</v>
      </c>
      <c r="F133" s="749">
        <v>40059</v>
      </c>
      <c r="G133" s="468">
        <f t="shared" si="14"/>
        <v>0</v>
      </c>
      <c r="H133" s="455">
        <f>G133+'28'!H133</f>
        <v>23.900000000001455</v>
      </c>
      <c r="I133" s="475"/>
      <c r="J133" s="547">
        <f>H133/DAY(B2)</f>
        <v>0.82413793103453292</v>
      </c>
    </row>
    <row r="134" spans="1:15" ht="27.75">
      <c r="A134" s="1392" t="s">
        <v>297</v>
      </c>
      <c r="B134" s="1393"/>
      <c r="C134" s="1393"/>
      <c r="D134" s="518" t="s">
        <v>294</v>
      </c>
      <c r="E134" s="763">
        <f>'28'!F134</f>
        <v>300</v>
      </c>
      <c r="F134" s="749">
        <v>300</v>
      </c>
      <c r="G134" s="468">
        <f t="shared" si="14"/>
        <v>0</v>
      </c>
      <c r="H134" s="455">
        <f>G134+'28'!H134</f>
        <v>0</v>
      </c>
      <c r="I134" s="475">
        <f>G131+G132+G133+G134</f>
        <v>0</v>
      </c>
      <c r="J134" s="547">
        <f>H134/DAY(B2)</f>
        <v>0</v>
      </c>
    </row>
    <row r="135" spans="1:15" ht="27.75">
      <c r="A135" s="1392" t="s">
        <v>298</v>
      </c>
      <c r="B135" s="1393"/>
      <c r="C135" s="1393"/>
      <c r="D135" s="518" t="s">
        <v>294</v>
      </c>
      <c r="E135" s="763">
        <f>'28'!F135</f>
        <v>41730</v>
      </c>
      <c r="F135" s="749">
        <v>41730</v>
      </c>
      <c r="G135" s="468">
        <f t="shared" si="14"/>
        <v>0</v>
      </c>
      <c r="H135" s="455">
        <f>G135+'28'!H135</f>
        <v>71.610000000000582</v>
      </c>
      <c r="I135" s="475"/>
      <c r="J135" s="547">
        <f>H135/DAY(B2)</f>
        <v>2.4693103448276061</v>
      </c>
    </row>
    <row r="136" spans="1:15" ht="27.75">
      <c r="A136" s="1392" t="s">
        <v>299</v>
      </c>
      <c r="B136" s="1393"/>
      <c r="C136" s="1393"/>
      <c r="D136" s="518" t="s">
        <v>294</v>
      </c>
      <c r="E136" s="759">
        <f>'28'!F136</f>
        <v>32643.16</v>
      </c>
      <c r="F136" s="736">
        <v>32667.24</v>
      </c>
      <c r="G136" s="468">
        <f t="shared" si="14"/>
        <v>24.080000000001746</v>
      </c>
      <c r="H136" s="455">
        <f>G136+'28'!H136</f>
        <v>97.31000000000131</v>
      </c>
      <c r="I136" s="475"/>
      <c r="J136" s="547">
        <f>H136/DAY(B2)</f>
        <v>3.3555172413793555</v>
      </c>
    </row>
    <row r="137" spans="1:15" ht="27.75">
      <c r="A137" s="1392" t="s">
        <v>300</v>
      </c>
      <c r="B137" s="1393"/>
      <c r="C137" s="1393"/>
      <c r="D137" s="518" t="s">
        <v>294</v>
      </c>
      <c r="E137" s="762">
        <f>'28'!F137</f>
        <v>22799</v>
      </c>
      <c r="F137" s="740">
        <v>22799</v>
      </c>
      <c r="G137" s="468">
        <f t="shared" si="14"/>
        <v>0</v>
      </c>
      <c r="H137" s="455">
        <f>G137+'28'!H137</f>
        <v>-8.2400000000016007</v>
      </c>
      <c r="I137" s="475">
        <f>G135+G136+G137</f>
        <v>24.080000000001746</v>
      </c>
      <c r="J137" s="547">
        <f>H137/DAY(B2)</f>
        <v>-0.28413793103453794</v>
      </c>
    </row>
    <row r="138" spans="1:15" ht="27.75">
      <c r="A138" s="1392" t="s">
        <v>301</v>
      </c>
      <c r="B138" s="1393"/>
      <c r="C138" s="1393"/>
      <c r="D138" s="518" t="s">
        <v>294</v>
      </c>
      <c r="E138" s="762">
        <f>'28'!F138</f>
        <v>25051.82</v>
      </c>
      <c r="F138" s="740">
        <v>25052</v>
      </c>
      <c r="G138" s="468">
        <f t="shared" si="14"/>
        <v>0.18000000000029104</v>
      </c>
      <c r="H138" s="455">
        <f>G138+'28'!H138</f>
        <v>8.2799999999988358</v>
      </c>
      <c r="I138" s="475"/>
      <c r="J138" s="547">
        <f>H138/DAY(B2)</f>
        <v>0.2855172413792702</v>
      </c>
    </row>
    <row r="139" spans="1:15" ht="27.75">
      <c r="A139" s="1392" t="s">
        <v>302</v>
      </c>
      <c r="B139" s="1393"/>
      <c r="C139" s="1393"/>
      <c r="D139" s="518" t="s">
        <v>294</v>
      </c>
      <c r="E139" s="762">
        <f>'28'!F139</f>
        <v>70402</v>
      </c>
      <c r="F139" s="740">
        <v>70402</v>
      </c>
      <c r="G139" s="468">
        <f t="shared" si="14"/>
        <v>0</v>
      </c>
      <c r="H139" s="455">
        <f>G139+'28'!H139</f>
        <v>37.899999999994179</v>
      </c>
      <c r="I139" s="475">
        <f>G138+G139</f>
        <v>0.18000000000029104</v>
      </c>
      <c r="J139" s="547">
        <f>H139/DAY(B2)</f>
        <v>1.3068965517239373</v>
      </c>
    </row>
    <row r="140" spans="1:15" ht="27.75">
      <c r="A140" s="1392" t="s">
        <v>303</v>
      </c>
      <c r="B140" s="1393"/>
      <c r="C140" s="1393"/>
      <c r="D140" s="518" t="s">
        <v>294</v>
      </c>
      <c r="E140" s="763">
        <f>'28'!F140</f>
        <v>1832</v>
      </c>
      <c r="F140" s="749">
        <v>1839.44</v>
      </c>
      <c r="G140" s="468">
        <f t="shared" si="14"/>
        <v>7.4400000000000546</v>
      </c>
      <c r="H140" s="455">
        <f>G140+'28'!H140</f>
        <v>-14.8599999999999</v>
      </c>
      <c r="I140" s="537"/>
      <c r="J140" s="547">
        <f>H140/DAY(B2)</f>
        <v>-0.51241379310344481</v>
      </c>
    </row>
    <row r="141" spans="1:15" ht="27.75">
      <c r="A141" s="1392" t="s">
        <v>304</v>
      </c>
      <c r="B141" s="1393"/>
      <c r="C141" s="1393"/>
      <c r="D141" s="518" t="s">
        <v>294</v>
      </c>
      <c r="E141" s="762">
        <f>'28'!F141</f>
        <v>4636.88</v>
      </c>
      <c r="F141" s="733">
        <v>4637</v>
      </c>
      <c r="G141" s="468">
        <f t="shared" si="14"/>
        <v>0.11999999999989086</v>
      </c>
      <c r="H141" s="455">
        <f>G141+'28'!H141</f>
        <v>0</v>
      </c>
      <c r="I141" s="537"/>
      <c r="J141" s="547">
        <f>H141/DAY(B2)</f>
        <v>0</v>
      </c>
    </row>
    <row r="142" spans="1:15">
      <c r="A142" s="1488" t="s">
        <v>305</v>
      </c>
      <c r="B142" s="1489"/>
      <c r="C142" s="1398"/>
      <c r="D142" s="467"/>
      <c r="E142" s="734"/>
      <c r="F142" s="734"/>
      <c r="G142" s="478"/>
      <c r="H142" s="478"/>
      <c r="I142" s="478"/>
      <c r="J142" s="558"/>
      <c r="K142" s="377"/>
      <c r="L142" s="374"/>
    </row>
    <row r="143" spans="1:15" ht="27.75">
      <c r="A143" s="1453" t="s">
        <v>306</v>
      </c>
      <c r="B143" s="1454"/>
      <c r="C143" s="1455"/>
      <c r="D143" s="518" t="s">
        <v>198</v>
      </c>
      <c r="E143" s="455"/>
      <c r="F143" s="455"/>
      <c r="G143" s="455">
        <f>G35+G43+G49+G57</f>
        <v>4733.67</v>
      </c>
      <c r="H143" s="455">
        <f>G143+'28'!H143</f>
        <v>-9594.8699999999953</v>
      </c>
      <c r="I143" s="475"/>
      <c r="J143" s="547">
        <f>H143/DAY(B2)</f>
        <v>-330.85758620689637</v>
      </c>
      <c r="K143" s="377"/>
      <c r="L143" s="374"/>
    </row>
    <row r="144" spans="1:15" ht="27.75">
      <c r="A144" s="1453" t="s">
        <v>307</v>
      </c>
      <c r="B144" s="1454"/>
      <c r="C144" s="1455"/>
      <c r="D144" s="518" t="s">
        <v>58</v>
      </c>
      <c r="E144" s="465"/>
      <c r="F144" s="465"/>
      <c r="G144" s="538">
        <f>G143/G7</f>
        <v>0.27845117647058826</v>
      </c>
      <c r="H144" s="455">
        <f>G144+'28'!H144</f>
        <v>-0.67671056207787428</v>
      </c>
      <c r="I144" s="539"/>
      <c r="J144" s="547">
        <f>H144/DAY(B2)</f>
        <v>-2.3334846968202563E-2</v>
      </c>
      <c r="K144" s="377"/>
      <c r="L144" s="374"/>
    </row>
    <row r="145" spans="1:12" ht="27.75">
      <c r="A145" s="1453" t="s">
        <v>308</v>
      </c>
      <c r="B145" s="1454"/>
      <c r="C145" s="1455"/>
      <c r="D145" s="518" t="s">
        <v>198</v>
      </c>
      <c r="E145" s="455"/>
      <c r="F145" s="455"/>
      <c r="G145" s="455">
        <f>G41+G42+G55+G56</f>
        <v>4832</v>
      </c>
      <c r="H145" s="455">
        <f>G145+'28'!H145</f>
        <v>-11174.969999999994</v>
      </c>
      <c r="I145" s="475"/>
      <c r="J145" s="547">
        <f>H145/DAY(B2)</f>
        <v>-385.34379310344809</v>
      </c>
      <c r="K145" s="377"/>
      <c r="L145" s="374"/>
    </row>
    <row r="146" spans="1:12" ht="27.75">
      <c r="A146" s="1453" t="s">
        <v>309</v>
      </c>
      <c r="B146" s="1454"/>
      <c r="C146" s="1455"/>
      <c r="D146" s="518" t="s">
        <v>58</v>
      </c>
      <c r="E146" s="455"/>
      <c r="F146" s="455"/>
      <c r="G146" s="538">
        <f>G145/G7</f>
        <v>0.28423529411764709</v>
      </c>
      <c r="H146" s="455">
        <f>G146+'28'!H146</f>
        <v>-0.79415239048617647</v>
      </c>
      <c r="I146" s="539"/>
      <c r="J146" s="547">
        <f>H146/DAY(B2)</f>
        <v>-2.7384565189178499E-2</v>
      </c>
      <c r="K146" s="377"/>
      <c r="L146" s="374"/>
    </row>
    <row r="147" spans="1:12" ht="27.75">
      <c r="A147" s="1453" t="s">
        <v>310</v>
      </c>
      <c r="B147" s="1454"/>
      <c r="C147" s="1455"/>
      <c r="D147" s="518" t="s">
        <v>198</v>
      </c>
      <c r="E147" s="455"/>
      <c r="F147" s="455"/>
      <c r="G147" s="455">
        <f>G39+G53</f>
        <v>2918</v>
      </c>
      <c r="H147" s="455">
        <f>G147+'28'!H147</f>
        <v>-5614</v>
      </c>
      <c r="I147" s="540"/>
      <c r="J147" s="547">
        <f>H147/DAY(B2)</f>
        <v>-193.58620689655172</v>
      </c>
      <c r="K147" s="377"/>
      <c r="L147" s="374"/>
    </row>
    <row r="148" spans="1:12" ht="27.75">
      <c r="A148" s="1453" t="s">
        <v>311</v>
      </c>
      <c r="B148" s="1454"/>
      <c r="C148" s="1455"/>
      <c r="D148" s="518" t="s">
        <v>58</v>
      </c>
      <c r="E148" s="455"/>
      <c r="F148" s="455"/>
      <c r="G148" s="538">
        <f>G147/G7</f>
        <v>0.1716470588235294</v>
      </c>
      <c r="H148" s="455">
        <f>G148+'28'!H148</f>
        <v>-0.40780908156325058</v>
      </c>
      <c r="I148" s="540"/>
      <c r="J148" s="547">
        <f>H148/DAY(B2)</f>
        <v>-1.406238212287071E-2</v>
      </c>
    </row>
    <row r="149" spans="1:12" ht="27.75">
      <c r="A149" s="1453" t="s">
        <v>312</v>
      </c>
      <c r="B149" s="1454"/>
      <c r="C149" s="1455"/>
      <c r="D149" s="518" t="s">
        <v>248</v>
      </c>
      <c r="E149" s="455"/>
      <c r="F149" s="455"/>
      <c r="G149" s="455">
        <f>G38+G52</f>
        <v>1218</v>
      </c>
      <c r="H149" s="455">
        <f>G149+'28'!H149</f>
        <v>-2579.9300000000512</v>
      </c>
      <c r="I149" s="475"/>
      <c r="J149" s="547">
        <f>H149/DAY(B2)</f>
        <v>-88.963103448277622</v>
      </c>
      <c r="K149" s="378"/>
    </row>
    <row r="150" spans="1:12" ht="27.75">
      <c r="A150" s="1453" t="s">
        <v>313</v>
      </c>
      <c r="B150" s="1454"/>
      <c r="C150" s="1455"/>
      <c r="D150" s="518" t="s">
        <v>58</v>
      </c>
      <c r="E150" s="455"/>
      <c r="F150" s="455"/>
      <c r="G150" s="538">
        <f>G149/G7</f>
        <v>7.1647058823529411E-2</v>
      </c>
      <c r="H150" s="455">
        <f>G150+'28'!H150</f>
        <v>-0.18395533474531345</v>
      </c>
      <c r="I150" s="540"/>
      <c r="J150" s="547">
        <f>H150/DAY(B2)</f>
        <v>-6.3432874050108083E-3</v>
      </c>
    </row>
    <row r="151" spans="1:12" ht="27.75">
      <c r="A151" s="1453" t="s">
        <v>314</v>
      </c>
      <c r="B151" s="1454"/>
      <c r="C151" s="1455"/>
      <c r="D151" s="518" t="s">
        <v>248</v>
      </c>
      <c r="E151" s="455"/>
      <c r="F151" s="455"/>
      <c r="G151" s="455">
        <f>G36+G50</f>
        <v>866</v>
      </c>
      <c r="H151" s="455">
        <f>G151+'28'!H151</f>
        <v>345082</v>
      </c>
      <c r="I151" s="540"/>
      <c r="J151" s="547">
        <f>H151/DAY(B2)</f>
        <v>11899.379310344828</v>
      </c>
    </row>
    <row r="152" spans="1:12" ht="27.75">
      <c r="A152" s="1453" t="s">
        <v>315</v>
      </c>
      <c r="B152" s="1454"/>
      <c r="C152" s="1455"/>
      <c r="D152" s="518" t="s">
        <v>58</v>
      </c>
      <c r="E152" s="455"/>
      <c r="F152" s="455"/>
      <c r="G152" s="538">
        <f>G151/G7</f>
        <v>5.0941176470588233E-2</v>
      </c>
      <c r="H152" s="455">
        <f>G152+'28'!H152</f>
        <v>20.257657409728363</v>
      </c>
      <c r="I152" s="475"/>
      <c r="J152" s="547">
        <f>H152/DAY(B2)</f>
        <v>0.69853991068028842</v>
      </c>
    </row>
    <row r="153" spans="1:12" ht="27.75">
      <c r="A153" s="1453" t="s">
        <v>316</v>
      </c>
      <c r="B153" s="1454"/>
      <c r="C153" s="1455"/>
      <c r="D153" s="518" t="s">
        <v>248</v>
      </c>
      <c r="E153" s="455"/>
      <c r="F153" s="455"/>
      <c r="G153" s="455">
        <f>G37+G51</f>
        <v>1353.8699999999953</v>
      </c>
      <c r="H153" s="455">
        <f>G153+'28'!H153</f>
        <v>-2562.1300000000047</v>
      </c>
      <c r="I153" s="475"/>
      <c r="J153" s="547">
        <f>H153/DAY(B2)</f>
        <v>-88.349310344827742</v>
      </c>
    </row>
    <row r="154" spans="1:12" ht="28.5" thickBot="1">
      <c r="A154" s="1485" t="s">
        <v>317</v>
      </c>
      <c r="B154" s="1486"/>
      <c r="C154" s="1487"/>
      <c r="D154" s="620" t="s">
        <v>58</v>
      </c>
      <c r="E154" s="562"/>
      <c r="F154" s="562"/>
      <c r="G154" s="561">
        <f>G153/G7</f>
        <v>7.9639411764705612E-2</v>
      </c>
      <c r="H154" s="455">
        <f>G154+'28'!H154</f>
        <v>-0.18175541842725135</v>
      </c>
      <c r="I154" s="563"/>
      <c r="J154" s="564">
        <f>H154/DAY(B2)</f>
        <v>-6.2674282216293566E-3</v>
      </c>
    </row>
    <row r="155" spans="1:12">
      <c r="A155" s="461"/>
      <c r="B155" s="451"/>
      <c r="C155" s="451"/>
      <c r="D155" s="541"/>
      <c r="E155" s="543"/>
      <c r="F155" s="750"/>
      <c r="G155" s="541"/>
      <c r="H155" s="542"/>
      <c r="I155" s="541"/>
      <c r="J155" s="543"/>
    </row>
    <row r="161" spans="1:7">
      <c r="A161" s="790" t="s">
        <v>318</v>
      </c>
      <c r="B161" s="791"/>
      <c r="C161" s="791"/>
      <c r="D161" s="615" t="s">
        <v>253</v>
      </c>
      <c r="E161" s="759">
        <f>'28'!F161</f>
        <v>38185</v>
      </c>
      <c r="F161" s="799">
        <v>38267</v>
      </c>
      <c r="G161" s="468">
        <f t="shared" ref="G161:G164" si="15">F161-E161</f>
        <v>82</v>
      </c>
    </row>
    <row r="162" spans="1:7">
      <c r="A162" s="790" t="s">
        <v>319</v>
      </c>
      <c r="B162" s="791"/>
      <c r="C162" s="791"/>
      <c r="D162" s="615" t="s">
        <v>253</v>
      </c>
      <c r="E162" s="759">
        <f>'28'!F162</f>
        <v>93616</v>
      </c>
      <c r="F162" s="799">
        <v>94011</v>
      </c>
      <c r="G162" s="468">
        <f t="shared" si="15"/>
        <v>395</v>
      </c>
    </row>
    <row r="163" spans="1:7">
      <c r="A163" s="790" t="s">
        <v>320</v>
      </c>
      <c r="B163" s="791"/>
      <c r="C163" s="791"/>
      <c r="D163" s="615" t="s">
        <v>253</v>
      </c>
      <c r="E163" s="759">
        <f>'28'!F163</f>
        <v>44322</v>
      </c>
      <c r="F163" s="799">
        <v>44527</v>
      </c>
      <c r="G163" s="468">
        <f t="shared" si="15"/>
        <v>205</v>
      </c>
    </row>
    <row r="164" spans="1:7">
      <c r="A164" s="790" t="s">
        <v>321</v>
      </c>
      <c r="B164" s="791"/>
      <c r="C164" s="791"/>
      <c r="D164" s="615" t="s">
        <v>253</v>
      </c>
      <c r="E164" s="759">
        <f>'28'!F164</f>
        <v>6542</v>
      </c>
      <c r="F164" s="799">
        <v>6549</v>
      </c>
      <c r="G164" s="468">
        <f t="shared" si="15"/>
        <v>7</v>
      </c>
    </row>
    <row r="165" spans="1:7">
      <c r="A165" s="792" t="s">
        <v>252</v>
      </c>
      <c r="B165" s="793"/>
      <c r="C165" s="793"/>
      <c r="D165" s="615" t="s">
        <v>253</v>
      </c>
      <c r="E165" s="509">
        <f>E62</f>
        <v>20419</v>
      </c>
      <c r="F165" s="509">
        <f>F62</f>
        <v>20419</v>
      </c>
      <c r="G165" s="468">
        <f t="shared" ref="G165:G172" si="16">F165-E165</f>
        <v>0</v>
      </c>
    </row>
    <row r="166" spans="1:7">
      <c r="A166" s="792" t="s">
        <v>254</v>
      </c>
      <c r="B166" s="793"/>
      <c r="C166" s="793"/>
      <c r="D166" s="615" t="s">
        <v>253</v>
      </c>
      <c r="E166" s="509">
        <f t="shared" ref="E166:E172" si="17">E63</f>
        <v>2464</v>
      </c>
      <c r="F166" s="509">
        <f t="shared" ref="F166:F172" si="18">F63</f>
        <v>2468</v>
      </c>
      <c r="G166" s="468">
        <f t="shared" si="16"/>
        <v>4</v>
      </c>
    </row>
    <row r="167" spans="1:7" ht="27.75">
      <c r="A167" s="1515" t="s">
        <v>161</v>
      </c>
      <c r="B167" s="1515"/>
      <c r="C167" s="1515"/>
      <c r="D167" s="519" t="s">
        <v>253</v>
      </c>
      <c r="E167" s="509">
        <f t="shared" si="17"/>
        <v>159360</v>
      </c>
      <c r="F167" s="509">
        <f t="shared" si="18"/>
        <v>159553</v>
      </c>
      <c r="G167" s="468">
        <f t="shared" si="16"/>
        <v>193</v>
      </c>
    </row>
    <row r="168" spans="1:7" ht="27.75">
      <c r="A168" s="1515" t="s">
        <v>162</v>
      </c>
      <c r="B168" s="1515"/>
      <c r="C168" s="1515"/>
      <c r="D168" s="519" t="s">
        <v>253</v>
      </c>
      <c r="E168" s="509">
        <f t="shared" si="17"/>
        <v>160348</v>
      </c>
      <c r="F168" s="509">
        <f t="shared" si="18"/>
        <v>160561</v>
      </c>
      <c r="G168" s="468">
        <f t="shared" si="16"/>
        <v>213</v>
      </c>
    </row>
    <row r="169" spans="1:7" ht="27.75">
      <c r="A169" s="1515" t="s">
        <v>255</v>
      </c>
      <c r="B169" s="1515"/>
      <c r="C169" s="1515"/>
      <c r="D169" s="519" t="s">
        <v>253</v>
      </c>
      <c r="E169" s="509">
        <f t="shared" si="17"/>
        <v>55940</v>
      </c>
      <c r="F169" s="509">
        <f t="shared" si="18"/>
        <v>56221</v>
      </c>
      <c r="G169" s="468">
        <f t="shared" si="16"/>
        <v>281</v>
      </c>
    </row>
    <row r="170" spans="1:7" ht="27.75">
      <c r="A170" s="1515" t="s">
        <v>157</v>
      </c>
      <c r="B170" s="1515"/>
      <c r="C170" s="1515"/>
      <c r="D170" s="519" t="s">
        <v>253</v>
      </c>
      <c r="E170" s="509">
        <f t="shared" si="17"/>
        <v>250705</v>
      </c>
      <c r="F170" s="509">
        <f t="shared" si="18"/>
        <v>251244</v>
      </c>
      <c r="G170" s="468">
        <f t="shared" si="16"/>
        <v>539</v>
      </c>
    </row>
    <row r="171" spans="1:7" ht="27.75">
      <c r="A171" s="1515" t="s">
        <v>164</v>
      </c>
      <c r="B171" s="1515"/>
      <c r="C171" s="1515"/>
      <c r="D171" s="519" t="s">
        <v>253</v>
      </c>
      <c r="E171" s="509">
        <f t="shared" si="17"/>
        <v>85321</v>
      </c>
      <c r="F171" s="509">
        <f t="shared" si="18"/>
        <v>85321</v>
      </c>
      <c r="G171" s="468">
        <f t="shared" si="16"/>
        <v>0</v>
      </c>
    </row>
    <row r="172" spans="1:7" ht="27.75">
      <c r="A172" s="1515" t="s">
        <v>165</v>
      </c>
      <c r="B172" s="1515"/>
      <c r="C172" s="1515"/>
      <c r="D172" s="519" t="s">
        <v>253</v>
      </c>
      <c r="E172" s="509">
        <f t="shared" si="17"/>
        <v>81418</v>
      </c>
      <c r="F172" s="509">
        <f t="shared" si="18"/>
        <v>81507</v>
      </c>
      <c r="G172" s="468">
        <f t="shared" si="16"/>
        <v>89</v>
      </c>
    </row>
    <row r="173" spans="1:7">
      <c r="A173" s="794"/>
      <c r="B173" s="795"/>
      <c r="C173" s="795"/>
      <c r="D173" s="796"/>
      <c r="E173" s="798"/>
      <c r="F173" s="1026"/>
      <c r="G173" s="798">
        <f>SUM(G161:G172)</f>
        <v>2008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zoomScale="60" zoomScaleNormal="55" workbookViewId="0">
      <selection activeCell="A33" sqref="A33:J33"/>
    </sheetView>
  </sheetViews>
  <sheetFormatPr defaultColWidth="22.33203125" defaultRowHeight="21.95" customHeight="1"/>
  <cols>
    <col min="1" max="1" width="51.21875" style="449" customWidth="1"/>
    <col min="2" max="2" width="24.88671875" style="452" customWidth="1"/>
    <col min="3" max="3" width="15.88671875" style="452" customWidth="1"/>
    <col min="4" max="4" width="13.6640625" style="532" customWidth="1"/>
    <col min="5" max="5" width="32.109375" style="532" customWidth="1"/>
    <col min="6" max="6" width="30" style="532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2.33203125" style="373"/>
    <col min="15" max="15" width="22.33203125" style="374"/>
    <col min="16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325</v>
      </c>
      <c r="B2" s="1108">
        <v>43981</v>
      </c>
      <c r="C2" s="1394" t="s">
        <v>111</v>
      </c>
      <c r="D2" s="606">
        <v>0.62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  <c r="O2" s="289"/>
    </row>
    <row r="3" spans="1:15" s="278" customFormat="1" ht="27">
      <c r="A3" s="565"/>
      <c r="B3" s="609"/>
      <c r="C3" s="1394" t="s">
        <v>186</v>
      </c>
      <c r="D3" s="607">
        <v>29</v>
      </c>
      <c r="E3" s="1610" t="s">
        <v>187</v>
      </c>
      <c r="F3" s="1610"/>
      <c r="G3" s="457"/>
      <c r="H3" s="458"/>
      <c r="I3" s="458"/>
      <c r="J3" s="610"/>
      <c r="K3" s="368"/>
      <c r="L3" s="289"/>
      <c r="O3" s="1018"/>
    </row>
    <row r="4" spans="1:15" s="278" customFormat="1" ht="27">
      <c r="A4" s="571"/>
      <c r="B4" s="611"/>
      <c r="C4" s="1394" t="s">
        <v>188</v>
      </c>
      <c r="D4" s="606">
        <v>0.8</v>
      </c>
      <c r="E4" s="459"/>
      <c r="F4" s="459"/>
      <c r="G4" s="459"/>
      <c r="H4" s="459"/>
      <c r="I4" s="460"/>
      <c r="J4" s="610"/>
      <c r="K4" s="369"/>
      <c r="L4" s="289"/>
      <c r="O4" s="289"/>
    </row>
    <row r="5" spans="1:15" ht="21.95" customHeight="1">
      <c r="A5" s="572" t="s">
        <v>189</v>
      </c>
      <c r="B5" s="454"/>
      <c r="C5" s="454"/>
      <c r="D5" s="506" t="s">
        <v>190</v>
      </c>
      <c r="E5" s="462" t="s">
        <v>191</v>
      </c>
      <c r="F5" s="462"/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 ht="21.95" customHeight="1">
      <c r="A6" s="1611" t="s">
        <v>196</v>
      </c>
      <c r="B6" s="1612"/>
      <c r="C6" s="1612"/>
      <c r="D6" s="466"/>
      <c r="E6" s="466"/>
      <c r="F6" s="466"/>
      <c r="G6" s="466"/>
      <c r="H6" s="467"/>
      <c r="I6" s="467"/>
      <c r="J6" s="546"/>
      <c r="K6" s="423"/>
      <c r="L6" s="374"/>
      <c r="O6" s="1019"/>
    </row>
    <row r="7" spans="1:15" ht="21.95" customHeight="1" thickBot="1">
      <c r="A7" s="573" t="s">
        <v>197</v>
      </c>
      <c r="B7" s="574"/>
      <c r="C7" s="574"/>
      <c r="D7" s="518" t="s">
        <v>198</v>
      </c>
      <c r="E7" s="450">
        <f>'29'!F7</f>
        <v>844941</v>
      </c>
      <c r="F7" s="450">
        <f>E7+17000</f>
        <v>861941</v>
      </c>
      <c r="G7" s="769">
        <f>F7-E7</f>
        <v>17000</v>
      </c>
      <c r="H7" s="455">
        <f>G7+'29'!H7</f>
        <v>517529</v>
      </c>
      <c r="I7" s="469">
        <f>'1'!I7</f>
        <v>12000</v>
      </c>
      <c r="J7" s="547">
        <f>H7/DAY(B2)</f>
        <v>17250.966666666667</v>
      </c>
      <c r="K7" s="544">
        <v>1375467</v>
      </c>
      <c r="L7" s="374"/>
      <c r="N7" s="435">
        <f>F7-'1'!E7</f>
        <v>517529</v>
      </c>
      <c r="O7" s="800"/>
    </row>
    <row r="8" spans="1:15" ht="21.95" customHeight="1" thickBot="1">
      <c r="A8" s="575" t="s">
        <v>199</v>
      </c>
      <c r="B8" s="576"/>
      <c r="C8" s="577"/>
      <c r="D8" s="612" t="s">
        <v>59</v>
      </c>
      <c r="E8" s="450">
        <f>'29'!F8</f>
        <v>850395</v>
      </c>
      <c r="F8" s="450">
        <f>E8+17150</f>
        <v>867545</v>
      </c>
      <c r="G8" s="471">
        <f>F8-E8</f>
        <v>17150</v>
      </c>
      <c r="H8" s="455">
        <f>G8+'29'!H8</f>
        <v>521035</v>
      </c>
      <c r="I8" s="472"/>
      <c r="J8" s="547">
        <f>H8/DAY(B2)</f>
        <v>17367.833333333332</v>
      </c>
      <c r="K8" s="544">
        <v>1715917</v>
      </c>
      <c r="L8" s="421">
        <v>1728480</v>
      </c>
      <c r="M8" s="435">
        <f>L8-K8</f>
        <v>12563</v>
      </c>
      <c r="N8" s="435">
        <f>F8-'1'!E8</f>
        <v>521035</v>
      </c>
      <c r="O8" s="800"/>
    </row>
    <row r="9" spans="1:15" ht="21.95" customHeight="1">
      <c r="A9" s="578" t="s">
        <v>200</v>
      </c>
      <c r="B9" s="579"/>
      <c r="C9" s="579"/>
      <c r="D9" s="518" t="s">
        <v>198</v>
      </c>
      <c r="E9" s="450">
        <f>'29'!F9</f>
        <v>1966172</v>
      </c>
      <c r="F9" s="473">
        <f>E9+16950</f>
        <v>1983122</v>
      </c>
      <c r="G9" s="468">
        <f t="shared" ref="G9:G12" si="0">F9-E9</f>
        <v>16950</v>
      </c>
      <c r="H9" s="455">
        <f>G9+'29'!H9</f>
        <v>509432</v>
      </c>
      <c r="I9" s="474">
        <f>I7-J7</f>
        <v>-5250.9666666666672</v>
      </c>
      <c r="J9" s="547">
        <f>H9/DAY(B2)</f>
        <v>16981.066666666666</v>
      </c>
      <c r="K9" s="424">
        <f>K8-100</f>
        <v>1715817</v>
      </c>
      <c r="L9" s="374"/>
      <c r="N9" s="435">
        <f>F9-'1'!E9</f>
        <v>509432</v>
      </c>
      <c r="O9" s="800"/>
    </row>
    <row r="10" spans="1:15" ht="21.95" customHeight="1">
      <c r="A10" s="573" t="s">
        <v>201</v>
      </c>
      <c r="B10" s="574"/>
      <c r="C10" s="574"/>
      <c r="D10" s="518" t="s">
        <v>198</v>
      </c>
      <c r="E10" s="450">
        <f>'29'!F10</f>
        <v>0</v>
      </c>
      <c r="F10" s="473"/>
      <c r="G10" s="468">
        <f t="shared" si="0"/>
        <v>0</v>
      </c>
      <c r="H10" s="455">
        <f>G10+'29'!H10</f>
        <v>-2606.13</v>
      </c>
      <c r="I10" s="475"/>
      <c r="J10" s="547">
        <f>H10/DAY(B2)</f>
        <v>-86.871000000000009</v>
      </c>
      <c r="K10" s="424"/>
      <c r="L10" s="374"/>
      <c r="N10" s="435">
        <f>F10-'1'!E10</f>
        <v>-2322.58</v>
      </c>
      <c r="O10" s="800"/>
    </row>
    <row r="11" spans="1:15" ht="21.95" customHeight="1">
      <c r="A11" s="573" t="s">
        <v>202</v>
      </c>
      <c r="B11" s="574"/>
      <c r="C11" s="574"/>
      <c r="D11" s="518" t="s">
        <v>198</v>
      </c>
      <c r="E11" s="450">
        <f>'29'!F11</f>
        <v>37000</v>
      </c>
      <c r="F11" s="450">
        <v>37000</v>
      </c>
      <c r="G11" s="468">
        <f t="shared" si="0"/>
        <v>0</v>
      </c>
      <c r="H11" s="455">
        <f>G11+'29'!H11</f>
        <v>0</v>
      </c>
      <c r="I11" s="475"/>
      <c r="J11" s="547">
        <f>H11/DAY(B2)</f>
        <v>0</v>
      </c>
      <c r="K11" s="424"/>
      <c r="L11" s="374"/>
      <c r="N11" s="435">
        <f>F11-'1'!E11</f>
        <v>0</v>
      </c>
      <c r="O11" s="800"/>
    </row>
    <row r="12" spans="1:15" ht="21.95" customHeight="1">
      <c r="A12" s="573" t="s">
        <v>203</v>
      </c>
      <c r="B12" s="574"/>
      <c r="C12" s="574"/>
      <c r="D12" s="518" t="s">
        <v>198</v>
      </c>
      <c r="E12" s="450">
        <f>'29'!F12</f>
        <v>40010</v>
      </c>
      <c r="F12" s="473">
        <v>40010</v>
      </c>
      <c r="G12" s="468">
        <f t="shared" si="0"/>
        <v>0</v>
      </c>
      <c r="H12" s="455">
        <f>G12+'29'!H12</f>
        <v>0</v>
      </c>
      <c r="I12" s="475"/>
      <c r="J12" s="547">
        <f>H12/DAY(B2)</f>
        <v>0</v>
      </c>
      <c r="K12" s="424"/>
      <c r="L12" s="374"/>
      <c r="N12" s="435">
        <f>F12-'1'!E12</f>
        <v>0</v>
      </c>
      <c r="O12" s="800"/>
    </row>
    <row r="13" spans="1:15" ht="21.95" customHeight="1">
      <c r="A13" s="580" t="s">
        <v>204</v>
      </c>
      <c r="B13" s="581"/>
      <c r="C13" s="581"/>
      <c r="D13" s="518"/>
      <c r="E13" s="450"/>
      <c r="F13" s="450"/>
      <c r="G13" s="476">
        <f>G9+G10+G11+G12</f>
        <v>16950</v>
      </c>
      <c r="H13" s="455">
        <f>G13+'29'!H13</f>
        <v>490300.87</v>
      </c>
      <c r="I13" s="477">
        <f>G7-G13</f>
        <v>50</v>
      </c>
      <c r="J13" s="547">
        <f>H13/DAY(B2)</f>
        <v>16343.362333333333</v>
      </c>
      <c r="K13" s="424"/>
      <c r="L13" s="374"/>
      <c r="N13" s="435">
        <f>F13-'1'!E13</f>
        <v>0</v>
      </c>
      <c r="O13" s="800"/>
    </row>
    <row r="14" spans="1:15" ht="29.25">
      <c r="A14" s="1604" t="s">
        <v>205</v>
      </c>
      <c r="B14" s="1605"/>
      <c r="C14" s="1605"/>
      <c r="D14" s="467"/>
      <c r="E14" s="467"/>
      <c r="F14" s="467"/>
      <c r="G14" s="478"/>
      <c r="H14" s="467"/>
      <c r="I14" s="467"/>
      <c r="J14" s="546"/>
      <c r="K14" s="425"/>
      <c r="L14" s="374"/>
      <c r="N14" s="435">
        <f>F14-'1'!E14</f>
        <v>0</v>
      </c>
      <c r="O14" s="800"/>
    </row>
    <row r="15" spans="1:15" ht="21.95" customHeight="1">
      <c r="A15" s="1392" t="s">
        <v>133</v>
      </c>
      <c r="B15" s="584"/>
      <c r="C15" s="584"/>
      <c r="D15" s="518" t="s">
        <v>206</v>
      </c>
      <c r="E15" s="450">
        <f>'29'!F15</f>
        <v>1699632</v>
      </c>
      <c r="F15" s="517">
        <f>E15+550</f>
        <v>1700182</v>
      </c>
      <c r="G15" s="769">
        <f>(F15-E15)</f>
        <v>550</v>
      </c>
      <c r="H15" s="455">
        <f>G15+'29'!H15</f>
        <v>15658</v>
      </c>
      <c r="I15" s="469">
        <f>'1'!I15</f>
        <v>800</v>
      </c>
      <c r="J15" s="547">
        <f>H15/DAY(B2)</f>
        <v>521.93333333333328</v>
      </c>
      <c r="K15" s="424"/>
      <c r="L15" s="374"/>
      <c r="N15" s="435">
        <f>F15-'1'!E15</f>
        <v>15658</v>
      </c>
      <c r="O15" s="800"/>
    </row>
    <row r="16" spans="1:15" ht="21.95" customHeight="1">
      <c r="A16" s="582"/>
      <c r="B16" s="583"/>
      <c r="C16" s="583"/>
      <c r="D16" s="519"/>
      <c r="E16" s="480"/>
      <c r="F16" s="480"/>
      <c r="G16" s="468"/>
      <c r="H16" s="481"/>
      <c r="I16" s="482">
        <f>I15-J15</f>
        <v>278.06666666666672</v>
      </c>
      <c r="J16" s="548"/>
      <c r="K16" s="424"/>
      <c r="L16" s="374"/>
      <c r="N16" s="435">
        <f>F16-'1'!E16</f>
        <v>0</v>
      </c>
      <c r="O16" s="800"/>
    </row>
    <row r="17" spans="1:15" ht="29.25">
      <c r="A17" s="1604" t="s">
        <v>207</v>
      </c>
      <c r="B17" s="1605"/>
      <c r="C17" s="1605"/>
      <c r="D17" s="467"/>
      <c r="E17" s="467"/>
      <c r="F17" s="467"/>
      <c r="G17" s="483"/>
      <c r="H17" s="467"/>
      <c r="I17" s="467"/>
      <c r="J17" s="546"/>
      <c r="K17" s="424"/>
      <c r="L17" s="374"/>
      <c r="N17" s="435">
        <f>F17-'1'!E17</f>
        <v>0</v>
      </c>
      <c r="O17" s="800"/>
    </row>
    <row r="18" spans="1:15" ht="27.75">
      <c r="A18" s="1586" t="s">
        <v>208</v>
      </c>
      <c r="B18" s="1587"/>
      <c r="C18" s="1587"/>
      <c r="D18" s="518" t="s">
        <v>209</v>
      </c>
      <c r="E18" s="450">
        <f>'29'!F18</f>
        <v>6</v>
      </c>
      <c r="F18" s="479">
        <v>8</v>
      </c>
      <c r="G18" s="476">
        <f>F18*10</f>
        <v>80</v>
      </c>
      <c r="H18" s="455">
        <f>G18+'29'!H18</f>
        <v>1540</v>
      </c>
      <c r="I18" s="469">
        <f>'1'!I18</f>
        <v>65</v>
      </c>
      <c r="J18" s="547">
        <f>H18/DAY(B2)</f>
        <v>51.333333333333336</v>
      </c>
      <c r="K18" s="424"/>
      <c r="L18" s="374"/>
      <c r="N18" s="435">
        <f>F18-'1'!E18</f>
        <v>2</v>
      </c>
      <c r="O18" s="800"/>
    </row>
    <row r="19" spans="1:15" ht="27.75">
      <c r="A19" s="1586" t="s">
        <v>113</v>
      </c>
      <c r="B19" s="1587"/>
      <c r="C19" s="1587"/>
      <c r="D19" s="518" t="s">
        <v>209</v>
      </c>
      <c r="E19" s="450">
        <f>'29'!F19</f>
        <v>139493</v>
      </c>
      <c r="F19" s="479">
        <v>139551</v>
      </c>
      <c r="G19" s="468">
        <f t="shared" ref="G19" si="1">F19-E19</f>
        <v>58</v>
      </c>
      <c r="H19" s="455">
        <f>G19+'29'!H19</f>
        <v>-61</v>
      </c>
      <c r="I19" s="484"/>
      <c r="J19" s="547">
        <f>H19/DAY(B2)</f>
        <v>-2.0333333333333332</v>
      </c>
      <c r="K19" s="424"/>
      <c r="L19" s="374"/>
      <c r="N19" s="435">
        <f>F19-'1'!E19</f>
        <v>-61</v>
      </c>
      <c r="O19" s="800"/>
    </row>
    <row r="20" spans="1:15" ht="21.95" customHeight="1">
      <c r="A20" s="580" t="s">
        <v>210</v>
      </c>
      <c r="B20" s="581"/>
      <c r="C20" s="581"/>
      <c r="D20" s="485"/>
      <c r="E20" s="485"/>
      <c r="F20" s="485"/>
      <c r="G20" s="1017">
        <f>G18+G19</f>
        <v>138</v>
      </c>
      <c r="H20" s="455">
        <f>G20+'29'!H20</f>
        <v>1479</v>
      </c>
      <c r="I20" s="487">
        <f>I18-J20</f>
        <v>15.700000000000003</v>
      </c>
      <c r="J20" s="547">
        <f>H20/DAY(B2)</f>
        <v>49.3</v>
      </c>
      <c r="K20" s="424"/>
      <c r="L20" s="374"/>
      <c r="N20" s="435">
        <f>F20-'1'!E20</f>
        <v>0</v>
      </c>
      <c r="O20" s="800"/>
    </row>
    <row r="21" spans="1:15" ht="29.25">
      <c r="A21" s="1604" t="s">
        <v>211</v>
      </c>
      <c r="B21" s="1605"/>
      <c r="C21" s="1605"/>
      <c r="D21" s="467"/>
      <c r="E21" s="467"/>
      <c r="F21" s="467"/>
      <c r="G21" s="478"/>
      <c r="H21" s="467"/>
      <c r="I21" s="467"/>
      <c r="J21" s="546"/>
      <c r="K21" s="424"/>
      <c r="L21" s="374"/>
      <c r="N21" s="435">
        <f>F21-'1'!E21</f>
        <v>0</v>
      </c>
      <c r="O21" s="800"/>
    </row>
    <row r="22" spans="1:15" ht="21.95" customHeight="1">
      <c r="A22" s="1392" t="s">
        <v>212</v>
      </c>
      <c r="B22" s="584"/>
      <c r="C22" s="584"/>
      <c r="D22" s="518" t="s">
        <v>213</v>
      </c>
      <c r="E22" s="733">
        <v>2970</v>
      </c>
      <c r="F22" s="479">
        <v>2970</v>
      </c>
      <c r="G22" s="476">
        <f t="shared" ref="G22" si="2">(F22-E22)</f>
        <v>0</v>
      </c>
      <c r="H22" s="455">
        <f>G22+'29'!H22</f>
        <v>0</v>
      </c>
      <c r="I22" s="475"/>
      <c r="J22" s="547">
        <f>H22/DAY(B2)</f>
        <v>0</v>
      </c>
      <c r="K22" s="424"/>
      <c r="L22" s="374"/>
      <c r="N22" s="435">
        <f>F22-'1'!E22</f>
        <v>0</v>
      </c>
      <c r="O22" s="800"/>
    </row>
    <row r="23" spans="1:15" ht="21.95" customHeight="1">
      <c r="A23" s="1392" t="s">
        <v>214</v>
      </c>
      <c r="B23" s="584"/>
      <c r="C23" s="584"/>
      <c r="D23" s="518" t="s">
        <v>213</v>
      </c>
      <c r="E23" s="733">
        <v>2000</v>
      </c>
      <c r="F23" s="479">
        <v>2000</v>
      </c>
      <c r="G23" s="476">
        <v>0</v>
      </c>
      <c r="H23" s="455">
        <f>G23+'29'!H23</f>
        <v>0</v>
      </c>
      <c r="I23" s="475"/>
      <c r="J23" s="547">
        <f>H23/DAY(B2)</f>
        <v>0</v>
      </c>
      <c r="K23" s="424"/>
      <c r="L23" s="374"/>
      <c r="N23" s="435">
        <f>F23-'1'!E23</f>
        <v>0</v>
      </c>
      <c r="O23" s="800"/>
    </row>
    <row r="24" spans="1:15" ht="21.95" customHeight="1">
      <c r="A24" s="585" t="s">
        <v>215</v>
      </c>
      <c r="B24" s="586"/>
      <c r="C24" s="586"/>
      <c r="D24" s="506" t="s">
        <v>213</v>
      </c>
      <c r="E24" s="736">
        <v>4970</v>
      </c>
      <c r="F24" s="488">
        <v>4970</v>
      </c>
      <c r="G24" s="476">
        <v>0</v>
      </c>
      <c r="H24" s="455">
        <f>G24+'29'!H24</f>
        <v>0</v>
      </c>
      <c r="I24" s="475"/>
      <c r="J24" s="547">
        <f>H24/DAY(B2)</f>
        <v>0</v>
      </c>
      <c r="K24" s="424"/>
      <c r="L24" s="374"/>
      <c r="N24" s="435">
        <f>F24-'1'!E24</f>
        <v>0</v>
      </c>
      <c r="O24" s="800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435">
        <f>F25-'1'!E25</f>
        <v>0</v>
      </c>
      <c r="O25" s="800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493"/>
      <c r="H26" s="455"/>
      <c r="I26" s="494"/>
      <c r="J26" s="547"/>
      <c r="K26" s="371"/>
      <c r="L26" s="438"/>
      <c r="N26" s="435">
        <f>F26-'1'!E26</f>
        <v>0</v>
      </c>
      <c r="O26" s="800"/>
    </row>
    <row r="27" spans="1:15" s="437" customFormat="1" ht="27.75">
      <c r="A27" s="587" t="s">
        <v>40</v>
      </c>
      <c r="B27" s="588"/>
      <c r="C27" s="589"/>
      <c r="D27" s="614" t="s">
        <v>59</v>
      </c>
      <c r="E27" s="495">
        <f>G8</f>
        <v>17150</v>
      </c>
      <c r="F27" s="496">
        <v>9</v>
      </c>
      <c r="G27" s="1020">
        <f>E27*F27</f>
        <v>154350</v>
      </c>
      <c r="H27" s="455">
        <f>G27+'29'!H27</f>
        <v>4688478</v>
      </c>
      <c r="I27" s="498"/>
      <c r="J27" s="547">
        <f>H27/DAY(B2)</f>
        <v>156282.6</v>
      </c>
      <c r="K27" s="370"/>
      <c r="L27" s="438"/>
      <c r="N27" s="435"/>
      <c r="O27" s="800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9">
        <f>G15</f>
        <v>550</v>
      </c>
      <c r="F28" s="496">
        <v>52</v>
      </c>
      <c r="G28" s="1020">
        <f>E28*F28</f>
        <v>28600</v>
      </c>
      <c r="H28" s="455">
        <f>G28+'29'!H28</f>
        <v>814216</v>
      </c>
      <c r="I28" s="500"/>
      <c r="J28" s="547">
        <f>H28/DAY(B2)</f>
        <v>27140.533333333333</v>
      </c>
      <c r="K28" s="370"/>
      <c r="L28" s="438"/>
      <c r="N28" s="435"/>
      <c r="O28" s="800"/>
    </row>
    <row r="29" spans="1:15" s="437" customFormat="1" ht="27.75">
      <c r="A29" s="587" t="s">
        <v>221</v>
      </c>
      <c r="B29" s="588"/>
      <c r="C29" s="589"/>
      <c r="D29" s="614" t="s">
        <v>222</v>
      </c>
      <c r="E29" s="501">
        <f>G24</f>
        <v>0</v>
      </c>
      <c r="F29" s="496">
        <v>69</v>
      </c>
      <c r="G29" s="1020">
        <f>E29*F29</f>
        <v>0</v>
      </c>
      <c r="H29" s="455">
        <f>G29+'29'!H29</f>
        <v>8280</v>
      </c>
      <c r="I29" s="500"/>
      <c r="J29" s="547">
        <f>H29/DAY(B2)</f>
        <v>276</v>
      </c>
      <c r="K29" s="370"/>
      <c r="L29" s="438"/>
      <c r="N29" s="435"/>
      <c r="O29" s="800"/>
    </row>
    <row r="30" spans="1:15" s="437" customFormat="1" ht="27.75">
      <c r="A30" s="587" t="s">
        <v>223</v>
      </c>
      <c r="B30" s="588"/>
      <c r="C30" s="589"/>
      <c r="D30" s="614" t="s">
        <v>224</v>
      </c>
      <c r="E30" s="501">
        <f>G19</f>
        <v>58</v>
      </c>
      <c r="F30" s="496">
        <v>146</v>
      </c>
      <c r="G30" s="1020">
        <f>E30*F30</f>
        <v>8468</v>
      </c>
      <c r="H30" s="455">
        <f>G30+'29'!H30</f>
        <v>-8906</v>
      </c>
      <c r="I30" s="500"/>
      <c r="J30" s="547">
        <f>H30/DAY(B2)</f>
        <v>-296.86666666666667</v>
      </c>
      <c r="K30" s="370"/>
      <c r="L30" s="438"/>
      <c r="N30" s="435"/>
      <c r="O30" s="800"/>
    </row>
    <row r="31" spans="1:15" s="437" customFormat="1" ht="27.75">
      <c r="A31" s="587" t="s">
        <v>225</v>
      </c>
      <c r="B31" s="588"/>
      <c r="C31" s="589"/>
      <c r="D31" s="614" t="s">
        <v>209</v>
      </c>
      <c r="E31" s="501">
        <f>G18</f>
        <v>80</v>
      </c>
      <c r="F31" s="496">
        <v>80</v>
      </c>
      <c r="G31" s="1020">
        <f>E31*F31</f>
        <v>6400</v>
      </c>
      <c r="H31" s="455">
        <f>G31+'29'!H31</f>
        <v>123200</v>
      </c>
      <c r="I31" s="500"/>
      <c r="J31" s="547">
        <f>H31/DAY(B2)</f>
        <v>4106.666666666667</v>
      </c>
      <c r="K31" s="370"/>
      <c r="L31" s="438"/>
      <c r="N31" s="435"/>
      <c r="O31" s="800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503">
        <f>G27+G28+G29+G30+G31</f>
        <v>197818</v>
      </c>
      <c r="H32" s="455">
        <f>G32+'29'!H32</f>
        <v>5625268</v>
      </c>
      <c r="I32" s="504"/>
      <c r="J32" s="547">
        <f>H32/DAY(B2)</f>
        <v>187508.93333333332</v>
      </c>
      <c r="K32" s="370"/>
      <c r="L32" s="438"/>
      <c r="N32" s="435"/>
      <c r="O32" s="800"/>
    </row>
    <row r="33" spans="1:15" ht="25.5">
      <c r="A33" s="1606" t="s">
        <v>227</v>
      </c>
      <c r="B33" s="1607"/>
      <c r="C33" s="1607"/>
      <c r="D33" s="1607"/>
      <c r="E33" s="1607"/>
      <c r="F33" s="1607"/>
      <c r="G33" s="1607"/>
      <c r="H33" s="1607"/>
      <c r="I33" s="1607"/>
      <c r="J33" s="1608"/>
      <c r="K33" s="424"/>
      <c r="L33" s="374"/>
      <c r="N33" s="435"/>
      <c r="O33" s="800"/>
    </row>
    <row r="34" spans="1:15" ht="21.95" customHeight="1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435"/>
      <c r="O34" s="800"/>
    </row>
    <row r="35" spans="1:15" ht="21.95" customHeight="1">
      <c r="A35" s="573" t="s">
        <v>229</v>
      </c>
      <c r="B35" s="574"/>
      <c r="C35" s="574"/>
      <c r="D35" s="518" t="s">
        <v>198</v>
      </c>
      <c r="E35" s="450">
        <f>'29'!F35</f>
        <v>945766</v>
      </c>
      <c r="F35" s="505">
        <v>948143</v>
      </c>
      <c r="G35" s="468">
        <f t="shared" ref="G35:G46" si="3">F35-E35</f>
        <v>2377</v>
      </c>
      <c r="H35" s="455">
        <f>G35+'29'!H35</f>
        <v>-2345</v>
      </c>
      <c r="I35" s="450"/>
      <c r="J35" s="547">
        <f>H35/DAY(B2)</f>
        <v>-78.166666666666671</v>
      </c>
      <c r="K35" s="424"/>
      <c r="L35" s="374"/>
      <c r="N35" s="435">
        <f>F35-'1'!E35</f>
        <v>-2345</v>
      </c>
      <c r="O35" s="800"/>
    </row>
    <row r="36" spans="1:15" ht="21.95" customHeight="1">
      <c r="A36" s="573" t="s">
        <v>230</v>
      </c>
      <c r="B36" s="574"/>
      <c r="C36" s="574"/>
      <c r="D36" s="518" t="s">
        <v>198</v>
      </c>
      <c r="E36" s="450">
        <f>'29'!F36</f>
        <v>347065</v>
      </c>
      <c r="F36" s="505">
        <v>347065</v>
      </c>
      <c r="G36" s="468">
        <f t="shared" si="3"/>
        <v>0</v>
      </c>
      <c r="H36" s="455">
        <v>0</v>
      </c>
      <c r="I36" s="450"/>
      <c r="J36" s="547">
        <f>H36/DAY(B2)</f>
        <v>0</v>
      </c>
      <c r="K36" s="424"/>
      <c r="L36" s="374"/>
      <c r="N36" s="435">
        <f>F36-'1'!E36</f>
        <v>346892</v>
      </c>
      <c r="O36" s="800"/>
    </row>
    <row r="37" spans="1:15" ht="21.95" customHeight="1">
      <c r="A37" s="573" t="s">
        <v>231</v>
      </c>
      <c r="B37" s="574"/>
      <c r="C37" s="574"/>
      <c r="D37" s="518" t="s">
        <v>198</v>
      </c>
      <c r="E37" s="450">
        <f>'29'!F37</f>
        <v>131674</v>
      </c>
      <c r="F37" s="505">
        <v>132976</v>
      </c>
      <c r="G37" s="468">
        <f t="shared" si="3"/>
        <v>1302</v>
      </c>
      <c r="H37" s="455">
        <f>G37+'29'!H37</f>
        <v>-1260</v>
      </c>
      <c r="I37" s="450"/>
      <c r="J37" s="547">
        <f>H37/DAY(B2)</f>
        <v>-42</v>
      </c>
      <c r="K37" s="424"/>
      <c r="L37" s="374"/>
      <c r="N37" s="435">
        <f>F37-'1'!E37</f>
        <v>-1260</v>
      </c>
      <c r="O37" s="800"/>
    </row>
    <row r="38" spans="1:15" ht="21.95" customHeight="1">
      <c r="A38" s="573" t="s">
        <v>232</v>
      </c>
      <c r="B38" s="574"/>
      <c r="C38" s="574"/>
      <c r="D38" s="518" t="s">
        <v>198</v>
      </c>
      <c r="E38" s="450">
        <f>'29'!F38</f>
        <v>153825</v>
      </c>
      <c r="F38" s="464">
        <v>155156</v>
      </c>
      <c r="G38" s="468">
        <f t="shared" si="3"/>
        <v>1331</v>
      </c>
      <c r="H38" s="455">
        <f>G38+'29'!H38</f>
        <v>-1249</v>
      </c>
      <c r="I38" s="450"/>
      <c r="J38" s="547">
        <f>H38/DAY(B2)</f>
        <v>-41.633333333333333</v>
      </c>
      <c r="K38" s="424"/>
      <c r="L38" s="374"/>
      <c r="N38" s="435"/>
      <c r="O38" s="800"/>
    </row>
    <row r="39" spans="1:15" ht="21.95" customHeight="1">
      <c r="A39" s="573" t="s">
        <v>233</v>
      </c>
      <c r="B39" s="574"/>
      <c r="C39" s="574"/>
      <c r="D39" s="518" t="s">
        <v>198</v>
      </c>
      <c r="E39" s="450">
        <f>'29'!F39</f>
        <v>303589</v>
      </c>
      <c r="F39" s="505">
        <v>305998</v>
      </c>
      <c r="G39" s="468">
        <f t="shared" si="3"/>
        <v>2409</v>
      </c>
      <c r="H39" s="455">
        <f>G39+'29'!H39</f>
        <v>-2175</v>
      </c>
      <c r="I39" s="450"/>
      <c r="J39" s="547">
        <f>H39/DAY(B2)</f>
        <v>-72.5</v>
      </c>
      <c r="K39" s="424"/>
      <c r="L39" s="374"/>
      <c r="N39" s="435">
        <f>F39-'1'!E39</f>
        <v>-2175</v>
      </c>
      <c r="O39" s="800"/>
    </row>
    <row r="40" spans="1:15" ht="21.95" customHeight="1">
      <c r="A40" s="594" t="s">
        <v>234</v>
      </c>
      <c r="B40" s="595"/>
      <c r="C40" s="595"/>
      <c r="D40" s="518" t="s">
        <v>198</v>
      </c>
      <c r="E40" s="450">
        <f>'29'!F40</f>
        <v>889</v>
      </c>
      <c r="F40" s="505">
        <v>889</v>
      </c>
      <c r="G40" s="468">
        <f t="shared" si="3"/>
        <v>0</v>
      </c>
      <c r="H40" s="455">
        <f>G40+'29'!H40</f>
        <v>0</v>
      </c>
      <c r="I40" s="450"/>
      <c r="J40" s="547">
        <f>H40/DAY(B2)</f>
        <v>0</v>
      </c>
      <c r="K40" s="425"/>
      <c r="L40" s="374"/>
      <c r="N40" s="435">
        <f>F40-'1'!E40</f>
        <v>0</v>
      </c>
      <c r="O40" s="800"/>
    </row>
    <row r="41" spans="1:15" ht="21.95" customHeight="1">
      <c r="A41" s="573" t="s">
        <v>235</v>
      </c>
      <c r="B41" s="574"/>
      <c r="C41" s="574"/>
      <c r="D41" s="518" t="s">
        <v>198</v>
      </c>
      <c r="E41" s="450">
        <f>'29'!F41</f>
        <v>240478</v>
      </c>
      <c r="F41" s="505">
        <v>240478</v>
      </c>
      <c r="G41" s="468">
        <f t="shared" si="3"/>
        <v>0</v>
      </c>
      <c r="H41" s="455">
        <f>G41+'29'!H41</f>
        <v>0</v>
      </c>
      <c r="I41" s="450"/>
      <c r="J41" s="547">
        <f>H41/DAY(B2)</f>
        <v>0</v>
      </c>
      <c r="K41" s="424"/>
      <c r="L41" s="374"/>
      <c r="N41" s="435">
        <f>F41-'1'!E41</f>
        <v>0</v>
      </c>
      <c r="O41" s="800"/>
    </row>
    <row r="42" spans="1:15" ht="21.95" customHeight="1">
      <c r="A42" s="573" t="s">
        <v>236</v>
      </c>
      <c r="B42" s="574"/>
      <c r="C42" s="574"/>
      <c r="D42" s="518" t="s">
        <v>198</v>
      </c>
      <c r="E42" s="450">
        <f>'29'!F42</f>
        <v>59199</v>
      </c>
      <c r="F42" s="505">
        <v>59199</v>
      </c>
      <c r="G42" s="468">
        <f t="shared" si="3"/>
        <v>0</v>
      </c>
      <c r="H42" s="455">
        <f>G42+'29'!H42</f>
        <v>2.9999999998835847E-2</v>
      </c>
      <c r="I42" s="450"/>
      <c r="J42" s="547">
        <f>H42/DAY(B2)</f>
        <v>9.9999999996119491E-4</v>
      </c>
      <c r="K42" s="424"/>
      <c r="L42" s="374"/>
      <c r="N42" s="435">
        <f>F42-'1'!E42</f>
        <v>-1</v>
      </c>
      <c r="O42" s="800"/>
    </row>
    <row r="43" spans="1:15" ht="21.95" customHeight="1">
      <c r="A43" s="573" t="s">
        <v>237</v>
      </c>
      <c r="B43" s="574"/>
      <c r="C43" s="574"/>
      <c r="D43" s="518" t="s">
        <v>198</v>
      </c>
      <c r="E43" s="450">
        <f>'29'!F43</f>
        <v>1037660</v>
      </c>
      <c r="F43" s="505">
        <v>1039967</v>
      </c>
      <c r="G43" s="468">
        <f t="shared" si="3"/>
        <v>2307</v>
      </c>
      <c r="H43" s="455">
        <f>G43+'29'!H43</f>
        <v>-2277</v>
      </c>
      <c r="I43" s="450"/>
      <c r="J43" s="547">
        <f>H43/DAY(B2)</f>
        <v>-75.900000000000006</v>
      </c>
      <c r="K43" s="424"/>
      <c r="L43" s="374"/>
      <c r="N43" s="435">
        <f>F43-'1'!E43</f>
        <v>-2277</v>
      </c>
      <c r="O43" s="800"/>
    </row>
    <row r="44" spans="1:15" ht="21.95" customHeight="1">
      <c r="A44" s="573" t="s">
        <v>238</v>
      </c>
      <c r="B44" s="574"/>
      <c r="C44" s="574"/>
      <c r="D44" s="518" t="s">
        <v>198</v>
      </c>
      <c r="E44" s="450">
        <f>'29'!F44</f>
        <v>0</v>
      </c>
      <c r="F44" s="505">
        <v>0</v>
      </c>
      <c r="G44" s="468">
        <f t="shared" si="3"/>
        <v>0</v>
      </c>
      <c r="H44" s="455">
        <f>G44+'29'!H44</f>
        <v>0</v>
      </c>
      <c r="I44" s="450"/>
      <c r="J44" s="547">
        <f>H44/DAY(B2)</f>
        <v>0</v>
      </c>
      <c r="K44" s="424"/>
      <c r="L44" s="374"/>
      <c r="N44" s="435">
        <f>F44-'1'!E44</f>
        <v>0</v>
      </c>
      <c r="O44" s="800"/>
    </row>
    <row r="45" spans="1:15" ht="21.95" customHeight="1">
      <c r="A45" s="573" t="s">
        <v>239</v>
      </c>
      <c r="B45" s="574"/>
      <c r="C45" s="574"/>
      <c r="D45" s="518" t="s">
        <v>198</v>
      </c>
      <c r="E45" s="450">
        <f>'29'!F45</f>
        <v>614</v>
      </c>
      <c r="F45" s="505">
        <v>614</v>
      </c>
      <c r="G45" s="468">
        <f t="shared" si="3"/>
        <v>0</v>
      </c>
      <c r="H45" s="455">
        <f>G45+'29'!H45</f>
        <v>614</v>
      </c>
      <c r="I45" s="450"/>
      <c r="J45" s="547">
        <f>H45/DAY(B2)</f>
        <v>20.466666666666665</v>
      </c>
      <c r="K45" s="424"/>
      <c r="L45" s="374"/>
      <c r="N45" s="435">
        <f>F45-'1'!E45</f>
        <v>0</v>
      </c>
      <c r="O45" s="800"/>
    </row>
    <row r="46" spans="1:15" ht="21.95" customHeight="1">
      <c r="A46" s="573" t="s">
        <v>240</v>
      </c>
      <c r="B46" s="574"/>
      <c r="C46" s="574"/>
      <c r="D46" s="518" t="s">
        <v>198</v>
      </c>
      <c r="E46" s="450">
        <f>'29'!F46</f>
        <v>187</v>
      </c>
      <c r="F46" s="505">
        <v>187</v>
      </c>
      <c r="G46" s="468">
        <f t="shared" si="3"/>
        <v>0</v>
      </c>
      <c r="H46" s="455">
        <f>G46+'29'!H46</f>
        <v>186.95</v>
      </c>
      <c r="I46" s="450"/>
      <c r="J46" s="547">
        <f>H46/DAY(B2)</f>
        <v>6.2316666666666665</v>
      </c>
      <c r="K46" s="424"/>
      <c r="L46" s="374"/>
      <c r="N46" s="435">
        <f>F46-'1'!E46</f>
        <v>0</v>
      </c>
      <c r="O46" s="800"/>
    </row>
    <row r="47" spans="1:15" ht="21.95" customHeight="1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9726</v>
      </c>
      <c r="H47" s="455">
        <f>G47+'29'!H47</f>
        <v>338387.47000000003</v>
      </c>
      <c r="I47" s="450"/>
      <c r="J47" s="547">
        <f>H47/DAY(B2)</f>
        <v>11279.582333333334</v>
      </c>
      <c r="K47" s="424"/>
      <c r="L47" s="374"/>
      <c r="N47" s="435">
        <f>F47-'1'!E47</f>
        <v>0</v>
      </c>
      <c r="O47" s="800"/>
    </row>
    <row r="48" spans="1:15" ht="29.2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O48" s="800"/>
    </row>
    <row r="49" spans="1:15" ht="29.25">
      <c r="A49" s="573" t="s">
        <v>229</v>
      </c>
      <c r="B49" s="596"/>
      <c r="C49" s="596"/>
      <c r="D49" s="518" t="s">
        <v>198</v>
      </c>
      <c r="E49" s="450">
        <f>'29'!F49</f>
        <v>260732.13</v>
      </c>
      <c r="F49" s="505">
        <v>260732.13</v>
      </c>
      <c r="G49" s="468">
        <f t="shared" ref="G49:G58" si="4">F49-E49</f>
        <v>0</v>
      </c>
      <c r="H49" s="455">
        <f>G49+'29'!H49</f>
        <v>0.13000000000465661</v>
      </c>
      <c r="I49" s="450"/>
      <c r="J49" s="547">
        <f>H49/DAY(B2)</f>
        <v>4.3333333334885536E-3</v>
      </c>
      <c r="K49" s="424"/>
      <c r="L49" s="374"/>
      <c r="O49" s="800"/>
    </row>
    <row r="50" spans="1:15" ht="29.25">
      <c r="A50" s="573" t="s">
        <v>243</v>
      </c>
      <c r="B50" s="596"/>
      <c r="C50" s="596"/>
      <c r="D50" s="518" t="s">
        <v>198</v>
      </c>
      <c r="E50" s="450">
        <f>'29'!F50</f>
        <v>500726</v>
      </c>
      <c r="F50" s="505">
        <v>501652</v>
      </c>
      <c r="G50" s="468">
        <f t="shared" si="4"/>
        <v>926</v>
      </c>
      <c r="H50" s="455">
        <f>G50+'29'!H50</f>
        <v>-1774</v>
      </c>
      <c r="I50" s="450"/>
      <c r="J50" s="547">
        <f>H50/DAY(B2)</f>
        <v>-59.133333333333333</v>
      </c>
      <c r="K50" s="424"/>
      <c r="L50" s="374"/>
      <c r="O50" s="800"/>
    </row>
    <row r="51" spans="1:15" ht="29.25">
      <c r="A51" s="573" t="s">
        <v>231</v>
      </c>
      <c r="B51" s="596"/>
      <c r="C51" s="596"/>
      <c r="D51" s="518" t="s">
        <v>198</v>
      </c>
      <c r="E51" s="450">
        <f>'29'!F51</f>
        <v>144639.87</v>
      </c>
      <c r="F51" s="505">
        <v>144640</v>
      </c>
      <c r="G51" s="468">
        <f t="shared" si="4"/>
        <v>0.13000000000465661</v>
      </c>
      <c r="H51" s="455">
        <f>G51+'29'!H51</f>
        <v>0</v>
      </c>
      <c r="I51" s="450"/>
      <c r="J51" s="547">
        <f>H51/DAY(B2)</f>
        <v>0</v>
      </c>
      <c r="K51" s="424"/>
      <c r="L51" s="374"/>
      <c r="O51" s="800"/>
    </row>
    <row r="52" spans="1:15" ht="29.25">
      <c r="A52" s="573" t="s">
        <v>244</v>
      </c>
      <c r="B52" s="596"/>
      <c r="C52" s="596"/>
      <c r="D52" s="518" t="s">
        <v>198</v>
      </c>
      <c r="E52" s="450">
        <f>'29'!F52</f>
        <v>539606.06999999995</v>
      </c>
      <c r="F52" s="505">
        <v>539606</v>
      </c>
      <c r="G52" s="468">
        <f t="shared" si="4"/>
        <v>-6.9999999948777258E-2</v>
      </c>
      <c r="H52" s="455">
        <f>G52+'29'!H52</f>
        <v>-6.9999999948777258E-2</v>
      </c>
      <c r="I52" s="450"/>
      <c r="J52" s="547">
        <f>H52/DAY(B2)</f>
        <v>-2.3333333316259085E-3</v>
      </c>
      <c r="K52" s="424"/>
      <c r="L52" s="374"/>
      <c r="O52" s="800"/>
    </row>
    <row r="53" spans="1:15" ht="29.25">
      <c r="A53" s="573" t="s">
        <v>233</v>
      </c>
      <c r="B53" s="596"/>
      <c r="C53" s="596"/>
      <c r="D53" s="518" t="s">
        <v>198</v>
      </c>
      <c r="E53" s="450">
        <f>'29'!F53</f>
        <v>431514</v>
      </c>
      <c r="F53" s="505">
        <v>432059</v>
      </c>
      <c r="G53" s="468">
        <f t="shared" si="4"/>
        <v>545</v>
      </c>
      <c r="H53" s="455">
        <f>G53+'29'!H53</f>
        <v>-485.3300000000163</v>
      </c>
      <c r="I53" s="450"/>
      <c r="J53" s="547">
        <f>H53/DAY(B2)</f>
        <v>-16.177666666667211</v>
      </c>
      <c r="K53" s="424"/>
      <c r="L53" s="374"/>
      <c r="O53" s="800"/>
    </row>
    <row r="54" spans="1:15" ht="29.25">
      <c r="A54" s="573" t="s">
        <v>245</v>
      </c>
      <c r="B54" s="596"/>
      <c r="C54" s="596"/>
      <c r="D54" s="518" t="s">
        <v>198</v>
      </c>
      <c r="E54" s="450">
        <f>'29'!F54</f>
        <v>13596</v>
      </c>
      <c r="F54" s="505">
        <v>13678</v>
      </c>
      <c r="G54" s="468">
        <f t="shared" si="4"/>
        <v>82</v>
      </c>
      <c r="H54" s="455">
        <f>G54+'29'!H54</f>
        <v>-151</v>
      </c>
      <c r="I54" s="450"/>
      <c r="J54" s="547">
        <f>H54/DAY(B2)</f>
        <v>-5.0333333333333332</v>
      </c>
      <c r="K54" s="424"/>
      <c r="L54" s="374"/>
      <c r="O54" s="800"/>
    </row>
    <row r="55" spans="1:15" ht="29.25">
      <c r="A55" s="573" t="s">
        <v>246</v>
      </c>
      <c r="B55" s="596"/>
      <c r="C55" s="596"/>
      <c r="D55" s="518" t="s">
        <v>198</v>
      </c>
      <c r="E55" s="450">
        <f>'29'!F55</f>
        <v>68111</v>
      </c>
      <c r="F55" s="1052">
        <v>68111</v>
      </c>
      <c r="G55" s="468">
        <f t="shared" si="4"/>
        <v>0</v>
      </c>
      <c r="H55" s="455">
        <f>G55+'29'!H55</f>
        <v>0</v>
      </c>
      <c r="I55" s="450"/>
      <c r="J55" s="547">
        <f>H55/DAY(B2)</f>
        <v>0</v>
      </c>
      <c r="K55" s="424"/>
      <c r="L55" s="374"/>
      <c r="O55" s="800"/>
    </row>
    <row r="56" spans="1:15" ht="29.25">
      <c r="A56" s="573" t="s">
        <v>247</v>
      </c>
      <c r="B56" s="596"/>
      <c r="C56" s="596"/>
      <c r="D56" s="518" t="s">
        <v>248</v>
      </c>
      <c r="E56" s="450">
        <f>'29'!F56</f>
        <v>606023</v>
      </c>
      <c r="F56" s="505">
        <v>611596</v>
      </c>
      <c r="G56" s="468">
        <f t="shared" si="4"/>
        <v>5573</v>
      </c>
      <c r="H56" s="455">
        <f>G56+'29'!H56</f>
        <v>-5602</v>
      </c>
      <c r="I56" s="450"/>
      <c r="J56" s="547">
        <f>H56/DAY(B2)</f>
        <v>-186.73333333333332</v>
      </c>
      <c r="K56" s="423"/>
      <c r="L56" s="374"/>
      <c r="O56" s="800"/>
    </row>
    <row r="57" spans="1:15" ht="29.25">
      <c r="A57" s="573" t="s">
        <v>237</v>
      </c>
      <c r="B57" s="596"/>
      <c r="C57" s="596"/>
      <c r="D57" s="518" t="s">
        <v>198</v>
      </c>
      <c r="E57" s="450">
        <f>'29'!F57</f>
        <v>7711</v>
      </c>
      <c r="F57" s="505">
        <v>7711</v>
      </c>
      <c r="G57" s="468">
        <f t="shared" si="4"/>
        <v>0</v>
      </c>
      <c r="H57" s="455">
        <f>G57+'29'!H57</f>
        <v>0</v>
      </c>
      <c r="I57" s="450"/>
      <c r="J57" s="547">
        <f>H57/DAY(B2)</f>
        <v>0</v>
      </c>
      <c r="K57" s="424"/>
      <c r="L57" s="374"/>
      <c r="O57" s="800"/>
    </row>
    <row r="58" spans="1:15" ht="29.25">
      <c r="A58" s="573" t="s">
        <v>249</v>
      </c>
      <c r="B58" s="596"/>
      <c r="C58" s="596"/>
      <c r="D58" s="518" t="s">
        <v>198</v>
      </c>
      <c r="E58" s="450">
        <f>'29'!F58</f>
        <v>49264</v>
      </c>
      <c r="F58" s="505">
        <v>49355</v>
      </c>
      <c r="G58" s="468">
        <f t="shared" si="4"/>
        <v>91</v>
      </c>
      <c r="H58" s="455">
        <f>G58+'29'!H58</f>
        <v>-509.20999999999913</v>
      </c>
      <c r="I58" s="450"/>
      <c r="J58" s="547">
        <f>H58/DAY(B2)</f>
        <v>-16.973666666666638</v>
      </c>
      <c r="K58" s="424"/>
      <c r="L58" s="374"/>
      <c r="O58" s="800"/>
    </row>
    <row r="59" spans="1:15" ht="29.25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7217.0600000000559</v>
      </c>
      <c r="H59" s="455">
        <f>G59+'29'!H59</f>
        <v>-8521.4100000000017</v>
      </c>
      <c r="I59" s="450">
        <f>G7-G60</f>
        <v>56.939999999944121</v>
      </c>
      <c r="J59" s="547">
        <f>H59/DAY(B2)</f>
        <v>-284.04700000000008</v>
      </c>
      <c r="K59" s="424"/>
      <c r="L59" s="374"/>
      <c r="O59" s="800"/>
    </row>
    <row r="60" spans="1:15" ht="29.25">
      <c r="A60" s="573"/>
      <c r="B60" s="574"/>
      <c r="C60" s="574"/>
      <c r="D60" s="506" t="s">
        <v>250</v>
      </c>
      <c r="E60" s="506"/>
      <c r="F60" s="506"/>
      <c r="G60" s="476">
        <f>G47+G59</f>
        <v>16943.060000000056</v>
      </c>
      <c r="H60" s="455">
        <f>G60+'29'!H60</f>
        <v>331074.60000000003</v>
      </c>
      <c r="I60" s="450">
        <f>G13-G60</f>
        <v>6.9399999999441206</v>
      </c>
      <c r="J60" s="547">
        <f>H60/DAY(B2)</f>
        <v>11035.820000000002</v>
      </c>
      <c r="K60" s="424"/>
      <c r="L60" s="374"/>
      <c r="O60" s="800"/>
    </row>
    <row r="61" spans="1:15" ht="29.25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O61" s="800"/>
    </row>
    <row r="62" spans="1:15" ht="29.25">
      <c r="A62" s="598" t="s">
        <v>252</v>
      </c>
      <c r="B62" s="599"/>
      <c r="C62" s="599"/>
      <c r="D62" s="506" t="s">
        <v>253</v>
      </c>
      <c r="E62" s="450">
        <f>'29'!F62</f>
        <v>20419</v>
      </c>
      <c r="F62" s="509">
        <v>20419</v>
      </c>
      <c r="G62" s="468">
        <f t="shared" ref="G62:G69" si="5">F62-E62</f>
        <v>0</v>
      </c>
      <c r="H62" s="455">
        <f>G62+'29'!H62</f>
        <v>1.9999999967694748E-3</v>
      </c>
      <c r="I62" s="510"/>
      <c r="J62" s="547">
        <f>H62/DAY(B2)</f>
        <v>6.666666655898249E-5</v>
      </c>
      <c r="K62" s="424"/>
      <c r="L62" s="374"/>
      <c r="O62" s="800"/>
    </row>
    <row r="63" spans="1:15" ht="29.25">
      <c r="A63" s="598" t="s">
        <v>254</v>
      </c>
      <c r="B63" s="599"/>
      <c r="C63" s="599"/>
      <c r="D63" s="506" t="s">
        <v>253</v>
      </c>
      <c r="E63" s="450">
        <f>'29'!F63</f>
        <v>2468</v>
      </c>
      <c r="F63" s="509">
        <v>2472</v>
      </c>
      <c r="G63" s="468">
        <f t="shared" si="5"/>
        <v>4</v>
      </c>
      <c r="H63" s="455">
        <f>G63+'29'!H63</f>
        <v>2472</v>
      </c>
      <c r="I63" s="510"/>
      <c r="J63" s="547">
        <f>H63/DAY(B2)</f>
        <v>82.4</v>
      </c>
      <c r="K63" s="424"/>
      <c r="L63" s="374"/>
      <c r="O63" s="800"/>
    </row>
    <row r="64" spans="1:15" ht="27.75">
      <c r="A64" s="1592" t="s">
        <v>161</v>
      </c>
      <c r="B64" s="1502"/>
      <c r="C64" s="1502"/>
      <c r="D64" s="518" t="s">
        <v>253</v>
      </c>
      <c r="E64" s="450">
        <f>'29'!F64</f>
        <v>159553</v>
      </c>
      <c r="F64" s="479">
        <v>159745</v>
      </c>
      <c r="G64" s="468">
        <f t="shared" si="5"/>
        <v>192</v>
      </c>
      <c r="H64" s="455">
        <f>G64+'29'!H64</f>
        <v>-187</v>
      </c>
      <c r="I64" s="475"/>
      <c r="J64" s="547">
        <f>H64/DAY(B2)</f>
        <v>-6.2333333333333334</v>
      </c>
      <c r="K64" s="424"/>
      <c r="L64" s="374"/>
      <c r="O64" s="800"/>
    </row>
    <row r="65" spans="1:15" ht="27.75">
      <c r="A65" s="1592" t="s">
        <v>162</v>
      </c>
      <c r="B65" s="1502"/>
      <c r="C65" s="1502"/>
      <c r="D65" s="518" t="s">
        <v>253</v>
      </c>
      <c r="E65" s="450">
        <f>'29'!F65</f>
        <v>160561</v>
      </c>
      <c r="F65" s="479">
        <v>160777</v>
      </c>
      <c r="G65" s="468">
        <f t="shared" si="5"/>
        <v>216</v>
      </c>
      <c r="H65" s="455">
        <f>G65+'29'!H65</f>
        <v>-221</v>
      </c>
      <c r="I65" s="484"/>
      <c r="J65" s="547">
        <f>H65/DAY(B2)</f>
        <v>-7.3666666666666663</v>
      </c>
      <c r="K65" s="424"/>
      <c r="L65" s="374"/>
      <c r="O65" s="800"/>
    </row>
    <row r="66" spans="1:15" ht="27.75">
      <c r="A66" s="1592" t="s">
        <v>255</v>
      </c>
      <c r="B66" s="1502"/>
      <c r="C66" s="1502"/>
      <c r="D66" s="518" t="s">
        <v>253</v>
      </c>
      <c r="E66" s="450">
        <f>'29'!F66</f>
        <v>56221</v>
      </c>
      <c r="F66" s="479">
        <v>56522</v>
      </c>
      <c r="G66" s="468">
        <f t="shared" si="5"/>
        <v>301</v>
      </c>
      <c r="H66" s="455">
        <f>G66+'29'!H66</f>
        <v>-283</v>
      </c>
      <c r="I66" s="475"/>
      <c r="J66" s="547">
        <f>H66/DAY(B2)</f>
        <v>-9.4333333333333336</v>
      </c>
      <c r="K66" s="424"/>
      <c r="L66" s="374"/>
      <c r="O66" s="800"/>
    </row>
    <row r="67" spans="1:15" ht="27.75">
      <c r="A67" s="1592" t="s">
        <v>157</v>
      </c>
      <c r="B67" s="1502"/>
      <c r="C67" s="1502"/>
      <c r="D67" s="518" t="s">
        <v>253</v>
      </c>
      <c r="E67" s="450">
        <f>'29'!F67</f>
        <v>251244</v>
      </c>
      <c r="F67" s="479">
        <v>251770</v>
      </c>
      <c r="G67" s="468">
        <f t="shared" si="5"/>
        <v>526</v>
      </c>
      <c r="H67" s="455">
        <f>G67+'29'!H67</f>
        <v>-422</v>
      </c>
      <c r="I67" s="484"/>
      <c r="J67" s="547">
        <f>H67/DAY(B2)</f>
        <v>-14.066666666666666</v>
      </c>
      <c r="K67" s="425"/>
      <c r="L67" s="374"/>
      <c r="O67" s="800"/>
    </row>
    <row r="68" spans="1:15" ht="27.75">
      <c r="A68" s="1592" t="s">
        <v>164</v>
      </c>
      <c r="B68" s="1502"/>
      <c r="C68" s="1502"/>
      <c r="D68" s="518" t="s">
        <v>253</v>
      </c>
      <c r="E68" s="450">
        <f>'29'!F68</f>
        <v>85321</v>
      </c>
      <c r="F68" s="479">
        <v>85321</v>
      </c>
      <c r="G68" s="468">
        <f t="shared" si="5"/>
        <v>0</v>
      </c>
      <c r="H68" s="455">
        <f>G68+'29'!H68</f>
        <v>0</v>
      </c>
      <c r="I68" s="511"/>
      <c r="J68" s="547">
        <f>H68/DAY(B2)</f>
        <v>0</v>
      </c>
      <c r="K68" s="426"/>
      <c r="L68" s="374"/>
      <c r="O68" s="800"/>
    </row>
    <row r="69" spans="1:15" ht="27.75">
      <c r="A69" s="1592" t="s">
        <v>165</v>
      </c>
      <c r="B69" s="1502"/>
      <c r="C69" s="1502"/>
      <c r="D69" s="518" t="s">
        <v>253</v>
      </c>
      <c r="E69" s="450">
        <f>'29'!F69</f>
        <v>81507</v>
      </c>
      <c r="F69" s="479">
        <v>81645</v>
      </c>
      <c r="G69" s="468">
        <f t="shared" si="5"/>
        <v>138</v>
      </c>
      <c r="H69" s="455">
        <f>G69+'29'!H69</f>
        <v>-104</v>
      </c>
      <c r="I69" s="511"/>
      <c r="J69" s="547">
        <f>H69/DAY(B2)</f>
        <v>-3.4666666666666668</v>
      </c>
      <c r="K69" s="427"/>
      <c r="L69" s="374"/>
      <c r="O69" s="800"/>
    </row>
    <row r="70" spans="1:15" ht="27.75">
      <c r="A70" s="1609" t="s">
        <v>256</v>
      </c>
      <c r="B70" s="1515"/>
      <c r="C70" s="1515"/>
      <c r="D70" s="518" t="s">
        <v>253</v>
      </c>
      <c r="E70" s="512"/>
      <c r="F70" s="513"/>
      <c r="G70" s="513"/>
      <c r="H70" s="455">
        <f>G70+'29'!H70</f>
        <v>0</v>
      </c>
      <c r="I70" s="513"/>
      <c r="J70" s="551"/>
      <c r="K70" s="427"/>
      <c r="L70" s="374"/>
      <c r="O70" s="800"/>
    </row>
    <row r="71" spans="1:15" ht="31.5">
      <c r="A71" s="1601" t="s">
        <v>257</v>
      </c>
      <c r="B71" s="1602"/>
      <c r="C71" s="1602"/>
      <c r="D71" s="1602"/>
      <c r="E71" s="1602"/>
      <c r="F71" s="1602"/>
      <c r="G71" s="1602"/>
      <c r="H71" s="1602"/>
      <c r="I71" s="1602"/>
      <c r="J71" s="1603"/>
      <c r="K71" s="426"/>
      <c r="L71" s="374"/>
      <c r="O71" s="800"/>
    </row>
    <row r="72" spans="1:15" ht="27.75">
      <c r="A72" s="1592" t="s">
        <v>258</v>
      </c>
      <c r="B72" s="1502"/>
      <c r="C72" s="1502"/>
      <c r="D72" s="518" t="s">
        <v>253</v>
      </c>
      <c r="E72" s="450">
        <f>'29'!F72</f>
        <v>855817</v>
      </c>
      <c r="F72" s="514">
        <v>855831</v>
      </c>
      <c r="G72" s="468">
        <f t="shared" ref="G72:G84" si="6">F72-E72</f>
        <v>14</v>
      </c>
      <c r="H72" s="455">
        <f>G72+'29'!H72</f>
        <v>-55</v>
      </c>
      <c r="I72" s="475"/>
      <c r="J72" s="547">
        <f>H72/DAY(B2)</f>
        <v>-1.8333333333333333</v>
      </c>
      <c r="K72" s="427"/>
      <c r="L72" s="374"/>
      <c r="O72" s="800"/>
    </row>
    <row r="73" spans="1:15" ht="27.75">
      <c r="A73" s="1592" t="s">
        <v>259</v>
      </c>
      <c r="B73" s="1502"/>
      <c r="C73" s="1502"/>
      <c r="D73" s="518" t="s">
        <v>253</v>
      </c>
      <c r="E73" s="450">
        <f>'29'!F73</f>
        <v>885935</v>
      </c>
      <c r="F73" s="515">
        <v>885936</v>
      </c>
      <c r="G73" s="468">
        <f t="shared" si="6"/>
        <v>1</v>
      </c>
      <c r="H73" s="455">
        <f>G73+'29'!H73</f>
        <v>185</v>
      </c>
      <c r="I73" s="475"/>
      <c r="J73" s="547">
        <f>H73/DAY(B2)</f>
        <v>6.166666666666667</v>
      </c>
      <c r="K73" s="426"/>
      <c r="L73" s="374"/>
      <c r="O73" s="800"/>
    </row>
    <row r="74" spans="1:15" ht="27.75">
      <c r="A74" s="1592" t="s">
        <v>260</v>
      </c>
      <c r="B74" s="1502"/>
      <c r="C74" s="1502"/>
      <c r="D74" s="518" t="s">
        <v>253</v>
      </c>
      <c r="E74" s="450">
        <f>'29'!F74</f>
        <v>2573</v>
      </c>
      <c r="F74" s="516">
        <v>2579</v>
      </c>
      <c r="G74" s="468">
        <f t="shared" si="6"/>
        <v>6</v>
      </c>
      <c r="H74" s="455">
        <f>G74+'29'!H74</f>
        <v>-7</v>
      </c>
      <c r="I74" s="475"/>
      <c r="J74" s="547">
        <f>H74/DAY(B2)</f>
        <v>-0.23333333333333334</v>
      </c>
      <c r="K74" s="427"/>
      <c r="L74" s="374"/>
      <c r="O74" s="800"/>
    </row>
    <row r="75" spans="1:15" ht="27.75">
      <c r="A75" s="1599" t="s">
        <v>261</v>
      </c>
      <c r="B75" s="1600"/>
      <c r="C75" s="1600"/>
      <c r="D75" s="518" t="s">
        <v>253</v>
      </c>
      <c r="E75" s="450">
        <f>'29'!F75</f>
        <v>12561</v>
      </c>
      <c r="F75" s="516">
        <v>12615</v>
      </c>
      <c r="G75" s="468">
        <f t="shared" si="6"/>
        <v>54</v>
      </c>
      <c r="H75" s="455">
        <f>G75+'29'!H75</f>
        <v>-54</v>
      </c>
      <c r="I75" s="475"/>
      <c r="J75" s="547">
        <f>H75/DAY(B2)</f>
        <v>-1.8</v>
      </c>
      <c r="K75" s="426"/>
      <c r="L75" s="374"/>
      <c r="O75" s="800"/>
    </row>
    <row r="76" spans="1:15" ht="27.75">
      <c r="A76" s="1599" t="s">
        <v>262</v>
      </c>
      <c r="B76" s="1600"/>
      <c r="C76" s="1600"/>
      <c r="D76" s="518" t="s">
        <v>253</v>
      </c>
      <c r="E76" s="450">
        <f>'29'!F76</f>
        <v>7308</v>
      </c>
      <c r="F76" s="515">
        <v>7363</v>
      </c>
      <c r="G76" s="468">
        <f t="shared" si="6"/>
        <v>55</v>
      </c>
      <c r="H76" s="455">
        <f>G76+'29'!H76</f>
        <v>157</v>
      </c>
      <c r="I76" s="500"/>
      <c r="J76" s="547">
        <f>H76/DAY(B2)</f>
        <v>5.2333333333333334</v>
      </c>
      <c r="K76" s="426"/>
      <c r="L76" s="374"/>
      <c r="O76" s="800"/>
    </row>
    <row r="77" spans="1:15" ht="27.75">
      <c r="A77" s="1592" t="s">
        <v>263</v>
      </c>
      <c r="B77" s="1502"/>
      <c r="C77" s="1502"/>
      <c r="D77" s="518" t="s">
        <v>253</v>
      </c>
      <c r="E77" s="450">
        <f>'29'!F77</f>
        <v>702750</v>
      </c>
      <c r="F77" s="516">
        <v>702791</v>
      </c>
      <c r="G77" s="468">
        <f t="shared" si="6"/>
        <v>41</v>
      </c>
      <c r="H77" s="455">
        <f>G77+'29'!H77</f>
        <v>-48</v>
      </c>
      <c r="I77" s="500"/>
      <c r="J77" s="547">
        <f>H77/DAY(B2)</f>
        <v>-1.6</v>
      </c>
      <c r="K77" s="426"/>
      <c r="L77" s="374"/>
      <c r="O77" s="800"/>
    </row>
    <row r="78" spans="1:15" ht="27.75">
      <c r="A78" s="1395" t="s">
        <v>264</v>
      </c>
      <c r="B78" s="1387"/>
      <c r="C78" s="1387"/>
      <c r="D78" s="518" t="s">
        <v>253</v>
      </c>
      <c r="E78" s="450">
        <f>'29'!F78</f>
        <v>672760</v>
      </c>
      <c r="F78" s="516">
        <v>672954</v>
      </c>
      <c r="G78" s="468">
        <f t="shared" si="6"/>
        <v>194</v>
      </c>
      <c r="H78" s="455">
        <f>G78+'29'!H78</f>
        <v>-78</v>
      </c>
      <c r="I78" s="500"/>
      <c r="J78" s="547">
        <f>H78/DAY(B2)</f>
        <v>-2.6</v>
      </c>
      <c r="K78" s="426"/>
      <c r="L78" s="374"/>
      <c r="O78" s="800"/>
    </row>
    <row r="79" spans="1:15" ht="27.75">
      <c r="A79" s="1599" t="s">
        <v>151</v>
      </c>
      <c r="B79" s="1600"/>
      <c r="C79" s="1600"/>
      <c r="D79" s="519" t="s">
        <v>253</v>
      </c>
      <c r="E79" s="450">
        <f>'29'!F79</f>
        <v>830691</v>
      </c>
      <c r="F79" s="516">
        <v>830852</v>
      </c>
      <c r="G79" s="468">
        <f t="shared" si="6"/>
        <v>161</v>
      </c>
      <c r="H79" s="455">
        <f>G79+'29'!H79</f>
        <v>-1170</v>
      </c>
      <c r="I79" s="500"/>
      <c r="J79" s="547">
        <f>H79/DAY(B2)</f>
        <v>-39</v>
      </c>
      <c r="K79" s="426"/>
      <c r="L79" s="374"/>
      <c r="O79" s="800"/>
    </row>
    <row r="80" spans="1:15" ht="27.75">
      <c r="A80" s="1599" t="s">
        <v>265</v>
      </c>
      <c r="B80" s="1600"/>
      <c r="C80" s="1600"/>
      <c r="D80" s="519" t="s">
        <v>253</v>
      </c>
      <c r="E80" s="450">
        <f>'29'!F80</f>
        <v>526918</v>
      </c>
      <c r="F80" s="515">
        <v>527299</v>
      </c>
      <c r="G80" s="468">
        <f t="shared" si="6"/>
        <v>381</v>
      </c>
      <c r="H80" s="455">
        <f>G80+'29'!H80</f>
        <v>-3246.5200000000186</v>
      </c>
      <c r="I80" s="500"/>
      <c r="J80" s="547">
        <f>H80/DAY(B2)</f>
        <v>-108.21733333333395</v>
      </c>
      <c r="K80" s="426"/>
      <c r="L80" s="374"/>
      <c r="O80" s="800"/>
    </row>
    <row r="81" spans="1:15" ht="27.75">
      <c r="A81" s="1599" t="s">
        <v>266</v>
      </c>
      <c r="B81" s="1600"/>
      <c r="C81" s="1600"/>
      <c r="D81" s="519" t="s">
        <v>253</v>
      </c>
      <c r="E81" s="450">
        <f>'29'!F81</f>
        <v>638711</v>
      </c>
      <c r="F81" s="515">
        <v>638809</v>
      </c>
      <c r="G81" s="468">
        <f t="shared" si="6"/>
        <v>98</v>
      </c>
      <c r="H81" s="455">
        <f>G81+'29'!H81</f>
        <v>-89</v>
      </c>
      <c r="I81" s="500"/>
      <c r="J81" s="547">
        <f>H81/DAY(B2)</f>
        <v>-2.9666666666666668</v>
      </c>
      <c r="K81" s="426"/>
      <c r="L81" s="374"/>
      <c r="O81" s="800"/>
    </row>
    <row r="82" spans="1:15" ht="27.75">
      <c r="A82" s="1599" t="s">
        <v>267</v>
      </c>
      <c r="B82" s="1600"/>
      <c r="C82" s="1600"/>
      <c r="D82" s="480" t="s">
        <v>198</v>
      </c>
      <c r="E82" s="450">
        <f>'29'!F82</f>
        <v>108123</v>
      </c>
      <c r="F82" s="517">
        <v>108146</v>
      </c>
      <c r="G82" s="468">
        <f t="shared" si="6"/>
        <v>23</v>
      </c>
      <c r="H82" s="455">
        <f>G82+'29'!H82</f>
        <v>-12</v>
      </c>
      <c r="I82" s="481"/>
      <c r="J82" s="547">
        <f>H82/DAY(B2)</f>
        <v>-0.4</v>
      </c>
      <c r="K82" s="426"/>
      <c r="L82" s="374"/>
      <c r="O82" s="800"/>
    </row>
    <row r="83" spans="1:15" ht="27.75">
      <c r="A83" s="1599" t="s">
        <v>268</v>
      </c>
      <c r="B83" s="1600"/>
      <c r="C83" s="1600"/>
      <c r="D83" s="615" t="s">
        <v>198</v>
      </c>
      <c r="E83" s="450">
        <f>'29'!F83</f>
        <v>20089</v>
      </c>
      <c r="F83" s="506">
        <v>20313</v>
      </c>
      <c r="G83" s="468">
        <f t="shared" si="6"/>
        <v>224</v>
      </c>
      <c r="H83" s="455">
        <f>G83+'29'!H83</f>
        <v>-193</v>
      </c>
      <c r="I83" s="476"/>
      <c r="J83" s="547">
        <f>H83/DAY(B2)</f>
        <v>-6.4333333333333336</v>
      </c>
      <c r="K83" s="425"/>
      <c r="L83" s="374"/>
      <c r="O83" s="800"/>
    </row>
    <row r="84" spans="1:15" ht="29.25">
      <c r="A84" s="1396" t="s">
        <v>166</v>
      </c>
      <c r="B84" s="566"/>
      <c r="C84" s="566"/>
      <c r="D84" s="473" t="s">
        <v>198</v>
      </c>
      <c r="E84" s="450">
        <f>'29'!F84</f>
        <v>498687</v>
      </c>
      <c r="F84" s="518">
        <v>499489</v>
      </c>
      <c r="G84" s="468">
        <f t="shared" si="6"/>
        <v>802</v>
      </c>
      <c r="H84" s="455">
        <f>G84+'29'!H84</f>
        <v>-805</v>
      </c>
      <c r="I84" s="476"/>
      <c r="J84" s="547">
        <f>H84/DAY(B2)</f>
        <v>-26.833333333333332</v>
      </c>
      <c r="K84" s="377"/>
      <c r="L84" s="374"/>
      <c r="O84" s="800"/>
    </row>
    <row r="85" spans="1:15" s="376" customFormat="1" ht="21.95" customHeight="1">
      <c r="A85" s="600" t="s">
        <v>102</v>
      </c>
      <c r="B85" s="567"/>
      <c r="C85" s="567"/>
      <c r="D85" s="484"/>
      <c r="E85" s="450">
        <f>'29'!F85</f>
        <v>0</v>
      </c>
      <c r="F85" s="518"/>
      <c r="G85" s="455">
        <f xml:space="preserve"> SUM(G72:G84)</f>
        <v>2054</v>
      </c>
      <c r="H85" s="455">
        <f>G85+'29'!H85</f>
        <v>-1871.9999999999982</v>
      </c>
      <c r="I85" s="476"/>
      <c r="J85" s="547">
        <f>H85/DAY(B2)</f>
        <v>-62.399999999999942</v>
      </c>
      <c r="K85" s="377"/>
      <c r="L85" s="375"/>
      <c r="O85" s="800"/>
    </row>
    <row r="86" spans="1:15" s="731" customFormat="1" ht="29.25">
      <c r="A86" s="726" t="s">
        <v>269</v>
      </c>
      <c r="B86" s="727"/>
      <c r="C86" s="727"/>
      <c r="D86" s="728" t="s">
        <v>248</v>
      </c>
      <c r="E86" s="450">
        <f>'29'!F86</f>
        <v>460871</v>
      </c>
      <c r="F86" s="643">
        <v>460907</v>
      </c>
      <c r="G86" s="701">
        <f t="shared" ref="G86:G91" si="7">F86-E86</f>
        <v>36</v>
      </c>
      <c r="H86" s="455">
        <f>G86+'29'!H86</f>
        <v>71</v>
      </c>
      <c r="I86" s="648"/>
      <c r="J86" s="703">
        <f>H86/DAY(B2)</f>
        <v>2.3666666666666667</v>
      </c>
      <c r="K86" s="729"/>
      <c r="L86" s="730"/>
      <c r="O86" s="800"/>
    </row>
    <row r="87" spans="1:15" s="731" customFormat="1" ht="27.75" customHeight="1">
      <c r="A87" s="726" t="s">
        <v>270</v>
      </c>
      <c r="B87" s="727"/>
      <c r="C87" s="727"/>
      <c r="D87" s="728" t="s">
        <v>248</v>
      </c>
      <c r="E87" s="450">
        <f>'29'!F87</f>
        <v>81340</v>
      </c>
      <c r="F87" s="643">
        <v>81352</v>
      </c>
      <c r="G87" s="701">
        <f t="shared" si="7"/>
        <v>12</v>
      </c>
      <c r="H87" s="455">
        <f>G87+'29'!H87</f>
        <v>27</v>
      </c>
      <c r="I87" s="648"/>
      <c r="J87" s="703">
        <f>H87/DAY(B2)</f>
        <v>0.9</v>
      </c>
      <c r="K87" s="729"/>
      <c r="L87" s="730"/>
      <c r="O87" s="800"/>
    </row>
    <row r="88" spans="1:15" s="731" customFormat="1" ht="29.25">
      <c r="A88" s="726" t="s">
        <v>158</v>
      </c>
      <c r="B88" s="727"/>
      <c r="C88" s="727"/>
      <c r="D88" s="728" t="s">
        <v>248</v>
      </c>
      <c r="E88" s="450">
        <f>'29'!F88</f>
        <v>152946</v>
      </c>
      <c r="F88" s="643">
        <v>152970</v>
      </c>
      <c r="G88" s="701">
        <f t="shared" si="7"/>
        <v>24</v>
      </c>
      <c r="H88" s="455">
        <f>G88+'29'!H88</f>
        <v>47</v>
      </c>
      <c r="I88" s="648"/>
      <c r="J88" s="703">
        <f>H88/DAY(B2)</f>
        <v>1.5666666666666667</v>
      </c>
      <c r="K88" s="729"/>
      <c r="L88" s="730"/>
      <c r="O88" s="800"/>
    </row>
    <row r="89" spans="1:15" s="731" customFormat="1" ht="29.25">
      <c r="A89" s="726" t="s">
        <v>272</v>
      </c>
      <c r="B89" s="727"/>
      <c r="C89" s="727"/>
      <c r="D89" s="728" t="s">
        <v>248</v>
      </c>
      <c r="E89" s="450">
        <f>'29'!F89</f>
        <v>65153</v>
      </c>
      <c r="F89" s="643">
        <v>65164</v>
      </c>
      <c r="G89" s="701">
        <f t="shared" si="7"/>
        <v>11</v>
      </c>
      <c r="H89" s="455">
        <f>G89+'29'!H89</f>
        <v>22</v>
      </c>
      <c r="I89" s="648"/>
      <c r="J89" s="703">
        <f>H89/DAY(B2)</f>
        <v>0.73333333333333328</v>
      </c>
      <c r="K89" s="729"/>
      <c r="L89" s="730"/>
      <c r="N89" s="773"/>
      <c r="O89" s="800"/>
    </row>
    <row r="90" spans="1:15" s="731" customFormat="1" ht="29.25">
      <c r="A90" s="726" t="s">
        <v>272</v>
      </c>
      <c r="B90" s="727"/>
      <c r="C90" s="727"/>
      <c r="D90" s="728" t="s">
        <v>248</v>
      </c>
      <c r="E90" s="450">
        <f>'29'!F90</f>
        <v>3274</v>
      </c>
      <c r="F90" s="643">
        <v>3274</v>
      </c>
      <c r="G90" s="701">
        <f t="shared" si="7"/>
        <v>0</v>
      </c>
      <c r="H90" s="455">
        <f>G90+'29'!H90</f>
        <v>0</v>
      </c>
      <c r="I90" s="648"/>
      <c r="J90" s="703">
        <f>H90/DAY(B2)</f>
        <v>0</v>
      </c>
      <c r="K90" s="729"/>
      <c r="L90" s="730"/>
      <c r="N90" s="773"/>
      <c r="O90" s="800"/>
    </row>
    <row r="91" spans="1:15" s="731" customFormat="1" ht="29.25">
      <c r="A91" s="726" t="s">
        <v>273</v>
      </c>
      <c r="B91" s="727"/>
      <c r="C91" s="727"/>
      <c r="D91" s="728"/>
      <c r="E91" s="450">
        <f>'29'!F91</f>
        <v>28014</v>
      </c>
      <c r="F91" s="643">
        <v>28016</v>
      </c>
      <c r="G91" s="701">
        <f t="shared" si="7"/>
        <v>2</v>
      </c>
      <c r="H91" s="701"/>
      <c r="I91" s="648"/>
      <c r="J91" s="703"/>
      <c r="K91" s="729"/>
      <c r="L91" s="730"/>
      <c r="N91" s="773"/>
      <c r="O91" s="379"/>
    </row>
    <row r="92" spans="1:15" s="376" customFormat="1" ht="29.25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O92" s="800"/>
    </row>
    <row r="93" spans="1:15" ht="27.75">
      <c r="A93" s="1586" t="s">
        <v>275</v>
      </c>
      <c r="B93" s="1587"/>
      <c r="C93" s="1587"/>
      <c r="D93" s="518" t="s">
        <v>209</v>
      </c>
      <c r="E93" s="450">
        <f>'29'!F93</f>
        <v>245378</v>
      </c>
      <c r="F93" s="479">
        <v>245378</v>
      </c>
      <c r="G93" s="468">
        <f t="shared" ref="G93:G94" si="8">F93-E93</f>
        <v>0</v>
      </c>
      <c r="H93" s="455">
        <f>G93+'29'!H93</f>
        <v>-10</v>
      </c>
      <c r="I93" s="475"/>
      <c r="J93" s="547">
        <f>H93/DAY(B2)</f>
        <v>-0.33333333333333331</v>
      </c>
      <c r="K93" s="425"/>
      <c r="L93" s="374"/>
      <c r="O93" s="800"/>
    </row>
    <row r="94" spans="1:15" ht="27.75">
      <c r="A94" s="1586" t="s">
        <v>15</v>
      </c>
      <c r="B94" s="1587"/>
      <c r="C94" s="1587"/>
      <c r="D94" s="518" t="s">
        <v>209</v>
      </c>
      <c r="E94" s="450">
        <f>'29'!F94</f>
        <v>185930</v>
      </c>
      <c r="F94" s="479">
        <v>186042</v>
      </c>
      <c r="G94" s="468">
        <f t="shared" si="8"/>
        <v>112</v>
      </c>
      <c r="H94" s="455">
        <f>G94+'29'!H94</f>
        <v>-79</v>
      </c>
      <c r="I94" s="475"/>
      <c r="J94" s="547">
        <f>H94/DAY(B2)</f>
        <v>-2.6333333333333333</v>
      </c>
      <c r="K94" s="377"/>
      <c r="L94" s="374"/>
      <c r="O94" s="800"/>
    </row>
    <row r="95" spans="1:15" ht="29.25">
      <c r="A95" s="1588" t="s">
        <v>276</v>
      </c>
      <c r="B95" s="1589"/>
      <c r="C95" s="1589"/>
      <c r="D95" s="518"/>
      <c r="E95" s="450"/>
      <c r="F95" s="479"/>
      <c r="G95" s="468">
        <f>G93+G94</f>
        <v>112</v>
      </c>
      <c r="H95" s="455">
        <f>G95+'29'!H95</f>
        <v>-165</v>
      </c>
      <c r="I95" s="475"/>
      <c r="J95" s="547">
        <f>H95/DAY(B2)</f>
        <v>-5.5</v>
      </c>
      <c r="K95" s="377"/>
      <c r="L95" s="374"/>
      <c r="O95" s="800"/>
    </row>
    <row r="96" spans="1:15" ht="27.75">
      <c r="A96" s="1586" t="s">
        <v>16</v>
      </c>
      <c r="B96" s="1587"/>
      <c r="C96" s="1587"/>
      <c r="D96" s="518" t="s">
        <v>209</v>
      </c>
      <c r="E96" s="450">
        <f>'29'!F96</f>
        <v>414191</v>
      </c>
      <c r="F96" s="479">
        <v>414229</v>
      </c>
      <c r="G96" s="468">
        <f t="shared" ref="G96:G100" si="9">F96-E96</f>
        <v>38</v>
      </c>
      <c r="H96" s="455">
        <f>G96+'29'!H96</f>
        <v>-54</v>
      </c>
      <c r="I96" s="475"/>
      <c r="J96" s="547">
        <f>H96/DAY(B2)</f>
        <v>-1.8</v>
      </c>
      <c r="K96" s="377"/>
      <c r="L96" s="374"/>
      <c r="O96" s="800"/>
    </row>
    <row r="97" spans="1:15" ht="27.75">
      <c r="A97" s="1392" t="s">
        <v>17</v>
      </c>
      <c r="B97" s="1393"/>
      <c r="C97" s="1393"/>
      <c r="D97" s="518" t="s">
        <v>209</v>
      </c>
      <c r="E97" s="450">
        <f>'29'!F97</f>
        <v>102623</v>
      </c>
      <c r="F97" s="479">
        <v>102636</v>
      </c>
      <c r="G97" s="468">
        <f t="shared" si="9"/>
        <v>13</v>
      </c>
      <c r="H97" s="455">
        <f>G97+'29'!H97</f>
        <v>-12</v>
      </c>
      <c r="I97" s="475"/>
      <c r="J97" s="547">
        <f>H97/DAY(B2)</f>
        <v>-0.4</v>
      </c>
      <c r="K97" s="423"/>
      <c r="L97" s="374"/>
      <c r="O97" s="800"/>
    </row>
    <row r="98" spans="1:15" ht="27.75">
      <c r="A98" s="1392" t="s">
        <v>18</v>
      </c>
      <c r="B98" s="1393"/>
      <c r="C98" s="1393"/>
      <c r="D98" s="518" t="s">
        <v>209</v>
      </c>
      <c r="E98" s="450">
        <f>'29'!F98</f>
        <v>97897</v>
      </c>
      <c r="F98" s="479">
        <v>97931</v>
      </c>
      <c r="G98" s="468">
        <f t="shared" si="9"/>
        <v>34</v>
      </c>
      <c r="H98" s="455">
        <f>G98+'29'!H98</f>
        <v>-19</v>
      </c>
      <c r="I98" s="475"/>
      <c r="J98" s="547">
        <f>H98/DAY(B2)</f>
        <v>-0.6333333333333333</v>
      </c>
      <c r="K98" s="428"/>
      <c r="L98" s="374"/>
      <c r="O98" s="800"/>
    </row>
    <row r="99" spans="1:15" ht="27.75">
      <c r="A99" s="1392" t="s">
        <v>19</v>
      </c>
      <c r="B99" s="1393"/>
      <c r="C99" s="1393"/>
      <c r="D99" s="518" t="s">
        <v>209</v>
      </c>
      <c r="E99" s="450">
        <f>'29'!F99</f>
        <v>149846</v>
      </c>
      <c r="F99" s="479">
        <v>149848</v>
      </c>
      <c r="G99" s="468">
        <f t="shared" si="9"/>
        <v>2</v>
      </c>
      <c r="H99" s="455">
        <f>G99+'29'!H99</f>
        <v>-4</v>
      </c>
      <c r="I99" s="475"/>
      <c r="J99" s="547">
        <f>H99/DAY(B2)</f>
        <v>-0.13333333333333333</v>
      </c>
      <c r="K99" s="377"/>
      <c r="L99" s="374"/>
      <c r="O99" s="800"/>
    </row>
    <row r="100" spans="1:15" ht="27.75">
      <c r="A100" s="1392" t="s">
        <v>20</v>
      </c>
      <c r="B100" s="1393"/>
      <c r="C100" s="1393"/>
      <c r="D100" s="518" t="s">
        <v>209</v>
      </c>
      <c r="E100" s="450">
        <f>'29'!F100</f>
        <v>7356</v>
      </c>
      <c r="F100" s="479">
        <v>7363</v>
      </c>
      <c r="G100" s="468">
        <f t="shared" si="9"/>
        <v>7</v>
      </c>
      <c r="H100" s="455">
        <f>G100+'29'!H100</f>
        <v>-6</v>
      </c>
      <c r="I100" s="475"/>
      <c r="J100" s="547">
        <f>H100/DAY(B2)</f>
        <v>-0.2</v>
      </c>
      <c r="K100" s="377"/>
      <c r="L100" s="374"/>
      <c r="O100" s="800"/>
    </row>
    <row r="101" spans="1:15" ht="27.75">
      <c r="A101" s="1392" t="s">
        <v>21</v>
      </c>
      <c r="B101" s="1393"/>
      <c r="C101" s="1393"/>
      <c r="D101" s="518" t="s">
        <v>209</v>
      </c>
      <c r="E101" s="450">
        <f>'29'!F101</f>
        <v>5372</v>
      </c>
      <c r="F101" s="479">
        <v>5383</v>
      </c>
      <c r="G101" s="468">
        <f>F101-E101</f>
        <v>11</v>
      </c>
      <c r="H101" s="455">
        <f>G101+'29'!H101</f>
        <v>-8</v>
      </c>
      <c r="I101" s="475"/>
      <c r="J101" s="547">
        <f>H101/DAY(B2)</f>
        <v>-0.26666666666666666</v>
      </c>
      <c r="K101" s="377"/>
      <c r="L101" s="374"/>
      <c r="O101" s="800"/>
    </row>
    <row r="102" spans="1:15" ht="29.25">
      <c r="A102" s="1588" t="s">
        <v>277</v>
      </c>
      <c r="B102" s="1589"/>
      <c r="C102" s="1589"/>
      <c r="D102" s="519"/>
      <c r="E102" s="519"/>
      <c r="F102" s="519"/>
      <c r="G102" s="520">
        <f>SUM(G96:G101)</f>
        <v>105</v>
      </c>
      <c r="H102" s="455">
        <f>G102+'29'!H102</f>
        <v>-103</v>
      </c>
      <c r="I102" s="521"/>
      <c r="J102" s="547">
        <f>H102/DAY(B2)</f>
        <v>-3.4333333333333331</v>
      </c>
      <c r="K102" s="377"/>
      <c r="L102" s="374"/>
      <c r="O102" s="800"/>
    </row>
    <row r="103" spans="1:15" s="437" customFormat="1" ht="27">
      <c r="A103" s="602" t="s">
        <v>278</v>
      </c>
      <c r="B103" s="603"/>
      <c r="C103" s="603"/>
      <c r="D103" s="616"/>
      <c r="E103" s="522"/>
      <c r="F103" s="523"/>
      <c r="G103" s="524"/>
      <c r="H103" s="525"/>
      <c r="I103" s="526"/>
      <c r="J103" s="552"/>
      <c r="O103" s="800"/>
    </row>
    <row r="104" spans="1:15" s="437" customFormat="1" ht="27.75">
      <c r="A104" s="1595" t="s">
        <v>279</v>
      </c>
      <c r="B104" s="1596"/>
      <c r="C104" s="568"/>
      <c r="D104" s="617"/>
      <c r="E104" s="527"/>
      <c r="F104" s="527"/>
      <c r="G104" s="527"/>
      <c r="H104" s="528"/>
      <c r="I104" s="527"/>
      <c r="J104" s="553"/>
      <c r="O104" s="800"/>
    </row>
    <row r="105" spans="1:15" s="437" customFormat="1" ht="27.75">
      <c r="A105" s="1597" t="s">
        <v>22</v>
      </c>
      <c r="B105" s="1598"/>
      <c r="C105" s="1390"/>
      <c r="D105" s="617" t="s">
        <v>209</v>
      </c>
      <c r="E105" s="527">
        <f>'29'!F105</f>
        <v>7484</v>
      </c>
      <c r="F105" s="527">
        <v>7484</v>
      </c>
      <c r="G105" s="527">
        <f>F105-E105</f>
        <v>0</v>
      </c>
      <c r="H105" s="455">
        <f>G105+'29'!H105</f>
        <v>57</v>
      </c>
      <c r="I105" s="527"/>
      <c r="J105" s="553">
        <f>H105/DAY(B2)</f>
        <v>1.9</v>
      </c>
      <c r="O105" s="800"/>
    </row>
    <row r="106" spans="1:15" s="437" customFormat="1" ht="27.75">
      <c r="A106" s="1597" t="s">
        <v>23</v>
      </c>
      <c r="B106" s="1598"/>
      <c r="C106" s="1390"/>
      <c r="D106" s="617" t="s">
        <v>209</v>
      </c>
      <c r="E106" s="527">
        <f>'29'!F106</f>
        <v>35938</v>
      </c>
      <c r="F106" s="529">
        <v>35938</v>
      </c>
      <c r="G106" s="527">
        <f t="shared" ref="G106:G107" si="10">F106-E106</f>
        <v>0</v>
      </c>
      <c r="H106" s="455">
        <f>G106+'29'!H106</f>
        <v>49</v>
      </c>
      <c r="I106" s="527"/>
      <c r="J106" s="553">
        <f>H106/DAY(B2)</f>
        <v>1.6333333333333333</v>
      </c>
      <c r="O106" s="800"/>
    </row>
    <row r="107" spans="1:15" s="437" customFormat="1" ht="27.75">
      <c r="A107" s="1597" t="s">
        <v>24</v>
      </c>
      <c r="B107" s="1598"/>
      <c r="C107" s="1598"/>
      <c r="D107" s="617" t="s">
        <v>209</v>
      </c>
      <c r="E107" s="527">
        <f>'29'!F107</f>
        <v>19699</v>
      </c>
      <c r="F107" s="527">
        <v>19702</v>
      </c>
      <c r="G107" s="527">
        <f t="shared" si="10"/>
        <v>3</v>
      </c>
      <c r="H107" s="455">
        <f>G107+'29'!H107</f>
        <v>58</v>
      </c>
      <c r="I107" s="527"/>
      <c r="J107" s="553">
        <f>H107/DAY(B2)</f>
        <v>1.9333333333333333</v>
      </c>
      <c r="O107" s="800"/>
    </row>
    <row r="108" spans="1:15" s="437" customFormat="1" ht="27.75">
      <c r="A108" s="1613" t="s">
        <v>102</v>
      </c>
      <c r="B108" s="1614"/>
      <c r="C108" s="1390"/>
      <c r="D108" s="617"/>
      <c r="E108" s="527"/>
      <c r="F108" s="527"/>
      <c r="G108" s="527">
        <f>SUM(G105:G107)</f>
        <v>3</v>
      </c>
      <c r="H108" s="455">
        <f>G108+'29'!H108</f>
        <v>158</v>
      </c>
      <c r="I108" s="527"/>
      <c r="J108" s="553">
        <f>H108/DAY(B2)</f>
        <v>5.2666666666666666</v>
      </c>
      <c r="O108" s="800"/>
    </row>
    <row r="109" spans="1:15" s="437" customFormat="1" ht="27.75">
      <c r="A109" s="1615" t="s">
        <v>120</v>
      </c>
      <c r="B109" s="1616"/>
      <c r="C109" s="1390"/>
      <c r="D109" s="617" t="s">
        <v>209</v>
      </c>
      <c r="E109" s="527"/>
      <c r="F109" s="527"/>
      <c r="G109" s="527"/>
      <c r="H109" s="528"/>
      <c r="I109" s="527"/>
      <c r="J109" s="553"/>
      <c r="O109" s="800"/>
    </row>
    <row r="110" spans="1:15" s="437" customFormat="1" ht="27.75">
      <c r="A110" s="1597" t="s">
        <v>25</v>
      </c>
      <c r="B110" s="1598"/>
      <c r="C110" s="1390"/>
      <c r="D110" s="617" t="s">
        <v>209</v>
      </c>
      <c r="E110" s="527">
        <f>'29'!F110</f>
        <v>62711</v>
      </c>
      <c r="F110" s="527">
        <v>62770</v>
      </c>
      <c r="G110" s="527">
        <f>F110-E110</f>
        <v>59</v>
      </c>
      <c r="H110" s="455">
        <f>G110+'29'!H110</f>
        <v>219</v>
      </c>
      <c r="I110" s="527"/>
      <c r="J110" s="553">
        <f>H110/DAY(B2)</f>
        <v>7.3</v>
      </c>
      <c r="O110" s="800"/>
    </row>
    <row r="111" spans="1:15" s="437" customFormat="1" ht="27.75">
      <c r="A111" s="1597" t="s">
        <v>26</v>
      </c>
      <c r="B111" s="1598"/>
      <c r="C111" s="1390"/>
      <c r="D111" s="617" t="s">
        <v>209</v>
      </c>
      <c r="E111" s="527">
        <f>'29'!F111</f>
        <v>32560</v>
      </c>
      <c r="F111" s="527">
        <v>32578</v>
      </c>
      <c r="G111" s="527">
        <f t="shared" ref="G111:G112" si="11">F111-E111</f>
        <v>18</v>
      </c>
      <c r="H111" s="455">
        <f>G111+'29'!H111</f>
        <v>47</v>
      </c>
      <c r="I111" s="527"/>
      <c r="J111" s="553">
        <f>H111/DAY(B2)</f>
        <v>1.5666666666666667</v>
      </c>
      <c r="O111" s="800"/>
    </row>
    <row r="112" spans="1:15" s="437" customFormat="1" ht="27.75">
      <c r="A112" s="1597" t="s">
        <v>27</v>
      </c>
      <c r="B112" s="1598"/>
      <c r="C112" s="1390"/>
      <c r="D112" s="617" t="s">
        <v>209</v>
      </c>
      <c r="E112" s="527">
        <f>'29'!F112</f>
        <v>4576</v>
      </c>
      <c r="F112" s="527">
        <v>4576</v>
      </c>
      <c r="G112" s="527">
        <f t="shared" si="11"/>
        <v>0</v>
      </c>
      <c r="H112" s="455">
        <f>G112+'29'!H112</f>
        <v>169</v>
      </c>
      <c r="I112" s="527"/>
      <c r="J112" s="553">
        <f>H112/DAY(B2)</f>
        <v>5.6333333333333337</v>
      </c>
      <c r="O112" s="800"/>
    </row>
    <row r="113" spans="1:15" s="437" customFormat="1" ht="27.75">
      <c r="A113" s="1617" t="s">
        <v>174</v>
      </c>
      <c r="B113" s="1618"/>
      <c r="C113" s="1390"/>
      <c r="D113" s="617"/>
      <c r="E113" s="527"/>
      <c r="F113" s="527"/>
      <c r="G113" s="527">
        <f>SUM(G110:G112)</f>
        <v>77</v>
      </c>
      <c r="H113" s="455">
        <f>G113+'29'!H113</f>
        <v>1005</v>
      </c>
      <c r="I113" s="527"/>
      <c r="J113" s="553">
        <f>H113/DAY(B2)</f>
        <v>33.5</v>
      </c>
      <c r="O113" s="800"/>
    </row>
    <row r="114" spans="1:15" s="437" customFormat="1" ht="27.75">
      <c r="A114" s="1615" t="s">
        <v>280</v>
      </c>
      <c r="B114" s="1616"/>
      <c r="C114" s="1390"/>
      <c r="D114" s="617"/>
      <c r="E114" s="527"/>
      <c r="F114" s="527"/>
      <c r="G114" s="527"/>
      <c r="H114" s="528"/>
      <c r="I114" s="527"/>
      <c r="J114" s="553">
        <f>H114/DAY(B2)</f>
        <v>0</v>
      </c>
      <c r="O114" s="800"/>
    </row>
    <row r="115" spans="1:15" s="437" customFormat="1" ht="27.75">
      <c r="A115" s="1597" t="s">
        <v>28</v>
      </c>
      <c r="B115" s="1598"/>
      <c r="C115" s="569"/>
      <c r="D115" s="617" t="s">
        <v>209</v>
      </c>
      <c r="E115" s="527">
        <f>'29'!F115</f>
        <v>11480</v>
      </c>
      <c r="F115" s="529">
        <v>11489</v>
      </c>
      <c r="G115" s="529">
        <f>F115-E115</f>
        <v>9</v>
      </c>
      <c r="H115" s="455">
        <f>G115+'29'!H115</f>
        <v>16</v>
      </c>
      <c r="I115" s="527"/>
      <c r="J115" s="553">
        <f>H115/DAY(B2)</f>
        <v>0.53333333333333333</v>
      </c>
      <c r="O115" s="800"/>
    </row>
    <row r="116" spans="1:15" s="437" customFormat="1" ht="27.75">
      <c r="A116" s="1597" t="s">
        <v>29</v>
      </c>
      <c r="B116" s="1598"/>
      <c r="C116" s="569"/>
      <c r="D116" s="617" t="s">
        <v>209</v>
      </c>
      <c r="E116" s="527">
        <f>'29'!F116</f>
        <v>8295</v>
      </c>
      <c r="F116" s="529">
        <v>8306</v>
      </c>
      <c r="G116" s="529">
        <f t="shared" ref="G116:G117" si="12">F116-E116</f>
        <v>11</v>
      </c>
      <c r="H116" s="455">
        <f>G116+'29'!H116</f>
        <v>35</v>
      </c>
      <c r="I116" s="527"/>
      <c r="J116" s="553">
        <f>H116/DAY(B2)</f>
        <v>1.1666666666666667</v>
      </c>
      <c r="O116" s="800"/>
    </row>
    <row r="117" spans="1:15" s="437" customFormat="1" ht="27.75">
      <c r="A117" s="1597" t="s">
        <v>281</v>
      </c>
      <c r="B117" s="1598"/>
      <c r="C117" s="569"/>
      <c r="D117" s="617" t="s">
        <v>209</v>
      </c>
      <c r="E117" s="529"/>
      <c r="F117" s="529"/>
      <c r="G117" s="529">
        <f t="shared" si="12"/>
        <v>0</v>
      </c>
      <c r="H117" s="455">
        <f>G117+'29'!H117</f>
        <v>58</v>
      </c>
      <c r="I117" s="527"/>
      <c r="J117" s="553">
        <f>H117/DAY(B2)</f>
        <v>1.9333333333333333</v>
      </c>
      <c r="O117" s="800"/>
    </row>
    <row r="118" spans="1:15" s="440" customFormat="1" ht="27.75">
      <c r="A118" s="1613" t="s">
        <v>102</v>
      </c>
      <c r="B118" s="1614"/>
      <c r="C118" s="569"/>
      <c r="D118" s="618"/>
      <c r="E118" s="529"/>
      <c r="F118" s="529"/>
      <c r="G118" s="529">
        <f>SUM(G115:G117)</f>
        <v>20</v>
      </c>
      <c r="H118" s="455">
        <f>G118+'29'!H118</f>
        <v>73</v>
      </c>
      <c r="I118" s="529"/>
      <c r="J118" s="553">
        <f>H118/DAY(B2)</f>
        <v>2.4333333333333331</v>
      </c>
      <c r="O118" s="800"/>
    </row>
    <row r="119" spans="1:15" s="441" customFormat="1" ht="27.75">
      <c r="A119" s="1619" t="s">
        <v>282</v>
      </c>
      <c r="B119" s="1620"/>
      <c r="C119" s="1389"/>
      <c r="D119" s="619" t="s">
        <v>209</v>
      </c>
      <c r="E119" s="530"/>
      <c r="F119" s="531"/>
      <c r="G119" s="531">
        <f>SUM(G19+G93)</f>
        <v>58</v>
      </c>
      <c r="H119" s="455">
        <f>G119+'29'!H119</f>
        <v>167</v>
      </c>
      <c r="I119" s="530"/>
      <c r="J119" s="554">
        <f>H119/DAY(B2)</f>
        <v>5.5666666666666664</v>
      </c>
      <c r="O119" s="800"/>
    </row>
    <row r="120" spans="1:15" s="441" customFormat="1" ht="27.75">
      <c r="A120" s="1619" t="s">
        <v>283</v>
      </c>
      <c r="B120" s="1620"/>
      <c r="C120" s="1389"/>
      <c r="D120" s="619" t="s">
        <v>209</v>
      </c>
      <c r="E120" s="530"/>
      <c r="F120" s="531"/>
      <c r="G120" s="531">
        <f>SUM(G96,G97,G98,G100,G101)</f>
        <v>103</v>
      </c>
      <c r="H120" s="455">
        <f>G120+'29'!H120</f>
        <v>217</v>
      </c>
      <c r="I120" s="530"/>
      <c r="J120" s="554">
        <f>H120/DAY(B2)</f>
        <v>7.2333333333333334</v>
      </c>
      <c r="O120" s="800"/>
    </row>
    <row r="121" spans="1:15" s="441" customFormat="1" ht="27.75">
      <c r="A121" s="1619" t="s">
        <v>284</v>
      </c>
      <c r="B121" s="1620"/>
      <c r="C121" s="1389"/>
      <c r="D121" s="619" t="s">
        <v>209</v>
      </c>
      <c r="E121" s="530"/>
      <c r="F121" s="529"/>
      <c r="G121" s="529">
        <f>SUM(G113)</f>
        <v>77</v>
      </c>
      <c r="H121" s="455">
        <f>G121+'29'!H121</f>
        <v>182</v>
      </c>
      <c r="I121" s="530"/>
      <c r="J121" s="554">
        <f>H121/DAY(B2)</f>
        <v>6.0666666666666664</v>
      </c>
      <c r="O121" s="800"/>
    </row>
    <row r="122" spans="1:15" s="437" customFormat="1" ht="27.75">
      <c r="A122" s="1621"/>
      <c r="B122" s="1622"/>
      <c r="C122" s="1390"/>
      <c r="D122" s="555"/>
      <c r="E122" s="555"/>
      <c r="F122" s="555"/>
      <c r="G122" s="555"/>
      <c r="H122" s="556"/>
      <c r="I122" s="555"/>
      <c r="J122" s="557"/>
      <c r="O122" s="800"/>
    </row>
    <row r="123" spans="1:15" ht="29.25">
      <c r="A123" s="1590" t="s">
        <v>285</v>
      </c>
      <c r="B123" s="1591"/>
      <c r="C123" s="1591"/>
      <c r="D123" s="467"/>
      <c r="E123" s="467"/>
      <c r="F123" s="467"/>
      <c r="G123" s="478"/>
      <c r="H123" s="478"/>
      <c r="I123" s="478"/>
      <c r="J123" s="558"/>
      <c r="K123" s="377"/>
      <c r="L123" s="374"/>
      <c r="O123" s="800"/>
    </row>
    <row r="124" spans="1:15" ht="21.95" customHeight="1">
      <c r="A124" s="1392" t="s">
        <v>286</v>
      </c>
      <c r="B124" s="1393"/>
      <c r="C124" s="1393"/>
      <c r="D124" s="518" t="s">
        <v>206</v>
      </c>
      <c r="E124" s="450">
        <f>'29'!F124</f>
        <v>831972</v>
      </c>
      <c r="F124" s="473">
        <v>832189</v>
      </c>
      <c r="G124" s="468">
        <f t="shared" ref="G124:G128" si="13">F124-E124</f>
        <v>217</v>
      </c>
      <c r="H124" s="455">
        <f>G124+'29'!H124</f>
        <v>-177</v>
      </c>
      <c r="I124" s="521"/>
      <c r="J124" s="547">
        <f>H124/DAY(B2)</f>
        <v>-5.9</v>
      </c>
      <c r="K124" s="377"/>
      <c r="L124" s="374"/>
      <c r="O124" s="800"/>
    </row>
    <row r="125" spans="1:15" ht="21.95" customHeight="1">
      <c r="A125" s="1392" t="s">
        <v>287</v>
      </c>
      <c r="B125" s="1393"/>
      <c r="C125" s="1393"/>
      <c r="D125" s="518" t="s">
        <v>206</v>
      </c>
      <c r="E125" s="450">
        <f>'29'!F125</f>
        <v>73583</v>
      </c>
      <c r="F125" s="473">
        <v>73583.399999999994</v>
      </c>
      <c r="G125" s="468">
        <f t="shared" si="13"/>
        <v>0.39999999999417923</v>
      </c>
      <c r="H125" s="455">
        <f>G125+'29'!H125</f>
        <v>0</v>
      </c>
      <c r="I125" s="521"/>
      <c r="J125" s="547">
        <f>H125/DAY(B2)</f>
        <v>0</v>
      </c>
      <c r="K125" s="377"/>
      <c r="L125" s="374"/>
      <c r="O125" s="800"/>
    </row>
    <row r="126" spans="1:15" ht="21.95" customHeight="1">
      <c r="A126" s="1592" t="s">
        <v>288</v>
      </c>
      <c r="B126" s="1502"/>
      <c r="C126" s="1502"/>
      <c r="D126" s="518" t="s">
        <v>206</v>
      </c>
      <c r="E126" s="450">
        <f>'29'!F126</f>
        <v>146368</v>
      </c>
      <c r="F126" s="473">
        <v>146433</v>
      </c>
      <c r="G126" s="468">
        <f t="shared" si="13"/>
        <v>65</v>
      </c>
      <c r="H126" s="455">
        <f>G126+'29'!H126</f>
        <v>-58</v>
      </c>
      <c r="I126" s="521"/>
      <c r="J126" s="547">
        <f>H126/DAY(B2)</f>
        <v>-1.9333333333333333</v>
      </c>
      <c r="K126" s="377"/>
      <c r="L126" s="374"/>
      <c r="O126" s="800"/>
    </row>
    <row r="127" spans="1:15" ht="21.95" customHeight="1">
      <c r="A127" s="604" t="s">
        <v>289</v>
      </c>
      <c r="B127" s="1393"/>
      <c r="C127" s="1393"/>
      <c r="D127" s="518" t="s">
        <v>206</v>
      </c>
      <c r="E127" s="450">
        <f>'29'!F127</f>
        <v>31404</v>
      </c>
      <c r="F127" s="473">
        <v>31404</v>
      </c>
      <c r="G127" s="468">
        <f t="shared" si="13"/>
        <v>0</v>
      </c>
      <c r="H127" s="455">
        <f>G127+'29'!H127</f>
        <v>-2</v>
      </c>
      <c r="I127" s="521"/>
      <c r="J127" s="547">
        <f>H127/DAY(B2)</f>
        <v>-6.6666666666666666E-2</v>
      </c>
      <c r="K127" s="377"/>
      <c r="L127" s="374"/>
      <c r="O127" s="800"/>
    </row>
    <row r="128" spans="1:15" ht="21.95" customHeight="1">
      <c r="A128" s="604" t="s">
        <v>290</v>
      </c>
      <c r="B128" s="1393"/>
      <c r="C128" s="1393"/>
      <c r="D128" s="518" t="s">
        <v>206</v>
      </c>
      <c r="E128" s="450">
        <f>'29'!F128</f>
        <v>8971</v>
      </c>
      <c r="F128" s="473">
        <v>8971</v>
      </c>
      <c r="G128" s="468">
        <f t="shared" si="13"/>
        <v>0</v>
      </c>
      <c r="H128" s="455">
        <f>G128+'29'!H128</f>
        <v>-1</v>
      </c>
      <c r="I128" s="475"/>
      <c r="J128" s="547">
        <f>H128/DAY(B2)</f>
        <v>-3.3333333333333333E-2</v>
      </c>
      <c r="K128" s="377"/>
      <c r="L128" s="374"/>
      <c r="O128" s="800"/>
    </row>
    <row r="129" spans="1:15" s="278" customFormat="1" ht="21.75" customHeight="1">
      <c r="A129" s="604" t="s">
        <v>291</v>
      </c>
      <c r="B129" s="1393"/>
      <c r="C129" s="1393"/>
      <c r="D129" s="518"/>
      <c r="E129" s="450"/>
      <c r="F129" s="473"/>
      <c r="G129" s="468">
        <f>G15-SUM(G124:G128)</f>
        <v>267.60000000000582</v>
      </c>
      <c r="H129" s="455"/>
      <c r="I129" s="475"/>
      <c r="J129" s="547"/>
      <c r="K129" s="361"/>
      <c r="L129" s="289"/>
      <c r="O129" s="800"/>
    </row>
    <row r="130" spans="1:15" ht="29.25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O130" s="800"/>
    </row>
    <row r="131" spans="1:15" ht="27.75">
      <c r="A131" s="1392" t="s">
        <v>293</v>
      </c>
      <c r="B131" s="1393"/>
      <c r="C131" s="1393"/>
      <c r="D131" s="518" t="s">
        <v>294</v>
      </c>
      <c r="E131" s="450">
        <f>'29'!F131</f>
        <v>0</v>
      </c>
      <c r="F131" s="479">
        <v>0</v>
      </c>
      <c r="G131" s="468">
        <f t="shared" ref="G131:G141" si="14">F131-E131</f>
        <v>0</v>
      </c>
      <c r="H131" s="455">
        <f>G131+'29'!H131</f>
        <v>0</v>
      </c>
      <c r="I131" s="475"/>
      <c r="J131" s="547">
        <f>H131/DAY(B2)</f>
        <v>0</v>
      </c>
      <c r="O131" s="800"/>
    </row>
    <row r="132" spans="1:15" ht="27.75">
      <c r="A132" s="1392" t="s">
        <v>295</v>
      </c>
      <c r="B132" s="1393"/>
      <c r="C132" s="1393"/>
      <c r="D132" s="518" t="s">
        <v>294</v>
      </c>
      <c r="E132" s="450">
        <f>'29'!F132</f>
        <v>0</v>
      </c>
      <c r="F132" s="479">
        <v>0</v>
      </c>
      <c r="G132" s="468">
        <f t="shared" si="14"/>
        <v>0</v>
      </c>
      <c r="H132" s="455">
        <f>G132+'29'!H132</f>
        <v>0</v>
      </c>
      <c r="I132" s="475"/>
      <c r="J132" s="547">
        <f>H132/DAY(B2)</f>
        <v>0</v>
      </c>
      <c r="O132" s="800"/>
    </row>
    <row r="133" spans="1:15" ht="27.75">
      <c r="A133" s="1392" t="s">
        <v>296</v>
      </c>
      <c r="B133" s="1393"/>
      <c r="C133" s="1393"/>
      <c r="D133" s="518" t="s">
        <v>294</v>
      </c>
      <c r="E133" s="450">
        <f>'29'!F133</f>
        <v>40059</v>
      </c>
      <c r="F133" s="536">
        <v>40059</v>
      </c>
      <c r="G133" s="468">
        <f t="shared" si="14"/>
        <v>0</v>
      </c>
      <c r="H133" s="455">
        <f>G133+'29'!H133</f>
        <v>23.900000000001455</v>
      </c>
      <c r="I133" s="475"/>
      <c r="J133" s="547">
        <f>H133/DAY(B2)</f>
        <v>0.79666666666671515</v>
      </c>
      <c r="O133" s="800"/>
    </row>
    <row r="134" spans="1:15" ht="27.75">
      <c r="A134" s="1392" t="s">
        <v>297</v>
      </c>
      <c r="B134" s="1393"/>
      <c r="C134" s="1393"/>
      <c r="D134" s="518" t="s">
        <v>294</v>
      </c>
      <c r="E134" s="450">
        <f>'29'!F134</f>
        <v>300</v>
      </c>
      <c r="F134" s="536">
        <v>300</v>
      </c>
      <c r="G134" s="468">
        <f t="shared" si="14"/>
        <v>0</v>
      </c>
      <c r="H134" s="455">
        <f>G134+'29'!H134</f>
        <v>0</v>
      </c>
      <c r="I134" s="475">
        <f>G131+G132+G133+G134</f>
        <v>0</v>
      </c>
      <c r="J134" s="547">
        <f>H134/DAY(B2)</f>
        <v>0</v>
      </c>
      <c r="O134" s="800"/>
    </row>
    <row r="135" spans="1:15" ht="27.75">
      <c r="A135" s="1392" t="s">
        <v>298</v>
      </c>
      <c r="B135" s="1393"/>
      <c r="C135" s="1393"/>
      <c r="D135" s="518" t="s">
        <v>294</v>
      </c>
      <c r="E135" s="450">
        <f>'29'!F135</f>
        <v>41730</v>
      </c>
      <c r="F135" s="536">
        <v>41730</v>
      </c>
      <c r="G135" s="468">
        <f t="shared" si="14"/>
        <v>0</v>
      </c>
      <c r="H135" s="455">
        <f>G135+'29'!H135</f>
        <v>71.610000000000582</v>
      </c>
      <c r="I135" s="475"/>
      <c r="J135" s="547">
        <f>H135/DAY(B2)</f>
        <v>2.3870000000000196</v>
      </c>
      <c r="O135" s="800"/>
    </row>
    <row r="136" spans="1:15" ht="27.75">
      <c r="A136" s="1392" t="s">
        <v>299</v>
      </c>
      <c r="B136" s="1393"/>
      <c r="C136" s="1393"/>
      <c r="D136" s="518" t="s">
        <v>294</v>
      </c>
      <c r="E136" s="450">
        <f>'29'!F136</f>
        <v>32667.24</v>
      </c>
      <c r="F136" s="536">
        <v>32691.27</v>
      </c>
      <c r="G136" s="468">
        <f t="shared" si="14"/>
        <v>24.029999999998836</v>
      </c>
      <c r="H136" s="455">
        <f>G136+'29'!H136</f>
        <v>121.34000000000015</v>
      </c>
      <c r="I136" s="475"/>
      <c r="J136" s="547">
        <f>H136/DAY(B2)</f>
        <v>4.0446666666666715</v>
      </c>
      <c r="O136" s="800"/>
    </row>
    <row r="137" spans="1:15" ht="27.75">
      <c r="A137" s="1392" t="s">
        <v>300</v>
      </c>
      <c r="B137" s="1393"/>
      <c r="C137" s="1393"/>
      <c r="D137" s="518" t="s">
        <v>294</v>
      </c>
      <c r="E137" s="450">
        <f>'29'!F137</f>
        <v>22799</v>
      </c>
      <c r="F137" s="536">
        <v>22799</v>
      </c>
      <c r="G137" s="468">
        <f t="shared" si="14"/>
        <v>0</v>
      </c>
      <c r="H137" s="455">
        <f>G137+'29'!H137</f>
        <v>-8.2400000000016007</v>
      </c>
      <c r="I137" s="475">
        <f>G135+G136+G137</f>
        <v>24.029999999998836</v>
      </c>
      <c r="J137" s="547">
        <f>H137/DAY(B2)</f>
        <v>-0.27466666666672002</v>
      </c>
      <c r="O137" s="800"/>
    </row>
    <row r="138" spans="1:15" ht="27.75">
      <c r="A138" s="1392" t="s">
        <v>301</v>
      </c>
      <c r="B138" s="1393"/>
      <c r="C138" s="1393"/>
      <c r="D138" s="518" t="s">
        <v>294</v>
      </c>
      <c r="E138" s="450">
        <f>'29'!F138</f>
        <v>25052</v>
      </c>
      <c r="F138" s="536">
        <v>25051.82</v>
      </c>
      <c r="G138" s="468">
        <f t="shared" si="14"/>
        <v>-0.18000000000029104</v>
      </c>
      <c r="H138" s="455">
        <f>G138+'29'!H138</f>
        <v>8.0999999999985448</v>
      </c>
      <c r="I138" s="475"/>
      <c r="J138" s="547">
        <f>H138/DAY(B2)</f>
        <v>0.2699999999999515</v>
      </c>
      <c r="O138" s="800"/>
    </row>
    <row r="139" spans="1:15" ht="27.75">
      <c r="A139" s="1392" t="s">
        <v>302</v>
      </c>
      <c r="B139" s="1393"/>
      <c r="C139" s="1393"/>
      <c r="D139" s="518" t="s">
        <v>294</v>
      </c>
      <c r="E139" s="450">
        <f>'29'!F139</f>
        <v>70402</v>
      </c>
      <c r="F139" s="536">
        <v>70411.740000000005</v>
      </c>
      <c r="G139" s="468">
        <f t="shared" si="14"/>
        <v>9.7400000000052387</v>
      </c>
      <c r="H139" s="455">
        <f>G139+'29'!H139</f>
        <v>47.639999999999418</v>
      </c>
      <c r="I139" s="475">
        <f>G138+G139</f>
        <v>9.5600000000049477</v>
      </c>
      <c r="J139" s="547">
        <f>H139/DAY(B2)</f>
        <v>1.5879999999999805</v>
      </c>
      <c r="O139" s="800"/>
    </row>
    <row r="140" spans="1:15" ht="27.75">
      <c r="A140" s="1392" t="s">
        <v>303</v>
      </c>
      <c r="B140" s="1393"/>
      <c r="C140" s="1393"/>
      <c r="D140" s="518" t="s">
        <v>294</v>
      </c>
      <c r="E140" s="450">
        <f>'29'!F140</f>
        <v>1839.44</v>
      </c>
      <c r="F140" s="479">
        <v>1847.53</v>
      </c>
      <c r="G140" s="468">
        <f t="shared" si="14"/>
        <v>8.0899999999999181</v>
      </c>
      <c r="H140" s="455">
        <f>G140+'29'!H140</f>
        <v>-6.7699999999999818</v>
      </c>
      <c r="I140" s="537"/>
      <c r="J140" s="547">
        <f>H140/DAY(B2)</f>
        <v>-0.22566666666666607</v>
      </c>
      <c r="O140" s="800"/>
    </row>
    <row r="141" spans="1:15" ht="27.75">
      <c r="A141" s="1392" t="s">
        <v>304</v>
      </c>
      <c r="B141" s="1393"/>
      <c r="C141" s="1393"/>
      <c r="D141" s="518" t="s">
        <v>294</v>
      </c>
      <c r="E141" s="450">
        <f>'29'!F141</f>
        <v>4637</v>
      </c>
      <c r="F141" s="479">
        <v>4637</v>
      </c>
      <c r="G141" s="468">
        <f t="shared" si="14"/>
        <v>0</v>
      </c>
      <c r="H141" s="455">
        <f>G141+'29'!H141</f>
        <v>0</v>
      </c>
      <c r="I141" s="537"/>
      <c r="J141" s="547">
        <f>H141/DAY(B2)</f>
        <v>0</v>
      </c>
      <c r="O141" s="800"/>
    </row>
    <row r="142" spans="1:15" ht="21.95" customHeight="1">
      <c r="A142" s="1593" t="s">
        <v>305</v>
      </c>
      <c r="B142" s="1594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O142" s="800"/>
    </row>
    <row r="143" spans="1:15" ht="21.95" customHeight="1">
      <c r="A143" s="1586" t="s">
        <v>306</v>
      </c>
      <c r="B143" s="1587"/>
      <c r="C143" s="1587"/>
      <c r="D143" s="518" t="s">
        <v>198</v>
      </c>
      <c r="E143" s="518"/>
      <c r="F143" s="518"/>
      <c r="G143" s="455">
        <f>G35+G43+G49+G57</f>
        <v>4684</v>
      </c>
      <c r="H143" s="455">
        <f>G143+'29'!H143</f>
        <v>-4910.8699999999953</v>
      </c>
      <c r="I143" s="475"/>
      <c r="J143" s="547">
        <f>H143/DAY(B2)</f>
        <v>-163.69566666666651</v>
      </c>
      <c r="K143" s="377"/>
      <c r="L143" s="374"/>
      <c r="O143" s="800"/>
    </row>
    <row r="144" spans="1:15" ht="21.95" customHeight="1">
      <c r="A144" s="1586" t="s">
        <v>307</v>
      </c>
      <c r="B144" s="1587"/>
      <c r="C144" s="1587"/>
      <c r="D144" s="518" t="s">
        <v>58</v>
      </c>
      <c r="E144" s="506"/>
      <c r="F144" s="506"/>
      <c r="G144" s="538">
        <f>G143/G7</f>
        <v>0.27552941176470586</v>
      </c>
      <c r="H144" s="455">
        <f>G144+'29'!H144</f>
        <v>-0.40118115031316842</v>
      </c>
      <c r="I144" s="539"/>
      <c r="J144" s="547">
        <f>H144/DAY(B2)</f>
        <v>-1.3372705010438947E-2</v>
      </c>
      <c r="K144" s="377"/>
      <c r="L144" s="374"/>
      <c r="O144" s="800"/>
    </row>
    <row r="145" spans="1:15" ht="21.95" customHeight="1">
      <c r="A145" s="1586" t="s">
        <v>308</v>
      </c>
      <c r="B145" s="1587"/>
      <c r="C145" s="1587"/>
      <c r="D145" s="518" t="s">
        <v>198</v>
      </c>
      <c r="E145" s="450"/>
      <c r="F145" s="450"/>
      <c r="G145" s="455">
        <f>G41+G42+G55+G56</f>
        <v>5573</v>
      </c>
      <c r="H145" s="455">
        <f>G145+'29'!H145</f>
        <v>-5601.9699999999939</v>
      </c>
      <c r="I145" s="475"/>
      <c r="J145" s="547">
        <f>H145/DAY(B2)</f>
        <v>-186.73233333333312</v>
      </c>
      <c r="K145" s="377"/>
      <c r="L145" s="374"/>
      <c r="O145" s="800"/>
    </row>
    <row r="146" spans="1:15" ht="21.95" customHeight="1">
      <c r="A146" s="1586" t="s">
        <v>309</v>
      </c>
      <c r="B146" s="1587"/>
      <c r="C146" s="1587"/>
      <c r="D146" s="518" t="s">
        <v>58</v>
      </c>
      <c r="E146" s="450"/>
      <c r="F146" s="450"/>
      <c r="G146" s="538">
        <f>G145/G7</f>
        <v>0.32782352941176468</v>
      </c>
      <c r="H146" s="455">
        <f>G146+'29'!H146</f>
        <v>-0.46632886107441179</v>
      </c>
      <c r="I146" s="539"/>
      <c r="J146" s="547">
        <f>H146/DAY(B2)</f>
        <v>-1.554429536914706E-2</v>
      </c>
      <c r="K146" s="377"/>
      <c r="L146" s="374"/>
      <c r="O146" s="800"/>
    </row>
    <row r="147" spans="1:15" ht="21.95" customHeight="1">
      <c r="A147" s="1586" t="s">
        <v>310</v>
      </c>
      <c r="B147" s="1587"/>
      <c r="C147" s="1587"/>
      <c r="D147" s="518" t="s">
        <v>198</v>
      </c>
      <c r="E147" s="450"/>
      <c r="F147" s="450"/>
      <c r="G147" s="455">
        <f>G39+G53</f>
        <v>2954</v>
      </c>
      <c r="H147" s="455">
        <f>G147+'29'!H147</f>
        <v>-2660</v>
      </c>
      <c r="I147" s="540"/>
      <c r="J147" s="547">
        <f>H147/DAY(B2)</f>
        <v>-88.666666666666671</v>
      </c>
      <c r="K147" s="377"/>
      <c r="L147" s="374"/>
      <c r="O147" s="800"/>
    </row>
    <row r="148" spans="1:15" ht="21.95" customHeight="1">
      <c r="A148" s="1586" t="s">
        <v>311</v>
      </c>
      <c r="B148" s="1587"/>
      <c r="C148" s="1587"/>
      <c r="D148" s="518" t="s">
        <v>58</v>
      </c>
      <c r="E148" s="450"/>
      <c r="F148" s="450"/>
      <c r="G148" s="538">
        <f>G147/G7</f>
        <v>0.17376470588235293</v>
      </c>
      <c r="H148" s="455">
        <f>G148+'29'!H148</f>
        <v>-0.23404437568089764</v>
      </c>
      <c r="I148" s="540"/>
      <c r="J148" s="547">
        <f>H148/DAY(B2)</f>
        <v>-7.8014791893632552E-3</v>
      </c>
      <c r="O148" s="800"/>
    </row>
    <row r="149" spans="1:15" ht="21.95" customHeight="1">
      <c r="A149" s="1586" t="s">
        <v>312</v>
      </c>
      <c r="B149" s="1587"/>
      <c r="C149" s="1587"/>
      <c r="D149" s="518" t="s">
        <v>248</v>
      </c>
      <c r="E149" s="450"/>
      <c r="F149" s="450"/>
      <c r="G149" s="455">
        <f>G38+G52</f>
        <v>1330.9300000000512</v>
      </c>
      <c r="H149" s="455">
        <f>G149+'29'!H149</f>
        <v>-1249</v>
      </c>
      <c r="I149" s="475"/>
      <c r="J149" s="547">
        <f>H149/DAY(B2)</f>
        <v>-41.633333333333333</v>
      </c>
      <c r="K149" s="378"/>
      <c r="O149" s="800"/>
    </row>
    <row r="150" spans="1:15" ht="21.95" customHeight="1">
      <c r="A150" s="1586" t="s">
        <v>313</v>
      </c>
      <c r="B150" s="1587"/>
      <c r="C150" s="1587"/>
      <c r="D150" s="518" t="s">
        <v>58</v>
      </c>
      <c r="E150" s="450"/>
      <c r="F150" s="450"/>
      <c r="G150" s="538">
        <f>G149/G7</f>
        <v>7.829000000000301E-2</v>
      </c>
      <c r="H150" s="455">
        <f>G150+'29'!H150</f>
        <v>-0.10566533474531044</v>
      </c>
      <c r="I150" s="540"/>
      <c r="J150" s="547">
        <f>H150/DAY(B2)</f>
        <v>-3.5221778248436812E-3</v>
      </c>
      <c r="O150" s="800"/>
    </row>
    <row r="151" spans="1:15" ht="21.95" customHeight="1">
      <c r="A151" s="1586" t="s">
        <v>314</v>
      </c>
      <c r="B151" s="1587"/>
      <c r="C151" s="1587"/>
      <c r="D151" s="518" t="s">
        <v>248</v>
      </c>
      <c r="E151" s="450"/>
      <c r="F151" s="450"/>
      <c r="G151" s="455">
        <f>G36+G50</f>
        <v>926</v>
      </c>
      <c r="H151" s="455">
        <f>G151+'29'!H151</f>
        <v>346008</v>
      </c>
      <c r="I151" s="540"/>
      <c r="J151" s="547">
        <f>H151/DAY(B2)</f>
        <v>11533.6</v>
      </c>
      <c r="O151" s="800"/>
    </row>
    <row r="152" spans="1:15" ht="21.95" customHeight="1">
      <c r="A152" s="1586" t="s">
        <v>315</v>
      </c>
      <c r="B152" s="1587"/>
      <c r="C152" s="1587"/>
      <c r="D152" s="518" t="s">
        <v>58</v>
      </c>
      <c r="E152" s="450"/>
      <c r="F152" s="450"/>
      <c r="G152" s="538">
        <f>G151/G7</f>
        <v>5.4470588235294118E-2</v>
      </c>
      <c r="H152" s="455">
        <f>G152+'29'!H152</f>
        <v>20.312127997963657</v>
      </c>
      <c r="I152" s="475"/>
      <c r="J152" s="547">
        <f>H152/DAY(B2)</f>
        <v>0.6770709332654552</v>
      </c>
      <c r="O152" s="800"/>
    </row>
    <row r="153" spans="1:15" ht="27.75">
      <c r="A153" s="1586" t="s">
        <v>316</v>
      </c>
      <c r="B153" s="1587"/>
      <c r="C153" s="1587"/>
      <c r="D153" s="518" t="s">
        <v>248</v>
      </c>
      <c r="E153" s="450"/>
      <c r="F153" s="450"/>
      <c r="G153" s="455">
        <f>G37+G51</f>
        <v>1302.1300000000047</v>
      </c>
      <c r="H153" s="455">
        <f>G153+'29'!H153</f>
        <v>-1260</v>
      </c>
      <c r="I153" s="475"/>
      <c r="J153" s="547">
        <f>H153/DAY(B2)</f>
        <v>-42</v>
      </c>
      <c r="O153" s="800"/>
    </row>
    <row r="154" spans="1:15" ht="28.5" thickBot="1">
      <c r="A154" s="1584" t="s">
        <v>317</v>
      </c>
      <c r="B154" s="1585"/>
      <c r="C154" s="1585"/>
      <c r="D154" s="620" t="s">
        <v>58</v>
      </c>
      <c r="E154" s="560"/>
      <c r="F154" s="560"/>
      <c r="G154" s="561">
        <f>G153/G7</f>
        <v>7.6595882352941444E-2</v>
      </c>
      <c r="H154" s="562">
        <f>G154+'29'!H154</f>
        <v>-0.1051595360743099</v>
      </c>
      <c r="I154" s="563"/>
      <c r="J154" s="564">
        <f>H154/DAY(B2)</f>
        <v>-3.5053178691436633E-3</v>
      </c>
      <c r="O154" s="800"/>
    </row>
    <row r="155" spans="1:15" ht="29.25">
      <c r="A155" s="461"/>
      <c r="B155" s="451"/>
      <c r="C155" s="451"/>
      <c r="D155" s="541"/>
      <c r="E155" s="541"/>
      <c r="F155" s="541"/>
      <c r="G155" s="541"/>
      <c r="H155" s="542"/>
      <c r="I155" s="541"/>
      <c r="J155" s="543"/>
    </row>
    <row r="161" spans="1:7" ht="21.95" customHeight="1">
      <c r="A161" s="780" t="s">
        <v>318</v>
      </c>
      <c r="B161" s="781"/>
      <c r="C161" s="781"/>
      <c r="D161" s="506" t="s">
        <v>253</v>
      </c>
      <c r="E161" s="450">
        <f>'29'!F161</f>
        <v>38267</v>
      </c>
      <c r="F161" s="654">
        <v>38350</v>
      </c>
      <c r="G161" s="468">
        <f t="shared" ref="G161:G164" si="15">F161-E161</f>
        <v>83</v>
      </c>
    </row>
    <row r="162" spans="1:7" ht="21.95" customHeight="1">
      <c r="A162" s="780" t="s">
        <v>319</v>
      </c>
      <c r="B162" s="781"/>
      <c r="C162" s="781"/>
      <c r="D162" s="506" t="s">
        <v>253</v>
      </c>
      <c r="E162" s="450">
        <f>'29'!F162</f>
        <v>94011</v>
      </c>
      <c r="F162" s="654">
        <v>94392</v>
      </c>
      <c r="G162" s="468">
        <f t="shared" si="15"/>
        <v>381</v>
      </c>
    </row>
    <row r="163" spans="1:7" ht="21.95" customHeight="1">
      <c r="A163" s="780" t="s">
        <v>320</v>
      </c>
      <c r="B163" s="781"/>
      <c r="C163" s="781"/>
      <c r="D163" s="506" t="s">
        <v>253</v>
      </c>
      <c r="E163" s="450">
        <f>'29'!F163</f>
        <v>44527</v>
      </c>
      <c r="F163" s="654">
        <v>44727</v>
      </c>
      <c r="G163" s="468">
        <f t="shared" si="15"/>
        <v>200</v>
      </c>
    </row>
    <row r="164" spans="1:7" ht="21.95" customHeight="1">
      <c r="A164" s="780" t="s">
        <v>321</v>
      </c>
      <c r="B164" s="781"/>
      <c r="C164" s="781"/>
      <c r="D164" s="506" t="s">
        <v>253</v>
      </c>
      <c r="E164" s="450">
        <f>'29'!F164</f>
        <v>6549</v>
      </c>
      <c r="F164" s="654">
        <v>6554</v>
      </c>
      <c r="G164" s="468">
        <f t="shared" si="15"/>
        <v>5</v>
      </c>
    </row>
    <row r="165" spans="1:7" ht="21.95" customHeight="1">
      <c r="A165" s="782" t="s">
        <v>252</v>
      </c>
      <c r="B165" s="599"/>
      <c r="C165" s="599"/>
      <c r="D165" s="506" t="s">
        <v>253</v>
      </c>
      <c r="E165" s="450">
        <f>'29'!F165</f>
        <v>20419</v>
      </c>
      <c r="F165" s="509">
        <f>F62</f>
        <v>20419</v>
      </c>
      <c r="G165" s="468">
        <f t="shared" ref="G165:G172" si="16">F165-E165</f>
        <v>0</v>
      </c>
    </row>
    <row r="166" spans="1:7" ht="21.95" customHeight="1">
      <c r="A166" s="782" t="s">
        <v>254</v>
      </c>
      <c r="B166" s="599"/>
      <c r="C166" s="599"/>
      <c r="D166" s="506" t="s">
        <v>253</v>
      </c>
      <c r="E166" s="450">
        <f>'29'!F166</f>
        <v>2468</v>
      </c>
      <c r="F166" s="509">
        <v>2472</v>
      </c>
      <c r="G166" s="468">
        <f t="shared" si="16"/>
        <v>4</v>
      </c>
    </row>
    <row r="167" spans="1:7" ht="21.95" customHeight="1">
      <c r="A167" s="1502" t="s">
        <v>161</v>
      </c>
      <c r="B167" s="1502"/>
      <c r="C167" s="1502"/>
      <c r="D167" s="518" t="s">
        <v>253</v>
      </c>
      <c r="E167" s="450">
        <f>'29'!F167</f>
        <v>159553</v>
      </c>
      <c r="F167" s="509">
        <v>159745</v>
      </c>
      <c r="G167" s="468">
        <f t="shared" si="16"/>
        <v>192</v>
      </c>
    </row>
    <row r="168" spans="1:7" ht="21.95" customHeight="1">
      <c r="A168" s="1502" t="s">
        <v>162</v>
      </c>
      <c r="B168" s="1502"/>
      <c r="C168" s="1502"/>
      <c r="D168" s="518" t="s">
        <v>253</v>
      </c>
      <c r="E168" s="450">
        <f>'29'!F168</f>
        <v>160561</v>
      </c>
      <c r="F168" s="509">
        <f t="shared" ref="F168:F172" si="17">F65</f>
        <v>160777</v>
      </c>
      <c r="G168" s="468">
        <f t="shared" si="16"/>
        <v>216</v>
      </c>
    </row>
    <row r="169" spans="1:7" ht="21.95" customHeight="1">
      <c r="A169" s="1502" t="s">
        <v>255</v>
      </c>
      <c r="B169" s="1502"/>
      <c r="C169" s="1502"/>
      <c r="D169" s="518" t="s">
        <v>253</v>
      </c>
      <c r="E169" s="450">
        <f>'29'!F169</f>
        <v>56221</v>
      </c>
      <c r="F169" s="509">
        <f t="shared" si="17"/>
        <v>56522</v>
      </c>
      <c r="G169" s="468">
        <f t="shared" si="16"/>
        <v>301</v>
      </c>
    </row>
    <row r="170" spans="1:7" ht="21.95" customHeight="1">
      <c r="A170" s="1502" t="s">
        <v>157</v>
      </c>
      <c r="B170" s="1502"/>
      <c r="C170" s="1502"/>
      <c r="D170" s="518" t="s">
        <v>253</v>
      </c>
      <c r="E170" s="450">
        <f>'29'!F170</f>
        <v>251244</v>
      </c>
      <c r="F170" s="509">
        <f t="shared" si="17"/>
        <v>251770</v>
      </c>
      <c r="G170" s="468">
        <f t="shared" si="16"/>
        <v>526</v>
      </c>
    </row>
    <row r="171" spans="1:7" ht="21.95" customHeight="1">
      <c r="A171" s="1502" t="s">
        <v>164</v>
      </c>
      <c r="B171" s="1502"/>
      <c r="C171" s="1502"/>
      <c r="D171" s="518" t="s">
        <v>253</v>
      </c>
      <c r="E171" s="450">
        <f>'29'!F171</f>
        <v>85321</v>
      </c>
      <c r="F171" s="509">
        <f t="shared" si="17"/>
        <v>85321</v>
      </c>
      <c r="G171" s="468">
        <f t="shared" si="16"/>
        <v>0</v>
      </c>
    </row>
    <row r="172" spans="1:7" ht="21.95" customHeight="1">
      <c r="A172" s="1502" t="s">
        <v>165</v>
      </c>
      <c r="B172" s="1502"/>
      <c r="C172" s="1502"/>
      <c r="D172" s="518" t="s">
        <v>253</v>
      </c>
      <c r="E172" s="450">
        <f>'29'!F172</f>
        <v>81507</v>
      </c>
      <c r="F172" s="509">
        <f t="shared" si="17"/>
        <v>81645</v>
      </c>
      <c r="G172" s="468">
        <f t="shared" si="16"/>
        <v>138</v>
      </c>
    </row>
    <row r="173" spans="1:7" ht="21.95" customHeight="1">
      <c r="G173" s="533">
        <f>SUM(G161:G172)</f>
        <v>2046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154:C154"/>
    <mergeCell ref="A148:C148"/>
    <mergeCell ref="A149:C149"/>
    <mergeCell ref="A150:C150"/>
    <mergeCell ref="A151:C151"/>
    <mergeCell ref="A152:C152"/>
    <mergeCell ref="A153:C153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zoomScale="55" zoomScaleNormal="75" zoomScaleSheetLayoutView="55" workbookViewId="0">
      <selection activeCell="A33" sqref="A33:J33"/>
    </sheetView>
  </sheetViews>
  <sheetFormatPr defaultColWidth="22.33203125" defaultRowHeight="21.95" customHeight="1"/>
  <cols>
    <col min="1" max="1" width="51.21875" style="449" customWidth="1"/>
    <col min="2" max="2" width="24.88671875" style="452" customWidth="1"/>
    <col min="3" max="3" width="15.88671875" style="452" customWidth="1"/>
    <col min="4" max="4" width="13.6640625" style="532" customWidth="1"/>
    <col min="5" max="6" width="30" style="532" customWidth="1"/>
    <col min="7" max="7" width="28.88671875" style="532" customWidth="1"/>
    <col min="8" max="8" width="39.21875" style="533" customWidth="1"/>
    <col min="9" max="9" width="23.5546875" style="532" customWidth="1"/>
    <col min="10" max="10" width="24" style="534" customWidth="1"/>
    <col min="11" max="11" width="43.21875" style="373" hidden="1" customWidth="1"/>
    <col min="12" max="13" width="0" style="373" hidden="1" customWidth="1"/>
    <col min="14" max="14" width="25.109375" style="373" customWidth="1"/>
    <col min="15" max="16384" width="22.33203125" style="373"/>
  </cols>
  <sheetData>
    <row r="1" spans="1:15" ht="33.75">
      <c r="A1" s="1465" t="s">
        <v>322</v>
      </c>
      <c r="B1" s="1466"/>
      <c r="C1" s="1466"/>
      <c r="D1" s="1466"/>
      <c r="E1" s="1466"/>
      <c r="F1" s="1466"/>
      <c r="G1" s="1466"/>
      <c r="H1" s="1466"/>
      <c r="I1" s="1466"/>
      <c r="J1" s="1467"/>
    </row>
    <row r="2" spans="1:15" s="278" customFormat="1" ht="27">
      <c r="A2" s="570" t="s">
        <v>364</v>
      </c>
      <c r="B2" s="1108">
        <v>44347</v>
      </c>
      <c r="C2" s="1394" t="s">
        <v>111</v>
      </c>
      <c r="D2" s="606">
        <v>0.24</v>
      </c>
      <c r="E2" s="456"/>
      <c r="F2" s="456"/>
      <c r="G2" s="456" t="s">
        <v>184</v>
      </c>
      <c r="H2" s="456" t="s">
        <v>40</v>
      </c>
      <c r="I2" s="456" t="s">
        <v>42</v>
      </c>
      <c r="J2" s="608" t="s">
        <v>185</v>
      </c>
    </row>
    <row r="3" spans="1:15" s="278" customFormat="1" ht="27">
      <c r="A3" s="565"/>
      <c r="B3" s="609"/>
      <c r="C3" s="1394" t="s">
        <v>186</v>
      </c>
      <c r="D3" s="607">
        <v>30</v>
      </c>
      <c r="E3" s="1474" t="s">
        <v>187</v>
      </c>
      <c r="F3" s="1475"/>
      <c r="G3" s="457"/>
      <c r="H3" s="458"/>
      <c r="I3" s="458"/>
      <c r="J3" s="610"/>
      <c r="K3" s="368"/>
      <c r="L3" s="289"/>
    </row>
    <row r="4" spans="1:15" s="278" customFormat="1" ht="27">
      <c r="A4" s="571"/>
      <c r="B4" s="611"/>
      <c r="C4" s="1394" t="s">
        <v>188</v>
      </c>
      <c r="D4" s="606">
        <v>0.8</v>
      </c>
      <c r="E4" s="459"/>
      <c r="F4" s="459"/>
      <c r="G4" s="459"/>
      <c r="H4" s="459"/>
      <c r="I4" s="460"/>
      <c r="J4" s="610"/>
      <c r="K4" s="369"/>
      <c r="L4" s="289"/>
    </row>
    <row r="5" spans="1:15" ht="21.95" customHeight="1">
      <c r="A5" s="572" t="s">
        <v>189</v>
      </c>
      <c r="B5" s="454"/>
      <c r="C5" s="454"/>
      <c r="D5" s="506" t="s">
        <v>190</v>
      </c>
      <c r="E5" s="462" t="s">
        <v>191</v>
      </c>
      <c r="F5" s="462" t="s">
        <v>177</v>
      </c>
      <c r="G5" s="463" t="s">
        <v>192</v>
      </c>
      <c r="H5" s="464" t="s">
        <v>193</v>
      </c>
      <c r="I5" s="465" t="s">
        <v>194</v>
      </c>
      <c r="J5" s="545" t="s">
        <v>195</v>
      </c>
      <c r="K5" s="422"/>
      <c r="L5" s="374"/>
    </row>
    <row r="6" spans="1:15" ht="21.95" customHeight="1">
      <c r="A6" s="1468" t="s">
        <v>196</v>
      </c>
      <c r="B6" s="1469"/>
      <c r="C6" s="1470"/>
      <c r="D6" s="466"/>
      <c r="E6" s="466"/>
      <c r="F6" s="466"/>
      <c r="G6" s="466"/>
      <c r="H6" s="467"/>
      <c r="I6" s="467"/>
      <c r="J6" s="546"/>
      <c r="K6" s="423"/>
      <c r="L6" s="374"/>
    </row>
    <row r="7" spans="1:15" ht="21.95" customHeight="1" thickBot="1">
      <c r="A7" s="573" t="s">
        <v>197</v>
      </c>
      <c r="B7" s="574"/>
      <c r="C7" s="574"/>
      <c r="D7" s="518" t="s">
        <v>198</v>
      </c>
      <c r="E7" s="450">
        <f>'30'!F7</f>
        <v>861941</v>
      </c>
      <c r="F7" s="450">
        <f>E7+17000</f>
        <v>878941</v>
      </c>
      <c r="G7" s="468">
        <f>F7-E7</f>
        <v>17000</v>
      </c>
      <c r="H7" s="455">
        <f>G7+'30'!H7</f>
        <v>534529</v>
      </c>
      <c r="I7" s="469">
        <f>'1'!I7</f>
        <v>12000</v>
      </c>
      <c r="J7" s="547">
        <f>H7/DAY(B2)</f>
        <v>17242.870967741936</v>
      </c>
      <c r="K7" s="544">
        <v>1375467</v>
      </c>
      <c r="L7" s="374"/>
      <c r="N7" s="435">
        <f>F7-'1'!E7</f>
        <v>534529</v>
      </c>
      <c r="O7" s="379"/>
    </row>
    <row r="8" spans="1:15" ht="21.95" customHeight="1" thickBot="1">
      <c r="A8" s="575" t="s">
        <v>199</v>
      </c>
      <c r="B8" s="576"/>
      <c r="C8" s="577"/>
      <c r="D8" s="612" t="s">
        <v>59</v>
      </c>
      <c r="E8" s="450">
        <f>'30'!F8</f>
        <v>867545</v>
      </c>
      <c r="F8" s="450">
        <f>E8+17150</f>
        <v>884695</v>
      </c>
      <c r="G8" s="471">
        <f>F8-E8</f>
        <v>17150</v>
      </c>
      <c r="H8" s="455">
        <f>G8+'30'!H8</f>
        <v>538185</v>
      </c>
      <c r="I8" s="472"/>
      <c r="J8" s="547">
        <f>H8/DAY(B2)</f>
        <v>17360.806451612902</v>
      </c>
      <c r="K8" s="544">
        <v>1715917</v>
      </c>
      <c r="L8" s="421">
        <v>1728480</v>
      </c>
      <c r="M8" s="435">
        <f>L8-K8</f>
        <v>12563</v>
      </c>
      <c r="N8" s="435">
        <f>F8-'1'!E8</f>
        <v>538185</v>
      </c>
      <c r="O8" s="379"/>
    </row>
    <row r="9" spans="1:15" ht="21.95" customHeight="1">
      <c r="A9" s="578" t="s">
        <v>200</v>
      </c>
      <c r="B9" s="579"/>
      <c r="C9" s="579"/>
      <c r="D9" s="518" t="s">
        <v>198</v>
      </c>
      <c r="E9" s="450">
        <f>'30'!F9</f>
        <v>1983122</v>
      </c>
      <c r="F9" s="473">
        <f>E9+16950</f>
        <v>2000072</v>
      </c>
      <c r="G9" s="468">
        <f>F9-E9</f>
        <v>16950</v>
      </c>
      <c r="H9" s="455">
        <f>G9+'30'!H9</f>
        <v>526382</v>
      </c>
      <c r="I9" s="474">
        <f>I7-J7</f>
        <v>-5242.8709677419356</v>
      </c>
      <c r="J9" s="547">
        <f>H9/DAY(B2)</f>
        <v>16980.064516129034</v>
      </c>
      <c r="K9" s="424">
        <f>K8-100</f>
        <v>1715817</v>
      </c>
      <c r="L9" s="374"/>
      <c r="N9" s="435">
        <f>F9-'1'!E9</f>
        <v>526382</v>
      </c>
      <c r="O9" s="379"/>
    </row>
    <row r="10" spans="1:15" ht="21.95" customHeight="1">
      <c r="A10" s="573" t="s">
        <v>201</v>
      </c>
      <c r="B10" s="574"/>
      <c r="C10" s="574"/>
      <c r="D10" s="518" t="s">
        <v>198</v>
      </c>
      <c r="E10" s="450">
        <f>'30'!F10</f>
        <v>0</v>
      </c>
      <c r="F10" s="473"/>
      <c r="G10" s="468">
        <f t="shared" ref="G10:G12" si="0">F10-E10</f>
        <v>0</v>
      </c>
      <c r="H10" s="455">
        <f>G10+'30'!H10</f>
        <v>-2606.13</v>
      </c>
      <c r="I10" s="475"/>
      <c r="J10" s="547">
        <f>H10/DAY(B2)</f>
        <v>-84.068709677419363</v>
      </c>
      <c r="K10" s="424"/>
      <c r="L10" s="374"/>
      <c r="N10" s="435">
        <f>F10-'1'!E10</f>
        <v>-2322.58</v>
      </c>
      <c r="O10" s="379"/>
    </row>
    <row r="11" spans="1:15" ht="21.95" customHeight="1">
      <c r="A11" s="573" t="s">
        <v>202</v>
      </c>
      <c r="B11" s="574"/>
      <c r="C11" s="574"/>
      <c r="D11" s="518" t="s">
        <v>198</v>
      </c>
      <c r="E11" s="450">
        <f>'5'!E11</f>
        <v>37000</v>
      </c>
      <c r="F11" s="450">
        <v>37000</v>
      </c>
      <c r="G11" s="468">
        <f t="shared" si="0"/>
        <v>0</v>
      </c>
      <c r="H11" s="455">
        <f>G11+'30'!H11</f>
        <v>0</v>
      </c>
      <c r="I11" s="475"/>
      <c r="J11" s="547">
        <f>H11/DAY(B2)</f>
        <v>0</v>
      </c>
      <c r="K11" s="424"/>
      <c r="L11" s="374"/>
      <c r="N11" s="435">
        <f>F11-'1'!E11</f>
        <v>0</v>
      </c>
      <c r="O11" s="379"/>
    </row>
    <row r="12" spans="1:15" ht="21.95" customHeight="1">
      <c r="A12" s="573" t="s">
        <v>203</v>
      </c>
      <c r="B12" s="574"/>
      <c r="C12" s="574"/>
      <c r="D12" s="518" t="s">
        <v>198</v>
      </c>
      <c r="E12" s="450">
        <f>'5'!E12</f>
        <v>40010</v>
      </c>
      <c r="F12" s="473">
        <v>40010</v>
      </c>
      <c r="G12" s="468">
        <f t="shared" si="0"/>
        <v>0</v>
      </c>
      <c r="H12" s="455">
        <f>G12+'30'!H12</f>
        <v>0</v>
      </c>
      <c r="I12" s="475"/>
      <c r="J12" s="547">
        <f>H12/DAY(B2)</f>
        <v>0</v>
      </c>
      <c r="K12" s="424"/>
      <c r="L12" s="374"/>
      <c r="N12" s="435">
        <f>F12-'1'!E12</f>
        <v>0</v>
      </c>
      <c r="O12" s="379"/>
    </row>
    <row r="13" spans="1:15" ht="21.95" customHeight="1">
      <c r="A13" s="580" t="s">
        <v>204</v>
      </c>
      <c r="B13" s="581"/>
      <c r="C13" s="581"/>
      <c r="D13" s="518"/>
      <c r="E13" s="450"/>
      <c r="F13" s="450"/>
      <c r="G13" s="476">
        <f>G9+G10+G11+G12</f>
        <v>16950</v>
      </c>
      <c r="H13" s="455">
        <f>G13+'30'!H13</f>
        <v>507250.87</v>
      </c>
      <c r="I13" s="477">
        <f>G7-G13</f>
        <v>50</v>
      </c>
      <c r="J13" s="547">
        <f>H13/DAY(B2)</f>
        <v>16362.93129032258</v>
      </c>
      <c r="K13" s="424"/>
      <c r="L13" s="374"/>
      <c r="N13" s="435">
        <f>F13-'1'!E13</f>
        <v>0</v>
      </c>
      <c r="O13" s="379"/>
    </row>
    <row r="14" spans="1:15" ht="29.25">
      <c r="A14" s="1471" t="s">
        <v>205</v>
      </c>
      <c r="B14" s="1472"/>
      <c r="C14" s="1473"/>
      <c r="D14" s="467"/>
      <c r="E14" s="467"/>
      <c r="F14" s="467"/>
      <c r="G14" s="478"/>
      <c r="H14" s="467"/>
      <c r="I14" s="467"/>
      <c r="J14" s="546"/>
      <c r="K14" s="425"/>
      <c r="L14" s="374"/>
      <c r="N14" s="435">
        <f>F14-'1'!E14</f>
        <v>0</v>
      </c>
      <c r="O14" s="379"/>
    </row>
    <row r="15" spans="1:15" ht="21.95" customHeight="1">
      <c r="A15" s="1392" t="s">
        <v>133</v>
      </c>
      <c r="B15" s="584"/>
      <c r="C15" s="584"/>
      <c r="D15" s="518" t="s">
        <v>206</v>
      </c>
      <c r="E15" s="517">
        <v>1683884</v>
      </c>
      <c r="F15" s="479">
        <f>E15+550</f>
        <v>1684434</v>
      </c>
      <c r="G15" s="468">
        <f>(F15-E15)</f>
        <v>550</v>
      </c>
      <c r="H15" s="455">
        <f>G15+'30'!H15</f>
        <v>16208</v>
      </c>
      <c r="I15" s="469">
        <f>'1'!I15</f>
        <v>800</v>
      </c>
      <c r="J15" s="547">
        <f>H15/DAY(B2)</f>
        <v>522.83870967741939</v>
      </c>
      <c r="K15" s="424"/>
      <c r="L15" s="374"/>
      <c r="N15" s="435">
        <f>F15-'1'!E15</f>
        <v>-90</v>
      </c>
      <c r="O15" s="379"/>
    </row>
    <row r="16" spans="1:15" ht="21.95" customHeight="1">
      <c r="A16" s="582"/>
      <c r="B16" s="583"/>
      <c r="C16" s="583"/>
      <c r="D16" s="519"/>
      <c r="E16" s="480"/>
      <c r="F16" s="480"/>
      <c r="G16" s="468"/>
      <c r="H16" s="481"/>
      <c r="I16" s="482">
        <f>I15-J15</f>
        <v>277.16129032258061</v>
      </c>
      <c r="J16" s="548"/>
      <c r="K16" s="424"/>
      <c r="L16" s="374"/>
      <c r="N16" s="435">
        <f>F16-'1'!E16</f>
        <v>0</v>
      </c>
      <c r="O16" s="379"/>
    </row>
    <row r="17" spans="1:15" ht="29.25">
      <c r="A17" s="1471" t="s">
        <v>207</v>
      </c>
      <c r="B17" s="1472"/>
      <c r="C17" s="1473"/>
      <c r="D17" s="467"/>
      <c r="E17" s="467"/>
      <c r="F17" s="467"/>
      <c r="G17" s="483"/>
      <c r="H17" s="467"/>
      <c r="I17" s="467"/>
      <c r="J17" s="546"/>
      <c r="K17" s="424"/>
      <c r="L17" s="374"/>
      <c r="N17" s="435">
        <f>F17-'1'!E17</f>
        <v>0</v>
      </c>
      <c r="O17" s="379"/>
    </row>
    <row r="18" spans="1:15" ht="27.75">
      <c r="A18" s="1453" t="s">
        <v>208</v>
      </c>
      <c r="B18" s="1454"/>
      <c r="C18" s="1455"/>
      <c r="D18" s="518" t="s">
        <v>209</v>
      </c>
      <c r="E18" s="450">
        <f>'30'!F18</f>
        <v>8</v>
      </c>
      <c r="F18" s="479">
        <v>6</v>
      </c>
      <c r="G18" s="476">
        <f>F18*10</f>
        <v>60</v>
      </c>
      <c r="H18" s="455">
        <f>G18+'30'!H18</f>
        <v>1600</v>
      </c>
      <c r="I18" s="469">
        <f>'1'!I18</f>
        <v>65</v>
      </c>
      <c r="J18" s="547">
        <f>H18/DAY(B2)</f>
        <v>51.612903225806448</v>
      </c>
      <c r="K18" s="424"/>
      <c r="L18" s="374"/>
      <c r="N18" s="435">
        <f>F18-'1'!E18</f>
        <v>0</v>
      </c>
      <c r="O18" s="379"/>
    </row>
    <row r="19" spans="1:15" ht="27.75">
      <c r="A19" s="1453" t="s">
        <v>113</v>
      </c>
      <c r="B19" s="1454"/>
      <c r="C19" s="1455"/>
      <c r="D19" s="518" t="s">
        <v>209</v>
      </c>
      <c r="E19" s="450">
        <f>'30'!F19</f>
        <v>139551</v>
      </c>
      <c r="F19" s="479">
        <v>139612</v>
      </c>
      <c r="G19" s="468">
        <f t="shared" ref="G19" si="1">F19-E19</f>
        <v>61</v>
      </c>
      <c r="H19" s="455">
        <f>G19+'30'!H19</f>
        <v>0</v>
      </c>
      <c r="I19" s="484"/>
      <c r="J19" s="547">
        <f>H19/DAY(B2)</f>
        <v>0</v>
      </c>
      <c r="K19" s="424"/>
      <c r="L19" s="374"/>
      <c r="N19" s="435">
        <f>F19-'1'!E19</f>
        <v>0</v>
      </c>
      <c r="O19" s="379"/>
    </row>
    <row r="20" spans="1:15" ht="29.25">
      <c r="A20" s="580" t="s">
        <v>210</v>
      </c>
      <c r="B20" s="581"/>
      <c r="C20" s="581"/>
      <c r="D20" s="485"/>
      <c r="E20" s="485"/>
      <c r="F20" s="485"/>
      <c r="G20" s="486">
        <f>G18+G19</f>
        <v>121</v>
      </c>
      <c r="H20" s="455">
        <f>G20+'30'!H20</f>
        <v>1600</v>
      </c>
      <c r="I20" s="487">
        <f>I18-J20</f>
        <v>13.387096774193552</v>
      </c>
      <c r="J20" s="547">
        <f>H20/DAY(B2)</f>
        <v>51.612903225806448</v>
      </c>
      <c r="K20" s="424"/>
      <c r="L20" s="374"/>
      <c r="N20" s="435">
        <f>F20-'1'!E20</f>
        <v>0</v>
      </c>
      <c r="O20" s="379"/>
    </row>
    <row r="21" spans="1:15" ht="29.25">
      <c r="A21" s="1471" t="s">
        <v>211</v>
      </c>
      <c r="B21" s="1472"/>
      <c r="C21" s="1473"/>
      <c r="D21" s="467"/>
      <c r="E21" s="467"/>
      <c r="F21" s="467"/>
      <c r="G21" s="478"/>
      <c r="H21" s="467"/>
      <c r="I21" s="467"/>
      <c r="J21" s="546"/>
      <c r="K21" s="424"/>
      <c r="L21" s="374"/>
      <c r="N21" s="435">
        <f>F21-'1'!E21</f>
        <v>0</v>
      </c>
      <c r="O21" s="379"/>
    </row>
    <row r="22" spans="1:15" ht="29.25">
      <c r="A22" s="1392" t="s">
        <v>212</v>
      </c>
      <c r="B22" s="584"/>
      <c r="C22" s="584"/>
      <c r="D22" s="518" t="s">
        <v>213</v>
      </c>
      <c r="E22" s="479">
        <f>'30'!F22</f>
        <v>2970</v>
      </c>
      <c r="F22" s="479">
        <v>2970</v>
      </c>
      <c r="G22" s="476">
        <f t="shared" ref="G22" si="2">(F22-E22)</f>
        <v>0</v>
      </c>
      <c r="H22" s="455">
        <f>'30'!H22</f>
        <v>0</v>
      </c>
      <c r="I22" s="475"/>
      <c r="J22" s="547">
        <f>H22/DAY(B2)</f>
        <v>0</v>
      </c>
      <c r="K22" s="424"/>
      <c r="L22" s="374"/>
      <c r="N22" s="435">
        <f>F22-'1'!E22</f>
        <v>0</v>
      </c>
      <c r="O22" s="379"/>
    </row>
    <row r="23" spans="1:15" ht="29.25">
      <c r="A23" s="1392" t="s">
        <v>214</v>
      </c>
      <c r="B23" s="584"/>
      <c r="C23" s="584"/>
      <c r="D23" s="518" t="s">
        <v>213</v>
      </c>
      <c r="E23" s="479">
        <f>'30'!F23</f>
        <v>2000</v>
      </c>
      <c r="F23" s="479">
        <v>2000</v>
      </c>
      <c r="G23" s="476">
        <v>0</v>
      </c>
      <c r="H23" s="455">
        <f>'30'!H23</f>
        <v>0</v>
      </c>
      <c r="I23" s="475"/>
      <c r="J23" s="547">
        <f>H23/DAY(B2)</f>
        <v>0</v>
      </c>
      <c r="K23" s="424"/>
      <c r="L23" s="374"/>
      <c r="N23" s="435">
        <f>F23-'1'!E23</f>
        <v>0</v>
      </c>
      <c r="O23" s="379"/>
    </row>
    <row r="24" spans="1:15" ht="29.25">
      <c r="A24" s="585" t="s">
        <v>215</v>
      </c>
      <c r="B24" s="586"/>
      <c r="C24" s="586"/>
      <c r="D24" s="506" t="s">
        <v>213</v>
      </c>
      <c r="E24" s="479">
        <f>'30'!F24</f>
        <v>4970</v>
      </c>
      <c r="F24" s="488">
        <v>4970</v>
      </c>
      <c r="G24" s="476">
        <v>0</v>
      </c>
      <c r="H24" s="455">
        <f>'30'!H24</f>
        <v>0</v>
      </c>
      <c r="I24" s="475"/>
      <c r="J24" s="547">
        <f>H24/DAY(B2)</f>
        <v>0</v>
      </c>
      <c r="K24" s="424"/>
      <c r="L24" s="374"/>
      <c r="N24" s="435">
        <f>F24-'1'!E24</f>
        <v>0</v>
      </c>
      <c r="O24" s="379"/>
    </row>
    <row r="25" spans="1:15" s="437" customFormat="1" ht="27">
      <c r="A25" s="1476" t="s">
        <v>216</v>
      </c>
      <c r="B25" s="1477"/>
      <c r="C25" s="1478"/>
      <c r="D25" s="466"/>
      <c r="E25" s="466"/>
      <c r="F25" s="466"/>
      <c r="G25" s="489"/>
      <c r="H25" s="490"/>
      <c r="I25" s="491"/>
      <c r="J25" s="549"/>
      <c r="K25" s="370"/>
      <c r="L25" s="438"/>
      <c r="N25" s="435">
        <f>F25-'1'!E25</f>
        <v>0</v>
      </c>
      <c r="O25" s="379"/>
    </row>
    <row r="26" spans="1:15" s="437" customFormat="1" ht="27.75">
      <c r="A26" s="587" t="s">
        <v>217</v>
      </c>
      <c r="B26" s="588"/>
      <c r="C26" s="589"/>
      <c r="D26" s="613" t="s">
        <v>218</v>
      </c>
      <c r="E26" s="492"/>
      <c r="F26" s="492"/>
      <c r="G26" s="493"/>
      <c r="H26" s="455"/>
      <c r="I26" s="494"/>
      <c r="J26" s="547"/>
      <c r="K26" s="371"/>
      <c r="L26" s="438"/>
      <c r="N26" s="435">
        <f>F26-'1'!E26</f>
        <v>0</v>
      </c>
      <c r="O26" s="379"/>
    </row>
    <row r="27" spans="1:15" s="437" customFormat="1" ht="27.75">
      <c r="A27" s="587" t="s">
        <v>40</v>
      </c>
      <c r="B27" s="588"/>
      <c r="C27" s="589"/>
      <c r="D27" s="614" t="s">
        <v>59</v>
      </c>
      <c r="E27" s="495">
        <f>G8</f>
        <v>17150</v>
      </c>
      <c r="F27" s="496">
        <v>9</v>
      </c>
      <c r="G27" s="497">
        <f>E27*F27</f>
        <v>154350</v>
      </c>
      <c r="H27" s="455">
        <f>G27+'30'!H27</f>
        <v>4842828</v>
      </c>
      <c r="I27" s="498"/>
      <c r="J27" s="547">
        <f>H27/DAY(B2)</f>
        <v>156220.25806451612</v>
      </c>
      <c r="K27" s="370"/>
      <c r="L27" s="438"/>
      <c r="N27" s="435">
        <f>F27-'1'!E27</f>
        <v>-16553</v>
      </c>
      <c r="O27" s="379"/>
    </row>
    <row r="28" spans="1:15" s="437" customFormat="1" ht="27.75">
      <c r="A28" s="587" t="s">
        <v>219</v>
      </c>
      <c r="B28" s="588"/>
      <c r="C28" s="589"/>
      <c r="D28" s="614" t="s">
        <v>220</v>
      </c>
      <c r="E28" s="499">
        <f>G15</f>
        <v>550</v>
      </c>
      <c r="F28" s="496">
        <v>52</v>
      </c>
      <c r="G28" s="497">
        <f>E28*F28</f>
        <v>28600</v>
      </c>
      <c r="H28" s="455">
        <f>G28+'30'!H28</f>
        <v>842816</v>
      </c>
      <c r="I28" s="500"/>
      <c r="J28" s="547">
        <f>H28/DAY(B2)</f>
        <v>27187.612903225807</v>
      </c>
      <c r="K28" s="370"/>
      <c r="L28" s="438"/>
      <c r="N28" s="435">
        <f>F28-'1'!E28</f>
        <v>-215</v>
      </c>
      <c r="O28" s="379"/>
    </row>
    <row r="29" spans="1:15" s="437" customFormat="1" ht="27.75">
      <c r="A29" s="587" t="s">
        <v>221</v>
      </c>
      <c r="B29" s="588"/>
      <c r="C29" s="589"/>
      <c r="D29" s="614" t="s">
        <v>222</v>
      </c>
      <c r="E29" s="501">
        <f>G24</f>
        <v>0</v>
      </c>
      <c r="F29" s="496">
        <v>69</v>
      </c>
      <c r="G29" s="497">
        <f>E29*F29</f>
        <v>0</v>
      </c>
      <c r="H29" s="455">
        <f>G29+'30'!H29</f>
        <v>8280</v>
      </c>
      <c r="I29" s="500"/>
      <c r="J29" s="547">
        <f>H29/DAY(B2)</f>
        <v>267.09677419354841</v>
      </c>
      <c r="K29" s="370"/>
      <c r="L29" s="438"/>
      <c r="N29" s="435">
        <f>F29-'1'!E29</f>
        <v>-51</v>
      </c>
      <c r="O29" s="379"/>
    </row>
    <row r="30" spans="1:15" s="437" customFormat="1" ht="27.75">
      <c r="A30" s="587" t="s">
        <v>223</v>
      </c>
      <c r="B30" s="588"/>
      <c r="C30" s="589"/>
      <c r="D30" s="614" t="s">
        <v>224</v>
      </c>
      <c r="E30" s="501">
        <f>G19</f>
        <v>61</v>
      </c>
      <c r="F30" s="496">
        <v>146</v>
      </c>
      <c r="G30" s="497">
        <f>E30*F30</f>
        <v>8906</v>
      </c>
      <c r="H30" s="455">
        <f>G30+'30'!H30</f>
        <v>0</v>
      </c>
      <c r="I30" s="500"/>
      <c r="J30" s="547">
        <f>H30/DAY(B2)</f>
        <v>0</v>
      </c>
      <c r="K30" s="370"/>
      <c r="L30" s="438"/>
      <c r="N30" s="435">
        <f>F30-'1'!E30</f>
        <v>86</v>
      </c>
      <c r="O30" s="379"/>
    </row>
    <row r="31" spans="1:15" s="437" customFormat="1" ht="27.75">
      <c r="A31" s="587" t="s">
        <v>225</v>
      </c>
      <c r="B31" s="588"/>
      <c r="C31" s="589"/>
      <c r="D31" s="614" t="s">
        <v>209</v>
      </c>
      <c r="E31" s="501">
        <f>G18</f>
        <v>60</v>
      </c>
      <c r="F31" s="496">
        <v>80</v>
      </c>
      <c r="G31" s="497">
        <f>E31*F31</f>
        <v>4800</v>
      </c>
      <c r="H31" s="455">
        <f>G31+'30'!H31</f>
        <v>128000</v>
      </c>
      <c r="I31" s="500"/>
      <c r="J31" s="547">
        <f>H31/DAY(B2)</f>
        <v>4129.0322580645161</v>
      </c>
      <c r="K31" s="370"/>
      <c r="L31" s="438"/>
      <c r="N31" s="435">
        <f>F31-'1'!E31</f>
        <v>60</v>
      </c>
      <c r="O31" s="379"/>
    </row>
    <row r="32" spans="1:15" s="437" customFormat="1" ht="27.75">
      <c r="A32" s="590" t="s">
        <v>226</v>
      </c>
      <c r="B32" s="591"/>
      <c r="C32" s="592"/>
      <c r="D32" s="502"/>
      <c r="E32" s="502"/>
      <c r="F32" s="502"/>
      <c r="G32" s="503">
        <f>G27+G28+G29+G30+G31</f>
        <v>196656</v>
      </c>
      <c r="H32" s="455">
        <f>G32+'30'!H32</f>
        <v>5821924</v>
      </c>
      <c r="I32" s="504"/>
      <c r="J32" s="547">
        <f>H32/DAY(B2)</f>
        <v>187804</v>
      </c>
      <c r="K32" s="370"/>
      <c r="L32" s="438"/>
      <c r="N32" s="435">
        <f>F32-'1'!E32</f>
        <v>0</v>
      </c>
      <c r="O32" s="379"/>
    </row>
    <row r="33" spans="1:15" ht="25.5" customHeight="1">
      <c r="A33" s="1479" t="s">
        <v>227</v>
      </c>
      <c r="B33" s="1480"/>
      <c r="C33" s="1480"/>
      <c r="D33" s="1480"/>
      <c r="E33" s="1480"/>
      <c r="F33" s="1480"/>
      <c r="G33" s="1480"/>
      <c r="H33" s="1480"/>
      <c r="I33" s="1480"/>
      <c r="J33" s="1481"/>
      <c r="K33" s="424"/>
      <c r="L33" s="374"/>
      <c r="N33" s="435">
        <f>F33-'1'!E33</f>
        <v>0</v>
      </c>
      <c r="O33" s="379"/>
    </row>
    <row r="34" spans="1:15" ht="29.25">
      <c r="A34" s="593" t="s">
        <v>228</v>
      </c>
      <c r="B34" s="1397"/>
      <c r="C34" s="1397"/>
      <c r="D34" s="467"/>
      <c r="E34" s="466"/>
      <c r="F34" s="466"/>
      <c r="G34" s="467"/>
      <c r="H34" s="467"/>
      <c r="I34" s="467"/>
      <c r="J34" s="546"/>
      <c r="K34" s="424"/>
      <c r="L34" s="374"/>
      <c r="N34" s="435">
        <f>F34-'1'!E34</f>
        <v>0</v>
      </c>
      <c r="O34" s="379"/>
    </row>
    <row r="35" spans="1:15" ht="29.25">
      <c r="A35" s="573" t="s">
        <v>229</v>
      </c>
      <c r="B35" s="574"/>
      <c r="C35" s="574"/>
      <c r="D35" s="518" t="s">
        <v>198</v>
      </c>
      <c r="E35" s="450">
        <f>'30'!F35</f>
        <v>948143</v>
      </c>
      <c r="F35" s="505">
        <v>950488</v>
      </c>
      <c r="G35" s="468">
        <f t="shared" ref="G35:G46" si="3">F35-E35</f>
        <v>2345</v>
      </c>
      <c r="H35" s="455">
        <f>G35+'30'!H35</f>
        <v>0</v>
      </c>
      <c r="I35" s="450"/>
      <c r="J35" s="547">
        <f>H35/DAY(B2)</f>
        <v>0</v>
      </c>
      <c r="K35" s="424"/>
      <c r="L35" s="374"/>
      <c r="N35" s="435">
        <f>F35-'1'!E35</f>
        <v>0</v>
      </c>
      <c r="O35" s="379"/>
    </row>
    <row r="36" spans="1:15" ht="29.25">
      <c r="A36" s="573" t="s">
        <v>230</v>
      </c>
      <c r="B36" s="574"/>
      <c r="C36" s="574"/>
      <c r="D36" s="518" t="s">
        <v>198</v>
      </c>
      <c r="E36" s="450">
        <v>0</v>
      </c>
      <c r="F36" s="505">
        <v>173</v>
      </c>
      <c r="G36" s="468">
        <f t="shared" si="3"/>
        <v>173</v>
      </c>
      <c r="H36" s="455">
        <f>G36+'30'!H36</f>
        <v>173</v>
      </c>
      <c r="I36" s="450"/>
      <c r="J36" s="547">
        <f>H36/DAY(B2)</f>
        <v>5.580645161290323</v>
      </c>
      <c r="K36" s="424"/>
      <c r="L36" s="374"/>
      <c r="N36" s="435">
        <f>F36-'1'!E36</f>
        <v>0</v>
      </c>
      <c r="O36" s="623"/>
    </row>
    <row r="37" spans="1:15" ht="29.25">
      <c r="A37" s="573" t="s">
        <v>231</v>
      </c>
      <c r="B37" s="574"/>
      <c r="C37" s="574"/>
      <c r="D37" s="518" t="s">
        <v>198</v>
      </c>
      <c r="E37" s="450">
        <f>'30'!F37</f>
        <v>132976</v>
      </c>
      <c r="F37" s="505">
        <v>134236</v>
      </c>
      <c r="G37" s="468">
        <f t="shared" si="3"/>
        <v>1260</v>
      </c>
      <c r="H37" s="455">
        <f>G37+'30'!H37</f>
        <v>0</v>
      </c>
      <c r="I37" s="450"/>
      <c r="J37" s="547">
        <f>H37/DAY(B2)</f>
        <v>0</v>
      </c>
      <c r="K37" s="424"/>
      <c r="L37" s="374"/>
      <c r="N37" s="435">
        <f>F37-'1'!E37</f>
        <v>0</v>
      </c>
      <c r="O37" s="624"/>
    </row>
    <row r="38" spans="1:15" ht="29.25">
      <c r="A38" s="573" t="s">
        <v>232</v>
      </c>
      <c r="B38" s="574"/>
      <c r="C38" s="574"/>
      <c r="D38" s="518" t="s">
        <v>198</v>
      </c>
      <c r="E38" s="464">
        <v>155156</v>
      </c>
      <c r="F38" s="464">
        <v>156405</v>
      </c>
      <c r="G38" s="468">
        <f t="shared" si="3"/>
        <v>1249</v>
      </c>
      <c r="H38" s="455">
        <f>G38+'30'!H38</f>
        <v>0</v>
      </c>
      <c r="I38" s="450"/>
      <c r="J38" s="547">
        <f>H38/DAY(B2)</f>
        <v>0</v>
      </c>
      <c r="K38" s="424"/>
      <c r="L38" s="374"/>
      <c r="N38" s="435">
        <f>F38-'1'!E38</f>
        <v>0</v>
      </c>
      <c r="O38" s="379"/>
    </row>
    <row r="39" spans="1:15" ht="29.25">
      <c r="A39" s="573" t="s">
        <v>233</v>
      </c>
      <c r="B39" s="574"/>
      <c r="C39" s="574"/>
      <c r="D39" s="518" t="s">
        <v>198</v>
      </c>
      <c r="E39" s="450">
        <f>'30'!F39</f>
        <v>305998</v>
      </c>
      <c r="F39" s="505">
        <v>308173</v>
      </c>
      <c r="G39" s="468">
        <f t="shared" si="3"/>
        <v>2175</v>
      </c>
      <c r="H39" s="455">
        <f>G39+'30'!H39</f>
        <v>0</v>
      </c>
      <c r="I39" s="450"/>
      <c r="J39" s="547">
        <f>H39/DAY(B2)</f>
        <v>0</v>
      </c>
      <c r="K39" s="424"/>
      <c r="L39" s="374"/>
      <c r="N39" s="435">
        <f>F39-'1'!E39</f>
        <v>0</v>
      </c>
      <c r="O39" s="379"/>
    </row>
    <row r="40" spans="1:15" ht="29.25">
      <c r="A40" s="594" t="s">
        <v>234</v>
      </c>
      <c r="B40" s="595"/>
      <c r="C40" s="595"/>
      <c r="D40" s="518" t="s">
        <v>198</v>
      </c>
      <c r="E40" s="450">
        <f>'30'!F40</f>
        <v>889</v>
      </c>
      <c r="F40" s="505">
        <v>889</v>
      </c>
      <c r="G40" s="468">
        <f t="shared" si="3"/>
        <v>0</v>
      </c>
      <c r="H40" s="455">
        <f>G40+'30'!H40</f>
        <v>0</v>
      </c>
      <c r="I40" s="450"/>
      <c r="J40" s="547">
        <f>H40/DAY(B2)</f>
        <v>0</v>
      </c>
      <c r="K40" s="425"/>
      <c r="L40" s="374"/>
      <c r="N40" s="435">
        <f>F40-'1'!E40</f>
        <v>0</v>
      </c>
      <c r="O40" s="379"/>
    </row>
    <row r="41" spans="1:15" ht="29.25">
      <c r="A41" s="573" t="s">
        <v>235</v>
      </c>
      <c r="B41" s="574"/>
      <c r="C41" s="574"/>
      <c r="D41" s="518" t="s">
        <v>198</v>
      </c>
      <c r="E41" s="450">
        <f>'30'!F41</f>
        <v>240478</v>
      </c>
      <c r="F41" s="505">
        <v>240478</v>
      </c>
      <c r="G41" s="468">
        <f t="shared" si="3"/>
        <v>0</v>
      </c>
      <c r="H41" s="455">
        <f>G41+'30'!H41</f>
        <v>0</v>
      </c>
      <c r="I41" s="450"/>
      <c r="J41" s="547">
        <f>H41/DAY(B2)</f>
        <v>0</v>
      </c>
      <c r="K41" s="424"/>
      <c r="L41" s="374"/>
      <c r="N41" s="435">
        <f>F41-'1'!E41</f>
        <v>0</v>
      </c>
      <c r="O41" s="379"/>
    </row>
    <row r="42" spans="1:15" ht="29.25">
      <c r="A42" s="573" t="s">
        <v>236</v>
      </c>
      <c r="B42" s="574"/>
      <c r="C42" s="574"/>
      <c r="D42" s="518" t="s">
        <v>198</v>
      </c>
      <c r="E42" s="450">
        <f>'30'!F42</f>
        <v>59199</v>
      </c>
      <c r="F42" s="505">
        <v>59200</v>
      </c>
      <c r="G42" s="468">
        <f t="shared" si="3"/>
        <v>1</v>
      </c>
      <c r="H42" s="455">
        <f>G42+'30'!H42</f>
        <v>1.0299999999988358</v>
      </c>
      <c r="I42" s="450"/>
      <c r="J42" s="547">
        <f>H42/DAY(B2)</f>
        <v>3.322580645157535E-2</v>
      </c>
      <c r="K42" s="424"/>
      <c r="L42" s="374"/>
      <c r="N42" s="435">
        <f>H42-'1'!E42</f>
        <v>-59198.97</v>
      </c>
      <c r="O42" s="379"/>
    </row>
    <row r="43" spans="1:15" ht="29.25">
      <c r="A43" s="573" t="s">
        <v>237</v>
      </c>
      <c r="B43" s="574"/>
      <c r="C43" s="574"/>
      <c r="D43" s="518" t="s">
        <v>198</v>
      </c>
      <c r="E43" s="450">
        <f>'30'!F43</f>
        <v>1039967</v>
      </c>
      <c r="F43" s="505">
        <v>1042244</v>
      </c>
      <c r="G43" s="468">
        <f t="shared" si="3"/>
        <v>2277</v>
      </c>
      <c r="H43" s="455">
        <f>G43+'30'!H43</f>
        <v>0</v>
      </c>
      <c r="I43" s="450"/>
      <c r="J43" s="547">
        <f>H43/DAY(B2)</f>
        <v>0</v>
      </c>
      <c r="K43" s="424"/>
      <c r="L43" s="374"/>
      <c r="N43" s="435">
        <f>H43-'1'!E43</f>
        <v>-1042244</v>
      </c>
      <c r="O43" s="379"/>
    </row>
    <row r="44" spans="1:15" ht="29.25">
      <c r="A44" s="573" t="s">
        <v>238</v>
      </c>
      <c r="B44" s="574"/>
      <c r="C44" s="574"/>
      <c r="D44" s="518" t="s">
        <v>198</v>
      </c>
      <c r="E44" s="450">
        <f>'30'!F44</f>
        <v>0</v>
      </c>
      <c r="F44" s="505">
        <v>0</v>
      </c>
      <c r="G44" s="468">
        <f t="shared" si="3"/>
        <v>0</v>
      </c>
      <c r="H44" s="455">
        <f>G44+'30'!H44</f>
        <v>0</v>
      </c>
      <c r="I44" s="450"/>
      <c r="J44" s="547">
        <f>H44/DAY(B2)</f>
        <v>0</v>
      </c>
      <c r="K44" s="424"/>
      <c r="L44" s="374"/>
      <c r="N44" s="435">
        <f>H44-'1'!E44</f>
        <v>0</v>
      </c>
      <c r="O44" s="379"/>
    </row>
    <row r="45" spans="1:15" ht="29.25">
      <c r="A45" s="573" t="s">
        <v>239</v>
      </c>
      <c r="B45" s="574"/>
      <c r="C45" s="574"/>
      <c r="D45" s="518" t="s">
        <v>198</v>
      </c>
      <c r="E45" s="450">
        <f>'30'!F45</f>
        <v>614</v>
      </c>
      <c r="F45" s="505">
        <v>614</v>
      </c>
      <c r="G45" s="468">
        <f t="shared" si="3"/>
        <v>0</v>
      </c>
      <c r="H45" s="455">
        <f>G45+'30'!H45</f>
        <v>614</v>
      </c>
      <c r="I45" s="450"/>
      <c r="J45" s="547">
        <f>H45/DAY(B2)</f>
        <v>19.806451612903224</v>
      </c>
      <c r="K45" s="424"/>
      <c r="L45" s="374"/>
      <c r="N45" s="435">
        <f>H45-'1'!E45</f>
        <v>0</v>
      </c>
      <c r="O45" s="379"/>
    </row>
    <row r="46" spans="1:15" ht="29.25">
      <c r="A46" s="573" t="s">
        <v>240</v>
      </c>
      <c r="B46" s="574"/>
      <c r="C46" s="574"/>
      <c r="D46" s="518" t="s">
        <v>198</v>
      </c>
      <c r="E46" s="450">
        <f>'30'!F46</f>
        <v>187</v>
      </c>
      <c r="F46" s="505">
        <v>187</v>
      </c>
      <c r="G46" s="468">
        <f t="shared" si="3"/>
        <v>0</v>
      </c>
      <c r="H46" s="455">
        <f>G46+'30'!H46</f>
        <v>186.95</v>
      </c>
      <c r="I46" s="450"/>
      <c r="J46" s="547">
        <f>H46/DAY(B2)</f>
        <v>6.0306451612903222</v>
      </c>
      <c r="K46" s="424"/>
      <c r="L46" s="374"/>
      <c r="N46" s="435">
        <f>H46-'1'!E46</f>
        <v>-5.0000000000011369E-2</v>
      </c>
      <c r="O46" s="379"/>
    </row>
    <row r="47" spans="1:15" ht="29.25">
      <c r="A47" s="580" t="s">
        <v>241</v>
      </c>
      <c r="B47" s="581"/>
      <c r="C47" s="581"/>
      <c r="D47" s="465"/>
      <c r="E47" s="506"/>
      <c r="F47" s="506"/>
      <c r="G47" s="476">
        <f>G35+G36+G37+G38+G39+G40+G41+G42+G43+G44+G45+G46</f>
        <v>9480</v>
      </c>
      <c r="H47" s="455">
        <f>G47+'30'!H47</f>
        <v>347867.47000000003</v>
      </c>
      <c r="I47" s="450"/>
      <c r="J47" s="547">
        <f>H47/DAY(B2)</f>
        <v>11221.531290322582</v>
      </c>
      <c r="K47" s="424"/>
      <c r="L47" s="374"/>
      <c r="N47" s="435">
        <f>H47-'1'!E47</f>
        <v>347867.47000000003</v>
      </c>
      <c r="O47" s="379"/>
    </row>
    <row r="48" spans="1:15" ht="29.25">
      <c r="A48" s="593" t="s">
        <v>242</v>
      </c>
      <c r="B48" s="1397"/>
      <c r="C48" s="1397"/>
      <c r="D48" s="467"/>
      <c r="E48" s="466"/>
      <c r="F48" s="466"/>
      <c r="G48" s="467"/>
      <c r="H48" s="467"/>
      <c r="I48" s="467"/>
      <c r="J48" s="546"/>
      <c r="K48" s="424"/>
      <c r="L48" s="374"/>
      <c r="N48" s="435">
        <f>H48-'1'!E48</f>
        <v>0</v>
      </c>
      <c r="O48" s="379"/>
    </row>
    <row r="49" spans="1:15" ht="29.25">
      <c r="A49" s="573" t="s">
        <v>229</v>
      </c>
      <c r="B49" s="596"/>
      <c r="C49" s="596"/>
      <c r="D49" s="518" t="s">
        <v>198</v>
      </c>
      <c r="E49" s="450">
        <f>'30'!F49</f>
        <v>260732.13</v>
      </c>
      <c r="F49" s="505">
        <v>260732</v>
      </c>
      <c r="G49" s="468">
        <f t="shared" ref="G49:G58" si="4">F49-E49</f>
        <v>-0.13000000000465661</v>
      </c>
      <c r="H49" s="455">
        <f>G49+'30'!H49</f>
        <v>0</v>
      </c>
      <c r="I49" s="450"/>
      <c r="J49" s="547">
        <f>H49/DAY(B2)</f>
        <v>0</v>
      </c>
      <c r="K49" s="424"/>
      <c r="L49" s="374"/>
      <c r="N49" s="435">
        <f>H49-'1'!E49</f>
        <v>-260732</v>
      </c>
      <c r="O49" s="379"/>
    </row>
    <row r="50" spans="1:15" ht="29.25">
      <c r="A50" s="573" t="s">
        <v>243</v>
      </c>
      <c r="B50" s="596"/>
      <c r="C50" s="596"/>
      <c r="D50" s="518" t="s">
        <v>198</v>
      </c>
      <c r="E50" s="450">
        <f>'30'!F50</f>
        <v>501652</v>
      </c>
      <c r="F50" s="505">
        <v>502536</v>
      </c>
      <c r="G50" s="468">
        <f t="shared" si="4"/>
        <v>884</v>
      </c>
      <c r="H50" s="455">
        <f>G50+'30'!H50</f>
        <v>-890</v>
      </c>
      <c r="I50" s="450"/>
      <c r="J50" s="547">
        <f>H50/DAY(B2)</f>
        <v>-28.70967741935484</v>
      </c>
      <c r="K50" s="424"/>
      <c r="L50" s="374"/>
      <c r="N50" s="435">
        <f>H50-'1'!E50</f>
        <v>-503426</v>
      </c>
      <c r="O50" s="379"/>
    </row>
    <row r="51" spans="1:15" ht="29.25">
      <c r="A51" s="573" t="s">
        <v>231</v>
      </c>
      <c r="B51" s="596"/>
      <c r="C51" s="596"/>
      <c r="D51" s="518" t="s">
        <v>198</v>
      </c>
      <c r="E51" s="450">
        <f>'30'!F51</f>
        <v>144640</v>
      </c>
      <c r="F51" s="505">
        <v>144640</v>
      </c>
      <c r="G51" s="468">
        <f t="shared" si="4"/>
        <v>0</v>
      </c>
      <c r="H51" s="455">
        <f>G51+'30'!H51</f>
        <v>0</v>
      </c>
      <c r="I51" s="450"/>
      <c r="J51" s="547">
        <f>H51/DAY(B2)</f>
        <v>0</v>
      </c>
      <c r="K51" s="424"/>
      <c r="L51" s="374"/>
      <c r="N51" s="435">
        <f>H51-'1'!E51</f>
        <v>-144640</v>
      </c>
      <c r="O51" s="379"/>
    </row>
    <row r="52" spans="1:15" ht="29.25">
      <c r="A52" s="573" t="s">
        <v>244</v>
      </c>
      <c r="B52" s="596"/>
      <c r="C52" s="596"/>
      <c r="D52" s="518" t="s">
        <v>198</v>
      </c>
      <c r="E52" s="450">
        <f>'30'!F52</f>
        <v>539606</v>
      </c>
      <c r="F52" s="505">
        <v>539606</v>
      </c>
      <c r="G52" s="468">
        <f t="shared" si="4"/>
        <v>0</v>
      </c>
      <c r="H52" s="455">
        <f>G52+'30'!H52</f>
        <v>-6.9999999948777258E-2</v>
      </c>
      <c r="I52" s="450"/>
      <c r="J52" s="547">
        <f>H52/DAY(B2)</f>
        <v>-2.2580645144766858E-3</v>
      </c>
      <c r="K52" s="424"/>
      <c r="L52" s="374"/>
      <c r="N52" s="435">
        <f>H52-'1'!E52</f>
        <v>-539606.06999999995</v>
      </c>
      <c r="O52" s="379"/>
    </row>
    <row r="53" spans="1:15" ht="29.25">
      <c r="A53" s="573" t="s">
        <v>233</v>
      </c>
      <c r="B53" s="596"/>
      <c r="C53" s="596"/>
      <c r="D53" s="518" t="s">
        <v>198</v>
      </c>
      <c r="E53" s="450">
        <f>'30'!F53</f>
        <v>432059</v>
      </c>
      <c r="F53" s="505">
        <v>432568</v>
      </c>
      <c r="G53" s="468">
        <f t="shared" si="4"/>
        <v>509</v>
      </c>
      <c r="H53" s="455">
        <f>G53+'30'!H53</f>
        <v>23.669999999983702</v>
      </c>
      <c r="I53" s="450"/>
      <c r="J53" s="547">
        <f>H53/DAY(B2)</f>
        <v>0.76354838709624839</v>
      </c>
      <c r="K53" s="424"/>
      <c r="L53" s="374"/>
      <c r="N53" s="435">
        <f>H53-'1'!E53</f>
        <v>-432544.33</v>
      </c>
      <c r="O53" s="379"/>
    </row>
    <row r="54" spans="1:15" ht="29.25">
      <c r="A54" s="573" t="s">
        <v>245</v>
      </c>
      <c r="B54" s="596"/>
      <c r="C54" s="596"/>
      <c r="D54" s="518" t="s">
        <v>198</v>
      </c>
      <c r="E54" s="450">
        <f>'30'!F54</f>
        <v>13678</v>
      </c>
      <c r="F54" s="505">
        <v>13750</v>
      </c>
      <c r="G54" s="468">
        <f t="shared" si="4"/>
        <v>72</v>
      </c>
      <c r="H54" s="455">
        <f>G54+'30'!H54</f>
        <v>-79</v>
      </c>
      <c r="I54" s="450"/>
      <c r="J54" s="547">
        <f>H54/DAY(B2)</f>
        <v>-2.5483870967741935</v>
      </c>
      <c r="K54" s="424"/>
      <c r="L54" s="374"/>
      <c r="N54" s="435">
        <f>H54-'1'!E54</f>
        <v>-13829</v>
      </c>
      <c r="O54" s="379"/>
    </row>
    <row r="55" spans="1:15" ht="29.25">
      <c r="A55" s="573" t="s">
        <v>246</v>
      </c>
      <c r="B55" s="596"/>
      <c r="C55" s="596"/>
      <c r="D55" s="518" t="s">
        <v>198</v>
      </c>
      <c r="E55" s="450">
        <f>'30'!F55</f>
        <v>68111</v>
      </c>
      <c r="F55" s="505">
        <v>68111</v>
      </c>
      <c r="G55" s="468">
        <f t="shared" si="4"/>
        <v>0</v>
      </c>
      <c r="H55" s="455">
        <f>G55+'30'!H55</f>
        <v>0</v>
      </c>
      <c r="I55" s="450"/>
      <c r="J55" s="547">
        <f>H55/DAY(B2)</f>
        <v>0</v>
      </c>
      <c r="K55" s="424"/>
      <c r="L55" s="374"/>
      <c r="N55" s="435">
        <f>H55-'1'!E55</f>
        <v>-68111</v>
      </c>
      <c r="O55" s="379"/>
    </row>
    <row r="56" spans="1:15" ht="29.25">
      <c r="A56" s="573" t="s">
        <v>247</v>
      </c>
      <c r="B56" s="596"/>
      <c r="C56" s="596"/>
      <c r="D56" s="518" t="s">
        <v>248</v>
      </c>
      <c r="E56" s="450">
        <f>'30'!F56</f>
        <v>611596</v>
      </c>
      <c r="F56" s="505">
        <v>617198</v>
      </c>
      <c r="G56" s="468">
        <f t="shared" si="4"/>
        <v>5602</v>
      </c>
      <c r="H56" s="455">
        <f>G56+'30'!H56</f>
        <v>0</v>
      </c>
      <c r="I56" s="450"/>
      <c r="J56" s="547">
        <f>H56/DAY(B2)</f>
        <v>0</v>
      </c>
      <c r="K56" s="423"/>
      <c r="L56" s="374"/>
      <c r="N56" s="435">
        <f>H56-'1'!E56</f>
        <v>-617198</v>
      </c>
      <c r="O56" s="379"/>
    </row>
    <row r="57" spans="1:15" ht="29.25">
      <c r="A57" s="573" t="s">
        <v>237</v>
      </c>
      <c r="B57" s="596"/>
      <c r="C57" s="596"/>
      <c r="D57" s="518" t="s">
        <v>198</v>
      </c>
      <c r="E57" s="450">
        <f>'30'!F57</f>
        <v>7711</v>
      </c>
      <c r="F57" s="505">
        <v>7711</v>
      </c>
      <c r="G57" s="468">
        <f t="shared" si="4"/>
        <v>0</v>
      </c>
      <c r="H57" s="455">
        <f>G57+'30'!H57</f>
        <v>0</v>
      </c>
      <c r="I57" s="450"/>
      <c r="J57" s="547">
        <f>H57/DAY(B2)</f>
        <v>0</v>
      </c>
      <c r="K57" s="424"/>
      <c r="L57" s="374"/>
      <c r="N57" s="435">
        <f>H57-'1'!E57</f>
        <v>-7711</v>
      </c>
      <c r="O57" s="379"/>
    </row>
    <row r="58" spans="1:15" ht="29.25">
      <c r="A58" s="573" t="s">
        <v>249</v>
      </c>
      <c r="B58" s="596"/>
      <c r="C58" s="596"/>
      <c r="D58" s="518" t="s">
        <v>198</v>
      </c>
      <c r="E58" s="450">
        <f>'30'!F58</f>
        <v>49355</v>
      </c>
      <c r="F58" s="505">
        <v>49625</v>
      </c>
      <c r="G58" s="468">
        <f t="shared" si="4"/>
        <v>270</v>
      </c>
      <c r="H58" s="455">
        <f>G58+'30'!H58</f>
        <v>-239.20999999999913</v>
      </c>
      <c r="I58" s="450"/>
      <c r="J58" s="547">
        <f>H58/DAY(B2)</f>
        <v>-7.7164516129031977</v>
      </c>
      <c r="K58" s="424"/>
      <c r="L58" s="374"/>
      <c r="N58" s="435">
        <f>H58-'1'!E58</f>
        <v>-49864.21</v>
      </c>
      <c r="O58" s="379"/>
    </row>
    <row r="59" spans="1:15" ht="29.25">
      <c r="A59" s="580" t="s">
        <v>241</v>
      </c>
      <c r="B59" s="581"/>
      <c r="C59" s="581"/>
      <c r="D59" s="506"/>
      <c r="E59" s="506"/>
      <c r="F59" s="506"/>
      <c r="G59" s="476">
        <f>G49+G50+G51+G52+G53+G54+G55+G56+G57+G58</f>
        <v>7336.8699999999953</v>
      </c>
      <c r="H59" s="455">
        <f>G59+'30'!H59</f>
        <v>-1184.5400000000063</v>
      </c>
      <c r="I59" s="450">
        <f>G7-G60</f>
        <v>183.13000000000466</v>
      </c>
      <c r="J59" s="547">
        <f>H59/DAY(B2)</f>
        <v>-38.21096774193569</v>
      </c>
      <c r="K59" s="424"/>
      <c r="L59" s="374"/>
      <c r="N59" s="435">
        <f>H59-'1'!E59</f>
        <v>-1184.5400000000063</v>
      </c>
      <c r="O59" s="379"/>
    </row>
    <row r="60" spans="1:15" ht="29.25">
      <c r="A60" s="573"/>
      <c r="B60" s="574"/>
      <c r="C60" s="574"/>
      <c r="D60" s="506" t="s">
        <v>250</v>
      </c>
      <c r="E60" s="506"/>
      <c r="F60" s="506"/>
      <c r="G60" s="476">
        <f>G47+G59</f>
        <v>16816.869999999995</v>
      </c>
      <c r="H60" s="455">
        <f>G60+'30'!H60</f>
        <v>347891.47000000003</v>
      </c>
      <c r="I60" s="450">
        <f>G13-G60</f>
        <v>133.13000000000466</v>
      </c>
      <c r="J60" s="547">
        <f>H60/DAY(B2)</f>
        <v>11222.305483870969</v>
      </c>
      <c r="K60" s="424"/>
      <c r="L60" s="374"/>
      <c r="N60" s="435">
        <f>H60-'1'!E60</f>
        <v>347891.47000000003</v>
      </c>
      <c r="O60" s="379"/>
    </row>
    <row r="61" spans="1:15" ht="29.25">
      <c r="A61" s="597" t="s">
        <v>251</v>
      </c>
      <c r="B61" s="448"/>
      <c r="C61" s="448"/>
      <c r="D61" s="508"/>
      <c r="E61" s="507"/>
      <c r="F61" s="507"/>
      <c r="G61" s="508"/>
      <c r="H61" s="508"/>
      <c r="I61" s="508"/>
      <c r="J61" s="550"/>
      <c r="K61" s="424"/>
      <c r="L61" s="374"/>
      <c r="N61" s="435">
        <f>H61-'1'!E61</f>
        <v>0</v>
      </c>
      <c r="O61" s="379"/>
    </row>
    <row r="62" spans="1:15" ht="29.25">
      <c r="A62" s="598" t="s">
        <v>252</v>
      </c>
      <c r="B62" s="599"/>
      <c r="C62" s="599"/>
      <c r="D62" s="506" t="s">
        <v>253</v>
      </c>
      <c r="E62" s="450">
        <f>'30'!F62</f>
        <v>20419</v>
      </c>
      <c r="F62" s="509">
        <v>20419</v>
      </c>
      <c r="G62" s="468">
        <f t="shared" ref="G62:G69" si="5">F62-E62</f>
        <v>0</v>
      </c>
      <c r="H62" s="455">
        <f>G62+'30'!H62</f>
        <v>1.9999999967694748E-3</v>
      </c>
      <c r="I62" s="510"/>
      <c r="J62" s="547">
        <f>H62/DAY(B2)</f>
        <v>6.4516128928047577E-5</v>
      </c>
      <c r="K62" s="424"/>
      <c r="L62" s="374"/>
      <c r="N62" s="435">
        <f>H62-'1'!E62</f>
        <v>-20418.998000000003</v>
      </c>
      <c r="O62" s="379"/>
    </row>
    <row r="63" spans="1:15" ht="29.25">
      <c r="A63" s="598" t="s">
        <v>254</v>
      </c>
      <c r="B63" s="599"/>
      <c r="C63" s="599"/>
      <c r="D63" s="506" t="s">
        <v>253</v>
      </c>
      <c r="E63" s="450">
        <v>0</v>
      </c>
      <c r="F63" s="509">
        <v>0</v>
      </c>
      <c r="G63" s="468">
        <f t="shared" si="5"/>
        <v>0</v>
      </c>
      <c r="H63" s="455">
        <f>G63+'30'!H63</f>
        <v>2472</v>
      </c>
      <c r="I63" s="510"/>
      <c r="J63" s="547">
        <f>H63/DAY(B2)</f>
        <v>79.741935483870961</v>
      </c>
      <c r="K63" s="424"/>
      <c r="L63" s="374"/>
      <c r="N63" s="435">
        <f>H63-'1'!E63</f>
        <v>2472</v>
      </c>
      <c r="O63" s="379"/>
    </row>
    <row r="64" spans="1:15" ht="27.75">
      <c r="A64" s="1450" t="s">
        <v>161</v>
      </c>
      <c r="B64" s="1451"/>
      <c r="C64" s="1452"/>
      <c r="D64" s="518" t="s">
        <v>253</v>
      </c>
      <c r="E64" s="450">
        <f>'30'!F64</f>
        <v>159745</v>
      </c>
      <c r="F64" s="479">
        <v>159932</v>
      </c>
      <c r="G64" s="468">
        <f t="shared" si="5"/>
        <v>187</v>
      </c>
      <c r="H64" s="455">
        <f>G64+'30'!H64</f>
        <v>0</v>
      </c>
      <c r="I64" s="475"/>
      <c r="J64" s="547">
        <f>H64/DAY(B2)</f>
        <v>0</v>
      </c>
      <c r="K64" s="424"/>
      <c r="L64" s="374"/>
      <c r="N64" s="435">
        <f>H64-'1'!E64</f>
        <v>-159932</v>
      </c>
      <c r="O64" s="379"/>
    </row>
    <row r="65" spans="1:15" ht="27.75">
      <c r="A65" s="1450" t="s">
        <v>162</v>
      </c>
      <c r="B65" s="1451"/>
      <c r="C65" s="1452"/>
      <c r="D65" s="518" t="s">
        <v>253</v>
      </c>
      <c r="E65" s="450">
        <f>'30'!F65</f>
        <v>160777</v>
      </c>
      <c r="F65" s="479">
        <v>160998</v>
      </c>
      <c r="G65" s="468">
        <f t="shared" si="5"/>
        <v>221</v>
      </c>
      <c r="H65" s="455">
        <f>G65+'30'!H65</f>
        <v>0</v>
      </c>
      <c r="I65" s="484"/>
      <c r="J65" s="547">
        <f>H65/DAY(B2)</f>
        <v>0</v>
      </c>
      <c r="K65" s="424"/>
      <c r="L65" s="374"/>
      <c r="N65" s="435">
        <f>H65-'1'!E65</f>
        <v>-160998</v>
      </c>
      <c r="O65" s="379"/>
    </row>
    <row r="66" spans="1:15" ht="27.75">
      <c r="A66" s="1450" t="s">
        <v>255</v>
      </c>
      <c r="B66" s="1451"/>
      <c r="C66" s="1452"/>
      <c r="D66" s="518" t="s">
        <v>253</v>
      </c>
      <c r="E66" s="450">
        <f>'30'!F66</f>
        <v>56522</v>
      </c>
      <c r="F66" s="479">
        <v>56805</v>
      </c>
      <c r="G66" s="468">
        <f t="shared" si="5"/>
        <v>283</v>
      </c>
      <c r="H66" s="455">
        <f>G66+'30'!H66</f>
        <v>0</v>
      </c>
      <c r="I66" s="475"/>
      <c r="J66" s="547">
        <f>H66/DAY(B2)</f>
        <v>0</v>
      </c>
      <c r="K66" s="424"/>
      <c r="L66" s="374"/>
      <c r="N66" s="435">
        <f>H66-'1'!E66</f>
        <v>-56805</v>
      </c>
      <c r="O66" s="379"/>
    </row>
    <row r="67" spans="1:15" ht="27.75">
      <c r="A67" s="1450" t="s">
        <v>157</v>
      </c>
      <c r="B67" s="1451"/>
      <c r="C67" s="1452"/>
      <c r="D67" s="518" t="s">
        <v>253</v>
      </c>
      <c r="E67" s="450">
        <f>'30'!F67</f>
        <v>251770</v>
      </c>
      <c r="F67" s="479">
        <v>252192</v>
      </c>
      <c r="G67" s="468">
        <f t="shared" si="5"/>
        <v>422</v>
      </c>
      <c r="H67" s="455">
        <f>G67+'30'!H67</f>
        <v>0</v>
      </c>
      <c r="I67" s="484"/>
      <c r="J67" s="547">
        <f>H67/DAY(B2)</f>
        <v>0</v>
      </c>
      <c r="K67" s="425"/>
      <c r="L67" s="374"/>
      <c r="N67" s="435">
        <f>H67-'1'!E67</f>
        <v>-252192</v>
      </c>
      <c r="O67" s="379"/>
    </row>
    <row r="68" spans="1:15" ht="27.75">
      <c r="A68" s="1450" t="s">
        <v>164</v>
      </c>
      <c r="B68" s="1451"/>
      <c r="C68" s="1452"/>
      <c r="D68" s="518" t="s">
        <v>253</v>
      </c>
      <c r="E68" s="450">
        <f>'30'!F68</f>
        <v>85321</v>
      </c>
      <c r="F68" s="479">
        <v>85321</v>
      </c>
      <c r="G68" s="468">
        <f t="shared" si="5"/>
        <v>0</v>
      </c>
      <c r="H68" s="455">
        <f>G68+'30'!H68</f>
        <v>0</v>
      </c>
      <c r="I68" s="511"/>
      <c r="J68" s="547">
        <f>H68/DAY(B2)</f>
        <v>0</v>
      </c>
      <c r="K68" s="426"/>
      <c r="L68" s="374"/>
      <c r="N68" s="435">
        <f>H68-'1'!E68</f>
        <v>-85321</v>
      </c>
      <c r="O68" s="379"/>
    </row>
    <row r="69" spans="1:15" ht="27.75">
      <c r="A69" s="1450" t="s">
        <v>165</v>
      </c>
      <c r="B69" s="1451"/>
      <c r="C69" s="1452"/>
      <c r="D69" s="518" t="s">
        <v>253</v>
      </c>
      <c r="E69" s="450">
        <f>'30'!F69</f>
        <v>81645</v>
      </c>
      <c r="F69" s="479">
        <v>81749</v>
      </c>
      <c r="G69" s="468">
        <f t="shared" si="5"/>
        <v>104</v>
      </c>
      <c r="H69" s="455">
        <f>G69+'30'!H69</f>
        <v>0</v>
      </c>
      <c r="I69" s="511"/>
      <c r="J69" s="547">
        <f>H69/DAY(B2)</f>
        <v>0</v>
      </c>
      <c r="K69" s="427"/>
      <c r="L69" s="374"/>
      <c r="N69" s="435">
        <f>H69-'1'!E69</f>
        <v>-81749</v>
      </c>
      <c r="O69" s="379"/>
    </row>
    <row r="70" spans="1:15" ht="27.75">
      <c r="A70" s="1482" t="s">
        <v>256</v>
      </c>
      <c r="B70" s="1483"/>
      <c r="C70" s="1484"/>
      <c r="D70" s="518" t="s">
        <v>253</v>
      </c>
      <c r="E70" s="513"/>
      <c r="F70" s="513"/>
      <c r="G70" s="513"/>
      <c r="H70" s="455">
        <f>G70+'30'!H70</f>
        <v>0</v>
      </c>
      <c r="I70" s="513"/>
      <c r="J70" s="551"/>
      <c r="K70" s="427"/>
      <c r="L70" s="374"/>
      <c r="N70" s="435">
        <f>H70-'1'!E70</f>
        <v>0</v>
      </c>
      <c r="O70" s="379"/>
    </row>
    <row r="71" spans="1:15" ht="31.5">
      <c r="A71" s="1496" t="s">
        <v>257</v>
      </c>
      <c r="B71" s="1497"/>
      <c r="C71" s="1497"/>
      <c r="D71" s="1497"/>
      <c r="E71" s="1497"/>
      <c r="F71" s="1497"/>
      <c r="G71" s="1497"/>
      <c r="H71" s="1497"/>
      <c r="I71" s="1497"/>
      <c r="J71" s="1498"/>
      <c r="K71" s="426"/>
      <c r="L71" s="374"/>
      <c r="N71" s="435">
        <f>H71-'1'!E71</f>
        <v>0</v>
      </c>
      <c r="O71" s="379"/>
    </row>
    <row r="72" spans="1:15" ht="27.75">
      <c r="A72" s="1450" t="s">
        <v>258</v>
      </c>
      <c r="B72" s="1451"/>
      <c r="C72" s="1452"/>
      <c r="D72" s="518" t="s">
        <v>253</v>
      </c>
      <c r="E72" s="450">
        <f>'30'!F72</f>
        <v>855831</v>
      </c>
      <c r="F72" s="514">
        <v>855843</v>
      </c>
      <c r="G72" s="468">
        <f t="shared" ref="G72:G84" si="6">F72-E72</f>
        <v>12</v>
      </c>
      <c r="H72" s="455">
        <f>G72+'30'!H72</f>
        <v>-43</v>
      </c>
      <c r="I72" s="475"/>
      <c r="J72" s="547">
        <f>H72/DAY(B2)</f>
        <v>-1.3870967741935485</v>
      </c>
      <c r="K72" s="427"/>
      <c r="L72" s="374"/>
      <c r="N72" s="435">
        <f>H72-'1'!E72</f>
        <v>-855886</v>
      </c>
      <c r="O72" s="379"/>
    </row>
    <row r="73" spans="1:15" ht="27.75">
      <c r="A73" s="1450" t="s">
        <v>259</v>
      </c>
      <c r="B73" s="1451"/>
      <c r="C73" s="1452"/>
      <c r="D73" s="518" t="s">
        <v>253</v>
      </c>
      <c r="E73" s="450">
        <f>'30'!F73</f>
        <v>885936</v>
      </c>
      <c r="F73" s="515">
        <v>885937</v>
      </c>
      <c r="G73" s="468">
        <f t="shared" si="6"/>
        <v>1</v>
      </c>
      <c r="H73" s="455">
        <f>G73+'30'!H73</f>
        <v>186</v>
      </c>
      <c r="I73" s="475"/>
      <c r="J73" s="547">
        <f>H73/DAY(B2)</f>
        <v>6</v>
      </c>
      <c r="K73" s="426"/>
      <c r="L73" s="374"/>
      <c r="N73" s="435">
        <f>H73-'1'!E73</f>
        <v>-885751</v>
      </c>
      <c r="O73" s="379"/>
    </row>
    <row r="74" spans="1:15" ht="27.75">
      <c r="A74" s="1450" t="s">
        <v>260</v>
      </c>
      <c r="B74" s="1451"/>
      <c r="C74" s="1452"/>
      <c r="D74" s="518" t="s">
        <v>253</v>
      </c>
      <c r="E74" s="450">
        <f>'30'!F74</f>
        <v>2579</v>
      </c>
      <c r="F74" s="516">
        <v>2586</v>
      </c>
      <c r="G74" s="468">
        <f t="shared" si="6"/>
        <v>7</v>
      </c>
      <c r="H74" s="455">
        <f>G74+'30'!H74</f>
        <v>0</v>
      </c>
      <c r="I74" s="475"/>
      <c r="J74" s="547">
        <f>H74/DAY(B2)</f>
        <v>0</v>
      </c>
      <c r="K74" s="427"/>
      <c r="L74" s="374"/>
      <c r="N74" s="435">
        <f>H74-'1'!E74</f>
        <v>-2586</v>
      </c>
      <c r="O74" s="379"/>
    </row>
    <row r="75" spans="1:15" ht="27.75">
      <c r="A75" s="1499" t="s">
        <v>261</v>
      </c>
      <c r="B75" s="1500"/>
      <c r="C75" s="1501"/>
      <c r="D75" s="518" t="s">
        <v>253</v>
      </c>
      <c r="E75" s="450">
        <f>'30'!F75</f>
        <v>12615</v>
      </c>
      <c r="F75" s="516">
        <v>12669</v>
      </c>
      <c r="G75" s="468">
        <f t="shared" si="6"/>
        <v>54</v>
      </c>
      <c r="H75" s="455">
        <f>G75+'30'!H75</f>
        <v>0</v>
      </c>
      <c r="I75" s="475"/>
      <c r="J75" s="547">
        <f>H75/DAY(B2)</f>
        <v>0</v>
      </c>
      <c r="K75" s="426"/>
      <c r="L75" s="374"/>
      <c r="N75" s="435">
        <f>H75-'1'!E75</f>
        <v>-12669</v>
      </c>
      <c r="O75" s="379"/>
    </row>
    <row r="76" spans="1:15" ht="27.75">
      <c r="A76" s="1499" t="s">
        <v>262</v>
      </c>
      <c r="B76" s="1500"/>
      <c r="C76" s="1501"/>
      <c r="D76" s="518" t="s">
        <v>253</v>
      </c>
      <c r="E76" s="450">
        <f>'30'!F76</f>
        <v>7363</v>
      </c>
      <c r="F76" s="515">
        <v>7419</v>
      </c>
      <c r="G76" s="468">
        <f t="shared" si="6"/>
        <v>56</v>
      </c>
      <c r="H76" s="455">
        <f>G76+'30'!H76</f>
        <v>213</v>
      </c>
      <c r="I76" s="500"/>
      <c r="J76" s="547">
        <f>H76/DAY(B2)</f>
        <v>6.870967741935484</v>
      </c>
      <c r="K76" s="426"/>
      <c r="L76" s="374"/>
      <c r="N76" s="435">
        <f>H76-'1'!E76</f>
        <v>-7206</v>
      </c>
      <c r="O76" s="379"/>
    </row>
    <row r="77" spans="1:15" ht="27.75">
      <c r="A77" s="1450" t="s">
        <v>263</v>
      </c>
      <c r="B77" s="1451"/>
      <c r="C77" s="1452"/>
      <c r="D77" s="518" t="s">
        <v>253</v>
      </c>
      <c r="E77" s="450">
        <f>'30'!F77</f>
        <v>702791</v>
      </c>
      <c r="F77" s="516">
        <v>702839</v>
      </c>
      <c r="G77" s="468">
        <f t="shared" si="6"/>
        <v>48</v>
      </c>
      <c r="H77" s="455">
        <f>G77+'30'!H77</f>
        <v>0</v>
      </c>
      <c r="I77" s="500"/>
      <c r="J77" s="547">
        <f>H77/DAY(B2)</f>
        <v>0</v>
      </c>
      <c r="K77" s="426"/>
      <c r="L77" s="374"/>
      <c r="N77" s="435">
        <f>H77-'1'!E77</f>
        <v>-702839</v>
      </c>
      <c r="O77" s="379"/>
    </row>
    <row r="78" spans="1:15" ht="27.75">
      <c r="A78" s="1395" t="s">
        <v>264</v>
      </c>
      <c r="B78" s="1387"/>
      <c r="C78" s="1387"/>
      <c r="D78" s="518" t="s">
        <v>253</v>
      </c>
      <c r="E78" s="450">
        <f>'30'!F78</f>
        <v>672954</v>
      </c>
      <c r="F78" s="516">
        <v>673032</v>
      </c>
      <c r="G78" s="468">
        <f t="shared" si="6"/>
        <v>78</v>
      </c>
      <c r="H78" s="455">
        <f>G78+'30'!H78</f>
        <v>0</v>
      </c>
      <c r="I78" s="500"/>
      <c r="J78" s="547">
        <f>H78/DAY(B2)</f>
        <v>0</v>
      </c>
      <c r="K78" s="426"/>
      <c r="L78" s="374"/>
      <c r="N78" s="435">
        <f>H78-'1'!E78</f>
        <v>-673032</v>
      </c>
      <c r="O78" s="379"/>
    </row>
    <row r="79" spans="1:15" ht="27.75">
      <c r="A79" s="1499" t="s">
        <v>151</v>
      </c>
      <c r="B79" s="1500"/>
      <c r="C79" s="1501"/>
      <c r="D79" s="519" t="s">
        <v>253</v>
      </c>
      <c r="E79" s="450">
        <f>'30'!F79</f>
        <v>830852</v>
      </c>
      <c r="F79" s="516">
        <v>831010</v>
      </c>
      <c r="G79" s="468">
        <f t="shared" si="6"/>
        <v>158</v>
      </c>
      <c r="H79" s="455">
        <f>G79+'30'!H79</f>
        <v>-1012</v>
      </c>
      <c r="I79" s="500"/>
      <c r="J79" s="547">
        <f>H79/DAY(B2)</f>
        <v>-32.645161290322584</v>
      </c>
      <c r="K79" s="426"/>
      <c r="L79" s="374"/>
      <c r="N79" s="435">
        <f>H79-'1'!E79</f>
        <v>-832022</v>
      </c>
      <c r="O79" s="379"/>
    </row>
    <row r="80" spans="1:15" ht="27.75">
      <c r="A80" s="1499" t="s">
        <v>265</v>
      </c>
      <c r="B80" s="1500"/>
      <c r="C80" s="1501"/>
      <c r="D80" s="519" t="s">
        <v>253</v>
      </c>
      <c r="E80" s="450">
        <f>'30'!F80</f>
        <v>527299</v>
      </c>
      <c r="F80" s="515">
        <v>527658</v>
      </c>
      <c r="G80" s="468">
        <f t="shared" si="6"/>
        <v>359</v>
      </c>
      <c r="H80" s="455">
        <f>G80+'30'!H80</f>
        <v>-2887.5200000000186</v>
      </c>
      <c r="I80" s="500"/>
      <c r="J80" s="547">
        <f>H80/DAY(B2)</f>
        <v>-93.14580645161351</v>
      </c>
      <c r="K80" s="426"/>
      <c r="L80" s="374"/>
      <c r="N80" s="435">
        <f>H80-'1'!E80</f>
        <v>-530545.52</v>
      </c>
      <c r="O80" s="379"/>
    </row>
    <row r="81" spans="1:15" ht="27.75">
      <c r="A81" s="1499" t="s">
        <v>266</v>
      </c>
      <c r="B81" s="1500"/>
      <c r="C81" s="1501"/>
      <c r="D81" s="519" t="s">
        <v>253</v>
      </c>
      <c r="E81" s="450">
        <f>'30'!F81</f>
        <v>638809</v>
      </c>
      <c r="F81" s="515">
        <v>638898</v>
      </c>
      <c r="G81" s="468">
        <f t="shared" si="6"/>
        <v>89</v>
      </c>
      <c r="H81" s="455">
        <f>G81+'30'!H81</f>
        <v>0</v>
      </c>
      <c r="I81" s="500"/>
      <c r="J81" s="547">
        <f>H81/DAY(B2)</f>
        <v>0</v>
      </c>
      <c r="K81" s="426"/>
      <c r="L81" s="374"/>
      <c r="N81" s="435">
        <f>H81-'1'!E81</f>
        <v>-638898</v>
      </c>
      <c r="O81" s="379"/>
    </row>
    <row r="82" spans="1:15" ht="27.75">
      <c r="A82" s="1499" t="s">
        <v>267</v>
      </c>
      <c r="B82" s="1500"/>
      <c r="C82" s="1501"/>
      <c r="D82" s="480" t="s">
        <v>198</v>
      </c>
      <c r="E82" s="450">
        <f>'30'!F82</f>
        <v>108146</v>
      </c>
      <c r="F82" s="517">
        <v>108158</v>
      </c>
      <c r="G82" s="468">
        <f t="shared" si="6"/>
        <v>12</v>
      </c>
      <c r="H82" s="455">
        <f>G82+'30'!H82</f>
        <v>0</v>
      </c>
      <c r="I82" s="481"/>
      <c r="J82" s="547">
        <f>H82/DAY(B2)</f>
        <v>0</v>
      </c>
      <c r="K82" s="426"/>
      <c r="L82" s="374"/>
      <c r="N82" s="435">
        <f>H82-'1'!E82</f>
        <v>-108158</v>
      </c>
      <c r="O82" s="379"/>
    </row>
    <row r="83" spans="1:15" ht="27.75">
      <c r="A83" s="1499" t="s">
        <v>268</v>
      </c>
      <c r="B83" s="1500"/>
      <c r="C83" s="1501"/>
      <c r="D83" s="615" t="s">
        <v>198</v>
      </c>
      <c r="E83" s="450">
        <f>'30'!F83</f>
        <v>20313</v>
      </c>
      <c r="F83" s="506">
        <v>20506</v>
      </c>
      <c r="G83" s="468">
        <f t="shared" si="6"/>
        <v>193</v>
      </c>
      <c r="H83" s="455">
        <f>G83+'30'!H83</f>
        <v>0</v>
      </c>
      <c r="I83" s="476"/>
      <c r="J83" s="547">
        <f>H83/DAY(B2)</f>
        <v>0</v>
      </c>
      <c r="K83" s="425"/>
      <c r="L83" s="374"/>
      <c r="N83" s="435">
        <f>H83-'1'!E83</f>
        <v>-20506</v>
      </c>
      <c r="O83" s="379"/>
    </row>
    <row r="84" spans="1:15" ht="29.25">
      <c r="A84" s="1396" t="s">
        <v>166</v>
      </c>
      <c r="B84" s="566"/>
      <c r="C84" s="566"/>
      <c r="D84" s="473" t="s">
        <v>198</v>
      </c>
      <c r="E84" s="450">
        <f>'30'!F84</f>
        <v>499489</v>
      </c>
      <c r="F84" s="622">
        <v>500294</v>
      </c>
      <c r="G84" s="468">
        <f t="shared" si="6"/>
        <v>805</v>
      </c>
      <c r="H84" s="455">
        <f>G84+'30'!H84</f>
        <v>0</v>
      </c>
      <c r="I84" s="476"/>
      <c r="J84" s="547">
        <f>H84/DAY(B2)</f>
        <v>0</v>
      </c>
      <c r="K84" s="377"/>
      <c r="L84" s="374"/>
      <c r="N84" s="435">
        <f>H84-'1'!E84</f>
        <v>-500294</v>
      </c>
      <c r="O84" s="379"/>
    </row>
    <row r="85" spans="1:15" s="376" customFormat="1" ht="29.25">
      <c r="A85" s="600" t="s">
        <v>102</v>
      </c>
      <c r="B85" s="567"/>
      <c r="C85" s="567"/>
      <c r="D85" s="484"/>
      <c r="E85" s="518"/>
      <c r="F85" s="518"/>
      <c r="G85" s="455">
        <f xml:space="preserve"> SUM(G72:G84)</f>
        <v>1872</v>
      </c>
      <c r="H85" s="455">
        <f>G85+'30'!H85</f>
        <v>1.8189894035458565E-12</v>
      </c>
      <c r="I85" s="476"/>
      <c r="J85" s="547">
        <f>H85/DAY(B2)</f>
        <v>5.8677077533737304E-14</v>
      </c>
      <c r="K85" s="377"/>
      <c r="L85" s="375"/>
      <c r="N85" s="435">
        <f>H85-'1'!E85</f>
        <v>1.8189894035458565E-12</v>
      </c>
      <c r="O85" s="379"/>
    </row>
    <row r="86" spans="1:15" s="731" customFormat="1" ht="29.25">
      <c r="A86" s="726" t="s">
        <v>269</v>
      </c>
      <c r="B86" s="727"/>
      <c r="C86" s="727"/>
      <c r="D86" s="728" t="s">
        <v>248</v>
      </c>
      <c r="E86" s="450">
        <f>'30'!F86</f>
        <v>460907</v>
      </c>
      <c r="F86" s="643">
        <v>460935</v>
      </c>
      <c r="G86" s="701">
        <f t="shared" ref="G86" si="7">F86-E86</f>
        <v>28</v>
      </c>
      <c r="H86" s="455">
        <f>G86+'30'!H86</f>
        <v>99</v>
      </c>
      <c r="I86" s="648"/>
      <c r="J86" s="703">
        <f>H86/DAY(B2)</f>
        <v>3.193548387096774</v>
      </c>
      <c r="K86" s="729"/>
      <c r="L86" s="730"/>
      <c r="N86" s="435">
        <f>H86-'1'!E86</f>
        <v>-460836</v>
      </c>
      <c r="O86" s="709"/>
    </row>
    <row r="87" spans="1:15" s="731" customFormat="1" ht="29.25">
      <c r="A87" s="726" t="s">
        <v>270</v>
      </c>
      <c r="B87" s="727"/>
      <c r="C87" s="727"/>
      <c r="D87" s="728" t="s">
        <v>248</v>
      </c>
      <c r="E87" s="450">
        <f>'30'!F87</f>
        <v>81352</v>
      </c>
      <c r="F87" s="643">
        <v>81375</v>
      </c>
      <c r="G87" s="701">
        <f t="shared" ref="G87:G91" si="8">F87-E87</f>
        <v>23</v>
      </c>
      <c r="H87" s="455">
        <f>G87+'30'!H87</f>
        <v>50</v>
      </c>
      <c r="I87" s="648"/>
      <c r="J87" s="703">
        <f>H87/DAY(B2)</f>
        <v>1.6129032258064515</v>
      </c>
      <c r="K87" s="729"/>
      <c r="L87" s="730"/>
      <c r="N87" s="435">
        <f>H87-'1'!E87</f>
        <v>-81325</v>
      </c>
      <c r="O87" s="709"/>
    </row>
    <row r="88" spans="1:15" s="731" customFormat="1" ht="29.25">
      <c r="A88" s="726" t="s">
        <v>158</v>
      </c>
      <c r="B88" s="727"/>
      <c r="C88" s="727"/>
      <c r="D88" s="728" t="s">
        <v>248</v>
      </c>
      <c r="E88" s="450">
        <f>'30'!F88</f>
        <v>152970</v>
      </c>
      <c r="F88" s="643">
        <v>153064</v>
      </c>
      <c r="G88" s="701">
        <f t="shared" si="8"/>
        <v>94</v>
      </c>
      <c r="H88" s="455">
        <f>G88+'30'!H88</f>
        <v>141</v>
      </c>
      <c r="I88" s="648"/>
      <c r="J88" s="703">
        <f>H88/DAY(B2)</f>
        <v>4.5483870967741939</v>
      </c>
      <c r="K88" s="729"/>
      <c r="L88" s="730"/>
      <c r="N88" s="435">
        <f>H88-'1'!E88</f>
        <v>-152923</v>
      </c>
      <c r="O88" s="709"/>
    </row>
    <row r="89" spans="1:15" s="731" customFormat="1" ht="29.25">
      <c r="A89" s="726" t="s">
        <v>272</v>
      </c>
      <c r="B89" s="727"/>
      <c r="C89" s="727"/>
      <c r="D89" s="728" t="s">
        <v>248</v>
      </c>
      <c r="E89" s="450">
        <f>'30'!F89</f>
        <v>65164</v>
      </c>
      <c r="F89" s="643">
        <v>65174.6</v>
      </c>
      <c r="G89" s="701">
        <f t="shared" si="8"/>
        <v>10.599999999998545</v>
      </c>
      <c r="H89" s="455">
        <f>G89+'30'!H89</f>
        <v>32.599999999998545</v>
      </c>
      <c r="I89" s="648"/>
      <c r="J89" s="703">
        <f>H89/DAY(B2)</f>
        <v>1.0516129032257595</v>
      </c>
      <c r="K89" s="729"/>
      <c r="L89" s="730"/>
      <c r="N89" s="435">
        <f>H89-'1'!E89</f>
        <v>-65142</v>
      </c>
      <c r="O89" s="379"/>
    </row>
    <row r="90" spans="1:15" s="731" customFormat="1" ht="29.25">
      <c r="A90" s="726" t="s">
        <v>272</v>
      </c>
      <c r="B90" s="727"/>
      <c r="C90" s="727"/>
      <c r="D90" s="728" t="s">
        <v>248</v>
      </c>
      <c r="E90" s="450">
        <f>'30'!F90</f>
        <v>3274</v>
      </c>
      <c r="F90" s="643">
        <v>3273.6</v>
      </c>
      <c r="G90" s="701">
        <f t="shared" si="8"/>
        <v>-0.40000000000009095</v>
      </c>
      <c r="H90" s="455">
        <f>G90+'30'!H90</f>
        <v>-0.40000000000009095</v>
      </c>
      <c r="I90" s="648"/>
      <c r="J90" s="703">
        <f>H90/DAY(B2)</f>
        <v>-1.2903225806454546E-2</v>
      </c>
      <c r="K90" s="729"/>
      <c r="L90" s="730"/>
      <c r="N90" s="435">
        <f>H90-'1'!E90</f>
        <v>-3274</v>
      </c>
      <c r="O90" s="379"/>
    </row>
    <row r="91" spans="1:15" s="731" customFormat="1" ht="29.25">
      <c r="A91" s="726" t="s">
        <v>273</v>
      </c>
      <c r="B91" s="727"/>
      <c r="C91" s="727"/>
      <c r="D91" s="728"/>
      <c r="E91" s="450">
        <f>'30'!F91</f>
        <v>28016</v>
      </c>
      <c r="F91" s="643">
        <v>28022</v>
      </c>
      <c r="G91" s="701">
        <f t="shared" si="8"/>
        <v>6</v>
      </c>
      <c r="H91" s="455">
        <f>G91+'30'!H91</f>
        <v>6</v>
      </c>
      <c r="I91" s="648"/>
      <c r="J91" s="703">
        <f>H91/DAY(B2)</f>
        <v>0.19354838709677419</v>
      </c>
      <c r="K91" s="729"/>
      <c r="L91" s="730"/>
      <c r="N91" s="773"/>
      <c r="O91" s="379"/>
    </row>
    <row r="92" spans="1:15" s="376" customFormat="1" ht="29.25">
      <c r="A92" s="601" t="s">
        <v>274</v>
      </c>
      <c r="B92" s="1398"/>
      <c r="C92" s="1398"/>
      <c r="D92" s="467"/>
      <c r="E92" s="467"/>
      <c r="F92" s="467"/>
      <c r="G92" s="483"/>
      <c r="H92" s="467"/>
      <c r="I92" s="467"/>
      <c r="J92" s="546"/>
      <c r="K92" s="377"/>
      <c r="L92" s="375"/>
      <c r="N92" s="435">
        <f>H92-'1'!E92</f>
        <v>0</v>
      </c>
      <c r="O92" s="379"/>
    </row>
    <row r="93" spans="1:15" ht="27.75">
      <c r="A93" s="1453" t="s">
        <v>275</v>
      </c>
      <c r="B93" s="1454"/>
      <c r="C93" s="1455"/>
      <c r="D93" s="518" t="s">
        <v>209</v>
      </c>
      <c r="E93" s="450">
        <f>'30'!F93</f>
        <v>245378</v>
      </c>
      <c r="F93" s="479">
        <v>245488</v>
      </c>
      <c r="G93" s="468">
        <f t="shared" ref="G93:G94" si="9">F93-E93</f>
        <v>110</v>
      </c>
      <c r="H93" s="455">
        <f>G93+'30'!H93</f>
        <v>100</v>
      </c>
      <c r="I93" s="475"/>
      <c r="J93" s="547">
        <f>H93/DAY(B2)</f>
        <v>3.225806451612903</v>
      </c>
      <c r="K93" s="425"/>
      <c r="L93" s="374"/>
      <c r="N93" s="435">
        <f>H93-'1'!E93</f>
        <v>-245388</v>
      </c>
      <c r="O93" s="379"/>
    </row>
    <row r="94" spans="1:15" ht="27.75">
      <c r="A94" s="1453" t="s">
        <v>15</v>
      </c>
      <c r="B94" s="1454"/>
      <c r="C94" s="1455"/>
      <c r="D94" s="518" t="s">
        <v>209</v>
      </c>
      <c r="E94" s="450">
        <f>'30'!F94</f>
        <v>186042</v>
      </c>
      <c r="F94" s="479">
        <v>186121</v>
      </c>
      <c r="G94" s="468">
        <f t="shared" si="9"/>
        <v>79</v>
      </c>
      <c r="H94" s="455">
        <f>G94+'30'!H94</f>
        <v>0</v>
      </c>
      <c r="I94" s="475"/>
      <c r="J94" s="547">
        <f>H94/DAY(B2)</f>
        <v>0</v>
      </c>
      <c r="K94" s="377"/>
      <c r="L94" s="374"/>
      <c r="N94" s="435">
        <f>H94-'1'!E94</f>
        <v>-186121</v>
      </c>
      <c r="O94" s="379"/>
    </row>
    <row r="95" spans="1:15" ht="29.25">
      <c r="A95" s="1447" t="s">
        <v>276</v>
      </c>
      <c r="B95" s="1448"/>
      <c r="C95" s="1449"/>
      <c r="D95" s="518"/>
      <c r="E95" s="479"/>
      <c r="F95" s="479"/>
      <c r="G95" s="468">
        <f>G93+G94</f>
        <v>189</v>
      </c>
      <c r="H95" s="455">
        <f>G95+'30'!H95</f>
        <v>24</v>
      </c>
      <c r="I95" s="475"/>
      <c r="J95" s="547">
        <f>H95/DAY(B2)</f>
        <v>0.77419354838709675</v>
      </c>
      <c r="K95" s="377"/>
      <c r="L95" s="374"/>
      <c r="N95" s="435">
        <f>H95-'1'!E95</f>
        <v>24</v>
      </c>
      <c r="O95" s="379"/>
    </row>
    <row r="96" spans="1:15" ht="27.75">
      <c r="A96" s="1453" t="s">
        <v>16</v>
      </c>
      <c r="B96" s="1454"/>
      <c r="C96" s="1455"/>
      <c r="D96" s="518" t="s">
        <v>209</v>
      </c>
      <c r="E96" s="450">
        <f>'30'!F96</f>
        <v>414229</v>
      </c>
      <c r="F96" s="479">
        <v>414283</v>
      </c>
      <c r="G96" s="468">
        <f t="shared" ref="G96:G101" si="10">F96-E96</f>
        <v>54</v>
      </c>
      <c r="H96" s="455">
        <f>G96+'30'!H96</f>
        <v>0</v>
      </c>
      <c r="I96" s="475"/>
      <c r="J96" s="547">
        <f>H96/DAY(B2)</f>
        <v>0</v>
      </c>
      <c r="K96" s="377"/>
      <c r="L96" s="374"/>
      <c r="N96" s="435">
        <f>H96-'1'!E96</f>
        <v>-414283</v>
      </c>
      <c r="O96" s="379"/>
    </row>
    <row r="97" spans="1:15" ht="27.75">
      <c r="A97" s="1392" t="s">
        <v>17</v>
      </c>
      <c r="B97" s="1393"/>
      <c r="C97" s="1393"/>
      <c r="D97" s="518" t="s">
        <v>209</v>
      </c>
      <c r="E97" s="450">
        <f>'30'!F97</f>
        <v>102636</v>
      </c>
      <c r="F97" s="479">
        <v>102648</v>
      </c>
      <c r="G97" s="468">
        <f t="shared" si="10"/>
        <v>12</v>
      </c>
      <c r="H97" s="455">
        <f>G97+'30'!H97</f>
        <v>0</v>
      </c>
      <c r="I97" s="475"/>
      <c r="J97" s="547">
        <f>H97/DAY(B2)</f>
        <v>0</v>
      </c>
      <c r="K97" s="423"/>
      <c r="L97" s="374"/>
      <c r="N97" s="435">
        <f>H97-'1'!E97</f>
        <v>-102648</v>
      </c>
      <c r="O97" s="379"/>
    </row>
    <row r="98" spans="1:15" ht="27.75">
      <c r="A98" s="1392" t="s">
        <v>18</v>
      </c>
      <c r="B98" s="1393"/>
      <c r="C98" s="1393"/>
      <c r="D98" s="518" t="s">
        <v>209</v>
      </c>
      <c r="E98" s="450">
        <f>'30'!F98</f>
        <v>97931</v>
      </c>
      <c r="F98" s="479">
        <v>97950</v>
      </c>
      <c r="G98" s="468">
        <f t="shared" si="10"/>
        <v>19</v>
      </c>
      <c r="H98" s="455">
        <f>G98+'30'!H98</f>
        <v>0</v>
      </c>
      <c r="I98" s="475"/>
      <c r="J98" s="547">
        <f>H98/DAY(B2)</f>
        <v>0</v>
      </c>
      <c r="K98" s="428"/>
      <c r="L98" s="374"/>
      <c r="N98" s="435">
        <f>H98-'1'!E98</f>
        <v>-97950</v>
      </c>
      <c r="O98" s="379"/>
    </row>
    <row r="99" spans="1:15" ht="27.75">
      <c r="A99" s="1392" t="s">
        <v>19</v>
      </c>
      <c r="B99" s="1393"/>
      <c r="C99" s="1393"/>
      <c r="D99" s="518" t="s">
        <v>209</v>
      </c>
      <c r="E99" s="450">
        <f>'30'!F99</f>
        <v>149848</v>
      </c>
      <c r="F99" s="479">
        <v>149852</v>
      </c>
      <c r="G99" s="468">
        <f t="shared" si="10"/>
        <v>4</v>
      </c>
      <c r="H99" s="455">
        <f>G99+'30'!H99</f>
        <v>0</v>
      </c>
      <c r="I99" s="475"/>
      <c r="J99" s="547">
        <f>H99/DAY(B2)</f>
        <v>0</v>
      </c>
      <c r="K99" s="377"/>
      <c r="L99" s="374"/>
      <c r="N99" s="435">
        <f>H99-'1'!E99</f>
        <v>-149852</v>
      </c>
      <c r="O99" s="379"/>
    </row>
    <row r="100" spans="1:15" ht="27.75">
      <c r="A100" s="1392" t="s">
        <v>20</v>
      </c>
      <c r="B100" s="1393"/>
      <c r="C100" s="1393"/>
      <c r="D100" s="518" t="s">
        <v>209</v>
      </c>
      <c r="E100" s="450">
        <f>'30'!F100</f>
        <v>7363</v>
      </c>
      <c r="F100" s="479">
        <v>7369</v>
      </c>
      <c r="G100" s="468">
        <f t="shared" si="10"/>
        <v>6</v>
      </c>
      <c r="H100" s="455">
        <f>G100+'30'!H100</f>
        <v>0</v>
      </c>
      <c r="I100" s="475"/>
      <c r="J100" s="547">
        <f>H100/DAY(B2)</f>
        <v>0</v>
      </c>
      <c r="K100" s="377"/>
      <c r="L100" s="374"/>
      <c r="N100" s="435">
        <f>H100-'1'!E100</f>
        <v>-7369</v>
      </c>
      <c r="O100" s="379"/>
    </row>
    <row r="101" spans="1:15" ht="27.75">
      <c r="A101" s="1392" t="s">
        <v>21</v>
      </c>
      <c r="B101" s="1393"/>
      <c r="C101" s="1393"/>
      <c r="D101" s="518" t="s">
        <v>209</v>
      </c>
      <c r="E101" s="450">
        <f>'30'!F101</f>
        <v>5383</v>
      </c>
      <c r="F101" s="479">
        <v>5391</v>
      </c>
      <c r="G101" s="468">
        <f t="shared" si="10"/>
        <v>8</v>
      </c>
      <c r="H101" s="455">
        <f>G101+'30'!H101</f>
        <v>0</v>
      </c>
      <c r="I101" s="475"/>
      <c r="J101" s="547">
        <f>H101/DAY(B2)</f>
        <v>0</v>
      </c>
      <c r="K101" s="377"/>
      <c r="L101" s="374"/>
      <c r="N101" s="435">
        <f>H101-'1'!E101</f>
        <v>-5391</v>
      </c>
      <c r="O101" s="379"/>
    </row>
    <row r="102" spans="1:15" ht="29.25">
      <c r="A102" s="1447" t="s">
        <v>277</v>
      </c>
      <c r="B102" s="1448"/>
      <c r="C102" s="1449"/>
      <c r="D102" s="519"/>
      <c r="E102" s="519"/>
      <c r="F102" s="519"/>
      <c r="G102" s="520">
        <f>SUM(G96:G101)</f>
        <v>103</v>
      </c>
      <c r="H102" s="455">
        <f>G102+'30'!H102</f>
        <v>0</v>
      </c>
      <c r="I102" s="521"/>
      <c r="J102" s="547">
        <f>H102/DAY(B2)</f>
        <v>0</v>
      </c>
      <c r="K102" s="377"/>
      <c r="L102" s="374"/>
      <c r="N102" s="435">
        <f>H102-'1'!E102</f>
        <v>0</v>
      </c>
      <c r="O102" s="379"/>
    </row>
    <row r="103" spans="1:15" s="437" customFormat="1" ht="27">
      <c r="A103" s="602" t="s">
        <v>278</v>
      </c>
      <c r="B103" s="603"/>
      <c r="C103" s="603"/>
      <c r="D103" s="616"/>
      <c r="E103" s="523"/>
      <c r="F103" s="523"/>
      <c r="G103" s="524"/>
      <c r="H103" s="525"/>
      <c r="I103" s="526"/>
      <c r="J103" s="552"/>
      <c r="N103" s="435">
        <f>H103-'1'!E103</f>
        <v>0</v>
      </c>
      <c r="O103" s="379"/>
    </row>
    <row r="104" spans="1:15" s="437" customFormat="1" ht="27.75">
      <c r="A104" s="1456" t="s">
        <v>279</v>
      </c>
      <c r="B104" s="1457"/>
      <c r="C104" s="568"/>
      <c r="D104" s="617"/>
      <c r="E104" s="527"/>
      <c r="F104" s="527"/>
      <c r="G104" s="527"/>
      <c r="H104" s="528"/>
      <c r="I104" s="527"/>
      <c r="J104" s="553"/>
      <c r="N104" s="435">
        <f>H104-'1'!E104</f>
        <v>0</v>
      </c>
      <c r="O104" s="379"/>
    </row>
    <row r="105" spans="1:15" s="437" customFormat="1" ht="27.75">
      <c r="A105" s="1458" t="s">
        <v>22</v>
      </c>
      <c r="B105" s="1459"/>
      <c r="C105" s="1390"/>
      <c r="D105" s="617" t="s">
        <v>209</v>
      </c>
      <c r="E105" s="527">
        <f>'30'!F105</f>
        <v>7484</v>
      </c>
      <c r="F105" s="527">
        <v>7484</v>
      </c>
      <c r="G105" s="527">
        <f>F105-E105</f>
        <v>0</v>
      </c>
      <c r="H105" s="455">
        <f>G105+'30'!H105</f>
        <v>57</v>
      </c>
      <c r="I105" s="527"/>
      <c r="J105" s="553">
        <f>H105/DAY(B2)</f>
        <v>1.8387096774193548</v>
      </c>
      <c r="N105" s="435">
        <f>H105-'1'!E105</f>
        <v>-7427</v>
      </c>
      <c r="O105" s="379"/>
    </row>
    <row r="106" spans="1:15" s="437" customFormat="1" ht="27.75">
      <c r="A106" s="1458" t="s">
        <v>23</v>
      </c>
      <c r="B106" s="1459"/>
      <c r="C106" s="1390"/>
      <c r="D106" s="617" t="s">
        <v>209</v>
      </c>
      <c r="E106" s="527">
        <f>'30'!F106</f>
        <v>35938</v>
      </c>
      <c r="F106" s="529">
        <v>35953</v>
      </c>
      <c r="G106" s="527">
        <f t="shared" ref="G106:G107" si="11">F106-E106</f>
        <v>15</v>
      </c>
      <c r="H106" s="455">
        <f>G106+'30'!H106</f>
        <v>64</v>
      </c>
      <c r="I106" s="527"/>
      <c r="J106" s="553">
        <f>H106/DAY(B2)</f>
        <v>2.064516129032258</v>
      </c>
      <c r="N106" s="435">
        <f>H106-'1'!E106</f>
        <v>-35889</v>
      </c>
      <c r="O106" s="379"/>
    </row>
    <row r="107" spans="1:15" s="437" customFormat="1" ht="27.75">
      <c r="A107" s="1458" t="s">
        <v>24</v>
      </c>
      <c r="B107" s="1460"/>
      <c r="C107" s="1459"/>
      <c r="D107" s="617" t="s">
        <v>209</v>
      </c>
      <c r="E107" s="527">
        <f>'30'!F107</f>
        <v>19702</v>
      </c>
      <c r="F107" s="527">
        <v>19708</v>
      </c>
      <c r="G107" s="527">
        <f t="shared" si="11"/>
        <v>6</v>
      </c>
      <c r="H107" s="455">
        <f>G107+'30'!H107</f>
        <v>64</v>
      </c>
      <c r="I107" s="527"/>
      <c r="J107" s="553">
        <f>H107/DAY(B2)</f>
        <v>2.064516129032258</v>
      </c>
      <c r="N107" s="435">
        <f>H107-'1'!E107</f>
        <v>-19644</v>
      </c>
      <c r="O107" s="379"/>
    </row>
    <row r="108" spans="1:15" s="437" customFormat="1" ht="27.75">
      <c r="A108" s="1461" t="s">
        <v>102</v>
      </c>
      <c r="B108" s="1462"/>
      <c r="C108" s="1390"/>
      <c r="D108" s="617"/>
      <c r="E108" s="527"/>
      <c r="F108" s="527"/>
      <c r="G108" s="527">
        <f>SUM(G105:G107)</f>
        <v>21</v>
      </c>
      <c r="H108" s="455">
        <f>G108+'30'!H108</f>
        <v>179</v>
      </c>
      <c r="I108" s="527"/>
      <c r="J108" s="553">
        <f>H108/DAY(B2)</f>
        <v>5.774193548387097</v>
      </c>
      <c r="N108" s="435">
        <f>H108-'1'!E108</f>
        <v>179</v>
      </c>
      <c r="O108" s="379"/>
    </row>
    <row r="109" spans="1:15" s="437" customFormat="1" ht="27.75">
      <c r="A109" s="1463" t="s">
        <v>120</v>
      </c>
      <c r="B109" s="1464"/>
      <c r="C109" s="1390"/>
      <c r="D109" s="617" t="s">
        <v>209</v>
      </c>
      <c r="E109" s="527"/>
      <c r="F109" s="527"/>
      <c r="G109" s="527"/>
      <c r="H109" s="455">
        <f>G109+'30'!H109</f>
        <v>0</v>
      </c>
      <c r="I109" s="527"/>
      <c r="J109" s="553"/>
      <c r="N109" s="435">
        <f>H109-'1'!E109</f>
        <v>0</v>
      </c>
      <c r="O109" s="379"/>
    </row>
    <row r="110" spans="1:15" s="437" customFormat="1" ht="27.75">
      <c r="A110" s="1458" t="s">
        <v>25</v>
      </c>
      <c r="B110" s="1459"/>
      <c r="C110" s="1390"/>
      <c r="D110" s="617" t="s">
        <v>209</v>
      </c>
      <c r="E110" s="527">
        <f>'30'!F110</f>
        <v>62770</v>
      </c>
      <c r="F110" s="527">
        <v>62834</v>
      </c>
      <c r="G110" s="527">
        <f>F110-E110</f>
        <v>64</v>
      </c>
      <c r="H110" s="455">
        <f>G110+'30'!H110</f>
        <v>283</v>
      </c>
      <c r="I110" s="527"/>
      <c r="J110" s="553">
        <f>H110/DAY(B2)</f>
        <v>9.129032258064516</v>
      </c>
      <c r="N110" s="435">
        <f>H110-'1'!E110</f>
        <v>-62551</v>
      </c>
      <c r="O110" s="379"/>
    </row>
    <row r="111" spans="1:15" s="437" customFormat="1" ht="27.75">
      <c r="A111" s="1458" t="s">
        <v>26</v>
      </c>
      <c r="B111" s="1459"/>
      <c r="C111" s="1390"/>
      <c r="D111" s="617" t="s">
        <v>209</v>
      </c>
      <c r="E111" s="527">
        <f>'30'!F111</f>
        <v>32578</v>
      </c>
      <c r="F111" s="527">
        <v>32578</v>
      </c>
      <c r="G111" s="527">
        <f t="shared" ref="G111:G112" si="12">F111-E111</f>
        <v>0</v>
      </c>
      <c r="H111" s="455">
        <f>G111+'30'!H111</f>
        <v>47</v>
      </c>
      <c r="I111" s="527"/>
      <c r="J111" s="553">
        <f>H111/DAY(B2)</f>
        <v>1.5161290322580645</v>
      </c>
      <c r="N111" s="435">
        <f>H111-'1'!E111</f>
        <v>-32531</v>
      </c>
      <c r="O111" s="379"/>
    </row>
    <row r="112" spans="1:15" s="437" customFormat="1" ht="27.75">
      <c r="A112" s="1458" t="s">
        <v>27</v>
      </c>
      <c r="B112" s="1459"/>
      <c r="C112" s="1390"/>
      <c r="D112" s="617" t="s">
        <v>209</v>
      </c>
      <c r="E112" s="527">
        <f>'30'!F112</f>
        <v>4576</v>
      </c>
      <c r="F112" s="527">
        <v>4576</v>
      </c>
      <c r="G112" s="527">
        <f t="shared" si="12"/>
        <v>0</v>
      </c>
      <c r="H112" s="455">
        <f>G112+'30'!H112</f>
        <v>169</v>
      </c>
      <c r="I112" s="527"/>
      <c r="J112" s="553">
        <f>H112/DAY(B2)</f>
        <v>5.4516129032258061</v>
      </c>
      <c r="N112" s="435">
        <f>H112-'1'!E112</f>
        <v>-4407</v>
      </c>
      <c r="O112" s="379"/>
    </row>
    <row r="113" spans="1:15" s="437" customFormat="1" ht="27.75">
      <c r="A113" s="1490" t="s">
        <v>174</v>
      </c>
      <c r="B113" s="1491"/>
      <c r="C113" s="1390"/>
      <c r="D113" s="617"/>
      <c r="E113" s="527"/>
      <c r="F113" s="527"/>
      <c r="G113" s="527">
        <f>SUM(G110:G112)</f>
        <v>64</v>
      </c>
      <c r="H113" s="455">
        <f>G113+'30'!H113</f>
        <v>1069</v>
      </c>
      <c r="I113" s="527"/>
      <c r="J113" s="553">
        <f>H113/DAY(B2)</f>
        <v>34.483870967741936</v>
      </c>
      <c r="N113" s="435">
        <f>H113-'1'!E113</f>
        <v>1069</v>
      </c>
      <c r="O113" s="379"/>
    </row>
    <row r="114" spans="1:15" s="437" customFormat="1" ht="27.75">
      <c r="A114" s="1463" t="s">
        <v>280</v>
      </c>
      <c r="B114" s="1464"/>
      <c r="C114" s="1390"/>
      <c r="D114" s="617"/>
      <c r="E114" s="527"/>
      <c r="F114" s="527"/>
      <c r="G114" s="527"/>
      <c r="H114" s="455">
        <f>G114+'30'!H114</f>
        <v>0</v>
      </c>
      <c r="I114" s="527"/>
      <c r="J114" s="553">
        <f>H114/DAY(B2)</f>
        <v>0</v>
      </c>
      <c r="N114" s="435">
        <f>H114-'1'!E114</f>
        <v>0</v>
      </c>
      <c r="O114" s="379"/>
    </row>
    <row r="115" spans="1:15" s="437" customFormat="1" ht="27.75">
      <c r="A115" s="1458" t="s">
        <v>28</v>
      </c>
      <c r="B115" s="1459"/>
      <c r="C115" s="569"/>
      <c r="D115" s="617" t="s">
        <v>209</v>
      </c>
      <c r="E115" s="527">
        <f>'30'!F115</f>
        <v>11489</v>
      </c>
      <c r="F115" s="529">
        <v>11497</v>
      </c>
      <c r="G115" s="529">
        <f>F115-E115</f>
        <v>8</v>
      </c>
      <c r="H115" s="455">
        <f>G115+'30'!H115</f>
        <v>24</v>
      </c>
      <c r="I115" s="527"/>
      <c r="J115" s="553">
        <f>H115/DAY(B2)</f>
        <v>0.77419354838709675</v>
      </c>
      <c r="N115" s="435">
        <f>H115-'1'!E115</f>
        <v>-11473</v>
      </c>
      <c r="O115" s="379"/>
    </row>
    <row r="116" spans="1:15" s="437" customFormat="1" ht="27.75">
      <c r="A116" s="1458" t="s">
        <v>29</v>
      </c>
      <c r="B116" s="1459"/>
      <c r="C116" s="569"/>
      <c r="D116" s="617" t="s">
        <v>209</v>
      </c>
      <c r="E116" s="527">
        <f>'30'!F116</f>
        <v>8306</v>
      </c>
      <c r="F116" s="529">
        <v>8312</v>
      </c>
      <c r="G116" s="529">
        <f t="shared" ref="G116:G117" si="13">F116-E116</f>
        <v>6</v>
      </c>
      <c r="H116" s="455">
        <f>G116+'30'!H116</f>
        <v>41</v>
      </c>
      <c r="I116" s="527"/>
      <c r="J116" s="553">
        <f>H116/DAY(B2)</f>
        <v>1.3225806451612903</v>
      </c>
      <c r="N116" s="435">
        <f>H116-'1'!E116</f>
        <v>-8271</v>
      </c>
      <c r="O116" s="379"/>
    </row>
    <row r="117" spans="1:15" s="437" customFormat="1" ht="27.75">
      <c r="A117" s="1458" t="s">
        <v>281</v>
      </c>
      <c r="B117" s="1459"/>
      <c r="C117" s="569"/>
      <c r="D117" s="617" t="s">
        <v>209</v>
      </c>
      <c r="E117" s="529"/>
      <c r="F117" s="529"/>
      <c r="G117" s="529">
        <f t="shared" si="13"/>
        <v>0</v>
      </c>
      <c r="H117" s="455">
        <f>G117+'30'!H117</f>
        <v>58</v>
      </c>
      <c r="I117" s="527"/>
      <c r="J117" s="553">
        <f>H117/DAY(B2)</f>
        <v>1.8709677419354838</v>
      </c>
      <c r="N117" s="435">
        <f>H117-'1'!E117</f>
        <v>58</v>
      </c>
      <c r="O117" s="379"/>
    </row>
    <row r="118" spans="1:15" s="440" customFormat="1" ht="27.75">
      <c r="A118" s="1461" t="s">
        <v>102</v>
      </c>
      <c r="B118" s="1462"/>
      <c r="C118" s="569"/>
      <c r="D118" s="618"/>
      <c r="E118" s="529"/>
      <c r="F118" s="529"/>
      <c r="G118" s="529">
        <f>SUM(G115:G117)</f>
        <v>14</v>
      </c>
      <c r="H118" s="455">
        <f>G118+'30'!H118</f>
        <v>87</v>
      </c>
      <c r="I118" s="529"/>
      <c r="J118" s="553">
        <f>H118/DAY(B2)</f>
        <v>2.806451612903226</v>
      </c>
      <c r="N118" s="435">
        <f>H118-'1'!E118</f>
        <v>87</v>
      </c>
      <c r="O118" s="379"/>
    </row>
    <row r="119" spans="1:15" s="441" customFormat="1" ht="27.75">
      <c r="A119" s="1492" t="s">
        <v>282</v>
      </c>
      <c r="B119" s="1493"/>
      <c r="C119" s="1389"/>
      <c r="D119" s="619" t="s">
        <v>209</v>
      </c>
      <c r="E119" s="531"/>
      <c r="F119" s="531"/>
      <c r="G119" s="531">
        <f>SUM(G19+G93)</f>
        <v>171</v>
      </c>
      <c r="H119" s="455">
        <f>G119+'30'!H119</f>
        <v>338</v>
      </c>
      <c r="I119" s="530"/>
      <c r="J119" s="554">
        <f>H119/DAY(B2)</f>
        <v>10.903225806451612</v>
      </c>
      <c r="N119" s="435">
        <f>H119-'1'!E119</f>
        <v>338</v>
      </c>
      <c r="O119" s="379"/>
    </row>
    <row r="120" spans="1:15" s="441" customFormat="1" ht="27.75">
      <c r="A120" s="1492" t="s">
        <v>283</v>
      </c>
      <c r="B120" s="1493"/>
      <c r="C120" s="1389"/>
      <c r="D120" s="619" t="s">
        <v>209</v>
      </c>
      <c r="E120" s="531"/>
      <c r="F120" s="531"/>
      <c r="G120" s="531">
        <f>SUM(G96,G97,G98,G100,G101)</f>
        <v>99</v>
      </c>
      <c r="H120" s="455">
        <f>G120+'30'!H120</f>
        <v>316</v>
      </c>
      <c r="I120" s="530"/>
      <c r="J120" s="554">
        <f>H120/DAY(B2)</f>
        <v>10.193548387096774</v>
      </c>
      <c r="N120" s="435">
        <f>H120-'1'!E120</f>
        <v>316</v>
      </c>
      <c r="O120" s="379"/>
    </row>
    <row r="121" spans="1:15" s="441" customFormat="1" ht="27.75">
      <c r="A121" s="1492" t="s">
        <v>284</v>
      </c>
      <c r="B121" s="1493"/>
      <c r="C121" s="1389"/>
      <c r="D121" s="619" t="s">
        <v>209</v>
      </c>
      <c r="E121" s="529"/>
      <c r="F121" s="529"/>
      <c r="G121" s="529">
        <f>SUM(G113)</f>
        <v>64</v>
      </c>
      <c r="H121" s="455">
        <f>G121+'30'!H121</f>
        <v>246</v>
      </c>
      <c r="I121" s="530"/>
      <c r="J121" s="554">
        <f>H121/DAY(B2)</f>
        <v>7.935483870967742</v>
      </c>
      <c r="N121" s="435">
        <f>H121-'1'!E121</f>
        <v>246</v>
      </c>
      <c r="O121" s="379"/>
    </row>
    <row r="122" spans="1:15" s="437" customFormat="1" ht="27.75">
      <c r="A122" s="1494"/>
      <c r="B122" s="1495"/>
      <c r="C122" s="1390"/>
      <c r="D122" s="555"/>
      <c r="E122" s="555" t="s">
        <v>182</v>
      </c>
      <c r="F122" s="555"/>
      <c r="G122" s="555"/>
      <c r="H122" s="556"/>
      <c r="I122" s="555"/>
      <c r="J122" s="557"/>
      <c r="N122" s="435" t="e">
        <f>H122-'1'!E122</f>
        <v>#VALUE!</v>
      </c>
      <c r="O122" s="379"/>
    </row>
    <row r="123" spans="1:15" ht="29.25">
      <c r="A123" s="1444" t="s">
        <v>285</v>
      </c>
      <c r="B123" s="1445"/>
      <c r="C123" s="1446"/>
      <c r="D123" s="467"/>
      <c r="E123" s="467"/>
      <c r="F123" s="467"/>
      <c r="G123" s="478"/>
      <c r="H123" s="478"/>
      <c r="I123" s="478"/>
      <c r="J123" s="558"/>
      <c r="K123" s="377"/>
      <c r="L123" s="374"/>
      <c r="N123" s="435">
        <f>H123-'1'!E123</f>
        <v>0</v>
      </c>
      <c r="O123" s="379"/>
    </row>
    <row r="124" spans="1:15" ht="27.75">
      <c r="A124" s="1392" t="s">
        <v>286</v>
      </c>
      <c r="B124" s="1393"/>
      <c r="C124" s="1393"/>
      <c r="D124" s="518" t="s">
        <v>206</v>
      </c>
      <c r="E124" s="450">
        <f>'30'!F124</f>
        <v>832189</v>
      </c>
      <c r="F124" s="473">
        <v>832366</v>
      </c>
      <c r="G124" s="468">
        <f t="shared" ref="G124:G128" si="14">F124-E124</f>
        <v>177</v>
      </c>
      <c r="H124" s="455">
        <f>G124+'30'!H124</f>
        <v>0</v>
      </c>
      <c r="I124" s="521"/>
      <c r="J124" s="547">
        <f>H124/DAY(B2)</f>
        <v>0</v>
      </c>
      <c r="K124" s="377"/>
      <c r="L124" s="374"/>
      <c r="N124" s="435">
        <f>H124-'1'!E124</f>
        <v>-832366</v>
      </c>
      <c r="O124" s="379"/>
    </row>
    <row r="125" spans="1:15" ht="27.75">
      <c r="A125" s="1392" t="s">
        <v>287</v>
      </c>
      <c r="B125" s="1393"/>
      <c r="C125" s="1393"/>
      <c r="D125" s="518" t="s">
        <v>206</v>
      </c>
      <c r="E125" s="450">
        <f>'30'!F125</f>
        <v>73583.399999999994</v>
      </c>
      <c r="F125" s="621">
        <v>73583.399999999994</v>
      </c>
      <c r="G125" s="468">
        <f t="shared" si="14"/>
        <v>0</v>
      </c>
      <c r="H125" s="455">
        <f>G125+'30'!H125</f>
        <v>0</v>
      </c>
      <c r="I125" s="521"/>
      <c r="J125" s="547">
        <f>H125/DAY(B2)</f>
        <v>0</v>
      </c>
      <c r="K125" s="377"/>
      <c r="L125" s="374"/>
      <c r="N125" s="435">
        <f>H125-'1'!E125</f>
        <v>-73583.399999999994</v>
      </c>
      <c r="O125" s="379"/>
    </row>
    <row r="126" spans="1:15" ht="27.75">
      <c r="A126" s="1450" t="s">
        <v>288</v>
      </c>
      <c r="B126" s="1451"/>
      <c r="C126" s="1452"/>
      <c r="D126" s="518" t="s">
        <v>206</v>
      </c>
      <c r="E126" s="450">
        <f>'30'!F126</f>
        <v>146433</v>
      </c>
      <c r="F126" s="473">
        <v>146491</v>
      </c>
      <c r="G126" s="468">
        <f t="shared" si="14"/>
        <v>58</v>
      </c>
      <c r="H126" s="455">
        <f>G126+'30'!H126</f>
        <v>0</v>
      </c>
      <c r="I126" s="521"/>
      <c r="J126" s="547">
        <f>H126/DAY(B2)</f>
        <v>0</v>
      </c>
      <c r="K126" s="377"/>
      <c r="L126" s="374"/>
      <c r="N126" s="435">
        <f>H126-'1'!E126</f>
        <v>-146491</v>
      </c>
      <c r="O126" s="379"/>
    </row>
    <row r="127" spans="1:15" ht="27.75">
      <c r="A127" s="604" t="s">
        <v>289</v>
      </c>
      <c r="B127" s="1393"/>
      <c r="C127" s="1393"/>
      <c r="D127" s="518" t="s">
        <v>206</v>
      </c>
      <c r="E127" s="450">
        <f>'30'!F127</f>
        <v>31404</v>
      </c>
      <c r="F127" s="621">
        <v>31406</v>
      </c>
      <c r="G127" s="468">
        <f t="shared" si="14"/>
        <v>2</v>
      </c>
      <c r="H127" s="455">
        <f>G127+'30'!H127</f>
        <v>0</v>
      </c>
      <c r="I127" s="521"/>
      <c r="J127" s="547">
        <f>H127/DAY(B2)</f>
        <v>0</v>
      </c>
      <c r="K127" s="377"/>
      <c r="L127" s="374"/>
      <c r="N127" s="435">
        <f>H127-'1'!E127</f>
        <v>-31406</v>
      </c>
      <c r="O127" s="379"/>
    </row>
    <row r="128" spans="1:15" ht="27.75">
      <c r="A128" s="604" t="s">
        <v>290</v>
      </c>
      <c r="B128" s="1393"/>
      <c r="C128" s="1393"/>
      <c r="D128" s="518" t="s">
        <v>206</v>
      </c>
      <c r="E128" s="450">
        <f>'30'!F128</f>
        <v>8971</v>
      </c>
      <c r="F128" s="621">
        <v>8972</v>
      </c>
      <c r="G128" s="468">
        <f t="shared" si="14"/>
        <v>1</v>
      </c>
      <c r="H128" s="455">
        <f>G128+'30'!H128</f>
        <v>0</v>
      </c>
      <c r="I128" s="475"/>
      <c r="J128" s="547">
        <f>H128/DAY(B2)</f>
        <v>0</v>
      </c>
      <c r="K128" s="377"/>
      <c r="L128" s="374"/>
      <c r="N128" s="435">
        <f>H128-'1'!E128</f>
        <v>-8972</v>
      </c>
      <c r="O128" s="379"/>
    </row>
    <row r="129" spans="1:15" s="278" customFormat="1" ht="27.75">
      <c r="A129" s="604" t="s">
        <v>291</v>
      </c>
      <c r="B129" s="1393"/>
      <c r="C129" s="1393"/>
      <c r="D129" s="518"/>
      <c r="E129" s="473"/>
      <c r="F129" s="473"/>
      <c r="G129" s="468">
        <f>G15-SUM(G124:G128)</f>
        <v>312</v>
      </c>
      <c r="H129" s="455">
        <f>G129+'30'!H129</f>
        <v>312</v>
      </c>
      <c r="I129" s="475"/>
      <c r="J129" s="547"/>
      <c r="K129" s="361"/>
      <c r="L129" s="289"/>
      <c r="N129" s="435">
        <f>H129-'1'!E129</f>
        <v>312</v>
      </c>
      <c r="O129" s="379"/>
    </row>
    <row r="130" spans="1:15" ht="29.25">
      <c r="A130" s="605" t="s">
        <v>292</v>
      </c>
      <c r="B130" s="453"/>
      <c r="C130" s="453"/>
      <c r="D130" s="466"/>
      <c r="E130" s="466"/>
      <c r="F130" s="466"/>
      <c r="G130" s="535"/>
      <c r="H130" s="535"/>
      <c r="I130" s="535"/>
      <c r="J130" s="559"/>
      <c r="O130" s="379"/>
    </row>
    <row r="131" spans="1:15" ht="27.75">
      <c r="A131" s="1392" t="s">
        <v>293</v>
      </c>
      <c r="B131" s="1393"/>
      <c r="C131" s="1393"/>
      <c r="D131" s="518" t="s">
        <v>294</v>
      </c>
      <c r="E131" s="450">
        <f>'30'!F131</f>
        <v>0</v>
      </c>
      <c r="F131" s="479"/>
      <c r="G131" s="468">
        <f t="shared" ref="G131:G141" si="15">F131-E131</f>
        <v>0</v>
      </c>
      <c r="H131" s="455">
        <f>G131+'30'!H131</f>
        <v>0</v>
      </c>
      <c r="I131" s="475"/>
      <c r="J131" s="547">
        <f>H131/DAY(B2)</f>
        <v>0</v>
      </c>
      <c r="O131" s="379"/>
    </row>
    <row r="132" spans="1:15" ht="27.75">
      <c r="A132" s="1392" t="s">
        <v>295</v>
      </c>
      <c r="B132" s="1393"/>
      <c r="C132" s="1393"/>
      <c r="D132" s="518" t="s">
        <v>294</v>
      </c>
      <c r="E132" s="450">
        <f>'30'!F132</f>
        <v>0</v>
      </c>
      <c r="F132" s="479"/>
      <c r="G132" s="468">
        <f t="shared" si="15"/>
        <v>0</v>
      </c>
      <c r="H132" s="455">
        <f>G132+'30'!H132</f>
        <v>0</v>
      </c>
      <c r="I132" s="475"/>
      <c r="J132" s="547">
        <f>H132/DAY(B2)</f>
        <v>0</v>
      </c>
      <c r="O132" s="379"/>
    </row>
    <row r="133" spans="1:15" ht="27.75">
      <c r="A133" s="1392" t="s">
        <v>296</v>
      </c>
      <c r="B133" s="1393"/>
      <c r="C133" s="1393"/>
      <c r="D133" s="518" t="s">
        <v>294</v>
      </c>
      <c r="E133" s="450">
        <f>'30'!F133</f>
        <v>40059</v>
      </c>
      <c r="F133" s="536">
        <v>40059</v>
      </c>
      <c r="G133" s="468">
        <f t="shared" si="15"/>
        <v>0</v>
      </c>
      <c r="H133" s="455">
        <f>G133+'30'!H133</f>
        <v>23.900000000001455</v>
      </c>
      <c r="I133" s="475"/>
      <c r="J133" s="547">
        <f>H133/DAY(B2)</f>
        <v>0.77096774193553086</v>
      </c>
      <c r="O133" s="379"/>
    </row>
    <row r="134" spans="1:15" ht="27.75">
      <c r="A134" s="1392" t="s">
        <v>297</v>
      </c>
      <c r="B134" s="1393"/>
      <c r="C134" s="1393"/>
      <c r="D134" s="518" t="s">
        <v>294</v>
      </c>
      <c r="E134" s="450">
        <f>'30'!F134</f>
        <v>300</v>
      </c>
      <c r="F134" s="536">
        <v>300</v>
      </c>
      <c r="G134" s="468">
        <f t="shared" si="15"/>
        <v>0</v>
      </c>
      <c r="H134" s="455">
        <f>G134+'30'!H134</f>
        <v>0</v>
      </c>
      <c r="I134" s="475">
        <f>G131+G132+G133+G134</f>
        <v>0</v>
      </c>
      <c r="J134" s="547">
        <f>H134/DAY(B2)</f>
        <v>0</v>
      </c>
      <c r="O134" s="379"/>
    </row>
    <row r="135" spans="1:15" ht="27.75">
      <c r="A135" s="1392" t="s">
        <v>298</v>
      </c>
      <c r="B135" s="1393"/>
      <c r="C135" s="1393"/>
      <c r="D135" s="518" t="s">
        <v>294</v>
      </c>
      <c r="E135" s="450">
        <f>'30'!F135</f>
        <v>41730</v>
      </c>
      <c r="F135" s="536">
        <v>41730</v>
      </c>
      <c r="G135" s="468">
        <f t="shared" si="15"/>
        <v>0</v>
      </c>
      <c r="H135" s="455">
        <f>G135+'30'!H135</f>
        <v>71.610000000000582</v>
      </c>
      <c r="I135" s="475"/>
      <c r="J135" s="547">
        <f>H135/DAY(B2)</f>
        <v>2.3100000000000187</v>
      </c>
      <c r="O135" s="379"/>
    </row>
    <row r="136" spans="1:15" ht="27.75">
      <c r="A136" s="1392" t="s">
        <v>299</v>
      </c>
      <c r="B136" s="1393"/>
      <c r="C136" s="1393"/>
      <c r="D136" s="518" t="s">
        <v>294</v>
      </c>
      <c r="E136" s="450">
        <f>'30'!F136</f>
        <v>32691.27</v>
      </c>
      <c r="F136" s="536">
        <v>32715</v>
      </c>
      <c r="G136" s="468">
        <f t="shared" si="15"/>
        <v>23.729999999999563</v>
      </c>
      <c r="H136" s="455">
        <f>G136+'30'!H136</f>
        <v>145.06999999999971</v>
      </c>
      <c r="I136" s="475"/>
      <c r="J136" s="547">
        <f>H136/DAY(B2)</f>
        <v>4.6796774193548289</v>
      </c>
      <c r="O136" s="379"/>
    </row>
    <row r="137" spans="1:15" ht="27.75">
      <c r="A137" s="1392" t="s">
        <v>300</v>
      </c>
      <c r="B137" s="1393"/>
      <c r="C137" s="1393"/>
      <c r="D137" s="518" t="s">
        <v>294</v>
      </c>
      <c r="E137" s="450">
        <f>'30'!F137</f>
        <v>22799</v>
      </c>
      <c r="F137" s="536">
        <v>22807.24</v>
      </c>
      <c r="G137" s="468">
        <f t="shared" si="15"/>
        <v>8.2400000000016007</v>
      </c>
      <c r="H137" s="455">
        <f>G137+'30'!H137</f>
        <v>0</v>
      </c>
      <c r="I137" s="475">
        <f>G135+G136+G137</f>
        <v>31.970000000001164</v>
      </c>
      <c r="J137" s="547">
        <f>H137/DAY(B2)</f>
        <v>0</v>
      </c>
      <c r="O137" s="379"/>
    </row>
    <row r="138" spans="1:15" ht="27.75">
      <c r="A138" s="1392" t="s">
        <v>301</v>
      </c>
      <c r="B138" s="1393"/>
      <c r="C138" s="1393"/>
      <c r="D138" s="518" t="s">
        <v>294</v>
      </c>
      <c r="E138" s="450">
        <f>'30'!F138</f>
        <v>25051.82</v>
      </c>
      <c r="F138" s="536">
        <v>25051.82</v>
      </c>
      <c r="G138" s="468">
        <f t="shared" si="15"/>
        <v>0</v>
      </c>
      <c r="H138" s="455">
        <f>G138+'30'!H138</f>
        <v>8.0999999999985448</v>
      </c>
      <c r="I138" s="475"/>
      <c r="J138" s="547">
        <f>H138/DAY(B2)</f>
        <v>0.2612903225805982</v>
      </c>
      <c r="O138" s="379"/>
    </row>
    <row r="139" spans="1:15" ht="27.75">
      <c r="A139" s="1392" t="s">
        <v>302</v>
      </c>
      <c r="B139" s="1393"/>
      <c r="C139" s="1393"/>
      <c r="D139" s="518" t="s">
        <v>294</v>
      </c>
      <c r="E139" s="450">
        <f>'30'!F139</f>
        <v>70411.740000000005</v>
      </c>
      <c r="F139" s="536">
        <v>70411.740000000005</v>
      </c>
      <c r="G139" s="468">
        <f t="shared" si="15"/>
        <v>0</v>
      </c>
      <c r="H139" s="455">
        <f>G139+'30'!H139</f>
        <v>47.639999999999418</v>
      </c>
      <c r="I139" s="475">
        <f>G138+G139</f>
        <v>0</v>
      </c>
      <c r="J139" s="547">
        <f>H139/DAY(B2)</f>
        <v>1.5367741935483683</v>
      </c>
      <c r="O139" s="379"/>
    </row>
    <row r="140" spans="1:15" ht="27.75">
      <c r="A140" s="1392" t="s">
        <v>303</v>
      </c>
      <c r="B140" s="1393"/>
      <c r="C140" s="1393"/>
      <c r="D140" s="518" t="s">
        <v>294</v>
      </c>
      <c r="E140" s="450">
        <f>'30'!F140</f>
        <v>1847.53</v>
      </c>
      <c r="F140" s="479">
        <v>1854.3</v>
      </c>
      <c r="G140" s="468">
        <f t="shared" si="15"/>
        <v>6.7699999999999818</v>
      </c>
      <c r="H140" s="455">
        <f>G140+'30'!H140</f>
        <v>0</v>
      </c>
      <c r="I140" s="537"/>
      <c r="J140" s="547">
        <f>H140/DAY(B2)</f>
        <v>0</v>
      </c>
      <c r="O140" s="379"/>
    </row>
    <row r="141" spans="1:15" ht="27.75">
      <c r="A141" s="1392" t="s">
        <v>304</v>
      </c>
      <c r="B141" s="1393"/>
      <c r="C141" s="1393"/>
      <c r="D141" s="518" t="s">
        <v>294</v>
      </c>
      <c r="E141" s="450">
        <f>'30'!F141</f>
        <v>4637</v>
      </c>
      <c r="F141" s="479">
        <v>4637</v>
      </c>
      <c r="G141" s="468">
        <f t="shared" si="15"/>
        <v>0</v>
      </c>
      <c r="H141" s="455">
        <f>G141+'30'!H141</f>
        <v>0</v>
      </c>
      <c r="I141" s="537"/>
      <c r="J141" s="547">
        <f>H141/DAY(B2)</f>
        <v>0</v>
      </c>
      <c r="O141" s="379"/>
    </row>
    <row r="142" spans="1:15" ht="29.25">
      <c r="A142" s="1488" t="s">
        <v>305</v>
      </c>
      <c r="B142" s="1489"/>
      <c r="C142" s="1398"/>
      <c r="D142" s="467"/>
      <c r="E142" s="467"/>
      <c r="F142" s="467"/>
      <c r="G142" s="478"/>
      <c r="H142" s="478"/>
      <c r="I142" s="478"/>
      <c r="J142" s="558"/>
      <c r="K142" s="377"/>
      <c r="L142" s="374"/>
      <c r="O142" s="379"/>
    </row>
    <row r="143" spans="1:15" ht="27.75">
      <c r="A143" s="1453" t="s">
        <v>306</v>
      </c>
      <c r="B143" s="1454"/>
      <c r="C143" s="1455"/>
      <c r="D143" s="518" t="s">
        <v>198</v>
      </c>
      <c r="E143" s="518"/>
      <c r="F143" s="518"/>
      <c r="G143" s="455">
        <f>G35+G43+G49+G57</f>
        <v>4621.8699999999953</v>
      </c>
      <c r="H143" s="455">
        <f>G143+'30'!H143</f>
        <v>-289</v>
      </c>
      <c r="I143" s="475"/>
      <c r="J143" s="547">
        <f>H143/DAY(B2)</f>
        <v>-9.32258064516129</v>
      </c>
      <c r="K143" s="377"/>
      <c r="L143" s="374"/>
      <c r="O143" s="379"/>
    </row>
    <row r="144" spans="1:15" ht="27.75">
      <c r="A144" s="1453" t="s">
        <v>307</v>
      </c>
      <c r="B144" s="1454"/>
      <c r="C144" s="1455"/>
      <c r="D144" s="518" t="s">
        <v>58</v>
      </c>
      <c r="E144" s="506"/>
      <c r="F144" s="506"/>
      <c r="G144" s="538">
        <f>G143/G7</f>
        <v>0.27187470588235269</v>
      </c>
      <c r="H144" s="455">
        <f>G144+'30'!H144</f>
        <v>-0.12930644443081574</v>
      </c>
      <c r="I144" s="539"/>
      <c r="J144" s="547">
        <f>H144/DAY(B2)</f>
        <v>-4.1711756268005074E-3</v>
      </c>
      <c r="K144" s="377"/>
      <c r="L144" s="374"/>
      <c r="O144" s="379"/>
    </row>
    <row r="145" spans="1:15" ht="27.75">
      <c r="A145" s="1453" t="s">
        <v>308</v>
      </c>
      <c r="B145" s="1454"/>
      <c r="C145" s="1455"/>
      <c r="D145" s="518" t="s">
        <v>198</v>
      </c>
      <c r="E145" s="450"/>
      <c r="F145" s="450"/>
      <c r="G145" s="455">
        <f>G41+G42+G55+G56</f>
        <v>5603</v>
      </c>
      <c r="H145" s="455">
        <f>G145+'30'!H145</f>
        <v>1.0300000000061118</v>
      </c>
      <c r="I145" s="475"/>
      <c r="J145" s="547">
        <f>H145/DAY(B2)</f>
        <v>3.3225806451810058E-2</v>
      </c>
      <c r="K145" s="377"/>
      <c r="L145" s="374"/>
      <c r="O145" s="379"/>
    </row>
    <row r="146" spans="1:15" ht="27.75">
      <c r="A146" s="1453" t="s">
        <v>309</v>
      </c>
      <c r="B146" s="1454"/>
      <c r="C146" s="1455"/>
      <c r="D146" s="518" t="s">
        <v>58</v>
      </c>
      <c r="E146" s="450"/>
      <c r="F146" s="450"/>
      <c r="G146" s="538">
        <f>G145/G7</f>
        <v>0.32958823529411763</v>
      </c>
      <c r="H146" s="455">
        <f>G146+'30'!H146</f>
        <v>-0.13674062578029417</v>
      </c>
      <c r="I146" s="539"/>
      <c r="J146" s="547">
        <f>H146/DAY(B2)</f>
        <v>-4.4109879283965861E-3</v>
      </c>
      <c r="K146" s="377"/>
      <c r="L146" s="374"/>
      <c r="O146" s="379"/>
    </row>
    <row r="147" spans="1:15" ht="27.75">
      <c r="A147" s="1453" t="s">
        <v>310</v>
      </c>
      <c r="B147" s="1454"/>
      <c r="C147" s="1455"/>
      <c r="D147" s="518" t="s">
        <v>198</v>
      </c>
      <c r="E147" s="450"/>
      <c r="F147" s="450"/>
      <c r="G147" s="455">
        <f>G39+G53</f>
        <v>2684</v>
      </c>
      <c r="H147" s="455">
        <f>G147+'30'!H147</f>
        <v>24</v>
      </c>
      <c r="I147" s="540"/>
      <c r="J147" s="547">
        <f>H147/DAY(B2)</f>
        <v>0.77419354838709675</v>
      </c>
      <c r="K147" s="377"/>
      <c r="L147" s="374"/>
      <c r="O147" s="379"/>
    </row>
    <row r="148" spans="1:15" ht="27.75">
      <c r="A148" s="1453" t="s">
        <v>311</v>
      </c>
      <c r="B148" s="1454"/>
      <c r="C148" s="1455"/>
      <c r="D148" s="518" t="s">
        <v>58</v>
      </c>
      <c r="E148" s="450"/>
      <c r="F148" s="450"/>
      <c r="G148" s="538">
        <f>G147/G7</f>
        <v>0.15788235294117647</v>
      </c>
      <c r="H148" s="455">
        <f>G148+'30'!H148</f>
        <v>-7.6162022739721169E-2</v>
      </c>
      <c r="I148" s="540"/>
      <c r="J148" s="547">
        <f>H148/DAY(B2)</f>
        <v>-2.4568394432168119E-3</v>
      </c>
      <c r="O148" s="379"/>
    </row>
    <row r="149" spans="1:15" ht="27.75">
      <c r="A149" s="1453" t="s">
        <v>312</v>
      </c>
      <c r="B149" s="1454"/>
      <c r="C149" s="1455"/>
      <c r="D149" s="518" t="s">
        <v>248</v>
      </c>
      <c r="E149" s="450"/>
      <c r="F149" s="450"/>
      <c r="G149" s="455">
        <f>G38+G52</f>
        <v>1249</v>
      </c>
      <c r="H149" s="455">
        <f>G149+'30'!H149</f>
        <v>0</v>
      </c>
      <c r="I149" s="475"/>
      <c r="J149" s="547">
        <f>H149/DAY(B2)</f>
        <v>0</v>
      </c>
      <c r="K149" s="378"/>
      <c r="O149" s="379"/>
    </row>
    <row r="150" spans="1:15" ht="27.75">
      <c r="A150" s="1453" t="s">
        <v>313</v>
      </c>
      <c r="B150" s="1454"/>
      <c r="C150" s="1455"/>
      <c r="D150" s="518" t="s">
        <v>58</v>
      </c>
      <c r="E150" s="450"/>
      <c r="F150" s="450"/>
      <c r="G150" s="538">
        <f>G149/G7</f>
        <v>7.3470588235294121E-2</v>
      </c>
      <c r="H150" s="455">
        <f>G150+'30'!H150</f>
        <v>-3.2194746510016317E-2</v>
      </c>
      <c r="I150" s="540"/>
      <c r="J150" s="547">
        <f>H150/DAY(B2)</f>
        <v>-1.0385402100005264E-3</v>
      </c>
      <c r="O150" s="379"/>
    </row>
    <row r="151" spans="1:15" ht="27.75">
      <c r="A151" s="1453" t="s">
        <v>314</v>
      </c>
      <c r="B151" s="1454"/>
      <c r="C151" s="1455"/>
      <c r="D151" s="518" t="s">
        <v>248</v>
      </c>
      <c r="E151" s="450"/>
      <c r="F151" s="450"/>
      <c r="G151" s="455">
        <f>G36+G50</f>
        <v>1057</v>
      </c>
      <c r="H151" s="455">
        <f>G151+'30'!H151</f>
        <v>347065</v>
      </c>
      <c r="I151" s="540"/>
      <c r="J151" s="547">
        <f>H151/DAY(B2)</f>
        <v>11195.645161290322</v>
      </c>
      <c r="O151" s="379"/>
    </row>
    <row r="152" spans="1:15" ht="27.75">
      <c r="A152" s="1453" t="s">
        <v>315</v>
      </c>
      <c r="B152" s="1454"/>
      <c r="C152" s="1455"/>
      <c r="D152" s="518" t="s">
        <v>58</v>
      </c>
      <c r="E152" s="450"/>
      <c r="F152" s="450"/>
      <c r="G152" s="538">
        <f>G151/G7</f>
        <v>6.2176470588235291E-2</v>
      </c>
      <c r="H152" s="455">
        <f>G152+'30'!H152</f>
        <v>20.374304468551891</v>
      </c>
      <c r="I152" s="475"/>
      <c r="J152" s="547">
        <f>H152/DAY(B2)</f>
        <v>0.65723562801780289</v>
      </c>
      <c r="O152" s="379"/>
    </row>
    <row r="153" spans="1:15" ht="27.75">
      <c r="A153" s="1453" t="s">
        <v>316</v>
      </c>
      <c r="B153" s="1454"/>
      <c r="C153" s="1455"/>
      <c r="D153" s="518" t="s">
        <v>248</v>
      </c>
      <c r="E153" s="450"/>
      <c r="F153" s="450"/>
      <c r="G153" s="455">
        <f>G37+G51</f>
        <v>1260</v>
      </c>
      <c r="H153" s="455">
        <f>G153+'30'!H153</f>
        <v>0</v>
      </c>
      <c r="I153" s="475"/>
      <c r="J153" s="547">
        <f>H153/DAY(B2)</f>
        <v>0</v>
      </c>
      <c r="O153" s="379"/>
    </row>
    <row r="154" spans="1:15" ht="28.5" thickBot="1">
      <c r="A154" s="1485" t="s">
        <v>317</v>
      </c>
      <c r="B154" s="1486"/>
      <c r="C154" s="1487"/>
      <c r="D154" s="620" t="s">
        <v>58</v>
      </c>
      <c r="E154" s="560"/>
      <c r="F154" s="560"/>
      <c r="G154" s="561">
        <f>G153/G7</f>
        <v>7.4117647058823524E-2</v>
      </c>
      <c r="H154" s="455">
        <f>G154+'30'!H154</f>
        <v>-3.1041889015486379E-2</v>
      </c>
      <c r="I154" s="563"/>
      <c r="J154" s="564">
        <f>H154/DAY(B2)</f>
        <v>-1.0013512585640768E-3</v>
      </c>
      <c r="O154" s="379"/>
    </row>
    <row r="155" spans="1:15" ht="29.25">
      <c r="A155" s="461"/>
      <c r="B155" s="451"/>
      <c r="C155" s="451"/>
      <c r="D155" s="541"/>
      <c r="E155" s="541"/>
      <c r="F155" s="541"/>
      <c r="G155" s="541"/>
      <c r="H155" s="542"/>
      <c r="I155" s="541"/>
      <c r="J155" s="543"/>
      <c r="O155" s="379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0" t="s">
        <v>318</v>
      </c>
      <c r="B161" s="781"/>
      <c r="C161" s="781"/>
      <c r="D161" s="506" t="s">
        <v>253</v>
      </c>
      <c r="E161" s="654">
        <v>38350</v>
      </c>
      <c r="F161" s="654">
        <v>38434</v>
      </c>
      <c r="G161" s="468">
        <f t="shared" ref="G161:G164" si="16">F161-E161</f>
        <v>84</v>
      </c>
    </row>
    <row r="162" spans="1:7" ht="29.25">
      <c r="A162" s="780" t="s">
        <v>319</v>
      </c>
      <c r="B162" s="781"/>
      <c r="C162" s="781"/>
      <c r="D162" s="506" t="s">
        <v>253</v>
      </c>
      <c r="E162" s="654">
        <v>94392</v>
      </c>
      <c r="F162" s="654">
        <v>94790</v>
      </c>
      <c r="G162" s="468">
        <f t="shared" si="16"/>
        <v>398</v>
      </c>
    </row>
    <row r="163" spans="1:7" ht="29.25">
      <c r="A163" s="780" t="s">
        <v>320</v>
      </c>
      <c r="B163" s="781"/>
      <c r="C163" s="781"/>
      <c r="D163" s="506" t="s">
        <v>253</v>
      </c>
      <c r="E163" s="654">
        <v>44727</v>
      </c>
      <c r="F163" s="654">
        <v>44933</v>
      </c>
      <c r="G163" s="468">
        <f t="shared" si="16"/>
        <v>206</v>
      </c>
    </row>
    <row r="164" spans="1:7" ht="29.25">
      <c r="A164" s="780" t="s">
        <v>321</v>
      </c>
      <c r="B164" s="781"/>
      <c r="C164" s="781"/>
      <c r="D164" s="506" t="s">
        <v>253</v>
      </c>
      <c r="E164" s="654">
        <v>6554</v>
      </c>
      <c r="F164" s="654">
        <v>6560</v>
      </c>
      <c r="G164" s="468">
        <f t="shared" si="16"/>
        <v>6</v>
      </c>
    </row>
    <row r="165" spans="1:7" ht="29.25">
      <c r="A165" s="782" t="s">
        <v>252</v>
      </c>
      <c r="B165" s="599"/>
      <c r="C165" s="599"/>
      <c r="D165" s="506" t="s">
        <v>253</v>
      </c>
      <c r="E165" s="509">
        <f>E62</f>
        <v>20419</v>
      </c>
      <c r="F165" s="509">
        <f>F62</f>
        <v>20419</v>
      </c>
      <c r="G165" s="468">
        <f t="shared" ref="G165:G172" si="17">F165-E165</f>
        <v>0</v>
      </c>
    </row>
    <row r="166" spans="1:7" ht="29.25">
      <c r="A166" s="782" t="s">
        <v>254</v>
      </c>
      <c r="B166" s="599"/>
      <c r="C166" s="599"/>
      <c r="D166" s="506" t="s">
        <v>253</v>
      </c>
      <c r="E166" s="509">
        <v>2472</v>
      </c>
      <c r="F166" s="509">
        <v>2472</v>
      </c>
      <c r="G166" s="468">
        <f t="shared" si="17"/>
        <v>0</v>
      </c>
    </row>
    <row r="167" spans="1:7" ht="27.75">
      <c r="A167" s="1502" t="s">
        <v>161</v>
      </c>
      <c r="B167" s="1502"/>
      <c r="C167" s="1502"/>
      <c r="D167" s="518" t="s">
        <v>253</v>
      </c>
      <c r="E167" s="509">
        <f t="shared" ref="E167:E172" si="18">E64</f>
        <v>159745</v>
      </c>
      <c r="F167" s="509">
        <f t="shared" ref="F167:F172" si="19">F64</f>
        <v>159932</v>
      </c>
      <c r="G167" s="468">
        <f t="shared" si="17"/>
        <v>187</v>
      </c>
    </row>
    <row r="168" spans="1:7" ht="27.75">
      <c r="A168" s="1502" t="s">
        <v>162</v>
      </c>
      <c r="B168" s="1502"/>
      <c r="C168" s="1502"/>
      <c r="D168" s="518" t="s">
        <v>253</v>
      </c>
      <c r="E168" s="509">
        <f t="shared" si="18"/>
        <v>160777</v>
      </c>
      <c r="F168" s="509">
        <f t="shared" si="19"/>
        <v>160998</v>
      </c>
      <c r="G168" s="468">
        <f t="shared" si="17"/>
        <v>221</v>
      </c>
    </row>
    <row r="169" spans="1:7" ht="27.75">
      <c r="A169" s="1502" t="s">
        <v>255</v>
      </c>
      <c r="B169" s="1502"/>
      <c r="C169" s="1502"/>
      <c r="D169" s="518" t="s">
        <v>253</v>
      </c>
      <c r="E169" s="509">
        <f t="shared" si="18"/>
        <v>56522</v>
      </c>
      <c r="F169" s="509">
        <f t="shared" si="19"/>
        <v>56805</v>
      </c>
      <c r="G169" s="468">
        <f t="shared" si="17"/>
        <v>283</v>
      </c>
    </row>
    <row r="170" spans="1:7" ht="27.75">
      <c r="A170" s="1502" t="s">
        <v>157</v>
      </c>
      <c r="B170" s="1502"/>
      <c r="C170" s="1502"/>
      <c r="D170" s="518" t="s">
        <v>253</v>
      </c>
      <c r="E170" s="509">
        <f t="shared" si="18"/>
        <v>251770</v>
      </c>
      <c r="F170" s="509">
        <f t="shared" si="19"/>
        <v>252192</v>
      </c>
      <c r="G170" s="468">
        <f t="shared" si="17"/>
        <v>422</v>
      </c>
    </row>
    <row r="171" spans="1:7" ht="27.75">
      <c r="A171" s="1502" t="s">
        <v>164</v>
      </c>
      <c r="B171" s="1502"/>
      <c r="C171" s="1502"/>
      <c r="D171" s="518" t="s">
        <v>253</v>
      </c>
      <c r="E171" s="509">
        <f t="shared" si="18"/>
        <v>85321</v>
      </c>
      <c r="F171" s="509">
        <f t="shared" si="19"/>
        <v>85321</v>
      </c>
      <c r="G171" s="468">
        <f t="shared" si="17"/>
        <v>0</v>
      </c>
    </row>
    <row r="172" spans="1:7" ht="27.75">
      <c r="A172" s="1502" t="s">
        <v>165</v>
      </c>
      <c r="B172" s="1502"/>
      <c r="C172" s="1502"/>
      <c r="D172" s="518" t="s">
        <v>253</v>
      </c>
      <c r="E172" s="509">
        <f t="shared" si="18"/>
        <v>81645</v>
      </c>
      <c r="F172" s="509">
        <f t="shared" si="19"/>
        <v>81749</v>
      </c>
      <c r="G172" s="468">
        <f t="shared" si="17"/>
        <v>104</v>
      </c>
    </row>
    <row r="173" spans="1:7" ht="29.25">
      <c r="G173" s="534">
        <f>SUM(G161:G172)</f>
        <v>1911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26"/>
      <c r="B1" s="1426"/>
      <c r="C1" s="1426"/>
      <c r="D1" s="1426"/>
      <c r="E1" s="1426"/>
      <c r="F1" s="1426"/>
      <c r="G1" s="1426"/>
      <c r="H1" s="1426"/>
      <c r="I1" s="1426"/>
      <c r="J1" s="1426"/>
      <c r="K1" s="1426"/>
      <c r="L1" s="1426"/>
      <c r="M1" s="1426"/>
      <c r="N1" s="1426"/>
      <c r="O1" s="1426"/>
    </row>
    <row r="2" spans="1:15" ht="28.5" customHeight="1">
      <c r="A2" s="1" t="s">
        <v>34</v>
      </c>
      <c r="B2" s="1" t="s">
        <v>34</v>
      </c>
      <c r="C2" s="1384" t="s">
        <v>35</v>
      </c>
      <c r="D2" s="4" t="s">
        <v>38</v>
      </c>
      <c r="E2" s="1428" t="s">
        <v>41</v>
      </c>
      <c r="F2" s="1428"/>
      <c r="G2" s="1428"/>
      <c r="H2" s="1434" t="s">
        <v>49</v>
      </c>
      <c r="I2" s="1434"/>
      <c r="J2" s="1434"/>
      <c r="K2" s="1384" t="s">
        <v>50</v>
      </c>
      <c r="L2" s="1434" t="s">
        <v>51</v>
      </c>
      <c r="M2" s="1434"/>
      <c r="N2" s="1434"/>
      <c r="O2" s="1384" t="s">
        <v>52</v>
      </c>
    </row>
    <row r="3" spans="1:15" s="15" customFormat="1" ht="38.25">
      <c r="A3" s="6"/>
      <c r="B3" s="1"/>
      <c r="C3" s="7"/>
      <c r="D3" s="10" t="s">
        <v>58</v>
      </c>
      <c r="E3" s="11" t="s">
        <v>64</v>
      </c>
      <c r="F3" s="11" t="s">
        <v>61</v>
      </c>
      <c r="G3" s="11" t="s">
        <v>62</v>
      </c>
      <c r="H3" s="12" t="s">
        <v>75</v>
      </c>
      <c r="I3" s="12" t="s">
        <v>76</v>
      </c>
      <c r="J3" s="12" t="s">
        <v>77</v>
      </c>
      <c r="K3" s="12"/>
      <c r="L3" s="12" t="s">
        <v>78</v>
      </c>
      <c r="M3" s="12" t="s">
        <v>79</v>
      </c>
      <c r="N3" s="12" t="s">
        <v>365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43</v>
      </c>
      <c r="N16" s="19">
        <v>0</v>
      </c>
      <c r="O16" s="23">
        <f t="shared" si="2"/>
        <v>43</v>
      </c>
    </row>
    <row r="17" spans="1:15">
      <c r="A17" s="16">
        <v>14</v>
      </c>
      <c r="B17" s="17">
        <v>14</v>
      </c>
      <c r="C17" s="27"/>
      <c r="D17" s="19">
        <f>'14'!F8</f>
        <v>593145</v>
      </c>
      <c r="E17" s="19">
        <f>'14'!G96</f>
        <v>-1385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-3520.929999999993</v>
      </c>
      <c r="J17" s="19">
        <f>'14'!G71</f>
        <v>0</v>
      </c>
      <c r="K17" s="23">
        <f t="shared" si="1"/>
        <v>-3520.929999999993</v>
      </c>
      <c r="L17" s="19">
        <f>'14'!G72</f>
        <v>-379</v>
      </c>
      <c r="M17" s="19">
        <f>'14'!G73</f>
        <v>-61</v>
      </c>
      <c r="N17" s="19">
        <v>0</v>
      </c>
      <c r="O17" s="23">
        <f t="shared" si="2"/>
        <v>-440</v>
      </c>
    </row>
    <row r="18" spans="1:15">
      <c r="A18" s="16">
        <v>15</v>
      </c>
      <c r="B18" s="26">
        <v>15</v>
      </c>
      <c r="C18" s="18"/>
      <c r="D18" s="19">
        <f>'15'!F8</f>
        <v>610295</v>
      </c>
      <c r="E18" s="19">
        <f>'15'!G96</f>
        <v>42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89.929999999993015</v>
      </c>
      <c r="J18" s="19">
        <f>'15'!G71</f>
        <v>0</v>
      </c>
      <c r="K18" s="23">
        <f t="shared" si="1"/>
        <v>89.929999999993015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5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3" customWidth="1"/>
    <col min="2" max="2" width="24" style="113" customWidth="1"/>
    <col min="3" max="3" width="18.77734375" style="113" customWidth="1"/>
    <col min="4" max="4" width="11.44140625" style="113" customWidth="1"/>
    <col min="5" max="5" width="19.6640625" style="113" bestFit="1" customWidth="1"/>
    <col min="6" max="6" width="18.5546875" style="113" customWidth="1"/>
    <col min="7" max="7" width="19.33203125" style="113" customWidth="1"/>
    <col min="8" max="8" width="17.6640625" style="154" customWidth="1"/>
    <col min="9" max="9" width="18.88671875" style="113" customWidth="1"/>
    <col min="10" max="10" width="23" style="155" customWidth="1"/>
    <col min="11" max="16384" width="22.33203125" style="113"/>
  </cols>
  <sheetData>
    <row r="1" spans="1:12" ht="28.5" customHeight="1">
      <c r="A1" s="1623" t="s">
        <v>322</v>
      </c>
      <c r="B1" s="1623"/>
      <c r="C1" s="1623"/>
      <c r="D1" s="1623"/>
      <c r="E1" s="1623"/>
      <c r="F1" s="1623"/>
      <c r="G1" s="1623"/>
      <c r="H1" s="1623"/>
      <c r="I1" s="1623"/>
      <c r="J1" s="1623"/>
    </row>
    <row r="2" spans="1:12" ht="23.25" customHeight="1">
      <c r="A2" s="213" t="s">
        <v>366</v>
      </c>
      <c r="B2" s="194">
        <v>42328</v>
      </c>
      <c r="C2" s="1624" t="s">
        <v>367</v>
      </c>
      <c r="D2" s="1625"/>
      <c r="E2" s="190" t="s">
        <v>184</v>
      </c>
      <c r="F2" s="190" t="s">
        <v>40</v>
      </c>
      <c r="G2" s="190" t="s">
        <v>42</v>
      </c>
      <c r="H2" s="39" t="s">
        <v>185</v>
      </c>
      <c r="I2" s="40"/>
      <c r="J2" s="41"/>
    </row>
    <row r="3" spans="1:12" ht="18.75" customHeight="1">
      <c r="A3" s="1109" t="s">
        <v>368</v>
      </c>
      <c r="B3" s="188"/>
      <c r="C3" s="188"/>
      <c r="D3" s="1110"/>
      <c r="E3" s="114" t="str">
        <f>'1'!E3</f>
        <v>Last year same month avg</v>
      </c>
      <c r="F3" s="51">
        <f>'1'!F3</f>
        <v>0</v>
      </c>
      <c r="G3" s="51">
        <f>'1'!G3</f>
        <v>0</v>
      </c>
      <c r="H3" s="48">
        <f>'1'!H3</f>
        <v>0</v>
      </c>
      <c r="I3" s="40" t="s">
        <v>369</v>
      </c>
      <c r="J3" s="41" t="s">
        <v>370</v>
      </c>
      <c r="K3" s="115"/>
      <c r="L3" s="116"/>
    </row>
    <row r="4" spans="1:12" ht="18.75" customHeight="1">
      <c r="A4" s="44" t="s">
        <v>371</v>
      </c>
      <c r="B4" s="45" t="s">
        <v>372</v>
      </c>
      <c r="C4" s="38" t="s">
        <v>111</v>
      </c>
      <c r="D4" s="214">
        <v>0.8</v>
      </c>
      <c r="E4" s="46"/>
      <c r="F4" s="46"/>
      <c r="G4" s="47"/>
      <c r="H4" s="40"/>
      <c r="I4" s="48">
        <v>31</v>
      </c>
      <c r="J4" s="49">
        <v>82</v>
      </c>
      <c r="K4" s="117"/>
      <c r="L4" s="116"/>
    </row>
    <row r="5" spans="1:12" ht="18.75" customHeight="1" thickBot="1">
      <c r="A5" s="215" t="s">
        <v>189</v>
      </c>
      <c r="B5" s="216"/>
      <c r="C5" s="217"/>
      <c r="D5" s="218" t="s">
        <v>190</v>
      </c>
      <c r="E5" s="219" t="s">
        <v>191</v>
      </c>
      <c r="F5" s="219" t="s">
        <v>177</v>
      </c>
      <c r="G5" s="220" t="s">
        <v>192</v>
      </c>
      <c r="H5" s="221" t="s">
        <v>193</v>
      </c>
      <c r="I5" s="222" t="s">
        <v>194</v>
      </c>
      <c r="J5" s="220" t="s">
        <v>195</v>
      </c>
      <c r="K5" s="52"/>
      <c r="L5" s="116"/>
    </row>
    <row r="6" spans="1:12" ht="18.75" customHeight="1">
      <c r="A6" s="1640" t="s">
        <v>196</v>
      </c>
      <c r="B6" s="1641"/>
      <c r="C6" s="1642"/>
      <c r="D6" s="59"/>
      <c r="E6" s="59"/>
      <c r="F6" s="59"/>
      <c r="G6" s="59"/>
      <c r="H6" s="60"/>
      <c r="I6" s="61"/>
      <c r="J6" s="62"/>
      <c r="K6" s="42"/>
      <c r="L6" s="116"/>
    </row>
    <row r="7" spans="1:12" ht="20.25" customHeight="1" thickBot="1">
      <c r="A7" s="247" t="s">
        <v>197</v>
      </c>
      <c r="B7" s="248"/>
      <c r="C7" s="249"/>
      <c r="D7" s="132" t="s">
        <v>198</v>
      </c>
      <c r="E7" s="158"/>
      <c r="F7" s="158"/>
      <c r="G7" s="202"/>
      <c r="H7" s="159"/>
      <c r="I7" s="250"/>
      <c r="J7" s="135"/>
      <c r="K7" s="58"/>
      <c r="L7" s="116"/>
    </row>
    <row r="8" spans="1:12" ht="12.75" customHeight="1">
      <c r="A8" s="243"/>
      <c r="B8" s="244"/>
      <c r="C8" s="245"/>
      <c r="D8" s="136"/>
      <c r="E8" s="160"/>
      <c r="F8" s="160"/>
      <c r="G8" s="138"/>
      <c r="H8" s="161"/>
      <c r="I8" s="246"/>
      <c r="J8" s="140"/>
      <c r="K8" s="58"/>
      <c r="L8" s="116"/>
    </row>
    <row r="9" spans="1:12" ht="18.75" customHeight="1">
      <c r="A9" s="63" t="s">
        <v>200</v>
      </c>
      <c r="B9" s="64"/>
      <c r="C9" s="65"/>
      <c r="D9" s="54" t="s">
        <v>198</v>
      </c>
      <c r="E9" s="55"/>
      <c r="F9" s="66"/>
      <c r="G9" s="67"/>
      <c r="H9" s="56"/>
      <c r="I9" s="68"/>
      <c r="J9" s="57"/>
      <c r="K9" s="58"/>
      <c r="L9" s="116"/>
    </row>
    <row r="10" spans="1:12" ht="18.75" customHeight="1">
      <c r="A10" s="191" t="s">
        <v>201</v>
      </c>
      <c r="B10" s="192"/>
      <c r="C10" s="193"/>
      <c r="D10" s="54" t="s">
        <v>198</v>
      </c>
      <c r="E10" s="55"/>
      <c r="F10" s="66"/>
      <c r="G10" s="67"/>
      <c r="H10" s="56"/>
      <c r="I10" s="68"/>
      <c r="J10" s="57"/>
      <c r="K10" s="58"/>
      <c r="L10" s="116"/>
    </row>
    <row r="11" spans="1:12" ht="18.75" customHeight="1">
      <c r="A11" s="191" t="s">
        <v>202</v>
      </c>
      <c r="B11" s="192"/>
      <c r="C11" s="193"/>
      <c r="D11" s="54" t="s">
        <v>198</v>
      </c>
      <c r="E11" s="55"/>
      <c r="F11" s="55"/>
      <c r="G11" s="67"/>
      <c r="H11" s="56"/>
      <c r="I11" s="68"/>
      <c r="J11" s="57"/>
      <c r="K11" s="58"/>
      <c r="L11" s="116"/>
    </row>
    <row r="12" spans="1:12" ht="18.75" customHeight="1">
      <c r="A12" s="191" t="s">
        <v>203</v>
      </c>
      <c r="B12" s="192"/>
      <c r="C12" s="193"/>
      <c r="D12" s="54" t="s">
        <v>198</v>
      </c>
      <c r="E12" s="55"/>
      <c r="F12" s="66"/>
      <c r="G12" s="67"/>
      <c r="H12" s="56"/>
      <c r="I12" s="68"/>
      <c r="J12" s="57"/>
      <c r="K12" s="58"/>
      <c r="L12" s="116"/>
    </row>
    <row r="13" spans="1:12" ht="18.75" customHeight="1">
      <c r="A13" s="179" t="s">
        <v>204</v>
      </c>
      <c r="B13" s="180"/>
      <c r="C13" s="181"/>
      <c r="D13" s="54"/>
      <c r="E13" s="118"/>
      <c r="F13" s="69"/>
      <c r="G13" s="67"/>
      <c r="H13" s="56"/>
      <c r="I13" s="68"/>
      <c r="J13" s="57"/>
      <c r="K13" s="58"/>
      <c r="L13" s="116"/>
    </row>
    <row r="14" spans="1:12" ht="18.75" customHeight="1">
      <c r="A14" s="1637" t="s">
        <v>205</v>
      </c>
      <c r="B14" s="1638"/>
      <c r="C14" s="1639"/>
      <c r="D14" s="70"/>
      <c r="E14" s="70"/>
      <c r="F14" s="70"/>
      <c r="G14" s="127"/>
      <c r="H14" s="71"/>
      <c r="I14" s="72"/>
      <c r="J14" s="73"/>
      <c r="K14" s="74"/>
      <c r="L14" s="116"/>
    </row>
    <row r="15" spans="1:12" ht="18.75" customHeight="1" thickBot="1">
      <c r="A15" s="182" t="s">
        <v>133</v>
      </c>
      <c r="B15" s="183"/>
      <c r="C15" s="184"/>
      <c r="D15" s="132" t="s">
        <v>206</v>
      </c>
      <c r="E15" s="158"/>
      <c r="F15" s="133"/>
      <c r="G15" s="134"/>
      <c r="H15" s="159"/>
      <c r="I15" s="250"/>
      <c r="J15" s="135"/>
      <c r="K15" s="58"/>
      <c r="L15" s="116"/>
    </row>
    <row r="16" spans="1:12" ht="18.75" customHeight="1">
      <c r="A16" s="223"/>
      <c r="B16" s="224"/>
      <c r="C16" s="225"/>
      <c r="D16" s="226"/>
      <c r="E16" s="227"/>
      <c r="F16" s="211"/>
      <c r="G16" s="204"/>
      <c r="H16" s="251"/>
      <c r="I16" s="252"/>
      <c r="J16" s="228"/>
      <c r="K16" s="58"/>
      <c r="L16" s="116"/>
    </row>
    <row r="17" spans="1:12" ht="18.75" customHeight="1">
      <c r="A17" s="1637" t="s">
        <v>207</v>
      </c>
      <c r="B17" s="1638"/>
      <c r="C17" s="1639"/>
      <c r="D17" s="70"/>
      <c r="E17" s="70"/>
      <c r="F17" s="70"/>
      <c r="G17" s="121"/>
      <c r="H17" s="71"/>
      <c r="I17" s="72"/>
      <c r="J17" s="122"/>
      <c r="K17" s="58"/>
      <c r="L17" s="116"/>
    </row>
    <row r="18" spans="1:12" ht="18.75" customHeight="1">
      <c r="A18" s="1643" t="s">
        <v>208</v>
      </c>
      <c r="B18" s="1644"/>
      <c r="C18" s="1645"/>
      <c r="D18" s="54" t="s">
        <v>209</v>
      </c>
      <c r="E18" s="55"/>
      <c r="F18" s="81"/>
      <c r="G18" s="123"/>
      <c r="H18" s="56"/>
      <c r="I18" s="68"/>
      <c r="J18" s="57"/>
      <c r="K18" s="58"/>
      <c r="L18" s="116"/>
    </row>
    <row r="19" spans="1:12" ht="18.75" customHeight="1">
      <c r="A19" s="1643" t="s">
        <v>113</v>
      </c>
      <c r="B19" s="1644"/>
      <c r="C19" s="1645"/>
      <c r="D19" s="54" t="s">
        <v>209</v>
      </c>
      <c r="E19" s="55"/>
      <c r="F19" s="81"/>
      <c r="G19" s="123"/>
      <c r="H19" s="56"/>
      <c r="I19" s="79"/>
      <c r="J19" s="57"/>
      <c r="K19" s="58"/>
      <c r="L19" s="116"/>
    </row>
    <row r="20" spans="1:12" ht="18.75" customHeight="1">
      <c r="A20" s="179" t="s">
        <v>210</v>
      </c>
      <c r="B20" s="180"/>
      <c r="C20" s="181"/>
      <c r="D20" s="119"/>
      <c r="E20" s="55"/>
      <c r="F20" s="119"/>
      <c r="G20" s="124"/>
      <c r="H20" s="56"/>
      <c r="I20" s="157"/>
      <c r="J20" s="57"/>
      <c r="K20" s="58"/>
      <c r="L20" s="116"/>
    </row>
    <row r="21" spans="1:12" ht="18.75" customHeight="1">
      <c r="A21" s="1637" t="s">
        <v>211</v>
      </c>
      <c r="B21" s="1638"/>
      <c r="C21" s="1639"/>
      <c r="D21" s="70"/>
      <c r="E21" s="70"/>
      <c r="F21" s="70"/>
      <c r="G21" s="127"/>
      <c r="H21" s="71"/>
      <c r="I21" s="89"/>
      <c r="J21" s="73"/>
      <c r="K21" s="58"/>
      <c r="L21" s="116"/>
    </row>
    <row r="22" spans="1:12" ht="18.75" customHeight="1">
      <c r="A22" s="1399" t="s">
        <v>212</v>
      </c>
      <c r="B22" s="1400"/>
      <c r="C22" s="1401"/>
      <c r="D22" s="54" t="s">
        <v>213</v>
      </c>
      <c r="E22" s="55"/>
      <c r="F22" s="81"/>
      <c r="G22" s="123"/>
      <c r="H22" s="56"/>
      <c r="I22" s="68"/>
      <c r="J22" s="57"/>
      <c r="K22" s="58"/>
      <c r="L22" s="116"/>
    </row>
    <row r="23" spans="1:12" ht="18.75" customHeight="1">
      <c r="A23" s="1399" t="s">
        <v>214</v>
      </c>
      <c r="B23" s="1400"/>
      <c r="C23" s="1401"/>
      <c r="D23" s="54" t="s">
        <v>213</v>
      </c>
      <c r="E23" s="55"/>
      <c r="F23" s="81"/>
      <c r="G23" s="123"/>
      <c r="H23" s="56"/>
      <c r="I23" s="68"/>
      <c r="J23" s="57"/>
      <c r="K23" s="58"/>
      <c r="L23" s="116"/>
    </row>
    <row r="24" spans="1:12" ht="18.75" customHeight="1">
      <c r="A24" s="169" t="s">
        <v>215</v>
      </c>
      <c r="B24" s="170"/>
      <c r="C24" s="171"/>
      <c r="D24" s="53" t="s">
        <v>213</v>
      </c>
      <c r="E24" s="55"/>
      <c r="F24" s="90"/>
      <c r="G24" s="141"/>
      <c r="H24" s="56"/>
      <c r="I24" s="68"/>
      <c r="J24" s="57"/>
      <c r="K24" s="58"/>
      <c r="L24" s="116"/>
    </row>
    <row r="25" spans="1:12" ht="18.75" customHeight="1">
      <c r="A25" s="1646" t="s">
        <v>216</v>
      </c>
      <c r="B25" s="1647"/>
      <c r="C25" s="1648"/>
      <c r="D25" s="59"/>
      <c r="E25" s="59"/>
      <c r="F25" s="59"/>
      <c r="G25" s="125"/>
      <c r="H25" s="60"/>
      <c r="I25" s="142"/>
      <c r="J25" s="62"/>
      <c r="K25" s="58"/>
      <c r="L25" s="116"/>
    </row>
    <row r="26" spans="1:12" ht="18.75" customHeight="1">
      <c r="A26" s="163" t="s">
        <v>217</v>
      </c>
      <c r="B26" s="164"/>
      <c r="C26" s="165"/>
      <c r="D26" s="143" t="s">
        <v>218</v>
      </c>
      <c r="E26" s="91"/>
      <c r="F26" s="91"/>
      <c r="G26" s="130"/>
      <c r="H26" s="56"/>
      <c r="I26" s="144"/>
      <c r="J26" s="92"/>
      <c r="K26" s="74"/>
      <c r="L26" s="116"/>
    </row>
    <row r="27" spans="1:12" ht="18.75" customHeight="1">
      <c r="A27" s="163" t="s">
        <v>40</v>
      </c>
      <c r="B27" s="164"/>
      <c r="C27" s="165"/>
      <c r="D27" s="145" t="s">
        <v>198</v>
      </c>
      <c r="E27" s="93"/>
      <c r="F27" s="94"/>
      <c r="G27" s="146"/>
      <c r="H27" s="56"/>
      <c r="I27" s="147"/>
      <c r="J27" s="57"/>
      <c r="K27" s="58"/>
      <c r="L27" s="116"/>
    </row>
    <row r="28" spans="1:12" ht="18.75" customHeight="1">
      <c r="A28" s="163" t="s">
        <v>219</v>
      </c>
      <c r="B28" s="164"/>
      <c r="C28" s="165"/>
      <c r="D28" s="145" t="s">
        <v>220</v>
      </c>
      <c r="E28" s="95"/>
      <c r="F28" s="94"/>
      <c r="G28" s="146"/>
      <c r="H28" s="56"/>
      <c r="I28" s="111"/>
      <c r="J28" s="57"/>
      <c r="K28" s="58"/>
      <c r="L28" s="116"/>
    </row>
    <row r="29" spans="1:12" ht="18.75" customHeight="1">
      <c r="A29" s="163" t="s">
        <v>221</v>
      </c>
      <c r="B29" s="164"/>
      <c r="C29" s="165"/>
      <c r="D29" s="145" t="s">
        <v>222</v>
      </c>
      <c r="E29" s="96"/>
      <c r="F29" s="94"/>
      <c r="G29" s="146"/>
      <c r="H29" s="56"/>
      <c r="I29" s="111"/>
      <c r="J29" s="57"/>
      <c r="K29" s="58"/>
      <c r="L29" s="116"/>
    </row>
    <row r="30" spans="1:12" ht="18.75" customHeight="1">
      <c r="A30" s="163" t="s">
        <v>42</v>
      </c>
      <c r="B30" s="164"/>
      <c r="C30" s="165"/>
      <c r="D30" s="145" t="s">
        <v>224</v>
      </c>
      <c r="E30" s="96"/>
      <c r="F30" s="94"/>
      <c r="G30" s="146"/>
      <c r="H30" s="56"/>
      <c r="I30" s="111"/>
      <c r="J30" s="57"/>
      <c r="K30" s="58"/>
      <c r="L30" s="116"/>
    </row>
    <row r="31" spans="1:12" ht="18.75" customHeight="1">
      <c r="A31" s="166" t="s">
        <v>226</v>
      </c>
      <c r="B31" s="167"/>
      <c r="C31" s="168"/>
      <c r="D31" s="148"/>
      <c r="E31" s="148"/>
      <c r="F31" s="148"/>
      <c r="G31" s="149"/>
      <c r="H31" s="56"/>
      <c r="I31" s="150"/>
      <c r="J31" s="57"/>
      <c r="K31" s="58"/>
      <c r="L31" s="116"/>
    </row>
    <row r="32" spans="1:12" ht="18.75" customHeight="1">
      <c r="A32" s="1626" t="s">
        <v>227</v>
      </c>
      <c r="B32" s="1627"/>
      <c r="C32" s="1627"/>
      <c r="D32" s="1627"/>
      <c r="E32" s="1627"/>
      <c r="F32" s="1627"/>
      <c r="G32" s="1627"/>
      <c r="H32" s="1627"/>
      <c r="I32" s="1627"/>
      <c r="J32" s="1628"/>
      <c r="K32" s="58"/>
      <c r="L32" s="116"/>
    </row>
    <row r="33" spans="1:12" ht="18.75" customHeight="1">
      <c r="A33" s="1402" t="s">
        <v>228</v>
      </c>
      <c r="B33" s="1403"/>
      <c r="C33" s="1404"/>
      <c r="D33" s="70"/>
      <c r="E33" s="59"/>
      <c r="F33" s="59"/>
      <c r="G33" s="70"/>
      <c r="H33" s="71"/>
      <c r="I33" s="72"/>
      <c r="J33" s="73"/>
      <c r="K33" s="58"/>
      <c r="L33" s="116"/>
    </row>
    <row r="34" spans="1:12" ht="18.75" customHeight="1">
      <c r="A34" s="191" t="s">
        <v>229</v>
      </c>
      <c r="B34" s="192"/>
      <c r="C34" s="193"/>
      <c r="D34" s="54" t="s">
        <v>198</v>
      </c>
      <c r="E34" s="162"/>
      <c r="F34" s="210"/>
      <c r="G34" s="67"/>
      <c r="H34" s="56"/>
      <c r="I34" s="55"/>
      <c r="J34" s="57"/>
      <c r="K34" s="58"/>
      <c r="L34" s="116"/>
    </row>
    <row r="35" spans="1:12" ht="18.75" customHeight="1">
      <c r="A35" s="191" t="s">
        <v>230</v>
      </c>
      <c r="B35" s="192"/>
      <c r="C35" s="193"/>
      <c r="D35" s="54" t="s">
        <v>198</v>
      </c>
      <c r="E35" s="162"/>
      <c r="F35" s="210"/>
      <c r="G35" s="67"/>
      <c r="H35" s="56"/>
      <c r="I35" s="55"/>
      <c r="J35" s="57"/>
      <c r="K35" s="58"/>
      <c r="L35" s="116"/>
    </row>
    <row r="36" spans="1:12" ht="18.75" customHeight="1">
      <c r="A36" s="191" t="s">
        <v>231</v>
      </c>
      <c r="B36" s="192"/>
      <c r="C36" s="193"/>
      <c r="D36" s="54" t="s">
        <v>198</v>
      </c>
      <c r="E36" s="162"/>
      <c r="F36" s="210"/>
      <c r="G36" s="67"/>
      <c r="H36" s="56"/>
      <c r="I36" s="55"/>
      <c r="J36" s="57"/>
      <c r="K36" s="58"/>
      <c r="L36" s="116"/>
    </row>
    <row r="37" spans="1:12" ht="18.75" customHeight="1">
      <c r="A37" s="191" t="s">
        <v>232</v>
      </c>
      <c r="B37" s="192"/>
      <c r="C37" s="193"/>
      <c r="D37" s="54" t="s">
        <v>198</v>
      </c>
      <c r="E37" s="162"/>
      <c r="F37" s="162"/>
      <c r="G37" s="67"/>
      <c r="H37" s="56"/>
      <c r="I37" s="55"/>
      <c r="J37" s="57"/>
      <c r="K37" s="58"/>
      <c r="L37" s="116"/>
    </row>
    <row r="38" spans="1:12" ht="18.75" customHeight="1">
      <c r="A38" s="191" t="s">
        <v>233</v>
      </c>
      <c r="B38" s="192"/>
      <c r="C38" s="193"/>
      <c r="D38" s="54" t="s">
        <v>198</v>
      </c>
      <c r="E38" s="162"/>
      <c r="F38" s="210"/>
      <c r="G38" s="67"/>
      <c r="H38" s="56"/>
      <c r="I38" s="55"/>
      <c r="J38" s="57"/>
      <c r="K38" s="58"/>
      <c r="L38" s="116"/>
    </row>
    <row r="39" spans="1:12" ht="18.75" customHeight="1">
      <c r="A39" s="75" t="s">
        <v>234</v>
      </c>
      <c r="B39" s="76"/>
      <c r="C39" s="77"/>
      <c r="D39" s="54" t="s">
        <v>198</v>
      </c>
      <c r="E39" s="162"/>
      <c r="F39" s="210"/>
      <c r="G39" s="67"/>
      <c r="H39" s="56"/>
      <c r="I39" s="55"/>
      <c r="J39" s="57"/>
      <c r="K39" s="74"/>
      <c r="L39" s="116"/>
    </row>
    <row r="40" spans="1:12" ht="18.75" customHeight="1">
      <c r="A40" s="191" t="s">
        <v>235</v>
      </c>
      <c r="B40" s="192"/>
      <c r="C40" s="193"/>
      <c r="D40" s="54" t="s">
        <v>198</v>
      </c>
      <c r="E40" s="162"/>
      <c r="F40" s="210"/>
      <c r="G40" s="67"/>
      <c r="H40" s="56"/>
      <c r="I40" s="55"/>
      <c r="J40" s="57"/>
      <c r="K40" s="58"/>
      <c r="L40" s="116"/>
    </row>
    <row r="41" spans="1:12" ht="18.75" customHeight="1">
      <c r="A41" s="191" t="s">
        <v>236</v>
      </c>
      <c r="B41" s="192"/>
      <c r="C41" s="193"/>
      <c r="D41" s="54" t="s">
        <v>198</v>
      </c>
      <c r="E41" s="162"/>
      <c r="F41" s="210"/>
      <c r="G41" s="67"/>
      <c r="H41" s="56"/>
      <c r="I41" s="55"/>
      <c r="J41" s="57"/>
      <c r="K41" s="58"/>
      <c r="L41" s="116"/>
    </row>
    <row r="42" spans="1:12" ht="18.75" customHeight="1">
      <c r="A42" s="191" t="s">
        <v>237</v>
      </c>
      <c r="B42" s="192"/>
      <c r="C42" s="193"/>
      <c r="D42" s="54" t="s">
        <v>198</v>
      </c>
      <c r="E42" s="162"/>
      <c r="F42" s="210"/>
      <c r="G42" s="67"/>
      <c r="H42" s="56"/>
      <c r="I42" s="55"/>
      <c r="J42" s="57"/>
      <c r="K42" s="58"/>
      <c r="L42" s="116"/>
    </row>
    <row r="43" spans="1:12" ht="18.75" customHeight="1">
      <c r="A43" s="191" t="s">
        <v>238</v>
      </c>
      <c r="B43" s="192"/>
      <c r="C43" s="193"/>
      <c r="D43" s="54" t="s">
        <v>198</v>
      </c>
      <c r="E43" s="162"/>
      <c r="F43" s="210"/>
      <c r="G43" s="67"/>
      <c r="H43" s="56"/>
      <c r="I43" s="55"/>
      <c r="J43" s="57"/>
      <c r="K43" s="58"/>
      <c r="L43" s="116"/>
    </row>
    <row r="44" spans="1:12" ht="18.75" customHeight="1">
      <c r="A44" s="191" t="s">
        <v>239</v>
      </c>
      <c r="B44" s="192"/>
      <c r="C44" s="193"/>
      <c r="D44" s="54" t="s">
        <v>198</v>
      </c>
      <c r="E44" s="162"/>
      <c r="F44" s="210"/>
      <c r="G44" s="67"/>
      <c r="H44" s="56"/>
      <c r="I44" s="55"/>
      <c r="J44" s="57"/>
      <c r="K44" s="58"/>
      <c r="L44" s="116"/>
    </row>
    <row r="45" spans="1:12" ht="18.75" customHeight="1">
      <c r="A45" s="191" t="s">
        <v>240</v>
      </c>
      <c r="B45" s="192"/>
      <c r="C45" s="193"/>
      <c r="D45" s="54" t="s">
        <v>198</v>
      </c>
      <c r="E45" s="162"/>
      <c r="F45" s="210"/>
      <c r="G45" s="67"/>
      <c r="H45" s="56"/>
      <c r="I45" s="55"/>
      <c r="J45" s="57"/>
      <c r="K45" s="58"/>
      <c r="L45" s="116"/>
    </row>
    <row r="46" spans="1:12" ht="18.75" customHeight="1">
      <c r="A46" s="179" t="s">
        <v>241</v>
      </c>
      <c r="B46" s="180"/>
      <c r="C46" s="181"/>
      <c r="D46" s="78"/>
      <c r="E46" s="120"/>
      <c r="F46" s="53"/>
      <c r="G46" s="67"/>
      <c r="H46" s="56"/>
      <c r="I46" s="55"/>
      <c r="J46" s="57"/>
      <c r="K46" s="58"/>
      <c r="L46" s="116"/>
    </row>
    <row r="47" spans="1:12" ht="18.75" customHeight="1">
      <c r="A47" s="1402" t="s">
        <v>242</v>
      </c>
      <c r="B47" s="1403"/>
      <c r="C47" s="1404"/>
      <c r="D47" s="70"/>
      <c r="E47" s="59"/>
      <c r="F47" s="59"/>
      <c r="G47" s="70"/>
      <c r="H47" s="71"/>
      <c r="I47" s="72"/>
      <c r="J47" s="73"/>
      <c r="K47" s="58"/>
      <c r="L47" s="116"/>
    </row>
    <row r="48" spans="1:12" ht="18.75" customHeight="1">
      <c r="A48" s="191" t="s">
        <v>229</v>
      </c>
      <c r="B48" s="174"/>
      <c r="C48" s="175"/>
      <c r="D48" s="54" t="s">
        <v>198</v>
      </c>
      <c r="E48" s="162"/>
      <c r="F48" s="210"/>
      <c r="G48" s="67"/>
      <c r="H48" s="56"/>
      <c r="I48" s="55"/>
      <c r="J48" s="57"/>
      <c r="K48" s="58"/>
      <c r="L48" s="116"/>
    </row>
    <row r="49" spans="1:12" ht="18.75" customHeight="1">
      <c r="A49" s="191" t="s">
        <v>243</v>
      </c>
      <c r="B49" s="174"/>
      <c r="C49" s="175"/>
      <c r="D49" s="54" t="s">
        <v>198</v>
      </c>
      <c r="E49" s="162"/>
      <c r="F49" s="210"/>
      <c r="G49" s="67"/>
      <c r="H49" s="56"/>
      <c r="I49" s="55"/>
      <c r="J49" s="57"/>
      <c r="K49" s="58"/>
      <c r="L49" s="116"/>
    </row>
    <row r="50" spans="1:12" ht="18.75" customHeight="1">
      <c r="A50" s="191" t="s">
        <v>231</v>
      </c>
      <c r="B50" s="174"/>
      <c r="C50" s="175"/>
      <c r="D50" s="54" t="s">
        <v>198</v>
      </c>
      <c r="E50" s="162"/>
      <c r="F50" s="210"/>
      <c r="G50" s="67"/>
      <c r="H50" s="56"/>
      <c r="I50" s="55"/>
      <c r="J50" s="57"/>
      <c r="K50" s="58"/>
      <c r="L50" s="116"/>
    </row>
    <row r="51" spans="1:12" ht="18.75" customHeight="1">
      <c r="A51" s="191" t="s">
        <v>244</v>
      </c>
      <c r="B51" s="174"/>
      <c r="C51" s="175"/>
      <c r="D51" s="54" t="s">
        <v>198</v>
      </c>
      <c r="E51" s="162"/>
      <c r="F51" s="210"/>
      <c r="G51" s="67"/>
      <c r="H51" s="56"/>
      <c r="I51" s="55"/>
      <c r="J51" s="57"/>
      <c r="K51" s="58"/>
      <c r="L51" s="116"/>
    </row>
    <row r="52" spans="1:12" ht="18.75" customHeight="1">
      <c r="A52" s="191" t="s">
        <v>233</v>
      </c>
      <c r="B52" s="174"/>
      <c r="C52" s="175"/>
      <c r="D52" s="54" t="s">
        <v>198</v>
      </c>
      <c r="E52" s="162"/>
      <c r="F52" s="210"/>
      <c r="G52" s="67"/>
      <c r="H52" s="56"/>
      <c r="I52" s="55"/>
      <c r="J52" s="57"/>
      <c r="K52" s="58"/>
      <c r="L52" s="116"/>
    </row>
    <row r="53" spans="1:12" ht="18.75" customHeight="1">
      <c r="A53" s="191" t="s">
        <v>245</v>
      </c>
      <c r="B53" s="174"/>
      <c r="C53" s="175"/>
      <c r="D53" s="54" t="s">
        <v>198</v>
      </c>
      <c r="E53" s="162"/>
      <c r="F53" s="210"/>
      <c r="G53" s="67"/>
      <c r="H53" s="56"/>
      <c r="I53" s="55"/>
      <c r="J53" s="57"/>
      <c r="K53" s="58"/>
      <c r="L53" s="116"/>
    </row>
    <row r="54" spans="1:12" ht="18.75" customHeight="1">
      <c r="A54" s="191" t="s">
        <v>246</v>
      </c>
      <c r="B54" s="174"/>
      <c r="C54" s="175"/>
      <c r="D54" s="54" t="s">
        <v>198</v>
      </c>
      <c r="E54" s="162"/>
      <c r="F54" s="210"/>
      <c r="G54" s="67"/>
      <c r="H54" s="56"/>
      <c r="I54" s="55"/>
      <c r="J54" s="57"/>
      <c r="K54" s="58"/>
      <c r="L54" s="116"/>
    </row>
    <row r="55" spans="1:12" ht="18.75" customHeight="1">
      <c r="A55" s="191" t="s">
        <v>247</v>
      </c>
      <c r="B55" s="174"/>
      <c r="C55" s="175"/>
      <c r="D55" s="54" t="s">
        <v>248</v>
      </c>
      <c r="E55" s="162"/>
      <c r="F55" s="210"/>
      <c r="G55" s="67"/>
      <c r="H55" s="56"/>
      <c r="I55" s="55"/>
      <c r="J55" s="57"/>
      <c r="K55" s="42"/>
      <c r="L55" s="116"/>
    </row>
    <row r="56" spans="1:12" ht="18.75" customHeight="1">
      <c r="A56" s="191" t="s">
        <v>237</v>
      </c>
      <c r="B56" s="174"/>
      <c r="C56" s="175"/>
      <c r="D56" s="54" t="s">
        <v>198</v>
      </c>
      <c r="E56" s="162"/>
      <c r="F56" s="210"/>
      <c r="G56" s="67"/>
      <c r="H56" s="56"/>
      <c r="I56" s="55"/>
      <c r="J56" s="57"/>
      <c r="K56" s="58"/>
      <c r="L56" s="116"/>
    </row>
    <row r="57" spans="1:12" ht="18.75" customHeight="1">
      <c r="A57" s="191" t="s">
        <v>249</v>
      </c>
      <c r="B57" s="174"/>
      <c r="C57" s="175"/>
      <c r="D57" s="54" t="s">
        <v>198</v>
      </c>
      <c r="E57" s="162"/>
      <c r="F57" s="210"/>
      <c r="G57" s="67"/>
      <c r="H57" s="56"/>
      <c r="I57" s="55"/>
      <c r="J57" s="57"/>
      <c r="K57" s="58"/>
      <c r="L57" s="116"/>
    </row>
    <row r="58" spans="1:12" ht="18.75" customHeight="1">
      <c r="A58" s="179" t="s">
        <v>241</v>
      </c>
      <c r="B58" s="180"/>
      <c r="C58" s="181"/>
      <c r="D58" s="53"/>
      <c r="E58" s="120"/>
      <c r="F58" s="53"/>
      <c r="G58" s="67"/>
      <c r="H58" s="56"/>
      <c r="I58" s="55"/>
      <c r="J58" s="57"/>
      <c r="K58" s="58"/>
      <c r="L58" s="116"/>
    </row>
    <row r="59" spans="1:12" ht="18.75" customHeight="1">
      <c r="A59" s="189"/>
      <c r="B59" s="189"/>
      <c r="C59" s="189"/>
      <c r="D59" s="53" t="s">
        <v>250</v>
      </c>
      <c r="E59" s="53"/>
      <c r="F59" s="53"/>
      <c r="G59" s="67"/>
      <c r="H59" s="56"/>
      <c r="I59" s="55"/>
      <c r="J59" s="57"/>
      <c r="K59" s="58"/>
      <c r="L59" s="116"/>
    </row>
    <row r="60" spans="1:12" ht="18.75" customHeight="1">
      <c r="A60" s="97" t="s">
        <v>251</v>
      </c>
      <c r="B60" s="98"/>
      <c r="C60" s="99"/>
      <c r="D60" s="100"/>
      <c r="E60" s="229"/>
      <c r="F60" s="230"/>
      <c r="G60" s="151"/>
      <c r="H60" s="101"/>
      <c r="I60" s="209"/>
      <c r="J60" s="103"/>
      <c r="K60" s="58"/>
      <c r="L60" s="116"/>
    </row>
    <row r="61" spans="1:12" ht="18.75" customHeight="1">
      <c r="A61" s="240" t="s">
        <v>252</v>
      </c>
      <c r="B61" s="241"/>
      <c r="C61" s="242"/>
      <c r="D61" s="53" t="s">
        <v>253</v>
      </c>
      <c r="E61" s="201"/>
      <c r="F61" s="201"/>
      <c r="G61" s="67"/>
      <c r="H61" s="78"/>
      <c r="I61" s="200"/>
      <c r="J61" s="203"/>
      <c r="K61" s="58"/>
      <c r="L61" s="116"/>
    </row>
    <row r="62" spans="1:12" ht="18.75" customHeight="1">
      <c r="A62" s="240" t="s">
        <v>254</v>
      </c>
      <c r="B62" s="241"/>
      <c r="C62" s="242"/>
      <c r="D62" s="53" t="s">
        <v>253</v>
      </c>
      <c r="E62" s="201"/>
      <c r="F62" s="201"/>
      <c r="G62" s="67"/>
      <c r="H62" s="78"/>
      <c r="I62" s="200"/>
      <c r="J62" s="203"/>
      <c r="K62" s="58"/>
      <c r="L62" s="116"/>
    </row>
    <row r="63" spans="1:12" ht="18.75" customHeight="1">
      <c r="A63" s="1631" t="s">
        <v>161</v>
      </c>
      <c r="B63" s="1632"/>
      <c r="C63" s="1633"/>
      <c r="D63" s="54" t="s">
        <v>253</v>
      </c>
      <c r="E63" s="201"/>
      <c r="F63" s="81"/>
      <c r="G63" s="67"/>
      <c r="H63" s="78"/>
      <c r="I63" s="68"/>
      <c r="J63" s="156"/>
      <c r="K63" s="58"/>
      <c r="L63" s="116"/>
    </row>
    <row r="64" spans="1:12" ht="18.75" customHeight="1">
      <c r="A64" s="1631" t="s">
        <v>162</v>
      </c>
      <c r="B64" s="1632"/>
      <c r="C64" s="1633"/>
      <c r="D64" s="54" t="s">
        <v>253</v>
      </c>
      <c r="E64" s="201"/>
      <c r="F64" s="81"/>
      <c r="G64" s="67"/>
      <c r="H64" s="78"/>
      <c r="I64" s="79"/>
      <c r="J64" s="156"/>
      <c r="K64" s="58"/>
      <c r="L64" s="116"/>
    </row>
    <row r="65" spans="1:12" ht="18.75" customHeight="1">
      <c r="A65" s="1631" t="s">
        <v>255</v>
      </c>
      <c r="B65" s="1632"/>
      <c r="C65" s="1633"/>
      <c r="D65" s="54" t="s">
        <v>253</v>
      </c>
      <c r="E65" s="201"/>
      <c r="F65" s="81"/>
      <c r="G65" s="67"/>
      <c r="H65" s="78"/>
      <c r="I65" s="68"/>
      <c r="J65" s="156"/>
      <c r="K65" s="58"/>
      <c r="L65" s="116"/>
    </row>
    <row r="66" spans="1:12" ht="18.75" customHeight="1">
      <c r="A66" s="1631" t="s">
        <v>157</v>
      </c>
      <c r="B66" s="1632"/>
      <c r="C66" s="1633"/>
      <c r="D66" s="54" t="s">
        <v>253</v>
      </c>
      <c r="E66" s="201"/>
      <c r="F66" s="81"/>
      <c r="G66" s="67"/>
      <c r="H66" s="78"/>
      <c r="I66" s="79"/>
      <c r="J66" s="156"/>
      <c r="K66" s="74"/>
      <c r="L66" s="116"/>
    </row>
    <row r="67" spans="1:12" ht="18.75" customHeight="1">
      <c r="A67" s="1631" t="s">
        <v>164</v>
      </c>
      <c r="B67" s="1632"/>
      <c r="C67" s="1633"/>
      <c r="D67" s="54" t="s">
        <v>253</v>
      </c>
      <c r="E67" s="201"/>
      <c r="F67" s="81"/>
      <c r="G67" s="67"/>
      <c r="H67" s="78"/>
      <c r="I67" s="104"/>
      <c r="J67" s="156"/>
      <c r="K67" s="82"/>
      <c r="L67" s="116"/>
    </row>
    <row r="68" spans="1:12" ht="18.75" customHeight="1">
      <c r="A68" s="1631" t="s">
        <v>165</v>
      </c>
      <c r="B68" s="1632"/>
      <c r="C68" s="1633"/>
      <c r="D68" s="54" t="s">
        <v>253</v>
      </c>
      <c r="E68" s="201"/>
      <c r="F68" s="81"/>
      <c r="G68" s="67"/>
      <c r="H68" s="78"/>
      <c r="I68" s="104"/>
      <c r="J68" s="156"/>
      <c r="K68" s="84"/>
      <c r="L68" s="116"/>
    </row>
    <row r="69" spans="1:12" ht="18.75" customHeight="1">
      <c r="A69" s="105" t="s">
        <v>257</v>
      </c>
      <c r="B69" s="106"/>
      <c r="C69" s="106"/>
      <c r="D69" s="173"/>
      <c r="E69" s="107"/>
      <c r="F69" s="107"/>
      <c r="G69" s="108"/>
      <c r="H69" s="101"/>
      <c r="I69" s="102"/>
      <c r="J69" s="198"/>
      <c r="K69" s="82"/>
      <c r="L69" s="116"/>
    </row>
    <row r="70" spans="1:12" ht="18.75" customHeight="1">
      <c r="A70" s="1631" t="s">
        <v>258</v>
      </c>
      <c r="B70" s="1632"/>
      <c r="C70" s="1633"/>
      <c r="D70" s="54" t="s">
        <v>253</v>
      </c>
      <c r="E70" s="109"/>
      <c r="F70" s="109"/>
      <c r="G70" s="67"/>
      <c r="H70" s="56"/>
      <c r="I70" s="68"/>
      <c r="J70" s="156"/>
      <c r="K70" s="84"/>
      <c r="L70" s="116"/>
    </row>
    <row r="71" spans="1:12" ht="18.75" customHeight="1">
      <c r="A71" s="1631" t="s">
        <v>259</v>
      </c>
      <c r="B71" s="1632"/>
      <c r="C71" s="1633"/>
      <c r="D71" s="54" t="s">
        <v>253</v>
      </c>
      <c r="E71" s="109"/>
      <c r="F71" s="109"/>
      <c r="G71" s="67"/>
      <c r="H71" s="56"/>
      <c r="I71" s="68"/>
      <c r="J71" s="156"/>
      <c r="K71" s="82"/>
      <c r="L71" s="116"/>
    </row>
    <row r="72" spans="1:12" ht="18.75" customHeight="1">
      <c r="A72" s="1631" t="s">
        <v>260</v>
      </c>
      <c r="B72" s="1632"/>
      <c r="C72" s="1633"/>
      <c r="D72" s="54" t="s">
        <v>253</v>
      </c>
      <c r="E72" s="109"/>
      <c r="F72" s="109"/>
      <c r="G72" s="67"/>
      <c r="H72" s="56"/>
      <c r="I72" s="68"/>
      <c r="J72" s="156"/>
      <c r="K72" s="84"/>
      <c r="L72" s="116"/>
    </row>
    <row r="73" spans="1:12" ht="18.75" customHeight="1">
      <c r="A73" s="1634" t="s">
        <v>261</v>
      </c>
      <c r="B73" s="1635"/>
      <c r="C73" s="1636"/>
      <c r="D73" s="54" t="s">
        <v>253</v>
      </c>
      <c r="E73" s="109"/>
      <c r="F73" s="109"/>
      <c r="G73" s="67"/>
      <c r="H73" s="56"/>
      <c r="I73" s="68"/>
      <c r="J73" s="156"/>
      <c r="K73" s="82"/>
      <c r="L73" s="116"/>
    </row>
    <row r="74" spans="1:12" ht="18.75" customHeight="1">
      <c r="A74" s="1634" t="s">
        <v>262</v>
      </c>
      <c r="B74" s="1635"/>
      <c r="C74" s="1636"/>
      <c r="D74" s="54" t="s">
        <v>253</v>
      </c>
      <c r="E74" s="109"/>
      <c r="F74" s="109"/>
      <c r="G74" s="123"/>
      <c r="H74" s="56"/>
      <c r="I74" s="111"/>
      <c r="J74" s="156"/>
      <c r="K74" s="82"/>
      <c r="L74" s="116"/>
    </row>
    <row r="75" spans="1:12" ht="18.75" customHeight="1">
      <c r="A75" s="1631" t="s">
        <v>263</v>
      </c>
      <c r="B75" s="1632"/>
      <c r="C75" s="1633"/>
      <c r="D75" s="54" t="s">
        <v>253</v>
      </c>
      <c r="E75" s="109"/>
      <c r="F75" s="109"/>
      <c r="G75" s="123"/>
      <c r="H75" s="56"/>
      <c r="I75" s="111"/>
      <c r="J75" s="156"/>
      <c r="K75" s="82"/>
      <c r="L75" s="116"/>
    </row>
    <row r="76" spans="1:12" ht="18.75" customHeight="1">
      <c r="A76" s="1649" t="s">
        <v>151</v>
      </c>
      <c r="B76" s="1650"/>
      <c r="C76" s="1651"/>
      <c r="D76" s="80" t="s">
        <v>253</v>
      </c>
      <c r="E76" s="109"/>
      <c r="F76" s="109"/>
      <c r="G76" s="123"/>
      <c r="H76" s="56"/>
      <c r="I76" s="111"/>
      <c r="J76" s="156"/>
      <c r="K76" s="82"/>
      <c r="L76" s="116"/>
    </row>
    <row r="77" spans="1:12" ht="18.75" customHeight="1">
      <c r="A77" s="1649" t="s">
        <v>265</v>
      </c>
      <c r="B77" s="1650"/>
      <c r="C77" s="1651"/>
      <c r="D77" s="80" t="s">
        <v>253</v>
      </c>
      <c r="E77" s="109"/>
      <c r="F77" s="109"/>
      <c r="G77" s="123"/>
      <c r="H77" s="56"/>
      <c r="I77" s="111"/>
      <c r="J77" s="156"/>
      <c r="K77" s="82"/>
      <c r="L77" s="116"/>
    </row>
    <row r="78" spans="1:12" ht="18.75" customHeight="1">
      <c r="A78" s="1649" t="s">
        <v>266</v>
      </c>
      <c r="B78" s="1650"/>
      <c r="C78" s="1651"/>
      <c r="D78" s="80" t="s">
        <v>253</v>
      </c>
      <c r="E78" s="109"/>
      <c r="F78" s="109"/>
      <c r="G78" s="123"/>
      <c r="H78" s="56"/>
      <c r="I78" s="111"/>
      <c r="J78" s="156"/>
      <c r="K78" s="82"/>
      <c r="L78" s="116"/>
    </row>
    <row r="79" spans="1:12" ht="18.75" customHeight="1">
      <c r="A79" s="1652" t="s">
        <v>267</v>
      </c>
      <c r="B79" s="1650"/>
      <c r="C79" s="1651"/>
      <c r="D79" s="206" t="s">
        <v>198</v>
      </c>
      <c r="E79" s="109"/>
      <c r="F79" s="195"/>
      <c r="G79" s="195"/>
      <c r="H79" s="204"/>
      <c r="I79" s="205"/>
      <c r="J79" s="199"/>
      <c r="K79" s="82"/>
      <c r="L79" s="116"/>
    </row>
    <row r="80" spans="1:12" ht="18.75" customHeight="1">
      <c r="A80" s="1652" t="s">
        <v>268</v>
      </c>
      <c r="B80" s="1650"/>
      <c r="C80" s="1651"/>
      <c r="D80" s="207" t="s">
        <v>198</v>
      </c>
      <c r="E80" s="109"/>
      <c r="F80" s="53"/>
      <c r="G80" s="201"/>
      <c r="H80" s="201"/>
      <c r="I80" s="67"/>
      <c r="J80" s="78"/>
      <c r="K80" s="74"/>
      <c r="L80" s="116"/>
    </row>
    <row r="81" spans="1:12" ht="18.75" customHeight="1">
      <c r="A81" s="1652" t="s">
        <v>373</v>
      </c>
      <c r="B81" s="1650"/>
      <c r="C81" s="1651"/>
      <c r="D81" s="208" t="s">
        <v>198</v>
      </c>
      <c r="E81" s="109"/>
      <c r="F81" s="54"/>
      <c r="G81" s="201"/>
      <c r="H81" s="201"/>
      <c r="I81" s="67"/>
      <c r="J81" s="56"/>
      <c r="K81" s="87"/>
      <c r="L81" s="116"/>
    </row>
    <row r="82" spans="1:12" s="37" customFormat="1" ht="18.75" customHeight="1">
      <c r="A82" s="112" t="s">
        <v>102</v>
      </c>
      <c r="B82" s="153"/>
      <c r="C82" s="88"/>
      <c r="D82" s="88"/>
      <c r="E82" s="54"/>
      <c r="F82" s="54"/>
      <c r="G82" s="55"/>
      <c r="H82" s="81"/>
      <c r="I82" s="67"/>
      <c r="J82" s="56"/>
      <c r="K82" s="87"/>
      <c r="L82" s="43"/>
    </row>
    <row r="83" spans="1:12" s="37" customFormat="1" ht="18.75" customHeight="1">
      <c r="A83" s="176" t="s">
        <v>274</v>
      </c>
      <c r="B83" s="177"/>
      <c r="C83" s="178"/>
      <c r="D83" s="70"/>
      <c r="E83" s="70"/>
      <c r="F83" s="70"/>
      <c r="G83" s="121"/>
      <c r="H83" s="71"/>
      <c r="I83" s="72"/>
      <c r="J83" s="122"/>
      <c r="K83" s="87"/>
      <c r="L83" s="43"/>
    </row>
    <row r="84" spans="1:12" ht="18.75" customHeight="1">
      <c r="A84" s="1643" t="s">
        <v>15</v>
      </c>
      <c r="B84" s="1644"/>
      <c r="C84" s="1645"/>
      <c r="D84" s="54" t="s">
        <v>209</v>
      </c>
      <c r="E84" s="55"/>
      <c r="F84" s="81"/>
      <c r="G84" s="123"/>
      <c r="H84" s="56"/>
      <c r="I84" s="68"/>
      <c r="J84" s="57"/>
      <c r="K84" s="74"/>
      <c r="L84" s="116"/>
    </row>
    <row r="85" spans="1:12" ht="18.75" customHeight="1">
      <c r="A85" s="1643" t="s">
        <v>16</v>
      </c>
      <c r="B85" s="1644"/>
      <c r="C85" s="1645"/>
      <c r="D85" s="54" t="s">
        <v>209</v>
      </c>
      <c r="E85" s="55"/>
      <c r="F85" s="81"/>
      <c r="G85" s="123"/>
      <c r="H85" s="56"/>
      <c r="I85" s="68"/>
      <c r="J85" s="57"/>
      <c r="K85" s="87"/>
      <c r="L85" s="116"/>
    </row>
    <row r="86" spans="1:12" ht="18.75" customHeight="1">
      <c r="A86" s="1643" t="s">
        <v>17</v>
      </c>
      <c r="B86" s="1644"/>
      <c r="C86" s="1645"/>
      <c r="D86" s="54" t="s">
        <v>209</v>
      </c>
      <c r="E86" s="55"/>
      <c r="F86" s="81"/>
      <c r="G86" s="123"/>
      <c r="H86" s="56"/>
      <c r="I86" s="68"/>
      <c r="J86" s="57"/>
      <c r="K86" s="87"/>
      <c r="L86" s="116"/>
    </row>
    <row r="87" spans="1:12" ht="18.75" customHeight="1">
      <c r="A87" s="1643" t="s">
        <v>18</v>
      </c>
      <c r="B87" s="1644"/>
      <c r="C87" s="1645"/>
      <c r="D87" s="54" t="s">
        <v>209</v>
      </c>
      <c r="E87" s="55"/>
      <c r="F87" s="81"/>
      <c r="G87" s="123"/>
      <c r="H87" s="56"/>
      <c r="I87" s="68"/>
      <c r="J87" s="57"/>
      <c r="K87" s="87"/>
      <c r="L87" s="116"/>
    </row>
    <row r="88" spans="1:12" ht="18.75" customHeight="1">
      <c r="A88" s="1643" t="s">
        <v>19</v>
      </c>
      <c r="B88" s="1644"/>
      <c r="C88" s="1645"/>
      <c r="D88" s="54" t="s">
        <v>209</v>
      </c>
      <c r="E88" s="55"/>
      <c r="F88" s="81"/>
      <c r="G88" s="123"/>
      <c r="H88" s="56"/>
      <c r="I88" s="68"/>
      <c r="J88" s="57"/>
      <c r="K88" s="42"/>
      <c r="L88" s="116"/>
    </row>
    <row r="89" spans="1:12" ht="18.75" customHeight="1">
      <c r="A89" s="1643" t="s">
        <v>20</v>
      </c>
      <c r="B89" s="1644"/>
      <c r="C89" s="1645"/>
      <c r="D89" s="54" t="s">
        <v>209</v>
      </c>
      <c r="E89" s="55"/>
      <c r="F89" s="81"/>
      <c r="G89" s="123"/>
      <c r="H89" s="56"/>
      <c r="I89" s="68"/>
      <c r="J89" s="57"/>
      <c r="K89" s="50"/>
      <c r="L89" s="116"/>
    </row>
    <row r="90" spans="1:12" ht="18.75" customHeight="1">
      <c r="A90" s="1643" t="s">
        <v>21</v>
      </c>
      <c r="B90" s="1644"/>
      <c r="C90" s="1645"/>
      <c r="D90" s="54" t="s">
        <v>209</v>
      </c>
      <c r="E90" s="55"/>
      <c r="F90" s="81"/>
      <c r="G90" s="123"/>
      <c r="H90" s="56"/>
      <c r="I90" s="68"/>
      <c r="J90" s="57"/>
      <c r="K90" s="87"/>
      <c r="L90" s="116"/>
    </row>
    <row r="91" spans="1:12" ht="18.75" customHeight="1">
      <c r="A91" s="1643" t="s">
        <v>22</v>
      </c>
      <c r="B91" s="1644"/>
      <c r="C91" s="1645"/>
      <c r="D91" s="54" t="s">
        <v>209</v>
      </c>
      <c r="E91" s="55"/>
      <c r="F91" s="81"/>
      <c r="G91" s="123"/>
      <c r="H91" s="56"/>
      <c r="I91" s="68"/>
      <c r="J91" s="197"/>
      <c r="K91" s="87"/>
      <c r="L91" s="116"/>
    </row>
    <row r="92" spans="1:12" ht="18.75" customHeight="1">
      <c r="A92" s="1643" t="s">
        <v>23</v>
      </c>
      <c r="B92" s="1644"/>
      <c r="C92" s="1645"/>
      <c r="D92" s="54" t="s">
        <v>209</v>
      </c>
      <c r="E92" s="55"/>
      <c r="F92" s="81"/>
      <c r="G92" s="123"/>
      <c r="H92" s="56"/>
      <c r="I92" s="68"/>
      <c r="J92" s="197"/>
      <c r="K92" s="87"/>
      <c r="L92" s="116"/>
    </row>
    <row r="93" spans="1:12" ht="18.75" customHeight="1">
      <c r="A93" s="1643" t="s">
        <v>24</v>
      </c>
      <c r="B93" s="1644"/>
      <c r="C93" s="1645"/>
      <c r="D93" s="54" t="s">
        <v>209</v>
      </c>
      <c r="E93" s="55"/>
      <c r="F93" s="81"/>
      <c r="G93" s="123"/>
      <c r="H93" s="56"/>
      <c r="I93" s="68"/>
      <c r="J93" s="197"/>
      <c r="K93" s="87"/>
      <c r="L93" s="116"/>
    </row>
    <row r="94" spans="1:12" ht="18.75" customHeight="1">
      <c r="A94" s="1643" t="s">
        <v>275</v>
      </c>
      <c r="B94" s="1644"/>
      <c r="C94" s="1645"/>
      <c r="D94" s="54" t="s">
        <v>209</v>
      </c>
      <c r="E94" s="55"/>
      <c r="F94" s="81"/>
      <c r="G94" s="123"/>
      <c r="H94" s="56"/>
      <c r="I94" s="68"/>
      <c r="J94" s="57"/>
      <c r="K94" s="87"/>
      <c r="L94" s="116"/>
    </row>
    <row r="95" spans="1:12" ht="18.75" customHeight="1">
      <c r="A95" s="1653" t="s">
        <v>285</v>
      </c>
      <c r="B95" s="1654"/>
      <c r="C95" s="1655"/>
      <c r="D95" s="70"/>
      <c r="E95" s="70"/>
      <c r="F95" s="70"/>
      <c r="G95" s="127"/>
      <c r="H95" s="71"/>
      <c r="I95" s="72"/>
      <c r="J95" s="73"/>
      <c r="K95" s="87"/>
      <c r="L95" s="116"/>
    </row>
    <row r="96" spans="1:12" ht="18.75" customHeight="1">
      <c r="A96" s="185" t="s">
        <v>286</v>
      </c>
      <c r="B96" s="186"/>
      <c r="C96" s="187"/>
      <c r="D96" s="136" t="s">
        <v>206</v>
      </c>
      <c r="E96" s="160"/>
      <c r="F96" s="137"/>
      <c r="G96" s="138"/>
      <c r="H96" s="161"/>
      <c r="I96" s="139"/>
      <c r="J96" s="140"/>
      <c r="K96" s="87"/>
      <c r="L96" s="116"/>
    </row>
    <row r="97" spans="1:12" ht="18.75" customHeight="1">
      <c r="A97" s="88" t="s">
        <v>288</v>
      </c>
      <c r="B97" s="1400"/>
      <c r="C97" s="1401"/>
      <c r="D97" s="54" t="s">
        <v>206</v>
      </c>
      <c r="E97" s="55"/>
      <c r="F97" s="66"/>
      <c r="G97" s="67"/>
      <c r="H97" s="56"/>
      <c r="I97" s="86"/>
      <c r="J97" s="57"/>
      <c r="K97" s="87"/>
      <c r="L97" s="116"/>
    </row>
    <row r="98" spans="1:12" ht="18.75" customHeight="1">
      <c r="A98" s="1629" t="s">
        <v>305</v>
      </c>
      <c r="B98" s="1630"/>
      <c r="C98" s="70"/>
      <c r="D98" s="70"/>
      <c r="E98" s="70"/>
      <c r="F98" s="70"/>
      <c r="G98" s="127"/>
      <c r="H98" s="71"/>
      <c r="I98" s="72"/>
      <c r="J98" s="73"/>
      <c r="K98" s="87"/>
      <c r="L98" s="116"/>
    </row>
    <row r="99" spans="1:12" ht="18.75" customHeight="1">
      <c r="A99" s="1643" t="s">
        <v>306</v>
      </c>
      <c r="B99" s="1644"/>
      <c r="C99" s="1645"/>
      <c r="D99" s="54" t="s">
        <v>198</v>
      </c>
      <c r="E99" s="54"/>
      <c r="F99" s="54"/>
      <c r="G99" s="128"/>
      <c r="H99" s="56"/>
      <c r="I99" s="68"/>
      <c r="J99" s="57"/>
      <c r="K99" s="87"/>
      <c r="L99" s="116"/>
    </row>
    <row r="100" spans="1:12" ht="18.75" customHeight="1">
      <c r="A100" s="1643" t="s">
        <v>307</v>
      </c>
      <c r="B100" s="1644"/>
      <c r="C100" s="1645"/>
      <c r="D100" s="54" t="s">
        <v>58</v>
      </c>
      <c r="E100" s="53"/>
      <c r="F100" s="53"/>
      <c r="G100" s="129"/>
      <c r="H100" s="56"/>
      <c r="I100" s="83"/>
      <c r="J100" s="57"/>
      <c r="K100" s="87"/>
      <c r="L100" s="116"/>
    </row>
    <row r="101" spans="1:12" ht="18.75" customHeight="1">
      <c r="A101" s="1643" t="s">
        <v>308</v>
      </c>
      <c r="B101" s="1644"/>
      <c r="C101" s="1645"/>
      <c r="D101" s="54" t="s">
        <v>198</v>
      </c>
      <c r="E101" s="69"/>
      <c r="F101" s="69"/>
      <c r="G101" s="128"/>
      <c r="H101" s="56"/>
      <c r="I101" s="68"/>
      <c r="J101" s="57"/>
      <c r="K101" s="87"/>
      <c r="L101" s="116"/>
    </row>
    <row r="102" spans="1:12" ht="18.75" customHeight="1">
      <c r="A102" s="1643" t="s">
        <v>309</v>
      </c>
      <c r="B102" s="1644"/>
      <c r="C102" s="1645"/>
      <c r="D102" s="54" t="s">
        <v>58</v>
      </c>
      <c r="E102" s="69"/>
      <c r="F102" s="69"/>
      <c r="G102" s="129"/>
      <c r="H102" s="56"/>
      <c r="I102" s="83"/>
      <c r="J102" s="57"/>
      <c r="K102" s="110"/>
      <c r="L102" s="116"/>
    </row>
    <row r="103" spans="1:12" ht="18.75" customHeight="1">
      <c r="A103" s="1643" t="s">
        <v>310</v>
      </c>
      <c r="B103" s="1644"/>
      <c r="C103" s="1645"/>
      <c r="D103" s="54" t="s">
        <v>198</v>
      </c>
      <c r="E103" s="69"/>
      <c r="F103" s="69"/>
      <c r="G103" s="128"/>
      <c r="H103" s="56"/>
      <c r="I103" s="68"/>
      <c r="J103" s="57"/>
      <c r="K103" s="110"/>
      <c r="L103" s="116"/>
    </row>
    <row r="104" spans="1:12" ht="18.75" customHeight="1">
      <c r="A104" s="1643" t="s">
        <v>311</v>
      </c>
      <c r="B104" s="1644"/>
      <c r="C104" s="1645"/>
      <c r="D104" s="54" t="s">
        <v>58</v>
      </c>
      <c r="E104" s="69"/>
      <c r="F104" s="69"/>
      <c r="G104" s="129"/>
      <c r="H104" s="56"/>
      <c r="I104" s="83"/>
      <c r="J104" s="57"/>
      <c r="K104" s="110"/>
      <c r="L104" s="116"/>
    </row>
    <row r="105" spans="1:12" ht="18.75" customHeight="1">
      <c r="A105" s="1643" t="s">
        <v>312</v>
      </c>
      <c r="B105" s="1644"/>
      <c r="C105" s="1645"/>
      <c r="D105" s="54" t="s">
        <v>248</v>
      </c>
      <c r="E105" s="69"/>
      <c r="F105" s="69"/>
      <c r="G105" s="128"/>
      <c r="H105" s="56"/>
      <c r="I105" s="85"/>
      <c r="J105" s="57"/>
      <c r="K105" s="110"/>
      <c r="L105" s="116"/>
    </row>
    <row r="106" spans="1:12" ht="18.75" customHeight="1">
      <c r="A106" s="1643" t="s">
        <v>313</v>
      </c>
      <c r="B106" s="1644"/>
      <c r="C106" s="1645"/>
      <c r="D106" s="54" t="s">
        <v>58</v>
      </c>
      <c r="E106" s="69"/>
      <c r="F106" s="69"/>
      <c r="G106" s="129"/>
      <c r="H106" s="56"/>
      <c r="I106" s="85"/>
      <c r="J106" s="57"/>
    </row>
    <row r="107" spans="1:12" ht="18.75" customHeight="1">
      <c r="A107" s="1643" t="s">
        <v>314</v>
      </c>
      <c r="B107" s="1644"/>
      <c r="C107" s="1645"/>
      <c r="D107" s="54" t="s">
        <v>248</v>
      </c>
      <c r="E107" s="69"/>
      <c r="F107" s="69"/>
      <c r="G107" s="130"/>
      <c r="H107" s="56"/>
      <c r="I107" s="68"/>
      <c r="J107" s="57"/>
      <c r="K107" s="152"/>
    </row>
    <row r="108" spans="1:12" ht="18.75" customHeight="1">
      <c r="A108" s="1643" t="s">
        <v>315</v>
      </c>
      <c r="B108" s="1644"/>
      <c r="C108" s="1645"/>
      <c r="D108" s="54" t="s">
        <v>58</v>
      </c>
      <c r="E108" s="69"/>
      <c r="F108" s="69"/>
      <c r="G108" s="130"/>
      <c r="H108" s="56"/>
      <c r="I108" s="85"/>
      <c r="J108" s="57"/>
    </row>
    <row r="109" spans="1:12" ht="18.75" customHeight="1">
      <c r="A109" s="1643" t="s">
        <v>316</v>
      </c>
      <c r="B109" s="1644"/>
      <c r="C109" s="1645"/>
      <c r="D109" s="54" t="s">
        <v>248</v>
      </c>
      <c r="E109" s="69"/>
      <c r="F109" s="69"/>
      <c r="G109" s="131"/>
      <c r="H109" s="56"/>
      <c r="I109" s="85"/>
      <c r="J109" s="57"/>
    </row>
    <row r="110" spans="1:12" ht="18.75" customHeight="1">
      <c r="A110" s="1643" t="s">
        <v>317</v>
      </c>
      <c r="B110" s="1644"/>
      <c r="C110" s="1645"/>
      <c r="D110" s="54" t="s">
        <v>58</v>
      </c>
      <c r="E110" s="69"/>
      <c r="F110" s="69"/>
      <c r="G110" s="130"/>
      <c r="H110" s="56"/>
      <c r="I110" s="68"/>
      <c r="J110" s="57"/>
    </row>
    <row r="111" spans="1:12" ht="18.75" customHeight="1">
      <c r="A111" s="172" t="s">
        <v>292</v>
      </c>
      <c r="B111" s="172"/>
      <c r="C111" s="172"/>
      <c r="D111" s="59"/>
      <c r="E111" s="59"/>
      <c r="F111" s="59"/>
      <c r="G111" s="125"/>
      <c r="H111" s="60"/>
      <c r="I111" s="126">
        <f>I110-J110</f>
        <v>0</v>
      </c>
      <c r="J111" s="62"/>
    </row>
    <row r="112" spans="1:12" ht="18.75" customHeight="1">
      <c r="A112" s="196" t="s">
        <v>293</v>
      </c>
      <c r="B112" s="196"/>
      <c r="C112" s="196"/>
      <c r="D112" s="54" t="s">
        <v>294</v>
      </c>
      <c r="E112" s="55"/>
      <c r="F112" s="81"/>
      <c r="G112" s="123"/>
      <c r="H112" s="56"/>
      <c r="I112" s="68"/>
      <c r="J112" s="57"/>
    </row>
    <row r="113" spans="1:10" ht="18.75" customHeight="1">
      <c r="A113" s="196" t="s">
        <v>295</v>
      </c>
      <c r="B113" s="196"/>
      <c r="C113" s="196"/>
      <c r="D113" s="54" t="s">
        <v>294</v>
      </c>
      <c r="E113" s="55"/>
      <c r="F113" s="81"/>
      <c r="G113" s="123"/>
      <c r="H113" s="56"/>
      <c r="I113" s="68"/>
      <c r="J113" s="57"/>
    </row>
    <row r="114" spans="1:10" ht="18.75" customHeight="1">
      <c r="A114" s="196" t="s">
        <v>296</v>
      </c>
      <c r="B114" s="196"/>
      <c r="C114" s="196"/>
      <c r="D114" s="54" t="s">
        <v>294</v>
      </c>
      <c r="E114" s="55"/>
      <c r="F114" s="81"/>
      <c r="G114" s="123"/>
      <c r="H114" s="56"/>
      <c r="I114" s="68"/>
      <c r="J114" s="57"/>
    </row>
    <row r="115" spans="1:10" ht="18.75" customHeight="1">
      <c r="A115" s="196" t="s">
        <v>297</v>
      </c>
      <c r="B115" s="196"/>
      <c r="C115" s="196"/>
      <c r="D115" s="54" t="s">
        <v>294</v>
      </c>
      <c r="E115" s="55"/>
      <c r="F115" s="81"/>
      <c r="G115" s="123"/>
      <c r="H115" s="56"/>
      <c r="I115" s="68"/>
      <c r="J115" s="57"/>
    </row>
    <row r="116" spans="1:10" ht="18.75" customHeight="1">
      <c r="A116" s="196" t="s">
        <v>298</v>
      </c>
      <c r="B116" s="196"/>
      <c r="C116" s="196"/>
      <c r="D116" s="54" t="s">
        <v>294</v>
      </c>
      <c r="E116" s="55"/>
      <c r="F116" s="81"/>
      <c r="G116" s="123"/>
      <c r="H116" s="56"/>
      <c r="I116" s="68"/>
      <c r="J116" s="57"/>
    </row>
    <row r="117" spans="1:10" ht="18.75" customHeight="1">
      <c r="A117" s="196" t="s">
        <v>299</v>
      </c>
      <c r="B117" s="196"/>
      <c r="C117" s="196"/>
      <c r="D117" s="54" t="s">
        <v>294</v>
      </c>
      <c r="E117" s="55"/>
      <c r="F117" s="81"/>
      <c r="G117" s="123"/>
      <c r="H117" s="56"/>
      <c r="I117" s="68"/>
      <c r="J117" s="57"/>
    </row>
    <row r="118" spans="1:10" ht="18.75" customHeight="1">
      <c r="A118" s="196" t="s">
        <v>300</v>
      </c>
      <c r="B118" s="196"/>
      <c r="C118" s="196"/>
      <c r="D118" s="54" t="s">
        <v>294</v>
      </c>
      <c r="E118" s="55"/>
      <c r="F118" s="81"/>
      <c r="G118" s="123"/>
      <c r="H118" s="56"/>
      <c r="I118" s="68"/>
      <c r="J118" s="57"/>
    </row>
    <row r="119" spans="1:10" ht="18.75" customHeight="1">
      <c r="A119" s="196" t="s">
        <v>301</v>
      </c>
      <c r="B119" s="196"/>
      <c r="C119" s="196"/>
      <c r="D119" s="54" t="s">
        <v>294</v>
      </c>
      <c r="E119" s="55"/>
      <c r="F119" s="81"/>
      <c r="G119" s="123"/>
      <c r="H119" s="56"/>
      <c r="I119" s="68"/>
      <c r="J119" s="57"/>
    </row>
    <row r="120" spans="1:10" ht="18.75" customHeight="1">
      <c r="A120" s="196" t="s">
        <v>302</v>
      </c>
      <c r="B120" s="196"/>
      <c r="C120" s="196"/>
      <c r="D120" s="54" t="s">
        <v>294</v>
      </c>
      <c r="E120" s="55"/>
      <c r="F120" s="81"/>
      <c r="G120" s="123"/>
      <c r="H120" s="56"/>
      <c r="I120" s="68"/>
      <c r="J120" s="57"/>
    </row>
    <row r="121" spans="1:10" ht="18.75" customHeight="1">
      <c r="A121" s="196" t="s">
        <v>303</v>
      </c>
      <c r="B121" s="196"/>
      <c r="C121" s="196"/>
      <c r="D121" s="54" t="s">
        <v>294</v>
      </c>
      <c r="E121" s="55"/>
      <c r="F121" s="81"/>
      <c r="G121" s="123"/>
      <c r="H121" s="56"/>
      <c r="I121" s="68"/>
      <c r="J121" s="57"/>
    </row>
    <row r="122" spans="1:10" ht="18.75" customHeight="1">
      <c r="A122" s="196" t="s">
        <v>304</v>
      </c>
      <c r="B122" s="196"/>
      <c r="C122" s="196"/>
      <c r="D122" s="54" t="s">
        <v>294</v>
      </c>
      <c r="E122" s="55"/>
      <c r="F122" s="81"/>
      <c r="G122" s="123"/>
      <c r="H122" s="56"/>
      <c r="I122" s="68"/>
      <c r="J122" s="57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3" customWidth="1"/>
    <col min="2" max="2" width="24" style="113" customWidth="1"/>
    <col min="3" max="3" width="18.77734375" style="113" customWidth="1"/>
    <col min="4" max="4" width="13.109375" style="113" customWidth="1"/>
    <col min="5" max="5" width="19.6640625" style="113" bestFit="1" customWidth="1"/>
    <col min="6" max="6" width="18.5546875" style="113" customWidth="1"/>
    <col min="7" max="7" width="19.33203125" style="113" customWidth="1"/>
    <col min="8" max="8" width="18.88671875" style="154" customWidth="1"/>
    <col min="9" max="9" width="18.88671875" style="113" customWidth="1"/>
    <col min="10" max="10" width="23" style="155" customWidth="1"/>
    <col min="11" max="16384" width="22.33203125" style="113"/>
  </cols>
  <sheetData>
    <row r="1" spans="1:12" ht="23.25" customHeight="1">
      <c r="A1" s="1623" t="s">
        <v>322</v>
      </c>
      <c r="B1" s="1623"/>
      <c r="C1" s="1623"/>
      <c r="D1" s="1623"/>
      <c r="E1" s="1623"/>
      <c r="F1" s="1623"/>
      <c r="G1" s="1623"/>
      <c r="H1" s="1623"/>
      <c r="I1" s="1623"/>
      <c r="J1" s="1623"/>
    </row>
    <row r="2" spans="1:12" ht="23.25" customHeight="1">
      <c r="A2" s="279" t="s">
        <v>374</v>
      </c>
      <c r="B2" s="280">
        <v>43585</v>
      </c>
      <c r="C2" s="384" t="s">
        <v>111</v>
      </c>
      <c r="D2" s="281">
        <v>0.66339999999999999</v>
      </c>
      <c r="E2" s="282"/>
      <c r="F2" s="282"/>
      <c r="G2" s="282" t="s">
        <v>184</v>
      </c>
      <c r="H2" s="282" t="s">
        <v>40</v>
      </c>
      <c r="I2" s="282" t="s">
        <v>42</v>
      </c>
      <c r="J2" s="283" t="s">
        <v>185</v>
      </c>
    </row>
    <row r="3" spans="1:12" ht="23.25" customHeight="1">
      <c r="A3" s="285"/>
      <c r="B3" s="286"/>
      <c r="C3" s="1408" t="s">
        <v>186</v>
      </c>
      <c r="D3" s="383">
        <v>32</v>
      </c>
      <c r="E3" s="1689" t="s">
        <v>187</v>
      </c>
      <c r="F3" s="1690"/>
      <c r="G3" s="287">
        <f>'1'!G3</f>
        <v>0</v>
      </c>
      <c r="H3" s="288">
        <f>'1'!H3</f>
        <v>0</v>
      </c>
      <c r="I3" s="288">
        <f>'1'!I3</f>
        <v>0</v>
      </c>
      <c r="J3" s="288">
        <f>'1'!J3</f>
        <v>0</v>
      </c>
      <c r="K3" s="115"/>
      <c r="L3" s="116"/>
    </row>
    <row r="4" spans="1:12" ht="23.25" customHeight="1">
      <c r="A4" s="290"/>
      <c r="B4" s="285"/>
      <c r="C4" s="384" t="s">
        <v>188</v>
      </c>
      <c r="D4" s="281">
        <v>0.71</v>
      </c>
      <c r="E4" s="291"/>
      <c r="F4" s="291"/>
      <c r="G4" s="291"/>
      <c r="H4" s="291"/>
      <c r="I4" s="292"/>
      <c r="J4" s="284"/>
      <c r="K4" s="117"/>
      <c r="L4" s="116"/>
    </row>
    <row r="5" spans="1:12" ht="23.25" customHeight="1" thickBot="1">
      <c r="A5" s="293" t="s">
        <v>189</v>
      </c>
      <c r="B5" s="294"/>
      <c r="C5" s="295"/>
      <c r="D5" s="296" t="s">
        <v>190</v>
      </c>
      <c r="E5" s="297" t="s">
        <v>191</v>
      </c>
      <c r="F5" s="297" t="s">
        <v>177</v>
      </c>
      <c r="G5" s="298" t="s">
        <v>192</v>
      </c>
      <c r="H5" s="221" t="s">
        <v>193</v>
      </c>
      <c r="I5" s="222" t="s">
        <v>194</v>
      </c>
      <c r="J5" s="220" t="s">
        <v>195</v>
      </c>
      <c r="K5" s="52"/>
      <c r="L5" s="116"/>
    </row>
    <row r="6" spans="1:12" ht="23.25" customHeight="1">
      <c r="A6" s="1691" t="s">
        <v>196</v>
      </c>
      <c r="B6" s="1692"/>
      <c r="C6" s="1693"/>
      <c r="D6" s="385"/>
      <c r="E6" s="385"/>
      <c r="F6" s="385"/>
      <c r="G6" s="385"/>
      <c r="H6" s="431"/>
      <c r="I6" s="431"/>
      <c r="J6" s="431"/>
      <c r="K6" s="42"/>
      <c r="L6" s="116"/>
    </row>
    <row r="7" spans="1:12" ht="23.25" customHeight="1" thickBot="1">
      <c r="A7" s="299" t="s">
        <v>197</v>
      </c>
      <c r="B7" s="300"/>
      <c r="C7" s="301"/>
      <c r="D7" s="302" t="s">
        <v>198</v>
      </c>
      <c r="E7" s="158">
        <f>'29'!F7</f>
        <v>844941</v>
      </c>
      <c r="F7" s="303">
        <v>3615871.9</v>
      </c>
      <c r="G7" s="304">
        <f>F7-E7</f>
        <v>2770930.9</v>
      </c>
      <c r="H7" s="56">
        <f>G7+'29'!H7</f>
        <v>3271459.9</v>
      </c>
      <c r="I7" s="273">
        <f>'1'!I7</f>
        <v>12000</v>
      </c>
      <c r="J7" s="57">
        <f>H7/DAY(B2)</f>
        <v>109048.66333333333</v>
      </c>
      <c r="K7" s="58"/>
      <c r="L7" s="116"/>
    </row>
    <row r="8" spans="1:12" ht="23.25" customHeight="1">
      <c r="A8" s="306"/>
      <c r="B8" s="307"/>
      <c r="C8" s="308"/>
      <c r="D8" s="309"/>
      <c r="E8" s="310"/>
      <c r="F8" s="310"/>
      <c r="G8" s="311"/>
      <c r="H8" s="161"/>
      <c r="I8" s="246"/>
      <c r="J8" s="140"/>
      <c r="K8" s="58"/>
      <c r="L8" s="116"/>
    </row>
    <row r="9" spans="1:12" ht="23.25" customHeight="1">
      <c r="A9" s="312" t="s">
        <v>200</v>
      </c>
      <c r="B9" s="313"/>
      <c r="C9" s="314"/>
      <c r="D9" s="265" t="s">
        <v>198</v>
      </c>
      <c r="E9" s="55">
        <f>'29'!F9</f>
        <v>1966172</v>
      </c>
      <c r="F9" s="261">
        <v>2288314.7000000002</v>
      </c>
      <c r="G9" s="315">
        <f t="shared" ref="G9:G11" si="0">F9-E9</f>
        <v>322142.70000000019</v>
      </c>
      <c r="H9" s="56">
        <f>G9+'29'!H9</f>
        <v>814624.70000000019</v>
      </c>
      <c r="I9" s="275">
        <f>I7-J7</f>
        <v>-97048.66333333333</v>
      </c>
      <c r="J9" s="57">
        <f>H9/DAY(B2)</f>
        <v>27154.156666666673</v>
      </c>
      <c r="K9" s="58"/>
      <c r="L9" s="116"/>
    </row>
    <row r="10" spans="1:12" ht="23.25" customHeight="1">
      <c r="A10" s="317" t="s">
        <v>201</v>
      </c>
      <c r="B10" s="318"/>
      <c r="C10" s="319"/>
      <c r="D10" s="265" t="s">
        <v>198</v>
      </c>
      <c r="E10" s="55">
        <f>'29'!F10</f>
        <v>0</v>
      </c>
      <c r="F10" s="261">
        <v>1226059.3999999999</v>
      </c>
      <c r="G10" s="315">
        <f t="shared" si="0"/>
        <v>1226059.3999999999</v>
      </c>
      <c r="H10" s="56">
        <f>G10+'29'!H10</f>
        <v>1223453.27</v>
      </c>
      <c r="I10" s="68"/>
      <c r="J10" s="57">
        <f>H10/DAY(B2)</f>
        <v>40781.775666666668</v>
      </c>
      <c r="K10" s="58"/>
      <c r="L10" s="116"/>
    </row>
    <row r="11" spans="1:12" ht="23.25" customHeight="1">
      <c r="A11" s="317" t="s">
        <v>202</v>
      </c>
      <c r="B11" s="318"/>
      <c r="C11" s="319"/>
      <c r="D11" s="265" t="s">
        <v>198</v>
      </c>
      <c r="E11" s="55">
        <f>'29'!F11</f>
        <v>37000</v>
      </c>
      <c r="F11" s="260">
        <v>33860</v>
      </c>
      <c r="G11" s="315">
        <f t="shared" si="0"/>
        <v>-3140</v>
      </c>
      <c r="H11" s="56">
        <f>G11+'29'!H11</f>
        <v>-3140</v>
      </c>
      <c r="I11" s="68"/>
      <c r="J11" s="57">
        <f>H11/DAY(B2)</f>
        <v>-104.66666666666667</v>
      </c>
      <c r="K11" s="58"/>
      <c r="L11" s="116"/>
    </row>
    <row r="12" spans="1:12" ht="23.25" customHeight="1">
      <c r="A12" s="317" t="s">
        <v>203</v>
      </c>
      <c r="B12" s="318"/>
      <c r="C12" s="319"/>
      <c r="D12" s="265" t="s">
        <v>198</v>
      </c>
      <c r="E12" s="55">
        <f>'29'!F12</f>
        <v>40010</v>
      </c>
      <c r="F12" s="261">
        <v>3760</v>
      </c>
      <c r="G12" s="315">
        <v>0</v>
      </c>
      <c r="H12" s="56">
        <f>G12+'29'!H12</f>
        <v>0</v>
      </c>
      <c r="I12" s="68"/>
      <c r="J12" s="57">
        <f>H12/DAY(B2)</f>
        <v>0</v>
      </c>
      <c r="K12" s="58"/>
      <c r="L12" s="116"/>
    </row>
    <row r="13" spans="1:12" ht="23.25" customHeight="1">
      <c r="A13" s="397" t="s">
        <v>204</v>
      </c>
      <c r="B13" s="398"/>
      <c r="C13" s="399"/>
      <c r="D13" s="265"/>
      <c r="E13" s="418"/>
      <c r="F13" s="276"/>
      <c r="G13" s="276">
        <f>G9+G10+G11+G12</f>
        <v>1545062.1</v>
      </c>
      <c r="H13" s="56">
        <f>G13+'29'!H13</f>
        <v>2018412.9700000002</v>
      </c>
      <c r="I13" s="366">
        <f>G7-G13</f>
        <v>1225868.7999999998</v>
      </c>
      <c r="J13" s="305">
        <f>H13/DAY(B2)</f>
        <v>67280.432333333345</v>
      </c>
      <c r="K13" s="58"/>
      <c r="L13" s="116"/>
    </row>
    <row r="14" spans="1:12" ht="23.25" customHeight="1">
      <c r="A14" s="1680" t="s">
        <v>205</v>
      </c>
      <c r="B14" s="1681"/>
      <c r="C14" s="1682"/>
      <c r="D14" s="431"/>
      <c r="E14" s="431"/>
      <c r="F14" s="431"/>
      <c r="G14" s="386"/>
      <c r="H14" s="431"/>
      <c r="I14" s="431"/>
      <c r="J14" s="431"/>
      <c r="K14" s="74"/>
      <c r="L14" s="116"/>
    </row>
    <row r="15" spans="1:12" ht="23.25" customHeight="1" thickBot="1">
      <c r="A15" s="320" t="s">
        <v>133</v>
      </c>
      <c r="B15" s="321"/>
      <c r="C15" s="322"/>
      <c r="D15" s="302" t="s">
        <v>206</v>
      </c>
      <c r="E15" s="158">
        <f>'29'!F15</f>
        <v>1699632</v>
      </c>
      <c r="F15" s="263">
        <v>1040573.68</v>
      </c>
      <c r="G15" s="315">
        <f>(F15-E15)</f>
        <v>-659058.31999999995</v>
      </c>
      <c r="H15" s="56">
        <f>G15+'29'!H15</f>
        <v>-643950.31999999995</v>
      </c>
      <c r="I15" s="273">
        <f>'1'!I15</f>
        <v>800</v>
      </c>
      <c r="J15" s="57">
        <f>H15/DAY(B2)</f>
        <v>-21465.010666666665</v>
      </c>
      <c r="K15" s="58"/>
      <c r="L15" s="116"/>
    </row>
    <row r="16" spans="1:12" ht="23.25" customHeight="1">
      <c r="A16" s="323"/>
      <c r="B16" s="324"/>
      <c r="C16" s="325"/>
      <c r="D16" s="271"/>
      <c r="E16" s="326"/>
      <c r="F16" s="326"/>
      <c r="G16" s="315"/>
      <c r="H16" s="251"/>
      <c r="I16" s="372">
        <f>I15-J15</f>
        <v>22265.010666666665</v>
      </c>
      <c r="J16" s="228"/>
      <c r="K16" s="58"/>
      <c r="L16" s="116"/>
    </row>
    <row r="17" spans="1:12" ht="23.25" customHeight="1">
      <c r="A17" s="1680" t="s">
        <v>207</v>
      </c>
      <c r="B17" s="1681"/>
      <c r="C17" s="1682"/>
      <c r="D17" s="431"/>
      <c r="E17" s="431"/>
      <c r="F17" s="431"/>
      <c r="G17" s="387"/>
      <c r="H17" s="431"/>
      <c r="I17" s="431"/>
      <c r="J17" s="431"/>
      <c r="K17" s="58"/>
      <c r="L17" s="116"/>
    </row>
    <row r="18" spans="1:12" ht="23.25" customHeight="1">
      <c r="A18" s="1656" t="s">
        <v>208</v>
      </c>
      <c r="B18" s="1657"/>
      <c r="C18" s="1658"/>
      <c r="D18" s="265" t="s">
        <v>209</v>
      </c>
      <c r="E18" s="412">
        <f>'29'!F18</f>
        <v>6</v>
      </c>
      <c r="F18" s="264">
        <v>24</v>
      </c>
      <c r="G18" s="276">
        <f>F18*10</f>
        <v>240</v>
      </c>
      <c r="H18" s="56">
        <f>G18+'29'!H18</f>
        <v>1700</v>
      </c>
      <c r="I18" s="157">
        <f>'1'!I18</f>
        <v>65</v>
      </c>
      <c r="J18" s="57">
        <f>H18/DAY(B2)</f>
        <v>56.666666666666664</v>
      </c>
      <c r="K18" s="58"/>
      <c r="L18" s="116"/>
    </row>
    <row r="19" spans="1:12" ht="23.25" customHeight="1">
      <c r="A19" s="1656" t="s">
        <v>113</v>
      </c>
      <c r="B19" s="1657"/>
      <c r="C19" s="1658"/>
      <c r="D19" s="265" t="s">
        <v>209</v>
      </c>
      <c r="E19" s="55">
        <f>'29'!F19</f>
        <v>139493</v>
      </c>
      <c r="F19" s="264">
        <v>99778</v>
      </c>
      <c r="G19" s="315">
        <f t="shared" ref="G19" si="1">F19-E19</f>
        <v>-39715</v>
      </c>
      <c r="H19" s="56">
        <f>G19+'29'!H19</f>
        <v>-39834</v>
      </c>
      <c r="I19" s="79"/>
      <c r="J19" s="57">
        <f>H19/DAY(B2)</f>
        <v>-1327.8</v>
      </c>
      <c r="K19" s="58"/>
      <c r="L19" s="116"/>
    </row>
    <row r="20" spans="1:12" ht="23.25" customHeight="1">
      <c r="A20" s="397" t="s">
        <v>210</v>
      </c>
      <c r="B20" s="398"/>
      <c r="C20" s="399"/>
      <c r="D20" s="327"/>
      <c r="E20" s="417"/>
      <c r="F20" s="327"/>
      <c r="G20" s="328">
        <f>G18+G19</f>
        <v>-39475</v>
      </c>
      <c r="H20" s="56">
        <f>G20+'29'!H20</f>
        <v>-38134</v>
      </c>
      <c r="I20" s="126">
        <f>J20-I18</f>
        <v>-1336.1333333333334</v>
      </c>
      <c r="J20" s="57">
        <f>H20/DAY(B2)</f>
        <v>-1271.1333333333334</v>
      </c>
      <c r="K20" s="58"/>
      <c r="L20" s="116"/>
    </row>
    <row r="21" spans="1:12" ht="23.25" customHeight="1">
      <c r="A21" s="1680" t="s">
        <v>211</v>
      </c>
      <c r="B21" s="1681"/>
      <c r="C21" s="1682"/>
      <c r="D21" s="431"/>
      <c r="E21" s="431"/>
      <c r="F21" s="431"/>
      <c r="G21" s="386"/>
      <c r="H21" s="431"/>
      <c r="I21" s="431"/>
      <c r="J21" s="431"/>
      <c r="K21" s="58"/>
      <c r="L21" s="116"/>
    </row>
    <row r="22" spans="1:12" ht="23.25" customHeight="1">
      <c r="A22" s="1405" t="s">
        <v>212</v>
      </c>
      <c r="B22" s="1406"/>
      <c r="C22" s="1407"/>
      <c r="D22" s="265" t="s">
        <v>213</v>
      </c>
      <c r="E22" s="412">
        <f>'29'!F22</f>
        <v>2970</v>
      </c>
      <c r="F22" s="264">
        <v>2010</v>
      </c>
      <c r="G22" s="276">
        <f t="shared" ref="G22" si="2">(F22-E22)</f>
        <v>-960</v>
      </c>
      <c r="H22" s="56">
        <f>G22+'29'!H22</f>
        <v>-960</v>
      </c>
      <c r="I22" s="68"/>
      <c r="J22" s="57">
        <f>H22/DAY(B2)</f>
        <v>-32</v>
      </c>
      <c r="K22" s="58"/>
      <c r="L22" s="116"/>
    </row>
    <row r="23" spans="1:12" ht="23.25" customHeight="1">
      <c r="A23" s="1405" t="s">
        <v>214</v>
      </c>
      <c r="B23" s="1406"/>
      <c r="C23" s="1407"/>
      <c r="D23" s="265" t="s">
        <v>213</v>
      </c>
      <c r="E23" s="55">
        <f>'29'!F23</f>
        <v>2000</v>
      </c>
      <c r="F23" s="264">
        <v>2075</v>
      </c>
      <c r="G23" s="276">
        <v>0</v>
      </c>
      <c r="H23" s="56">
        <f>G23+'29'!H23</f>
        <v>0</v>
      </c>
      <c r="I23" s="68"/>
      <c r="J23" s="57">
        <f>H23/DAY(B2)</f>
        <v>0</v>
      </c>
      <c r="K23" s="58"/>
      <c r="L23" s="116"/>
    </row>
    <row r="24" spans="1:12" ht="23.25" customHeight="1">
      <c r="A24" s="400" t="s">
        <v>215</v>
      </c>
      <c r="B24" s="401"/>
      <c r="C24" s="402"/>
      <c r="D24" s="266" t="s">
        <v>213</v>
      </c>
      <c r="E24" s="55">
        <f>'29'!F24</f>
        <v>4970</v>
      </c>
      <c r="F24" s="329">
        <v>4085</v>
      </c>
      <c r="G24" s="276">
        <v>0</v>
      </c>
      <c r="H24" s="56">
        <f>G24+'29'!H24</f>
        <v>0</v>
      </c>
      <c r="I24" s="68"/>
      <c r="J24" s="57">
        <f>H24/DAY(B2)</f>
        <v>0</v>
      </c>
      <c r="K24" s="58"/>
      <c r="L24" s="116"/>
    </row>
    <row r="25" spans="1:12" ht="23.25" customHeight="1">
      <c r="A25" s="1683" t="s">
        <v>216</v>
      </c>
      <c r="B25" s="1684"/>
      <c r="C25" s="1685"/>
      <c r="D25" s="385"/>
      <c r="E25" s="410"/>
      <c r="F25" s="385"/>
      <c r="G25" s="388"/>
      <c r="H25" s="431"/>
      <c r="I25" s="431"/>
      <c r="J25" s="431"/>
      <c r="K25" s="58"/>
      <c r="L25" s="116"/>
    </row>
    <row r="26" spans="1:12" ht="23.25" customHeight="1">
      <c r="A26" s="330" t="s">
        <v>217</v>
      </c>
      <c r="B26" s="331"/>
      <c r="C26" s="332"/>
      <c r="D26" s="333" t="s">
        <v>218</v>
      </c>
      <c r="E26" s="334" t="s">
        <v>375</v>
      </c>
      <c r="F26" s="334"/>
      <c r="G26" s="335"/>
      <c r="H26" s="56"/>
      <c r="I26" s="144"/>
      <c r="J26" s="57"/>
      <c r="K26" s="74"/>
      <c r="L26" s="116"/>
    </row>
    <row r="27" spans="1:12" ht="23.25" customHeight="1">
      <c r="A27" s="330" t="s">
        <v>40</v>
      </c>
      <c r="B27" s="331"/>
      <c r="C27" s="332"/>
      <c r="D27" s="336" t="s">
        <v>198</v>
      </c>
      <c r="E27" s="337">
        <f>G7</f>
        <v>2770930.9</v>
      </c>
      <c r="F27" s="409">
        <v>10.86</v>
      </c>
      <c r="G27" s="363">
        <f>E27*F27</f>
        <v>30092309.573999997</v>
      </c>
      <c r="H27" s="56" t="e">
        <f>G27+'29'!#REF!</f>
        <v>#REF!</v>
      </c>
      <c r="I27" s="147"/>
      <c r="J27" s="57" t="e">
        <f>H27/DAY(B2)</f>
        <v>#REF!</v>
      </c>
      <c r="K27" s="58"/>
      <c r="L27" s="116"/>
    </row>
    <row r="28" spans="1:12" ht="23.25" customHeight="1">
      <c r="A28" s="330" t="s">
        <v>219</v>
      </c>
      <c r="B28" s="331"/>
      <c r="C28" s="332"/>
      <c r="D28" s="336" t="s">
        <v>220</v>
      </c>
      <c r="E28" s="338">
        <f>G15</f>
        <v>-659058.31999999995</v>
      </c>
      <c r="F28" s="409">
        <v>44</v>
      </c>
      <c r="G28" s="363">
        <f>E28*F28</f>
        <v>-28998566.079999998</v>
      </c>
      <c r="H28" s="56" t="e">
        <f>G28+'29'!#REF!</f>
        <v>#REF!</v>
      </c>
      <c r="I28" s="111"/>
      <c r="J28" s="57" t="e">
        <f>H28/DAY(B2)</f>
        <v>#REF!</v>
      </c>
      <c r="K28" s="58"/>
      <c r="L28" s="116"/>
    </row>
    <row r="29" spans="1:12" ht="23.25" customHeight="1">
      <c r="A29" s="330" t="s">
        <v>221</v>
      </c>
      <c r="B29" s="331"/>
      <c r="C29" s="332"/>
      <c r="D29" s="336" t="s">
        <v>222</v>
      </c>
      <c r="E29" s="339">
        <f>G24</f>
        <v>0</v>
      </c>
      <c r="F29" s="409">
        <v>61.32</v>
      </c>
      <c r="G29" s="363">
        <f>E29*F29</f>
        <v>0</v>
      </c>
      <c r="H29" s="56" t="e">
        <f>G29+'29'!#REF!</f>
        <v>#REF!</v>
      </c>
      <c r="I29" s="111"/>
      <c r="J29" s="57" t="e">
        <f>H29/DAY(B2)</f>
        <v>#REF!</v>
      </c>
      <c r="K29" s="58"/>
      <c r="L29" s="116"/>
    </row>
    <row r="30" spans="1:12" ht="23.25" customHeight="1">
      <c r="A30" s="330" t="s">
        <v>42</v>
      </c>
      <c r="B30" s="331"/>
      <c r="C30" s="332"/>
      <c r="D30" s="336" t="s">
        <v>224</v>
      </c>
      <c r="E30" s="339">
        <f>G20</f>
        <v>-39475</v>
      </c>
      <c r="F30" s="409">
        <v>95</v>
      </c>
      <c r="G30" s="363">
        <f>E30*F30</f>
        <v>-3750125</v>
      </c>
      <c r="H30" s="56" t="e">
        <f>G30+'29'!#REF!</f>
        <v>#REF!</v>
      </c>
      <c r="I30" s="111"/>
      <c r="J30" s="57" t="e">
        <f>H30/DAY(B2)</f>
        <v>#REF!</v>
      </c>
      <c r="K30" s="58"/>
      <c r="L30" s="116"/>
    </row>
    <row r="31" spans="1:12" ht="23.25" customHeight="1">
      <c r="A31" s="403" t="s">
        <v>226</v>
      </c>
      <c r="B31" s="404"/>
      <c r="C31" s="405"/>
      <c r="D31" s="340"/>
      <c r="E31" s="340"/>
      <c r="F31" s="340"/>
      <c r="G31" s="364">
        <f>G27+G28+G29+G30</f>
        <v>-2656381.506000001</v>
      </c>
      <c r="H31" s="56" t="e">
        <f>G31+'29'!#REF!</f>
        <v>#REF!</v>
      </c>
      <c r="I31" s="150"/>
      <c r="J31" s="57" t="e">
        <f>H31/DAY(B2)</f>
        <v>#REF!</v>
      </c>
      <c r="K31" s="58"/>
      <c r="L31" s="116"/>
    </row>
    <row r="32" spans="1:12" ht="23.25" customHeight="1">
      <c r="A32" s="1626" t="s">
        <v>227</v>
      </c>
      <c r="B32" s="1627"/>
      <c r="C32" s="1627"/>
      <c r="D32" s="1627"/>
      <c r="E32" s="1627"/>
      <c r="F32" s="1627"/>
      <c r="G32" s="1627"/>
      <c r="H32" s="1627"/>
      <c r="I32" s="1627"/>
      <c r="J32" s="1628"/>
      <c r="K32" s="58"/>
      <c r="L32" s="116"/>
    </row>
    <row r="33" spans="1:12" ht="23.25" customHeight="1">
      <c r="A33" s="1414" t="s">
        <v>228</v>
      </c>
      <c r="B33" s="1415"/>
      <c r="C33" s="1416"/>
      <c r="D33" s="431"/>
      <c r="E33" s="385"/>
      <c r="F33" s="385"/>
      <c r="G33" s="431"/>
      <c r="H33" s="431"/>
      <c r="I33" s="431"/>
      <c r="J33" s="431"/>
      <c r="K33" s="58"/>
      <c r="L33" s="116"/>
    </row>
    <row r="34" spans="1:12" ht="23.25" customHeight="1">
      <c r="A34" s="317" t="s">
        <v>229</v>
      </c>
      <c r="B34" s="318"/>
      <c r="C34" s="319"/>
      <c r="D34" s="265" t="s">
        <v>198</v>
      </c>
      <c r="E34" s="412">
        <f>'29'!F35</f>
        <v>945766</v>
      </c>
      <c r="F34" s="341">
        <v>0</v>
      </c>
      <c r="G34" s="315">
        <f t="shared" ref="G34:G45" si="3">F34-E34</f>
        <v>-945766</v>
      </c>
      <c r="H34" s="56">
        <f>G34+'29'!H35</f>
        <v>-950488</v>
      </c>
      <c r="I34" s="55"/>
      <c r="J34" s="57">
        <f>H34/DAY(B2)</f>
        <v>-31682.933333333334</v>
      </c>
      <c r="K34" s="58"/>
      <c r="L34" s="116"/>
    </row>
    <row r="35" spans="1:12" ht="23.25" customHeight="1">
      <c r="A35" s="317" t="s">
        <v>230</v>
      </c>
      <c r="B35" s="318"/>
      <c r="C35" s="319"/>
      <c r="D35" s="265" t="s">
        <v>198</v>
      </c>
      <c r="E35" s="55">
        <f>'29'!F36</f>
        <v>347065</v>
      </c>
      <c r="F35" s="341">
        <v>694322.47</v>
      </c>
      <c r="G35" s="315">
        <f t="shared" si="3"/>
        <v>347257.47</v>
      </c>
      <c r="H35" s="56">
        <f>G35+'29'!H36</f>
        <v>694149.47</v>
      </c>
      <c r="I35" s="55"/>
      <c r="J35" s="57">
        <f>H35/DAY(B2)</f>
        <v>23138.315666666665</v>
      </c>
      <c r="K35" s="58"/>
      <c r="L35" s="116"/>
    </row>
    <row r="36" spans="1:12" ht="23.25" customHeight="1">
      <c r="A36" s="317" t="s">
        <v>231</v>
      </c>
      <c r="B36" s="318"/>
      <c r="C36" s="319"/>
      <c r="D36" s="265" t="s">
        <v>198</v>
      </c>
      <c r="E36" s="55">
        <f>'29'!F37</f>
        <v>131674</v>
      </c>
      <c r="F36" s="341">
        <v>392708.87</v>
      </c>
      <c r="G36" s="315">
        <f t="shared" si="3"/>
        <v>261034.87</v>
      </c>
      <c r="H36" s="56">
        <f>G36+'29'!H37</f>
        <v>258472.87</v>
      </c>
      <c r="I36" s="55"/>
      <c r="J36" s="57">
        <f>H36/DAY(B2)</f>
        <v>8615.762333333334</v>
      </c>
      <c r="K36" s="58"/>
      <c r="L36" s="116"/>
    </row>
    <row r="37" spans="1:12" ht="23.25" customHeight="1">
      <c r="A37" s="317" t="s">
        <v>232</v>
      </c>
      <c r="B37" s="318"/>
      <c r="C37" s="319"/>
      <c r="D37" s="265" t="s">
        <v>198</v>
      </c>
      <c r="E37" s="55">
        <f>'29'!F38</f>
        <v>153825</v>
      </c>
      <c r="F37" s="342">
        <v>675505.75</v>
      </c>
      <c r="G37" s="315">
        <f t="shared" si="3"/>
        <v>521680.75</v>
      </c>
      <c r="H37" s="56">
        <f>G37+'29'!H38</f>
        <v>519100.75</v>
      </c>
      <c r="I37" s="55"/>
      <c r="J37" s="57">
        <f>H37/DAY(B2)</f>
        <v>17303.358333333334</v>
      </c>
      <c r="K37" s="58"/>
      <c r="L37" s="116"/>
    </row>
    <row r="38" spans="1:12" ht="23.25" customHeight="1">
      <c r="A38" s="317" t="s">
        <v>233</v>
      </c>
      <c r="B38" s="318"/>
      <c r="C38" s="319"/>
      <c r="D38" s="265" t="s">
        <v>198</v>
      </c>
      <c r="E38" s="55">
        <f>'29'!F39</f>
        <v>303589</v>
      </c>
      <c r="F38" s="341">
        <v>2497766.1</v>
      </c>
      <c r="G38" s="315">
        <f t="shared" si="3"/>
        <v>2194177.1</v>
      </c>
      <c r="H38" s="56">
        <f>G38+'29'!H39</f>
        <v>2189593.1</v>
      </c>
      <c r="I38" s="55"/>
      <c r="J38" s="57">
        <f>H38/DAY(B2)</f>
        <v>72986.436666666676</v>
      </c>
      <c r="K38" s="58"/>
      <c r="L38" s="116"/>
    </row>
    <row r="39" spans="1:12" ht="23.25" customHeight="1">
      <c r="A39" s="343" t="s">
        <v>234</v>
      </c>
      <c r="B39" s="344"/>
      <c r="C39" s="345"/>
      <c r="D39" s="265" t="s">
        <v>198</v>
      </c>
      <c r="E39" s="55">
        <f>'29'!F40</f>
        <v>889</v>
      </c>
      <c r="F39" s="341">
        <v>0</v>
      </c>
      <c r="G39" s="315">
        <f t="shared" si="3"/>
        <v>-889</v>
      </c>
      <c r="H39" s="56">
        <f>G39+'29'!H40</f>
        <v>-889</v>
      </c>
      <c r="I39" s="55"/>
      <c r="J39" s="57">
        <f>H39/DAY(B2)</f>
        <v>-29.633333333333333</v>
      </c>
      <c r="K39" s="74"/>
      <c r="L39" s="116"/>
    </row>
    <row r="40" spans="1:12" ht="23.25" customHeight="1">
      <c r="A40" s="317" t="s">
        <v>235</v>
      </c>
      <c r="B40" s="318"/>
      <c r="C40" s="319"/>
      <c r="D40" s="265" t="s">
        <v>198</v>
      </c>
      <c r="E40" s="55">
        <f>'29'!F41</f>
        <v>240478</v>
      </c>
      <c r="F40" s="341">
        <v>1138016.5</v>
      </c>
      <c r="G40" s="315">
        <f t="shared" si="3"/>
        <v>897538.5</v>
      </c>
      <c r="H40" s="56">
        <f>G40+'29'!H41</f>
        <v>897538.5</v>
      </c>
      <c r="I40" s="55"/>
      <c r="J40" s="57">
        <f>H40/DAY(B2)</f>
        <v>29917.95</v>
      </c>
      <c r="K40" s="58"/>
      <c r="L40" s="116"/>
    </row>
    <row r="41" spans="1:12" ht="23.25" customHeight="1">
      <c r="A41" s="317" t="s">
        <v>236</v>
      </c>
      <c r="B41" s="318"/>
      <c r="C41" s="319"/>
      <c r="D41" s="265" t="s">
        <v>198</v>
      </c>
      <c r="E41" s="55">
        <f>'29'!F42</f>
        <v>59199</v>
      </c>
      <c r="F41" s="341">
        <v>1251783.8</v>
      </c>
      <c r="G41" s="315">
        <f t="shared" si="3"/>
        <v>1192584.8</v>
      </c>
      <c r="H41" s="56">
        <f>G41+'29'!H42</f>
        <v>1192584.83</v>
      </c>
      <c r="I41" s="55"/>
      <c r="J41" s="57">
        <f>H41/DAY(B2)</f>
        <v>39752.827666666672</v>
      </c>
      <c r="K41" s="58"/>
      <c r="L41" s="116"/>
    </row>
    <row r="42" spans="1:12" ht="23.25" customHeight="1">
      <c r="A42" s="317" t="s">
        <v>237</v>
      </c>
      <c r="B42" s="318"/>
      <c r="C42" s="319"/>
      <c r="D42" s="265" t="s">
        <v>198</v>
      </c>
      <c r="E42" s="55">
        <f>'29'!F43</f>
        <v>1037660</v>
      </c>
      <c r="F42" s="341">
        <v>1479848.9</v>
      </c>
      <c r="G42" s="315">
        <f t="shared" si="3"/>
        <v>442188.89999999991</v>
      </c>
      <c r="H42" s="56">
        <f>G42+'29'!H43</f>
        <v>437604.89999999991</v>
      </c>
      <c r="I42" s="55"/>
      <c r="J42" s="57">
        <f>H42/DAY(B2)</f>
        <v>14586.829999999996</v>
      </c>
      <c r="K42" s="58"/>
      <c r="L42" s="116"/>
    </row>
    <row r="43" spans="1:12" ht="23.25" customHeight="1">
      <c r="A43" s="317" t="s">
        <v>238</v>
      </c>
      <c r="B43" s="318"/>
      <c r="C43" s="319"/>
      <c r="D43" s="265" t="s">
        <v>198</v>
      </c>
      <c r="E43" s="55">
        <f>'29'!F44</f>
        <v>0</v>
      </c>
      <c r="F43" s="341">
        <v>900</v>
      </c>
      <c r="G43" s="315">
        <f t="shared" si="3"/>
        <v>900</v>
      </c>
      <c r="H43" s="56">
        <f>G43+'29'!H44</f>
        <v>900</v>
      </c>
      <c r="I43" s="55"/>
      <c r="J43" s="57">
        <f>H43/DAY(B2)</f>
        <v>30</v>
      </c>
      <c r="K43" s="58"/>
      <c r="L43" s="116"/>
    </row>
    <row r="44" spans="1:12" ht="23.25" customHeight="1">
      <c r="A44" s="317" t="s">
        <v>239</v>
      </c>
      <c r="B44" s="318"/>
      <c r="C44" s="319"/>
      <c r="D44" s="265" t="s">
        <v>198</v>
      </c>
      <c r="E44" s="55">
        <f>'29'!F45</f>
        <v>614</v>
      </c>
      <c r="F44" s="341">
        <v>945</v>
      </c>
      <c r="G44" s="315">
        <f t="shared" si="3"/>
        <v>331</v>
      </c>
      <c r="H44" s="56">
        <f>G44+'29'!H45</f>
        <v>945</v>
      </c>
      <c r="I44" s="55"/>
      <c r="J44" s="57">
        <f>H44/DAY(B2)</f>
        <v>31.5</v>
      </c>
      <c r="K44" s="58"/>
      <c r="L44" s="116"/>
    </row>
    <row r="45" spans="1:12" ht="23.25" customHeight="1">
      <c r="A45" s="317" t="s">
        <v>240</v>
      </c>
      <c r="B45" s="318"/>
      <c r="C45" s="319"/>
      <c r="D45" s="265" t="s">
        <v>198</v>
      </c>
      <c r="E45" s="55">
        <f>'29'!F46</f>
        <v>187</v>
      </c>
      <c r="F45" s="341">
        <v>375</v>
      </c>
      <c r="G45" s="315">
        <f t="shared" si="3"/>
        <v>188</v>
      </c>
      <c r="H45" s="56">
        <f>G45+'29'!H46</f>
        <v>374.95</v>
      </c>
      <c r="I45" s="55"/>
      <c r="J45" s="57">
        <f>H45/DAY(B2)</f>
        <v>12.498333333333333</v>
      </c>
      <c r="K45" s="58"/>
      <c r="L45" s="116"/>
    </row>
    <row r="46" spans="1:12" ht="23.25" customHeight="1">
      <c r="A46" s="397" t="s">
        <v>241</v>
      </c>
      <c r="B46" s="398"/>
      <c r="C46" s="399"/>
      <c r="D46" s="346"/>
      <c r="E46" s="411"/>
      <c r="F46" s="266"/>
      <c r="G46" s="276">
        <f>G34+G35+G36+G37+G38+G39+G40+G41+G42+G43+G44+G45</f>
        <v>4911226.3900000006</v>
      </c>
      <c r="H46" s="56">
        <f>G46+'29'!H47</f>
        <v>5239887.8600000003</v>
      </c>
      <c r="I46" s="55"/>
      <c r="J46" s="57">
        <f>H46/DAY(B2)</f>
        <v>174662.92866666667</v>
      </c>
      <c r="K46" s="58"/>
      <c r="L46" s="116"/>
    </row>
    <row r="47" spans="1:12" ht="23.25" customHeight="1">
      <c r="A47" s="1414" t="s">
        <v>242</v>
      </c>
      <c r="B47" s="1415"/>
      <c r="C47" s="1416"/>
      <c r="D47" s="431"/>
      <c r="E47" s="385"/>
      <c r="F47" s="385"/>
      <c r="G47" s="431"/>
      <c r="H47" s="431"/>
      <c r="I47" s="431"/>
      <c r="J47" s="431"/>
      <c r="K47" s="58"/>
      <c r="L47" s="116"/>
    </row>
    <row r="48" spans="1:12" ht="23.25" customHeight="1">
      <c r="A48" s="317" t="s">
        <v>229</v>
      </c>
      <c r="B48" s="347"/>
      <c r="C48" s="348"/>
      <c r="D48" s="265" t="s">
        <v>198</v>
      </c>
      <c r="E48" s="412">
        <f>'29'!F49</f>
        <v>260732.13</v>
      </c>
      <c r="F48" s="341">
        <v>793704.71</v>
      </c>
      <c r="G48" s="315">
        <f t="shared" ref="G48:G57" si="4">F48-E48</f>
        <v>532972.57999999996</v>
      </c>
      <c r="H48" s="56">
        <f>G48+'29'!H49</f>
        <v>532972.71</v>
      </c>
      <c r="I48" s="55"/>
      <c r="J48" s="57">
        <f>H48/DAY(B2)</f>
        <v>17765.756999999998</v>
      </c>
      <c r="K48" s="58"/>
      <c r="L48" s="116"/>
    </row>
    <row r="49" spans="1:12" ht="23.25" customHeight="1">
      <c r="A49" s="317" t="s">
        <v>243</v>
      </c>
      <c r="B49" s="347"/>
      <c r="C49" s="348"/>
      <c r="D49" s="265" t="s">
        <v>198</v>
      </c>
      <c r="E49" s="55">
        <f>'29'!F50</f>
        <v>500726</v>
      </c>
      <c r="F49" s="341">
        <v>707853.75</v>
      </c>
      <c r="G49" s="315">
        <f t="shared" si="4"/>
        <v>207127.75</v>
      </c>
      <c r="H49" s="56">
        <f>G49+'29'!H50</f>
        <v>204427.75</v>
      </c>
      <c r="I49" s="55"/>
      <c r="J49" s="57">
        <f>H49/DAY(B2)</f>
        <v>6814.2583333333332</v>
      </c>
      <c r="K49" s="58"/>
      <c r="L49" s="116"/>
    </row>
    <row r="50" spans="1:12" ht="23.25" customHeight="1">
      <c r="A50" s="317" t="s">
        <v>231</v>
      </c>
      <c r="B50" s="347"/>
      <c r="C50" s="348"/>
      <c r="D50" s="265" t="s">
        <v>198</v>
      </c>
      <c r="E50" s="55">
        <f>'29'!F51</f>
        <v>144639.87</v>
      </c>
      <c r="F50" s="341">
        <v>552102.06999999995</v>
      </c>
      <c r="G50" s="315">
        <f t="shared" si="4"/>
        <v>407462.19999999995</v>
      </c>
      <c r="H50" s="56">
        <f>G50+'29'!H51</f>
        <v>407462.06999999995</v>
      </c>
      <c r="I50" s="55"/>
      <c r="J50" s="57">
        <f>H50/DAY(B2)</f>
        <v>13582.068999999998</v>
      </c>
      <c r="K50" s="58"/>
      <c r="L50" s="116"/>
    </row>
    <row r="51" spans="1:12" ht="23.25" customHeight="1">
      <c r="A51" s="317" t="s">
        <v>244</v>
      </c>
      <c r="B51" s="347"/>
      <c r="C51" s="348"/>
      <c r="D51" s="265" t="s">
        <v>198</v>
      </c>
      <c r="E51" s="55">
        <f>'29'!F52</f>
        <v>539606.06999999995</v>
      </c>
      <c r="F51" s="341">
        <v>1244061</v>
      </c>
      <c r="G51" s="315">
        <f t="shared" si="4"/>
        <v>704454.93</v>
      </c>
      <c r="H51" s="56">
        <f>G51+'29'!H52</f>
        <v>704454.93</v>
      </c>
      <c r="I51" s="55"/>
      <c r="J51" s="57">
        <f>H51/DAY(B2)</f>
        <v>23481.831000000002</v>
      </c>
      <c r="K51" s="58"/>
      <c r="L51" s="116"/>
    </row>
    <row r="52" spans="1:12" ht="23.25" customHeight="1">
      <c r="A52" s="317" t="s">
        <v>233</v>
      </c>
      <c r="B52" s="347"/>
      <c r="C52" s="348"/>
      <c r="D52" s="265" t="s">
        <v>198</v>
      </c>
      <c r="E52" s="55">
        <f>'29'!F53</f>
        <v>431514</v>
      </c>
      <c r="F52" s="341">
        <v>495803.59</v>
      </c>
      <c r="G52" s="315">
        <f t="shared" si="4"/>
        <v>64289.590000000026</v>
      </c>
      <c r="H52" s="56">
        <f>G52+'29'!H53</f>
        <v>63259.260000000009</v>
      </c>
      <c r="I52" s="55"/>
      <c r="J52" s="57">
        <f>H52/DAY(B2)</f>
        <v>2108.6420000000003</v>
      </c>
      <c r="K52" s="58"/>
      <c r="L52" s="116"/>
    </row>
    <row r="53" spans="1:12" ht="23.25" customHeight="1">
      <c r="A53" s="317" t="s">
        <v>245</v>
      </c>
      <c r="B53" s="347"/>
      <c r="C53" s="348"/>
      <c r="D53" s="265" t="s">
        <v>198</v>
      </c>
      <c r="E53" s="55">
        <f>'29'!F54</f>
        <v>13596</v>
      </c>
      <c r="F53" s="341">
        <v>55471.01</v>
      </c>
      <c r="G53" s="315">
        <f t="shared" si="4"/>
        <v>41875.01</v>
      </c>
      <c r="H53" s="56">
        <f>G53+'29'!H54</f>
        <v>41642.01</v>
      </c>
      <c r="I53" s="55"/>
      <c r="J53" s="57">
        <f>H53/DAY(B2)</f>
        <v>1388.067</v>
      </c>
      <c r="K53" s="58"/>
      <c r="L53" s="116"/>
    </row>
    <row r="54" spans="1:12" ht="23.25" customHeight="1">
      <c r="A54" s="317" t="s">
        <v>246</v>
      </c>
      <c r="B54" s="347"/>
      <c r="C54" s="348"/>
      <c r="D54" s="265" t="s">
        <v>198</v>
      </c>
      <c r="E54" s="55">
        <f>'29'!F55</f>
        <v>68111</v>
      </c>
      <c r="F54" s="341">
        <v>741511.59</v>
      </c>
      <c r="G54" s="315">
        <f t="shared" si="4"/>
        <v>673400.59</v>
      </c>
      <c r="H54" s="56">
        <f>G54+'29'!H55</f>
        <v>673400.59</v>
      </c>
      <c r="I54" s="55"/>
      <c r="J54" s="57">
        <f>H54/DAY(B2)</f>
        <v>22446.686333333331</v>
      </c>
      <c r="K54" s="58"/>
      <c r="L54" s="116"/>
    </row>
    <row r="55" spans="1:12" ht="23.25" customHeight="1">
      <c r="A55" s="317" t="s">
        <v>247</v>
      </c>
      <c r="B55" s="347"/>
      <c r="C55" s="348"/>
      <c r="D55" s="265" t="s">
        <v>248</v>
      </c>
      <c r="E55" s="55">
        <f>'29'!F56</f>
        <v>606023</v>
      </c>
      <c r="F55" s="341">
        <v>334966</v>
      </c>
      <c r="G55" s="315">
        <f t="shared" si="4"/>
        <v>-271057</v>
      </c>
      <c r="H55" s="56">
        <f>G55+'29'!H56</f>
        <v>-282232</v>
      </c>
      <c r="I55" s="55"/>
      <c r="J55" s="57">
        <f>H55/DAY(B2)</f>
        <v>-9407.7333333333336</v>
      </c>
      <c r="K55" s="42"/>
      <c r="L55" s="116"/>
    </row>
    <row r="56" spans="1:12" ht="23.25" customHeight="1">
      <c r="A56" s="317" t="s">
        <v>237</v>
      </c>
      <c r="B56" s="347"/>
      <c r="C56" s="348"/>
      <c r="D56" s="265" t="s">
        <v>198</v>
      </c>
      <c r="E56" s="55">
        <f>'29'!F57</f>
        <v>7711</v>
      </c>
      <c r="F56" s="341">
        <v>0</v>
      </c>
      <c r="G56" s="315">
        <f t="shared" si="4"/>
        <v>-7711</v>
      </c>
      <c r="H56" s="56">
        <f>G56+'29'!H57</f>
        <v>-7711</v>
      </c>
      <c r="I56" s="55"/>
      <c r="J56" s="57">
        <f>H56/DAY(B2)</f>
        <v>-257.03333333333336</v>
      </c>
      <c r="K56" s="58"/>
      <c r="L56" s="116"/>
    </row>
    <row r="57" spans="1:12" ht="23.25" customHeight="1">
      <c r="A57" s="317" t="s">
        <v>249</v>
      </c>
      <c r="B57" s="347"/>
      <c r="C57" s="348"/>
      <c r="D57" s="265" t="s">
        <v>198</v>
      </c>
      <c r="E57" s="55">
        <f>'29'!F58</f>
        <v>49264</v>
      </c>
      <c r="F57" s="341">
        <v>2065.9499999999998</v>
      </c>
      <c r="G57" s="315">
        <f t="shared" si="4"/>
        <v>-47198.05</v>
      </c>
      <c r="H57" s="56">
        <f>G57+'29'!H58</f>
        <v>-47798.26</v>
      </c>
      <c r="I57" s="55"/>
      <c r="J57" s="57">
        <f>H57/DAY(B2)</f>
        <v>-1593.2753333333335</v>
      </c>
      <c r="K57" s="58"/>
      <c r="L57" s="116"/>
    </row>
    <row r="58" spans="1:12" ht="23.25" customHeight="1">
      <c r="A58" s="397" t="s">
        <v>241</v>
      </c>
      <c r="B58" s="398"/>
      <c r="C58" s="399"/>
      <c r="D58" s="266"/>
      <c r="E58" s="411"/>
      <c r="F58" s="266"/>
      <c r="G58" s="276">
        <f>G48+G49+G50+G51+G52+G53+G54+G55+G56+G57</f>
        <v>2305616.6</v>
      </c>
      <c r="H58" s="56">
        <f>G58+'29'!H59</f>
        <v>2289878.13</v>
      </c>
      <c r="I58" s="55">
        <f>G7-G59</f>
        <v>-4445912.09</v>
      </c>
      <c r="J58" s="57">
        <f>H58/DAY(B2)</f>
        <v>76329.270999999993</v>
      </c>
      <c r="K58" s="58"/>
      <c r="L58" s="116"/>
    </row>
    <row r="59" spans="1:12" ht="23.25" customHeight="1">
      <c r="A59" s="349"/>
      <c r="B59" s="349"/>
      <c r="C59" s="349"/>
      <c r="D59" s="266" t="s">
        <v>250</v>
      </c>
      <c r="E59" s="266"/>
      <c r="F59" s="266"/>
      <c r="G59" s="276">
        <f>G46+G58</f>
        <v>7216842.9900000002</v>
      </c>
      <c r="H59" s="56">
        <f>G59+'29'!H60</f>
        <v>7530974.5300000003</v>
      </c>
      <c r="I59" s="55">
        <f>G13-G59</f>
        <v>-5671780.8900000006</v>
      </c>
      <c r="J59" s="57">
        <f>H59/DAY(B2)</f>
        <v>251032.48433333336</v>
      </c>
      <c r="K59" s="58"/>
      <c r="L59" s="116"/>
    </row>
    <row r="60" spans="1:12" ht="23.25" customHeight="1">
      <c r="A60" s="389" t="s">
        <v>251</v>
      </c>
      <c r="B60" s="390"/>
      <c r="C60" s="391"/>
      <c r="D60" s="392"/>
      <c r="E60" s="393"/>
      <c r="F60" s="393"/>
      <c r="G60" s="394"/>
      <c r="H60" s="394"/>
      <c r="I60" s="394"/>
      <c r="J60" s="394"/>
      <c r="K60" s="58"/>
      <c r="L60" s="116"/>
    </row>
    <row r="61" spans="1:12" ht="23.25" customHeight="1">
      <c r="A61" s="350" t="s">
        <v>252</v>
      </c>
      <c r="B61" s="351"/>
      <c r="C61" s="352"/>
      <c r="D61" s="266" t="s">
        <v>253</v>
      </c>
      <c r="E61" s="412">
        <f>'29'!F62</f>
        <v>20419</v>
      </c>
      <c r="F61" s="267">
        <v>55085</v>
      </c>
      <c r="G61" s="315">
        <f t="shared" ref="G61:G68" si="5">F61-E61</f>
        <v>34666</v>
      </c>
      <c r="H61" s="56">
        <f>G61+'29'!H62</f>
        <v>34666.001999999993</v>
      </c>
      <c r="I61" s="200"/>
      <c r="J61" s="57">
        <f>H61/DAY(B2)</f>
        <v>1155.5333999999998</v>
      </c>
      <c r="K61" s="58"/>
      <c r="L61" s="116"/>
    </row>
    <row r="62" spans="1:12" ht="23.25" customHeight="1">
      <c r="A62" s="350" t="s">
        <v>254</v>
      </c>
      <c r="B62" s="351"/>
      <c r="C62" s="352"/>
      <c r="D62" s="266" t="s">
        <v>253</v>
      </c>
      <c r="E62" s="55">
        <f>'29'!F63</f>
        <v>2468</v>
      </c>
      <c r="F62" s="267">
        <v>113360.74</v>
      </c>
      <c r="G62" s="315">
        <f t="shared" si="5"/>
        <v>110892.74</v>
      </c>
      <c r="H62" s="56">
        <f>G62+'29'!H63</f>
        <v>113360.74</v>
      </c>
      <c r="I62" s="200"/>
      <c r="J62" s="57">
        <f>H62/DAY(B2)</f>
        <v>3778.6913333333337</v>
      </c>
      <c r="K62" s="58"/>
      <c r="L62" s="116"/>
    </row>
    <row r="63" spans="1:12" ht="23.25" customHeight="1">
      <c r="A63" s="1665" t="s">
        <v>161</v>
      </c>
      <c r="B63" s="1666"/>
      <c r="C63" s="1667"/>
      <c r="D63" s="265" t="s">
        <v>253</v>
      </c>
      <c r="E63" s="55">
        <f>'29'!F64</f>
        <v>159553</v>
      </c>
      <c r="F63" s="264">
        <v>274089</v>
      </c>
      <c r="G63" s="315">
        <f t="shared" si="5"/>
        <v>114536</v>
      </c>
      <c r="H63" s="56">
        <f>G63+'29'!H64</f>
        <v>114157</v>
      </c>
      <c r="I63" s="68"/>
      <c r="J63" s="57">
        <f>H63/DAY(B2)</f>
        <v>3805.2333333333331</v>
      </c>
      <c r="K63" s="58"/>
      <c r="L63" s="116"/>
    </row>
    <row r="64" spans="1:12" ht="23.25" customHeight="1">
      <c r="A64" s="1665" t="s">
        <v>162</v>
      </c>
      <c r="B64" s="1666"/>
      <c r="C64" s="1667"/>
      <c r="D64" s="265" t="s">
        <v>253</v>
      </c>
      <c r="E64" s="55">
        <f>'29'!F65</f>
        <v>160561</v>
      </c>
      <c r="F64" s="264">
        <v>218102.43</v>
      </c>
      <c r="G64" s="315">
        <f t="shared" si="5"/>
        <v>57541.429999999993</v>
      </c>
      <c r="H64" s="56">
        <f>G64+'29'!H65</f>
        <v>57104.429999999993</v>
      </c>
      <c r="I64" s="79"/>
      <c r="J64" s="57">
        <f>H64/DAY(B2)</f>
        <v>1903.4809999999998</v>
      </c>
      <c r="K64" s="58"/>
      <c r="L64" s="116"/>
    </row>
    <row r="65" spans="1:12" ht="23.25" customHeight="1">
      <c r="A65" s="1665" t="s">
        <v>255</v>
      </c>
      <c r="B65" s="1666"/>
      <c r="C65" s="1667"/>
      <c r="D65" s="265" t="s">
        <v>253</v>
      </c>
      <c r="E65" s="55">
        <f>'29'!F66</f>
        <v>56221</v>
      </c>
      <c r="F65" s="264">
        <v>7977.92</v>
      </c>
      <c r="G65" s="315">
        <f t="shared" si="5"/>
        <v>-48243.08</v>
      </c>
      <c r="H65" s="56">
        <f>G65+'29'!H66</f>
        <v>-48827.08</v>
      </c>
      <c r="I65" s="68"/>
      <c r="J65" s="57">
        <f>H65/DAY(B2)</f>
        <v>-1627.5693333333334</v>
      </c>
      <c r="K65" s="58"/>
      <c r="L65" s="116"/>
    </row>
    <row r="66" spans="1:12" ht="23.25" customHeight="1">
      <c r="A66" s="1665" t="s">
        <v>157</v>
      </c>
      <c r="B66" s="1666"/>
      <c r="C66" s="1667"/>
      <c r="D66" s="265" t="s">
        <v>253</v>
      </c>
      <c r="E66" s="55">
        <f>'29'!F67</f>
        <v>251244</v>
      </c>
      <c r="F66" s="264">
        <v>350190.03</v>
      </c>
      <c r="G66" s="315">
        <f t="shared" si="5"/>
        <v>98946.030000000028</v>
      </c>
      <c r="H66" s="56">
        <f>G66+'29'!H67</f>
        <v>97998.030000000028</v>
      </c>
      <c r="I66" s="79"/>
      <c r="J66" s="57">
        <f>H66/DAY(B2)</f>
        <v>3266.601000000001</v>
      </c>
      <c r="K66" s="74"/>
      <c r="L66" s="116"/>
    </row>
    <row r="67" spans="1:12" ht="23.25" customHeight="1">
      <c r="A67" s="1665" t="s">
        <v>164</v>
      </c>
      <c r="B67" s="1666"/>
      <c r="C67" s="1667"/>
      <c r="D67" s="265" t="s">
        <v>253</v>
      </c>
      <c r="E67" s="55">
        <f>'29'!F68</f>
        <v>85321</v>
      </c>
      <c r="F67" s="264">
        <v>0</v>
      </c>
      <c r="G67" s="315">
        <f t="shared" si="5"/>
        <v>-85321</v>
      </c>
      <c r="H67" s="56">
        <f>G67+'29'!H68</f>
        <v>-85321</v>
      </c>
      <c r="I67" s="104"/>
      <c r="J67" s="57">
        <f>H67/DAY(B2)</f>
        <v>-2844.0333333333333</v>
      </c>
      <c r="K67" s="82"/>
      <c r="L67" s="116"/>
    </row>
    <row r="68" spans="1:12" ht="23.25" customHeight="1">
      <c r="A68" s="1665" t="s">
        <v>165</v>
      </c>
      <c r="B68" s="1666"/>
      <c r="C68" s="1667"/>
      <c r="D68" s="265" t="s">
        <v>253</v>
      </c>
      <c r="E68" s="55">
        <f>'29'!F69</f>
        <v>81507</v>
      </c>
      <c r="F68" s="264">
        <v>156094.09</v>
      </c>
      <c r="G68" s="315">
        <f t="shared" si="5"/>
        <v>74587.09</v>
      </c>
      <c r="H68" s="56">
        <f>G68+'29'!H69</f>
        <v>74345.09</v>
      </c>
      <c r="I68" s="104"/>
      <c r="J68" s="57">
        <f>H68/DAY(B2)</f>
        <v>2478.1696666666667</v>
      </c>
      <c r="K68" s="84"/>
      <c r="L68" s="116"/>
    </row>
    <row r="69" spans="1:12" ht="23.25" customHeight="1">
      <c r="A69" s="1686" t="s">
        <v>256</v>
      </c>
      <c r="B69" s="1687"/>
      <c r="C69" s="1688"/>
      <c r="D69" s="265" t="s">
        <v>253</v>
      </c>
      <c r="E69" s="420"/>
      <c r="F69" s="419"/>
      <c r="G69" s="419"/>
      <c r="H69" s="56">
        <f>G69+'13'!H70</f>
        <v>0</v>
      </c>
      <c r="I69" s="419"/>
      <c r="J69" s="419"/>
      <c r="K69" s="84"/>
      <c r="L69" s="116"/>
    </row>
    <row r="70" spans="1:12" ht="23.25" customHeight="1">
      <c r="A70" s="1677" t="s">
        <v>257</v>
      </c>
      <c r="B70" s="1678"/>
      <c r="C70" s="1678"/>
      <c r="D70" s="1678"/>
      <c r="E70" s="1678"/>
      <c r="F70" s="1678"/>
      <c r="G70" s="1678"/>
      <c r="H70" s="1678"/>
      <c r="I70" s="1678"/>
      <c r="J70" s="1679"/>
      <c r="K70" s="82"/>
      <c r="L70" s="116"/>
    </row>
    <row r="71" spans="1:12" ht="23.25" customHeight="1">
      <c r="A71" s="1665" t="s">
        <v>258</v>
      </c>
      <c r="B71" s="1666"/>
      <c r="C71" s="1667"/>
      <c r="D71" s="265" t="s">
        <v>253</v>
      </c>
      <c r="E71" s="412">
        <f>'29'!F72</f>
        <v>855817</v>
      </c>
      <c r="F71" s="268">
        <v>788748</v>
      </c>
      <c r="G71" s="315">
        <f t="shared" ref="G71:G83" si="6">F71-E71</f>
        <v>-67069</v>
      </c>
      <c r="H71" s="56">
        <f>G71+'29'!H72</f>
        <v>-67138</v>
      </c>
      <c r="I71" s="68"/>
      <c r="J71" s="57">
        <f>H71/DAY(B2)</f>
        <v>-2237.9333333333334</v>
      </c>
      <c r="K71" s="84"/>
      <c r="L71" s="116"/>
    </row>
    <row r="72" spans="1:12" ht="23.25" customHeight="1">
      <c r="A72" s="1665" t="s">
        <v>259</v>
      </c>
      <c r="B72" s="1666"/>
      <c r="C72" s="1667"/>
      <c r="D72" s="265" t="s">
        <v>253</v>
      </c>
      <c r="E72" s="55">
        <f>'29'!F73</f>
        <v>885935</v>
      </c>
      <c r="F72" s="268">
        <v>883770</v>
      </c>
      <c r="G72" s="315">
        <f t="shared" si="6"/>
        <v>-2165</v>
      </c>
      <c r="H72" s="56">
        <f>G72+'29'!H73</f>
        <v>-1981</v>
      </c>
      <c r="I72" s="68"/>
      <c r="J72" s="57">
        <f>H72/DAY(B2)</f>
        <v>-66.033333333333331</v>
      </c>
      <c r="K72" s="82"/>
      <c r="L72" s="116"/>
    </row>
    <row r="73" spans="1:12" ht="23.25" customHeight="1">
      <c r="A73" s="1665" t="s">
        <v>260</v>
      </c>
      <c r="B73" s="1666"/>
      <c r="C73" s="1667"/>
      <c r="D73" s="265" t="s">
        <v>253</v>
      </c>
      <c r="E73" s="55">
        <f>'29'!F74</f>
        <v>2573</v>
      </c>
      <c r="F73" s="268">
        <v>783142</v>
      </c>
      <c r="G73" s="315">
        <f t="shared" si="6"/>
        <v>780569</v>
      </c>
      <c r="H73" s="56">
        <f>G73+'29'!H74</f>
        <v>780556</v>
      </c>
      <c r="I73" s="68"/>
      <c r="J73" s="57">
        <f>H73/DAY(B2)</f>
        <v>26018.533333333333</v>
      </c>
      <c r="K73" s="84"/>
      <c r="L73" s="116"/>
    </row>
    <row r="74" spans="1:12" ht="23.25" customHeight="1">
      <c r="A74" s="1670" t="s">
        <v>261</v>
      </c>
      <c r="B74" s="1671"/>
      <c r="C74" s="1672"/>
      <c r="D74" s="265" t="s">
        <v>253</v>
      </c>
      <c r="E74" s="55">
        <f>'29'!F75</f>
        <v>12561</v>
      </c>
      <c r="F74" s="268">
        <v>641404</v>
      </c>
      <c r="G74" s="315">
        <f t="shared" si="6"/>
        <v>628843</v>
      </c>
      <c r="H74" s="56">
        <f>G74+'29'!H75</f>
        <v>628735</v>
      </c>
      <c r="I74" s="68"/>
      <c r="J74" s="57">
        <f>H74/DAY(B2)</f>
        <v>20957.833333333332</v>
      </c>
      <c r="K74" s="82"/>
      <c r="L74" s="116"/>
    </row>
    <row r="75" spans="1:12" ht="23.25" customHeight="1">
      <c r="A75" s="1670" t="s">
        <v>262</v>
      </c>
      <c r="B75" s="1671"/>
      <c r="C75" s="1672"/>
      <c r="D75" s="265" t="s">
        <v>253</v>
      </c>
      <c r="E75" s="55">
        <f>'29'!F76</f>
        <v>7308</v>
      </c>
      <c r="F75" s="268">
        <v>615603</v>
      </c>
      <c r="G75" s="315">
        <f t="shared" si="6"/>
        <v>608295</v>
      </c>
      <c r="H75" s="56">
        <f>G75+'29'!H76</f>
        <v>608397</v>
      </c>
      <c r="I75" s="111"/>
      <c r="J75" s="57">
        <f>H75/DAY(B2)</f>
        <v>20279.900000000001</v>
      </c>
      <c r="K75" s="82"/>
      <c r="L75" s="116"/>
    </row>
    <row r="76" spans="1:12" ht="23.25" customHeight="1">
      <c r="A76" s="1665" t="s">
        <v>263</v>
      </c>
      <c r="B76" s="1666"/>
      <c r="C76" s="1667"/>
      <c r="D76" s="265" t="s">
        <v>253</v>
      </c>
      <c r="E76" s="55">
        <f>'29'!F77</f>
        <v>702750</v>
      </c>
      <c r="F76" s="268">
        <v>669905</v>
      </c>
      <c r="G76" s="315">
        <f t="shared" si="6"/>
        <v>-32845</v>
      </c>
      <c r="H76" s="56">
        <f>G76+'29'!H77</f>
        <v>-32934</v>
      </c>
      <c r="I76" s="111"/>
      <c r="J76" s="57">
        <f>H76/DAY(B2)</f>
        <v>-1097.8</v>
      </c>
      <c r="K76" s="82"/>
      <c r="L76" s="116"/>
    </row>
    <row r="77" spans="1:12" ht="23.25" customHeight="1">
      <c r="A77" s="1409" t="s">
        <v>264</v>
      </c>
      <c r="B77" s="1410"/>
      <c r="C77" s="1411"/>
      <c r="D77" s="265" t="s">
        <v>253</v>
      </c>
      <c r="E77" s="55">
        <f>'29'!F78</f>
        <v>672760</v>
      </c>
      <c r="F77" s="268">
        <v>487314</v>
      </c>
      <c r="G77" s="315">
        <f t="shared" si="6"/>
        <v>-185446</v>
      </c>
      <c r="H77" s="56">
        <f>G77+'29'!H78</f>
        <v>-185718</v>
      </c>
      <c r="I77" s="111"/>
      <c r="J77" s="57">
        <f>H77/DAY(B2)</f>
        <v>-6190.6</v>
      </c>
      <c r="K77" s="82"/>
      <c r="L77" s="116"/>
    </row>
    <row r="78" spans="1:12" ht="23.25" customHeight="1">
      <c r="A78" s="1673" t="s">
        <v>151</v>
      </c>
      <c r="B78" s="1674"/>
      <c r="C78" s="1675"/>
      <c r="D78" s="353" t="s">
        <v>253</v>
      </c>
      <c r="E78" s="55">
        <f>'29'!F79</f>
        <v>830691</v>
      </c>
      <c r="F78" s="268">
        <v>677157</v>
      </c>
      <c r="G78" s="315">
        <f t="shared" si="6"/>
        <v>-153534</v>
      </c>
      <c r="H78" s="56">
        <f>G78+'29'!H79</f>
        <v>-154865</v>
      </c>
      <c r="I78" s="111"/>
      <c r="J78" s="57">
        <f>H78/DAY(B2)</f>
        <v>-5162.166666666667</v>
      </c>
      <c r="K78" s="82"/>
      <c r="L78" s="116"/>
    </row>
    <row r="79" spans="1:12" ht="23.25" customHeight="1">
      <c r="A79" s="1673" t="s">
        <v>265</v>
      </c>
      <c r="B79" s="1674"/>
      <c r="C79" s="1675"/>
      <c r="D79" s="353" t="s">
        <v>253</v>
      </c>
      <c r="E79" s="55">
        <f>'29'!F80</f>
        <v>526918</v>
      </c>
      <c r="F79" s="268">
        <v>341072.6</v>
      </c>
      <c r="G79" s="315">
        <f t="shared" si="6"/>
        <v>-185845.40000000002</v>
      </c>
      <c r="H79" s="56">
        <f>G79+'29'!H80</f>
        <v>-189472.92000000004</v>
      </c>
      <c r="I79" s="111"/>
      <c r="J79" s="57">
        <f>H79/DAY(B2)</f>
        <v>-6315.764000000001</v>
      </c>
      <c r="K79" s="82"/>
      <c r="L79" s="116"/>
    </row>
    <row r="80" spans="1:12" ht="23.25" customHeight="1">
      <c r="A80" s="1673" t="s">
        <v>266</v>
      </c>
      <c r="B80" s="1674"/>
      <c r="C80" s="1675"/>
      <c r="D80" s="353" t="s">
        <v>253</v>
      </c>
      <c r="E80" s="55">
        <f>'29'!F81</f>
        <v>638711</v>
      </c>
      <c r="F80" s="268">
        <v>407588.2</v>
      </c>
      <c r="G80" s="315">
        <f t="shared" si="6"/>
        <v>-231122.8</v>
      </c>
      <c r="H80" s="56">
        <f>G80+'29'!H81</f>
        <v>-231309.8</v>
      </c>
      <c r="I80" s="111"/>
      <c r="J80" s="57">
        <f>H80/DAY(B2)</f>
        <v>-7710.3266666666659</v>
      </c>
      <c r="K80" s="82"/>
      <c r="L80" s="116"/>
    </row>
    <row r="81" spans="1:12" ht="23.25" customHeight="1">
      <c r="A81" s="1676" t="s">
        <v>267</v>
      </c>
      <c r="B81" s="1674"/>
      <c r="C81" s="1675"/>
      <c r="D81" s="354" t="s">
        <v>198</v>
      </c>
      <c r="E81" s="55">
        <f>'29'!F82</f>
        <v>108123</v>
      </c>
      <c r="F81" s="269">
        <v>72586.12</v>
      </c>
      <c r="G81" s="315">
        <f t="shared" si="6"/>
        <v>-35536.880000000005</v>
      </c>
      <c r="H81" s="56">
        <f>G81+'29'!H82</f>
        <v>-35571.880000000005</v>
      </c>
      <c r="I81" s="205"/>
      <c r="J81" s="57">
        <f>H81/DAY(B2)</f>
        <v>-1185.7293333333334</v>
      </c>
      <c r="K81" s="82"/>
      <c r="L81" s="116"/>
    </row>
    <row r="82" spans="1:12" ht="23.25" customHeight="1">
      <c r="A82" s="1676" t="s">
        <v>268</v>
      </c>
      <c r="B82" s="1674"/>
      <c r="C82" s="1675"/>
      <c r="D82" s="270" t="s">
        <v>198</v>
      </c>
      <c r="E82" s="55">
        <f>'29'!F83</f>
        <v>20089</v>
      </c>
      <c r="F82" s="266">
        <v>725847</v>
      </c>
      <c r="G82" s="315">
        <f t="shared" si="6"/>
        <v>705758</v>
      </c>
      <c r="H82" s="56">
        <f>G82+'29'!H83</f>
        <v>705341</v>
      </c>
      <c r="I82" s="67"/>
      <c r="J82" s="57">
        <f>H82/DAY(B2)</f>
        <v>23511.366666666665</v>
      </c>
      <c r="K82" s="74"/>
      <c r="L82" s="116"/>
    </row>
    <row r="83" spans="1:12" ht="23.25" customHeight="1">
      <c r="A83" s="1412" t="s">
        <v>166</v>
      </c>
      <c r="B83" s="1412"/>
      <c r="C83" s="1413"/>
      <c r="D83" s="355" t="s">
        <v>198</v>
      </c>
      <c r="E83" s="55">
        <f>'29'!F84</f>
        <v>498687</v>
      </c>
      <c r="F83" s="265">
        <v>960770</v>
      </c>
      <c r="G83" s="315">
        <f t="shared" si="6"/>
        <v>462083</v>
      </c>
      <c r="H83" s="56">
        <f>G83+'29'!H84</f>
        <v>460476</v>
      </c>
      <c r="I83" s="67"/>
      <c r="J83" s="57">
        <f>H83/DAY(B2)</f>
        <v>15349.2</v>
      </c>
      <c r="K83" s="87"/>
      <c r="L83" s="116"/>
    </row>
    <row r="84" spans="1:12" s="37" customFormat="1" ht="23.25" customHeight="1">
      <c r="A84" s="406" t="s">
        <v>102</v>
      </c>
      <c r="B84" s="407"/>
      <c r="C84" s="407"/>
      <c r="D84" s="356"/>
      <c r="E84" s="309"/>
      <c r="F84" s="265"/>
      <c r="G84" s="365">
        <f xml:space="preserve"> SUM(G71:G83)</f>
        <v>2291983.92</v>
      </c>
      <c r="H84" s="56">
        <f>G84+'29'!H85</f>
        <v>2288057.92</v>
      </c>
      <c r="I84" s="67"/>
      <c r="J84" s="57">
        <f>H84/DAY(B2)</f>
        <v>76268.597333333324</v>
      </c>
      <c r="K84" s="87"/>
      <c r="L84" s="43"/>
    </row>
    <row r="85" spans="1:12" s="37" customFormat="1" ht="23.25" customHeight="1">
      <c r="A85" s="1417" t="s">
        <v>274</v>
      </c>
      <c r="B85" s="395"/>
      <c r="C85" s="1418"/>
      <c r="D85" s="431"/>
      <c r="E85" s="431"/>
      <c r="F85" s="431"/>
      <c r="G85" s="387"/>
      <c r="H85" s="431"/>
      <c r="I85" s="431"/>
      <c r="J85" s="431"/>
      <c r="K85" s="87"/>
      <c r="L85" s="43"/>
    </row>
    <row r="86" spans="1:12" ht="23.25" customHeight="1">
      <c r="A86" s="1656" t="s">
        <v>275</v>
      </c>
      <c r="B86" s="1657"/>
      <c r="C86" s="1658"/>
      <c r="D86" s="265" t="s">
        <v>209</v>
      </c>
      <c r="E86" s="412">
        <f>'29'!F93</f>
        <v>245378</v>
      </c>
      <c r="F86" s="264">
        <v>175511</v>
      </c>
      <c r="G86" s="315">
        <f t="shared" ref="G86:G87" si="7">F86-E86</f>
        <v>-69867</v>
      </c>
      <c r="H86" s="56">
        <f>G86+'29'!H93</f>
        <v>-69877</v>
      </c>
      <c r="I86" s="68"/>
      <c r="J86" s="57">
        <f>H86/DAY(B2)</f>
        <v>-2329.2333333333331</v>
      </c>
      <c r="K86" s="74"/>
      <c r="L86" s="116"/>
    </row>
    <row r="87" spans="1:12" ht="23.25" customHeight="1">
      <c r="A87" s="1656" t="s">
        <v>15</v>
      </c>
      <c r="B87" s="1657"/>
      <c r="C87" s="1658"/>
      <c r="D87" s="265" t="s">
        <v>209</v>
      </c>
      <c r="E87" s="55">
        <f>'29'!F94</f>
        <v>185930</v>
      </c>
      <c r="F87" s="264">
        <v>60336</v>
      </c>
      <c r="G87" s="315">
        <f t="shared" si="7"/>
        <v>-125594</v>
      </c>
      <c r="H87" s="56">
        <f>G87+'29'!H94</f>
        <v>-125785</v>
      </c>
      <c r="I87" s="68"/>
      <c r="J87" s="57">
        <f>H87/DAY(B2)</f>
        <v>-4192.833333333333</v>
      </c>
      <c r="K87" s="87"/>
      <c r="L87" s="116"/>
    </row>
    <row r="88" spans="1:12" ht="23.25" customHeight="1">
      <c r="A88" s="1659" t="s">
        <v>276</v>
      </c>
      <c r="B88" s="1660"/>
      <c r="C88" s="1661"/>
      <c r="D88" s="265"/>
      <c r="E88" s="55">
        <f>'29'!F95</f>
        <v>3</v>
      </c>
      <c r="F88" s="264"/>
      <c r="G88" s="315">
        <f>G86+G87</f>
        <v>-195461</v>
      </c>
      <c r="H88" s="56">
        <f>G88+'29'!H95</f>
        <v>-195738</v>
      </c>
      <c r="I88" s="68"/>
      <c r="J88" s="57">
        <f>H88/DAY(B2)</f>
        <v>-6524.6</v>
      </c>
      <c r="K88" s="87"/>
      <c r="L88" s="116"/>
    </row>
    <row r="89" spans="1:12" ht="23.25" customHeight="1">
      <c r="A89" s="1656" t="s">
        <v>16</v>
      </c>
      <c r="B89" s="1657"/>
      <c r="C89" s="1658"/>
      <c r="D89" s="265" t="s">
        <v>209</v>
      </c>
      <c r="E89" s="55">
        <f>'29'!F96</f>
        <v>414191</v>
      </c>
      <c r="F89" s="264">
        <v>351186</v>
      </c>
      <c r="G89" s="315">
        <f t="shared" ref="G89:G94" si="8">F89-E89</f>
        <v>-63005</v>
      </c>
      <c r="H89" s="56">
        <f>G89+'29'!H96</f>
        <v>-63097</v>
      </c>
      <c r="I89" s="68"/>
      <c r="J89" s="57">
        <f>H89/DAY(B2)</f>
        <v>-2103.2333333333331</v>
      </c>
      <c r="K89" s="87"/>
      <c r="L89" s="116"/>
    </row>
    <row r="90" spans="1:12" ht="23.25" customHeight="1">
      <c r="A90" s="1405" t="s">
        <v>17</v>
      </c>
      <c r="B90" s="1406"/>
      <c r="C90" s="1407"/>
      <c r="D90" s="265" t="s">
        <v>209</v>
      </c>
      <c r="E90" s="55">
        <v>72</v>
      </c>
      <c r="F90" s="264">
        <v>84</v>
      </c>
      <c r="G90" s="315">
        <f t="shared" si="8"/>
        <v>12</v>
      </c>
      <c r="H90" s="56">
        <f>G90+'29'!H97</f>
        <v>-13</v>
      </c>
      <c r="I90" s="68"/>
      <c r="J90" s="57">
        <f>H90/DAY(B2)</f>
        <v>-0.43333333333333335</v>
      </c>
      <c r="K90" s="42"/>
      <c r="L90" s="116"/>
    </row>
    <row r="91" spans="1:12" ht="23.25" customHeight="1">
      <c r="A91" s="1405" t="s">
        <v>18</v>
      </c>
      <c r="B91" s="1406"/>
      <c r="C91" s="1407"/>
      <c r="D91" s="265" t="s">
        <v>209</v>
      </c>
      <c r="E91" s="55">
        <f>'29'!F98</f>
        <v>97897</v>
      </c>
      <c r="F91" s="264">
        <v>82333</v>
      </c>
      <c r="G91" s="315">
        <f t="shared" si="8"/>
        <v>-15564</v>
      </c>
      <c r="H91" s="56">
        <f>G91+'29'!H98</f>
        <v>-15617</v>
      </c>
      <c r="I91" s="68"/>
      <c r="J91" s="57">
        <f>H91/DAY(B2)</f>
        <v>-520.56666666666672</v>
      </c>
      <c r="K91" s="50"/>
      <c r="L91" s="116"/>
    </row>
    <row r="92" spans="1:12" ht="23.25" customHeight="1">
      <c r="A92" s="1405" t="s">
        <v>19</v>
      </c>
      <c r="B92" s="1406"/>
      <c r="C92" s="1407"/>
      <c r="D92" s="265" t="s">
        <v>209</v>
      </c>
      <c r="E92" s="55">
        <f>'29'!F99</f>
        <v>149846</v>
      </c>
      <c r="F92" s="264">
        <v>115948</v>
      </c>
      <c r="G92" s="315">
        <f t="shared" si="8"/>
        <v>-33898</v>
      </c>
      <c r="H92" s="56">
        <f>G92+'29'!H99</f>
        <v>-33904</v>
      </c>
      <c r="I92" s="68"/>
      <c r="J92" s="57">
        <f>H92/DAY(B2)</f>
        <v>-1130.1333333333334</v>
      </c>
      <c r="K92" s="87"/>
      <c r="L92" s="116"/>
    </row>
    <row r="93" spans="1:12" ht="23.25" customHeight="1">
      <c r="A93" s="1405" t="s">
        <v>20</v>
      </c>
      <c r="B93" s="1406"/>
      <c r="C93" s="1407"/>
      <c r="D93" s="265" t="s">
        <v>209</v>
      </c>
      <c r="E93" s="55">
        <f>'29'!F100</f>
        <v>7356</v>
      </c>
      <c r="F93" s="264">
        <v>2658</v>
      </c>
      <c r="G93" s="315">
        <f t="shared" si="8"/>
        <v>-4698</v>
      </c>
      <c r="H93" s="56">
        <f>G93+'29'!H100</f>
        <v>-4711</v>
      </c>
      <c r="I93" s="68"/>
      <c r="J93" s="57">
        <f>H93/DAY(B2)</f>
        <v>-157.03333333333333</v>
      </c>
      <c r="K93" s="87"/>
      <c r="L93" s="116"/>
    </row>
    <row r="94" spans="1:12" ht="23.25" customHeight="1">
      <c r="A94" s="1405" t="s">
        <v>21</v>
      </c>
      <c r="B94" s="1406"/>
      <c r="C94" s="1407"/>
      <c r="D94" s="265" t="s">
        <v>209</v>
      </c>
      <c r="E94" s="55">
        <f>'29'!F101</f>
        <v>5372</v>
      </c>
      <c r="F94" s="264">
        <v>2507</v>
      </c>
      <c r="G94" s="315">
        <f t="shared" si="8"/>
        <v>-2865</v>
      </c>
      <c r="H94" s="56">
        <f>G94+'29'!H101</f>
        <v>-2884</v>
      </c>
      <c r="I94" s="68"/>
      <c r="J94" s="57">
        <f>H94/DAY(B2)</f>
        <v>-96.13333333333334</v>
      </c>
      <c r="K94" s="87"/>
      <c r="L94" s="116"/>
    </row>
    <row r="95" spans="1:12" ht="23.25" customHeight="1">
      <c r="A95" s="1659" t="s">
        <v>277</v>
      </c>
      <c r="B95" s="1660"/>
      <c r="C95" s="1661"/>
      <c r="D95" s="271"/>
      <c r="E95" s="413"/>
      <c r="F95" s="271"/>
      <c r="G95" s="408">
        <f>SUM(G89:G94)</f>
        <v>-120018</v>
      </c>
      <c r="H95" s="56">
        <f>G95+'29'!H102</f>
        <v>-120226</v>
      </c>
      <c r="I95" s="139"/>
      <c r="J95" s="57">
        <f>H95/DAY(B2)</f>
        <v>-4007.5333333333333</v>
      </c>
      <c r="K95" s="87"/>
      <c r="L95" s="116"/>
    </row>
    <row r="96" spans="1:12" ht="23.25" customHeight="1">
      <c r="A96" s="1662" t="s">
        <v>285</v>
      </c>
      <c r="B96" s="1663"/>
      <c r="C96" s="1664"/>
      <c r="D96" s="431"/>
      <c r="E96" s="431"/>
      <c r="F96" s="431"/>
      <c r="G96" s="386"/>
      <c r="H96" s="386"/>
      <c r="I96" s="386"/>
      <c r="J96" s="386"/>
      <c r="K96" s="87"/>
      <c r="L96" s="116"/>
    </row>
    <row r="97" spans="1:12" ht="23.25" customHeight="1">
      <c r="A97" s="357" t="s">
        <v>286</v>
      </c>
      <c r="B97" s="358"/>
      <c r="C97" s="359"/>
      <c r="D97" s="309" t="s">
        <v>206</v>
      </c>
      <c r="E97" s="412">
        <f>'29'!F124</f>
        <v>831972</v>
      </c>
      <c r="F97" s="272">
        <v>650192.71</v>
      </c>
      <c r="G97" s="315">
        <f t="shared" ref="G97:G101" si="9">F97-E97</f>
        <v>-181779.29000000004</v>
      </c>
      <c r="H97" s="56">
        <f>G97+'29'!H124</f>
        <v>-182173.29000000004</v>
      </c>
      <c r="I97" s="86"/>
      <c r="J97" s="57">
        <f>H97/DAY(B2)</f>
        <v>-6072.4430000000011</v>
      </c>
      <c r="K97" s="87"/>
      <c r="L97" s="116"/>
    </row>
    <row r="98" spans="1:12" ht="23.25" customHeight="1">
      <c r="A98" s="357" t="s">
        <v>287</v>
      </c>
      <c r="B98" s="358"/>
      <c r="C98" s="359"/>
      <c r="D98" s="309" t="s">
        <v>206</v>
      </c>
      <c r="E98" s="55">
        <f>'29'!F125</f>
        <v>73583</v>
      </c>
      <c r="F98" s="272">
        <v>51370</v>
      </c>
      <c r="G98" s="315">
        <f t="shared" si="9"/>
        <v>-22213</v>
      </c>
      <c r="H98" s="56">
        <f>G98+'29'!H125</f>
        <v>-22213.399999999994</v>
      </c>
      <c r="I98" s="360"/>
      <c r="J98" s="57">
        <f>H98/DAY(B2)</f>
        <v>-740.44666666666649</v>
      </c>
      <c r="K98" s="87"/>
      <c r="L98" s="116"/>
    </row>
    <row r="99" spans="1:12" ht="23.25" customHeight="1">
      <c r="A99" s="1665" t="s">
        <v>288</v>
      </c>
      <c r="B99" s="1666"/>
      <c r="C99" s="1667"/>
      <c r="D99" s="265" t="s">
        <v>206</v>
      </c>
      <c r="E99" s="55">
        <f>'29'!F126</f>
        <v>146368</v>
      </c>
      <c r="F99" s="261">
        <v>83294.490000000005</v>
      </c>
      <c r="G99" s="315">
        <f t="shared" si="9"/>
        <v>-63073.509999999995</v>
      </c>
      <c r="H99" s="56">
        <f>G99+'29'!H126</f>
        <v>-63196.509999999995</v>
      </c>
      <c r="I99" s="360"/>
      <c r="J99" s="57">
        <f>H99/DAY(B2)</f>
        <v>-2106.5503333333331</v>
      </c>
      <c r="K99" s="87"/>
      <c r="L99" s="116"/>
    </row>
    <row r="100" spans="1:12" ht="23.25" customHeight="1">
      <c r="A100" s="382" t="s">
        <v>289</v>
      </c>
      <c r="B100" s="1406"/>
      <c r="C100" s="1407"/>
      <c r="D100" s="265" t="s">
        <v>206</v>
      </c>
      <c r="E100" s="55">
        <f>'29'!F127</f>
        <v>31404</v>
      </c>
      <c r="F100" s="261">
        <v>39666</v>
      </c>
      <c r="G100" s="315">
        <f t="shared" si="9"/>
        <v>8262</v>
      </c>
      <c r="H100" s="56">
        <f>G100+'29'!H127</f>
        <v>8260</v>
      </c>
      <c r="I100" s="360"/>
      <c r="J100" s="57">
        <f>H100/DAY(B2)</f>
        <v>275.33333333333331</v>
      </c>
      <c r="K100" s="87"/>
      <c r="L100" s="116"/>
    </row>
    <row r="101" spans="1:12" ht="23.25" customHeight="1">
      <c r="A101" s="382" t="s">
        <v>290</v>
      </c>
      <c r="B101" s="1406"/>
      <c r="C101" s="1407"/>
      <c r="D101" s="265" t="s">
        <v>206</v>
      </c>
      <c r="E101" s="55">
        <f>'29'!F128</f>
        <v>8971</v>
      </c>
      <c r="F101" s="261">
        <v>6221.3</v>
      </c>
      <c r="G101" s="315">
        <f t="shared" si="9"/>
        <v>-2749.7</v>
      </c>
      <c r="H101" s="56">
        <f>G101+'29'!H128</f>
        <v>-2750.7</v>
      </c>
      <c r="I101" s="316"/>
      <c r="J101" s="305">
        <f>H101/DAY(B2)</f>
        <v>-91.69</v>
      </c>
      <c r="K101" s="87"/>
      <c r="L101" s="116"/>
    </row>
    <row r="102" spans="1:12" ht="23.25" customHeight="1">
      <c r="A102" s="1668" t="s">
        <v>305</v>
      </c>
      <c r="B102" s="1669"/>
      <c r="C102" s="431"/>
      <c r="D102" s="431"/>
      <c r="E102" s="414"/>
      <c r="F102" s="431"/>
      <c r="G102" s="386"/>
      <c r="H102" s="386"/>
      <c r="I102" s="386"/>
      <c r="J102" s="386"/>
      <c r="K102" s="87"/>
      <c r="L102" s="116"/>
    </row>
    <row r="103" spans="1:12" ht="23.25" customHeight="1">
      <c r="A103" s="1656" t="s">
        <v>306</v>
      </c>
      <c r="B103" s="1657"/>
      <c r="C103" s="1658"/>
      <c r="D103" s="265" t="s">
        <v>198</v>
      </c>
      <c r="E103" s="265"/>
      <c r="F103" s="265"/>
      <c r="G103" s="274">
        <f>G34+G42+G48+G56</f>
        <v>21684.479999999865</v>
      </c>
      <c r="H103" s="56">
        <f>G103+'29'!H143</f>
        <v>12089.60999999987</v>
      </c>
      <c r="I103" s="68"/>
      <c r="J103" s="57">
        <f>H103/DAY(B2)</f>
        <v>402.98699999999565</v>
      </c>
      <c r="K103" s="87"/>
      <c r="L103" s="116"/>
    </row>
    <row r="104" spans="1:12" ht="23.25" customHeight="1">
      <c r="A104" s="1656" t="s">
        <v>307</v>
      </c>
      <c r="B104" s="1657"/>
      <c r="C104" s="1658"/>
      <c r="D104" s="265" t="s">
        <v>58</v>
      </c>
      <c r="E104" s="266"/>
      <c r="F104" s="266"/>
      <c r="G104" s="277">
        <f>G103/G7</f>
        <v>7.8257021855001382E-3</v>
      </c>
      <c r="H104" s="56">
        <f>G104+'29'!H144</f>
        <v>-0.66888485989237412</v>
      </c>
      <c r="I104" s="83"/>
      <c r="J104" s="57">
        <f>H104/DAY(B2)</f>
        <v>-2.2296161996412472E-2</v>
      </c>
      <c r="K104" s="110"/>
      <c r="L104" s="116"/>
    </row>
    <row r="105" spans="1:12" ht="23.25" customHeight="1">
      <c r="A105" s="1656" t="s">
        <v>308</v>
      </c>
      <c r="B105" s="1657"/>
      <c r="C105" s="1658"/>
      <c r="D105" s="265" t="s">
        <v>198</v>
      </c>
      <c r="E105" s="262"/>
      <c r="F105" s="262"/>
      <c r="G105" s="274">
        <f>G40+G41+G54+G55</f>
        <v>2492466.89</v>
      </c>
      <c r="H105" s="56">
        <f>G105+'29'!H145</f>
        <v>2481291.92</v>
      </c>
      <c r="I105" s="68"/>
      <c r="J105" s="57">
        <f>H105/DAY(B2)</f>
        <v>82709.73066666667</v>
      </c>
      <c r="K105" s="110"/>
      <c r="L105" s="116"/>
    </row>
    <row r="106" spans="1:12" ht="23.25" customHeight="1">
      <c r="A106" s="1656" t="s">
        <v>309</v>
      </c>
      <c r="B106" s="1657"/>
      <c r="C106" s="1658"/>
      <c r="D106" s="265" t="s">
        <v>58</v>
      </c>
      <c r="E106" s="262"/>
      <c r="F106" s="262"/>
      <c r="G106" s="277">
        <f>G105/G7</f>
        <v>0.89950524930087583</v>
      </c>
      <c r="H106" s="56">
        <f>G106+'29'!H146</f>
        <v>0.10535285881469936</v>
      </c>
      <c r="I106" s="83"/>
      <c r="J106" s="57">
        <f>H106/DAY(B2)</f>
        <v>3.5117619604899787E-3</v>
      </c>
      <c r="K106" s="110"/>
      <c r="L106" s="116"/>
    </row>
    <row r="107" spans="1:12" ht="23.25" customHeight="1">
      <c r="A107" s="1656" t="s">
        <v>310</v>
      </c>
      <c r="B107" s="1657"/>
      <c r="C107" s="1658"/>
      <c r="D107" s="265" t="s">
        <v>198</v>
      </c>
      <c r="E107" s="262"/>
      <c r="F107" s="262"/>
      <c r="G107" s="274">
        <f>G38+G52</f>
        <v>2258466.69</v>
      </c>
      <c r="H107" s="56">
        <f>G107+'29'!H147</f>
        <v>2252852.69</v>
      </c>
      <c r="I107" s="85"/>
      <c r="J107" s="57">
        <f>H107/DAY(B2)</f>
        <v>75095.089666666667</v>
      </c>
      <c r="K107" s="110"/>
      <c r="L107" s="116"/>
    </row>
    <row r="108" spans="1:12" ht="23.25" customHeight="1">
      <c r="A108" s="1656" t="s">
        <v>311</v>
      </c>
      <c r="B108" s="1657"/>
      <c r="C108" s="1658"/>
      <c r="D108" s="265" t="s">
        <v>58</v>
      </c>
      <c r="E108" s="262"/>
      <c r="F108" s="262"/>
      <c r="G108" s="277">
        <f>G107/G7</f>
        <v>0.81505702289436377</v>
      </c>
      <c r="H108" s="56">
        <f>G108+'29'!H148</f>
        <v>0.40724794133111319</v>
      </c>
      <c r="I108" s="85"/>
      <c r="J108" s="57">
        <f>H108/DAY(B2)</f>
        <v>1.3574931377703773E-2</v>
      </c>
    </row>
    <row r="109" spans="1:12" ht="23.25" customHeight="1">
      <c r="A109" s="1656" t="s">
        <v>312</v>
      </c>
      <c r="B109" s="1657"/>
      <c r="C109" s="1658"/>
      <c r="D109" s="265" t="s">
        <v>248</v>
      </c>
      <c r="E109" s="262"/>
      <c r="F109" s="262"/>
      <c r="G109" s="274">
        <f>G37+G51</f>
        <v>1226135.6800000002</v>
      </c>
      <c r="H109" s="56">
        <f>G109+'29'!H149</f>
        <v>1223555.75</v>
      </c>
      <c r="I109" s="68"/>
      <c r="J109" s="57">
        <f>H109/DAY(B2)</f>
        <v>40785.191666666666</v>
      </c>
      <c r="K109" s="152"/>
    </row>
    <row r="110" spans="1:12" ht="23.25" customHeight="1">
      <c r="A110" s="1656" t="s">
        <v>313</v>
      </c>
      <c r="B110" s="1657"/>
      <c r="C110" s="1658"/>
      <c r="D110" s="265" t="s">
        <v>58</v>
      </c>
      <c r="E110" s="262"/>
      <c r="F110" s="262"/>
      <c r="G110" s="277">
        <f>G109/G7</f>
        <v>0.44249955132406954</v>
      </c>
      <c r="H110" s="56">
        <f>G110+'29'!H150</f>
        <v>0.25854421657875609</v>
      </c>
      <c r="I110" s="85"/>
      <c r="J110" s="57">
        <f>H110/DAY(B2)</f>
        <v>8.6181405526252024E-3</v>
      </c>
    </row>
    <row r="111" spans="1:12" ht="23.25" customHeight="1">
      <c r="A111" s="1656" t="s">
        <v>314</v>
      </c>
      <c r="B111" s="1657"/>
      <c r="C111" s="1658"/>
      <c r="D111" s="265" t="s">
        <v>248</v>
      </c>
      <c r="E111" s="262"/>
      <c r="F111" s="262"/>
      <c r="G111" s="274">
        <f>G35+G49</f>
        <v>554385.22</v>
      </c>
      <c r="H111" s="56">
        <f>G111+'29'!H151</f>
        <v>899467.22</v>
      </c>
      <c r="I111" s="85"/>
      <c r="J111" s="57">
        <f>H111/DAY(B2)</f>
        <v>29982.240666666665</v>
      </c>
    </row>
    <row r="112" spans="1:12" ht="23.25" customHeight="1">
      <c r="A112" s="1656" t="s">
        <v>315</v>
      </c>
      <c r="B112" s="1657"/>
      <c r="C112" s="1658"/>
      <c r="D112" s="265" t="s">
        <v>58</v>
      </c>
      <c r="E112" s="262"/>
      <c r="F112" s="262"/>
      <c r="G112" s="277">
        <f>G111/G7</f>
        <v>0.20007183145563104</v>
      </c>
      <c r="H112" s="56">
        <f>G112+'29'!H152</f>
        <v>20.457729241183994</v>
      </c>
      <c r="I112" s="68"/>
      <c r="J112" s="57">
        <f>H112/DAY(B2)</f>
        <v>0.68192430803946646</v>
      </c>
    </row>
    <row r="113" spans="1:10" ht="23.25" customHeight="1">
      <c r="A113" s="1656" t="s">
        <v>316</v>
      </c>
      <c r="B113" s="1657"/>
      <c r="C113" s="1658"/>
      <c r="D113" s="265" t="s">
        <v>248</v>
      </c>
      <c r="E113" s="262"/>
      <c r="F113" s="262"/>
      <c r="G113" s="274">
        <f>G36+G50</f>
        <v>668497.06999999995</v>
      </c>
      <c r="H113" s="56">
        <f>G113+'29'!H153</f>
        <v>665934.93999999994</v>
      </c>
      <c r="I113" s="68"/>
      <c r="J113" s="57">
        <f>H113/DAY(B2)</f>
        <v>22197.831333333332</v>
      </c>
    </row>
    <row r="114" spans="1:10" ht="23.25" customHeight="1">
      <c r="A114" s="1656" t="s">
        <v>317</v>
      </c>
      <c r="B114" s="1657"/>
      <c r="C114" s="1658"/>
      <c r="D114" s="265" t="s">
        <v>58</v>
      </c>
      <c r="E114" s="262"/>
      <c r="F114" s="262"/>
      <c r="G114" s="277">
        <f>G113/G7</f>
        <v>0.24125360542191795</v>
      </c>
      <c r="H114" s="56">
        <f>G114+'29'!H154</f>
        <v>5.9498186994666608E-2</v>
      </c>
      <c r="I114" s="68"/>
      <c r="J114" s="57">
        <f>H114/DAY(B2)</f>
        <v>1.9832728998222201E-3</v>
      </c>
    </row>
    <row r="115" spans="1:10" ht="23.25" customHeight="1">
      <c r="A115" s="385" t="s">
        <v>292</v>
      </c>
      <c r="B115" s="385"/>
      <c r="C115" s="385"/>
      <c r="D115" s="385"/>
      <c r="E115" s="385"/>
      <c r="F115" s="385"/>
      <c r="G115" s="396"/>
      <c r="H115" s="396"/>
      <c r="I115" s="396"/>
      <c r="J115" s="396"/>
    </row>
    <row r="116" spans="1:10" ht="23.25" customHeight="1">
      <c r="A116" s="432" t="s">
        <v>293</v>
      </c>
      <c r="B116" s="432"/>
      <c r="C116" s="432"/>
      <c r="D116" s="265" t="s">
        <v>294</v>
      </c>
      <c r="E116" s="412">
        <f>'29'!F131</f>
        <v>0</v>
      </c>
      <c r="F116" s="264">
        <v>0</v>
      </c>
      <c r="G116" s="315">
        <f t="shared" ref="G116:G126" si="10">F116-E116</f>
        <v>0</v>
      </c>
      <c r="H116" s="56">
        <f>G116+'29'!H131</f>
        <v>0</v>
      </c>
      <c r="I116" s="68"/>
      <c r="J116" s="57">
        <f>H116/DAY(B2)</f>
        <v>0</v>
      </c>
    </row>
    <row r="117" spans="1:10" ht="23.25" customHeight="1">
      <c r="A117" s="432" t="s">
        <v>295</v>
      </c>
      <c r="B117" s="432"/>
      <c r="C117" s="432"/>
      <c r="D117" s="265" t="s">
        <v>294</v>
      </c>
      <c r="E117" s="55">
        <f>'29'!F132</f>
        <v>0</v>
      </c>
      <c r="F117" s="264">
        <v>0</v>
      </c>
      <c r="G117" s="315">
        <f t="shared" si="10"/>
        <v>0</v>
      </c>
      <c r="H117" s="56">
        <f>G117+'29'!H132</f>
        <v>0</v>
      </c>
      <c r="I117" s="68"/>
      <c r="J117" s="57">
        <f>H117/DAY(B2)</f>
        <v>0</v>
      </c>
    </row>
    <row r="118" spans="1:10" ht="23.25" customHeight="1">
      <c r="A118" s="432" t="s">
        <v>296</v>
      </c>
      <c r="B118" s="432"/>
      <c r="C118" s="432"/>
      <c r="D118" s="265" t="s">
        <v>294</v>
      </c>
      <c r="E118" s="55">
        <f>'29'!F133</f>
        <v>40059</v>
      </c>
      <c r="F118" s="264">
        <v>36196</v>
      </c>
      <c r="G118" s="315">
        <f t="shared" si="10"/>
        <v>-3863</v>
      </c>
      <c r="H118" s="56">
        <f>G118+'29'!H133</f>
        <v>-3839.0999999999985</v>
      </c>
      <c r="I118" s="68"/>
      <c r="J118" s="57">
        <f>H118/DAY(B2)</f>
        <v>-127.96999999999996</v>
      </c>
    </row>
    <row r="119" spans="1:10" ht="23.25" customHeight="1">
      <c r="A119" s="432" t="s">
        <v>297</v>
      </c>
      <c r="B119" s="432"/>
      <c r="C119" s="432"/>
      <c r="D119" s="265" t="s">
        <v>294</v>
      </c>
      <c r="E119" s="55">
        <f>'29'!F134</f>
        <v>300</v>
      </c>
      <c r="F119" s="264">
        <v>32397.32</v>
      </c>
      <c r="G119" s="315">
        <f t="shared" si="10"/>
        <v>32097.32</v>
      </c>
      <c r="H119" s="56">
        <f>G119+'29'!H134</f>
        <v>32097.32</v>
      </c>
      <c r="I119" s="68">
        <f>G116+G117+G118+G119</f>
        <v>28234.32</v>
      </c>
      <c r="J119" s="57">
        <f>H119/DAY(B2)</f>
        <v>1069.9106666666667</v>
      </c>
    </row>
    <row r="120" spans="1:10" ht="23.25" customHeight="1">
      <c r="A120" s="432" t="s">
        <v>298</v>
      </c>
      <c r="B120" s="432"/>
      <c r="C120" s="432"/>
      <c r="D120" s="265" t="s">
        <v>294</v>
      </c>
      <c r="E120" s="55">
        <f>'29'!F135</f>
        <v>41730</v>
      </c>
      <c r="F120" s="264">
        <v>30495.25</v>
      </c>
      <c r="G120" s="315">
        <f t="shared" si="10"/>
        <v>-11234.75</v>
      </c>
      <c r="H120" s="56">
        <f>G120+'29'!H135</f>
        <v>-11163.14</v>
      </c>
      <c r="I120" s="68"/>
      <c r="J120" s="57">
        <f>H120/DAY(B2)</f>
        <v>-372.10466666666667</v>
      </c>
    </row>
    <row r="121" spans="1:10" ht="23.25" customHeight="1">
      <c r="A121" s="432" t="s">
        <v>299</v>
      </c>
      <c r="B121" s="432"/>
      <c r="C121" s="432"/>
      <c r="D121" s="265" t="s">
        <v>294</v>
      </c>
      <c r="E121" s="55">
        <f>'29'!F136</f>
        <v>32667.24</v>
      </c>
      <c r="F121" s="264">
        <v>25683.26</v>
      </c>
      <c r="G121" s="315">
        <f t="shared" si="10"/>
        <v>-6983.9800000000032</v>
      </c>
      <c r="H121" s="56">
        <f>G121+'29'!H136</f>
        <v>-6886.6700000000019</v>
      </c>
      <c r="I121" s="68"/>
      <c r="J121" s="57">
        <f>H121/DAY(B2)</f>
        <v>-229.55566666666672</v>
      </c>
    </row>
    <row r="122" spans="1:10" ht="23.25" customHeight="1">
      <c r="A122" s="432" t="s">
        <v>300</v>
      </c>
      <c r="B122" s="432"/>
      <c r="C122" s="432"/>
      <c r="D122" s="265" t="s">
        <v>294</v>
      </c>
      <c r="E122" s="55">
        <f>'29'!F137</f>
        <v>22799</v>
      </c>
      <c r="F122" s="264">
        <v>21285.49</v>
      </c>
      <c r="G122" s="315">
        <f t="shared" si="10"/>
        <v>-1513.5099999999984</v>
      </c>
      <c r="H122" s="56">
        <f>G122+'29'!H137</f>
        <v>-1521.75</v>
      </c>
      <c r="I122" s="68">
        <f>G120+G121+G122</f>
        <v>-19732.240000000002</v>
      </c>
      <c r="J122" s="57">
        <f>H122/DAY(B2)</f>
        <v>-50.725000000000001</v>
      </c>
    </row>
    <row r="123" spans="1:10" ht="23.25" customHeight="1">
      <c r="A123" s="432" t="s">
        <v>301</v>
      </c>
      <c r="B123" s="432"/>
      <c r="C123" s="432"/>
      <c r="D123" s="265" t="s">
        <v>294</v>
      </c>
      <c r="E123" s="55">
        <f>'29'!F138</f>
        <v>25052</v>
      </c>
      <c r="F123" s="264">
        <v>22354.720000000001</v>
      </c>
      <c r="G123" s="315">
        <f t="shared" si="10"/>
        <v>-2697.2799999999988</v>
      </c>
      <c r="H123" s="56">
        <f>G123+'29'!H138</f>
        <v>-2689</v>
      </c>
      <c r="I123" s="68"/>
      <c r="J123" s="57">
        <f>H123/DAY(B2)</f>
        <v>-89.63333333333334</v>
      </c>
    </row>
    <row r="124" spans="1:10" ht="23.25" customHeight="1">
      <c r="A124" s="432" t="s">
        <v>302</v>
      </c>
      <c r="B124" s="432"/>
      <c r="C124" s="432"/>
      <c r="D124" s="265" t="s">
        <v>294</v>
      </c>
      <c r="E124" s="55">
        <f>'29'!F139</f>
        <v>70402</v>
      </c>
      <c r="F124" s="264">
        <v>64789.37</v>
      </c>
      <c r="G124" s="315">
        <f t="shared" si="10"/>
        <v>-5612.6299999999974</v>
      </c>
      <c r="H124" s="56">
        <f>G124+'29'!H139</f>
        <v>-5574.7300000000032</v>
      </c>
      <c r="I124" s="68">
        <f>G123+G124</f>
        <v>-8309.9099999999962</v>
      </c>
      <c r="J124" s="57">
        <f>H124/DAY(B2)</f>
        <v>-185.82433333333344</v>
      </c>
    </row>
    <row r="125" spans="1:10" ht="23.25" customHeight="1">
      <c r="A125" s="432" t="s">
        <v>303</v>
      </c>
      <c r="B125" s="432"/>
      <c r="C125" s="432"/>
      <c r="D125" s="265" t="s">
        <v>294</v>
      </c>
      <c r="E125" s="55">
        <f>'29'!F140</f>
        <v>1839.44</v>
      </c>
      <c r="F125" s="264">
        <v>17.899999999999999</v>
      </c>
      <c r="G125" s="315">
        <f t="shared" si="10"/>
        <v>-1821.54</v>
      </c>
      <c r="H125" s="56">
        <f>G125+'29'!H140</f>
        <v>-1836.3999999999999</v>
      </c>
      <c r="J125" s="57">
        <f>H125/DAY(B2)</f>
        <v>-61.213333333333331</v>
      </c>
    </row>
    <row r="126" spans="1:10" ht="23.25" customHeight="1" thickBot="1">
      <c r="A126" s="432" t="s">
        <v>304</v>
      </c>
      <c r="B126" s="432"/>
      <c r="C126" s="432"/>
      <c r="D126" s="265" t="s">
        <v>294</v>
      </c>
      <c r="E126" s="415">
        <f>'29'!F141</f>
        <v>4637</v>
      </c>
      <c r="F126" s="264">
        <v>603.07000000000005</v>
      </c>
      <c r="G126" s="315">
        <f t="shared" si="10"/>
        <v>-4033.93</v>
      </c>
      <c r="H126" s="56">
        <f>G126+'29'!H141</f>
        <v>-4033.93</v>
      </c>
      <c r="J126" s="57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2">
        <f>'1'!G7</f>
        <v>16562</v>
      </c>
      <c r="B3" s="212"/>
      <c r="C3" s="212"/>
      <c r="D3" s="212"/>
      <c r="E3" s="212"/>
      <c r="F3" s="212"/>
      <c r="G3" s="212"/>
      <c r="H3" s="212"/>
      <c r="I3" s="212"/>
    </row>
    <row r="4" spans="1:9">
      <c r="A4" s="212">
        <f>'2'!G7</f>
        <v>16547.630000000005</v>
      </c>
      <c r="B4" s="212"/>
    </row>
    <row r="5" spans="1:9">
      <c r="A5" s="212">
        <f>'3'!G7</f>
        <v>16075.239999999991</v>
      </c>
    </row>
    <row r="6" spans="1:9">
      <c r="A6" s="212">
        <f>'4'!G7</f>
        <v>16418.200000000012</v>
      </c>
    </row>
    <row r="7" spans="1:9">
      <c r="A7" s="212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2021-06-14T11:06:53Z</dcterms:modified>
</cp:coreProperties>
</file>