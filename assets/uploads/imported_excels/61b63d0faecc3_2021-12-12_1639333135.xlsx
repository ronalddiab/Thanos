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M33" i="7" s="1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31" i="7" l="1"/>
  <c r="CM28" i="7"/>
  <c r="CM24" i="7"/>
  <c r="CM23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<sst xmlns="http://schemas.openxmlformats.org/spreadsheetml/2006/main" count="313" uniqueCount="148">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</sst>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2021</v>
      </c>
      <c r="E2" s="12">
        <f>Submetering!E2+Submetering!F2+Submetering!G2+Submetering!H2+Submetering!J2-Submetering!AV2</f>
        <v>11029.99999999956</v>
      </c>
      <c r="F2" s="11">
        <v>0.58765030286592534</v>
      </c>
      <c r="G2" s="12">
        <f>(Submetering!AX2+Submetering!AY2+Submetering!AZ2+Submetering!BA2+Submetering!BB2)</f>
        <v>16.483499999999999</v>
      </c>
      <c r="H2" s="11">
        <v>0.99</v>
      </c>
      <c r="I2" s="12">
        <f>'FS Desroches Daily'!CM4</f>
        <v>61.100000000002183</v>
      </c>
      <c r="J2" s="11">
        <v>10.487297712684205</v>
      </c>
      <c r="K2" s="13">
        <f>'FS Desroches Daily'!CN4</f>
        <v>10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2021</v>
      </c>
      <c r="E3" s="12">
        <f>Submetering!E3+Submetering!F3+Submetering!G3+Submetering!H3+Submetering!J3-Submetering!AV3</f>
        <v>11660.000000000215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63.700000000000728</v>
      </c>
      <c r="J3" s="11">
        <f>J2</f>
        <v>10.487297712684205</v>
      </c>
      <c r="K3" s="13">
        <f>'FS Desroches Daily'!CN5</f>
        <v>10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2021</v>
      </c>
      <c r="E4" s="12">
        <f>Submetering!E4+Submetering!F4+Submetering!G4+Submetering!H4+Submetering!J4-Submetering!AV4</f>
        <v>11160.00000000008</v>
      </c>
      <c r="F4" s="11">
        <f t="shared" ref="F4:F32" si="1">F3</f>
        <v>0.58765030286592534</v>
      </c>
      <c r="G4" s="12">
        <f>(Submetering!AX4+Submetering!AY4+Submetering!AZ4+Submetering!BA4+Submetering!BB4)</f>
        <v>23.809499999999996</v>
      </c>
      <c r="H4" s="11">
        <f t="shared" ref="H4:H32" si="2">H3</f>
        <v>0.99</v>
      </c>
      <c r="I4" s="12">
        <f>'FS Desroches Daily'!CM6</f>
        <v>53.799999999999272</v>
      </c>
      <c r="J4" s="11">
        <f t="shared" ref="J4:J32" si="3">J3</f>
        <v>10.487297712684205</v>
      </c>
      <c r="K4" s="13">
        <f>'FS Desroches Daily'!CN6</f>
        <v>10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2021</v>
      </c>
      <c r="E5" s="12">
        <f>Submetering!E5+Submetering!F5+Submetering!G5+Submetering!H5+Submetering!J5-Submetering!AV5</f>
        <v>11230.000000000204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92.799999999999272</v>
      </c>
      <c r="J5" s="11">
        <f t="shared" si="3"/>
        <v>10.487297712684205</v>
      </c>
      <c r="K5" s="13">
        <f>'FS Desroches Daily'!CN7</f>
        <v>10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2021</v>
      </c>
      <c r="E6" s="12">
        <f>Submetering!E6+Submetering!F6+Submetering!G6+Submetering!H6+Submetering!J6-Submetering!AV6</f>
        <v>10810.000000000158</v>
      </c>
      <c r="F6" s="11">
        <f t="shared" si="1"/>
        <v>0.58765030286592534</v>
      </c>
      <c r="G6" s="12">
        <f>(Submetering!AX6+Submetering!AY6+Submetering!AZ6+Submetering!BA6+Submetering!BB6)</f>
        <v>12.820499999999999</v>
      </c>
      <c r="H6" s="11">
        <f t="shared" si="2"/>
        <v>0.99</v>
      </c>
      <c r="I6" s="12">
        <f>'FS Desroches Daily'!CM8</f>
        <v>52</v>
      </c>
      <c r="J6" s="11">
        <f t="shared" si="3"/>
        <v>10.487297712684205</v>
      </c>
      <c r="K6" s="13">
        <f>'FS Desroches Daily'!CN8</f>
        <v>10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2021</v>
      </c>
      <c r="E7" s="12">
        <f>Submetering!E7+Submetering!F7+Submetering!G7+Submetering!H7+Submetering!J7-Submetering!AV7</f>
        <v>10789.99999999984</v>
      </c>
      <c r="F7" s="11">
        <f t="shared" si="1"/>
        <v>0.58765030286592534</v>
      </c>
      <c r="G7" s="12">
        <f>(Submetering!AX7+Submetering!AY7+Submetering!AZ7+Submetering!BA7+Submetering!BB7)</f>
        <v>25.640999999999998</v>
      </c>
      <c r="H7" s="11">
        <f t="shared" si="2"/>
        <v>0.99</v>
      </c>
      <c r="I7" s="12">
        <f>'FS Desroches Daily'!CM9</f>
        <v>95.400000000001455</v>
      </c>
      <c r="J7" s="11">
        <f t="shared" si="3"/>
        <v>10.487297712684205</v>
      </c>
      <c r="K7" s="13">
        <f>'FS Desroches Daily'!CN9</f>
        <v>12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2021</v>
      </c>
      <c r="E8" s="12">
        <f>Submetering!E8+Submetering!F8+Submetering!G8+Submetering!H8+Submetering!J8-Submetering!AV8</f>
        <v>10859.999999999858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>
        <f>'FS Desroches Daily'!CM10</f>
        <v>82.5</v>
      </c>
      <c r="J8" s="11">
        <f t="shared" si="3"/>
        <v>10.487297712684205</v>
      </c>
      <c r="K8" s="13">
        <f>'FS Desroches Daily'!CN10</f>
        <v>12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2021</v>
      </c>
      <c r="E9" s="12">
        <f>Submetering!E9+Submetering!F9+Submetering!G9+Submetering!H9+Submetering!J9-Submetering!AV9</f>
        <v>8940.000000000271</v>
      </c>
      <c r="F9" s="11">
        <f t="shared" si="1"/>
        <v>0.58765030286592534</v>
      </c>
      <c r="G9" s="12">
        <f>(Submetering!AX9+Submetering!AY9+Submetering!AZ9+Submetering!BA9+Submetering!BB9)</f>
        <v>38.461500000000001</v>
      </c>
      <c r="H9" s="11">
        <f t="shared" si="2"/>
        <v>0.99</v>
      </c>
      <c r="I9" s="12">
        <f>'FS Desroches Daily'!CM11</f>
        <v>68.400000000001455</v>
      </c>
      <c r="J9" s="11">
        <f t="shared" si="3"/>
        <v>10.487297712684205</v>
      </c>
      <c r="K9" s="13">
        <f>'FS Desroches Daily'!CN11</f>
        <v>15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2021</v>
      </c>
      <c r="E10" s="12">
        <f>Submetering!E10+Submetering!F10+Submetering!G10+Submetering!H10+Submetering!J10-Submetering!AV10</f>
        <v>8519.9999999993997</v>
      </c>
      <c r="F10" s="11">
        <f t="shared" si="1"/>
        <v>0.58765030286592534</v>
      </c>
      <c r="G10" s="12">
        <f>(Submetering!AX10+Submetering!AY10+Submetering!AZ10+Submetering!BA10+Submetering!BB10)</f>
        <v>49.450499999999998</v>
      </c>
      <c r="H10" s="11">
        <f t="shared" si="2"/>
        <v>0.99</v>
      </c>
      <c r="I10" s="12">
        <f>'FS Desroches Daily'!CM12</f>
        <v>79.69999999999709</v>
      </c>
      <c r="J10" s="11">
        <f t="shared" si="3"/>
        <v>10.487297712684205</v>
      </c>
      <c r="K10" s="13">
        <f>'FS Desroches Daily'!CN12</f>
        <v>14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2021</v>
      </c>
      <c r="E11" s="12">
        <f>Submetering!E11+Submetering!F11+Submetering!G11+Submetering!H11+Submetering!J11-Submetering!AV11</f>
        <v>9880.0000000002037</v>
      </c>
      <c r="F11" s="11">
        <f t="shared" si="1"/>
        <v>0.58765030286592534</v>
      </c>
      <c r="G11" s="12">
        <f>(Submetering!AX11+Submetering!AY11+Submetering!AZ11+Submetering!BA11+Submetering!BB11)</f>
        <v>31.135499999999997</v>
      </c>
      <c r="H11" s="11">
        <f t="shared" si="2"/>
        <v>0.99</v>
      </c>
      <c r="I11" s="12">
        <f>'FS Desroches Daily'!CM13</f>
        <v>81.5</v>
      </c>
      <c r="J11" s="11">
        <f t="shared" si="3"/>
        <v>10.487297712684205</v>
      </c>
      <c r="K11" s="13">
        <f>'FS Desroches Daily'!CN13</f>
        <v>14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2021</v>
      </c>
      <c r="E12" s="12">
        <f>Submetering!E12+Submetering!F12+Submetering!G12+Submetering!H12+Submetering!J12-Submetering!AV12</f>
        <v>9500.0000000004529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79.600000000002183</v>
      </c>
      <c r="J12" s="11">
        <f t="shared" si="3"/>
        <v>10.487297712684205</v>
      </c>
      <c r="K12" s="13">
        <f>'FS Desroches Daily'!CN14</f>
        <v>13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2021</v>
      </c>
      <c r="E13" s="12" t="e">
        <f>Submetering!E13+Submetering!F13+Submetering!G13+Submetering!H13+Submetering!J13-Submetering!AV13</f>
        <v>#VALUE!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 t="e">
        <f>'FS Desroches Daily'!CM15</f>
        <v>#VALUE!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8" sqref="A8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2021</v>
      </c>
      <c r="E2" s="31">
        <f>'FS Desroches Daily'!D4</f>
        <v>2899.9999999999027</v>
      </c>
      <c r="F2" s="32">
        <f>'FS Desroches Daily'!F4</f>
        <v>3099.9999999998809</v>
      </c>
      <c r="G2" s="31">
        <f>'FS Desroches Daily'!H4</f>
        <v>2499.9999999999468</v>
      </c>
      <c r="H2" s="32">
        <f>'FS Desroches Daily'!J4</f>
        <v>1499.9999999998347</v>
      </c>
      <c r="I2" s="31">
        <f>'FS Desroches Daily'!L4</f>
        <v>2000.0000000002237</v>
      </c>
      <c r="J2" s="32">
        <f>'FS Desroches Daily'!N4</f>
        <v>1600.0000000000459</v>
      </c>
      <c r="K2" s="13">
        <f>'FS Desroches Daily'!P4</f>
        <v>0</v>
      </c>
      <c r="L2" s="31">
        <f>'FS Desroches Daily'!R4</f>
        <v>6</v>
      </c>
      <c r="M2" s="31">
        <f>'FS Desroches Daily'!T4</f>
        <v>0.90000000000009095</v>
      </c>
      <c r="N2" s="31">
        <f>'FS Desroches Daily'!V4</f>
        <v>401.5</v>
      </c>
      <c r="O2" s="31">
        <f>'FS Desroches Daily'!X4</f>
        <v>250</v>
      </c>
      <c r="P2" s="31">
        <f>'FS Desroches Daily'!Z4</f>
        <v>2899.9999999999027</v>
      </c>
      <c r="Q2" s="31">
        <f>'FS Desroches Daily'!AB4</f>
        <v>449.99999999998863</v>
      </c>
      <c r="R2" s="31">
        <f>'FS Desroches Daily'!AD4</f>
        <v>370.00000000000455</v>
      </c>
      <c r="S2" s="31">
        <f>'FS Desroches Daily'!AF4</f>
        <v>709.99999999992269</v>
      </c>
      <c r="T2" s="31">
        <f>'FS Desroches Daily'!AH4</f>
        <v>45</v>
      </c>
      <c r="U2" s="35">
        <f>'FS Desroches Daily'!AJ4</f>
        <v>889.99999999998636</v>
      </c>
      <c r="V2" s="35">
        <f>'FS Desroches Daily'!AL4</f>
        <v>300.00000000001137</v>
      </c>
      <c r="W2" s="35">
        <f>'FS Desroches Daily'!AN4</f>
        <v>219.99999999999886</v>
      </c>
      <c r="X2" s="35">
        <f>'FS Desroches Daily'!AP4</f>
        <v>159.99999999999659</v>
      </c>
      <c r="Y2" s="35">
        <f>'FS Desroches Daily'!AR4</f>
        <v>210.00000000003638</v>
      </c>
      <c r="Z2" s="35">
        <f>'FS Desroches Daily'!AT4</f>
        <v>269.99999999998181</v>
      </c>
      <c r="AA2" s="35">
        <f>'FS Desroches Daily'!AT4</f>
        <v>269.99999999998181</v>
      </c>
      <c r="AB2" s="35">
        <f>'FS Desroches Daily'!AV4</f>
        <v>139.99999999998636</v>
      </c>
      <c r="AC2" s="35">
        <f>'FS Desroches Daily'!AZ4</f>
        <v>159.99999999996817</v>
      </c>
      <c r="AD2" s="35">
        <f>'FS Desroches Daily'!BB4</f>
        <v>129.99999999999545</v>
      </c>
      <c r="AE2" s="35">
        <f>'FS Desroches Daily'!BD4</f>
        <v>60.000000000002274</v>
      </c>
      <c r="AF2" s="31">
        <f>'FS Desroches Daily'!BF4</f>
        <v>25</v>
      </c>
      <c r="AG2" s="32">
        <f>'FS Desroches Daily'!BH4</f>
        <v>40.000000000020464</v>
      </c>
      <c r="AH2" s="32">
        <f>'FS Desroches Daily'!BJ4</f>
        <v>30.000000000029559</v>
      </c>
      <c r="AI2" s="32">
        <f>'FS Desroches Daily'!BL4</f>
        <v>50.000000000011369</v>
      </c>
      <c r="AJ2" s="32">
        <f>'FS Desroches Daily'!BN4</f>
        <v>50.000000000011369</v>
      </c>
      <c r="AK2" s="32">
        <f>'FS Desroches Daily'!BP4</f>
        <v>69.999999999993179</v>
      </c>
      <c r="AL2" s="32">
        <f>'FS Desroches Daily'!BR4</f>
        <v>38</v>
      </c>
      <c r="AM2" s="32">
        <f>'FS Desroches Daily'!BT4</f>
        <v>50.000000000011369</v>
      </c>
      <c r="AN2" s="32">
        <f>'FS Desroches Daily'!BV4</f>
        <v>43</v>
      </c>
      <c r="AO2" s="32">
        <f>'FS Desroches Daily'!BX4</f>
        <v>30.000000000001137</v>
      </c>
      <c r="AP2" s="32">
        <f>'FS Desroches Daily'!BZ4</f>
        <v>52</v>
      </c>
      <c r="AQ2" s="31">
        <f>'FS Desroches Daily'!CB4</f>
        <v>44.900000000001455</v>
      </c>
      <c r="AR2" s="31">
        <f>'FS Desroches Daily'!CD4</f>
        <v>10.399999999999636</v>
      </c>
      <c r="AS2" s="31">
        <f>'FS Desroches Daily'!CF4</f>
        <v>8.0999999999994543</v>
      </c>
      <c r="AT2" s="31">
        <f>'FS Desroches Daily'!CH4</f>
        <v>40.400000000008731</v>
      </c>
      <c r="AU2" s="31">
        <f>'FS Desroches Daily'!CJ4</f>
        <v>310</v>
      </c>
      <c r="AV2" s="31">
        <f>'FS Desroches Daily'!CL4</f>
        <v>570.00000000005002</v>
      </c>
      <c r="AW2" s="31">
        <f>'FS Desroches Daily'!CM4</f>
        <v>61.100000000002183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10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12</v>
      </c>
      <c r="D3" s="27">
        <v>2021</v>
      </c>
      <c r="E3" s="31">
        <f>'FS Desroches Daily'!D5</f>
        <v>3099.9999999998809</v>
      </c>
      <c r="F3" s="32">
        <f>'FS Desroches Daily'!F5</f>
        <v>3200.0000000000919</v>
      </c>
      <c r="G3" s="31">
        <f>'FS Desroches Daily'!H5</f>
        <v>2600.0000000001578</v>
      </c>
      <c r="H3" s="32">
        <f>'FS Desroches Daily'!J5</f>
        <v>1700.0000000000348</v>
      </c>
      <c r="I3" s="31">
        <f>'FS Desroches Daily'!L5</f>
        <v>2099.9999999999909</v>
      </c>
      <c r="J3" s="32">
        <f>'FS Desroches Daily'!N5</f>
        <v>1700.0000000000348</v>
      </c>
      <c r="K3" s="13">
        <f>'FS Desroches Daily'!P5</f>
        <v>12</v>
      </c>
      <c r="L3" s="31">
        <f>'FS Desroches Daily'!R5</f>
        <v>6</v>
      </c>
      <c r="M3" s="31">
        <f>'FS Desroches Daily'!T5</f>
        <v>0.70000000000004547</v>
      </c>
      <c r="N3" s="31">
        <f>'FS Desroches Daily'!V5</f>
        <v>292.39999999996508</v>
      </c>
      <c r="O3" s="31">
        <f>'FS Desroches Daily'!X6</f>
        <v>260.00000000004775</v>
      </c>
      <c r="P3" s="31">
        <f>'FS Desroches Daily'!Z5</f>
        <v>2800.0000000001355</v>
      </c>
      <c r="Q3" s="31">
        <f>'FS Desroches Daily'!AB5</f>
        <v>349.99999999996589</v>
      </c>
      <c r="R3" s="31">
        <f>'FS Desroches Daily'!AD5</f>
        <v>339.99999999997499</v>
      </c>
      <c r="S3" s="31">
        <f>'FS Desroches Daily'!AF5</f>
        <v>780.0000000000864</v>
      </c>
      <c r="T3" s="31">
        <f>'FS Desroches Daily'!AH5</f>
        <v>39</v>
      </c>
      <c r="U3" s="35">
        <f>'FS Desroches Daily'!AJ5</f>
        <v>810.00000000005912</v>
      </c>
      <c r="V3" s="35">
        <f>'FS Desroches Daily'!AL5</f>
        <v>310.00000000000227</v>
      </c>
      <c r="W3" s="35">
        <f>'FS Desroches Daily'!AN5</f>
        <v>259.99999999999091</v>
      </c>
      <c r="X3" s="35">
        <f>'FS Desroches Daily'!AP5</f>
        <v>150.00000000000568</v>
      </c>
      <c r="Y3" s="35">
        <f>'FS Desroches Daily'!AR5</f>
        <v>339.99999999997499</v>
      </c>
      <c r="Z3" s="35">
        <f>'FS Desroches Daily'!AT5</f>
        <v>279.99999999997272</v>
      </c>
      <c r="AA3" s="35">
        <f>'FS Desroches Daily'!AT5</f>
        <v>279.99999999997272</v>
      </c>
      <c r="AB3" s="35">
        <f>'FS Desroches Daily'!AV5</f>
        <v>149.99999999997726</v>
      </c>
      <c r="AC3" s="35">
        <f>'FS Desroches Daily'!AZ5</f>
        <v>180.00000000000682</v>
      </c>
      <c r="AD3" s="35">
        <f>'FS Desroches Daily'!BB5</f>
        <v>139.99999999998636</v>
      </c>
      <c r="AE3" s="35">
        <f>'FS Desroches Daily'!BD5</f>
        <v>49.999999999982947</v>
      </c>
      <c r="AF3" s="31">
        <f>'FS Desroches Daily'!BF5</f>
        <v>31</v>
      </c>
      <c r="AG3" s="32">
        <f>'FS Desroches Daily'!BH5</f>
        <v>49.999999999982947</v>
      </c>
      <c r="AH3" s="32">
        <f>'FS Desroches Daily'!BJ5</f>
        <v>29.999999999972715</v>
      </c>
      <c r="AI3" s="32">
        <f>'FS Desroches Daily'!BL5</f>
        <v>49.999999999982947</v>
      </c>
      <c r="AJ3" s="32">
        <f>'FS Desroches Daily'!BN5</f>
        <v>30.000000000001137</v>
      </c>
      <c r="AK3" s="32">
        <f>'FS Desroches Daily'!BP5</f>
        <v>50.000000000011369</v>
      </c>
      <c r="AL3" s="32">
        <f>'FS Desroches Daily'!BR5</f>
        <v>36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19.99999999998181</v>
      </c>
      <c r="AP3" s="32">
        <f>'FS Desroches Daily'!BZ5</f>
        <v>45</v>
      </c>
      <c r="AQ3" s="31">
        <f>'FS Desroches Daily'!CB5</f>
        <v>68.200000000004366</v>
      </c>
      <c r="AR3" s="31">
        <f>'FS Desroches Daily'!CD5</f>
        <v>9.5</v>
      </c>
      <c r="AS3" s="31">
        <f>'FS Desroches Daily'!CF5</f>
        <v>3.3000000000001819</v>
      </c>
      <c r="AT3" s="31">
        <f>'FS Desroches Daily'!CH5</f>
        <v>23</v>
      </c>
      <c r="AU3" s="31">
        <f>'FS Desroches Daily'!CJ5</f>
        <v>276</v>
      </c>
      <c r="AV3" s="31">
        <f>'FS Desroches Daily'!CL5</f>
        <v>639.99999999998636</v>
      </c>
      <c r="AW3" s="31">
        <f>'FS Desroches Daily'!CM5</f>
        <v>63.700000000000728</v>
      </c>
      <c r="AX3" s="31">
        <f>IF(LPG!F10-LPG!F9&lt;0,"0",(LPG!F10-LPG!F9)*1.8315)</f>
        <v>7.3259999999999996</v>
      </c>
      <c r="AY3" s="31">
        <f>IF(LPG!H10-LPG!H9&lt;0,"0",(LPG!H10-LPG!H9)*1.8315)</f>
        <v>1.8314999999999999</v>
      </c>
      <c r="AZ3" s="31">
        <f>IF(LPG!J10-LPG!J9&lt;0,"0",(LPG!J10-LPG!J9)*1.8315)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10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12</v>
      </c>
      <c r="D4" s="27">
        <v>2021</v>
      </c>
      <c r="E4" s="31">
        <f>'FS Desroches Daily'!D6</f>
        <v>3000.0000000001137</v>
      </c>
      <c r="F4" s="32">
        <f>'FS Desroches Daily'!F6</f>
        <v>3000.0000000001137</v>
      </c>
      <c r="G4" s="31">
        <f>'FS Desroches Daily'!H6</f>
        <v>2599.9999999997135</v>
      </c>
      <c r="H4" s="32">
        <f>'FS Desroches Daily'!J6</f>
        <v>1500.0000000000568</v>
      </c>
      <c r="I4" s="31">
        <f>'FS Desroches Daily'!L6</f>
        <v>2199.9999999997576</v>
      </c>
      <c r="J4" s="32">
        <f>'FS Desroches Daily'!N6</f>
        <v>1600.0000000000459</v>
      </c>
      <c r="K4" s="13">
        <f>'FS Desroches Daily'!P6</f>
        <v>0</v>
      </c>
      <c r="L4" s="31">
        <f>'FS Desroches Daily'!R6</f>
        <v>6</v>
      </c>
      <c r="M4" s="31">
        <f>'FS Desroches Daily'!T6</f>
        <v>0.89999999999986358</v>
      </c>
      <c r="N4" s="31">
        <f>'FS Desroches Daily'!V6</f>
        <v>370.70000000001164</v>
      </c>
      <c r="O4" s="31">
        <f>'FS Desroches Daily'!X7</f>
        <v>329.99999999998408</v>
      </c>
      <c r="P4" s="31">
        <f>'FS Desroches Daily'!Z6</f>
        <v>2899.9999999999027</v>
      </c>
      <c r="Q4" s="31">
        <f>'FS Desroches Daily'!AB6</f>
        <v>439.99999999999773</v>
      </c>
      <c r="R4" s="31">
        <f>'FS Desroches Daily'!AD6</f>
        <v>330.00000000004093</v>
      </c>
      <c r="S4" s="31">
        <f>'FS Desroches Daily'!AF6</f>
        <v>729.9999999999045</v>
      </c>
      <c r="T4" s="31">
        <f>'FS Desroches Daily'!AH6</f>
        <v>41</v>
      </c>
      <c r="U4" s="35">
        <f>'FS Desroches Daily'!AJ6</f>
        <v>799.99999999995453</v>
      </c>
      <c r="V4" s="35">
        <f>'FS Desroches Daily'!AL6</f>
        <v>299.99999999998295</v>
      </c>
      <c r="W4" s="35">
        <f>'FS Desroches Daily'!AN6</f>
        <v>219.99999999999886</v>
      </c>
      <c r="X4" s="35">
        <f>'FS Desroches Daily'!AP6</f>
        <v>110.00000000001364</v>
      </c>
      <c r="Y4" s="35">
        <f>'FS Desroches Daily'!AR6</f>
        <v>280.00000000002956</v>
      </c>
      <c r="Z4" s="35">
        <f>'FS Desroches Daily'!AT6</f>
        <v>250</v>
      </c>
      <c r="AA4" s="35">
        <f>'FS Desroches Daily'!AT6</f>
        <v>250</v>
      </c>
      <c r="AB4" s="35">
        <f>'FS Desroches Daily'!AV6</f>
        <v>150.00000000003411</v>
      </c>
      <c r="AC4" s="35">
        <f>'FS Desroches Daily'!AZ6</f>
        <v>160.00000000002501</v>
      </c>
      <c r="AD4" s="35">
        <f>'FS Desroches Daily'!BB6</f>
        <v>149.99999999997726</v>
      </c>
      <c r="AE4" s="35">
        <f>'FS Desroches Daily'!BD6</f>
        <v>180.00000000000682</v>
      </c>
      <c r="AF4" s="31">
        <f>'FS Desroches Daily'!BF6</f>
        <v>34</v>
      </c>
      <c r="AG4" s="32">
        <f>'FS Desroches Daily'!BH6</f>
        <v>39.999999999992042</v>
      </c>
      <c r="AH4" s="32">
        <f>'FS Desroches Daily'!BJ6</f>
        <v>30.000000000029559</v>
      </c>
      <c r="AI4" s="32">
        <f>'FS Desroches Daily'!BL6</f>
        <v>40.000000000020464</v>
      </c>
      <c r="AJ4" s="32">
        <f>'FS Desroches Daily'!BN6</f>
        <v>49.999999999982947</v>
      </c>
      <c r="AK4" s="32">
        <f>'FS Desroches Daily'!BP6</f>
        <v>60.000000000002274</v>
      </c>
      <c r="AL4" s="32">
        <f>'FS Desroches Daily'!BR6</f>
        <v>40</v>
      </c>
      <c r="AM4" s="32">
        <f>'FS Desroches Daily'!BT6</f>
        <v>60.000000000002274</v>
      </c>
      <c r="AN4" s="32">
        <f>'FS Desroches Daily'!BV6</f>
        <v>35</v>
      </c>
      <c r="AO4" s="32">
        <f>'FS Desroches Daily'!BX6</f>
        <v>30.000000000001137</v>
      </c>
      <c r="AP4" s="32">
        <f>'FS Desroches Daily'!BZ6</f>
        <v>48</v>
      </c>
      <c r="AQ4" s="31">
        <f>'FS Desroches Daily'!CB6</f>
        <v>66.5</v>
      </c>
      <c r="AR4" s="31">
        <f>'FS Desroches Daily'!CD6</f>
        <v>10.600000000000364</v>
      </c>
      <c r="AS4" s="31">
        <f>'FS Desroches Daily'!CF6</f>
        <v>6</v>
      </c>
      <c r="AT4" s="31">
        <f>'FS Desroches Daily'!CH6</f>
        <v>37.799999999988358</v>
      </c>
      <c r="AU4" s="31">
        <f>'FS Desroches Daily'!CJ6</f>
        <v>291</v>
      </c>
      <c r="AV4" s="31">
        <f>'FS Desroches Daily'!CL6</f>
        <v>539.99999999996362</v>
      </c>
      <c r="AW4" s="31">
        <f>'FS Desroches Daily'!CM6</f>
        <v>53.799999999999272</v>
      </c>
      <c r="AX4" s="31">
        <f>IF(LPG!F11-LPG!F10&lt;0,"0",(LPG!F11-LPG!F10)*1.8315)</f>
        <v>9.1574999999999989</v>
      </c>
      <c r="AY4" s="31">
        <f>IF(LPG!H11-LPG!H10&lt;0,"0",(LPG!H11-LPG!H10)*1.8315)</f>
        <v>7.3259999999999996</v>
      </c>
      <c r="AZ4" s="31">
        <f>IF(LPG!J13-LPG!J10&lt;0,"0",(LPG!J13-LPG!J10)*1.8315)</f>
        <v>1.8314999999999999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12</v>
      </c>
      <c r="D5" s="27">
        <v>2021</v>
      </c>
      <c r="E5" s="31">
        <f>'FS Desroches Daily'!D7</f>
        <v>3000.0000000001137</v>
      </c>
      <c r="F5" s="32">
        <f>'FS Desroches Daily'!F7</f>
        <v>3099.9999999998809</v>
      </c>
      <c r="G5" s="31">
        <f>'FS Desroches Daily'!H7</f>
        <v>2600.0000000001578</v>
      </c>
      <c r="H5" s="32">
        <f>'FS Desroches Daily'!J7</f>
        <v>1700.0000000000348</v>
      </c>
      <c r="I5" s="31">
        <f>'FS Desroches Daily'!L7</f>
        <v>2000.0000000002237</v>
      </c>
      <c r="J5" s="32">
        <f>'FS Desroches Daily'!N7</f>
        <v>1400.0000000000678</v>
      </c>
      <c r="K5" s="13">
        <f>'FS Desroches Daily'!P7</f>
        <v>13</v>
      </c>
      <c r="L5" s="31">
        <f>'FS Desroches Daily'!R7</f>
        <v>7</v>
      </c>
      <c r="M5" s="31">
        <f>'FS Desroches Daily'!T7</f>
        <v>1.3000000000001819</v>
      </c>
      <c r="N5" s="31">
        <f>'FS Desroches Daily'!V7</f>
        <v>534.40000000002328</v>
      </c>
      <c r="O5" s="31">
        <f>'FS Desroches Daily'!X8</f>
        <v>189.99999999999773</v>
      </c>
      <c r="P5" s="31">
        <f>'FS Desroches Daily'!Z7</f>
        <v>3699.9999999998145</v>
      </c>
      <c r="Q5" s="31">
        <f>'FS Desroches Daily'!AB7</f>
        <v>320.00000000005002</v>
      </c>
      <c r="R5" s="31">
        <f>'FS Desroches Daily'!AD7</f>
        <v>399.99999999997726</v>
      </c>
      <c r="S5" s="31">
        <f>'FS Desroches Daily'!AF7</f>
        <v>820.00000000005002</v>
      </c>
      <c r="T5" s="31">
        <f>'FS Desroches Daily'!AH7</f>
        <v>27</v>
      </c>
      <c r="U5" s="35">
        <f>'FS Desroches Daily'!AJ7</f>
        <v>889.99999999998636</v>
      </c>
      <c r="V5" s="35">
        <f>'FS Desroches Daily'!AL7</f>
        <v>430.00000000000682</v>
      </c>
      <c r="W5" s="35">
        <f>'FS Desroches Daily'!AN7</f>
        <v>319.99999999999318</v>
      </c>
      <c r="X5" s="35">
        <f>'FS Desroches Daily'!AP7</f>
        <v>199.99999999998863</v>
      </c>
      <c r="Y5" s="35">
        <f>'FS Desroches Daily'!AR7</f>
        <v>359.9999999999568</v>
      </c>
      <c r="Z5" s="35">
        <f>'FS Desroches Daily'!AT7</f>
        <v>259.99999999999091</v>
      </c>
      <c r="AA5" s="35">
        <f>'FS Desroches Daily'!AT7</f>
        <v>259.99999999999091</v>
      </c>
      <c r="AB5" s="35">
        <f>'FS Desroches Daily'!AV7</f>
        <v>139.99999999998636</v>
      </c>
      <c r="AC5" s="35">
        <f>'FS Desroches Daily'!AZ7</f>
        <v>219.99999999997044</v>
      </c>
      <c r="AD5" s="35">
        <f>'FS Desroches Daily'!BB7</f>
        <v>240.00000000000909</v>
      </c>
      <c r="AE5" s="35">
        <f>'FS Desroches Daily'!BD7</f>
        <v>140.00000000001478</v>
      </c>
      <c r="AF5" s="31">
        <f>'FS Desroches Daily'!BF7</f>
        <v>44</v>
      </c>
      <c r="AG5" s="32">
        <f>'FS Desroches Daily'!BH7</f>
        <v>60.000000000002274</v>
      </c>
      <c r="AH5" s="32">
        <f>'FS Desroches Daily'!BJ7</f>
        <v>39.99999999996362</v>
      </c>
      <c r="AI5" s="32">
        <f>'FS Desroches Daily'!BL7</f>
        <v>39.999999999992042</v>
      </c>
      <c r="AJ5" s="32">
        <f>'FS Desroches Daily'!BN7</f>
        <v>50.000000000011369</v>
      </c>
      <c r="AK5" s="32">
        <f>'FS Desroches Daily'!BP7</f>
        <v>80.000000000040927</v>
      </c>
      <c r="AL5" s="32">
        <f>'FS Desroches Daily'!BR7</f>
        <v>44</v>
      </c>
      <c r="AM5" s="32">
        <f>'FS Desroches Daily'!BT7</f>
        <v>60.000000000002274</v>
      </c>
      <c r="AN5" s="32">
        <f>'FS Desroches Daily'!BV7</f>
        <v>52</v>
      </c>
      <c r="AO5" s="32">
        <f>'FS Desroches Daily'!BX7</f>
        <v>60.000000000002274</v>
      </c>
      <c r="AP5" s="32">
        <f>'FS Desroches Daily'!BZ7</f>
        <v>57</v>
      </c>
      <c r="AQ5" s="31">
        <f>'FS Desroches Daily'!CB7</f>
        <v>84.599999999998545</v>
      </c>
      <c r="AR5" s="31">
        <f>'FS Desroches Daily'!CD7</f>
        <v>28.200000000000728</v>
      </c>
      <c r="AS5" s="31">
        <f>'FS Desroches Daily'!CF7</f>
        <v>4</v>
      </c>
      <c r="AT5" s="31">
        <f>'FS Desroches Daily'!CH7</f>
        <v>51.100000000005821</v>
      </c>
      <c r="AU5" s="31">
        <f>'FS Desroches Daily'!CJ7</f>
        <v>337</v>
      </c>
      <c r="AV5" s="31">
        <f>'FS Desroches Daily'!CL7</f>
        <v>570.00000000005002</v>
      </c>
      <c r="AW5" s="31">
        <f>'FS Desroches Daily'!CM7</f>
        <v>92.799999999999272</v>
      </c>
      <c r="AX5" s="31">
        <f>IF(LPG!F12-LPG!F11&lt;0,"0",(LPG!F12-LPG!F11)*1.8315)</f>
        <v>5.4944999999999995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7.3259999999999996</v>
      </c>
      <c r="BC5" s="13">
        <f>'FS Desroches Daily'!CN7</f>
        <v>10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12</v>
      </c>
      <c r="D6" s="27">
        <v>2021</v>
      </c>
      <c r="E6" s="31">
        <f>'FS Desroches Daily'!D8</f>
        <v>2699.9999999999245</v>
      </c>
      <c r="F6" s="32">
        <f>'FS Desroches Daily'!F8</f>
        <v>3000.0000000001137</v>
      </c>
      <c r="G6" s="31">
        <f>'FS Desroches Daily'!H8</f>
        <v>2600.0000000001578</v>
      </c>
      <c r="H6" s="32">
        <f>'FS Desroches Daily'!J8</f>
        <v>1600.0000000000459</v>
      </c>
      <c r="I6" s="31">
        <f>'FS Desroches Daily'!L8</f>
        <v>1999.9999999997797</v>
      </c>
      <c r="J6" s="32">
        <f>'FS Desroches Daily'!N8</f>
        <v>1499.9999999998347</v>
      </c>
      <c r="K6" s="13">
        <f>'FS Desroches Daily'!P8</f>
        <v>5</v>
      </c>
      <c r="L6" s="31">
        <f>'FS Desroches Daily'!R8</f>
        <v>5</v>
      </c>
      <c r="M6" s="31">
        <f>'FS Desroches Daily'!T8</f>
        <v>0.59999999999990905</v>
      </c>
      <c r="N6" s="31">
        <f>'FS Desroches Daily'!V8</f>
        <v>239.59999999997672</v>
      </c>
      <c r="O6" s="31">
        <f>'FS Desroches Daily'!X8</f>
        <v>189.99999999999773</v>
      </c>
      <c r="P6" s="31">
        <f>'FS Desroches Daily'!Z8</f>
        <v>2000.0000000002237</v>
      </c>
      <c r="Q6" s="31">
        <f>'FS Desroches Daily'!AB8</f>
        <v>349.99999999996589</v>
      </c>
      <c r="R6" s="31">
        <f>'FS Desroches Daily'!AD8</f>
        <v>300.00000000001137</v>
      </c>
      <c r="S6" s="31">
        <f>'FS Desroches Daily'!AF8</f>
        <v>539.99999999996362</v>
      </c>
      <c r="T6" s="31">
        <f>'FS Desroches Daily'!AH8</f>
        <v>62</v>
      </c>
      <c r="U6" s="35">
        <f>'FS Desroches Daily'!AJ8</f>
        <v>500</v>
      </c>
      <c r="V6" s="35">
        <f>'FS Desroches Daily'!AL8</f>
        <v>210.00000000000796</v>
      </c>
      <c r="W6" s="35">
        <f>'FS Desroches Daily'!AN8</f>
        <v>150.00000000000568</v>
      </c>
      <c r="X6" s="35">
        <f>'FS Desroches Daily'!AP8</f>
        <v>99.999999999994316</v>
      </c>
      <c r="Y6" s="35">
        <f>'FS Desroches Daily'!AR8</f>
        <v>160.00000000002501</v>
      </c>
      <c r="Z6" s="35">
        <f>'FS Desroches Daily'!AT8</f>
        <v>130.0000000000523</v>
      </c>
      <c r="AA6" s="35">
        <f>'FS Desroches Daily'!AT8</f>
        <v>130.0000000000523</v>
      </c>
      <c r="AB6" s="35">
        <f>'FS Desroches Daily'!AV8</f>
        <v>139.99999999998636</v>
      </c>
      <c r="AC6" s="35">
        <f>'FS Desroches Daily'!AZ8</f>
        <v>110.00000000001364</v>
      </c>
      <c r="AD6" s="35">
        <f>'FS Desroches Daily'!BB8</f>
        <v>139.99999999998636</v>
      </c>
      <c r="AE6" s="35">
        <f>'FS Desroches Daily'!BD8</f>
        <v>49.999999999982947</v>
      </c>
      <c r="AF6" s="31">
        <f>'FS Desroches Daily'!BF8</f>
        <v>11</v>
      </c>
      <c r="AG6" s="32">
        <f>'FS Desroches Daily'!BH8</f>
        <v>30.000000000001137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49.999999999982947</v>
      </c>
      <c r="AK6" s="32">
        <f>'FS Desroches Daily'!BP8</f>
        <v>49.999999999954525</v>
      </c>
      <c r="AL6" s="32">
        <f>'FS Desroches Daily'!BR8</f>
        <v>33</v>
      </c>
      <c r="AM6" s="32">
        <f>'FS Desroches Daily'!BT8</f>
        <v>49.999999999982947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45.599999999998545</v>
      </c>
      <c r="AR6" s="31">
        <f>'FS Desroches Daily'!CD8</f>
        <v>5.1000000000003638</v>
      </c>
      <c r="AS6" s="31">
        <f>'FS Desroches Daily'!CF8</f>
        <v>10</v>
      </c>
      <c r="AT6" s="31">
        <f>'FS Desroches Daily'!CH8</f>
        <v>25</v>
      </c>
      <c r="AU6" s="31">
        <f>'FS Desroches Daily'!CJ8</f>
        <v>245</v>
      </c>
      <c r="AV6" s="31">
        <f>'FS Desroches Daily'!CL8</f>
        <v>589.99999999991815</v>
      </c>
      <c r="AW6" s="31">
        <f>'FS Desroches Daily'!CM8</f>
        <v>52</v>
      </c>
      <c r="AX6" s="31">
        <f>IF(LPG!F13-LPG!F12&lt;0,"0",(LPG!F13-LPG!F12)*1.8315)</f>
        <v>1.8314999999999999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3.6629999999999998</v>
      </c>
      <c r="BC6" s="13">
        <f>'FS Desroches Daily'!CN8</f>
        <v>10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12</v>
      </c>
      <c r="D7" s="27">
        <v>2021</v>
      </c>
      <c r="E7" s="31">
        <f>'FS Desroches Daily'!D9</f>
        <v>3000.0000000001137</v>
      </c>
      <c r="F7" s="32">
        <f>'FS Desroches Daily'!F9</f>
        <v>3000.0000000001137</v>
      </c>
      <c r="G7" s="31">
        <f>'FS Desroches Daily'!H9</f>
        <v>2599.9999999997135</v>
      </c>
      <c r="H7" s="32">
        <f>'FS Desroches Daily'!J9</f>
        <v>1599.9999999998238</v>
      </c>
      <c r="I7" s="31">
        <f>'FS Desroches Daily'!L9</f>
        <v>2099.9999999999909</v>
      </c>
      <c r="J7" s="32">
        <f>'FS Desroches Daily'!N9</f>
        <v>1200.0000000000898</v>
      </c>
      <c r="K7" s="13">
        <f>'FS Desroches Daily'!P9</f>
        <v>12</v>
      </c>
      <c r="L7" s="31">
        <f>'FS Desroches Daily'!R9</f>
        <v>6</v>
      </c>
      <c r="M7" s="31">
        <f>'FS Desroches Daily'!T9</f>
        <v>0.79999999999995453</v>
      </c>
      <c r="N7" s="31">
        <f>'FS Desroches Daily'!V9</f>
        <v>326.09999999997672</v>
      </c>
      <c r="O7" s="31">
        <f>'FS Desroches Daily'!X9</f>
        <v>240.00000000000909</v>
      </c>
      <c r="P7" s="31">
        <f>'FS Desroches Daily'!Z9</f>
        <v>2699.9999999999245</v>
      </c>
      <c r="Q7" s="31">
        <f>'FS Desroches Daily'!AB9</f>
        <v>460.00000000003638</v>
      </c>
      <c r="R7" s="31">
        <f>'FS Desroches Daily'!AD9</f>
        <v>240.00000000000909</v>
      </c>
      <c r="S7" s="31">
        <f>'FS Desroches Daily'!AF9</f>
        <v>420.00000000007276</v>
      </c>
      <c r="T7" s="31">
        <f>'FS Desroches Daily'!AH9</f>
        <v>46</v>
      </c>
      <c r="U7" s="35">
        <f>'FS Desroches Daily'!AJ9</f>
        <v>710.00000000003638</v>
      </c>
      <c r="V7" s="35">
        <f>'FS Desroches Daily'!AL9</f>
        <v>289.99999999999204</v>
      </c>
      <c r="W7" s="35">
        <f>'FS Desroches Daily'!AN9</f>
        <v>210.00000000000796</v>
      </c>
      <c r="X7" s="35">
        <f>'FS Desroches Daily'!AP9</f>
        <v>150.00000000000568</v>
      </c>
      <c r="Y7" s="35">
        <f>'FS Desroches Daily'!AR9</f>
        <v>279.99999999997272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189.99999999999773</v>
      </c>
      <c r="AC7" s="35">
        <f>'FS Desroches Daily'!AZ9</f>
        <v>180.00000000000682</v>
      </c>
      <c r="AD7" s="35">
        <f>'FS Desroches Daily'!BB9</f>
        <v>190.00000000005457</v>
      </c>
      <c r="AE7" s="35">
        <f>'FS Desroches Daily'!BD9</f>
        <v>99.999999999994316</v>
      </c>
      <c r="AF7" s="31">
        <f>'FS Desroches Daily'!BF9</f>
        <v>32</v>
      </c>
      <c r="AG7" s="32">
        <f>'FS Desroches Daily'!BH9</f>
        <v>50.000000000011369</v>
      </c>
      <c r="AH7" s="32">
        <f>'FS Desroches Daily'!BJ9</f>
        <v>40.000000000020464</v>
      </c>
      <c r="AI7" s="32">
        <f>'FS Desroches Daily'!BL9</f>
        <v>39.999999999992042</v>
      </c>
      <c r="AJ7" s="32">
        <f>'FS Desroches Daily'!BN9</f>
        <v>40.000000000020464</v>
      </c>
      <c r="AK7" s="32">
        <f>'FS Desroches Daily'!BP9</f>
        <v>69.999999999993179</v>
      </c>
      <c r="AL7" s="32">
        <f>'FS Desroches Daily'!BR9</f>
        <v>39</v>
      </c>
      <c r="AM7" s="32">
        <f>'FS Desroches Daily'!BT9</f>
        <v>50.000000000011369</v>
      </c>
      <c r="AN7" s="32">
        <f>'FS Desroches Daily'!BV9</f>
        <v>40</v>
      </c>
      <c r="AO7" s="32">
        <f>'FS Desroches Daily'!BX9</f>
        <v>30.000000000001137</v>
      </c>
      <c r="AP7" s="32">
        <f>'FS Desroches Daily'!BZ9</f>
        <v>54</v>
      </c>
      <c r="AQ7" s="31">
        <f>'FS Desroches Daily'!CB9</f>
        <v>41.30000000000291</v>
      </c>
      <c r="AR7" s="31">
        <f>'FS Desroches Daily'!CD9</f>
        <v>7.3999999999996362</v>
      </c>
      <c r="AS7" s="31">
        <f>'FS Desroches Daily'!CF9</f>
        <v>7</v>
      </c>
      <c r="AT7" s="31">
        <f>'FS Desroches Daily'!CH9</f>
        <v>30.899999999994179</v>
      </c>
      <c r="AU7" s="31">
        <f>'FS Desroches Daily'!CJ9</f>
        <v>358</v>
      </c>
      <c r="AV7" s="31">
        <f>'FS Desroches Daily'!CL9</f>
        <v>610.00000000001364</v>
      </c>
      <c r="AW7" s="31">
        <f>'FS Desroches Daily'!CM9</f>
        <v>95.400000000001455</v>
      </c>
      <c r="AX7" s="31">
        <f>IF(LPG!F14-LPG!F13&lt;0,"0",(LPG!F14-LPG!F13)*1.8315)</f>
        <v>12.820499999999999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12</v>
      </c>
      <c r="D8" s="27">
        <v>2021</v>
      </c>
      <c r="E8" s="31">
        <f>'FS Desroches Daily'!D10</f>
        <v>2799.9999999996917</v>
      </c>
      <c r="F8" s="32">
        <f>'FS Desroches Daily'!F10</f>
        <v>3200.0000000000919</v>
      </c>
      <c r="G8" s="31">
        <f>'FS Desroches Daily'!H10</f>
        <v>2800.0000000001355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999.99999999988984</v>
      </c>
      <c r="K8" s="13">
        <f>'FS Desroches Daily'!P10</f>
        <v>10</v>
      </c>
      <c r="L8" s="31">
        <f>'FS Desroches Daily'!R10</f>
        <v>6</v>
      </c>
      <c r="M8" s="31">
        <f>'FS Desroches Daily'!T10</f>
        <v>1</v>
      </c>
      <c r="N8" s="31">
        <f>'FS Desroches Daily'!V10</f>
        <v>413.70000000001164</v>
      </c>
      <c r="O8" s="31">
        <f>'FS Desroches Daily'!X10</f>
        <v>250</v>
      </c>
      <c r="P8" s="31">
        <f>'FS Desroches Daily'!Z10</f>
        <v>3000.0000000001137</v>
      </c>
      <c r="Q8" s="31">
        <f>'FS Desroches Daily'!AB10</f>
        <v>279.99999999997272</v>
      </c>
      <c r="R8" s="31">
        <f>'FS Desroches Daily'!AD10</f>
        <v>219.99999999997044</v>
      </c>
      <c r="S8" s="31">
        <f>'FS Desroches Daily'!AF10</f>
        <v>379.99999999999545</v>
      </c>
      <c r="T8" s="31">
        <f>'FS Desroches Daily'!AH10</f>
        <v>46</v>
      </c>
      <c r="U8" s="35">
        <f>'FS Desroches Daily'!AJ10</f>
        <v>740.00000000000909</v>
      </c>
      <c r="V8" s="35">
        <f>'FS Desroches Daily'!AL10</f>
        <v>270.00000000001023</v>
      </c>
      <c r="W8" s="35">
        <f>'FS Desroches Daily'!AN10</f>
        <v>199.99999999998863</v>
      </c>
      <c r="X8" s="35">
        <f>'FS Desroches Daily'!AP10</f>
        <v>159.99999999999659</v>
      </c>
      <c r="Y8" s="35">
        <f>'FS Desroches Daily'!AR10</f>
        <v>230.00000000001819</v>
      </c>
      <c r="Z8" s="35">
        <f>'FS Desroches Daily'!AT10</f>
        <v>189.99999999999773</v>
      </c>
      <c r="AA8" s="35">
        <f>'FS Desroches Daily'!AT10</f>
        <v>189.99999999999773</v>
      </c>
      <c r="AB8" s="35">
        <f>'FS Desroches Daily'!AV10</f>
        <v>170.00000000001592</v>
      </c>
      <c r="AC8" s="35">
        <f>'FS Desroches Daily'!AZ10</f>
        <v>139.99999999998636</v>
      </c>
      <c r="AD8" s="35">
        <f>'FS Desroches Daily'!BB10</f>
        <v>179.99999999994998</v>
      </c>
      <c r="AE8" s="35">
        <f>'FS Desroches Daily'!BD10</f>
        <v>110.00000000001364</v>
      </c>
      <c r="AF8" s="31">
        <f>'FS Desroches Daily'!BF10</f>
        <v>24</v>
      </c>
      <c r="AG8" s="32">
        <f>'FS Desroches Daily'!BH10</f>
        <v>39.999999999992042</v>
      </c>
      <c r="AH8" s="32">
        <f>'FS Desroches Daily'!BJ10</f>
        <v>39.99999999996362</v>
      </c>
      <c r="AI8" s="32">
        <f>'FS Desroches Daily'!BL10</f>
        <v>40.000000000020464</v>
      </c>
      <c r="AJ8" s="32">
        <f>'FS Desroches Daily'!BN10</f>
        <v>49.999999999982947</v>
      </c>
      <c r="AK8" s="32">
        <f>'FS Desroches Daily'!BP10</f>
        <v>50.000000000011369</v>
      </c>
      <c r="AL8" s="32">
        <f>'FS Desroches Daily'!BR10</f>
        <v>35</v>
      </c>
      <c r="AM8" s="32">
        <f>'FS Desroches Daily'!BT10</f>
        <v>60.000000000002274</v>
      </c>
      <c r="AN8" s="32">
        <f>'FS Desroches Daily'!BV10</f>
        <v>42</v>
      </c>
      <c r="AO8" s="32">
        <f>'FS Desroches Daily'!BX10</f>
        <v>39.999999999992042</v>
      </c>
      <c r="AP8" s="32">
        <f>'FS Desroches Daily'!BZ10</f>
        <v>51</v>
      </c>
      <c r="AQ8" s="31">
        <f>'FS Desroches Daily'!CB10</f>
        <v>70.299999999995634</v>
      </c>
      <c r="AR8" s="31">
        <f>'FS Desroches Daily'!CD10</f>
        <v>8.2999999999992724</v>
      </c>
      <c r="AS8" s="31">
        <f>'FS Desroches Daily'!CF10</f>
        <v>2.5</v>
      </c>
      <c r="AT8" s="31">
        <f>'FS Desroches Daily'!CH10</f>
        <v>35.30000000000291</v>
      </c>
      <c r="AU8" s="31">
        <f>'FS Desroches Daily'!CJ10</f>
        <v>406</v>
      </c>
      <c r="AV8" s="31">
        <f>'FS Desroches Daily'!CL10</f>
        <v>639.99999999998636</v>
      </c>
      <c r="AW8" s="31">
        <f>'FS Desroches Daily'!CM10</f>
        <v>82.5</v>
      </c>
      <c r="AX8" s="31">
        <f>IF(LPG!F16-LPG!F14&lt;0,"0",(LPG!F16-LPG!F14)*1.8315)</f>
        <v>18.314999999999998</v>
      </c>
      <c r="AY8" s="31">
        <f>IF(LPG!H16-LPG!H14&lt;0,"0",(LPG!H16-LPG!H14)*1.8315)</f>
        <v>7.3259999999999996</v>
      </c>
      <c r="AZ8" s="31">
        <f>IF(LPG!J16-LPG!J14&lt;0,"0",(LPG!J16-LPG!J14)*1.8315)</f>
        <v>1.8314999999999999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12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12</v>
      </c>
      <c r="D9" s="27">
        <v>2021</v>
      </c>
      <c r="E9" s="31">
        <f>'FS Desroches Daily'!D11</f>
        <v>1900.0000000000127</v>
      </c>
      <c r="F9" s="32">
        <f>'FS Desroches Daily'!F11</f>
        <v>2899.9999999999027</v>
      </c>
      <c r="G9" s="31">
        <f>'FS Desroches Daily'!H11</f>
        <v>2600.0000000001578</v>
      </c>
      <c r="H9" s="32">
        <f>'FS Desroches Daily'!J11</f>
        <v>1300.0000000000789</v>
      </c>
      <c r="I9" s="31">
        <f>'FS Desroches Daily'!L11</f>
        <v>1900.0000000000127</v>
      </c>
      <c r="J9" s="32">
        <f>'FS Desroches Daily'!N11</f>
        <v>1000.0000000001119</v>
      </c>
      <c r="K9" s="13">
        <f>'FS Desroches Daily'!P11</f>
        <v>0</v>
      </c>
      <c r="L9" s="31">
        <f>'FS Desroches Daily'!R11</f>
        <v>3</v>
      </c>
      <c r="M9" s="31">
        <f>'FS Desroches Daily'!T11</f>
        <v>0.70000000000004547</v>
      </c>
      <c r="N9" s="31">
        <f>'FS Desroches Daily'!V11</f>
        <v>319.10000000003492</v>
      </c>
      <c r="O9" s="31">
        <f>'FS Desroches Daily'!X11</f>
        <v>240.00000000000909</v>
      </c>
      <c r="P9" s="31">
        <f>'FS Desroches Daily'!Z11</f>
        <v>2699.9999999999245</v>
      </c>
      <c r="Q9" s="31">
        <f>'FS Desroches Daily'!AB11</f>
        <v>370.00000000000455</v>
      </c>
      <c r="R9" s="31">
        <f>'FS Desroches Daily'!AD11</f>
        <v>189.99999999999773</v>
      </c>
      <c r="S9" s="31">
        <f>'FS Desroches Daily'!AF11</f>
        <v>370.00000000000455</v>
      </c>
      <c r="T9" s="31">
        <f>'FS Desroches Daily'!AH11</f>
        <v>37</v>
      </c>
      <c r="U9" s="35">
        <f>'FS Desroches Daily'!AJ11</f>
        <v>459.99999999992269</v>
      </c>
      <c r="V9" s="35">
        <f>'FS Desroches Daily'!AL11</f>
        <v>179.9999999999784</v>
      </c>
      <c r="W9" s="35">
        <f>'FS Desroches Daily'!AN11</f>
        <v>120.00000000000455</v>
      </c>
      <c r="X9" s="35">
        <f>'FS Desroches Daily'!AP11</f>
        <v>110.00000000001364</v>
      </c>
      <c r="Y9" s="35">
        <f>'FS Desroches Daily'!AR11</f>
        <v>189.99999999999773</v>
      </c>
      <c r="Z9" s="35">
        <f>'FS Desroches Daily'!AT11</f>
        <v>169.99999999995907</v>
      </c>
      <c r="AA9" s="35">
        <f>'FS Desroches Daily'!AT11</f>
        <v>169.99999999995907</v>
      </c>
      <c r="AB9" s="35">
        <f>'FS Desroches Daily'!AV11</f>
        <v>110.00000000001364</v>
      </c>
      <c r="AC9" s="35">
        <f>'FS Desroches Daily'!AZ11</f>
        <v>89.999999999974989</v>
      </c>
      <c r="AD9" s="35">
        <f>'FS Desroches Daily'!BB11</f>
        <v>120.00000000000455</v>
      </c>
      <c r="AE9" s="35">
        <f>'FS Desroches Daily'!BD11</f>
        <v>30.000000000001137</v>
      </c>
      <c r="AF9" s="31">
        <f>'FS Desroches Daily'!BF11</f>
        <v>31</v>
      </c>
      <c r="AG9" s="32">
        <f>'FS Desroches Daily'!BH11</f>
        <v>39.999999999992042</v>
      </c>
      <c r="AH9" s="32">
        <f>'FS Desroches Daily'!BJ11</f>
        <v>30.000000000029559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60.000000000002274</v>
      </c>
      <c r="AL9" s="32">
        <f>'FS Desroches Daily'!BR11</f>
        <v>24</v>
      </c>
      <c r="AM9" s="32">
        <f>'FS Desroches Daily'!BT11</f>
        <v>39.999999999992042</v>
      </c>
      <c r="AN9" s="32">
        <f>'FS Desroches Daily'!BV11</f>
        <v>27</v>
      </c>
      <c r="AO9" s="32">
        <f>'FS Desroches Daily'!BX11</f>
        <v>20.000000000010232</v>
      </c>
      <c r="AP9" s="32">
        <f>'FS Desroches Daily'!BZ11</f>
        <v>44</v>
      </c>
      <c r="AQ9" s="31">
        <f>'FS Desroches Daily'!CB11</f>
        <v>69.30000000000291</v>
      </c>
      <c r="AR9" s="31">
        <f>'FS Desroches Daily'!CD11</f>
        <v>8.5</v>
      </c>
      <c r="AS9" s="31">
        <f>'FS Desroches Daily'!CF11</f>
        <v>0.3000000000001819</v>
      </c>
      <c r="AT9" s="31">
        <f>'FS Desroches Daily'!CH11</f>
        <v>33.400000000008731</v>
      </c>
      <c r="AU9" s="31">
        <f>'FS Desroches Daily'!CJ11</f>
        <v>312</v>
      </c>
      <c r="AV9" s="31">
        <f>'FS Desroches Daily'!CL11</f>
        <v>759.99999999999091</v>
      </c>
      <c r="AW9" s="31">
        <f>'FS Desroches Daily'!CM11</f>
        <v>68.400000000001455</v>
      </c>
      <c r="AX9" s="31">
        <f>IF(LPG!F17-LPG!F15&lt;0,"0",(LPG!F17-LPG!F15)*1.8315)</f>
        <v>16.483499999999999</v>
      </c>
      <c r="AY9" s="31">
        <f>IF(LPG!H17-LPG!H15&lt;0,"0",(LPG!H17-LPG!H15)*1.8315)</f>
        <v>5.4944999999999995</v>
      </c>
      <c r="AZ9" s="31">
        <f>IF(LPG!J17-LPG!J15&lt;0,"0",(LPG!J17-LPG!J15)*1.8315)</f>
        <v>5.4944999999999995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15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12</v>
      </c>
      <c r="D10" s="27">
        <v>2021</v>
      </c>
      <c r="E10" s="31">
        <f>'FS Desroches Daily'!D12</f>
        <v>1700.0000000000348</v>
      </c>
      <c r="F10" s="32">
        <f>'FS Desroches Daily'!F12</f>
        <v>2899.9999999999027</v>
      </c>
      <c r="G10" s="31">
        <f>'FS Desroches Daily'!H12</f>
        <v>2399.9999999997358</v>
      </c>
      <c r="H10" s="32">
        <f>'FS Desroches Daily'!J12</f>
        <v>1299.9999999998568</v>
      </c>
      <c r="I10" s="31">
        <f>'FS Desroches Daily'!L12</f>
        <v>1900.0000000000127</v>
      </c>
      <c r="J10" s="32">
        <f>'FS Desroches Daily'!N12</f>
        <v>799.99999999991189</v>
      </c>
      <c r="K10" s="13">
        <f>'FS Desroches Daily'!P12</f>
        <v>4</v>
      </c>
      <c r="L10" s="31">
        <f>'FS Desroches Daily'!R12</f>
        <v>3</v>
      </c>
      <c r="M10" s="31">
        <f>'FS Desroches Daily'!T12</f>
        <v>0.79999999999995453</v>
      </c>
      <c r="N10" s="31">
        <f>'FS Desroches Daily'!V12</f>
        <v>307</v>
      </c>
      <c r="O10" s="31">
        <f>'FS Desroches Daily'!X12</f>
        <v>269.99999999998181</v>
      </c>
      <c r="P10" s="31">
        <f>'FS Desroches Daily'!Z12</f>
        <v>2600.0000000001578</v>
      </c>
      <c r="Q10" s="31">
        <f>'FS Desroches Daily'!AB12</f>
        <v>199.99999999998863</v>
      </c>
      <c r="R10" s="31">
        <f>'FS Desroches Daily'!AD12</f>
        <v>199.99999999998863</v>
      </c>
      <c r="S10" s="31">
        <f>'FS Desroches Daily'!AF12</f>
        <v>319.99999999993634</v>
      </c>
      <c r="T10" s="31">
        <f>'FS Desroches Daily'!AH12</f>
        <v>40</v>
      </c>
      <c r="U10" s="35">
        <f>'FS Desroches Daily'!AJ12</f>
        <v>450.00000000004547</v>
      </c>
      <c r="V10" s="35">
        <f>'FS Desroches Daily'!AL12</f>
        <v>110.00000000001364</v>
      </c>
      <c r="W10" s="35">
        <f>'FS Desroches Daily'!AN12</f>
        <v>140.00000000001478</v>
      </c>
      <c r="X10" s="35">
        <f>'FS Desroches Daily'!AP12</f>
        <v>159.99999999999659</v>
      </c>
      <c r="Y10" s="35">
        <f>'FS Desroches Daily'!AR12</f>
        <v>210.00000000003638</v>
      </c>
      <c r="Z10" s="35">
        <f>'FS Desroches Daily'!AT12</f>
        <v>129.99999999999545</v>
      </c>
      <c r="AA10" s="35">
        <f>'FS Desroches Daily'!AT12</f>
        <v>129.99999999999545</v>
      </c>
      <c r="AB10" s="35">
        <f>'FS Desroches Daily'!AV12</f>
        <v>39.99999999996362</v>
      </c>
      <c r="AC10" s="35">
        <f>'FS Desroches Daily'!AZ12</f>
        <v>60.000000000002274</v>
      </c>
      <c r="AD10" s="35">
        <f>'FS Desroches Daily'!BB12</f>
        <v>110.00000000001364</v>
      </c>
      <c r="AE10" s="35">
        <f>'FS Desroches Daily'!BD12</f>
        <v>39.999999999992042</v>
      </c>
      <c r="AF10" s="31">
        <f>'FS Desroches Daily'!BF12</f>
        <v>29</v>
      </c>
      <c r="AG10" s="32">
        <f>'FS Desroches Daily'!BH12</f>
        <v>40.000000000020464</v>
      </c>
      <c r="AH10" s="32">
        <f>'FS Desroches Daily'!BJ12</f>
        <v>19.99999999998181</v>
      </c>
      <c r="AI10" s="32">
        <f>'FS Desroches Daily'!BL12</f>
        <v>19.99999999998181</v>
      </c>
      <c r="AJ10" s="32">
        <f>'FS Desroches Daily'!BN12</f>
        <v>30.000000000001137</v>
      </c>
      <c r="AK10" s="32">
        <f>'FS Desroches Daily'!BP12</f>
        <v>60.000000000002274</v>
      </c>
      <c r="AL10" s="32">
        <f>'FS Desroches Daily'!BR12</f>
        <v>25</v>
      </c>
      <c r="AM10" s="32">
        <f>'FS Desroches Daily'!BT12</f>
        <v>39.999999999992042</v>
      </c>
      <c r="AN10" s="32">
        <f>'FS Desroches Daily'!BV12</f>
        <v>24</v>
      </c>
      <c r="AO10" s="32">
        <f>'FS Desroches Daily'!BX12</f>
        <v>20.000000000010232</v>
      </c>
      <c r="AP10" s="32">
        <f>'FS Desroches Daily'!BZ12</f>
        <v>41</v>
      </c>
      <c r="AQ10" s="31">
        <f>'FS Desroches Daily'!CB12</f>
        <v>68.5</v>
      </c>
      <c r="AR10" s="31">
        <f>'FS Desroches Daily'!CD12</f>
        <v>7.5</v>
      </c>
      <c r="AS10" s="31">
        <f>'FS Desroches Daily'!CF12</f>
        <v>7</v>
      </c>
      <c r="AT10" s="31">
        <f>'FS Desroches Daily'!CH12</f>
        <v>32.69999999999709</v>
      </c>
      <c r="AU10" s="31">
        <f>'FS Desroches Daily'!CJ12</f>
        <v>277</v>
      </c>
      <c r="AV10" s="31">
        <f>'FS Desroches Daily'!CL12</f>
        <v>580.00000000004093</v>
      </c>
      <c r="AW10" s="31">
        <f>'FS Desroches Daily'!CM12</f>
        <v>79.69999999999709</v>
      </c>
      <c r="AX10" s="31">
        <f>IF(LPG!F18-LPG!F16&lt;0,"0",(LPG!F18-LPG!F16)*1.8315)</f>
        <v>21.977999999999998</v>
      </c>
      <c r="AY10" s="31">
        <f>IF(LPG!H18-LPG!H16&lt;0,"0",(LPG!H18-LPG!H16)*1.8315)</f>
        <v>9.1574999999999989</v>
      </c>
      <c r="AZ10" s="31">
        <f>IF(LPG!J18-LPG!J16&lt;0,"0",(LPG!J18-LPG!J16)*1.8315)</f>
        <v>5.4944999999999995</v>
      </c>
      <c r="BA10" s="31">
        <f>IF(LPG!M18-LPG!M16&lt;0,"0",(LPG!M18-LPG!M16)*1.8315)</f>
        <v>5.4944999999999995</v>
      </c>
      <c r="BB10" s="31">
        <f>IF(LPG!Q17-LPG!Q16&lt;0,"0",(LPG!Q17-LPG!Q16)*1.8315)</f>
        <v>7.3259999999999996</v>
      </c>
      <c r="BC10" s="13">
        <f>'FS Desroches Daily'!CN12</f>
        <v>14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12</v>
      </c>
      <c r="D11" s="27">
        <v>2021</v>
      </c>
      <c r="E11" s="31">
        <f>'FS Desroches Daily'!D13</f>
        <v>2200.0000000002019</v>
      </c>
      <c r="F11" s="32">
        <f>'FS Desroches Daily'!F13</f>
        <v>3099.9999999998809</v>
      </c>
      <c r="G11" s="31">
        <f>'FS Desroches Daily'!H13</f>
        <v>2499.9999999999468</v>
      </c>
      <c r="H11" s="32">
        <f>'FS Desroches Daily'!J13</f>
        <v>1400.0000000000678</v>
      </c>
      <c r="I11" s="31">
        <f>'FS Desroches Daily'!L13</f>
        <v>2000.0000000002237</v>
      </c>
      <c r="J11" s="32">
        <f>'FS Desroches Daily'!N13</f>
        <v>1200.0000000000898</v>
      </c>
      <c r="K11" s="13">
        <f>'FS Desroches Daily'!P13</f>
        <v>14</v>
      </c>
      <c r="L11" s="31">
        <f>'FS Desroches Daily'!R13</f>
        <v>5</v>
      </c>
      <c r="M11" s="31">
        <f>'FS Desroches Daily'!T13</f>
        <v>0.79999999999995453</v>
      </c>
      <c r="N11" s="31">
        <f>'FS Desroches Daily'!V13</f>
        <v>298.39999999996508</v>
      </c>
      <c r="O11" s="31">
        <f>'FS Desroches Daily'!X13</f>
        <v>279.99999999997272</v>
      </c>
      <c r="P11" s="31">
        <f>'FS Desroches Daily'!Z13</f>
        <v>2899.9999999999027</v>
      </c>
      <c r="Q11" s="31">
        <f>'FS Desroches Daily'!AB13</f>
        <v>410.00000000002501</v>
      </c>
      <c r="R11" s="31">
        <f>'FS Desroches Daily'!AD13</f>
        <v>230.00000000001819</v>
      </c>
      <c r="S11" s="31">
        <f>'FS Desroches Daily'!AF13</f>
        <v>440.00000000005457</v>
      </c>
      <c r="T11" s="31">
        <f>'FS Desroches Daily'!AH13</f>
        <v>43</v>
      </c>
      <c r="U11" s="35">
        <f>'FS Desroches Daily'!AJ13</f>
        <v>629.99999999999545</v>
      </c>
      <c r="V11" s="35">
        <f>'FS Desroches Daily'!AL13</f>
        <v>120.00000000000455</v>
      </c>
      <c r="W11" s="35">
        <f>'FS Desroches Daily'!AN13</f>
        <v>159.99999999999659</v>
      </c>
      <c r="X11" s="35">
        <f>'FS Desroches Daily'!AP13</f>
        <v>199.99999999998863</v>
      </c>
      <c r="Y11" s="35">
        <f>'FS Desroches Daily'!AR13</f>
        <v>250</v>
      </c>
      <c r="Z11" s="35">
        <f>'FS Desroches Daily'!AT13</f>
        <v>170.00000000001592</v>
      </c>
      <c r="AA11" s="35">
        <f>'FS Desroches Daily'!AT13</f>
        <v>170.00000000001592</v>
      </c>
      <c r="AB11" s="35">
        <f>'FS Desroches Daily'!AV13</f>
        <v>79.999999999984084</v>
      </c>
      <c r="AC11" s="35">
        <f>'FS Desroches Daily'!AZ13</f>
        <v>69.999999999993179</v>
      </c>
      <c r="AD11" s="35">
        <f>'FS Desroches Daily'!BB13</f>
        <v>120.00000000000455</v>
      </c>
      <c r="AE11" s="35">
        <f>'FS Desroches Daily'!BD13</f>
        <v>30.000000000001137</v>
      </c>
      <c r="AF11" s="31">
        <f>'FS Desroches Daily'!BF13</f>
        <v>91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40.000000000020464</v>
      </c>
      <c r="AJ11" s="32">
        <f>'FS Desroches Daily'!BN13</f>
        <v>39.999999999992042</v>
      </c>
      <c r="AK11" s="32">
        <f>'FS Desroches Daily'!BP13</f>
        <v>60.000000000002274</v>
      </c>
      <c r="AL11" s="32">
        <f>'FS Desroches Daily'!BR13</f>
        <v>32</v>
      </c>
      <c r="AM11" s="32">
        <f>'FS Desroches Daily'!BT13</f>
        <v>50.000000000011369</v>
      </c>
      <c r="AN11" s="32">
        <f>'FS Desroches Daily'!BV13</f>
        <v>25</v>
      </c>
      <c r="AO11" s="32">
        <f>'FS Desroches Daily'!BX13</f>
        <v>30.000000000001137</v>
      </c>
      <c r="AP11" s="32">
        <f>'FS Desroches Daily'!BZ13</f>
        <v>42</v>
      </c>
      <c r="AQ11" s="31">
        <f>'FS Desroches Daily'!CB13</f>
        <v>64.799999999995634</v>
      </c>
      <c r="AR11" s="31">
        <f>'FS Desroches Daily'!CD13</f>
        <v>7</v>
      </c>
      <c r="AS11" s="31">
        <f>'FS Desroches Daily'!CF13</f>
        <v>5.3000000000001819</v>
      </c>
      <c r="AT11" s="31">
        <f>'FS Desroches Daily'!CH13</f>
        <v>43.30000000000291</v>
      </c>
      <c r="AU11" s="31">
        <f>'FS Desroches Daily'!CJ13</f>
        <v>282</v>
      </c>
      <c r="AV11" s="31">
        <f>'FS Desroches Daily'!CL13</f>
        <v>519.99999999998181</v>
      </c>
      <c r="AW11" s="31">
        <f>'FS Desroches Daily'!CM13</f>
        <v>81.5</v>
      </c>
      <c r="AX11" s="31">
        <f>IF(LPG!F18-LPG!F17&lt;0,"0",(LPG!F18-LPG!F17)*1.8315)</f>
        <v>14.651999999999999</v>
      </c>
      <c r="AY11" s="31">
        <f>IF(LPG!H18-LPG!H17&lt;0,"0",(LPG!H18-LPG!H17)*1.8315)</f>
        <v>5.4944999999999995</v>
      </c>
      <c r="AZ11" s="31">
        <f>IF(LPG!J18-LPG!J17&lt;0,"0",(LPG!J18-LPG!J17)*1.8315)</f>
        <v>1.8314999999999999</v>
      </c>
      <c r="BA11" s="31" t="str">
        <f>IF(LPG!M19-LPG!M17&lt;0,"0",(LPG!M19-LPG!M17)*1.8315)</f>
        <v>0</v>
      </c>
      <c r="BB11" s="31">
        <f>IF(LPG!Q18-LPG!Q17&lt;0,"0",(LPG!Q18-LPG!Q17)*1.8315)</f>
        <v>9.1574999999999989</v>
      </c>
      <c r="BC11" s="13">
        <f>'FS Desroches Daily'!CN13</f>
        <v>14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12</v>
      </c>
      <c r="D12" s="27">
        <v>2021</v>
      </c>
      <c r="E12" s="31">
        <f>'FS Desroches Daily'!D14</f>
        <v>2299.9999999999686</v>
      </c>
      <c r="F12" s="32">
        <f>'FS Desroches Daily'!F14</f>
        <v>3300.0000000003029</v>
      </c>
      <c r="G12" s="31">
        <f>'FS Desroches Daily'!H14</f>
        <v>2400.0000000001796</v>
      </c>
      <c r="H12" s="32">
        <f>'FS Desroches Daily'!J14</f>
        <v>1000.0000000001119</v>
      </c>
      <c r="I12" s="31">
        <f>'FS Desroches Daily'!L14</f>
        <v>1900.0000000000127</v>
      </c>
      <c r="J12" s="32">
        <f>'FS Desroches Daily'!N14</f>
        <v>999.99999999988984</v>
      </c>
      <c r="K12" s="13">
        <f>'FS Desroches Daily'!P14</f>
        <v>7</v>
      </c>
      <c r="L12" s="31">
        <f>'FS Desroches Daily'!R14</f>
        <v>5</v>
      </c>
      <c r="M12" s="31">
        <f>'FS Desroches Daily'!T14</f>
        <v>1.3000000000001819</v>
      </c>
      <c r="N12" s="31">
        <f>'FS Desroches Daily'!V14</f>
        <v>332.90000000002328</v>
      </c>
      <c r="O12" s="31">
        <f>'FS Desroches Daily'!X14</f>
        <v>290.00000000002046</v>
      </c>
      <c r="P12" s="31">
        <f>'FS Desroches Daily'!Z14</f>
        <v>2499.9999999999468</v>
      </c>
      <c r="Q12" s="31">
        <f>'FS Desroches Daily'!AB14</f>
        <v>359.9999999999568</v>
      </c>
      <c r="R12" s="31">
        <f>'FS Desroches Daily'!AD14</f>
        <v>230.00000000001819</v>
      </c>
      <c r="S12" s="31">
        <f>'FS Desroches Daily'!AF14</f>
        <v>309.99999999994543</v>
      </c>
      <c r="T12" s="31">
        <f>'FS Desroches Daily'!AH14</f>
        <v>37</v>
      </c>
      <c r="U12" s="35">
        <f>'FS Desroches Daily'!AJ14</f>
        <v>430.00000000006366</v>
      </c>
      <c r="V12" s="35">
        <f>'FS Desroches Daily'!AL14</f>
        <v>109.99999999998522</v>
      </c>
      <c r="W12" s="35">
        <f>'FS Desroches Daily'!AN14</f>
        <v>189.99999999999773</v>
      </c>
      <c r="X12" s="35">
        <f>'FS Desroches Daily'!AP14</f>
        <v>219.99999999999886</v>
      </c>
      <c r="Y12" s="35">
        <f>'FS Desroches Daily'!AR14</f>
        <v>239.99999999995225</v>
      </c>
      <c r="Z12" s="35">
        <f>'FS Desroches Daily'!AT14</f>
        <v>180.00000000000682</v>
      </c>
      <c r="AA12" s="35">
        <f>'FS Desroches Daily'!AT14</f>
        <v>180.00000000000682</v>
      </c>
      <c r="AB12" s="35">
        <f>'FS Desroches Daily'!AV14</f>
        <v>120.00000000000455</v>
      </c>
      <c r="AC12" s="35">
        <f>'FS Desroches Daily'!AZ14</f>
        <v>90.000000000031832</v>
      </c>
      <c r="AD12" s="35">
        <f>'FS Desroches Daily'!BB14</f>
        <v>129.99999999999545</v>
      </c>
      <c r="AE12" s="35">
        <f>'FS Desroches Daily'!BD14</f>
        <v>30.000000000001137</v>
      </c>
      <c r="AF12" s="31">
        <f>'FS Desroches Daily'!BF14</f>
        <v>46</v>
      </c>
      <c r="AG12" s="32">
        <f>'FS Desroches Daily'!BH14</f>
        <v>39.999999999992042</v>
      </c>
      <c r="AH12" s="32">
        <f>'FS Desroches Daily'!BJ14</f>
        <v>39.99999999996362</v>
      </c>
      <c r="AI12" s="32">
        <f>'FS Desroches Daily'!BL14</f>
        <v>39.999999999992042</v>
      </c>
      <c r="AJ12" s="32">
        <f>'FS Desroches Daily'!BN14</f>
        <v>50.000000000011369</v>
      </c>
      <c r="AK12" s="32">
        <f>'FS Desroches Daily'!BP14</f>
        <v>60.000000000002274</v>
      </c>
      <c r="AL12" s="32">
        <f>'FS Desroches Daily'!BR14</f>
        <v>25</v>
      </c>
      <c r="AM12" s="32">
        <f>'FS Desroches Daily'!BT14</f>
        <v>50.000000000011369</v>
      </c>
      <c r="AN12" s="32">
        <f>'FS Desroches Daily'!BV14</f>
        <v>27</v>
      </c>
      <c r="AO12" s="32">
        <f>'FS Desroches Daily'!BX14</f>
        <v>30.000000000001137</v>
      </c>
      <c r="AP12" s="32">
        <f>'FS Desroches Daily'!BZ14</f>
        <v>40</v>
      </c>
      <c r="AQ12" s="31">
        <f>'FS Desroches Daily'!CB14</f>
        <v>68.200000000004366</v>
      </c>
      <c r="AR12" s="31">
        <f>'FS Desroches Daily'!CD14</f>
        <v>9.3000000000010914</v>
      </c>
      <c r="AS12" s="31">
        <f>'FS Desroches Daily'!CF14</f>
        <v>7.5</v>
      </c>
      <c r="AT12" s="31">
        <f>'FS Desroches Daily'!CH14</f>
        <v>37.19999999999709</v>
      </c>
      <c r="AU12" s="31">
        <f>'FS Desroches Daily'!CJ14</f>
        <v>399</v>
      </c>
      <c r="AV12" s="31">
        <f>'FS Desroches Daily'!CL14</f>
        <v>500</v>
      </c>
      <c r="AW12" s="31">
        <f>'FS Desroches Daily'!CM14</f>
        <v>79.600000000002183</v>
      </c>
      <c r="AX12" s="31" t="str">
        <f>IF(LPG!F19-LPG!F18&lt;0,"0",(LPG!F19-LPG!F18)*1.8315)</f>
        <v>0</v>
      </c>
      <c r="AY12" s="31" t="str">
        <f>IF(LPG!H19-LPG!H18&lt;0,"0",(LPG!H19-LPG!H18)*1.8315)</f>
        <v>0</v>
      </c>
      <c r="AZ12" s="31" t="str">
        <f>IF(LPG!J19-LPG!J18&lt;0,"0",(LPG!J19-LPG!J18)*1.8315)</f>
        <v>0</v>
      </c>
      <c r="BA12" s="31" t="str">
        <f>IF(LPG!M19-LPG!M18&lt;0,"0",(LPG!M19-LPG!M18)*1.8315)</f>
        <v>0</v>
      </c>
      <c r="BB12" s="31" t="str">
        <f>IF(LPG!Q20-LPG!Q18&lt;0,"0",(LPG!Q20-LPG!Q18)*1.8315)</f>
        <v>0</v>
      </c>
      <c r="BC12" s="13">
        <f>'FS Desroches Daily'!CN14</f>
        <v>13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12</v>
      </c>
      <c r="D13" s="27">
        <v>2021</v>
      </c>
      <c r="E13" s="31" t="str">
        <f>'FS Desroches Daily'!D15</f>
        <v>0</v>
      </c>
      <c r="F13" s="32" t="str">
        <f>'FS Desroches Daily'!F15</f>
        <v>0</v>
      </c>
      <c r="G13" s="31" t="str">
        <f>'FS Desroches Daily'!H15</f>
        <v>0</v>
      </c>
      <c r="H13" s="32" t="str">
        <f>'FS Desroches Daily'!J15</f>
        <v>0</v>
      </c>
      <c r="I13" s="31" t="str">
        <f>'FS Desroches Daily'!L15</f>
        <v>0</v>
      </c>
      <c r="J13" s="32" t="str">
        <f>'FS Desroches Daily'!N15</f>
        <v/>
      </c>
      <c r="K13" s="13" t="str">
        <f>'FS Desroches Daily'!P15</f>
        <v/>
      </c>
      <c r="L13" s="31" t="str">
        <f>'FS Desroches Daily'!R15</f>
        <v/>
      </c>
      <c r="M13" s="31" t="str">
        <f>'FS Desroches Daily'!T15</f>
        <v/>
      </c>
      <c r="N13" s="31" t="str">
        <f>'FS Desroches Daily'!V15</f>
        <v/>
      </c>
      <c r="O13" s="31" t="str">
        <f>'FS Desroches Daily'!X15</f>
        <v/>
      </c>
      <c r="P13" s="31" t="str">
        <f>'FS Desroches Daily'!Z15</f>
        <v/>
      </c>
      <c r="Q13" s="31" t="str">
        <f>'FS Desroches Daily'!AB15</f>
        <v/>
      </c>
      <c r="R13" s="31" t="str">
        <f>'FS Desroches Daily'!AD15</f>
        <v/>
      </c>
      <c r="S13" s="31" t="str">
        <f>'FS Desroches Daily'!AF15</f>
        <v/>
      </c>
      <c r="T13" s="31" t="str">
        <f>'FS Desroches Daily'!AH15</f>
        <v/>
      </c>
      <c r="U13" s="35" t="str">
        <f>'FS Desroches Daily'!AJ15</f>
        <v/>
      </c>
      <c r="V13" s="35" t="str">
        <f>'FS Desroches Daily'!AL15</f>
        <v/>
      </c>
      <c r="W13" s="35" t="str">
        <f>'FS Desroches Daily'!AN15</f>
        <v/>
      </c>
      <c r="X13" s="35" t="str">
        <f>'FS Desroches Daily'!AP15</f>
        <v/>
      </c>
      <c r="Y13" s="35" t="str">
        <f>'FS Desroches Daily'!AR15</f>
        <v/>
      </c>
      <c r="Z13" s="35" t="str">
        <f>'FS Desroches Daily'!AT15</f>
        <v/>
      </c>
      <c r="AA13" s="35" t="str">
        <f>'FS Desroches Daily'!AT15</f>
        <v/>
      </c>
      <c r="AB13" s="35" t="str">
        <f>'FS Desroches Daily'!AV15</f>
        <v/>
      </c>
      <c r="AC13" s="35" t="str">
        <f>'FS Desroches Daily'!AZ15</f>
        <v/>
      </c>
      <c r="AD13" s="35" t="str">
        <f>'FS Desroches Daily'!BB15</f>
        <v/>
      </c>
      <c r="AE13" s="35" t="str">
        <f>'FS Desroches Daily'!BD15</f>
        <v/>
      </c>
      <c r="AF13" s="31" t="str">
        <f>'FS Desroches Daily'!BF15</f>
        <v/>
      </c>
      <c r="AG13" s="32" t="str">
        <f>'FS Desroches Daily'!BH15</f>
        <v/>
      </c>
      <c r="AH13" s="32" t="str">
        <f>'FS Desroches Daily'!BJ15</f>
        <v/>
      </c>
      <c r="AI13" s="32" t="str">
        <f>'FS Desroches Daily'!BL15</f>
        <v/>
      </c>
      <c r="AJ13" s="32" t="str">
        <f>'FS Desroches Daily'!BN15</f>
        <v/>
      </c>
      <c r="AK13" s="32" t="str">
        <f>'FS Desroches Daily'!BP15</f>
        <v/>
      </c>
      <c r="AL13" s="32" t="str">
        <f>'FS Desroches Daily'!BR15</f>
        <v/>
      </c>
      <c r="AM13" s="32" t="str">
        <f>'FS Desroches Daily'!BT15</f>
        <v/>
      </c>
      <c r="AN13" s="32" t="str">
        <f>'FS Desroches Daily'!BV15</f>
        <v/>
      </c>
      <c r="AO13" s="32" t="str">
        <f>'FS Desroches Daily'!BX15</f>
        <v/>
      </c>
      <c r="AP13" s="32" t="str">
        <f>'FS Desroches Daily'!BZ15</f>
        <v/>
      </c>
      <c r="AQ13" s="31" t="str">
        <f>'FS Desroches Daily'!CB15</f>
        <v/>
      </c>
      <c r="AR13" s="31" t="str">
        <f>'FS Desroches Daily'!CD15</f>
        <v/>
      </c>
      <c r="AS13" s="31" t="str">
        <f>'FS Desroches Daily'!CF15</f>
        <v/>
      </c>
      <c r="AT13" s="31" t="str">
        <f>'FS Desroches Daily'!CH15</f>
        <v/>
      </c>
      <c r="AU13" s="31" t="str">
        <f>'FS Desroches Daily'!CJ15</f>
        <v/>
      </c>
      <c r="AV13" s="31" t="str">
        <f>'FS Desroches Daily'!CL15</f>
        <v/>
      </c>
      <c r="AW13" s="31" t="e">
        <f>'FS Desroches Daily'!CM15</f>
        <v>#VALUE!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12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12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12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12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12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12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12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12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12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12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12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12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12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12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12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12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12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12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12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28599.99999999996</v>
      </c>
      <c r="F33" s="17">
        <f t="shared" ref="F33:BC33" si="1">SUM(F2:F32)</f>
        <v>33800.000000000269</v>
      </c>
      <c r="G33" s="17">
        <f t="shared" si="1"/>
        <v>28199.999999999996</v>
      </c>
      <c r="H33" s="17">
        <f t="shared" si="1"/>
        <v>16299.999999999978</v>
      </c>
      <c r="I33" s="17">
        <f t="shared" si="1"/>
        <v>22200.000000000226</v>
      </c>
      <c r="J33" s="17">
        <f t="shared" si="1"/>
        <v>14000.000000000011</v>
      </c>
      <c r="K33" s="17">
        <f t="shared" si="1"/>
        <v>77</v>
      </c>
      <c r="L33" s="17">
        <f t="shared" si="1"/>
        <v>58</v>
      </c>
      <c r="M33" s="17">
        <f t="shared" si="1"/>
        <v>9.8000000000001819</v>
      </c>
      <c r="N33" s="17">
        <f t="shared" si="1"/>
        <v>3835.7999999999884</v>
      </c>
      <c r="O33" s="17">
        <f t="shared" si="1"/>
        <v>2790.0000000000205</v>
      </c>
      <c r="P33" s="17">
        <f t="shared" si="1"/>
        <v>30699.999999999945</v>
      </c>
      <c r="Q33" s="17">
        <f t="shared" si="1"/>
        <v>3989.9999999999523</v>
      </c>
      <c r="R33" s="17">
        <f t="shared" si="1"/>
        <v>3050.0000000000114</v>
      </c>
      <c r="S33" s="17">
        <f t="shared" si="1"/>
        <v>5819.9999999999363</v>
      </c>
      <c r="T33" s="17">
        <f t="shared" si="1"/>
        <v>463</v>
      </c>
      <c r="U33" s="35">
        <f t="shared" si="1"/>
        <v>7310.0000000000591</v>
      </c>
      <c r="V33" s="35">
        <f t="shared" si="1"/>
        <v>2629.9999999999955</v>
      </c>
      <c r="W33" s="35">
        <f t="shared" si="1"/>
        <v>2189.9999999999977</v>
      </c>
      <c r="X33" s="35">
        <f t="shared" si="1"/>
        <v>1719.9999999999989</v>
      </c>
      <c r="Y33" s="35">
        <f t="shared" si="1"/>
        <v>2750</v>
      </c>
      <c r="Z33" s="35">
        <f t="shared" si="1"/>
        <v>2219.9999999999704</v>
      </c>
      <c r="AA33" s="35">
        <f t="shared" si="1"/>
        <v>2219.9999999999704</v>
      </c>
      <c r="AB33" s="35">
        <f t="shared" si="1"/>
        <v>1429.99999999995</v>
      </c>
      <c r="AC33" s="35">
        <f t="shared" si="1"/>
        <v>1459.9999999999795</v>
      </c>
      <c r="AD33" s="35">
        <f t="shared" si="1"/>
        <v>1649.9999999999773</v>
      </c>
      <c r="AE33" s="35">
        <f t="shared" si="1"/>
        <v>819.99999999999318</v>
      </c>
      <c r="AF33" s="17">
        <f t="shared" si="1"/>
        <v>398</v>
      </c>
      <c r="AG33" s="32">
        <f t="shared" si="1"/>
        <v>469.99999999999886</v>
      </c>
      <c r="AH33" s="32">
        <f t="shared" si="1"/>
        <v>370.00000000000455</v>
      </c>
      <c r="AI33" s="32">
        <f t="shared" si="1"/>
        <v>430.00000000000682</v>
      </c>
      <c r="AJ33" s="32">
        <f t="shared" si="1"/>
        <v>469.99999999999886</v>
      </c>
      <c r="AK33" s="32">
        <f t="shared" si="1"/>
        <v>670.00000000001592</v>
      </c>
      <c r="AL33" s="32">
        <f t="shared" si="1"/>
        <v>371</v>
      </c>
      <c r="AM33" s="32">
        <f t="shared" si="1"/>
        <v>550.00000000001137</v>
      </c>
      <c r="AN33" s="32">
        <f t="shared" si="1"/>
        <v>399</v>
      </c>
      <c r="AO33" s="32">
        <f t="shared" si="1"/>
        <v>340.00000000000341</v>
      </c>
      <c r="AP33" s="32">
        <f t="shared" si="1"/>
        <v>518</v>
      </c>
      <c r="AQ33" s="17">
        <f t="shared" si="1"/>
        <v>692.20000000000437</v>
      </c>
      <c r="AR33" s="17">
        <f t="shared" si="1"/>
        <v>111.80000000000109</v>
      </c>
      <c r="AS33" s="17">
        <f t="shared" si="1"/>
        <v>61</v>
      </c>
      <c r="AT33" s="17">
        <f t="shared" si="1"/>
        <v>390.10000000000582</v>
      </c>
      <c r="AU33" s="17">
        <f t="shared" si="1"/>
        <v>3493</v>
      </c>
      <c r="AV33" s="17">
        <f t="shared" si="1"/>
        <v>6519.9999999999818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62.270999999999994</v>
      </c>
      <c r="BC33" s="17">
        <f t="shared" si="1"/>
        <v>130</v>
      </c>
    </row>
    <row r="35" spans="5:55" x14ac:dyDescent="0.25">
      <c r="E35" s="38">
        <f>E33/E37</f>
        <v>0.25527053321194509</v>
      </c>
      <c r="G35" s="29">
        <f>G33-M36</f>
        <v>24354.400000000009</v>
      </c>
      <c r="AE35" s="35">
        <f>SUM(U33:AE33)</f>
        <v>26399.999999999891</v>
      </c>
      <c r="AG35" s="32">
        <f>SUM(AG33:AP33)</f>
        <v>4588.00000000004</v>
      </c>
    </row>
    <row r="36" spans="5:55" x14ac:dyDescent="0.25">
      <c r="G36" s="29">
        <f>G35-633*14</f>
        <v>15492.400000000009</v>
      </c>
      <c r="M36" s="29">
        <f>M33+N33</f>
        <v>3845.5999999999885</v>
      </c>
    </row>
    <row r="37" spans="5:55" x14ac:dyDescent="0.25">
      <c r="E37" s="17">
        <f>E33+F33+G33+H33+J33-633*14</f>
        <v>112038.00000000022</v>
      </c>
      <c r="G37" s="37">
        <f>M36/E37</f>
        <v>3.4324068619575335E-2</v>
      </c>
      <c r="M37" s="35">
        <f>AE35</f>
        <v>26399.999999999891</v>
      </c>
    </row>
    <row r="38" spans="5:55" x14ac:dyDescent="0.25">
      <c r="L38" s="27">
        <f>M38/E37</f>
        <v>4.0950391831343212E-2</v>
      </c>
      <c r="M38" s="29">
        <f>AG35</f>
        <v>4588.00000000004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9"/>
  <sheetViews>
    <sheetView tabSelected="1" topLeftCell="CJ1" zoomScale="90" zoomScaleNormal="90" workbookViewId="0">
      <pane ySplit="1" topLeftCell="A11" activePane="bottomLeft" state="frozen"/>
      <selection pane="bottomLeft" activeCell="CO15" sqref="CO1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44530</v>
      </c>
      <c r="B3" s="68"/>
      <c r="C3" s="58">
        <v>2.6625000000000001</v>
      </c>
      <c r="D3" s="64"/>
      <c r="E3" s="58">
        <v>3.7145999999999999</v>
      </c>
      <c r="F3" s="64"/>
      <c r="G3" s="58">
        <v>3.7359</v>
      </c>
      <c r="H3" s="64"/>
      <c r="I3" s="58">
        <v>1.8540000000000001</v>
      </c>
      <c r="J3" s="64"/>
      <c r="K3" s="58">
        <v>2.9546999999999999</v>
      </c>
      <c r="L3" s="64"/>
      <c r="M3" s="58">
        <v>1.6338999999999999</v>
      </c>
      <c r="N3" s="64"/>
      <c r="O3" s="58">
        <v>15614</v>
      </c>
      <c r="P3" s="67"/>
      <c r="Q3" s="58">
        <v>1618</v>
      </c>
      <c r="R3" s="67"/>
      <c r="S3" s="58">
        <v>1137.0999999999999</v>
      </c>
      <c r="T3" s="67"/>
      <c r="U3" s="58">
        <v>472096.4</v>
      </c>
      <c r="V3" s="67"/>
      <c r="W3" s="58">
        <v>444.17</v>
      </c>
      <c r="X3" s="65"/>
      <c r="Y3" s="58">
        <v>3.2574000000000001</v>
      </c>
      <c r="Z3" s="65"/>
      <c r="AA3" s="58">
        <v>445.6</v>
      </c>
      <c r="AB3" s="65"/>
      <c r="AC3" s="58">
        <v>425.44</v>
      </c>
      <c r="AD3" s="65"/>
      <c r="AE3" s="58">
        <v>621.83000000000004</v>
      </c>
      <c r="AF3" s="65"/>
      <c r="AG3" s="58">
        <v>10103</v>
      </c>
      <c r="AH3" s="67"/>
      <c r="AI3" s="58">
        <v>715.88</v>
      </c>
      <c r="AJ3" s="65"/>
      <c r="AK3" s="58">
        <v>238.16</v>
      </c>
      <c r="AL3" s="65"/>
      <c r="AM3" s="58">
        <v>222.52</v>
      </c>
      <c r="AN3" s="65"/>
      <c r="AO3" s="58">
        <v>216.57</v>
      </c>
      <c r="AP3" s="65"/>
      <c r="AQ3" s="58">
        <v>273.89999999999998</v>
      </c>
      <c r="AR3" s="65"/>
      <c r="AS3" s="58">
        <v>401.97</v>
      </c>
      <c r="AT3" s="65"/>
      <c r="AU3" s="58">
        <v>308.72000000000003</v>
      </c>
      <c r="AV3" s="65"/>
      <c r="AW3" s="58">
        <v>340.34</v>
      </c>
      <c r="AX3" s="65"/>
      <c r="AY3" s="58">
        <v>378.66</v>
      </c>
      <c r="AZ3" s="65"/>
      <c r="BA3" s="58">
        <v>395.23</v>
      </c>
      <c r="BB3" s="65"/>
      <c r="BC3" s="58">
        <v>253.37</v>
      </c>
      <c r="BD3" s="65"/>
      <c r="BE3" s="59">
        <v>45098</v>
      </c>
      <c r="BF3" s="67"/>
      <c r="BG3" s="60">
        <v>240.32</v>
      </c>
      <c r="BH3" s="65"/>
      <c r="BI3" s="60">
        <v>297.14999999999998</v>
      </c>
      <c r="BJ3" s="65"/>
      <c r="BK3" s="60">
        <v>243.04</v>
      </c>
      <c r="BL3" s="65"/>
      <c r="BM3" s="60">
        <v>230.22</v>
      </c>
      <c r="BN3" s="65"/>
      <c r="BO3" s="60">
        <v>294.95999999999998</v>
      </c>
      <c r="BP3" s="65"/>
      <c r="BQ3" s="60">
        <v>49923</v>
      </c>
      <c r="BR3" s="65"/>
      <c r="BS3" s="60">
        <v>206.25</v>
      </c>
      <c r="BT3" s="65"/>
      <c r="BU3" s="60">
        <v>46552</v>
      </c>
      <c r="BV3" s="65"/>
      <c r="BW3" s="60">
        <v>236.4</v>
      </c>
      <c r="BX3" s="65"/>
      <c r="BY3" s="60">
        <v>66182</v>
      </c>
      <c r="BZ3" s="67"/>
      <c r="CA3" s="60">
        <v>38737.699999999997</v>
      </c>
      <c r="CB3" s="67"/>
      <c r="CC3" s="60">
        <v>13649.4</v>
      </c>
      <c r="CD3" s="67"/>
      <c r="CE3" s="60">
        <v>7201.8</v>
      </c>
      <c r="CF3" s="67"/>
      <c r="CG3" s="60">
        <v>66531.7</v>
      </c>
      <c r="CH3" s="67"/>
      <c r="CI3" s="60">
        <v>992380</v>
      </c>
      <c r="CJ3" s="67"/>
      <c r="CK3" s="60">
        <v>864.76</v>
      </c>
      <c r="CL3" s="64"/>
      <c r="CM3" s="65"/>
      <c r="CN3" s="62">
        <v>13</v>
      </c>
      <c r="CO3" s="62">
        <v>29</v>
      </c>
      <c r="CP3" s="68">
        <v>17273.099999999999</v>
      </c>
      <c r="CQ3" s="67"/>
      <c r="CR3" s="68">
        <v>17583.599999999999</v>
      </c>
      <c r="CS3" s="67"/>
      <c r="CT3" s="75">
        <v>8223</v>
      </c>
      <c r="CU3" s="67"/>
      <c r="CV3" s="68">
        <v>19636</v>
      </c>
      <c r="CW3" s="67"/>
    </row>
    <row r="4" spans="1:101" ht="25.5" customHeight="1" thickBot="1" x14ac:dyDescent="0.45">
      <c r="A4" s="63">
        <v>44531</v>
      </c>
      <c r="B4" s="68"/>
      <c r="C4" s="58">
        <v>2.6654</v>
      </c>
      <c r="D4" s="64">
        <f t="shared" ref="D4:D33" si="0">IF((C4-C3&lt;0), "0",(C4-C3)*1000000)</f>
        <v>2899.9999999999027</v>
      </c>
      <c r="E4" s="58">
        <v>3.7176999999999998</v>
      </c>
      <c r="F4" s="64">
        <f t="shared" ref="F4:F33" si="1">IF((E4-E3&lt;0), "0",(E4-E3)*1000000)</f>
        <v>3099.9999999998809</v>
      </c>
      <c r="G4" s="58">
        <v>3.7383999999999999</v>
      </c>
      <c r="H4" s="64">
        <f t="shared" ref="H4:H33" si="2">IF((G4-G3&lt;0), "0",(G4-G3)*1000000)</f>
        <v>2499.9999999999468</v>
      </c>
      <c r="I4" s="58">
        <v>1.8554999999999999</v>
      </c>
      <c r="J4" s="64">
        <f t="shared" ref="J4:J33" si="3">IF((I4-I3&lt;0), "0",(I4-I3)*1000000)</f>
        <v>1499.9999999998347</v>
      </c>
      <c r="K4" s="58">
        <v>2.9567000000000001</v>
      </c>
      <c r="L4" s="64">
        <f t="shared" ref="L4:L33" si="4">IF((K4-K3&lt;0), "0",(K4-K3)*1000000)</f>
        <v>2000.0000000002237</v>
      </c>
      <c r="M4" s="58">
        <v>1.6355</v>
      </c>
      <c r="N4" s="64">
        <f t="shared" ref="N4:N33" si="5">IF((M4-M3&lt;0), "",(M4-M3)*1000000)</f>
        <v>1600.0000000000459</v>
      </c>
      <c r="O4" s="58">
        <v>15614</v>
      </c>
      <c r="P4" s="67">
        <f t="shared" ref="P4:P33" si="6">IF((O4-O3&lt;0), "",O4-O3)</f>
        <v>0</v>
      </c>
      <c r="Q4" s="58">
        <v>1624</v>
      </c>
      <c r="R4" s="67">
        <f t="shared" ref="R4:R33" si="7">IF((Q4-Q3&lt;0), "",Q4-Q3)</f>
        <v>6</v>
      </c>
      <c r="S4" s="58">
        <v>1138</v>
      </c>
      <c r="T4" s="67">
        <f t="shared" ref="T4:T33" si="8">IF((S4-S3&lt;0), "",S4-S3)</f>
        <v>0.90000000000009095</v>
      </c>
      <c r="U4" s="58">
        <v>472497.9</v>
      </c>
      <c r="V4" s="67">
        <f t="shared" ref="V4:V33" si="9">IF((U4-U3&lt;0), "",U4-U3)</f>
        <v>401.5</v>
      </c>
      <c r="W4" s="58">
        <v>444.42</v>
      </c>
      <c r="X4" s="65">
        <f t="shared" ref="X4:X33" si="10">IF((W4-W3&lt;0), "",(W4-W3)*1000)</f>
        <v>250</v>
      </c>
      <c r="Y4" s="58">
        <v>3.2603</v>
      </c>
      <c r="Z4" s="65">
        <f t="shared" ref="Z4:Z33" si="11">IF((Y4-Y3&lt;0), "",(Y4-Y3)*1000000)</f>
        <v>2899.9999999999027</v>
      </c>
      <c r="AA4" s="58">
        <v>446.05</v>
      </c>
      <c r="AB4" s="65">
        <f t="shared" ref="AB4:AB33" si="12">IF((AA4-AA3&lt;0), "",(AA4-AA3)*1000)</f>
        <v>449.99999999998863</v>
      </c>
      <c r="AC4" s="58">
        <v>425.81</v>
      </c>
      <c r="AD4" s="65">
        <f t="shared" ref="AD4:AD33" si="13">IF((AC4-AC3&lt;0), "",(AC4-AC3)*1000)</f>
        <v>370.00000000000455</v>
      </c>
      <c r="AE4" s="58">
        <v>622.54</v>
      </c>
      <c r="AF4" s="65">
        <f t="shared" ref="AF4:AF33" si="14">IF((AE4-AE3&lt;0), "",(AE4-AE3)*1000)</f>
        <v>709.99999999992269</v>
      </c>
      <c r="AG4" s="58">
        <v>10148</v>
      </c>
      <c r="AH4" s="67">
        <f t="shared" ref="AH4:AH33" si="15">IF((AG4-AG3&lt;0), "",AG4-AG3)</f>
        <v>45</v>
      </c>
      <c r="AI4" s="58">
        <v>716.77</v>
      </c>
      <c r="AJ4" s="65">
        <f t="shared" ref="AJ4:AJ33" si="16">IF((AI4-AI3&lt;0), "",(AI4-AI3)*1000)</f>
        <v>889.99999999998636</v>
      </c>
      <c r="AK4" s="58">
        <v>238.46</v>
      </c>
      <c r="AL4" s="65">
        <f t="shared" ref="AL4:AL33" si="17">IF((AK4-AK3&lt;0), "",(AK4-AK3)*1000)</f>
        <v>300.00000000001137</v>
      </c>
      <c r="AM4" s="58">
        <v>222.74</v>
      </c>
      <c r="AN4" s="65">
        <f t="shared" ref="AN4:AN33" si="18">IF((AM4-AM3&lt;0), "",(AM4-AM3)*1000)</f>
        <v>219.99999999999886</v>
      </c>
      <c r="AO4" s="58">
        <v>216.73</v>
      </c>
      <c r="AP4" s="65">
        <f t="shared" ref="AP4:AP33" si="19">IF((AO4-AO3&lt;0), "",(AO4-AO3)*1000)</f>
        <v>159.99999999999659</v>
      </c>
      <c r="AQ4" s="58">
        <v>274.11</v>
      </c>
      <c r="AR4" s="65">
        <f t="shared" ref="AR4:AR33" si="20">IF((AQ4-AQ3&lt;0), "",(AQ4-AQ3)*1000)</f>
        <v>210.00000000003638</v>
      </c>
      <c r="AS4" s="58">
        <v>402.24</v>
      </c>
      <c r="AT4" s="65">
        <f t="shared" ref="AT4:AT33" si="21">IF((AS4-AS3&lt;0), "",(AS4-AS3)*1000)</f>
        <v>269.99999999998181</v>
      </c>
      <c r="AU4" s="58">
        <v>308.86</v>
      </c>
      <c r="AV4" s="65">
        <f t="shared" ref="AV4:AV33" si="22">IF((AU4-AU3&lt;0), "",(AU4-AU3)*1000)</f>
        <v>139.99999999998636</v>
      </c>
      <c r="AW4" s="58">
        <v>340.56</v>
      </c>
      <c r="AX4" s="65">
        <f t="shared" ref="AX4:AX33" si="23">IF((AW4-AW3&lt;0), "",(AW4-AW3)*1000)</f>
        <v>220.00000000002728</v>
      </c>
      <c r="AY4" s="58">
        <v>378.82</v>
      </c>
      <c r="AZ4" s="65">
        <f t="shared" ref="AZ4:AZ33" si="24">IF((AY4-AY3&lt;0), "",(AY4-AY3)*1000)</f>
        <v>159.99999999996817</v>
      </c>
      <c r="BA4" s="58">
        <v>395.36</v>
      </c>
      <c r="BB4" s="65">
        <f t="shared" ref="BB4:BB33" si="25">IF((BA4-BA3&lt;0), "",(BA4-BA3)*1000)</f>
        <v>129.99999999999545</v>
      </c>
      <c r="BC4" s="58">
        <v>253.43</v>
      </c>
      <c r="BD4" s="65">
        <f t="shared" ref="BD4:BD33" si="26">IF((BC4-BC3&lt;0), "",(BC4-BC3)*1000)</f>
        <v>60.000000000002274</v>
      </c>
      <c r="BE4" s="59">
        <v>45123</v>
      </c>
      <c r="BF4" s="67">
        <f t="shared" ref="BF4:BF33" si="27">IF((BE4-BE3&lt;0), "",BE4-BE3)</f>
        <v>25</v>
      </c>
      <c r="BG4" s="60">
        <v>240.36</v>
      </c>
      <c r="BH4" s="65">
        <f t="shared" ref="BH4:BH33" si="28">IF((BG4-BG3&lt;0), "",(BG4-BG3)*1000)</f>
        <v>40.000000000020464</v>
      </c>
      <c r="BI4" s="60">
        <v>297.18</v>
      </c>
      <c r="BJ4" s="65">
        <f t="shared" ref="BJ4:BJ33" si="29">IF((BI4-BI3&lt;0), "",(BI4-BI3)*1000)</f>
        <v>30.000000000029559</v>
      </c>
      <c r="BK4" s="60">
        <v>243.09</v>
      </c>
      <c r="BL4" s="65">
        <f t="shared" ref="BL4:BL33" si="30">IF((BK4-BK3&lt;0), "",(BK4-BK3)*1000)</f>
        <v>50.000000000011369</v>
      </c>
      <c r="BM4" s="60">
        <v>230.27</v>
      </c>
      <c r="BN4" s="65">
        <f t="shared" ref="BN4:BN33" si="31">IF((BM4-BM3&lt;0), "",(BM4-BM3)*1000)</f>
        <v>50.000000000011369</v>
      </c>
      <c r="BO4" s="60">
        <v>295.02999999999997</v>
      </c>
      <c r="BP4" s="65">
        <f t="shared" ref="BP4:BP33" si="32">IF((BO4-BO3&lt;0), "",(BO4-BO3)*1000)</f>
        <v>69.999999999993179</v>
      </c>
      <c r="BQ4" s="60">
        <v>49961</v>
      </c>
      <c r="BR4" s="65">
        <f t="shared" ref="BR4:BR33" si="33">IF((BQ4-BQ3&lt;0), "",BQ4-BQ3)</f>
        <v>38</v>
      </c>
      <c r="BS4" s="60">
        <v>206.3</v>
      </c>
      <c r="BT4" s="65">
        <f t="shared" ref="BT4:BT33" si="34">IF((BS4-BS3&lt;0), "",(BS4-BS3)*1000)</f>
        <v>50.000000000011369</v>
      </c>
      <c r="BU4" s="60">
        <v>46595</v>
      </c>
      <c r="BV4" s="65">
        <f t="shared" ref="BV4:BV33" si="35">IF((BU4-BU3&lt;0), "",BU4-BU3)</f>
        <v>43</v>
      </c>
      <c r="BW4" s="60">
        <v>236.43</v>
      </c>
      <c r="BX4" s="65">
        <f t="shared" ref="BX4:BX33" si="36">IF((BW4-BW3&lt;0), "",(BW4-BW3)*1000)</f>
        <v>30.000000000001137</v>
      </c>
      <c r="BY4" s="60">
        <v>66234</v>
      </c>
      <c r="BZ4" s="67">
        <f t="shared" ref="BZ4:BZ33" si="37">IF((BY4-BY3&lt;0), "",BY4-BY3)</f>
        <v>52</v>
      </c>
      <c r="CA4" s="60">
        <v>38782.6</v>
      </c>
      <c r="CB4" s="67">
        <f t="shared" ref="CB4:CB33" si="38">IF((CA4-CA3&lt;0), "",CA4-CA3)</f>
        <v>44.900000000001455</v>
      </c>
      <c r="CC4" s="60">
        <v>13659.8</v>
      </c>
      <c r="CD4" s="67">
        <f t="shared" ref="CD4:CD33" si="39">IF((CC4-CC3&lt;0), "",CC4-CC3)</f>
        <v>10.399999999999636</v>
      </c>
      <c r="CE4" s="60">
        <v>7209.9</v>
      </c>
      <c r="CF4" s="67">
        <f t="shared" ref="CF4:CF33" si="40">IF((CE4-CE3&lt;0), "",CE4-CE3)</f>
        <v>8.0999999999994543</v>
      </c>
      <c r="CG4" s="60">
        <v>66572.100000000006</v>
      </c>
      <c r="CH4" s="67">
        <f t="shared" ref="CH4:CH33" si="41">IF((CG4-CG3&lt;0), "",CG4-CG3)</f>
        <v>40.400000000008731</v>
      </c>
      <c r="CI4" s="60">
        <v>992690</v>
      </c>
      <c r="CJ4" s="67">
        <f t="shared" ref="CJ4:CJ33" si="42">IF((CI4-CI3&lt;0), "",CI4-CI3)</f>
        <v>310</v>
      </c>
      <c r="CK4" s="60">
        <v>865.33</v>
      </c>
      <c r="CL4" s="64">
        <f t="shared" ref="CL4:CL33" si="43">IF((CK4-CK3&lt;0), "",(CK4-CK3)*1000)</f>
        <v>570.00000000005002</v>
      </c>
      <c r="CM4" s="65">
        <f t="shared" ref="CM4:CM33" si="44">CQ4+CS4</f>
        <v>61.100000000002183</v>
      </c>
      <c r="CN4" s="62">
        <v>10</v>
      </c>
      <c r="CO4" s="62">
        <v>22</v>
      </c>
      <c r="CP4" s="68">
        <v>17318</v>
      </c>
      <c r="CQ4" s="67">
        <f t="shared" ref="CQ4:CQ33" si="45">IF((CP4-CP3&lt;0), "",CP4-CP3)</f>
        <v>44.900000000001455</v>
      </c>
      <c r="CR4" s="68">
        <v>17599.8</v>
      </c>
      <c r="CS4" s="67">
        <f t="shared" ref="CS4:CS33" si="46">IF((CR4-CR3&lt;0), "",CR4-CR3)</f>
        <v>16.200000000000728</v>
      </c>
      <c r="CT4" s="75">
        <v>8231</v>
      </c>
      <c r="CU4" s="67">
        <f t="shared" ref="CU4:CU33" si="47">IF((CT4-CT3&lt;0), "",CT4-CT3)</f>
        <v>8</v>
      </c>
      <c r="CV4" s="68">
        <v>19689</v>
      </c>
      <c r="CW4" s="67">
        <f t="shared" ref="CW4:CW33" si="48">IF((CV4-CV3&lt;0), "",CV4-CV3)</f>
        <v>53</v>
      </c>
    </row>
    <row r="5" spans="1:101" ht="25.5" customHeight="1" thickBot="1" x14ac:dyDescent="0.45">
      <c r="A5" s="63">
        <v>44532</v>
      </c>
      <c r="B5" s="44"/>
      <c r="C5" s="58">
        <v>2.6684999999999999</v>
      </c>
      <c r="D5" s="64">
        <f t="shared" si="0"/>
        <v>3099.9999999998809</v>
      </c>
      <c r="E5" s="58">
        <v>3.7208999999999999</v>
      </c>
      <c r="F5" s="64">
        <f t="shared" si="1"/>
        <v>3200.0000000000919</v>
      </c>
      <c r="G5" s="58">
        <v>3.7410000000000001</v>
      </c>
      <c r="H5" s="64">
        <f t="shared" si="2"/>
        <v>2600.0000000001578</v>
      </c>
      <c r="I5" s="58">
        <v>1.8572</v>
      </c>
      <c r="J5" s="64">
        <f t="shared" si="3"/>
        <v>1700.0000000000348</v>
      </c>
      <c r="K5" s="58">
        <v>2.9588000000000001</v>
      </c>
      <c r="L5" s="64">
        <f t="shared" si="4"/>
        <v>2099.9999999999909</v>
      </c>
      <c r="M5" s="58">
        <v>1.6372</v>
      </c>
      <c r="N5" s="64">
        <f t="shared" si="5"/>
        <v>1700.0000000000348</v>
      </c>
      <c r="O5" s="58">
        <v>15626</v>
      </c>
      <c r="P5" s="67">
        <f t="shared" si="6"/>
        <v>12</v>
      </c>
      <c r="Q5" s="58">
        <v>1630</v>
      </c>
      <c r="R5" s="67">
        <f t="shared" si="7"/>
        <v>6</v>
      </c>
      <c r="S5" s="58">
        <v>1138.7</v>
      </c>
      <c r="T5" s="67">
        <f t="shared" si="8"/>
        <v>0.70000000000004547</v>
      </c>
      <c r="U5" s="58">
        <v>472790.3</v>
      </c>
      <c r="V5" s="67">
        <f t="shared" si="9"/>
        <v>292.39999999996508</v>
      </c>
      <c r="W5" s="58">
        <v>444.65</v>
      </c>
      <c r="X5" s="65">
        <f t="shared" si="10"/>
        <v>229.99999999996135</v>
      </c>
      <c r="Y5" s="58">
        <v>3.2631000000000001</v>
      </c>
      <c r="Z5" s="65">
        <f t="shared" si="11"/>
        <v>2800.0000000001355</v>
      </c>
      <c r="AA5" s="58">
        <v>446.4</v>
      </c>
      <c r="AB5" s="65">
        <f t="shared" si="12"/>
        <v>349.99999999996589</v>
      </c>
      <c r="AC5" s="58">
        <v>426.15</v>
      </c>
      <c r="AD5" s="65">
        <f t="shared" si="13"/>
        <v>339.99999999997499</v>
      </c>
      <c r="AE5" s="58">
        <v>623.32000000000005</v>
      </c>
      <c r="AF5" s="65">
        <f t="shared" si="14"/>
        <v>780.0000000000864</v>
      </c>
      <c r="AG5" s="58">
        <v>10187</v>
      </c>
      <c r="AH5" s="67">
        <f t="shared" si="15"/>
        <v>39</v>
      </c>
      <c r="AI5" s="58">
        <v>717.58</v>
      </c>
      <c r="AJ5" s="65">
        <f t="shared" si="16"/>
        <v>810.00000000005912</v>
      </c>
      <c r="AK5" s="58">
        <v>238.77</v>
      </c>
      <c r="AL5" s="65">
        <f t="shared" si="17"/>
        <v>310.00000000000227</v>
      </c>
      <c r="AM5" s="58">
        <v>223</v>
      </c>
      <c r="AN5" s="65">
        <f t="shared" si="18"/>
        <v>259.99999999999091</v>
      </c>
      <c r="AO5" s="58">
        <v>216.88</v>
      </c>
      <c r="AP5" s="65">
        <f t="shared" si="19"/>
        <v>150.00000000000568</v>
      </c>
      <c r="AQ5" s="58">
        <v>274.45</v>
      </c>
      <c r="AR5" s="65">
        <f t="shared" si="20"/>
        <v>339.99999999997499</v>
      </c>
      <c r="AS5" s="58">
        <v>402.52</v>
      </c>
      <c r="AT5" s="65">
        <f t="shared" si="21"/>
        <v>279.99999999997272</v>
      </c>
      <c r="AU5" s="58">
        <v>309.01</v>
      </c>
      <c r="AV5" s="65">
        <f t="shared" si="22"/>
        <v>149.99999999997726</v>
      </c>
      <c r="AW5" s="58">
        <v>340.75</v>
      </c>
      <c r="AX5" s="65">
        <f t="shared" si="23"/>
        <v>189.99999999999773</v>
      </c>
      <c r="AY5" s="58">
        <v>379</v>
      </c>
      <c r="AZ5" s="65">
        <f t="shared" si="24"/>
        <v>180.00000000000682</v>
      </c>
      <c r="BA5" s="58">
        <v>395.5</v>
      </c>
      <c r="BB5" s="65">
        <f t="shared" si="25"/>
        <v>139.99999999998636</v>
      </c>
      <c r="BC5" s="58">
        <v>253.48</v>
      </c>
      <c r="BD5" s="65">
        <f t="shared" si="26"/>
        <v>49.999999999982947</v>
      </c>
      <c r="BE5" s="59">
        <v>45154</v>
      </c>
      <c r="BF5" s="67">
        <f t="shared" si="27"/>
        <v>31</v>
      </c>
      <c r="BG5" s="60">
        <v>240.41</v>
      </c>
      <c r="BH5" s="65">
        <f t="shared" si="28"/>
        <v>49.999999999982947</v>
      </c>
      <c r="BI5" s="60">
        <v>297.20999999999998</v>
      </c>
      <c r="BJ5" s="65">
        <f t="shared" si="29"/>
        <v>29.999999999972715</v>
      </c>
      <c r="BK5" s="60">
        <v>243.14</v>
      </c>
      <c r="BL5" s="65">
        <f t="shared" si="30"/>
        <v>49.999999999982947</v>
      </c>
      <c r="BM5" s="60">
        <v>230.3</v>
      </c>
      <c r="BN5" s="65">
        <f t="shared" si="31"/>
        <v>30.000000000001137</v>
      </c>
      <c r="BO5" s="60">
        <v>295.08</v>
      </c>
      <c r="BP5" s="65">
        <f t="shared" si="32"/>
        <v>50.000000000011369</v>
      </c>
      <c r="BQ5" s="60">
        <v>49997</v>
      </c>
      <c r="BR5" s="65">
        <f t="shared" si="33"/>
        <v>36</v>
      </c>
      <c r="BS5" s="60">
        <v>206.34</v>
      </c>
      <c r="BT5" s="65">
        <f t="shared" si="34"/>
        <v>39.999999999992042</v>
      </c>
      <c r="BU5" s="60">
        <v>46640</v>
      </c>
      <c r="BV5" s="65">
        <f t="shared" si="35"/>
        <v>45</v>
      </c>
      <c r="BW5" s="60">
        <v>236.45</v>
      </c>
      <c r="BX5" s="65">
        <f t="shared" si="36"/>
        <v>19.99999999998181</v>
      </c>
      <c r="BY5" s="60">
        <v>66279</v>
      </c>
      <c r="BZ5" s="67">
        <f t="shared" si="37"/>
        <v>45</v>
      </c>
      <c r="CA5" s="60">
        <v>38850.800000000003</v>
      </c>
      <c r="CB5" s="67">
        <f t="shared" si="38"/>
        <v>68.200000000004366</v>
      </c>
      <c r="CC5" s="60">
        <v>13669.3</v>
      </c>
      <c r="CD5" s="67">
        <f t="shared" si="39"/>
        <v>9.5</v>
      </c>
      <c r="CE5" s="60">
        <v>7213.2</v>
      </c>
      <c r="CF5" s="67">
        <f t="shared" si="40"/>
        <v>3.3000000000001819</v>
      </c>
      <c r="CG5" s="60">
        <v>66595.100000000006</v>
      </c>
      <c r="CH5" s="67">
        <f t="shared" si="41"/>
        <v>23</v>
      </c>
      <c r="CI5" s="60">
        <v>992966</v>
      </c>
      <c r="CJ5" s="67">
        <f t="shared" si="42"/>
        <v>276</v>
      </c>
      <c r="CK5" s="60">
        <v>865.97</v>
      </c>
      <c r="CL5" s="64">
        <f t="shared" si="43"/>
        <v>639.99999999998636</v>
      </c>
      <c r="CM5" s="65">
        <f t="shared" si="44"/>
        <v>63.700000000000728</v>
      </c>
      <c r="CN5" s="62">
        <v>10</v>
      </c>
      <c r="CO5" s="62">
        <v>22</v>
      </c>
      <c r="CP5" s="68">
        <v>17372.3</v>
      </c>
      <c r="CQ5" s="67">
        <f t="shared" si="45"/>
        <v>54.299999999999272</v>
      </c>
      <c r="CR5" s="68">
        <v>17609.2</v>
      </c>
      <c r="CS5" s="67">
        <f t="shared" si="46"/>
        <v>9.4000000000014552</v>
      </c>
      <c r="CT5" s="75">
        <v>8240</v>
      </c>
      <c r="CU5" s="67">
        <f t="shared" si="47"/>
        <v>9</v>
      </c>
      <c r="CV5" s="68">
        <v>19738</v>
      </c>
      <c r="CW5" s="67">
        <f t="shared" si="48"/>
        <v>49</v>
      </c>
    </row>
    <row r="6" spans="1:101" ht="24.75" customHeight="1" thickBot="1" x14ac:dyDescent="0.45">
      <c r="A6" s="63">
        <v>44533</v>
      </c>
      <c r="B6" s="44"/>
      <c r="C6" s="58">
        <v>2.6715</v>
      </c>
      <c r="D6" s="64">
        <f t="shared" si="0"/>
        <v>3000.0000000001137</v>
      </c>
      <c r="E6" s="58">
        <v>3.7239</v>
      </c>
      <c r="F6" s="64">
        <f t="shared" si="1"/>
        <v>3000.0000000001137</v>
      </c>
      <c r="G6" s="58">
        <v>3.7435999999999998</v>
      </c>
      <c r="H6" s="64">
        <f t="shared" si="2"/>
        <v>2599.9999999997135</v>
      </c>
      <c r="I6" s="58">
        <v>1.8587</v>
      </c>
      <c r="J6" s="64">
        <f t="shared" si="3"/>
        <v>1500.0000000000568</v>
      </c>
      <c r="K6" s="58">
        <v>2.9609999999999999</v>
      </c>
      <c r="L6" s="64">
        <f t="shared" si="4"/>
        <v>2199.9999999997576</v>
      </c>
      <c r="M6" s="58">
        <v>1.6388</v>
      </c>
      <c r="N6" s="64">
        <f t="shared" si="5"/>
        <v>1600.0000000000459</v>
      </c>
      <c r="O6" s="58">
        <v>15626</v>
      </c>
      <c r="P6" s="67">
        <f t="shared" si="6"/>
        <v>0</v>
      </c>
      <c r="Q6" s="58">
        <v>1636</v>
      </c>
      <c r="R6" s="67">
        <f t="shared" si="7"/>
        <v>6</v>
      </c>
      <c r="S6" s="58">
        <v>1139.5999999999999</v>
      </c>
      <c r="T6" s="67">
        <f t="shared" si="8"/>
        <v>0.89999999999986358</v>
      </c>
      <c r="U6" s="58">
        <v>473161</v>
      </c>
      <c r="V6" s="67">
        <f t="shared" si="9"/>
        <v>370.70000000001164</v>
      </c>
      <c r="W6" s="58">
        <v>444.91</v>
      </c>
      <c r="X6" s="65">
        <f t="shared" si="10"/>
        <v>260.00000000004775</v>
      </c>
      <c r="Y6" s="58">
        <v>3.266</v>
      </c>
      <c r="Z6" s="65">
        <f t="shared" si="11"/>
        <v>2899.9999999999027</v>
      </c>
      <c r="AA6" s="58">
        <v>446.84</v>
      </c>
      <c r="AB6" s="65">
        <f t="shared" si="12"/>
        <v>439.99999999999773</v>
      </c>
      <c r="AC6" s="58">
        <v>426.48</v>
      </c>
      <c r="AD6" s="65">
        <f t="shared" si="13"/>
        <v>330.00000000004093</v>
      </c>
      <c r="AE6" s="58">
        <v>624.04999999999995</v>
      </c>
      <c r="AF6" s="65">
        <f t="shared" si="14"/>
        <v>729.9999999999045</v>
      </c>
      <c r="AG6" s="58">
        <v>10228</v>
      </c>
      <c r="AH6" s="67">
        <f t="shared" si="15"/>
        <v>41</v>
      </c>
      <c r="AI6" s="58">
        <v>718.38</v>
      </c>
      <c r="AJ6" s="65">
        <f t="shared" si="16"/>
        <v>799.99999999995453</v>
      </c>
      <c r="AK6" s="58">
        <v>239.07</v>
      </c>
      <c r="AL6" s="65">
        <f t="shared" si="17"/>
        <v>299.99999999998295</v>
      </c>
      <c r="AM6" s="58">
        <v>223.22</v>
      </c>
      <c r="AN6" s="65">
        <f t="shared" si="18"/>
        <v>219.99999999999886</v>
      </c>
      <c r="AO6" s="58">
        <v>216.99</v>
      </c>
      <c r="AP6" s="65">
        <f t="shared" si="19"/>
        <v>110.00000000001364</v>
      </c>
      <c r="AQ6" s="58">
        <v>274.73</v>
      </c>
      <c r="AR6" s="65">
        <f t="shared" si="20"/>
        <v>280.00000000002956</v>
      </c>
      <c r="AS6" s="58">
        <v>402.77</v>
      </c>
      <c r="AT6" s="65">
        <f t="shared" si="21"/>
        <v>250</v>
      </c>
      <c r="AU6" s="58">
        <v>309.16000000000003</v>
      </c>
      <c r="AV6" s="65">
        <f t="shared" si="22"/>
        <v>150.00000000003411</v>
      </c>
      <c r="AW6" s="58">
        <v>340.91</v>
      </c>
      <c r="AX6" s="65">
        <f t="shared" si="23"/>
        <v>160.00000000002501</v>
      </c>
      <c r="AY6" s="58">
        <v>379.16</v>
      </c>
      <c r="AZ6" s="65">
        <f t="shared" si="24"/>
        <v>160.00000000002501</v>
      </c>
      <c r="BA6" s="58">
        <v>395.65</v>
      </c>
      <c r="BB6" s="65">
        <f t="shared" si="25"/>
        <v>149.99999999997726</v>
      </c>
      <c r="BC6" s="58">
        <v>253.66</v>
      </c>
      <c r="BD6" s="65">
        <f t="shared" si="26"/>
        <v>180.00000000000682</v>
      </c>
      <c r="BE6" s="59">
        <v>45188</v>
      </c>
      <c r="BF6" s="67">
        <f t="shared" si="27"/>
        <v>34</v>
      </c>
      <c r="BG6" s="60">
        <v>240.45</v>
      </c>
      <c r="BH6" s="65">
        <f t="shared" si="28"/>
        <v>39.999999999992042</v>
      </c>
      <c r="BI6" s="60">
        <v>297.24</v>
      </c>
      <c r="BJ6" s="65">
        <f t="shared" si="29"/>
        <v>30.000000000029559</v>
      </c>
      <c r="BK6" s="60">
        <v>243.18</v>
      </c>
      <c r="BL6" s="65">
        <f t="shared" si="30"/>
        <v>40.000000000020464</v>
      </c>
      <c r="BM6" s="60">
        <v>230.35</v>
      </c>
      <c r="BN6" s="65">
        <f t="shared" si="31"/>
        <v>49.999999999982947</v>
      </c>
      <c r="BO6" s="60">
        <v>295.14</v>
      </c>
      <c r="BP6" s="65">
        <f t="shared" si="32"/>
        <v>60.000000000002274</v>
      </c>
      <c r="BQ6" s="60">
        <v>50037</v>
      </c>
      <c r="BR6" s="65">
        <f t="shared" si="33"/>
        <v>40</v>
      </c>
      <c r="BS6" s="60">
        <v>206.4</v>
      </c>
      <c r="BT6" s="65">
        <f t="shared" si="34"/>
        <v>60.000000000002274</v>
      </c>
      <c r="BU6" s="60">
        <v>46675</v>
      </c>
      <c r="BV6" s="65">
        <f t="shared" si="35"/>
        <v>35</v>
      </c>
      <c r="BW6" s="60">
        <v>236.48</v>
      </c>
      <c r="BX6" s="65">
        <f t="shared" si="36"/>
        <v>30.000000000001137</v>
      </c>
      <c r="BY6" s="60">
        <v>66327</v>
      </c>
      <c r="BZ6" s="67">
        <f t="shared" si="37"/>
        <v>48</v>
      </c>
      <c r="CA6" s="60">
        <v>38917.300000000003</v>
      </c>
      <c r="CB6" s="67">
        <f t="shared" si="38"/>
        <v>66.5</v>
      </c>
      <c r="CC6" s="60">
        <v>13679.9</v>
      </c>
      <c r="CD6" s="67">
        <f t="shared" si="39"/>
        <v>10.600000000000364</v>
      </c>
      <c r="CE6" s="60">
        <v>7219.2</v>
      </c>
      <c r="CF6" s="67">
        <f t="shared" si="40"/>
        <v>6</v>
      </c>
      <c r="CG6" s="60">
        <v>66632.899999999994</v>
      </c>
      <c r="CH6" s="67">
        <f t="shared" si="41"/>
        <v>37.799999999988358</v>
      </c>
      <c r="CI6" s="60">
        <v>993257</v>
      </c>
      <c r="CJ6" s="67">
        <f t="shared" si="42"/>
        <v>291</v>
      </c>
      <c r="CK6" s="60">
        <v>866.51</v>
      </c>
      <c r="CL6" s="64">
        <f t="shared" si="43"/>
        <v>539.99999999996362</v>
      </c>
      <c r="CM6" s="65">
        <f t="shared" si="44"/>
        <v>53.799999999999272</v>
      </c>
      <c r="CN6" s="62">
        <v>10</v>
      </c>
      <c r="CO6" s="62">
        <v>25</v>
      </c>
      <c r="CP6" s="68">
        <v>17423.3</v>
      </c>
      <c r="CQ6" s="67">
        <f t="shared" si="45"/>
        <v>51</v>
      </c>
      <c r="CR6" s="68">
        <v>17612</v>
      </c>
      <c r="CS6" s="67">
        <f t="shared" si="46"/>
        <v>2.7999999999992724</v>
      </c>
      <c r="CT6" s="75">
        <v>8249</v>
      </c>
      <c r="CU6" s="67">
        <f t="shared" si="47"/>
        <v>9</v>
      </c>
      <c r="CV6" s="68">
        <v>19786</v>
      </c>
      <c r="CW6" s="67">
        <f t="shared" si="48"/>
        <v>48</v>
      </c>
    </row>
    <row r="7" spans="1:101" ht="25.5" customHeight="1" thickBot="1" x14ac:dyDescent="0.45">
      <c r="A7" s="63">
        <v>44534</v>
      </c>
      <c r="B7" s="44"/>
      <c r="C7" s="58">
        <v>2.6745000000000001</v>
      </c>
      <c r="D7" s="64">
        <f t="shared" si="0"/>
        <v>3000.0000000001137</v>
      </c>
      <c r="E7" s="58">
        <v>3.7269999999999999</v>
      </c>
      <c r="F7" s="64">
        <f t="shared" si="1"/>
        <v>3099.9999999998809</v>
      </c>
      <c r="G7" s="58">
        <v>3.7462</v>
      </c>
      <c r="H7" s="64">
        <f t="shared" si="2"/>
        <v>2600.0000000001578</v>
      </c>
      <c r="I7" s="58">
        <v>1.8604000000000001</v>
      </c>
      <c r="J7" s="64">
        <f t="shared" si="3"/>
        <v>1700.0000000000348</v>
      </c>
      <c r="K7" s="58">
        <v>2.9630000000000001</v>
      </c>
      <c r="L7" s="64">
        <f t="shared" si="4"/>
        <v>2000.0000000002237</v>
      </c>
      <c r="M7" s="58">
        <v>1.6402000000000001</v>
      </c>
      <c r="N7" s="64">
        <f t="shared" si="5"/>
        <v>1400.0000000000678</v>
      </c>
      <c r="O7" s="58">
        <v>15639</v>
      </c>
      <c r="P7" s="67">
        <f t="shared" si="6"/>
        <v>13</v>
      </c>
      <c r="Q7" s="58">
        <v>1643</v>
      </c>
      <c r="R7" s="67">
        <f t="shared" si="7"/>
        <v>7</v>
      </c>
      <c r="S7" s="58">
        <v>1140.9000000000001</v>
      </c>
      <c r="T7" s="67">
        <f t="shared" si="8"/>
        <v>1.3000000000001819</v>
      </c>
      <c r="U7" s="58">
        <v>473695.4</v>
      </c>
      <c r="V7" s="67">
        <f t="shared" si="9"/>
        <v>534.40000000002328</v>
      </c>
      <c r="W7" s="58">
        <v>445.24</v>
      </c>
      <c r="X7" s="65">
        <f t="shared" si="10"/>
        <v>329.99999999998408</v>
      </c>
      <c r="Y7" s="58">
        <v>3.2696999999999998</v>
      </c>
      <c r="Z7" s="65">
        <f t="shared" si="11"/>
        <v>3699.9999999998145</v>
      </c>
      <c r="AA7" s="58">
        <v>447.16</v>
      </c>
      <c r="AB7" s="65">
        <f t="shared" si="12"/>
        <v>320.00000000005002</v>
      </c>
      <c r="AC7" s="58">
        <v>426.88</v>
      </c>
      <c r="AD7" s="65">
        <f t="shared" si="13"/>
        <v>399.99999999997726</v>
      </c>
      <c r="AE7" s="58">
        <v>624.87</v>
      </c>
      <c r="AF7" s="65">
        <f t="shared" si="14"/>
        <v>820.00000000005002</v>
      </c>
      <c r="AG7" s="58">
        <v>10255</v>
      </c>
      <c r="AH7" s="67">
        <f t="shared" si="15"/>
        <v>27</v>
      </c>
      <c r="AI7" s="58">
        <v>719.27</v>
      </c>
      <c r="AJ7" s="65">
        <f t="shared" si="16"/>
        <v>889.99999999998636</v>
      </c>
      <c r="AK7" s="58">
        <v>239.5</v>
      </c>
      <c r="AL7" s="65">
        <f t="shared" si="17"/>
        <v>430.00000000000682</v>
      </c>
      <c r="AM7" s="58">
        <v>223.54</v>
      </c>
      <c r="AN7" s="65">
        <f t="shared" si="18"/>
        <v>319.99999999999318</v>
      </c>
      <c r="AO7" s="58">
        <v>217.19</v>
      </c>
      <c r="AP7" s="65">
        <f t="shared" si="19"/>
        <v>199.99999999998863</v>
      </c>
      <c r="AQ7" s="58">
        <v>275.08999999999997</v>
      </c>
      <c r="AR7" s="65">
        <f t="shared" si="20"/>
        <v>359.9999999999568</v>
      </c>
      <c r="AS7" s="58">
        <v>403.03</v>
      </c>
      <c r="AT7" s="65">
        <f t="shared" si="21"/>
        <v>259.99999999999091</v>
      </c>
      <c r="AU7" s="58">
        <v>309.3</v>
      </c>
      <c r="AV7" s="65">
        <f t="shared" si="22"/>
        <v>139.99999999998636</v>
      </c>
      <c r="AW7" s="58">
        <v>341.13</v>
      </c>
      <c r="AX7" s="65">
        <f t="shared" si="23"/>
        <v>219.99999999997044</v>
      </c>
      <c r="AY7" s="58">
        <v>379.38</v>
      </c>
      <c r="AZ7" s="65">
        <f t="shared" si="24"/>
        <v>219.99999999997044</v>
      </c>
      <c r="BA7" s="58">
        <v>395.89</v>
      </c>
      <c r="BB7" s="65">
        <f t="shared" si="25"/>
        <v>240.00000000000909</v>
      </c>
      <c r="BC7" s="58">
        <v>253.8</v>
      </c>
      <c r="BD7" s="65">
        <f t="shared" si="26"/>
        <v>140.00000000001478</v>
      </c>
      <c r="BE7" s="59">
        <v>45232</v>
      </c>
      <c r="BF7" s="67">
        <f t="shared" si="27"/>
        <v>44</v>
      </c>
      <c r="BG7" s="60">
        <v>240.51</v>
      </c>
      <c r="BH7" s="65">
        <f t="shared" si="28"/>
        <v>60.000000000002274</v>
      </c>
      <c r="BI7" s="60">
        <v>297.27999999999997</v>
      </c>
      <c r="BJ7" s="65">
        <f t="shared" si="29"/>
        <v>39.99999999996362</v>
      </c>
      <c r="BK7" s="60">
        <v>243.22</v>
      </c>
      <c r="BL7" s="65">
        <f t="shared" si="30"/>
        <v>39.999999999992042</v>
      </c>
      <c r="BM7" s="60">
        <v>230.4</v>
      </c>
      <c r="BN7" s="65">
        <f t="shared" si="31"/>
        <v>50.000000000011369</v>
      </c>
      <c r="BO7" s="60">
        <v>295.22000000000003</v>
      </c>
      <c r="BP7" s="65">
        <f t="shared" si="32"/>
        <v>80.000000000040927</v>
      </c>
      <c r="BQ7" s="60">
        <v>50081</v>
      </c>
      <c r="BR7" s="65">
        <f t="shared" si="33"/>
        <v>44</v>
      </c>
      <c r="BS7" s="60">
        <v>206.46</v>
      </c>
      <c r="BT7" s="65">
        <f t="shared" si="34"/>
        <v>60.000000000002274</v>
      </c>
      <c r="BU7" s="60">
        <v>46727</v>
      </c>
      <c r="BV7" s="65">
        <f t="shared" si="35"/>
        <v>52</v>
      </c>
      <c r="BW7" s="60">
        <v>236.54</v>
      </c>
      <c r="BX7" s="65">
        <f t="shared" si="36"/>
        <v>60.000000000002274</v>
      </c>
      <c r="BY7" s="60">
        <v>66384</v>
      </c>
      <c r="BZ7" s="67">
        <f t="shared" si="37"/>
        <v>57</v>
      </c>
      <c r="CA7" s="60">
        <v>39001.9</v>
      </c>
      <c r="CB7" s="67">
        <f t="shared" si="38"/>
        <v>84.599999999998545</v>
      </c>
      <c r="CC7" s="60">
        <v>13708.1</v>
      </c>
      <c r="CD7" s="67">
        <f t="shared" si="39"/>
        <v>28.200000000000728</v>
      </c>
      <c r="CE7" s="60">
        <v>7223.2</v>
      </c>
      <c r="CF7" s="67">
        <f t="shared" si="40"/>
        <v>4</v>
      </c>
      <c r="CG7" s="60">
        <v>66684</v>
      </c>
      <c r="CH7" s="67">
        <f t="shared" si="41"/>
        <v>51.100000000005821</v>
      </c>
      <c r="CI7" s="60">
        <v>993594</v>
      </c>
      <c r="CJ7" s="67">
        <f t="shared" si="42"/>
        <v>337</v>
      </c>
      <c r="CK7" s="60">
        <v>867.08</v>
      </c>
      <c r="CL7" s="64">
        <f t="shared" si="43"/>
        <v>570.00000000005002</v>
      </c>
      <c r="CM7" s="65">
        <f t="shared" si="44"/>
        <v>92.799999999999272</v>
      </c>
      <c r="CN7" s="62">
        <v>10</v>
      </c>
      <c r="CO7" s="62">
        <v>25</v>
      </c>
      <c r="CP7" s="68">
        <v>17469.099999999999</v>
      </c>
      <c r="CQ7" s="67">
        <f t="shared" si="45"/>
        <v>45.799999999999272</v>
      </c>
      <c r="CR7" s="68">
        <v>17659</v>
      </c>
      <c r="CS7" s="67">
        <f t="shared" si="46"/>
        <v>47</v>
      </c>
      <c r="CT7" s="75">
        <v>8260</v>
      </c>
      <c r="CU7" s="67">
        <f t="shared" si="47"/>
        <v>11</v>
      </c>
      <c r="CV7" s="68">
        <v>19819</v>
      </c>
      <c r="CW7" s="67">
        <f t="shared" si="48"/>
        <v>33</v>
      </c>
    </row>
    <row r="8" spans="1:101" ht="25.5" customHeight="1" thickBot="1" x14ac:dyDescent="0.45">
      <c r="A8" s="63">
        <v>44535</v>
      </c>
      <c r="B8" s="44"/>
      <c r="C8" s="58">
        <v>2.6772</v>
      </c>
      <c r="D8" s="64">
        <f t="shared" si="0"/>
        <v>2699.9999999999245</v>
      </c>
      <c r="E8" s="58">
        <v>3.73</v>
      </c>
      <c r="F8" s="64">
        <f t="shared" si="1"/>
        <v>3000.0000000001137</v>
      </c>
      <c r="G8" s="58">
        <v>3.7488000000000001</v>
      </c>
      <c r="H8" s="64">
        <f t="shared" si="2"/>
        <v>2600.0000000001578</v>
      </c>
      <c r="I8" s="58">
        <v>1.8620000000000001</v>
      </c>
      <c r="J8" s="64">
        <f t="shared" si="3"/>
        <v>1600.0000000000459</v>
      </c>
      <c r="K8" s="58">
        <v>2.9649999999999999</v>
      </c>
      <c r="L8" s="64">
        <f t="shared" si="4"/>
        <v>1999.9999999997797</v>
      </c>
      <c r="M8" s="58">
        <v>1.6416999999999999</v>
      </c>
      <c r="N8" s="64">
        <f t="shared" si="5"/>
        <v>1499.9999999998347</v>
      </c>
      <c r="O8" s="58">
        <v>15644</v>
      </c>
      <c r="P8" s="67">
        <f t="shared" si="6"/>
        <v>5</v>
      </c>
      <c r="Q8" s="58">
        <v>1648</v>
      </c>
      <c r="R8" s="67">
        <f t="shared" si="7"/>
        <v>5</v>
      </c>
      <c r="S8" s="58">
        <v>1141.5</v>
      </c>
      <c r="T8" s="67">
        <f t="shared" si="8"/>
        <v>0.59999999999990905</v>
      </c>
      <c r="U8" s="58">
        <v>473935</v>
      </c>
      <c r="V8" s="67">
        <f t="shared" si="9"/>
        <v>239.59999999997672</v>
      </c>
      <c r="W8" s="58">
        <v>445.43</v>
      </c>
      <c r="X8" s="65">
        <f t="shared" si="10"/>
        <v>189.99999999999773</v>
      </c>
      <c r="Y8" s="58">
        <v>3.2717000000000001</v>
      </c>
      <c r="Z8" s="65">
        <f t="shared" si="11"/>
        <v>2000.0000000002237</v>
      </c>
      <c r="AA8" s="58">
        <v>447.51</v>
      </c>
      <c r="AB8" s="65">
        <f t="shared" si="12"/>
        <v>349.99999999996589</v>
      </c>
      <c r="AC8" s="58">
        <v>427.18</v>
      </c>
      <c r="AD8" s="65">
        <f t="shared" si="13"/>
        <v>300.00000000001137</v>
      </c>
      <c r="AE8" s="58">
        <v>625.41</v>
      </c>
      <c r="AF8" s="65">
        <f t="shared" si="14"/>
        <v>539.99999999996362</v>
      </c>
      <c r="AG8" s="58">
        <v>10317</v>
      </c>
      <c r="AH8" s="67">
        <f t="shared" si="15"/>
        <v>62</v>
      </c>
      <c r="AI8" s="58">
        <v>719.77</v>
      </c>
      <c r="AJ8" s="65">
        <f t="shared" si="16"/>
        <v>500</v>
      </c>
      <c r="AK8" s="58">
        <v>239.71</v>
      </c>
      <c r="AL8" s="65">
        <f t="shared" si="17"/>
        <v>210.00000000000796</v>
      </c>
      <c r="AM8" s="58">
        <v>223.69</v>
      </c>
      <c r="AN8" s="65">
        <f t="shared" si="18"/>
        <v>150.00000000000568</v>
      </c>
      <c r="AO8" s="58">
        <v>217.29</v>
      </c>
      <c r="AP8" s="65">
        <f t="shared" si="19"/>
        <v>99.999999999994316</v>
      </c>
      <c r="AQ8" s="58">
        <v>275.25</v>
      </c>
      <c r="AR8" s="65">
        <f t="shared" si="20"/>
        <v>160.00000000002501</v>
      </c>
      <c r="AS8" s="58">
        <v>403.16</v>
      </c>
      <c r="AT8" s="65">
        <f t="shared" si="21"/>
        <v>130.0000000000523</v>
      </c>
      <c r="AU8" s="58">
        <v>309.44</v>
      </c>
      <c r="AV8" s="65">
        <f t="shared" si="22"/>
        <v>139.99999999998636</v>
      </c>
      <c r="AW8" s="58">
        <v>341.23</v>
      </c>
      <c r="AX8" s="65">
        <f t="shared" si="23"/>
        <v>100.00000000002274</v>
      </c>
      <c r="AY8" s="58">
        <v>379.49</v>
      </c>
      <c r="AZ8" s="65">
        <f t="shared" si="24"/>
        <v>110.00000000001364</v>
      </c>
      <c r="BA8" s="58">
        <v>396.03</v>
      </c>
      <c r="BB8" s="65">
        <f t="shared" si="25"/>
        <v>139.99999999998636</v>
      </c>
      <c r="BC8" s="58">
        <v>253.85</v>
      </c>
      <c r="BD8" s="65">
        <f t="shared" si="26"/>
        <v>49.999999999982947</v>
      </c>
      <c r="BE8" s="59">
        <v>45243</v>
      </c>
      <c r="BF8" s="67">
        <f t="shared" si="27"/>
        <v>11</v>
      </c>
      <c r="BG8" s="60">
        <v>240.54</v>
      </c>
      <c r="BH8" s="65">
        <f t="shared" si="28"/>
        <v>30.000000000001137</v>
      </c>
      <c r="BI8" s="60">
        <v>297.31</v>
      </c>
      <c r="BJ8" s="65">
        <f t="shared" si="29"/>
        <v>30.000000000029559</v>
      </c>
      <c r="BK8" s="60">
        <v>243.25</v>
      </c>
      <c r="BL8" s="65">
        <f t="shared" si="30"/>
        <v>30.000000000001137</v>
      </c>
      <c r="BM8" s="60">
        <v>230.45</v>
      </c>
      <c r="BN8" s="65">
        <f t="shared" si="31"/>
        <v>49.999999999982947</v>
      </c>
      <c r="BO8" s="60">
        <v>295.27</v>
      </c>
      <c r="BP8" s="65">
        <f t="shared" si="32"/>
        <v>49.999999999954525</v>
      </c>
      <c r="BQ8" s="60">
        <v>50114</v>
      </c>
      <c r="BR8" s="65">
        <f t="shared" si="33"/>
        <v>33</v>
      </c>
      <c r="BS8" s="60">
        <v>206.51</v>
      </c>
      <c r="BT8" s="65">
        <f t="shared" si="34"/>
        <v>49.999999999982947</v>
      </c>
      <c r="BU8" s="60">
        <v>46766</v>
      </c>
      <c r="BV8" s="65">
        <f t="shared" si="35"/>
        <v>39</v>
      </c>
      <c r="BW8" s="60">
        <v>236.57</v>
      </c>
      <c r="BX8" s="65">
        <f t="shared" si="36"/>
        <v>30.000000000001137</v>
      </c>
      <c r="BY8" s="60">
        <v>66428</v>
      </c>
      <c r="BZ8" s="67">
        <f t="shared" si="37"/>
        <v>44</v>
      </c>
      <c r="CA8" s="60">
        <v>39047.5</v>
      </c>
      <c r="CB8" s="67">
        <f t="shared" si="38"/>
        <v>45.599999999998545</v>
      </c>
      <c r="CC8" s="60">
        <v>13713.2</v>
      </c>
      <c r="CD8" s="67">
        <f t="shared" si="39"/>
        <v>5.1000000000003638</v>
      </c>
      <c r="CE8" s="60">
        <v>7233.2</v>
      </c>
      <c r="CF8" s="67">
        <f t="shared" si="40"/>
        <v>10</v>
      </c>
      <c r="CG8" s="60">
        <v>66709</v>
      </c>
      <c r="CH8" s="67">
        <f t="shared" si="41"/>
        <v>25</v>
      </c>
      <c r="CI8" s="60">
        <v>993839</v>
      </c>
      <c r="CJ8" s="67">
        <f t="shared" si="42"/>
        <v>245</v>
      </c>
      <c r="CK8" s="60">
        <v>867.67</v>
      </c>
      <c r="CL8" s="64">
        <f t="shared" si="43"/>
        <v>589.99999999991815</v>
      </c>
      <c r="CM8" s="65">
        <f t="shared" si="44"/>
        <v>52</v>
      </c>
      <c r="CN8" s="62">
        <v>10</v>
      </c>
      <c r="CO8" s="62">
        <v>25</v>
      </c>
      <c r="CP8" s="68">
        <v>17518.099999999999</v>
      </c>
      <c r="CQ8" s="67">
        <f t="shared" si="45"/>
        <v>49</v>
      </c>
      <c r="CR8" s="68">
        <v>17662</v>
      </c>
      <c r="CS8" s="67">
        <f t="shared" si="46"/>
        <v>3</v>
      </c>
      <c r="CT8" s="75">
        <v>8266</v>
      </c>
      <c r="CU8" s="67">
        <f t="shared" si="47"/>
        <v>6</v>
      </c>
      <c r="CV8" s="68">
        <v>19841</v>
      </c>
      <c r="CW8" s="67">
        <f t="shared" si="48"/>
        <v>22</v>
      </c>
    </row>
    <row r="9" spans="1:101" ht="25.5" customHeight="1" thickBot="1" x14ac:dyDescent="0.45">
      <c r="A9" s="63">
        <v>44536</v>
      </c>
      <c r="B9" s="44"/>
      <c r="C9" s="58">
        <v>2.6802000000000001</v>
      </c>
      <c r="D9" s="64">
        <f t="shared" si="0"/>
        <v>3000.0000000001137</v>
      </c>
      <c r="E9" s="58">
        <v>3.7330000000000001</v>
      </c>
      <c r="F9" s="64">
        <f t="shared" si="1"/>
        <v>3000.0000000001137</v>
      </c>
      <c r="G9" s="58">
        <v>3.7513999999999998</v>
      </c>
      <c r="H9" s="64">
        <f t="shared" si="2"/>
        <v>2599.9999999997135</v>
      </c>
      <c r="I9" s="58">
        <v>1.8635999999999999</v>
      </c>
      <c r="J9" s="64">
        <f t="shared" si="3"/>
        <v>1599.9999999998238</v>
      </c>
      <c r="K9" s="58">
        <v>2.9670999999999998</v>
      </c>
      <c r="L9" s="64">
        <f t="shared" si="4"/>
        <v>2099.9999999999909</v>
      </c>
      <c r="M9" s="58">
        <v>1.6429</v>
      </c>
      <c r="N9" s="64">
        <f t="shared" si="5"/>
        <v>1200.0000000000898</v>
      </c>
      <c r="O9" s="58">
        <v>15656</v>
      </c>
      <c r="P9" s="67">
        <f t="shared" si="6"/>
        <v>12</v>
      </c>
      <c r="Q9" s="58">
        <v>1654</v>
      </c>
      <c r="R9" s="67">
        <f t="shared" si="7"/>
        <v>6</v>
      </c>
      <c r="S9" s="58">
        <v>1142.3</v>
      </c>
      <c r="T9" s="67">
        <f t="shared" si="8"/>
        <v>0.79999999999995453</v>
      </c>
      <c r="U9" s="58">
        <v>474261.1</v>
      </c>
      <c r="V9" s="67">
        <f t="shared" si="9"/>
        <v>326.09999999997672</v>
      </c>
      <c r="W9" s="58">
        <v>445.67</v>
      </c>
      <c r="X9" s="65">
        <f t="shared" si="10"/>
        <v>240.00000000000909</v>
      </c>
      <c r="Y9" s="58">
        <v>3.2744</v>
      </c>
      <c r="Z9" s="65">
        <f t="shared" si="11"/>
        <v>2699.9999999999245</v>
      </c>
      <c r="AA9" s="58">
        <v>447.97</v>
      </c>
      <c r="AB9" s="65">
        <f t="shared" si="12"/>
        <v>460.00000000003638</v>
      </c>
      <c r="AC9" s="58">
        <v>427.42</v>
      </c>
      <c r="AD9" s="65">
        <f t="shared" si="13"/>
        <v>240.00000000000909</v>
      </c>
      <c r="AE9" s="58">
        <v>625.83000000000004</v>
      </c>
      <c r="AF9" s="65">
        <f t="shared" si="14"/>
        <v>420.00000000007276</v>
      </c>
      <c r="AG9" s="58">
        <v>10363</v>
      </c>
      <c r="AH9" s="67">
        <f t="shared" si="15"/>
        <v>46</v>
      </c>
      <c r="AI9" s="58">
        <v>720.48</v>
      </c>
      <c r="AJ9" s="65">
        <f t="shared" si="16"/>
        <v>710.00000000003638</v>
      </c>
      <c r="AK9" s="58">
        <v>240</v>
      </c>
      <c r="AL9" s="65">
        <f t="shared" si="17"/>
        <v>289.99999999999204</v>
      </c>
      <c r="AM9" s="58">
        <v>223.9</v>
      </c>
      <c r="AN9" s="65">
        <f t="shared" si="18"/>
        <v>210.00000000000796</v>
      </c>
      <c r="AO9" s="58">
        <v>217.44</v>
      </c>
      <c r="AP9" s="65">
        <f t="shared" si="19"/>
        <v>150.00000000000568</v>
      </c>
      <c r="AQ9" s="58">
        <v>275.52999999999997</v>
      </c>
      <c r="AR9" s="65">
        <f t="shared" si="20"/>
        <v>279.99999999997272</v>
      </c>
      <c r="AS9" s="58">
        <v>403.35</v>
      </c>
      <c r="AT9" s="65">
        <f t="shared" si="21"/>
        <v>189.99999999999773</v>
      </c>
      <c r="AU9" s="58">
        <v>309.63</v>
      </c>
      <c r="AV9" s="65">
        <f t="shared" si="22"/>
        <v>189.99999999999773</v>
      </c>
      <c r="AW9" s="58">
        <v>341.41</v>
      </c>
      <c r="AX9" s="65">
        <f t="shared" si="23"/>
        <v>180.00000000000682</v>
      </c>
      <c r="AY9" s="58">
        <v>379.67</v>
      </c>
      <c r="AZ9" s="65">
        <f t="shared" si="24"/>
        <v>180.00000000000682</v>
      </c>
      <c r="BA9" s="58">
        <v>396.22</v>
      </c>
      <c r="BB9" s="65">
        <f t="shared" si="25"/>
        <v>190.00000000005457</v>
      </c>
      <c r="BC9" s="58">
        <v>253.95</v>
      </c>
      <c r="BD9" s="65">
        <f t="shared" si="26"/>
        <v>99.999999999994316</v>
      </c>
      <c r="BE9" s="59">
        <v>45275</v>
      </c>
      <c r="BF9" s="67">
        <f t="shared" si="27"/>
        <v>32</v>
      </c>
      <c r="BG9" s="60">
        <v>240.59</v>
      </c>
      <c r="BH9" s="65">
        <f t="shared" si="28"/>
        <v>50.000000000011369</v>
      </c>
      <c r="BI9" s="60">
        <v>297.35000000000002</v>
      </c>
      <c r="BJ9" s="65">
        <f t="shared" si="29"/>
        <v>40.000000000020464</v>
      </c>
      <c r="BK9" s="60">
        <v>243.29</v>
      </c>
      <c r="BL9" s="65">
        <f t="shared" si="30"/>
        <v>39.999999999992042</v>
      </c>
      <c r="BM9" s="60">
        <v>230.49</v>
      </c>
      <c r="BN9" s="65">
        <f t="shared" si="31"/>
        <v>40.000000000020464</v>
      </c>
      <c r="BO9" s="60">
        <v>295.33999999999997</v>
      </c>
      <c r="BP9" s="65">
        <f t="shared" si="32"/>
        <v>69.999999999993179</v>
      </c>
      <c r="BQ9" s="60">
        <v>50153</v>
      </c>
      <c r="BR9" s="65">
        <f t="shared" si="33"/>
        <v>39</v>
      </c>
      <c r="BS9" s="60">
        <v>206.56</v>
      </c>
      <c r="BT9" s="65">
        <f t="shared" si="34"/>
        <v>50.000000000011369</v>
      </c>
      <c r="BU9" s="60">
        <v>46806</v>
      </c>
      <c r="BV9" s="65">
        <f t="shared" si="35"/>
        <v>40</v>
      </c>
      <c r="BW9" s="60">
        <v>236.6</v>
      </c>
      <c r="BX9" s="65">
        <f t="shared" si="36"/>
        <v>30.000000000001137</v>
      </c>
      <c r="BY9" s="60">
        <v>66482</v>
      </c>
      <c r="BZ9" s="67">
        <f t="shared" si="37"/>
        <v>54</v>
      </c>
      <c r="CA9" s="60">
        <v>39088.800000000003</v>
      </c>
      <c r="CB9" s="67">
        <f t="shared" si="38"/>
        <v>41.30000000000291</v>
      </c>
      <c r="CC9" s="60">
        <v>13720.6</v>
      </c>
      <c r="CD9" s="67">
        <f t="shared" si="39"/>
        <v>7.3999999999996362</v>
      </c>
      <c r="CE9" s="60">
        <v>7240.2</v>
      </c>
      <c r="CF9" s="67">
        <f t="shared" si="40"/>
        <v>7</v>
      </c>
      <c r="CG9" s="60">
        <v>66739.899999999994</v>
      </c>
      <c r="CH9" s="67">
        <f t="shared" si="41"/>
        <v>30.899999999994179</v>
      </c>
      <c r="CI9" s="60">
        <v>994197</v>
      </c>
      <c r="CJ9" s="67">
        <f t="shared" si="42"/>
        <v>358</v>
      </c>
      <c r="CK9" s="60">
        <v>868.28</v>
      </c>
      <c r="CL9" s="64">
        <f t="shared" si="43"/>
        <v>610.00000000001364</v>
      </c>
      <c r="CM9" s="65">
        <f t="shared" si="44"/>
        <v>95.400000000001455</v>
      </c>
      <c r="CN9" s="62">
        <v>12</v>
      </c>
      <c r="CO9" s="62">
        <v>25</v>
      </c>
      <c r="CP9" s="68">
        <v>17576.5</v>
      </c>
      <c r="CQ9" s="67">
        <f t="shared" si="45"/>
        <v>58.400000000001455</v>
      </c>
      <c r="CR9" s="68">
        <v>17699</v>
      </c>
      <c r="CS9" s="67">
        <f t="shared" si="46"/>
        <v>37</v>
      </c>
      <c r="CT9" s="75">
        <v>8274</v>
      </c>
      <c r="CU9" s="67">
        <f t="shared" si="47"/>
        <v>8</v>
      </c>
      <c r="CV9" s="68">
        <v>19890</v>
      </c>
      <c r="CW9" s="67">
        <f t="shared" si="48"/>
        <v>49</v>
      </c>
    </row>
    <row r="10" spans="1:101" ht="25.5" customHeight="1" thickBot="1" x14ac:dyDescent="0.45">
      <c r="A10" s="63">
        <v>44537</v>
      </c>
      <c r="B10" s="44"/>
      <c r="C10" s="58">
        <v>2.6829999999999998</v>
      </c>
      <c r="D10" s="64">
        <f t="shared" si="0"/>
        <v>2799.9999999996917</v>
      </c>
      <c r="E10" s="58">
        <v>3.7362000000000002</v>
      </c>
      <c r="F10" s="64">
        <f t="shared" si="1"/>
        <v>3200.0000000000919</v>
      </c>
      <c r="G10" s="58">
        <v>3.7542</v>
      </c>
      <c r="H10" s="64">
        <f t="shared" si="2"/>
        <v>2800.0000000001355</v>
      </c>
      <c r="I10" s="58">
        <v>1.8653</v>
      </c>
      <c r="J10" s="64">
        <f t="shared" si="3"/>
        <v>1700.0000000000348</v>
      </c>
      <c r="K10" s="58">
        <v>2.9691999999999998</v>
      </c>
      <c r="L10" s="64">
        <f t="shared" si="4"/>
        <v>2099.9999999999909</v>
      </c>
      <c r="M10" s="58">
        <v>1.6438999999999999</v>
      </c>
      <c r="N10" s="64">
        <f t="shared" si="5"/>
        <v>999.99999999988984</v>
      </c>
      <c r="O10" s="58">
        <v>15666</v>
      </c>
      <c r="P10" s="67">
        <f t="shared" si="6"/>
        <v>10</v>
      </c>
      <c r="Q10" s="58">
        <v>1660</v>
      </c>
      <c r="R10" s="67">
        <f t="shared" si="7"/>
        <v>6</v>
      </c>
      <c r="S10" s="58">
        <v>1143.3</v>
      </c>
      <c r="T10" s="67">
        <f t="shared" si="8"/>
        <v>1</v>
      </c>
      <c r="U10" s="58">
        <v>474674.8</v>
      </c>
      <c r="V10" s="67">
        <f t="shared" si="9"/>
        <v>413.70000000001164</v>
      </c>
      <c r="W10" s="58">
        <v>445.92</v>
      </c>
      <c r="X10" s="65">
        <f t="shared" si="10"/>
        <v>250</v>
      </c>
      <c r="Y10" s="58">
        <v>3.2774000000000001</v>
      </c>
      <c r="Z10" s="65">
        <f t="shared" si="11"/>
        <v>3000.0000000001137</v>
      </c>
      <c r="AA10" s="58">
        <v>448.25</v>
      </c>
      <c r="AB10" s="65">
        <f t="shared" si="12"/>
        <v>279.99999999997272</v>
      </c>
      <c r="AC10" s="58">
        <v>427.64</v>
      </c>
      <c r="AD10" s="65">
        <f t="shared" si="13"/>
        <v>219.99999999997044</v>
      </c>
      <c r="AE10" s="58">
        <v>626.21</v>
      </c>
      <c r="AF10" s="65">
        <f t="shared" si="14"/>
        <v>379.99999999999545</v>
      </c>
      <c r="AG10" s="58">
        <v>10409</v>
      </c>
      <c r="AH10" s="67">
        <f t="shared" si="15"/>
        <v>46</v>
      </c>
      <c r="AI10" s="58">
        <v>721.22</v>
      </c>
      <c r="AJ10" s="65">
        <f t="shared" si="16"/>
        <v>740.00000000000909</v>
      </c>
      <c r="AK10" s="58">
        <v>240.27</v>
      </c>
      <c r="AL10" s="65">
        <f t="shared" si="17"/>
        <v>270.00000000001023</v>
      </c>
      <c r="AM10" s="58">
        <v>224.1</v>
      </c>
      <c r="AN10" s="65">
        <f t="shared" si="18"/>
        <v>199.99999999998863</v>
      </c>
      <c r="AO10" s="58">
        <v>217.6</v>
      </c>
      <c r="AP10" s="65">
        <f t="shared" si="19"/>
        <v>159.99999999999659</v>
      </c>
      <c r="AQ10" s="58">
        <v>275.76</v>
      </c>
      <c r="AR10" s="65">
        <f t="shared" si="20"/>
        <v>230.00000000001819</v>
      </c>
      <c r="AS10" s="58">
        <v>403.54</v>
      </c>
      <c r="AT10" s="65">
        <f t="shared" si="21"/>
        <v>189.99999999999773</v>
      </c>
      <c r="AU10" s="58">
        <v>309.8</v>
      </c>
      <c r="AV10" s="65">
        <f t="shared" si="22"/>
        <v>170.00000000001592</v>
      </c>
      <c r="AW10" s="58">
        <v>341.53</v>
      </c>
      <c r="AX10" s="65">
        <f t="shared" si="23"/>
        <v>119.9999999999477</v>
      </c>
      <c r="AY10" s="58">
        <v>379.81</v>
      </c>
      <c r="AZ10" s="65">
        <f t="shared" si="24"/>
        <v>139.99999999998636</v>
      </c>
      <c r="BA10" s="58">
        <v>396.4</v>
      </c>
      <c r="BB10" s="65">
        <f t="shared" si="25"/>
        <v>179.99999999994998</v>
      </c>
      <c r="BC10" s="58">
        <v>254.06</v>
      </c>
      <c r="BD10" s="65">
        <f t="shared" si="26"/>
        <v>110.00000000001364</v>
      </c>
      <c r="BE10" s="59">
        <v>45299</v>
      </c>
      <c r="BF10" s="67">
        <f t="shared" si="27"/>
        <v>24</v>
      </c>
      <c r="BG10" s="60">
        <v>240.63</v>
      </c>
      <c r="BH10" s="65">
        <f t="shared" si="28"/>
        <v>39.999999999992042</v>
      </c>
      <c r="BI10" s="60">
        <v>297.39</v>
      </c>
      <c r="BJ10" s="65">
        <f t="shared" si="29"/>
        <v>39.99999999996362</v>
      </c>
      <c r="BK10" s="60">
        <v>243.33</v>
      </c>
      <c r="BL10" s="65">
        <f t="shared" si="30"/>
        <v>40.000000000020464</v>
      </c>
      <c r="BM10" s="60">
        <v>230.54</v>
      </c>
      <c r="BN10" s="65">
        <f t="shared" si="31"/>
        <v>49.999999999982947</v>
      </c>
      <c r="BO10" s="60">
        <v>295.39</v>
      </c>
      <c r="BP10" s="65">
        <f t="shared" si="32"/>
        <v>50.000000000011369</v>
      </c>
      <c r="BQ10" s="60">
        <v>50188</v>
      </c>
      <c r="BR10" s="65">
        <f t="shared" si="33"/>
        <v>35</v>
      </c>
      <c r="BS10" s="60">
        <v>206.62</v>
      </c>
      <c r="BT10" s="65">
        <f t="shared" si="34"/>
        <v>60.000000000002274</v>
      </c>
      <c r="BU10" s="60">
        <v>46848</v>
      </c>
      <c r="BV10" s="65">
        <f t="shared" si="35"/>
        <v>42</v>
      </c>
      <c r="BW10" s="60">
        <v>236.64</v>
      </c>
      <c r="BX10" s="65">
        <f t="shared" si="36"/>
        <v>39.999999999992042</v>
      </c>
      <c r="BY10" s="60">
        <v>66533</v>
      </c>
      <c r="BZ10" s="67">
        <f t="shared" si="37"/>
        <v>51</v>
      </c>
      <c r="CA10" s="60">
        <v>39159.1</v>
      </c>
      <c r="CB10" s="67">
        <f t="shared" si="38"/>
        <v>70.299999999995634</v>
      </c>
      <c r="CC10" s="60">
        <v>13728.9</v>
      </c>
      <c r="CD10" s="67">
        <f t="shared" si="39"/>
        <v>8.2999999999992724</v>
      </c>
      <c r="CE10" s="60">
        <v>7242.7</v>
      </c>
      <c r="CF10" s="67">
        <f t="shared" si="40"/>
        <v>2.5</v>
      </c>
      <c r="CG10" s="60">
        <v>66775.199999999997</v>
      </c>
      <c r="CH10" s="67">
        <f t="shared" si="41"/>
        <v>35.30000000000291</v>
      </c>
      <c r="CI10" s="60">
        <v>994603</v>
      </c>
      <c r="CJ10" s="67">
        <f t="shared" si="42"/>
        <v>406</v>
      </c>
      <c r="CK10" s="60">
        <v>868.92</v>
      </c>
      <c r="CL10" s="64">
        <f t="shared" si="43"/>
        <v>639.99999999998636</v>
      </c>
      <c r="CM10" s="65">
        <f t="shared" si="44"/>
        <v>82.5</v>
      </c>
      <c r="CN10" s="62">
        <v>12</v>
      </c>
      <c r="CO10" s="62">
        <v>25</v>
      </c>
      <c r="CP10" s="68">
        <v>17638</v>
      </c>
      <c r="CQ10" s="67">
        <f t="shared" si="45"/>
        <v>61.5</v>
      </c>
      <c r="CR10" s="68">
        <v>17720</v>
      </c>
      <c r="CS10" s="67">
        <f t="shared" si="46"/>
        <v>21</v>
      </c>
      <c r="CT10" s="75">
        <v>8282</v>
      </c>
      <c r="CU10" s="67">
        <f t="shared" si="47"/>
        <v>8</v>
      </c>
      <c r="CV10" s="68">
        <v>19943</v>
      </c>
      <c r="CW10" s="67">
        <f t="shared" si="48"/>
        <v>53</v>
      </c>
    </row>
    <row r="11" spans="1:101" ht="25.5" customHeight="1" thickBot="1" x14ac:dyDescent="0.45">
      <c r="A11" s="63">
        <v>44538</v>
      </c>
      <c r="B11" s="44"/>
      <c r="C11" s="58">
        <v>2.6848999999999998</v>
      </c>
      <c r="D11" s="64">
        <f t="shared" si="0"/>
        <v>1900.0000000000127</v>
      </c>
      <c r="E11" s="58">
        <v>3.7391000000000001</v>
      </c>
      <c r="F11" s="64">
        <f t="shared" si="1"/>
        <v>2899.9999999999027</v>
      </c>
      <c r="G11" s="58">
        <v>3.7568000000000001</v>
      </c>
      <c r="H11" s="64">
        <f t="shared" si="2"/>
        <v>2600.0000000001578</v>
      </c>
      <c r="I11" s="58">
        <v>1.8666</v>
      </c>
      <c r="J11" s="64">
        <f t="shared" si="3"/>
        <v>1300.0000000000789</v>
      </c>
      <c r="K11" s="58">
        <v>2.9710999999999999</v>
      </c>
      <c r="L11" s="64">
        <f t="shared" si="4"/>
        <v>1900.0000000000127</v>
      </c>
      <c r="M11" s="58">
        <v>1.6449</v>
      </c>
      <c r="N11" s="64">
        <f t="shared" si="5"/>
        <v>1000.0000000001119</v>
      </c>
      <c r="O11" s="58">
        <v>15666</v>
      </c>
      <c r="P11" s="67">
        <f t="shared" si="6"/>
        <v>0</v>
      </c>
      <c r="Q11" s="58">
        <v>1663</v>
      </c>
      <c r="R11" s="67">
        <f t="shared" si="7"/>
        <v>3</v>
      </c>
      <c r="S11" s="58">
        <v>1144</v>
      </c>
      <c r="T11" s="67">
        <f t="shared" si="8"/>
        <v>0.70000000000004547</v>
      </c>
      <c r="U11" s="58">
        <v>474993.9</v>
      </c>
      <c r="V11" s="67">
        <f t="shared" si="9"/>
        <v>319.10000000003492</v>
      </c>
      <c r="W11" s="58">
        <v>446.16</v>
      </c>
      <c r="X11" s="65">
        <f t="shared" si="10"/>
        <v>240.00000000000909</v>
      </c>
      <c r="Y11" s="58">
        <v>3.2801</v>
      </c>
      <c r="Z11" s="65">
        <f t="shared" si="11"/>
        <v>2699.9999999999245</v>
      </c>
      <c r="AA11" s="58">
        <v>448.62</v>
      </c>
      <c r="AB11" s="65">
        <f t="shared" si="12"/>
        <v>370.00000000000455</v>
      </c>
      <c r="AC11" s="58">
        <v>427.83</v>
      </c>
      <c r="AD11" s="65">
        <f t="shared" si="13"/>
        <v>189.99999999999773</v>
      </c>
      <c r="AE11" s="58">
        <v>626.58000000000004</v>
      </c>
      <c r="AF11" s="65">
        <f t="shared" si="14"/>
        <v>370.00000000000455</v>
      </c>
      <c r="AG11" s="58">
        <v>10446</v>
      </c>
      <c r="AH11" s="67">
        <f t="shared" si="15"/>
        <v>37</v>
      </c>
      <c r="AI11" s="58">
        <v>721.68</v>
      </c>
      <c r="AJ11" s="65">
        <f t="shared" si="16"/>
        <v>459.99999999992269</v>
      </c>
      <c r="AK11" s="58">
        <v>240.45</v>
      </c>
      <c r="AL11" s="65">
        <f t="shared" si="17"/>
        <v>179.9999999999784</v>
      </c>
      <c r="AM11" s="58">
        <v>224.22</v>
      </c>
      <c r="AN11" s="65">
        <f t="shared" si="18"/>
        <v>120.00000000000455</v>
      </c>
      <c r="AO11" s="58">
        <v>217.71</v>
      </c>
      <c r="AP11" s="65">
        <f t="shared" si="19"/>
        <v>110.00000000001364</v>
      </c>
      <c r="AQ11" s="58">
        <v>275.95</v>
      </c>
      <c r="AR11" s="65">
        <f t="shared" si="20"/>
        <v>189.99999999999773</v>
      </c>
      <c r="AS11" s="58">
        <v>403.71</v>
      </c>
      <c r="AT11" s="65">
        <f t="shared" si="21"/>
        <v>169.99999999995907</v>
      </c>
      <c r="AU11" s="58">
        <v>309.91000000000003</v>
      </c>
      <c r="AV11" s="65">
        <f t="shared" si="22"/>
        <v>110.00000000001364</v>
      </c>
      <c r="AW11" s="58">
        <v>341.6</v>
      </c>
      <c r="AX11" s="65">
        <f t="shared" si="23"/>
        <v>70.000000000050022</v>
      </c>
      <c r="AY11" s="58">
        <v>379.9</v>
      </c>
      <c r="AZ11" s="65">
        <f t="shared" si="24"/>
        <v>89.999999999974989</v>
      </c>
      <c r="BA11" s="58">
        <v>396.52</v>
      </c>
      <c r="BB11" s="65">
        <f t="shared" si="25"/>
        <v>120.00000000000455</v>
      </c>
      <c r="BC11" s="58">
        <v>254.09</v>
      </c>
      <c r="BD11" s="65">
        <f t="shared" si="26"/>
        <v>30.000000000001137</v>
      </c>
      <c r="BE11" s="59">
        <v>45330</v>
      </c>
      <c r="BF11" s="67">
        <f t="shared" si="27"/>
        <v>31</v>
      </c>
      <c r="BG11" s="60">
        <v>240.67</v>
      </c>
      <c r="BH11" s="65">
        <f t="shared" si="28"/>
        <v>39.999999999992042</v>
      </c>
      <c r="BI11" s="60">
        <v>297.42</v>
      </c>
      <c r="BJ11" s="65">
        <f t="shared" si="29"/>
        <v>30.000000000029559</v>
      </c>
      <c r="BK11" s="60">
        <v>243.37</v>
      </c>
      <c r="BL11" s="65">
        <f t="shared" si="30"/>
        <v>39.999999999992042</v>
      </c>
      <c r="BM11" s="60">
        <v>230.57</v>
      </c>
      <c r="BN11" s="65">
        <f t="shared" si="31"/>
        <v>30.000000000001137</v>
      </c>
      <c r="BO11" s="60">
        <v>295.45</v>
      </c>
      <c r="BP11" s="65">
        <f t="shared" si="32"/>
        <v>60.000000000002274</v>
      </c>
      <c r="BQ11" s="60">
        <v>50212</v>
      </c>
      <c r="BR11" s="65">
        <f t="shared" si="33"/>
        <v>24</v>
      </c>
      <c r="BS11" s="60">
        <v>206.66</v>
      </c>
      <c r="BT11" s="65">
        <f t="shared" si="34"/>
        <v>39.999999999992042</v>
      </c>
      <c r="BU11" s="60">
        <v>46875</v>
      </c>
      <c r="BV11" s="65">
        <f t="shared" si="35"/>
        <v>27</v>
      </c>
      <c r="BW11" s="60">
        <v>236.66</v>
      </c>
      <c r="BX11" s="65">
        <f t="shared" si="36"/>
        <v>20.000000000010232</v>
      </c>
      <c r="BY11" s="60">
        <v>66577</v>
      </c>
      <c r="BZ11" s="67">
        <f t="shared" si="37"/>
        <v>44</v>
      </c>
      <c r="CA11" s="60">
        <v>39228.400000000001</v>
      </c>
      <c r="CB11" s="67">
        <f t="shared" si="38"/>
        <v>69.30000000000291</v>
      </c>
      <c r="CC11" s="60">
        <v>13737.4</v>
      </c>
      <c r="CD11" s="67">
        <f t="shared" si="39"/>
        <v>8.5</v>
      </c>
      <c r="CE11" s="60">
        <v>7243</v>
      </c>
      <c r="CF11" s="67">
        <f t="shared" si="40"/>
        <v>0.3000000000001819</v>
      </c>
      <c r="CG11" s="60">
        <v>66808.600000000006</v>
      </c>
      <c r="CH11" s="67">
        <f t="shared" si="41"/>
        <v>33.400000000008731</v>
      </c>
      <c r="CI11" s="60">
        <v>994915</v>
      </c>
      <c r="CJ11" s="67">
        <f t="shared" si="42"/>
        <v>312</v>
      </c>
      <c r="CK11" s="60">
        <v>869.68</v>
      </c>
      <c r="CL11" s="64">
        <f t="shared" si="43"/>
        <v>759.99999999999091</v>
      </c>
      <c r="CM11" s="65">
        <f t="shared" si="44"/>
        <v>68.400000000001455</v>
      </c>
      <c r="CN11" s="62">
        <v>15</v>
      </c>
      <c r="CO11" s="62">
        <v>27</v>
      </c>
      <c r="CP11" s="68">
        <v>17685.400000000001</v>
      </c>
      <c r="CQ11" s="67">
        <f t="shared" si="45"/>
        <v>47.400000000001455</v>
      </c>
      <c r="CR11" s="68">
        <v>17741</v>
      </c>
      <c r="CS11" s="67">
        <f t="shared" si="46"/>
        <v>21</v>
      </c>
      <c r="CT11" s="75">
        <v>8296</v>
      </c>
      <c r="CU11" s="67">
        <f t="shared" si="47"/>
        <v>14</v>
      </c>
      <c r="CV11" s="68">
        <v>19974</v>
      </c>
      <c r="CW11" s="67">
        <f t="shared" si="48"/>
        <v>31</v>
      </c>
    </row>
    <row r="12" spans="1:101" ht="25.5" customHeight="1" thickBot="1" x14ac:dyDescent="0.45">
      <c r="A12" s="63">
        <v>44539</v>
      </c>
      <c r="B12" s="44"/>
      <c r="C12" s="58">
        <v>2.6865999999999999</v>
      </c>
      <c r="D12" s="64">
        <f t="shared" si="0"/>
        <v>1700.0000000000348</v>
      </c>
      <c r="E12" s="58">
        <v>3.742</v>
      </c>
      <c r="F12" s="64">
        <f t="shared" si="1"/>
        <v>2899.9999999999027</v>
      </c>
      <c r="G12" s="58">
        <v>3.7591999999999999</v>
      </c>
      <c r="H12" s="64">
        <f t="shared" si="2"/>
        <v>2399.9999999997358</v>
      </c>
      <c r="I12" s="58">
        <v>1.8678999999999999</v>
      </c>
      <c r="J12" s="64">
        <f t="shared" si="3"/>
        <v>1299.9999999998568</v>
      </c>
      <c r="K12" s="58">
        <v>2.9729999999999999</v>
      </c>
      <c r="L12" s="64">
        <f t="shared" si="4"/>
        <v>1900.0000000000127</v>
      </c>
      <c r="M12" s="58">
        <v>1.6456999999999999</v>
      </c>
      <c r="N12" s="64">
        <f t="shared" si="5"/>
        <v>799.99999999991189</v>
      </c>
      <c r="O12" s="58">
        <v>15670</v>
      </c>
      <c r="P12" s="67">
        <f t="shared" si="6"/>
        <v>4</v>
      </c>
      <c r="Q12" s="58">
        <v>1666</v>
      </c>
      <c r="R12" s="67">
        <f t="shared" si="7"/>
        <v>3</v>
      </c>
      <c r="S12" s="58">
        <v>1144.8</v>
      </c>
      <c r="T12" s="67">
        <f t="shared" si="8"/>
        <v>0.79999999999995453</v>
      </c>
      <c r="U12" s="58">
        <v>475300.9</v>
      </c>
      <c r="V12" s="67">
        <f t="shared" si="9"/>
        <v>307</v>
      </c>
      <c r="W12" s="58">
        <v>446.43</v>
      </c>
      <c r="X12" s="65">
        <f t="shared" si="10"/>
        <v>269.99999999998181</v>
      </c>
      <c r="Y12" s="58">
        <v>3.2827000000000002</v>
      </c>
      <c r="Z12" s="65">
        <f t="shared" si="11"/>
        <v>2600.0000000001578</v>
      </c>
      <c r="AA12" s="58">
        <v>448.82</v>
      </c>
      <c r="AB12" s="65">
        <f t="shared" si="12"/>
        <v>199.99999999998863</v>
      </c>
      <c r="AC12" s="58">
        <v>428.03</v>
      </c>
      <c r="AD12" s="65">
        <f t="shared" si="13"/>
        <v>199.99999999998863</v>
      </c>
      <c r="AE12" s="58">
        <v>626.9</v>
      </c>
      <c r="AF12" s="65">
        <f t="shared" si="14"/>
        <v>319.99999999993634</v>
      </c>
      <c r="AG12" s="58">
        <v>10486</v>
      </c>
      <c r="AH12" s="67">
        <f t="shared" si="15"/>
        <v>40</v>
      </c>
      <c r="AI12" s="58">
        <v>722.13</v>
      </c>
      <c r="AJ12" s="65">
        <f t="shared" si="16"/>
        <v>450.00000000004547</v>
      </c>
      <c r="AK12" s="58">
        <v>240.56</v>
      </c>
      <c r="AL12" s="65">
        <f t="shared" si="17"/>
        <v>110.00000000001364</v>
      </c>
      <c r="AM12" s="58">
        <v>224.36</v>
      </c>
      <c r="AN12" s="65">
        <f t="shared" si="18"/>
        <v>140.00000000001478</v>
      </c>
      <c r="AO12" s="58">
        <v>217.87</v>
      </c>
      <c r="AP12" s="65">
        <f t="shared" si="19"/>
        <v>159.99999999999659</v>
      </c>
      <c r="AQ12" s="58">
        <v>276.16000000000003</v>
      </c>
      <c r="AR12" s="65">
        <f t="shared" si="20"/>
        <v>210.00000000003638</v>
      </c>
      <c r="AS12" s="58">
        <v>403.84</v>
      </c>
      <c r="AT12" s="65">
        <f t="shared" si="21"/>
        <v>129.99999999999545</v>
      </c>
      <c r="AU12" s="58">
        <v>309.95</v>
      </c>
      <c r="AV12" s="65">
        <f t="shared" si="22"/>
        <v>39.99999999996362</v>
      </c>
      <c r="AW12" s="58">
        <v>341.67</v>
      </c>
      <c r="AX12" s="65">
        <f t="shared" si="23"/>
        <v>69.999999999993179</v>
      </c>
      <c r="AY12" s="58">
        <v>379.96</v>
      </c>
      <c r="AZ12" s="65">
        <f t="shared" si="24"/>
        <v>60.000000000002274</v>
      </c>
      <c r="BA12" s="58">
        <v>396.63</v>
      </c>
      <c r="BB12" s="65">
        <f t="shared" si="25"/>
        <v>110.00000000001364</v>
      </c>
      <c r="BC12" s="58">
        <v>254.13</v>
      </c>
      <c r="BD12" s="65">
        <f t="shared" si="26"/>
        <v>39.999999999992042</v>
      </c>
      <c r="BE12" s="59">
        <v>45359</v>
      </c>
      <c r="BF12" s="67">
        <f t="shared" si="27"/>
        <v>29</v>
      </c>
      <c r="BG12" s="60">
        <v>240.71</v>
      </c>
      <c r="BH12" s="65">
        <f t="shared" si="28"/>
        <v>40.000000000020464</v>
      </c>
      <c r="BI12" s="60">
        <v>297.44</v>
      </c>
      <c r="BJ12" s="65">
        <f t="shared" si="29"/>
        <v>19.99999999998181</v>
      </c>
      <c r="BK12" s="60">
        <v>243.39</v>
      </c>
      <c r="BL12" s="65">
        <f t="shared" si="30"/>
        <v>19.99999999998181</v>
      </c>
      <c r="BM12" s="60">
        <v>230.6</v>
      </c>
      <c r="BN12" s="65">
        <f t="shared" si="31"/>
        <v>30.000000000001137</v>
      </c>
      <c r="BO12" s="60">
        <v>295.51</v>
      </c>
      <c r="BP12" s="65">
        <f t="shared" si="32"/>
        <v>60.000000000002274</v>
      </c>
      <c r="BQ12" s="60">
        <v>50237</v>
      </c>
      <c r="BR12" s="65">
        <f t="shared" si="33"/>
        <v>25</v>
      </c>
      <c r="BS12" s="60">
        <v>206.7</v>
      </c>
      <c r="BT12" s="65">
        <f t="shared" si="34"/>
        <v>39.999999999992042</v>
      </c>
      <c r="BU12" s="60">
        <v>46899</v>
      </c>
      <c r="BV12" s="65">
        <f t="shared" si="35"/>
        <v>24</v>
      </c>
      <c r="BW12" s="60">
        <v>236.68</v>
      </c>
      <c r="BX12" s="65">
        <f t="shared" si="36"/>
        <v>20.000000000010232</v>
      </c>
      <c r="BY12" s="60">
        <v>66618</v>
      </c>
      <c r="BZ12" s="67">
        <f t="shared" si="37"/>
        <v>41</v>
      </c>
      <c r="CA12" s="60">
        <v>39296.9</v>
      </c>
      <c r="CB12" s="67">
        <f t="shared" si="38"/>
        <v>68.5</v>
      </c>
      <c r="CC12" s="60">
        <v>13744.9</v>
      </c>
      <c r="CD12" s="67">
        <f t="shared" si="39"/>
        <v>7.5</v>
      </c>
      <c r="CE12" s="60">
        <v>7250</v>
      </c>
      <c r="CF12" s="67">
        <f t="shared" si="40"/>
        <v>7</v>
      </c>
      <c r="CG12" s="60">
        <v>66841.3</v>
      </c>
      <c r="CH12" s="67">
        <f t="shared" si="41"/>
        <v>32.69999999999709</v>
      </c>
      <c r="CI12" s="60">
        <v>995192</v>
      </c>
      <c r="CJ12" s="67">
        <f t="shared" si="42"/>
        <v>277</v>
      </c>
      <c r="CK12" s="60">
        <v>870.26</v>
      </c>
      <c r="CL12" s="64">
        <f t="shared" si="43"/>
        <v>580.00000000004093</v>
      </c>
      <c r="CM12" s="65">
        <f t="shared" si="44"/>
        <v>79.69999999999709</v>
      </c>
      <c r="CN12" s="62">
        <v>14</v>
      </c>
      <c r="CO12" s="62">
        <v>32</v>
      </c>
      <c r="CP12" s="68">
        <v>17744.099999999999</v>
      </c>
      <c r="CQ12" s="67">
        <f t="shared" si="45"/>
        <v>58.69999999999709</v>
      </c>
      <c r="CR12" s="68">
        <v>17762</v>
      </c>
      <c r="CS12" s="67">
        <f t="shared" si="46"/>
        <v>21</v>
      </c>
      <c r="CT12" s="75">
        <v>8299</v>
      </c>
      <c r="CU12" s="67">
        <f t="shared" si="47"/>
        <v>3</v>
      </c>
      <c r="CV12" s="68">
        <v>20001</v>
      </c>
      <c r="CW12" s="67">
        <f t="shared" si="48"/>
        <v>27</v>
      </c>
    </row>
    <row r="13" spans="1:101" ht="25.5" customHeight="1" thickBot="1" x14ac:dyDescent="0.45">
      <c r="A13" s="63">
        <v>44540</v>
      </c>
      <c r="B13" s="44"/>
      <c r="C13" s="58">
        <v>2.6888000000000001</v>
      </c>
      <c r="D13" s="64">
        <f t="shared" si="0"/>
        <v>2200.0000000002019</v>
      </c>
      <c r="E13" s="58">
        <v>3.7450999999999999</v>
      </c>
      <c r="F13" s="64">
        <f t="shared" si="1"/>
        <v>3099.9999999998809</v>
      </c>
      <c r="G13" s="58">
        <v>3.7616999999999998</v>
      </c>
      <c r="H13" s="64">
        <f t="shared" si="2"/>
        <v>2499.9999999999468</v>
      </c>
      <c r="I13" s="58">
        <v>1.8693</v>
      </c>
      <c r="J13" s="64">
        <f t="shared" si="3"/>
        <v>1400.0000000000678</v>
      </c>
      <c r="K13" s="58">
        <v>2.9750000000000001</v>
      </c>
      <c r="L13" s="64">
        <f t="shared" si="4"/>
        <v>2000.0000000002237</v>
      </c>
      <c r="M13" s="58">
        <v>1.6469</v>
      </c>
      <c r="N13" s="64">
        <f t="shared" si="5"/>
        <v>1200.0000000000898</v>
      </c>
      <c r="O13" s="58">
        <v>15684</v>
      </c>
      <c r="P13" s="67">
        <f t="shared" si="6"/>
        <v>14</v>
      </c>
      <c r="Q13" s="58">
        <v>1671</v>
      </c>
      <c r="R13" s="67">
        <f t="shared" si="7"/>
        <v>5</v>
      </c>
      <c r="S13" s="58">
        <v>1145.5999999999999</v>
      </c>
      <c r="T13" s="67">
        <f t="shared" si="8"/>
        <v>0.79999999999995453</v>
      </c>
      <c r="U13" s="58">
        <v>475599.3</v>
      </c>
      <c r="V13" s="67">
        <f t="shared" si="9"/>
        <v>298.39999999996508</v>
      </c>
      <c r="W13" s="58">
        <v>446.71</v>
      </c>
      <c r="X13" s="65">
        <f t="shared" si="10"/>
        <v>279.99999999997272</v>
      </c>
      <c r="Y13" s="58">
        <v>3.2856000000000001</v>
      </c>
      <c r="Z13" s="65">
        <f t="shared" si="11"/>
        <v>2899.9999999999027</v>
      </c>
      <c r="AA13" s="58">
        <v>449.23</v>
      </c>
      <c r="AB13" s="65">
        <f t="shared" si="12"/>
        <v>410.00000000002501</v>
      </c>
      <c r="AC13" s="58">
        <v>428.26</v>
      </c>
      <c r="AD13" s="65">
        <f t="shared" si="13"/>
        <v>230.00000000001819</v>
      </c>
      <c r="AE13" s="58">
        <v>627.34</v>
      </c>
      <c r="AF13" s="65">
        <f t="shared" si="14"/>
        <v>440.00000000005457</v>
      </c>
      <c r="AG13" s="58">
        <v>10529</v>
      </c>
      <c r="AH13" s="67">
        <f t="shared" si="15"/>
        <v>43</v>
      </c>
      <c r="AI13" s="58">
        <v>722.76</v>
      </c>
      <c r="AJ13" s="65">
        <f t="shared" si="16"/>
        <v>629.99999999999545</v>
      </c>
      <c r="AK13" s="58">
        <v>240.68</v>
      </c>
      <c r="AL13" s="65">
        <f t="shared" si="17"/>
        <v>120.00000000000455</v>
      </c>
      <c r="AM13" s="58">
        <v>224.52</v>
      </c>
      <c r="AN13" s="65">
        <f t="shared" si="18"/>
        <v>159.99999999999659</v>
      </c>
      <c r="AO13" s="58">
        <v>218.07</v>
      </c>
      <c r="AP13" s="65">
        <f t="shared" si="19"/>
        <v>199.99999999998863</v>
      </c>
      <c r="AQ13" s="58">
        <v>276.41000000000003</v>
      </c>
      <c r="AR13" s="65">
        <f t="shared" si="20"/>
        <v>250</v>
      </c>
      <c r="AS13" s="58">
        <v>404.01</v>
      </c>
      <c r="AT13" s="65">
        <f t="shared" si="21"/>
        <v>170.00000000001592</v>
      </c>
      <c r="AU13" s="58">
        <v>310.02999999999997</v>
      </c>
      <c r="AV13" s="65">
        <f t="shared" si="22"/>
        <v>79.999999999984084</v>
      </c>
      <c r="AW13" s="58">
        <v>341.85</v>
      </c>
      <c r="AX13" s="65">
        <f t="shared" si="23"/>
        <v>180.00000000000682</v>
      </c>
      <c r="AY13" s="58">
        <v>380.03</v>
      </c>
      <c r="AZ13" s="65">
        <f t="shared" si="24"/>
        <v>69.999999999993179</v>
      </c>
      <c r="BA13" s="58">
        <v>396.75</v>
      </c>
      <c r="BB13" s="65">
        <f t="shared" si="25"/>
        <v>120.00000000000455</v>
      </c>
      <c r="BC13" s="58">
        <v>254.16</v>
      </c>
      <c r="BD13" s="65">
        <f t="shared" si="26"/>
        <v>30.000000000001137</v>
      </c>
      <c r="BE13" s="59">
        <v>45450</v>
      </c>
      <c r="BF13" s="67">
        <f t="shared" si="27"/>
        <v>91</v>
      </c>
      <c r="BG13" s="60">
        <v>240.75</v>
      </c>
      <c r="BH13" s="65">
        <f t="shared" si="28"/>
        <v>39.999999999992042</v>
      </c>
      <c r="BI13" s="60">
        <v>297.48</v>
      </c>
      <c r="BJ13" s="65">
        <f t="shared" si="29"/>
        <v>40.000000000020464</v>
      </c>
      <c r="BK13" s="60">
        <v>243.43</v>
      </c>
      <c r="BL13" s="65">
        <f t="shared" si="30"/>
        <v>40.000000000020464</v>
      </c>
      <c r="BM13" s="60">
        <v>230.64</v>
      </c>
      <c r="BN13" s="65">
        <f t="shared" si="31"/>
        <v>39.999999999992042</v>
      </c>
      <c r="BO13" s="60">
        <v>295.57</v>
      </c>
      <c r="BP13" s="65">
        <f t="shared" si="32"/>
        <v>60.000000000002274</v>
      </c>
      <c r="BQ13" s="60">
        <v>50269</v>
      </c>
      <c r="BR13" s="65">
        <f t="shared" si="33"/>
        <v>32</v>
      </c>
      <c r="BS13" s="60">
        <v>206.75</v>
      </c>
      <c r="BT13" s="65">
        <f t="shared" si="34"/>
        <v>50.000000000011369</v>
      </c>
      <c r="BU13" s="60">
        <v>46924</v>
      </c>
      <c r="BV13" s="65">
        <f t="shared" si="35"/>
        <v>25</v>
      </c>
      <c r="BW13" s="60">
        <v>236.71</v>
      </c>
      <c r="BX13" s="65">
        <f t="shared" si="36"/>
        <v>30.000000000001137</v>
      </c>
      <c r="BY13" s="60">
        <v>66660</v>
      </c>
      <c r="BZ13" s="67">
        <f t="shared" si="37"/>
        <v>42</v>
      </c>
      <c r="CA13" s="60">
        <v>39361.699999999997</v>
      </c>
      <c r="CB13" s="67">
        <f t="shared" si="38"/>
        <v>64.799999999995634</v>
      </c>
      <c r="CC13" s="60">
        <v>13751.9</v>
      </c>
      <c r="CD13" s="67">
        <f t="shared" si="39"/>
        <v>7</v>
      </c>
      <c r="CE13" s="60">
        <v>7255.3</v>
      </c>
      <c r="CF13" s="67">
        <f t="shared" si="40"/>
        <v>5.3000000000001819</v>
      </c>
      <c r="CG13" s="60">
        <v>66884.600000000006</v>
      </c>
      <c r="CH13" s="67">
        <f t="shared" si="41"/>
        <v>43.30000000000291</v>
      </c>
      <c r="CI13" s="60">
        <v>995474</v>
      </c>
      <c r="CJ13" s="67">
        <f t="shared" si="42"/>
        <v>282</v>
      </c>
      <c r="CK13" s="60">
        <v>870.78</v>
      </c>
      <c r="CL13" s="64">
        <f t="shared" si="43"/>
        <v>519.99999999998181</v>
      </c>
      <c r="CM13" s="65">
        <f t="shared" si="44"/>
        <v>81.5</v>
      </c>
      <c r="CN13" s="62">
        <v>14</v>
      </c>
      <c r="CO13" s="62">
        <v>32</v>
      </c>
      <c r="CP13" s="68">
        <v>17803.599999999999</v>
      </c>
      <c r="CQ13" s="67">
        <f t="shared" si="45"/>
        <v>59.5</v>
      </c>
      <c r="CR13" s="68">
        <v>17784</v>
      </c>
      <c r="CS13" s="67">
        <f t="shared" si="46"/>
        <v>22</v>
      </c>
      <c r="CT13" s="75">
        <v>8308</v>
      </c>
      <c r="CU13" s="67">
        <f t="shared" si="47"/>
        <v>9</v>
      </c>
      <c r="CV13" s="68">
        <v>20037</v>
      </c>
      <c r="CW13" s="67">
        <f t="shared" si="48"/>
        <v>36</v>
      </c>
    </row>
    <row r="14" spans="1:101" ht="25.5" customHeight="1" thickBot="1" x14ac:dyDescent="0.45">
      <c r="A14" s="63">
        <v>44541</v>
      </c>
      <c r="B14" s="44"/>
      <c r="C14" s="58">
        <v>2.6911</v>
      </c>
      <c r="D14" s="64">
        <f t="shared" si="0"/>
        <v>2299.9999999999686</v>
      </c>
      <c r="E14" s="58">
        <v>3.7484000000000002</v>
      </c>
      <c r="F14" s="64">
        <f t="shared" si="1"/>
        <v>3300.0000000003029</v>
      </c>
      <c r="G14" s="58">
        <v>3.7641</v>
      </c>
      <c r="H14" s="64">
        <f t="shared" si="2"/>
        <v>2400.0000000001796</v>
      </c>
      <c r="I14" s="58">
        <v>1.8703000000000001</v>
      </c>
      <c r="J14" s="64">
        <f t="shared" si="3"/>
        <v>1000.0000000001119</v>
      </c>
      <c r="K14" s="58">
        <v>2.9769000000000001</v>
      </c>
      <c r="L14" s="64">
        <f t="shared" si="4"/>
        <v>1900.0000000000127</v>
      </c>
      <c r="M14" s="58">
        <v>1.6478999999999999</v>
      </c>
      <c r="N14" s="64">
        <f t="shared" si="5"/>
        <v>999.99999999988984</v>
      </c>
      <c r="O14" s="58">
        <v>15691</v>
      </c>
      <c r="P14" s="67">
        <f t="shared" si="6"/>
        <v>7</v>
      </c>
      <c r="Q14" s="58">
        <v>1676</v>
      </c>
      <c r="R14" s="67">
        <f t="shared" si="7"/>
        <v>5</v>
      </c>
      <c r="S14" s="58">
        <v>1146.9000000000001</v>
      </c>
      <c r="T14" s="67">
        <f t="shared" si="8"/>
        <v>1.3000000000001819</v>
      </c>
      <c r="U14" s="58">
        <v>475932.2</v>
      </c>
      <c r="V14" s="67">
        <f t="shared" si="9"/>
        <v>332.90000000002328</v>
      </c>
      <c r="W14" s="58">
        <v>447</v>
      </c>
      <c r="X14" s="65">
        <f t="shared" si="10"/>
        <v>290.00000000002046</v>
      </c>
      <c r="Y14" s="58">
        <v>3.2881</v>
      </c>
      <c r="Z14" s="65">
        <f t="shared" si="11"/>
        <v>2499.9999999999468</v>
      </c>
      <c r="AA14" s="58">
        <v>449.59</v>
      </c>
      <c r="AB14" s="65">
        <f t="shared" si="12"/>
        <v>359.9999999999568</v>
      </c>
      <c r="AC14" s="58">
        <v>428.49</v>
      </c>
      <c r="AD14" s="65">
        <f t="shared" si="13"/>
        <v>230.00000000001819</v>
      </c>
      <c r="AE14" s="58">
        <v>627.65</v>
      </c>
      <c r="AF14" s="65">
        <f t="shared" si="14"/>
        <v>309.99999999994543</v>
      </c>
      <c r="AG14" s="58">
        <v>10566</v>
      </c>
      <c r="AH14" s="67">
        <f t="shared" si="15"/>
        <v>37</v>
      </c>
      <c r="AI14" s="58">
        <v>723.19</v>
      </c>
      <c r="AJ14" s="65">
        <f t="shared" si="16"/>
        <v>430.00000000006366</v>
      </c>
      <c r="AK14" s="58">
        <v>240.79</v>
      </c>
      <c r="AL14" s="65">
        <f t="shared" si="17"/>
        <v>109.99999999998522</v>
      </c>
      <c r="AM14" s="58">
        <v>224.71</v>
      </c>
      <c r="AN14" s="65">
        <f t="shared" si="18"/>
        <v>189.99999999999773</v>
      </c>
      <c r="AO14" s="58">
        <v>218.29</v>
      </c>
      <c r="AP14" s="65">
        <f t="shared" si="19"/>
        <v>219.99999999999886</v>
      </c>
      <c r="AQ14" s="58">
        <v>276.64999999999998</v>
      </c>
      <c r="AR14" s="65">
        <f t="shared" si="20"/>
        <v>239.99999999995225</v>
      </c>
      <c r="AS14" s="58">
        <v>404.19</v>
      </c>
      <c r="AT14" s="65">
        <f t="shared" si="21"/>
        <v>180.00000000000682</v>
      </c>
      <c r="AU14" s="58">
        <v>310.14999999999998</v>
      </c>
      <c r="AV14" s="65">
        <f t="shared" si="22"/>
        <v>120.00000000000455</v>
      </c>
      <c r="AW14" s="58">
        <v>341.99</v>
      </c>
      <c r="AX14" s="65">
        <f t="shared" si="23"/>
        <v>139.99999999998636</v>
      </c>
      <c r="AY14" s="58">
        <v>380.12</v>
      </c>
      <c r="AZ14" s="65">
        <f t="shared" si="24"/>
        <v>90.000000000031832</v>
      </c>
      <c r="BA14" s="58">
        <v>396.88</v>
      </c>
      <c r="BB14" s="65">
        <f t="shared" si="25"/>
        <v>129.99999999999545</v>
      </c>
      <c r="BC14" s="58">
        <v>254.19</v>
      </c>
      <c r="BD14" s="65">
        <f t="shared" si="26"/>
        <v>30.000000000001137</v>
      </c>
      <c r="BE14" s="59">
        <v>45496</v>
      </c>
      <c r="BF14" s="67">
        <f t="shared" si="27"/>
        <v>46</v>
      </c>
      <c r="BG14" s="60">
        <v>240.79</v>
      </c>
      <c r="BH14" s="65">
        <f t="shared" si="28"/>
        <v>39.999999999992042</v>
      </c>
      <c r="BI14" s="60">
        <v>297.52</v>
      </c>
      <c r="BJ14" s="65">
        <f t="shared" si="29"/>
        <v>39.99999999996362</v>
      </c>
      <c r="BK14" s="60">
        <v>243.47</v>
      </c>
      <c r="BL14" s="65">
        <f t="shared" si="30"/>
        <v>39.999999999992042</v>
      </c>
      <c r="BM14" s="60">
        <v>230.69</v>
      </c>
      <c r="BN14" s="65">
        <f t="shared" si="31"/>
        <v>50.000000000011369</v>
      </c>
      <c r="BO14" s="60">
        <v>295.63</v>
      </c>
      <c r="BP14" s="65">
        <f t="shared" si="32"/>
        <v>60.000000000002274</v>
      </c>
      <c r="BQ14" s="60">
        <v>50294</v>
      </c>
      <c r="BR14" s="65">
        <f t="shared" si="33"/>
        <v>25</v>
      </c>
      <c r="BS14" s="60">
        <v>206.8</v>
      </c>
      <c r="BT14" s="65">
        <f t="shared" si="34"/>
        <v>50.000000000011369</v>
      </c>
      <c r="BU14" s="60">
        <v>46951</v>
      </c>
      <c r="BV14" s="65">
        <f t="shared" si="35"/>
        <v>27</v>
      </c>
      <c r="BW14" s="60">
        <v>236.74</v>
      </c>
      <c r="BX14" s="65">
        <f t="shared" si="36"/>
        <v>30.000000000001137</v>
      </c>
      <c r="BY14" s="60">
        <v>66700</v>
      </c>
      <c r="BZ14" s="67">
        <f t="shared" si="37"/>
        <v>40</v>
      </c>
      <c r="CA14" s="60">
        <v>39429.9</v>
      </c>
      <c r="CB14" s="67">
        <f t="shared" si="38"/>
        <v>68.200000000004366</v>
      </c>
      <c r="CC14" s="60">
        <v>13761.2</v>
      </c>
      <c r="CD14" s="67">
        <f t="shared" si="39"/>
        <v>9.3000000000010914</v>
      </c>
      <c r="CE14" s="60">
        <v>7262.8</v>
      </c>
      <c r="CF14" s="67">
        <f t="shared" si="40"/>
        <v>7.5</v>
      </c>
      <c r="CG14" s="60">
        <v>66921.8</v>
      </c>
      <c r="CH14" s="67">
        <f t="shared" si="41"/>
        <v>37.19999999999709</v>
      </c>
      <c r="CI14" s="60">
        <v>995873</v>
      </c>
      <c r="CJ14" s="67">
        <f t="shared" si="42"/>
        <v>399</v>
      </c>
      <c r="CK14" s="60">
        <v>871.28</v>
      </c>
      <c r="CL14" s="64">
        <f t="shared" si="43"/>
        <v>500</v>
      </c>
      <c r="CM14" s="65">
        <f t="shared" si="44"/>
        <v>79.600000000002183</v>
      </c>
      <c r="CN14" s="62">
        <v>13</v>
      </c>
      <c r="CO14" s="62">
        <v>36</v>
      </c>
      <c r="CP14" s="68">
        <v>17855.2</v>
      </c>
      <c r="CQ14" s="67">
        <f t="shared" si="45"/>
        <v>51.600000000002183</v>
      </c>
      <c r="CR14" s="68">
        <v>17812</v>
      </c>
      <c r="CS14" s="67">
        <f t="shared" si="46"/>
        <v>28</v>
      </c>
      <c r="CT14" s="75">
        <v>8320</v>
      </c>
      <c r="CU14" s="67">
        <f t="shared" si="47"/>
        <v>12</v>
      </c>
      <c r="CV14" s="68">
        <v>20065</v>
      </c>
      <c r="CW14" s="67">
        <f t="shared" si="48"/>
        <v>28</v>
      </c>
    </row>
    <row r="15" spans="1:101" ht="25.5" customHeight="1" thickBot="1" x14ac:dyDescent="0.45">
      <c r="A15" s="63">
        <v>44542</v>
      </c>
      <c r="B15" s="44"/>
      <c r="C15" s="58"/>
      <c r="D15" s="64" t="str">
        <f t="shared" si="0"/>
        <v>0</v>
      </c>
      <c r="E15" s="58"/>
      <c r="F15" s="64" t="str">
        <f t="shared" si="1"/>
        <v>0</v>
      </c>
      <c r="G15" s="58"/>
      <c r="H15" s="64" t="str">
        <f t="shared" si="2"/>
        <v>0</v>
      </c>
      <c r="I15" s="58"/>
      <c r="J15" s="64" t="str">
        <f t="shared" si="3"/>
        <v>0</v>
      </c>
      <c r="K15" s="58"/>
      <c r="L15" s="64" t="str">
        <f t="shared" si="4"/>
        <v>0</v>
      </c>
      <c r="M15" s="58"/>
      <c r="N15" s="64" t="str">
        <f t="shared" si="5"/>
        <v/>
      </c>
      <c r="O15" s="58"/>
      <c r="P15" s="67" t="str">
        <f t="shared" si="6"/>
        <v/>
      </c>
      <c r="Q15" s="58"/>
      <c r="R15" s="67" t="str">
        <f t="shared" si="7"/>
        <v/>
      </c>
      <c r="S15" s="58"/>
      <c r="T15" s="67" t="str">
        <f t="shared" si="8"/>
        <v/>
      </c>
      <c r="U15" s="58"/>
      <c r="V15" s="67" t="str">
        <f t="shared" si="9"/>
        <v/>
      </c>
      <c r="W15" s="58"/>
      <c r="X15" s="65" t="str">
        <f t="shared" si="10"/>
        <v/>
      </c>
      <c r="Y15" s="58"/>
      <c r="Z15" s="65" t="str">
        <f t="shared" si="11"/>
        <v/>
      </c>
      <c r="AA15" s="58"/>
      <c r="AB15" s="65" t="str">
        <f t="shared" si="12"/>
        <v/>
      </c>
      <c r="AC15" s="58"/>
      <c r="AD15" s="65" t="str">
        <f t="shared" si="13"/>
        <v/>
      </c>
      <c r="AE15" s="58"/>
      <c r="AF15" s="65" t="str">
        <f t="shared" si="14"/>
        <v/>
      </c>
      <c r="AG15" s="58"/>
      <c r="AH15" s="67" t="str">
        <f t="shared" si="15"/>
        <v/>
      </c>
      <c r="AI15" s="58"/>
      <c r="AJ15" s="65" t="str">
        <f t="shared" si="16"/>
        <v/>
      </c>
      <c r="AK15" s="58"/>
      <c r="AL15" s="65" t="str">
        <f t="shared" si="17"/>
        <v/>
      </c>
      <c r="AM15" s="58"/>
      <c r="AN15" s="65" t="str">
        <f t="shared" si="18"/>
        <v/>
      </c>
      <c r="AO15" s="58"/>
      <c r="AP15" s="65" t="str">
        <f t="shared" si="19"/>
        <v/>
      </c>
      <c r="AQ15" s="58"/>
      <c r="AR15" s="65" t="str">
        <f t="shared" si="20"/>
        <v/>
      </c>
      <c r="AS15" s="58"/>
      <c r="AT15" s="65" t="str">
        <f t="shared" si="21"/>
        <v/>
      </c>
      <c r="AU15" s="58"/>
      <c r="AV15" s="65" t="str">
        <f t="shared" si="22"/>
        <v/>
      </c>
      <c r="AW15" s="58"/>
      <c r="AX15" s="65" t="str">
        <f t="shared" si="23"/>
        <v/>
      </c>
      <c r="AY15" s="58"/>
      <c r="AZ15" s="65" t="str">
        <f t="shared" si="24"/>
        <v/>
      </c>
      <c r="BA15" s="58"/>
      <c r="BB15" s="65" t="str">
        <f t="shared" si="25"/>
        <v/>
      </c>
      <c r="BC15" s="58"/>
      <c r="BD15" s="65" t="str">
        <f t="shared" si="26"/>
        <v/>
      </c>
      <c r="BE15" s="59"/>
      <c r="BF15" s="67" t="str">
        <f t="shared" si="27"/>
        <v/>
      </c>
      <c r="BG15" s="60"/>
      <c r="BH15" s="65" t="str">
        <f t="shared" si="28"/>
        <v/>
      </c>
      <c r="BI15" s="60"/>
      <c r="BJ15" s="65" t="str">
        <f t="shared" si="29"/>
        <v/>
      </c>
      <c r="BK15" s="60"/>
      <c r="BL15" s="65" t="str">
        <f t="shared" si="30"/>
        <v/>
      </c>
      <c r="BM15" s="60"/>
      <c r="BN15" s="65" t="str">
        <f t="shared" si="31"/>
        <v/>
      </c>
      <c r="BO15" s="60"/>
      <c r="BP15" s="65" t="str">
        <f t="shared" si="32"/>
        <v/>
      </c>
      <c r="BQ15" s="60"/>
      <c r="BR15" s="65" t="str">
        <f t="shared" si="33"/>
        <v/>
      </c>
      <c r="BS15" s="60"/>
      <c r="BT15" s="65" t="str">
        <f t="shared" si="34"/>
        <v/>
      </c>
      <c r="BU15" s="60"/>
      <c r="BV15" s="65" t="str">
        <f t="shared" si="35"/>
        <v/>
      </c>
      <c r="BW15" s="60"/>
      <c r="BX15" s="65" t="str">
        <f t="shared" si="36"/>
        <v/>
      </c>
      <c r="BY15" s="60"/>
      <c r="BZ15" s="67" t="str">
        <f t="shared" si="37"/>
        <v/>
      </c>
      <c r="CA15" s="60"/>
      <c r="CB15" s="67" t="str">
        <f t="shared" si="38"/>
        <v/>
      </c>
      <c r="CC15" s="60"/>
      <c r="CD15" s="67" t="str">
        <f t="shared" si="39"/>
        <v/>
      </c>
      <c r="CE15" s="60"/>
      <c r="CF15" s="67" t="str">
        <f t="shared" si="40"/>
        <v/>
      </c>
      <c r="CG15" s="60"/>
      <c r="CH15" s="67" t="str">
        <f t="shared" si="41"/>
        <v/>
      </c>
      <c r="CI15" s="60"/>
      <c r="CJ15" s="67" t="str">
        <f t="shared" si="42"/>
        <v/>
      </c>
      <c r="CK15" s="60"/>
      <c r="CL15" s="64" t="str">
        <f t="shared" si="43"/>
        <v/>
      </c>
      <c r="CM15" s="65" t="e">
        <f t="shared" si="44"/>
        <v>#VALUE!</v>
      </c>
      <c r="CN15" s="62"/>
      <c r="CO15" s="62"/>
      <c r="CP15" s="68"/>
      <c r="CQ15" s="67" t="str">
        <f t="shared" si="45"/>
        <v/>
      </c>
      <c r="CR15" s="68"/>
      <c r="CS15" s="67" t="str">
        <f t="shared" si="46"/>
        <v/>
      </c>
      <c r="CT15" s="75"/>
      <c r="CU15" s="67" t="str">
        <f t="shared" si="47"/>
        <v/>
      </c>
      <c r="CV15" s="68"/>
      <c r="CW15" s="67" t="str">
        <f t="shared" si="48"/>
        <v/>
      </c>
    </row>
    <row r="16" spans="1:101" ht="25.5" customHeight="1" thickBot="1" x14ac:dyDescent="0.45">
      <c r="A16" s="63">
        <v>44543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6"/>
        <v>0</v>
      </c>
      <c r="Q16" s="58"/>
      <c r="R16" s="67">
        <f t="shared" si="7"/>
        <v>0</v>
      </c>
      <c r="S16" s="58"/>
      <c r="T16" s="67">
        <f t="shared" si="8"/>
        <v>0</v>
      </c>
      <c r="U16" s="58"/>
      <c r="V16" s="67">
        <f t="shared" si="9"/>
        <v>0</v>
      </c>
      <c r="W16" s="58"/>
      <c r="X16" s="65">
        <f t="shared" si="10"/>
        <v>0</v>
      </c>
      <c r="Y16" s="58"/>
      <c r="Z16" s="65">
        <f t="shared" si="11"/>
        <v>0</v>
      </c>
      <c r="AA16" s="58"/>
      <c r="AB16" s="65">
        <f t="shared" si="12"/>
        <v>0</v>
      </c>
      <c r="AC16" s="58"/>
      <c r="AD16" s="65">
        <f t="shared" si="13"/>
        <v>0</v>
      </c>
      <c r="AE16" s="58"/>
      <c r="AF16" s="65">
        <f t="shared" si="14"/>
        <v>0</v>
      </c>
      <c r="AG16" s="58"/>
      <c r="AH16" s="67">
        <f t="shared" si="15"/>
        <v>0</v>
      </c>
      <c r="AI16" s="58"/>
      <c r="AJ16" s="65">
        <f t="shared" si="16"/>
        <v>0</v>
      </c>
      <c r="AK16" s="58"/>
      <c r="AL16" s="65">
        <f t="shared" si="17"/>
        <v>0</v>
      </c>
      <c r="AM16" s="58"/>
      <c r="AN16" s="65">
        <f t="shared" si="18"/>
        <v>0</v>
      </c>
      <c r="AO16" s="58"/>
      <c r="AP16" s="65">
        <f t="shared" si="19"/>
        <v>0</v>
      </c>
      <c r="AQ16" s="58"/>
      <c r="AR16" s="65">
        <f t="shared" si="20"/>
        <v>0</v>
      </c>
      <c r="AS16" s="58"/>
      <c r="AT16" s="65">
        <f t="shared" si="21"/>
        <v>0</v>
      </c>
      <c r="AU16" s="58"/>
      <c r="AV16" s="65">
        <f t="shared" si="22"/>
        <v>0</v>
      </c>
      <c r="AW16" s="58"/>
      <c r="AX16" s="65">
        <f t="shared" si="23"/>
        <v>0</v>
      </c>
      <c r="AY16" s="58"/>
      <c r="AZ16" s="65">
        <f t="shared" si="24"/>
        <v>0</v>
      </c>
      <c r="BA16" s="58"/>
      <c r="BB16" s="65">
        <f t="shared" si="25"/>
        <v>0</v>
      </c>
      <c r="BC16" s="58"/>
      <c r="BD16" s="65">
        <f t="shared" si="26"/>
        <v>0</v>
      </c>
      <c r="BE16" s="59"/>
      <c r="BF16" s="67">
        <f t="shared" si="27"/>
        <v>0</v>
      </c>
      <c r="BG16" s="60"/>
      <c r="BH16" s="65">
        <f t="shared" si="28"/>
        <v>0</v>
      </c>
      <c r="BI16" s="60"/>
      <c r="BJ16" s="65">
        <f t="shared" si="29"/>
        <v>0</v>
      </c>
      <c r="BK16" s="60"/>
      <c r="BL16" s="65">
        <f t="shared" si="30"/>
        <v>0</v>
      </c>
      <c r="BM16" s="60"/>
      <c r="BN16" s="65">
        <f t="shared" si="31"/>
        <v>0</v>
      </c>
      <c r="BO16" s="60"/>
      <c r="BP16" s="65">
        <f t="shared" si="32"/>
        <v>0</v>
      </c>
      <c r="BQ16" s="60"/>
      <c r="BR16" s="65">
        <f t="shared" si="33"/>
        <v>0</v>
      </c>
      <c r="BS16" s="60"/>
      <c r="BT16" s="65">
        <f t="shared" si="34"/>
        <v>0</v>
      </c>
      <c r="BU16" s="60"/>
      <c r="BV16" s="65">
        <f t="shared" si="35"/>
        <v>0</v>
      </c>
      <c r="BW16" s="60"/>
      <c r="BX16" s="65">
        <f t="shared" si="36"/>
        <v>0</v>
      </c>
      <c r="BY16" s="60"/>
      <c r="BZ16" s="67">
        <f t="shared" si="37"/>
        <v>0</v>
      </c>
      <c r="CA16" s="60"/>
      <c r="CB16" s="67">
        <f t="shared" si="38"/>
        <v>0</v>
      </c>
      <c r="CC16" s="60"/>
      <c r="CD16" s="67">
        <f t="shared" si="39"/>
        <v>0</v>
      </c>
      <c r="CE16" s="60"/>
      <c r="CF16" s="67">
        <f t="shared" si="40"/>
        <v>0</v>
      </c>
      <c r="CG16" s="60"/>
      <c r="CH16" s="67">
        <f t="shared" si="41"/>
        <v>0</v>
      </c>
      <c r="CI16" s="60"/>
      <c r="CJ16" s="67">
        <f t="shared" si="42"/>
        <v>0</v>
      </c>
      <c r="CK16" s="60"/>
      <c r="CL16" s="64">
        <f t="shared" si="43"/>
        <v>0</v>
      </c>
      <c r="CM16" s="65">
        <f t="shared" si="44"/>
        <v>0</v>
      </c>
      <c r="CN16" s="62"/>
      <c r="CO16" s="62"/>
      <c r="CP16" s="68"/>
      <c r="CQ16" s="67">
        <f t="shared" si="45"/>
        <v>0</v>
      </c>
      <c r="CR16" s="68"/>
      <c r="CS16" s="67">
        <f t="shared" si="46"/>
        <v>0</v>
      </c>
      <c r="CT16" s="75"/>
      <c r="CU16" s="67">
        <f t="shared" si="47"/>
        <v>0</v>
      </c>
      <c r="CV16" s="68"/>
      <c r="CW16" s="67">
        <f t="shared" si="48"/>
        <v>0</v>
      </c>
    </row>
    <row r="17" spans="1:101" ht="25.5" customHeight="1" thickBot="1" x14ac:dyDescent="0.45">
      <c r="A17" s="63">
        <v>44544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6"/>
        <v>0</v>
      </c>
      <c r="Q17" s="58"/>
      <c r="R17" s="67">
        <f t="shared" si="7"/>
        <v>0</v>
      </c>
      <c r="S17" s="58"/>
      <c r="T17" s="67">
        <f t="shared" si="8"/>
        <v>0</v>
      </c>
      <c r="U17" s="58"/>
      <c r="V17" s="67">
        <f t="shared" si="9"/>
        <v>0</v>
      </c>
      <c r="W17" s="58"/>
      <c r="X17" s="65">
        <f t="shared" si="10"/>
        <v>0</v>
      </c>
      <c r="Y17" s="58"/>
      <c r="Z17" s="65">
        <f t="shared" si="11"/>
        <v>0</v>
      </c>
      <c r="AA17" s="58"/>
      <c r="AB17" s="65">
        <f t="shared" si="12"/>
        <v>0</v>
      </c>
      <c r="AC17" s="58"/>
      <c r="AD17" s="65">
        <f t="shared" si="13"/>
        <v>0</v>
      </c>
      <c r="AE17" s="58"/>
      <c r="AF17" s="65">
        <f t="shared" si="14"/>
        <v>0</v>
      </c>
      <c r="AG17" s="58"/>
      <c r="AH17" s="67">
        <f t="shared" si="15"/>
        <v>0</v>
      </c>
      <c r="AI17" s="58"/>
      <c r="AJ17" s="65">
        <f t="shared" si="16"/>
        <v>0</v>
      </c>
      <c r="AK17" s="58"/>
      <c r="AL17" s="65">
        <f t="shared" si="17"/>
        <v>0</v>
      </c>
      <c r="AM17" s="58"/>
      <c r="AN17" s="65">
        <f t="shared" si="18"/>
        <v>0</v>
      </c>
      <c r="AO17" s="58"/>
      <c r="AP17" s="65">
        <f t="shared" si="19"/>
        <v>0</v>
      </c>
      <c r="AQ17" s="58"/>
      <c r="AR17" s="65">
        <f t="shared" si="20"/>
        <v>0</v>
      </c>
      <c r="AS17" s="58"/>
      <c r="AT17" s="65">
        <f t="shared" si="21"/>
        <v>0</v>
      </c>
      <c r="AU17" s="58"/>
      <c r="AV17" s="65">
        <f t="shared" si="22"/>
        <v>0</v>
      </c>
      <c r="AW17" s="58"/>
      <c r="AX17" s="65">
        <f t="shared" si="23"/>
        <v>0</v>
      </c>
      <c r="AY17" s="58"/>
      <c r="AZ17" s="65">
        <f t="shared" si="24"/>
        <v>0</v>
      </c>
      <c r="BA17" s="58"/>
      <c r="BB17" s="65">
        <f t="shared" si="25"/>
        <v>0</v>
      </c>
      <c r="BC17" s="58"/>
      <c r="BD17" s="65">
        <f t="shared" si="26"/>
        <v>0</v>
      </c>
      <c r="BE17" s="59"/>
      <c r="BF17" s="67">
        <f t="shared" si="27"/>
        <v>0</v>
      </c>
      <c r="BG17" s="60"/>
      <c r="BH17" s="65">
        <f t="shared" si="28"/>
        <v>0</v>
      </c>
      <c r="BI17" s="60"/>
      <c r="BJ17" s="65">
        <f t="shared" si="29"/>
        <v>0</v>
      </c>
      <c r="BK17" s="60"/>
      <c r="BL17" s="65">
        <f t="shared" si="30"/>
        <v>0</v>
      </c>
      <c r="BM17" s="60"/>
      <c r="BN17" s="65">
        <f t="shared" si="31"/>
        <v>0</v>
      </c>
      <c r="BO17" s="60"/>
      <c r="BP17" s="65">
        <f t="shared" si="32"/>
        <v>0</v>
      </c>
      <c r="BQ17" s="60"/>
      <c r="BR17" s="65">
        <f t="shared" si="33"/>
        <v>0</v>
      </c>
      <c r="BS17" s="60"/>
      <c r="BT17" s="65">
        <f t="shared" si="34"/>
        <v>0</v>
      </c>
      <c r="BU17" s="60"/>
      <c r="BV17" s="65">
        <f t="shared" si="35"/>
        <v>0</v>
      </c>
      <c r="BW17" s="60"/>
      <c r="BX17" s="65">
        <f t="shared" si="36"/>
        <v>0</v>
      </c>
      <c r="BY17" s="60"/>
      <c r="BZ17" s="67">
        <f t="shared" si="37"/>
        <v>0</v>
      </c>
      <c r="CA17" s="60"/>
      <c r="CB17" s="67">
        <f t="shared" si="38"/>
        <v>0</v>
      </c>
      <c r="CC17" s="60"/>
      <c r="CD17" s="67">
        <f t="shared" si="39"/>
        <v>0</v>
      </c>
      <c r="CE17" s="60"/>
      <c r="CF17" s="67">
        <f t="shared" si="40"/>
        <v>0</v>
      </c>
      <c r="CG17" s="60"/>
      <c r="CH17" s="67">
        <f t="shared" si="41"/>
        <v>0</v>
      </c>
      <c r="CI17" s="60"/>
      <c r="CJ17" s="67">
        <f t="shared" si="42"/>
        <v>0</v>
      </c>
      <c r="CK17" s="60"/>
      <c r="CL17" s="64">
        <f t="shared" si="43"/>
        <v>0</v>
      </c>
      <c r="CM17" s="65">
        <f t="shared" si="44"/>
        <v>0</v>
      </c>
      <c r="CN17" s="62"/>
      <c r="CO17" s="62"/>
      <c r="CP17" s="68"/>
      <c r="CQ17" s="67">
        <f t="shared" si="45"/>
        <v>0</v>
      </c>
      <c r="CR17" s="68"/>
      <c r="CS17" s="67">
        <f t="shared" si="46"/>
        <v>0</v>
      </c>
      <c r="CT17" s="75"/>
      <c r="CU17" s="67">
        <f t="shared" si="47"/>
        <v>0</v>
      </c>
      <c r="CV17" s="68"/>
      <c r="CW17" s="67">
        <f t="shared" si="48"/>
        <v>0</v>
      </c>
    </row>
    <row r="18" spans="1:101" ht="25.5" customHeight="1" thickBot="1" x14ac:dyDescent="0.45">
      <c r="A18" s="63">
        <v>44545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6"/>
        <v>0</v>
      </c>
      <c r="Q18" s="58"/>
      <c r="R18" s="67">
        <f t="shared" si="7"/>
        <v>0</v>
      </c>
      <c r="S18" s="58"/>
      <c r="T18" s="67">
        <f t="shared" si="8"/>
        <v>0</v>
      </c>
      <c r="U18" s="58"/>
      <c r="V18" s="67">
        <f t="shared" si="9"/>
        <v>0</v>
      </c>
      <c r="W18" s="58"/>
      <c r="X18" s="65">
        <f t="shared" si="10"/>
        <v>0</v>
      </c>
      <c r="Y18" s="58"/>
      <c r="Z18" s="65">
        <f t="shared" si="11"/>
        <v>0</v>
      </c>
      <c r="AA18" s="58"/>
      <c r="AB18" s="65">
        <f t="shared" si="12"/>
        <v>0</v>
      </c>
      <c r="AC18" s="58"/>
      <c r="AD18" s="65">
        <f t="shared" si="13"/>
        <v>0</v>
      </c>
      <c r="AE18" s="58"/>
      <c r="AF18" s="65">
        <f t="shared" si="14"/>
        <v>0</v>
      </c>
      <c r="AG18" s="58"/>
      <c r="AH18" s="67">
        <f t="shared" si="15"/>
        <v>0</v>
      </c>
      <c r="AI18" s="58"/>
      <c r="AJ18" s="65">
        <f t="shared" si="16"/>
        <v>0</v>
      </c>
      <c r="AK18" s="58"/>
      <c r="AL18" s="65">
        <f t="shared" si="17"/>
        <v>0</v>
      </c>
      <c r="AM18" s="58"/>
      <c r="AN18" s="65">
        <f t="shared" si="18"/>
        <v>0</v>
      </c>
      <c r="AO18" s="58"/>
      <c r="AP18" s="65">
        <f t="shared" si="19"/>
        <v>0</v>
      </c>
      <c r="AQ18" s="58"/>
      <c r="AR18" s="65">
        <f t="shared" si="20"/>
        <v>0</v>
      </c>
      <c r="AS18" s="58"/>
      <c r="AT18" s="65">
        <f t="shared" si="21"/>
        <v>0</v>
      </c>
      <c r="AU18" s="58"/>
      <c r="AV18" s="65">
        <f t="shared" si="22"/>
        <v>0</v>
      </c>
      <c r="AW18" s="58"/>
      <c r="AX18" s="65">
        <f t="shared" si="23"/>
        <v>0</v>
      </c>
      <c r="AY18" s="58"/>
      <c r="AZ18" s="65">
        <f t="shared" si="24"/>
        <v>0</v>
      </c>
      <c r="BA18" s="58"/>
      <c r="BB18" s="65">
        <f t="shared" si="25"/>
        <v>0</v>
      </c>
      <c r="BC18" s="58"/>
      <c r="BD18" s="65">
        <f t="shared" si="26"/>
        <v>0</v>
      </c>
      <c r="BE18" s="59"/>
      <c r="BF18" s="67">
        <f t="shared" si="27"/>
        <v>0</v>
      </c>
      <c r="BG18" s="60"/>
      <c r="BH18" s="65">
        <f t="shared" si="28"/>
        <v>0</v>
      </c>
      <c r="BI18" s="60"/>
      <c r="BJ18" s="65">
        <f t="shared" si="29"/>
        <v>0</v>
      </c>
      <c r="BK18" s="60"/>
      <c r="BL18" s="65">
        <f t="shared" si="30"/>
        <v>0</v>
      </c>
      <c r="BM18" s="60"/>
      <c r="BN18" s="65">
        <f t="shared" si="31"/>
        <v>0</v>
      </c>
      <c r="BO18" s="60"/>
      <c r="BP18" s="65">
        <f t="shared" si="32"/>
        <v>0</v>
      </c>
      <c r="BQ18" s="60"/>
      <c r="BR18" s="65">
        <f t="shared" si="33"/>
        <v>0</v>
      </c>
      <c r="BS18" s="60"/>
      <c r="BT18" s="65">
        <f t="shared" si="34"/>
        <v>0</v>
      </c>
      <c r="BU18" s="60"/>
      <c r="BV18" s="65">
        <f t="shared" si="35"/>
        <v>0</v>
      </c>
      <c r="BW18" s="60"/>
      <c r="BX18" s="65">
        <f t="shared" si="36"/>
        <v>0</v>
      </c>
      <c r="BY18" s="60"/>
      <c r="BZ18" s="67">
        <f t="shared" si="37"/>
        <v>0</v>
      </c>
      <c r="CA18" s="60"/>
      <c r="CB18" s="67">
        <f t="shared" si="38"/>
        <v>0</v>
      </c>
      <c r="CC18" s="60"/>
      <c r="CD18" s="67">
        <f t="shared" si="39"/>
        <v>0</v>
      </c>
      <c r="CE18" s="60"/>
      <c r="CF18" s="67">
        <f t="shared" si="40"/>
        <v>0</v>
      </c>
      <c r="CG18" s="60"/>
      <c r="CH18" s="67">
        <f t="shared" si="41"/>
        <v>0</v>
      </c>
      <c r="CI18" s="60"/>
      <c r="CJ18" s="67">
        <f t="shared" si="42"/>
        <v>0</v>
      </c>
      <c r="CK18" s="60"/>
      <c r="CL18" s="64">
        <f t="shared" si="43"/>
        <v>0</v>
      </c>
      <c r="CM18" s="65">
        <f t="shared" si="44"/>
        <v>0</v>
      </c>
      <c r="CN18" s="62"/>
      <c r="CO18" s="62"/>
      <c r="CP18" s="68"/>
      <c r="CQ18" s="67">
        <f t="shared" si="45"/>
        <v>0</v>
      </c>
      <c r="CR18" s="68"/>
      <c r="CS18" s="67">
        <f t="shared" si="46"/>
        <v>0</v>
      </c>
      <c r="CT18" s="75"/>
      <c r="CU18" s="67">
        <f t="shared" si="47"/>
        <v>0</v>
      </c>
      <c r="CV18" s="68"/>
      <c r="CW18" s="67">
        <f t="shared" si="48"/>
        <v>0</v>
      </c>
    </row>
    <row r="19" spans="1:101" ht="25.5" customHeight="1" thickBot="1" x14ac:dyDescent="0.45">
      <c r="A19" s="63">
        <v>44546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6"/>
        <v>0</v>
      </c>
      <c r="Q19" s="58"/>
      <c r="R19" s="67">
        <f t="shared" si="7"/>
        <v>0</v>
      </c>
      <c r="S19" s="58"/>
      <c r="T19" s="67">
        <f t="shared" si="8"/>
        <v>0</v>
      </c>
      <c r="U19" s="58"/>
      <c r="V19" s="67">
        <f t="shared" si="9"/>
        <v>0</v>
      </c>
      <c r="W19" s="58"/>
      <c r="X19" s="65">
        <f t="shared" si="10"/>
        <v>0</v>
      </c>
      <c r="Y19" s="58"/>
      <c r="Z19" s="65">
        <f t="shared" si="11"/>
        <v>0</v>
      </c>
      <c r="AA19" s="58"/>
      <c r="AB19" s="65">
        <f t="shared" si="12"/>
        <v>0</v>
      </c>
      <c r="AC19" s="58"/>
      <c r="AD19" s="65">
        <f t="shared" si="13"/>
        <v>0</v>
      </c>
      <c r="AE19" s="58"/>
      <c r="AF19" s="65">
        <f t="shared" si="14"/>
        <v>0</v>
      </c>
      <c r="AG19" s="58"/>
      <c r="AH19" s="67">
        <f t="shared" si="15"/>
        <v>0</v>
      </c>
      <c r="AI19" s="58"/>
      <c r="AJ19" s="65">
        <f t="shared" si="16"/>
        <v>0</v>
      </c>
      <c r="AK19" s="58"/>
      <c r="AL19" s="65">
        <f t="shared" si="17"/>
        <v>0</v>
      </c>
      <c r="AM19" s="58"/>
      <c r="AN19" s="65">
        <f t="shared" si="18"/>
        <v>0</v>
      </c>
      <c r="AO19" s="58"/>
      <c r="AP19" s="65">
        <f t="shared" si="19"/>
        <v>0</v>
      </c>
      <c r="AQ19" s="58"/>
      <c r="AR19" s="65">
        <f t="shared" si="20"/>
        <v>0</v>
      </c>
      <c r="AS19" s="58"/>
      <c r="AT19" s="65">
        <f t="shared" si="21"/>
        <v>0</v>
      </c>
      <c r="AU19" s="58"/>
      <c r="AV19" s="65">
        <f t="shared" si="22"/>
        <v>0</v>
      </c>
      <c r="AW19" s="58"/>
      <c r="AX19" s="65">
        <f t="shared" si="23"/>
        <v>0</v>
      </c>
      <c r="AY19" s="58"/>
      <c r="AZ19" s="65">
        <f t="shared" si="24"/>
        <v>0</v>
      </c>
      <c r="BA19" s="58"/>
      <c r="BB19" s="65">
        <f t="shared" si="25"/>
        <v>0</v>
      </c>
      <c r="BC19" s="58"/>
      <c r="BD19" s="65">
        <f t="shared" si="26"/>
        <v>0</v>
      </c>
      <c r="BE19" s="59"/>
      <c r="BF19" s="67">
        <f t="shared" si="27"/>
        <v>0</v>
      </c>
      <c r="BG19" s="60"/>
      <c r="BH19" s="65">
        <f t="shared" si="28"/>
        <v>0</v>
      </c>
      <c r="BI19" s="60"/>
      <c r="BJ19" s="65">
        <f t="shared" si="29"/>
        <v>0</v>
      </c>
      <c r="BK19" s="60"/>
      <c r="BL19" s="65">
        <f t="shared" si="30"/>
        <v>0</v>
      </c>
      <c r="BM19" s="60"/>
      <c r="BN19" s="65">
        <f t="shared" si="31"/>
        <v>0</v>
      </c>
      <c r="BO19" s="60"/>
      <c r="BP19" s="65">
        <f t="shared" si="32"/>
        <v>0</v>
      </c>
      <c r="BQ19" s="60"/>
      <c r="BR19" s="65">
        <f t="shared" si="33"/>
        <v>0</v>
      </c>
      <c r="BS19" s="60"/>
      <c r="BT19" s="65">
        <f t="shared" si="34"/>
        <v>0</v>
      </c>
      <c r="BU19" s="60"/>
      <c r="BV19" s="65">
        <f t="shared" si="35"/>
        <v>0</v>
      </c>
      <c r="BW19" s="60"/>
      <c r="BX19" s="65">
        <f t="shared" si="36"/>
        <v>0</v>
      </c>
      <c r="BY19" s="60"/>
      <c r="BZ19" s="67">
        <f t="shared" si="37"/>
        <v>0</v>
      </c>
      <c r="CA19" s="60"/>
      <c r="CB19" s="67">
        <f t="shared" si="38"/>
        <v>0</v>
      </c>
      <c r="CC19" s="60"/>
      <c r="CD19" s="67">
        <f t="shared" si="39"/>
        <v>0</v>
      </c>
      <c r="CE19" s="60"/>
      <c r="CF19" s="67">
        <f t="shared" si="40"/>
        <v>0</v>
      </c>
      <c r="CG19" s="60"/>
      <c r="CH19" s="67">
        <f t="shared" si="41"/>
        <v>0</v>
      </c>
      <c r="CI19" s="60"/>
      <c r="CJ19" s="67">
        <f t="shared" si="42"/>
        <v>0</v>
      </c>
      <c r="CK19" s="60"/>
      <c r="CL19" s="64">
        <f t="shared" si="43"/>
        <v>0</v>
      </c>
      <c r="CM19" s="65">
        <f t="shared" si="44"/>
        <v>0</v>
      </c>
      <c r="CN19" s="62"/>
      <c r="CO19" s="62"/>
      <c r="CP19" s="68"/>
      <c r="CQ19" s="67">
        <f t="shared" si="45"/>
        <v>0</v>
      </c>
      <c r="CR19" s="68"/>
      <c r="CS19" s="67">
        <f t="shared" si="46"/>
        <v>0</v>
      </c>
      <c r="CT19" s="75"/>
      <c r="CU19" s="67">
        <f t="shared" si="47"/>
        <v>0</v>
      </c>
      <c r="CV19" s="68"/>
      <c r="CW19" s="67">
        <f t="shared" si="48"/>
        <v>0</v>
      </c>
    </row>
    <row r="20" spans="1:101" ht="25.5" customHeight="1" thickBot="1" x14ac:dyDescent="0.45">
      <c r="A20" s="63">
        <v>44547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6"/>
        <v>0</v>
      </c>
      <c r="Q20" s="58"/>
      <c r="R20" s="67">
        <f t="shared" si="7"/>
        <v>0</v>
      </c>
      <c r="S20" s="58"/>
      <c r="T20" s="67">
        <f t="shared" si="8"/>
        <v>0</v>
      </c>
      <c r="U20" s="58"/>
      <c r="V20" s="67">
        <f t="shared" si="9"/>
        <v>0</v>
      </c>
      <c r="W20" s="58"/>
      <c r="X20" s="65">
        <f t="shared" si="10"/>
        <v>0</v>
      </c>
      <c r="Y20" s="58"/>
      <c r="Z20" s="65">
        <f t="shared" si="11"/>
        <v>0</v>
      </c>
      <c r="AA20" s="58"/>
      <c r="AB20" s="65">
        <f t="shared" si="12"/>
        <v>0</v>
      </c>
      <c r="AC20" s="58"/>
      <c r="AD20" s="65">
        <f t="shared" si="13"/>
        <v>0</v>
      </c>
      <c r="AE20" s="58"/>
      <c r="AF20" s="65">
        <f t="shared" si="14"/>
        <v>0</v>
      </c>
      <c r="AG20" s="58"/>
      <c r="AH20" s="67">
        <f t="shared" si="15"/>
        <v>0</v>
      </c>
      <c r="AI20" s="58"/>
      <c r="AJ20" s="65">
        <f t="shared" si="16"/>
        <v>0</v>
      </c>
      <c r="AK20" s="58"/>
      <c r="AL20" s="65">
        <f t="shared" si="17"/>
        <v>0</v>
      </c>
      <c r="AM20" s="58"/>
      <c r="AN20" s="65">
        <f t="shared" si="18"/>
        <v>0</v>
      </c>
      <c r="AO20" s="58"/>
      <c r="AP20" s="65">
        <f t="shared" si="19"/>
        <v>0</v>
      </c>
      <c r="AQ20" s="58"/>
      <c r="AR20" s="65">
        <f t="shared" si="20"/>
        <v>0</v>
      </c>
      <c r="AS20" s="58"/>
      <c r="AT20" s="65">
        <f t="shared" si="21"/>
        <v>0</v>
      </c>
      <c r="AU20" s="58"/>
      <c r="AV20" s="65">
        <f t="shared" si="22"/>
        <v>0</v>
      </c>
      <c r="AW20" s="58"/>
      <c r="AX20" s="65">
        <f t="shared" si="23"/>
        <v>0</v>
      </c>
      <c r="AY20" s="58"/>
      <c r="AZ20" s="65">
        <f t="shared" si="24"/>
        <v>0</v>
      </c>
      <c r="BA20" s="58"/>
      <c r="BB20" s="65">
        <f t="shared" si="25"/>
        <v>0</v>
      </c>
      <c r="BC20" s="58"/>
      <c r="BD20" s="65">
        <f t="shared" si="26"/>
        <v>0</v>
      </c>
      <c r="BE20" s="59"/>
      <c r="BF20" s="67">
        <f t="shared" si="27"/>
        <v>0</v>
      </c>
      <c r="BG20" s="60"/>
      <c r="BH20" s="65">
        <f t="shared" si="28"/>
        <v>0</v>
      </c>
      <c r="BI20" s="60"/>
      <c r="BJ20" s="65">
        <f t="shared" si="29"/>
        <v>0</v>
      </c>
      <c r="BK20" s="60"/>
      <c r="BL20" s="65">
        <f t="shared" si="30"/>
        <v>0</v>
      </c>
      <c r="BM20" s="60"/>
      <c r="BN20" s="65">
        <f t="shared" si="31"/>
        <v>0</v>
      </c>
      <c r="BO20" s="60"/>
      <c r="BP20" s="65">
        <f t="shared" si="32"/>
        <v>0</v>
      </c>
      <c r="BQ20" s="60"/>
      <c r="BR20" s="65">
        <f t="shared" si="33"/>
        <v>0</v>
      </c>
      <c r="BS20" s="60"/>
      <c r="BT20" s="65">
        <f t="shared" si="34"/>
        <v>0</v>
      </c>
      <c r="BU20" s="60"/>
      <c r="BV20" s="65">
        <f t="shared" si="35"/>
        <v>0</v>
      </c>
      <c r="BW20" s="60"/>
      <c r="BX20" s="65">
        <f t="shared" si="36"/>
        <v>0</v>
      </c>
      <c r="BY20" s="60"/>
      <c r="BZ20" s="67">
        <f t="shared" si="37"/>
        <v>0</v>
      </c>
      <c r="CA20" s="60"/>
      <c r="CB20" s="67">
        <f t="shared" si="38"/>
        <v>0</v>
      </c>
      <c r="CC20" s="60"/>
      <c r="CD20" s="67">
        <f t="shared" si="39"/>
        <v>0</v>
      </c>
      <c r="CE20" s="60"/>
      <c r="CF20" s="67">
        <f t="shared" si="40"/>
        <v>0</v>
      </c>
      <c r="CG20" s="60"/>
      <c r="CH20" s="67">
        <f t="shared" si="41"/>
        <v>0</v>
      </c>
      <c r="CI20" s="60"/>
      <c r="CJ20" s="67">
        <f t="shared" si="42"/>
        <v>0</v>
      </c>
      <c r="CK20" s="60"/>
      <c r="CL20" s="64">
        <f t="shared" si="43"/>
        <v>0</v>
      </c>
      <c r="CM20" s="65">
        <f t="shared" si="44"/>
        <v>0</v>
      </c>
      <c r="CN20" s="62"/>
      <c r="CO20" s="62"/>
      <c r="CP20" s="68"/>
      <c r="CQ20" s="67">
        <f t="shared" si="45"/>
        <v>0</v>
      </c>
      <c r="CR20" s="68"/>
      <c r="CS20" s="67">
        <f t="shared" si="46"/>
        <v>0</v>
      </c>
      <c r="CT20" s="75"/>
      <c r="CU20" s="67">
        <f t="shared" si="47"/>
        <v>0</v>
      </c>
      <c r="CV20" s="68"/>
      <c r="CW20" s="67">
        <f t="shared" si="48"/>
        <v>0</v>
      </c>
    </row>
    <row r="21" spans="1:101" ht="25.5" customHeight="1" thickBot="1" x14ac:dyDescent="0.45">
      <c r="A21" s="63">
        <v>44548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8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31"/>
        <v>0</v>
      </c>
      <c r="BO21" s="60"/>
      <c r="BP21" s="65">
        <f t="shared" si="32"/>
        <v>0</v>
      </c>
      <c r="BQ21" s="60"/>
      <c r="BR21" s="65">
        <f t="shared" si="33"/>
        <v>0</v>
      </c>
      <c r="BS21" s="60"/>
      <c r="BT21" s="65">
        <f t="shared" si="34"/>
        <v>0</v>
      </c>
      <c r="BU21" s="60"/>
      <c r="BV21" s="65">
        <f t="shared" si="35"/>
        <v>0</v>
      </c>
      <c r="BW21" s="60"/>
      <c r="BX21" s="65">
        <f t="shared" si="36"/>
        <v>0</v>
      </c>
      <c r="BY21" s="60"/>
      <c r="BZ21" s="67">
        <f t="shared" si="37"/>
        <v>0</v>
      </c>
      <c r="CA21" s="60"/>
      <c r="CB21" s="67">
        <f t="shared" si="38"/>
        <v>0</v>
      </c>
      <c r="CC21" s="60"/>
      <c r="CD21" s="67">
        <f t="shared" si="39"/>
        <v>0</v>
      </c>
      <c r="CE21" s="60"/>
      <c r="CF21" s="67">
        <f t="shared" si="40"/>
        <v>0</v>
      </c>
      <c r="CG21" s="60"/>
      <c r="CH21" s="67">
        <f t="shared" si="41"/>
        <v>0</v>
      </c>
      <c r="CI21" s="60"/>
      <c r="CJ21" s="67">
        <f t="shared" si="42"/>
        <v>0</v>
      </c>
      <c r="CK21" s="60"/>
      <c r="CL21" s="64">
        <f t="shared" si="43"/>
        <v>0</v>
      </c>
      <c r="CM21" s="65">
        <f t="shared" si="44"/>
        <v>0</v>
      </c>
      <c r="CN21" s="62"/>
      <c r="CO21" s="62"/>
      <c r="CP21" s="68"/>
      <c r="CQ21" s="67">
        <f t="shared" si="45"/>
        <v>0</v>
      </c>
      <c r="CR21" s="68"/>
      <c r="CS21" s="67">
        <f t="shared" si="46"/>
        <v>0</v>
      </c>
      <c r="CT21" s="75"/>
      <c r="CU21" s="67">
        <f t="shared" si="47"/>
        <v>0</v>
      </c>
      <c r="CV21" s="68"/>
      <c r="CW21" s="67">
        <f t="shared" si="48"/>
        <v>0</v>
      </c>
    </row>
    <row r="22" spans="1:101" ht="25.5" customHeight="1" thickBot="1" x14ac:dyDescent="0.45">
      <c r="A22" s="63">
        <v>44549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8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31"/>
        <v>0</v>
      </c>
      <c r="BO22" s="60"/>
      <c r="BP22" s="65">
        <f t="shared" si="32"/>
        <v>0</v>
      </c>
      <c r="BQ22" s="60"/>
      <c r="BR22" s="65">
        <f t="shared" si="33"/>
        <v>0</v>
      </c>
      <c r="BS22" s="60"/>
      <c r="BT22" s="65">
        <f t="shared" si="34"/>
        <v>0</v>
      </c>
      <c r="BU22" s="60"/>
      <c r="BV22" s="65">
        <f t="shared" si="35"/>
        <v>0</v>
      </c>
      <c r="BW22" s="60"/>
      <c r="BX22" s="65">
        <f t="shared" si="36"/>
        <v>0</v>
      </c>
      <c r="BY22" s="60"/>
      <c r="BZ22" s="67">
        <f t="shared" si="37"/>
        <v>0</v>
      </c>
      <c r="CA22" s="60"/>
      <c r="CB22" s="67">
        <f t="shared" si="38"/>
        <v>0</v>
      </c>
      <c r="CC22" s="60"/>
      <c r="CD22" s="67">
        <f t="shared" si="39"/>
        <v>0</v>
      </c>
      <c r="CE22" s="60"/>
      <c r="CF22" s="67">
        <f t="shared" si="40"/>
        <v>0</v>
      </c>
      <c r="CG22" s="60"/>
      <c r="CH22" s="67">
        <f t="shared" si="41"/>
        <v>0</v>
      </c>
      <c r="CI22" s="60"/>
      <c r="CJ22" s="67">
        <f t="shared" si="42"/>
        <v>0</v>
      </c>
      <c r="CK22" s="60"/>
      <c r="CL22" s="64">
        <f t="shared" si="43"/>
        <v>0</v>
      </c>
      <c r="CM22" s="65">
        <f t="shared" si="44"/>
        <v>0</v>
      </c>
      <c r="CN22" s="62"/>
      <c r="CO22" s="62"/>
      <c r="CP22" s="68"/>
      <c r="CQ22" s="67">
        <f t="shared" si="45"/>
        <v>0</v>
      </c>
      <c r="CR22" s="68"/>
      <c r="CS22" s="67">
        <f t="shared" si="46"/>
        <v>0</v>
      </c>
      <c r="CT22" s="75"/>
      <c r="CU22" s="67">
        <f t="shared" si="47"/>
        <v>0</v>
      </c>
      <c r="CV22" s="68"/>
      <c r="CW22" s="67">
        <f t="shared" si="48"/>
        <v>0</v>
      </c>
    </row>
    <row r="23" spans="1:101" ht="25.5" customHeight="1" thickBot="1" x14ac:dyDescent="0.45">
      <c r="A23" s="63">
        <v>44550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31"/>
        <v>0</v>
      </c>
      <c r="BO23" s="60"/>
      <c r="BP23" s="65">
        <f t="shared" si="32"/>
        <v>0</v>
      </c>
      <c r="BQ23" s="60"/>
      <c r="BR23" s="65">
        <f t="shared" si="33"/>
        <v>0</v>
      </c>
      <c r="BS23" s="60"/>
      <c r="BT23" s="65">
        <f t="shared" si="34"/>
        <v>0</v>
      </c>
      <c r="BU23" s="60"/>
      <c r="BV23" s="65">
        <f t="shared" si="35"/>
        <v>0</v>
      </c>
      <c r="BW23" s="60"/>
      <c r="BX23" s="65">
        <f t="shared" si="36"/>
        <v>0</v>
      </c>
      <c r="BY23" s="60"/>
      <c r="BZ23" s="67">
        <f t="shared" si="37"/>
        <v>0</v>
      </c>
      <c r="CA23" s="60"/>
      <c r="CB23" s="67">
        <f t="shared" si="38"/>
        <v>0</v>
      </c>
      <c r="CC23" s="60"/>
      <c r="CD23" s="67">
        <f t="shared" si="39"/>
        <v>0</v>
      </c>
      <c r="CE23" s="60"/>
      <c r="CF23" s="67">
        <f t="shared" si="40"/>
        <v>0</v>
      </c>
      <c r="CG23" s="60"/>
      <c r="CH23" s="67">
        <f t="shared" si="41"/>
        <v>0</v>
      </c>
      <c r="CI23" s="60"/>
      <c r="CJ23" s="67">
        <f t="shared" si="42"/>
        <v>0</v>
      </c>
      <c r="CK23" s="60"/>
      <c r="CL23" s="64">
        <f t="shared" si="43"/>
        <v>0</v>
      </c>
      <c r="CM23" s="65">
        <f t="shared" si="44"/>
        <v>0</v>
      </c>
      <c r="CN23" s="62"/>
      <c r="CO23" s="62"/>
      <c r="CP23" s="68"/>
      <c r="CQ23" s="67">
        <f t="shared" si="45"/>
        <v>0</v>
      </c>
      <c r="CR23" s="68"/>
      <c r="CS23" s="67">
        <f t="shared" si="46"/>
        <v>0</v>
      </c>
      <c r="CT23" s="75"/>
      <c r="CU23" s="67">
        <f t="shared" si="47"/>
        <v>0</v>
      </c>
      <c r="CV23" s="68"/>
      <c r="CW23" s="67">
        <f t="shared" si="48"/>
        <v>0</v>
      </c>
    </row>
    <row r="24" spans="1:101" ht="25.5" customHeight="1" thickBot="1" x14ac:dyDescent="0.45">
      <c r="A24" s="63">
        <v>44551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44"/>
        <v>0</v>
      </c>
      <c r="CN24" s="62"/>
      <c r="CO24" s="62"/>
      <c r="CP24" s="68"/>
      <c r="CQ24" s="67">
        <f t="shared" si="45"/>
        <v>0</v>
      </c>
      <c r="CR24" s="68"/>
      <c r="CS24" s="67">
        <f t="shared" si="46"/>
        <v>0</v>
      </c>
      <c r="CT24" s="75"/>
      <c r="CU24" s="67">
        <f t="shared" si="47"/>
        <v>0</v>
      </c>
      <c r="CV24" s="68"/>
      <c r="CW24" s="67">
        <f t="shared" si="48"/>
        <v>0</v>
      </c>
    </row>
    <row r="25" spans="1:101" ht="25.5" customHeight="1" thickBot="1" x14ac:dyDescent="0.45">
      <c r="A25" s="63">
        <v>44552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44"/>
        <v>0</v>
      </c>
      <c r="CN25" s="62"/>
      <c r="CO25" s="62"/>
      <c r="CP25" s="68"/>
      <c r="CQ25" s="67">
        <f t="shared" si="45"/>
        <v>0</v>
      </c>
      <c r="CR25" s="68"/>
      <c r="CS25" s="67">
        <f t="shared" si="46"/>
        <v>0</v>
      </c>
      <c r="CT25" s="75"/>
      <c r="CU25" s="67">
        <f t="shared" si="47"/>
        <v>0</v>
      </c>
      <c r="CV25" s="68"/>
      <c r="CW25" s="67">
        <f t="shared" si="48"/>
        <v>0</v>
      </c>
    </row>
    <row r="26" spans="1:101" ht="25.5" customHeight="1" thickBot="1" x14ac:dyDescent="0.45">
      <c r="A26" s="63">
        <v>44553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44"/>
        <v>0</v>
      </c>
      <c r="CN26" s="62"/>
      <c r="CO26" s="62"/>
      <c r="CP26" s="68"/>
      <c r="CQ26" s="67">
        <f t="shared" si="45"/>
        <v>0</v>
      </c>
      <c r="CR26" s="68"/>
      <c r="CS26" s="67">
        <f t="shared" si="46"/>
        <v>0</v>
      </c>
      <c r="CT26" s="75"/>
      <c r="CU26" s="67">
        <f t="shared" si="47"/>
        <v>0</v>
      </c>
      <c r="CV26" s="68"/>
      <c r="CW26" s="67">
        <f t="shared" si="48"/>
        <v>0</v>
      </c>
    </row>
    <row r="27" spans="1:101" ht="25.5" customHeight="1" thickBot="1" x14ac:dyDescent="0.45">
      <c r="A27" s="63">
        <v>44554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44"/>
        <v>0</v>
      </c>
      <c r="CN27" s="62"/>
      <c r="CO27" s="62"/>
      <c r="CP27" s="68"/>
      <c r="CQ27" s="67">
        <f t="shared" si="45"/>
        <v>0</v>
      </c>
      <c r="CR27" s="68"/>
      <c r="CS27" s="67">
        <f t="shared" si="46"/>
        <v>0</v>
      </c>
      <c r="CT27" s="75"/>
      <c r="CU27" s="67">
        <f t="shared" si="47"/>
        <v>0</v>
      </c>
      <c r="CV27" s="68"/>
      <c r="CW27" s="67">
        <f t="shared" si="48"/>
        <v>0</v>
      </c>
    </row>
    <row r="28" spans="1:101" ht="25.5" customHeight="1" thickBot="1" x14ac:dyDescent="0.45">
      <c r="A28" s="63">
        <v>44555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44"/>
        <v>0</v>
      </c>
      <c r="CN28" s="62"/>
      <c r="CO28" s="62"/>
      <c r="CP28" s="68"/>
      <c r="CQ28" s="67">
        <f t="shared" si="45"/>
        <v>0</v>
      </c>
      <c r="CR28" s="68"/>
      <c r="CS28" s="67">
        <f t="shared" si="46"/>
        <v>0</v>
      </c>
      <c r="CT28" s="75"/>
      <c r="CU28" s="67">
        <f t="shared" si="47"/>
        <v>0</v>
      </c>
      <c r="CV28" s="68"/>
      <c r="CW28" s="67">
        <f t="shared" si="48"/>
        <v>0</v>
      </c>
    </row>
    <row r="29" spans="1:101" ht="25.5" customHeight="1" thickBot="1" x14ac:dyDescent="0.45">
      <c r="A29" s="63">
        <v>44556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44"/>
        <v>0</v>
      </c>
      <c r="CN29" s="62"/>
      <c r="CO29" s="62"/>
      <c r="CP29" s="68"/>
      <c r="CQ29" s="67">
        <f t="shared" si="45"/>
        <v>0</v>
      </c>
      <c r="CR29" s="68"/>
      <c r="CS29" s="67">
        <f t="shared" si="46"/>
        <v>0</v>
      </c>
      <c r="CT29" s="75"/>
      <c r="CU29" s="67">
        <f t="shared" si="47"/>
        <v>0</v>
      </c>
      <c r="CV29" s="68"/>
      <c r="CW29" s="67">
        <f t="shared" si="48"/>
        <v>0</v>
      </c>
    </row>
    <row r="30" spans="1:101" ht="25.5" customHeight="1" thickBot="1" x14ac:dyDescent="0.45">
      <c r="A30" s="63">
        <v>44557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44"/>
        <v>0</v>
      </c>
      <c r="CN30" s="62"/>
      <c r="CO30" s="62"/>
      <c r="CP30" s="68"/>
      <c r="CQ30" s="67">
        <f t="shared" si="45"/>
        <v>0</v>
      </c>
      <c r="CR30" s="68"/>
      <c r="CS30" s="67">
        <f t="shared" si="46"/>
        <v>0</v>
      </c>
      <c r="CT30" s="75"/>
      <c r="CU30" s="67">
        <f t="shared" si="47"/>
        <v>0</v>
      </c>
      <c r="CV30" s="68"/>
      <c r="CW30" s="67">
        <f t="shared" si="48"/>
        <v>0</v>
      </c>
    </row>
    <row r="31" spans="1:101" ht="25.5" customHeight="1" thickBot="1" x14ac:dyDescent="0.45">
      <c r="A31" s="63">
        <v>44558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44"/>
        <v>0</v>
      </c>
      <c r="CN31" s="62"/>
      <c r="CO31" s="62"/>
      <c r="CP31" s="68"/>
      <c r="CQ31" s="67">
        <f t="shared" si="45"/>
        <v>0</v>
      </c>
      <c r="CR31" s="68"/>
      <c r="CS31" s="67">
        <f t="shared" si="46"/>
        <v>0</v>
      </c>
      <c r="CT31" s="75"/>
      <c r="CU31" s="67">
        <f t="shared" si="47"/>
        <v>0</v>
      </c>
      <c r="CV31" s="68"/>
      <c r="CW31" s="67">
        <f t="shared" si="48"/>
        <v>0</v>
      </c>
    </row>
    <row r="32" spans="1:101" ht="25.5" customHeight="1" thickBot="1" x14ac:dyDescent="0.45">
      <c r="A32" s="63">
        <v>44559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44"/>
        <v>0</v>
      </c>
      <c r="CN32" s="62"/>
      <c r="CO32" s="62"/>
      <c r="CP32" s="68"/>
      <c r="CQ32" s="67">
        <f t="shared" si="45"/>
        <v>0</v>
      </c>
      <c r="CR32" s="68"/>
      <c r="CS32" s="67">
        <f t="shared" si="46"/>
        <v>0</v>
      </c>
      <c r="CT32" s="75"/>
      <c r="CU32" s="67">
        <f t="shared" si="47"/>
        <v>0</v>
      </c>
      <c r="CV32" s="68"/>
      <c r="CW32" s="67">
        <f t="shared" si="48"/>
        <v>0</v>
      </c>
    </row>
    <row r="33" spans="1:101" ht="25.5" customHeight="1" thickBot="1" x14ac:dyDescent="0.45">
      <c r="A33" s="63">
        <v>44560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</row>
    <row r="34" spans="1:101" ht="25.5" customHeight="1" thickBot="1" x14ac:dyDescent="0.45">
      <c r="A34" s="63">
        <v>44561</v>
      </c>
      <c r="B34" s="68"/>
      <c r="C34" s="58"/>
      <c r="D34" s="64"/>
      <c r="E34" s="58"/>
      <c r="F34" s="64"/>
      <c r="G34" s="58"/>
      <c r="H34" s="64"/>
      <c r="I34" s="58"/>
      <c r="J34" s="64"/>
      <c r="K34" s="58"/>
      <c r="L34" s="64"/>
      <c r="M34" s="58"/>
      <c r="N34" s="64"/>
      <c r="O34" s="58"/>
      <c r="P34" s="67"/>
      <c r="Q34" s="58"/>
      <c r="R34" s="67"/>
      <c r="S34" s="58"/>
      <c r="T34" s="67"/>
      <c r="U34" s="58"/>
      <c r="V34" s="67"/>
      <c r="W34" s="58"/>
      <c r="X34" s="65"/>
      <c r="Y34" s="58"/>
      <c r="Z34" s="65"/>
      <c r="AA34" s="58"/>
      <c r="AB34" s="65"/>
      <c r="AC34" s="58"/>
      <c r="AD34" s="65"/>
      <c r="AE34" s="58"/>
      <c r="AF34" s="65"/>
      <c r="AG34" s="58"/>
      <c r="AH34" s="67"/>
      <c r="AI34" s="58"/>
      <c r="AJ34" s="65"/>
      <c r="AK34" s="58"/>
      <c r="AL34" s="65"/>
      <c r="AM34" s="58"/>
      <c r="AN34" s="65"/>
      <c r="AO34" s="58"/>
      <c r="AP34" s="65"/>
      <c r="AQ34" s="58"/>
      <c r="AR34" s="65"/>
      <c r="AS34" s="58"/>
      <c r="AT34" s="65"/>
      <c r="AU34" s="58"/>
      <c r="AV34" s="65"/>
      <c r="AW34" s="58"/>
      <c r="AX34" s="65"/>
      <c r="AY34" s="58"/>
      <c r="AZ34" s="65"/>
      <c r="BA34" s="58"/>
      <c r="BB34" s="65"/>
      <c r="BC34" s="58"/>
      <c r="BD34" s="65"/>
      <c r="BE34" s="59"/>
      <c r="BF34" s="67"/>
      <c r="BG34" s="60"/>
      <c r="BH34" s="65"/>
      <c r="BI34" s="60"/>
      <c r="BJ34" s="65"/>
      <c r="BK34" s="60"/>
      <c r="BL34" s="65"/>
      <c r="BM34" s="60"/>
      <c r="BN34" s="65"/>
      <c r="BO34" s="60"/>
      <c r="BP34" s="65"/>
      <c r="BQ34" s="60"/>
      <c r="BR34" s="65"/>
      <c r="BS34" s="60"/>
      <c r="BT34" s="65"/>
      <c r="BU34" s="60"/>
      <c r="BV34" s="65"/>
      <c r="BW34" s="60"/>
      <c r="BX34" s="65"/>
      <c r="BY34" s="60"/>
      <c r="BZ34" s="67"/>
      <c r="CA34" s="60"/>
      <c r="CB34" s="67"/>
      <c r="CC34" s="60"/>
      <c r="CD34" s="67"/>
      <c r="CE34" s="60"/>
      <c r="CF34" s="67"/>
      <c r="CG34" s="60"/>
      <c r="CH34" s="67"/>
      <c r="CI34" s="60"/>
      <c r="CJ34" s="67"/>
      <c r="CK34" s="60"/>
      <c r="CL34" s="64"/>
      <c r="CM34" s="65"/>
      <c r="CN34" s="62"/>
      <c r="CO34" s="62"/>
      <c r="CP34" s="68"/>
      <c r="CQ34" s="67"/>
      <c r="CR34" s="68"/>
      <c r="CS34" s="67"/>
      <c r="CT34" s="75"/>
      <c r="CU34" s="67"/>
      <c r="CV34" s="68"/>
      <c r="CW34" s="67"/>
    </row>
    <row r="35" spans="1:101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1" ht="21.75" x14ac:dyDescent="0.4">
      <c r="Q36" s="71"/>
      <c r="AX36" s="65"/>
    </row>
    <row r="37" spans="1:101" ht="21.75" x14ac:dyDescent="0.4">
      <c r="Q37" s="71"/>
      <c r="AX37" s="78"/>
    </row>
    <row r="38" spans="1:101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</row>
    <row r="39" spans="1:101" x14ac:dyDescent="0.3">
      <c r="Q39" s="71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D19" sqref="D1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44530</v>
      </c>
      <c r="B7" s="40">
        <v>0</v>
      </c>
      <c r="C7" s="40">
        <v>13</v>
      </c>
      <c r="D7" s="40">
        <v>29</v>
      </c>
      <c r="E7" s="41">
        <v>85</v>
      </c>
      <c r="F7" s="41">
        <v>6134</v>
      </c>
      <c r="G7" s="41">
        <v>62</v>
      </c>
      <c r="H7" s="41">
        <v>1880</v>
      </c>
      <c r="I7" s="41">
        <v>0</v>
      </c>
      <c r="J7" s="41">
        <v>511</v>
      </c>
      <c r="K7" s="42">
        <v>85</v>
      </c>
      <c r="L7" s="42">
        <v>25</v>
      </c>
      <c r="M7" s="42">
        <v>1490</v>
      </c>
      <c r="N7" s="39">
        <v>75</v>
      </c>
      <c r="O7" s="39">
        <v>0</v>
      </c>
      <c r="P7" s="39">
        <v>0</v>
      </c>
      <c r="Q7" s="39">
        <v>4434</v>
      </c>
      <c r="R7" s="77">
        <v>85</v>
      </c>
      <c r="S7" s="77">
        <v>218</v>
      </c>
      <c r="T7">
        <v>0</v>
      </c>
    </row>
    <row r="8" spans="1:20" x14ac:dyDescent="0.25">
      <c r="A8" s="73">
        <v>44531</v>
      </c>
      <c r="B8" s="40">
        <v>0</v>
      </c>
      <c r="C8" s="79">
        <v>10</v>
      </c>
      <c r="D8" s="79">
        <v>22</v>
      </c>
      <c r="E8" s="41">
        <v>85</v>
      </c>
      <c r="F8" s="41">
        <v>6137</v>
      </c>
      <c r="G8" s="41">
        <v>54</v>
      </c>
      <c r="H8" s="41">
        <v>1881</v>
      </c>
      <c r="I8" s="41">
        <v>0</v>
      </c>
      <c r="J8" s="41">
        <v>511</v>
      </c>
      <c r="K8" s="42">
        <v>85</v>
      </c>
      <c r="L8" s="42">
        <v>20</v>
      </c>
      <c r="M8" s="42">
        <v>1491</v>
      </c>
      <c r="N8" s="39">
        <v>70</v>
      </c>
      <c r="O8" s="39">
        <v>0</v>
      </c>
      <c r="P8" s="39">
        <v>0</v>
      </c>
      <c r="Q8" s="39">
        <v>4438</v>
      </c>
      <c r="R8" s="77">
        <v>85</v>
      </c>
      <c r="S8" s="77">
        <v>218</v>
      </c>
      <c r="T8">
        <f>S8-S7</f>
        <v>0</v>
      </c>
    </row>
    <row r="9" spans="1:20" x14ac:dyDescent="0.25">
      <c r="A9" s="73">
        <v>44532</v>
      </c>
      <c r="B9" s="40">
        <v>0</v>
      </c>
      <c r="C9" s="79">
        <v>10</v>
      </c>
      <c r="D9" s="79">
        <v>22</v>
      </c>
      <c r="E9" s="41">
        <v>85</v>
      </c>
      <c r="F9" s="41">
        <v>6141</v>
      </c>
      <c r="G9" s="41">
        <v>45</v>
      </c>
      <c r="H9" s="41">
        <v>1883</v>
      </c>
      <c r="I9" s="41">
        <v>0</v>
      </c>
      <c r="J9" s="41">
        <v>512</v>
      </c>
      <c r="K9" s="42">
        <v>85</v>
      </c>
      <c r="L9" s="42">
        <v>20</v>
      </c>
      <c r="M9" s="42">
        <v>1491</v>
      </c>
      <c r="N9" s="39">
        <v>65</v>
      </c>
      <c r="O9" s="39">
        <v>0</v>
      </c>
      <c r="P9" s="39">
        <v>0</v>
      </c>
      <c r="Q9" s="39">
        <v>4440</v>
      </c>
      <c r="R9" s="77">
        <v>85</v>
      </c>
      <c r="S9" s="77">
        <v>219</v>
      </c>
      <c r="T9">
        <f t="shared" ref="T9:T39" si="0">S9-S8</f>
        <v>1</v>
      </c>
    </row>
    <row r="10" spans="1:20" x14ac:dyDescent="0.25">
      <c r="A10" s="73">
        <v>44533</v>
      </c>
      <c r="B10" s="40">
        <v>0</v>
      </c>
      <c r="C10" s="40">
        <v>10</v>
      </c>
      <c r="D10" s="40">
        <v>25</v>
      </c>
      <c r="E10" s="41">
        <v>85</v>
      </c>
      <c r="F10" s="41">
        <v>6145</v>
      </c>
      <c r="G10" s="41">
        <v>40</v>
      </c>
      <c r="H10" s="41">
        <v>1884</v>
      </c>
      <c r="I10" s="41">
        <v>0</v>
      </c>
      <c r="J10" s="41">
        <v>512</v>
      </c>
      <c r="K10" s="42">
        <v>85</v>
      </c>
      <c r="L10" s="42">
        <v>20</v>
      </c>
      <c r="M10" s="42">
        <v>1493</v>
      </c>
      <c r="N10" s="39">
        <v>60</v>
      </c>
      <c r="O10" s="39">
        <v>0</v>
      </c>
      <c r="P10" s="39">
        <v>0</v>
      </c>
      <c r="Q10" s="39">
        <v>4444</v>
      </c>
      <c r="R10" s="77">
        <v>85</v>
      </c>
      <c r="S10" s="77">
        <v>219</v>
      </c>
      <c r="T10">
        <f t="shared" si="0"/>
        <v>0</v>
      </c>
    </row>
    <row r="11" spans="1:20" x14ac:dyDescent="0.25">
      <c r="A11" s="73">
        <v>44534</v>
      </c>
      <c r="B11" s="40">
        <v>0</v>
      </c>
      <c r="C11" s="40">
        <v>10</v>
      </c>
      <c r="D11" s="40">
        <v>25</v>
      </c>
      <c r="E11" s="41">
        <v>85</v>
      </c>
      <c r="F11" s="41">
        <v>6150</v>
      </c>
      <c r="G11" s="41">
        <v>25</v>
      </c>
      <c r="H11" s="41">
        <v>1888</v>
      </c>
      <c r="I11" s="41">
        <v>0</v>
      </c>
      <c r="J11" s="41">
        <v>513</v>
      </c>
      <c r="K11" s="42">
        <v>85</v>
      </c>
      <c r="L11" s="42">
        <v>20</v>
      </c>
      <c r="M11" s="42">
        <v>1493</v>
      </c>
      <c r="N11" s="39">
        <v>55</v>
      </c>
      <c r="O11" s="39">
        <v>0</v>
      </c>
      <c r="P11" s="39">
        <v>0</v>
      </c>
      <c r="Q11" s="39">
        <v>4447</v>
      </c>
      <c r="R11" s="77">
        <v>85</v>
      </c>
      <c r="S11" s="77">
        <v>219</v>
      </c>
      <c r="T11">
        <f t="shared" si="0"/>
        <v>0</v>
      </c>
    </row>
    <row r="12" spans="1:20" x14ac:dyDescent="0.25">
      <c r="A12" s="73">
        <v>44535</v>
      </c>
      <c r="B12" s="40">
        <v>0</v>
      </c>
      <c r="C12" s="40">
        <v>10</v>
      </c>
      <c r="D12" s="40">
        <v>25</v>
      </c>
      <c r="E12" s="41">
        <v>85</v>
      </c>
      <c r="F12" s="41">
        <v>6153</v>
      </c>
      <c r="G12" s="41">
        <v>20</v>
      </c>
      <c r="H12" s="41">
        <v>1888</v>
      </c>
      <c r="I12" s="41">
        <v>0</v>
      </c>
      <c r="J12" s="41">
        <v>513</v>
      </c>
      <c r="K12" s="42">
        <v>85</v>
      </c>
      <c r="L12" s="42">
        <v>20</v>
      </c>
      <c r="M12" s="42">
        <v>1495</v>
      </c>
      <c r="N12" s="39">
        <v>50</v>
      </c>
      <c r="O12" s="39">
        <v>0</v>
      </c>
      <c r="P12" s="39">
        <v>0</v>
      </c>
      <c r="Q12" s="39">
        <v>4451</v>
      </c>
      <c r="R12" s="77">
        <v>85</v>
      </c>
      <c r="S12" s="77">
        <v>219</v>
      </c>
      <c r="T12">
        <f t="shared" si="0"/>
        <v>0</v>
      </c>
    </row>
    <row r="13" spans="1:20" x14ac:dyDescent="0.25">
      <c r="A13" s="73">
        <v>44536</v>
      </c>
      <c r="B13" s="40">
        <v>0</v>
      </c>
      <c r="C13" s="40">
        <v>12</v>
      </c>
      <c r="D13" s="40">
        <v>25</v>
      </c>
      <c r="E13" s="41">
        <v>85</v>
      </c>
      <c r="F13" s="41">
        <v>6154</v>
      </c>
      <c r="G13" s="41">
        <v>15</v>
      </c>
      <c r="H13" s="41">
        <v>1890</v>
      </c>
      <c r="I13" s="41">
        <v>0</v>
      </c>
      <c r="J13" s="41">
        <v>513</v>
      </c>
      <c r="K13" s="42">
        <v>85</v>
      </c>
      <c r="L13" s="42">
        <v>15</v>
      </c>
      <c r="M13" s="42">
        <v>1497</v>
      </c>
      <c r="N13" s="39">
        <v>45</v>
      </c>
      <c r="O13" s="39">
        <v>0</v>
      </c>
      <c r="P13" s="39">
        <v>0</v>
      </c>
      <c r="Q13" s="39">
        <v>4453</v>
      </c>
      <c r="R13" s="77">
        <v>85</v>
      </c>
      <c r="S13" s="77">
        <v>219</v>
      </c>
      <c r="T13">
        <f t="shared" si="0"/>
        <v>0</v>
      </c>
    </row>
    <row r="14" spans="1:20" ht="17.25" customHeight="1" x14ac:dyDescent="0.25">
      <c r="A14" s="73">
        <v>44537</v>
      </c>
      <c r="B14" s="40">
        <v>0</v>
      </c>
      <c r="C14" s="40">
        <v>12</v>
      </c>
      <c r="D14" s="40">
        <v>25</v>
      </c>
      <c r="E14" s="41">
        <v>85</v>
      </c>
      <c r="F14" s="41">
        <v>6161</v>
      </c>
      <c r="G14" s="41">
        <v>10</v>
      </c>
      <c r="H14" s="41">
        <v>1892</v>
      </c>
      <c r="I14" s="41">
        <v>0</v>
      </c>
      <c r="J14" s="41">
        <v>514</v>
      </c>
      <c r="K14" s="42">
        <v>85</v>
      </c>
      <c r="L14" s="42">
        <v>15</v>
      </c>
      <c r="M14" s="42">
        <v>1497</v>
      </c>
      <c r="N14" s="39">
        <v>40</v>
      </c>
      <c r="O14" s="39">
        <v>0</v>
      </c>
      <c r="P14" s="39">
        <v>0</v>
      </c>
      <c r="Q14" s="39">
        <v>4458</v>
      </c>
      <c r="R14" s="77">
        <v>85</v>
      </c>
      <c r="S14" s="77">
        <v>219</v>
      </c>
      <c r="T14">
        <f t="shared" si="0"/>
        <v>0</v>
      </c>
    </row>
    <row r="15" spans="1:20" x14ac:dyDescent="0.25">
      <c r="A15" s="73">
        <v>44538</v>
      </c>
      <c r="B15" s="40">
        <v>0</v>
      </c>
      <c r="C15" s="40">
        <v>15</v>
      </c>
      <c r="D15" s="40">
        <v>27</v>
      </c>
      <c r="E15" s="41">
        <v>85</v>
      </c>
      <c r="F15" s="41">
        <v>6166</v>
      </c>
      <c r="G15" s="41">
        <v>0</v>
      </c>
      <c r="H15" s="41">
        <v>1895</v>
      </c>
      <c r="I15" s="41">
        <v>0</v>
      </c>
      <c r="J15" s="41">
        <v>514</v>
      </c>
      <c r="K15" s="42">
        <v>85</v>
      </c>
      <c r="L15" s="42">
        <v>15</v>
      </c>
      <c r="M15" s="42">
        <v>1497</v>
      </c>
      <c r="N15" s="39">
        <v>40</v>
      </c>
      <c r="O15" s="39">
        <v>0</v>
      </c>
      <c r="P15" s="39">
        <v>0</v>
      </c>
      <c r="Q15" s="39">
        <v>4460</v>
      </c>
      <c r="R15" s="77">
        <v>85</v>
      </c>
      <c r="S15" s="77">
        <v>219</v>
      </c>
      <c r="T15">
        <f t="shared" si="0"/>
        <v>0</v>
      </c>
    </row>
    <row r="16" spans="1:20" x14ac:dyDescent="0.25">
      <c r="A16" s="73">
        <v>44539</v>
      </c>
      <c r="B16" s="40">
        <v>0</v>
      </c>
      <c r="C16" s="40">
        <v>14</v>
      </c>
      <c r="D16" s="40">
        <v>32</v>
      </c>
      <c r="E16" s="41">
        <v>80</v>
      </c>
      <c r="F16" s="41">
        <v>6171</v>
      </c>
      <c r="G16" s="41">
        <v>0</v>
      </c>
      <c r="H16" s="41">
        <v>1896</v>
      </c>
      <c r="I16" s="41">
        <v>0</v>
      </c>
      <c r="J16" s="41">
        <v>515</v>
      </c>
      <c r="K16" s="42">
        <v>85</v>
      </c>
      <c r="L16" s="42">
        <v>15</v>
      </c>
      <c r="M16" s="42">
        <v>1497</v>
      </c>
      <c r="N16" s="39">
        <v>35</v>
      </c>
      <c r="O16" s="39">
        <v>0</v>
      </c>
      <c r="P16" s="39">
        <v>0</v>
      </c>
      <c r="Q16" s="39">
        <v>4463</v>
      </c>
      <c r="R16" s="77">
        <v>85</v>
      </c>
      <c r="S16" s="77">
        <v>219</v>
      </c>
      <c r="T16">
        <f t="shared" si="0"/>
        <v>0</v>
      </c>
    </row>
    <row r="17" spans="1:20" x14ac:dyDescent="0.25">
      <c r="A17" s="73">
        <v>44540</v>
      </c>
      <c r="B17" s="40">
        <v>0</v>
      </c>
      <c r="C17" s="40">
        <v>14</v>
      </c>
      <c r="D17" s="40">
        <v>32</v>
      </c>
      <c r="E17" s="41">
        <v>85</v>
      </c>
      <c r="F17" s="41">
        <v>6175</v>
      </c>
      <c r="G17" s="41">
        <v>85</v>
      </c>
      <c r="H17" s="41">
        <v>1898</v>
      </c>
      <c r="I17" s="41">
        <v>85</v>
      </c>
      <c r="J17" s="41">
        <v>517</v>
      </c>
      <c r="K17" s="42">
        <v>85</v>
      </c>
      <c r="L17" s="42">
        <v>10</v>
      </c>
      <c r="M17" s="42">
        <v>1500</v>
      </c>
      <c r="N17" s="39">
        <v>85</v>
      </c>
      <c r="O17" s="39">
        <v>85</v>
      </c>
      <c r="P17" s="39">
        <v>85</v>
      </c>
      <c r="Q17" s="39">
        <v>4467</v>
      </c>
      <c r="R17" s="77">
        <v>85</v>
      </c>
      <c r="S17" s="77">
        <v>219</v>
      </c>
      <c r="T17">
        <f t="shared" si="0"/>
        <v>0</v>
      </c>
    </row>
    <row r="18" spans="1:20" x14ac:dyDescent="0.25">
      <c r="A18" s="73">
        <v>44541</v>
      </c>
      <c r="B18" s="40">
        <v>0</v>
      </c>
      <c r="C18" s="40">
        <v>13</v>
      </c>
      <c r="D18" s="40">
        <v>36</v>
      </c>
      <c r="E18" s="41">
        <v>70</v>
      </c>
      <c r="F18" s="41">
        <v>6183</v>
      </c>
      <c r="G18" s="41">
        <v>85</v>
      </c>
      <c r="H18" s="41">
        <v>1901</v>
      </c>
      <c r="I18" s="41">
        <v>85</v>
      </c>
      <c r="J18" s="41">
        <v>518</v>
      </c>
      <c r="K18" s="42">
        <v>85</v>
      </c>
      <c r="L18" s="42">
        <v>10</v>
      </c>
      <c r="M18" s="42">
        <v>1500</v>
      </c>
      <c r="N18" s="39">
        <v>80</v>
      </c>
      <c r="O18" s="39">
        <v>85</v>
      </c>
      <c r="P18" s="39">
        <v>85</v>
      </c>
      <c r="Q18" s="39">
        <v>4472</v>
      </c>
      <c r="R18" s="77">
        <v>85</v>
      </c>
      <c r="S18" s="77">
        <v>219</v>
      </c>
      <c r="T18">
        <f t="shared" si="0"/>
        <v>0</v>
      </c>
    </row>
    <row r="19" spans="1:20" x14ac:dyDescent="0.25">
      <c r="A19" s="73">
        <v>44542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0"/>
        <v>-219</v>
      </c>
    </row>
    <row r="20" spans="1:20" x14ac:dyDescent="0.25">
      <c r="A20" s="73">
        <v>44543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0"/>
        <v>0</v>
      </c>
    </row>
    <row r="21" spans="1:20" x14ac:dyDescent="0.25">
      <c r="A21" s="73">
        <v>44544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0"/>
        <v>0</v>
      </c>
    </row>
    <row r="22" spans="1:20" x14ac:dyDescent="0.25">
      <c r="A22" s="73">
        <v>44545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0"/>
        <v>0</v>
      </c>
    </row>
    <row r="23" spans="1:20" x14ac:dyDescent="0.25">
      <c r="A23" s="73">
        <v>44546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0"/>
        <v>0</v>
      </c>
    </row>
    <row r="24" spans="1:20" x14ac:dyDescent="0.25">
      <c r="A24" s="73">
        <v>44547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0"/>
        <v>0</v>
      </c>
    </row>
    <row r="25" spans="1:20" x14ac:dyDescent="0.25">
      <c r="A25" s="73">
        <v>44548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0"/>
        <v>0</v>
      </c>
    </row>
    <row r="26" spans="1:20" x14ac:dyDescent="0.25">
      <c r="A26" s="73">
        <v>44549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0"/>
        <v>0</v>
      </c>
    </row>
    <row r="27" spans="1:20" x14ac:dyDescent="0.25">
      <c r="A27" s="73">
        <v>44550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0"/>
        <v>0</v>
      </c>
    </row>
    <row r="28" spans="1:20" x14ac:dyDescent="0.25">
      <c r="A28" s="73">
        <v>44551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0"/>
        <v>0</v>
      </c>
    </row>
    <row r="29" spans="1:20" x14ac:dyDescent="0.25">
      <c r="A29" s="73">
        <v>44552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0</v>
      </c>
    </row>
    <row r="30" spans="1:20" x14ac:dyDescent="0.25">
      <c r="A30" s="73">
        <v>44553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44554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44555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44556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44557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44558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44559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44560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  <row r="38" spans="1:20" x14ac:dyDescent="0.25">
      <c r="A38" s="73">
        <v>44561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0"/>
        <v>0</v>
      </c>
    </row>
    <row r="39" spans="1:20" x14ac:dyDescent="0.25">
      <c r="A39" s="73">
        <v>44562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2021-12-12T18:14:18Z</dcterms:modified>
</cp:coreProperties>
</file>