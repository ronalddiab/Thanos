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9\"/>
    </mc:Choice>
  </mc:AlternateContent>
  <xr:revisionPtr revIDLastSave="0" documentId="13_ncr:1_{5669D170-E73A-412E-B633-0A8D1BCC956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2" i="4"/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L3" i="4"/>
  <c r="L4" i="4"/>
  <c r="N4" i="4" s="1"/>
  <c r="L5" i="4"/>
  <c r="N5" i="4" s="1"/>
  <c r="L6" i="4"/>
  <c r="L7" i="4"/>
  <c r="L8" i="4"/>
  <c r="L9" i="4"/>
  <c r="L10" i="4"/>
  <c r="N10" i="4" s="1"/>
  <c r="L11" i="4"/>
  <c r="N11" i="4" s="1"/>
  <c r="L12" i="4"/>
  <c r="L13" i="4"/>
  <c r="L14" i="4"/>
  <c r="L15" i="4"/>
  <c r="L16" i="4"/>
  <c r="N16" i="4" s="1"/>
  <c r="L17" i="4"/>
  <c r="N17" i="4" s="1"/>
  <c r="L18" i="4"/>
  <c r="L19" i="4"/>
  <c r="L20" i="4"/>
  <c r="L21" i="4"/>
  <c r="L22" i="4"/>
  <c r="N22" i="4" s="1"/>
  <c r="L23" i="4"/>
  <c r="N23" i="4" s="1"/>
  <c r="L24" i="4"/>
  <c r="L25" i="4"/>
  <c r="L26" i="4"/>
  <c r="L27" i="4"/>
  <c r="L28" i="4"/>
  <c r="N28" i="4" s="1"/>
  <c r="L29" i="4"/>
  <c r="N29" i="4" s="1"/>
  <c r="L30" i="4"/>
  <c r="L31" i="4"/>
  <c r="L32" i="4"/>
  <c r="L2" i="4"/>
  <c r="N2" i="4"/>
  <c r="N3" i="4"/>
  <c r="N6" i="4"/>
  <c r="N7" i="4"/>
  <c r="N8" i="4"/>
  <c r="N9" i="4"/>
  <c r="N12" i="4"/>
  <c r="N13" i="4"/>
  <c r="N14" i="4"/>
  <c r="N15" i="4"/>
  <c r="N18" i="4"/>
  <c r="N19" i="4"/>
  <c r="N20" i="4"/>
  <c r="N21" i="4"/>
  <c r="N24" i="4"/>
  <c r="N25" i="4"/>
  <c r="N26" i="4"/>
  <c r="N27" i="4"/>
  <c r="N30" i="4"/>
  <c r="N31" i="4"/>
  <c r="N32" i="4"/>
  <c r="E37" i="2" l="1"/>
  <c r="F37" i="2"/>
  <c r="G37" i="2"/>
  <c r="D7" i="2"/>
  <c r="D8" i="2"/>
  <c r="D9" i="2"/>
  <c r="D10" i="2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6" i="2"/>
  <c r="D2" i="4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2" i="4"/>
  <c r="G34" i="2"/>
  <c r="G33" i="2"/>
  <c r="G32" i="2"/>
  <c r="E37" i="1"/>
  <c r="F37" i="1"/>
  <c r="I6" i="1"/>
  <c r="H6" i="1"/>
  <c r="G34" i="1"/>
  <c r="E30" i="4" s="1"/>
  <c r="H34" i="1"/>
  <c r="I34" i="1"/>
  <c r="G35" i="1"/>
  <c r="E31" i="4" s="1"/>
  <c r="H35" i="1"/>
  <c r="I35" i="1"/>
  <c r="J35" i="1" s="1"/>
  <c r="K35" i="1" s="1"/>
  <c r="G36" i="1"/>
  <c r="E32" i="4" s="1"/>
  <c r="H36" i="1"/>
  <c r="I36" i="1"/>
  <c r="J36" i="1" l="1"/>
  <c r="K36" i="1" s="1"/>
  <c r="J34" i="1"/>
  <c r="K34" i="1" s="1"/>
  <c r="L35" i="1"/>
  <c r="J31" i="4" s="1"/>
  <c r="L36" i="1"/>
  <c r="J32" i="4" s="1"/>
  <c r="L34" i="1"/>
  <c r="J30" i="4" s="1"/>
  <c r="C37" i="1" l="1"/>
  <c r="G6" i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5" i="2"/>
  <c r="G5" i="2"/>
  <c r="E2" i="4" l="1"/>
  <c r="G41" i="2"/>
  <c r="G47" i="2" s="1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I37" i="1" l="1"/>
  <c r="E3" i="4"/>
  <c r="G37" i="1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7" i="1" s="1"/>
  <c r="J37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7" i="1" l="1"/>
  <c r="J2" i="4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<sst xmlns="http://schemas.openxmlformats.org/spreadsheetml/2006/main" count="117" uniqueCount="45">
  <si>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</si>
  <si>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</si>
  <si>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</si>
  <si>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</si>
  <si>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</si>
  <si>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</si>
  <si>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</si>
  <si>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</si>
  <si>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</si>
  <si>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</si>
  <si>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</si>
  <si>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</si>
  <si>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</si>
  <si>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</si>
  <si>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</si>
  <si>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</si>
  <si>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</si>
  <si>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</si>
  <si>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</si>
  <si>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</si>
  <si>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</si>
  <si>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</si>
  <si>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</si>
  <si>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</si>
  <si>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</si>
  <si>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</si>
  <si>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</si>
  <si>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</si>
  <si>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</si>
  <si>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</si>
  <si>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</si>
  <si>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</si>
  <si>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</si>
  <si>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</si>
  <si>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</si>
  <si>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</si>
  <si>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</si>
  <si>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2019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</si>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</sst>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8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8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7" fontId="0" fillId="2" borderId="0" xfId="4" applyFon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20" fillId="0" borderId="0" xfId="8" applyNumberFormat="1" applyFont="1" applyAlignment="1">
      <alignment horizontal="center"/>
    </xf>
    <xf numFmtId="0" fontId="20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1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2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3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4" fillId="0" borderId="5" xfId="0" applyNumberFormat="1" applyFont="1" applyBorder="1" applyAlignment="1">
      <alignment horizontal="center" vertical="center"/>
    </xf>
    <xf numFmtId="1" fontId="14" fillId="2" borderId="0" xfId="0" applyNumberFormat="1" applyFont="1" applyFill="1" applyAlignment="1">
      <alignment horizontal="center"/>
    </xf>
    <xf numFmtId="1" fontId="0" fillId="0" borderId="0" xfId="0" applyNumberFormat="1" applyFont="1"/>
    <xf numFmtId="1" fontId="17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7" fillId="0" borderId="0" xfId="0" applyNumberFormat="1" applyFont="1"/>
    <xf numFmtId="1" fontId="14" fillId="2" borderId="0" xfId="0" applyNumberFormat="1" applyFont="1" applyFill="1"/>
    <xf numFmtId="1" fontId="15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9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7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6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1" fontId="1" fillId="0" borderId="4" xfId="1" applyNumberFormat="1" applyFont="1" applyBorder="1" applyAlignment="1">
      <alignment horizontal="center" vertical="center"/>
    </xf>
    <xf numFmtId="41" fontId="1" fillId="0" borderId="5" xfId="11" applyFont="1" applyBorder="1"/>
    <xf numFmtId="41" fontId="1" fillId="0" borderId="5" xfId="11" applyFont="1" applyBorder="1"/>
    <xf numFmtId="41" fontId="1" fillId="0" borderId="5" xfId="11" applyFont="1" applyBorder="1" applyAlignment="1">
      <alignment horizontal="center"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8" fillId="2" borderId="7" xfId="2" applyFont="1" applyFill="1" applyBorder="1" applyAlignment="1">
      <alignment horizontal="center" vertical="center" wrapText="1"/>
    </xf>
    <xf numFmtId="0" fontId="18" fillId="2" borderId="10" xfId="2" applyFont="1" applyFill="1" applyBorder="1" applyAlignment="1">
      <alignment horizontal="center" vertical="center" wrapText="1"/>
    </xf>
    <xf numFmtId="0" fontId="18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2" fillId="0" borderId="24" xfId="8" applyFont="1" applyBorder="1" applyAlignment="1">
      <alignment horizontal="center" vertical="center"/>
    </xf>
    <xf numFmtId="1" fontId="22" fillId="0" borderId="24" xfId="8" applyNumberFormat="1" applyFont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topLeftCell="B1" workbookViewId="0">
      <selection activeCell="O2" sqref="O2:O32"/>
    </sheetView>
  </sheetViews>
  <sheetFormatPr defaultColWidth="11.5703125" defaultRowHeight="15" x14ac:dyDescent="0.25"/>
  <cols>
    <col min="1" max="1" width="23.85546875" style="47" bestFit="1" customWidth="1"/>
    <col min="2" max="3" width="11.5703125" style="49"/>
    <col min="4" max="4" width="13.42578125" style="48" customWidth="1"/>
    <col min="5" max="8" width="12.5703125" style="46" customWidth="1"/>
    <col min="9" max="10" width="12.5703125" style="47" customWidth="1"/>
    <col min="11" max="12" width="11.5703125" style="47"/>
    <col min="13" max="13" width="12.28515625" style="47" customWidth="1"/>
    <col min="14" max="14" width="11.5703125" style="46"/>
    <col min="15" max="257" width="11.5703125" style="45"/>
    <col min="258" max="258" width="12.42578125" style="45" customWidth="1"/>
    <col min="259" max="260" width="11.5703125" style="45"/>
    <col min="261" max="261" width="13.42578125" style="45" customWidth="1"/>
    <col min="262" max="263" width="12.5703125" style="45" customWidth="1"/>
    <col min="264" max="269" width="11.5703125" style="45"/>
    <col min="270" max="270" width="0" style="45" hidden="1" customWidth="1"/>
    <col min="271" max="513" width="11.5703125" style="45"/>
    <col min="514" max="514" width="12.42578125" style="45" customWidth="1"/>
    <col min="515" max="516" width="11.5703125" style="45"/>
    <col min="517" max="517" width="13.42578125" style="45" customWidth="1"/>
    <col min="518" max="519" width="12.5703125" style="45" customWidth="1"/>
    <col min="520" max="525" width="11.5703125" style="45"/>
    <col min="526" max="526" width="0" style="45" hidden="1" customWidth="1"/>
    <col min="527" max="769" width="11.5703125" style="45"/>
    <col min="770" max="770" width="12.42578125" style="45" customWidth="1"/>
    <col min="771" max="772" width="11.5703125" style="45"/>
    <col min="773" max="773" width="13.42578125" style="45" customWidth="1"/>
    <col min="774" max="775" width="12.5703125" style="45" customWidth="1"/>
    <col min="776" max="781" width="11.5703125" style="45"/>
    <col min="782" max="782" width="0" style="45" hidden="1" customWidth="1"/>
    <col min="783" max="1025" width="11.5703125" style="45"/>
    <col min="1026" max="1026" width="12.42578125" style="45" customWidth="1"/>
    <col min="1027" max="1028" width="11.5703125" style="45"/>
    <col min="1029" max="1029" width="13.42578125" style="45" customWidth="1"/>
    <col min="1030" max="1031" width="12.5703125" style="45" customWidth="1"/>
    <col min="1032" max="1037" width="11.5703125" style="45"/>
    <col min="1038" max="1038" width="0" style="45" hidden="1" customWidth="1"/>
    <col min="1039" max="1281" width="11.5703125" style="45"/>
    <col min="1282" max="1282" width="12.42578125" style="45" customWidth="1"/>
    <col min="1283" max="1284" width="11.5703125" style="45"/>
    <col min="1285" max="1285" width="13.42578125" style="45" customWidth="1"/>
    <col min="1286" max="1287" width="12.5703125" style="45" customWidth="1"/>
    <col min="1288" max="1293" width="11.5703125" style="45"/>
    <col min="1294" max="1294" width="0" style="45" hidden="1" customWidth="1"/>
    <col min="1295" max="1537" width="11.5703125" style="45"/>
    <col min="1538" max="1538" width="12.42578125" style="45" customWidth="1"/>
    <col min="1539" max="1540" width="11.5703125" style="45"/>
    <col min="1541" max="1541" width="13.42578125" style="45" customWidth="1"/>
    <col min="1542" max="1543" width="12.5703125" style="45" customWidth="1"/>
    <col min="1544" max="1549" width="11.5703125" style="45"/>
    <col min="1550" max="1550" width="0" style="45" hidden="1" customWidth="1"/>
    <col min="1551" max="1793" width="11.5703125" style="45"/>
    <col min="1794" max="1794" width="12.42578125" style="45" customWidth="1"/>
    <col min="1795" max="1796" width="11.5703125" style="45"/>
    <col min="1797" max="1797" width="13.42578125" style="45" customWidth="1"/>
    <col min="1798" max="1799" width="12.5703125" style="45" customWidth="1"/>
    <col min="1800" max="1805" width="11.5703125" style="45"/>
    <col min="1806" max="1806" width="0" style="45" hidden="1" customWidth="1"/>
    <col min="1807" max="2049" width="11.5703125" style="45"/>
    <col min="2050" max="2050" width="12.42578125" style="45" customWidth="1"/>
    <col min="2051" max="2052" width="11.5703125" style="45"/>
    <col min="2053" max="2053" width="13.42578125" style="45" customWidth="1"/>
    <col min="2054" max="2055" width="12.5703125" style="45" customWidth="1"/>
    <col min="2056" max="2061" width="11.5703125" style="45"/>
    <col min="2062" max="2062" width="0" style="45" hidden="1" customWidth="1"/>
    <col min="2063" max="2305" width="11.5703125" style="45"/>
    <col min="2306" max="2306" width="12.42578125" style="45" customWidth="1"/>
    <col min="2307" max="2308" width="11.5703125" style="45"/>
    <col min="2309" max="2309" width="13.42578125" style="45" customWidth="1"/>
    <col min="2310" max="2311" width="12.5703125" style="45" customWidth="1"/>
    <col min="2312" max="2317" width="11.5703125" style="45"/>
    <col min="2318" max="2318" width="0" style="45" hidden="1" customWidth="1"/>
    <col min="2319" max="2561" width="11.5703125" style="45"/>
    <col min="2562" max="2562" width="12.42578125" style="45" customWidth="1"/>
    <col min="2563" max="2564" width="11.5703125" style="45"/>
    <col min="2565" max="2565" width="13.42578125" style="45" customWidth="1"/>
    <col min="2566" max="2567" width="12.5703125" style="45" customWidth="1"/>
    <col min="2568" max="2573" width="11.5703125" style="45"/>
    <col min="2574" max="2574" width="0" style="45" hidden="1" customWidth="1"/>
    <col min="2575" max="2817" width="11.5703125" style="45"/>
    <col min="2818" max="2818" width="12.42578125" style="45" customWidth="1"/>
    <col min="2819" max="2820" width="11.5703125" style="45"/>
    <col min="2821" max="2821" width="13.42578125" style="45" customWidth="1"/>
    <col min="2822" max="2823" width="12.5703125" style="45" customWidth="1"/>
    <col min="2824" max="2829" width="11.5703125" style="45"/>
    <col min="2830" max="2830" width="0" style="45" hidden="1" customWidth="1"/>
    <col min="2831" max="3073" width="11.5703125" style="45"/>
    <col min="3074" max="3074" width="12.42578125" style="45" customWidth="1"/>
    <col min="3075" max="3076" width="11.5703125" style="45"/>
    <col min="3077" max="3077" width="13.42578125" style="45" customWidth="1"/>
    <col min="3078" max="3079" width="12.5703125" style="45" customWidth="1"/>
    <col min="3080" max="3085" width="11.5703125" style="45"/>
    <col min="3086" max="3086" width="0" style="45" hidden="1" customWidth="1"/>
    <col min="3087" max="3329" width="11.5703125" style="45"/>
    <col min="3330" max="3330" width="12.42578125" style="45" customWidth="1"/>
    <col min="3331" max="3332" width="11.5703125" style="45"/>
    <col min="3333" max="3333" width="13.42578125" style="45" customWidth="1"/>
    <col min="3334" max="3335" width="12.5703125" style="45" customWidth="1"/>
    <col min="3336" max="3341" width="11.5703125" style="45"/>
    <col min="3342" max="3342" width="0" style="45" hidden="1" customWidth="1"/>
    <col min="3343" max="3585" width="11.5703125" style="45"/>
    <col min="3586" max="3586" width="12.42578125" style="45" customWidth="1"/>
    <col min="3587" max="3588" width="11.5703125" style="45"/>
    <col min="3589" max="3589" width="13.42578125" style="45" customWidth="1"/>
    <col min="3590" max="3591" width="12.5703125" style="45" customWidth="1"/>
    <col min="3592" max="3597" width="11.5703125" style="45"/>
    <col min="3598" max="3598" width="0" style="45" hidden="1" customWidth="1"/>
    <col min="3599" max="3841" width="11.5703125" style="45"/>
    <col min="3842" max="3842" width="12.42578125" style="45" customWidth="1"/>
    <col min="3843" max="3844" width="11.5703125" style="45"/>
    <col min="3845" max="3845" width="13.42578125" style="45" customWidth="1"/>
    <col min="3846" max="3847" width="12.5703125" style="45" customWidth="1"/>
    <col min="3848" max="3853" width="11.5703125" style="45"/>
    <col min="3854" max="3854" width="0" style="45" hidden="1" customWidth="1"/>
    <col min="3855" max="4097" width="11.5703125" style="45"/>
    <col min="4098" max="4098" width="12.42578125" style="45" customWidth="1"/>
    <col min="4099" max="4100" width="11.5703125" style="45"/>
    <col min="4101" max="4101" width="13.42578125" style="45" customWidth="1"/>
    <col min="4102" max="4103" width="12.5703125" style="45" customWidth="1"/>
    <col min="4104" max="4109" width="11.5703125" style="45"/>
    <col min="4110" max="4110" width="0" style="45" hidden="1" customWidth="1"/>
    <col min="4111" max="4353" width="11.5703125" style="45"/>
    <col min="4354" max="4354" width="12.42578125" style="45" customWidth="1"/>
    <col min="4355" max="4356" width="11.5703125" style="45"/>
    <col min="4357" max="4357" width="13.42578125" style="45" customWidth="1"/>
    <col min="4358" max="4359" width="12.5703125" style="45" customWidth="1"/>
    <col min="4360" max="4365" width="11.5703125" style="45"/>
    <col min="4366" max="4366" width="0" style="45" hidden="1" customWidth="1"/>
    <col min="4367" max="4609" width="11.5703125" style="45"/>
    <col min="4610" max="4610" width="12.42578125" style="45" customWidth="1"/>
    <col min="4611" max="4612" width="11.5703125" style="45"/>
    <col min="4613" max="4613" width="13.42578125" style="45" customWidth="1"/>
    <col min="4614" max="4615" width="12.5703125" style="45" customWidth="1"/>
    <col min="4616" max="4621" width="11.5703125" style="45"/>
    <col min="4622" max="4622" width="0" style="45" hidden="1" customWidth="1"/>
    <col min="4623" max="4865" width="11.5703125" style="45"/>
    <col min="4866" max="4866" width="12.42578125" style="45" customWidth="1"/>
    <col min="4867" max="4868" width="11.5703125" style="45"/>
    <col min="4869" max="4869" width="13.42578125" style="45" customWidth="1"/>
    <col min="4870" max="4871" width="12.5703125" style="45" customWidth="1"/>
    <col min="4872" max="4877" width="11.5703125" style="45"/>
    <col min="4878" max="4878" width="0" style="45" hidden="1" customWidth="1"/>
    <col min="4879" max="5121" width="11.5703125" style="45"/>
    <col min="5122" max="5122" width="12.42578125" style="45" customWidth="1"/>
    <col min="5123" max="5124" width="11.5703125" style="45"/>
    <col min="5125" max="5125" width="13.42578125" style="45" customWidth="1"/>
    <col min="5126" max="5127" width="12.5703125" style="45" customWidth="1"/>
    <col min="5128" max="5133" width="11.5703125" style="45"/>
    <col min="5134" max="5134" width="0" style="45" hidden="1" customWidth="1"/>
    <col min="5135" max="5377" width="11.5703125" style="45"/>
    <col min="5378" max="5378" width="12.42578125" style="45" customWidth="1"/>
    <col min="5379" max="5380" width="11.5703125" style="45"/>
    <col min="5381" max="5381" width="13.42578125" style="45" customWidth="1"/>
    <col min="5382" max="5383" width="12.5703125" style="45" customWidth="1"/>
    <col min="5384" max="5389" width="11.5703125" style="45"/>
    <col min="5390" max="5390" width="0" style="45" hidden="1" customWidth="1"/>
    <col min="5391" max="5633" width="11.5703125" style="45"/>
    <col min="5634" max="5634" width="12.42578125" style="45" customWidth="1"/>
    <col min="5635" max="5636" width="11.5703125" style="45"/>
    <col min="5637" max="5637" width="13.42578125" style="45" customWidth="1"/>
    <col min="5638" max="5639" width="12.5703125" style="45" customWidth="1"/>
    <col min="5640" max="5645" width="11.5703125" style="45"/>
    <col min="5646" max="5646" width="0" style="45" hidden="1" customWidth="1"/>
    <col min="5647" max="5889" width="11.5703125" style="45"/>
    <col min="5890" max="5890" width="12.42578125" style="45" customWidth="1"/>
    <col min="5891" max="5892" width="11.5703125" style="45"/>
    <col min="5893" max="5893" width="13.42578125" style="45" customWidth="1"/>
    <col min="5894" max="5895" width="12.5703125" style="45" customWidth="1"/>
    <col min="5896" max="5901" width="11.5703125" style="45"/>
    <col min="5902" max="5902" width="0" style="45" hidden="1" customWidth="1"/>
    <col min="5903" max="6145" width="11.5703125" style="45"/>
    <col min="6146" max="6146" width="12.42578125" style="45" customWidth="1"/>
    <col min="6147" max="6148" width="11.5703125" style="45"/>
    <col min="6149" max="6149" width="13.42578125" style="45" customWidth="1"/>
    <col min="6150" max="6151" width="12.5703125" style="45" customWidth="1"/>
    <col min="6152" max="6157" width="11.5703125" style="45"/>
    <col min="6158" max="6158" width="0" style="45" hidden="1" customWidth="1"/>
    <col min="6159" max="6401" width="11.5703125" style="45"/>
    <col min="6402" max="6402" width="12.42578125" style="45" customWidth="1"/>
    <col min="6403" max="6404" width="11.5703125" style="45"/>
    <col min="6405" max="6405" width="13.42578125" style="45" customWidth="1"/>
    <col min="6406" max="6407" width="12.5703125" style="45" customWidth="1"/>
    <col min="6408" max="6413" width="11.5703125" style="45"/>
    <col min="6414" max="6414" width="0" style="45" hidden="1" customWidth="1"/>
    <col min="6415" max="6657" width="11.5703125" style="45"/>
    <col min="6658" max="6658" width="12.42578125" style="45" customWidth="1"/>
    <col min="6659" max="6660" width="11.5703125" style="45"/>
    <col min="6661" max="6661" width="13.42578125" style="45" customWidth="1"/>
    <col min="6662" max="6663" width="12.5703125" style="45" customWidth="1"/>
    <col min="6664" max="6669" width="11.5703125" style="45"/>
    <col min="6670" max="6670" width="0" style="45" hidden="1" customWidth="1"/>
    <col min="6671" max="6913" width="11.5703125" style="45"/>
    <col min="6914" max="6914" width="12.42578125" style="45" customWidth="1"/>
    <col min="6915" max="6916" width="11.5703125" style="45"/>
    <col min="6917" max="6917" width="13.42578125" style="45" customWidth="1"/>
    <col min="6918" max="6919" width="12.5703125" style="45" customWidth="1"/>
    <col min="6920" max="6925" width="11.5703125" style="45"/>
    <col min="6926" max="6926" width="0" style="45" hidden="1" customWidth="1"/>
    <col min="6927" max="7169" width="11.5703125" style="45"/>
    <col min="7170" max="7170" width="12.42578125" style="45" customWidth="1"/>
    <col min="7171" max="7172" width="11.5703125" style="45"/>
    <col min="7173" max="7173" width="13.42578125" style="45" customWidth="1"/>
    <col min="7174" max="7175" width="12.5703125" style="45" customWidth="1"/>
    <col min="7176" max="7181" width="11.5703125" style="45"/>
    <col min="7182" max="7182" width="0" style="45" hidden="1" customWidth="1"/>
    <col min="7183" max="7425" width="11.5703125" style="45"/>
    <col min="7426" max="7426" width="12.42578125" style="45" customWidth="1"/>
    <col min="7427" max="7428" width="11.5703125" style="45"/>
    <col min="7429" max="7429" width="13.42578125" style="45" customWidth="1"/>
    <col min="7430" max="7431" width="12.5703125" style="45" customWidth="1"/>
    <col min="7432" max="7437" width="11.5703125" style="45"/>
    <col min="7438" max="7438" width="0" style="45" hidden="1" customWidth="1"/>
    <col min="7439" max="7681" width="11.5703125" style="45"/>
    <col min="7682" max="7682" width="12.42578125" style="45" customWidth="1"/>
    <col min="7683" max="7684" width="11.5703125" style="45"/>
    <col min="7685" max="7685" width="13.42578125" style="45" customWidth="1"/>
    <col min="7686" max="7687" width="12.5703125" style="45" customWidth="1"/>
    <col min="7688" max="7693" width="11.5703125" style="45"/>
    <col min="7694" max="7694" width="0" style="45" hidden="1" customWidth="1"/>
    <col min="7695" max="7937" width="11.5703125" style="45"/>
    <col min="7938" max="7938" width="12.42578125" style="45" customWidth="1"/>
    <col min="7939" max="7940" width="11.5703125" style="45"/>
    <col min="7941" max="7941" width="13.42578125" style="45" customWidth="1"/>
    <col min="7942" max="7943" width="12.5703125" style="45" customWidth="1"/>
    <col min="7944" max="7949" width="11.5703125" style="45"/>
    <col min="7950" max="7950" width="0" style="45" hidden="1" customWidth="1"/>
    <col min="7951" max="8193" width="11.5703125" style="45"/>
    <col min="8194" max="8194" width="12.42578125" style="45" customWidth="1"/>
    <col min="8195" max="8196" width="11.5703125" style="45"/>
    <col min="8197" max="8197" width="13.42578125" style="45" customWidth="1"/>
    <col min="8198" max="8199" width="12.5703125" style="45" customWidth="1"/>
    <col min="8200" max="8205" width="11.5703125" style="45"/>
    <col min="8206" max="8206" width="0" style="45" hidden="1" customWidth="1"/>
    <col min="8207" max="8449" width="11.5703125" style="45"/>
    <col min="8450" max="8450" width="12.42578125" style="45" customWidth="1"/>
    <col min="8451" max="8452" width="11.5703125" style="45"/>
    <col min="8453" max="8453" width="13.42578125" style="45" customWidth="1"/>
    <col min="8454" max="8455" width="12.5703125" style="45" customWidth="1"/>
    <col min="8456" max="8461" width="11.5703125" style="45"/>
    <col min="8462" max="8462" width="0" style="45" hidden="1" customWidth="1"/>
    <col min="8463" max="8705" width="11.5703125" style="45"/>
    <col min="8706" max="8706" width="12.42578125" style="45" customWidth="1"/>
    <col min="8707" max="8708" width="11.5703125" style="45"/>
    <col min="8709" max="8709" width="13.42578125" style="45" customWidth="1"/>
    <col min="8710" max="8711" width="12.5703125" style="45" customWidth="1"/>
    <col min="8712" max="8717" width="11.5703125" style="45"/>
    <col min="8718" max="8718" width="0" style="45" hidden="1" customWidth="1"/>
    <col min="8719" max="8961" width="11.5703125" style="45"/>
    <col min="8962" max="8962" width="12.42578125" style="45" customWidth="1"/>
    <col min="8963" max="8964" width="11.5703125" style="45"/>
    <col min="8965" max="8965" width="13.42578125" style="45" customWidth="1"/>
    <col min="8966" max="8967" width="12.5703125" style="45" customWidth="1"/>
    <col min="8968" max="8973" width="11.5703125" style="45"/>
    <col min="8974" max="8974" width="0" style="45" hidden="1" customWidth="1"/>
    <col min="8975" max="9217" width="11.5703125" style="45"/>
    <col min="9218" max="9218" width="12.42578125" style="45" customWidth="1"/>
    <col min="9219" max="9220" width="11.5703125" style="45"/>
    <col min="9221" max="9221" width="13.42578125" style="45" customWidth="1"/>
    <col min="9222" max="9223" width="12.5703125" style="45" customWidth="1"/>
    <col min="9224" max="9229" width="11.5703125" style="45"/>
    <col min="9230" max="9230" width="0" style="45" hidden="1" customWidth="1"/>
    <col min="9231" max="9473" width="11.5703125" style="45"/>
    <col min="9474" max="9474" width="12.42578125" style="45" customWidth="1"/>
    <col min="9475" max="9476" width="11.5703125" style="45"/>
    <col min="9477" max="9477" width="13.42578125" style="45" customWidth="1"/>
    <col min="9478" max="9479" width="12.5703125" style="45" customWidth="1"/>
    <col min="9480" max="9485" width="11.5703125" style="45"/>
    <col min="9486" max="9486" width="0" style="45" hidden="1" customWidth="1"/>
    <col min="9487" max="9729" width="11.5703125" style="45"/>
    <col min="9730" max="9730" width="12.42578125" style="45" customWidth="1"/>
    <col min="9731" max="9732" width="11.5703125" style="45"/>
    <col min="9733" max="9733" width="13.42578125" style="45" customWidth="1"/>
    <col min="9734" max="9735" width="12.5703125" style="45" customWidth="1"/>
    <col min="9736" max="9741" width="11.5703125" style="45"/>
    <col min="9742" max="9742" width="0" style="45" hidden="1" customWidth="1"/>
    <col min="9743" max="9985" width="11.5703125" style="45"/>
    <col min="9986" max="9986" width="12.42578125" style="45" customWidth="1"/>
    <col min="9987" max="9988" width="11.5703125" style="45"/>
    <col min="9989" max="9989" width="13.42578125" style="45" customWidth="1"/>
    <col min="9990" max="9991" width="12.5703125" style="45" customWidth="1"/>
    <col min="9992" max="9997" width="11.5703125" style="45"/>
    <col min="9998" max="9998" width="0" style="45" hidden="1" customWidth="1"/>
    <col min="9999" max="10241" width="11.5703125" style="45"/>
    <col min="10242" max="10242" width="12.42578125" style="45" customWidth="1"/>
    <col min="10243" max="10244" width="11.5703125" style="45"/>
    <col min="10245" max="10245" width="13.42578125" style="45" customWidth="1"/>
    <col min="10246" max="10247" width="12.5703125" style="45" customWidth="1"/>
    <col min="10248" max="10253" width="11.5703125" style="45"/>
    <col min="10254" max="10254" width="0" style="45" hidden="1" customWidth="1"/>
    <col min="10255" max="10497" width="11.5703125" style="45"/>
    <col min="10498" max="10498" width="12.42578125" style="45" customWidth="1"/>
    <col min="10499" max="10500" width="11.5703125" style="45"/>
    <col min="10501" max="10501" width="13.42578125" style="45" customWidth="1"/>
    <col min="10502" max="10503" width="12.5703125" style="45" customWidth="1"/>
    <col min="10504" max="10509" width="11.5703125" style="45"/>
    <col min="10510" max="10510" width="0" style="45" hidden="1" customWidth="1"/>
    <col min="10511" max="10753" width="11.5703125" style="45"/>
    <col min="10754" max="10754" width="12.42578125" style="45" customWidth="1"/>
    <col min="10755" max="10756" width="11.5703125" style="45"/>
    <col min="10757" max="10757" width="13.42578125" style="45" customWidth="1"/>
    <col min="10758" max="10759" width="12.5703125" style="45" customWidth="1"/>
    <col min="10760" max="10765" width="11.5703125" style="45"/>
    <col min="10766" max="10766" width="0" style="45" hidden="1" customWidth="1"/>
    <col min="10767" max="11009" width="11.5703125" style="45"/>
    <col min="11010" max="11010" width="12.42578125" style="45" customWidth="1"/>
    <col min="11011" max="11012" width="11.5703125" style="45"/>
    <col min="11013" max="11013" width="13.42578125" style="45" customWidth="1"/>
    <col min="11014" max="11015" width="12.5703125" style="45" customWidth="1"/>
    <col min="11016" max="11021" width="11.5703125" style="45"/>
    <col min="11022" max="11022" width="0" style="45" hidden="1" customWidth="1"/>
    <col min="11023" max="11265" width="11.5703125" style="45"/>
    <col min="11266" max="11266" width="12.42578125" style="45" customWidth="1"/>
    <col min="11267" max="11268" width="11.5703125" style="45"/>
    <col min="11269" max="11269" width="13.42578125" style="45" customWidth="1"/>
    <col min="11270" max="11271" width="12.5703125" style="45" customWidth="1"/>
    <col min="11272" max="11277" width="11.5703125" style="45"/>
    <col min="11278" max="11278" width="0" style="45" hidden="1" customWidth="1"/>
    <col min="11279" max="11521" width="11.5703125" style="45"/>
    <col min="11522" max="11522" width="12.42578125" style="45" customWidth="1"/>
    <col min="11523" max="11524" width="11.5703125" style="45"/>
    <col min="11525" max="11525" width="13.42578125" style="45" customWidth="1"/>
    <col min="11526" max="11527" width="12.5703125" style="45" customWidth="1"/>
    <col min="11528" max="11533" width="11.5703125" style="45"/>
    <col min="11534" max="11534" width="0" style="45" hidden="1" customWidth="1"/>
    <col min="11535" max="11777" width="11.5703125" style="45"/>
    <col min="11778" max="11778" width="12.42578125" style="45" customWidth="1"/>
    <col min="11779" max="11780" width="11.5703125" style="45"/>
    <col min="11781" max="11781" width="13.42578125" style="45" customWidth="1"/>
    <col min="11782" max="11783" width="12.5703125" style="45" customWidth="1"/>
    <col min="11784" max="11789" width="11.5703125" style="45"/>
    <col min="11790" max="11790" width="0" style="45" hidden="1" customWidth="1"/>
    <col min="11791" max="12033" width="11.5703125" style="45"/>
    <col min="12034" max="12034" width="12.42578125" style="45" customWidth="1"/>
    <col min="12035" max="12036" width="11.5703125" style="45"/>
    <col min="12037" max="12037" width="13.42578125" style="45" customWidth="1"/>
    <col min="12038" max="12039" width="12.5703125" style="45" customWidth="1"/>
    <col min="12040" max="12045" width="11.5703125" style="45"/>
    <col min="12046" max="12046" width="0" style="45" hidden="1" customWidth="1"/>
    <col min="12047" max="12289" width="11.5703125" style="45"/>
    <col min="12290" max="12290" width="12.42578125" style="45" customWidth="1"/>
    <col min="12291" max="12292" width="11.5703125" style="45"/>
    <col min="12293" max="12293" width="13.42578125" style="45" customWidth="1"/>
    <col min="12294" max="12295" width="12.5703125" style="45" customWidth="1"/>
    <col min="12296" max="12301" width="11.5703125" style="45"/>
    <col min="12302" max="12302" width="0" style="45" hidden="1" customWidth="1"/>
    <col min="12303" max="12545" width="11.5703125" style="45"/>
    <col min="12546" max="12546" width="12.42578125" style="45" customWidth="1"/>
    <col min="12547" max="12548" width="11.5703125" style="45"/>
    <col min="12549" max="12549" width="13.42578125" style="45" customWidth="1"/>
    <col min="12550" max="12551" width="12.5703125" style="45" customWidth="1"/>
    <col min="12552" max="12557" width="11.5703125" style="45"/>
    <col min="12558" max="12558" width="0" style="45" hidden="1" customWidth="1"/>
    <col min="12559" max="12801" width="11.5703125" style="45"/>
    <col min="12802" max="12802" width="12.42578125" style="45" customWidth="1"/>
    <col min="12803" max="12804" width="11.5703125" style="45"/>
    <col min="12805" max="12805" width="13.42578125" style="45" customWidth="1"/>
    <col min="12806" max="12807" width="12.5703125" style="45" customWidth="1"/>
    <col min="12808" max="12813" width="11.5703125" style="45"/>
    <col min="12814" max="12814" width="0" style="45" hidden="1" customWidth="1"/>
    <col min="12815" max="13057" width="11.5703125" style="45"/>
    <col min="13058" max="13058" width="12.42578125" style="45" customWidth="1"/>
    <col min="13059" max="13060" width="11.5703125" style="45"/>
    <col min="13061" max="13061" width="13.42578125" style="45" customWidth="1"/>
    <col min="13062" max="13063" width="12.5703125" style="45" customWidth="1"/>
    <col min="13064" max="13069" width="11.5703125" style="45"/>
    <col min="13070" max="13070" width="0" style="45" hidden="1" customWidth="1"/>
    <col min="13071" max="13313" width="11.5703125" style="45"/>
    <col min="13314" max="13314" width="12.42578125" style="45" customWidth="1"/>
    <col min="13315" max="13316" width="11.5703125" style="45"/>
    <col min="13317" max="13317" width="13.42578125" style="45" customWidth="1"/>
    <col min="13318" max="13319" width="12.5703125" style="45" customWidth="1"/>
    <col min="13320" max="13325" width="11.5703125" style="45"/>
    <col min="13326" max="13326" width="0" style="45" hidden="1" customWidth="1"/>
    <col min="13327" max="13569" width="11.5703125" style="45"/>
    <col min="13570" max="13570" width="12.42578125" style="45" customWidth="1"/>
    <col min="13571" max="13572" width="11.5703125" style="45"/>
    <col min="13573" max="13573" width="13.42578125" style="45" customWidth="1"/>
    <col min="13574" max="13575" width="12.5703125" style="45" customWidth="1"/>
    <col min="13576" max="13581" width="11.5703125" style="45"/>
    <col min="13582" max="13582" width="0" style="45" hidden="1" customWidth="1"/>
    <col min="13583" max="13825" width="11.5703125" style="45"/>
    <col min="13826" max="13826" width="12.42578125" style="45" customWidth="1"/>
    <col min="13827" max="13828" width="11.5703125" style="45"/>
    <col min="13829" max="13829" width="13.42578125" style="45" customWidth="1"/>
    <col min="13830" max="13831" width="12.5703125" style="45" customWidth="1"/>
    <col min="13832" max="13837" width="11.5703125" style="45"/>
    <col min="13838" max="13838" width="0" style="45" hidden="1" customWidth="1"/>
    <col min="13839" max="14081" width="11.5703125" style="45"/>
    <col min="14082" max="14082" width="12.42578125" style="45" customWidth="1"/>
    <col min="14083" max="14084" width="11.5703125" style="45"/>
    <col min="14085" max="14085" width="13.42578125" style="45" customWidth="1"/>
    <col min="14086" max="14087" width="12.5703125" style="45" customWidth="1"/>
    <col min="14088" max="14093" width="11.5703125" style="45"/>
    <col min="14094" max="14094" width="0" style="45" hidden="1" customWidth="1"/>
    <col min="14095" max="14337" width="11.5703125" style="45"/>
    <col min="14338" max="14338" width="12.42578125" style="45" customWidth="1"/>
    <col min="14339" max="14340" width="11.5703125" style="45"/>
    <col min="14341" max="14341" width="13.42578125" style="45" customWidth="1"/>
    <col min="14342" max="14343" width="12.5703125" style="45" customWidth="1"/>
    <col min="14344" max="14349" width="11.5703125" style="45"/>
    <col min="14350" max="14350" width="0" style="45" hidden="1" customWidth="1"/>
    <col min="14351" max="14593" width="11.5703125" style="45"/>
    <col min="14594" max="14594" width="12.42578125" style="45" customWidth="1"/>
    <col min="14595" max="14596" width="11.5703125" style="45"/>
    <col min="14597" max="14597" width="13.42578125" style="45" customWidth="1"/>
    <col min="14598" max="14599" width="12.5703125" style="45" customWidth="1"/>
    <col min="14600" max="14605" width="11.5703125" style="45"/>
    <col min="14606" max="14606" width="0" style="45" hidden="1" customWidth="1"/>
    <col min="14607" max="14849" width="11.5703125" style="45"/>
    <col min="14850" max="14850" width="12.42578125" style="45" customWidth="1"/>
    <col min="14851" max="14852" width="11.5703125" style="45"/>
    <col min="14853" max="14853" width="13.42578125" style="45" customWidth="1"/>
    <col min="14854" max="14855" width="12.5703125" style="45" customWidth="1"/>
    <col min="14856" max="14861" width="11.5703125" style="45"/>
    <col min="14862" max="14862" width="0" style="45" hidden="1" customWidth="1"/>
    <col min="14863" max="15105" width="11.5703125" style="45"/>
    <col min="15106" max="15106" width="12.42578125" style="45" customWidth="1"/>
    <col min="15107" max="15108" width="11.5703125" style="45"/>
    <col min="15109" max="15109" width="13.42578125" style="45" customWidth="1"/>
    <col min="15110" max="15111" width="12.5703125" style="45" customWidth="1"/>
    <col min="15112" max="15117" width="11.5703125" style="45"/>
    <col min="15118" max="15118" width="0" style="45" hidden="1" customWidth="1"/>
    <col min="15119" max="15361" width="11.5703125" style="45"/>
    <col min="15362" max="15362" width="12.42578125" style="45" customWidth="1"/>
    <col min="15363" max="15364" width="11.5703125" style="45"/>
    <col min="15365" max="15365" width="13.42578125" style="45" customWidth="1"/>
    <col min="15366" max="15367" width="12.5703125" style="45" customWidth="1"/>
    <col min="15368" max="15373" width="11.5703125" style="45"/>
    <col min="15374" max="15374" width="0" style="45" hidden="1" customWidth="1"/>
    <col min="15375" max="15617" width="11.5703125" style="45"/>
    <col min="15618" max="15618" width="12.42578125" style="45" customWidth="1"/>
    <col min="15619" max="15620" width="11.5703125" style="45"/>
    <col min="15621" max="15621" width="13.42578125" style="45" customWidth="1"/>
    <col min="15622" max="15623" width="12.5703125" style="45" customWidth="1"/>
    <col min="15624" max="15629" width="11.5703125" style="45"/>
    <col min="15630" max="15630" width="0" style="45" hidden="1" customWidth="1"/>
    <col min="15631" max="15873" width="11.5703125" style="45"/>
    <col min="15874" max="15874" width="12.42578125" style="45" customWidth="1"/>
    <col min="15875" max="15876" width="11.5703125" style="45"/>
    <col min="15877" max="15877" width="13.42578125" style="45" customWidth="1"/>
    <col min="15878" max="15879" width="12.5703125" style="45" customWidth="1"/>
    <col min="15880" max="15885" width="11.5703125" style="45"/>
    <col min="15886" max="15886" width="0" style="45" hidden="1" customWidth="1"/>
    <col min="15887" max="16129" width="11.5703125" style="45"/>
    <col min="16130" max="16130" width="12.42578125" style="45" customWidth="1"/>
    <col min="16131" max="16132" width="11.5703125" style="45"/>
    <col min="16133" max="16133" width="13.42578125" style="45" customWidth="1"/>
    <col min="16134" max="16135" width="12.5703125" style="45" customWidth="1"/>
    <col min="16136" max="16141" width="11.5703125" style="45"/>
    <col min="16142" max="16142" width="0" style="45" hidden="1" customWidth="1"/>
    <col min="16143" max="16384" width="11.5703125" style="45"/>
  </cols>
  <sheetData>
    <row r="1" spans="1:15" s="52" customFormat="1" ht="60.75" thickBot="1" x14ac:dyDescent="0.3">
      <c r="A1" s="141" t="s">
        <v>24</v>
      </c>
      <c r="B1" s="142" t="s">
        <v>23</v>
      </c>
      <c r="C1" s="142" t="s">
        <v>22</v>
      </c>
      <c r="D1" s="143" t="s">
        <v>21</v>
      </c>
      <c r="E1" s="53" t="s">
        <v>20</v>
      </c>
      <c r="F1" s="53" t="s">
        <v>25</v>
      </c>
      <c r="G1" s="53" t="s">
        <v>26</v>
      </c>
      <c r="H1" s="53" t="s">
        <v>39</v>
      </c>
      <c r="I1" s="53" t="s">
        <v>40</v>
      </c>
      <c r="J1" s="54" t="s">
        <v>27</v>
      </c>
      <c r="K1" s="57" t="s">
        <v>41</v>
      </c>
      <c r="L1" s="57" t="s">
        <v>29</v>
      </c>
      <c r="M1" s="57" t="s">
        <v>42</v>
      </c>
      <c r="N1" s="57" t="s">
        <v>36</v>
      </c>
      <c r="O1" s="53" t="s">
        <v>43</v>
      </c>
    </row>
    <row r="2" spans="1:15" x14ac:dyDescent="0.25">
      <c r="A2" s="51" t="s">
        <v>44</v>
      </c>
      <c r="B2" s="48">
        <v>1</v>
      </c>
      <c r="C2" s="48">
        <v>3</v>
      </c>
      <c r="D2" s="48">
        <f>Water!D5</f>
        <v>2019</v>
      </c>
      <c r="E2" s="46">
        <f>Electricity!G6</f>
        <v>15199.999999998909</v>
      </c>
      <c r="F2" s="46">
        <f>Electricity!E6</f>
        <v>5760.0000000002183</v>
      </c>
      <c r="G2" s="46">
        <f>Electricity!F6</f>
        <v>9439.9999999986903</v>
      </c>
      <c r="H2" s="50">
        <v>1553.67</v>
      </c>
      <c r="I2" s="61" t="s">
        <v>28</v>
      </c>
      <c r="J2" s="112">
        <f>Electricity!L6</f>
        <v>19176348.057598956</v>
      </c>
      <c r="K2" s="46">
        <f>J2/E2</f>
        <v>1261.6018458947588</v>
      </c>
      <c r="L2" s="46">
        <f>Water!G5</f>
        <v>240</v>
      </c>
      <c r="M2" s="62">
        <v>12550</v>
      </c>
      <c r="N2" s="112">
        <f>TOTAL!L2*TOTAL!M2</f>
        <v>3012000</v>
      </c>
      <c r="O2" s="46">
        <f>Electricity!C6</f>
        <v>159</v>
      </c>
    </row>
    <row r="3" spans="1:15" x14ac:dyDescent="0.25">
      <c r="A3" s="51" t="s">
        <v>44</v>
      </c>
      <c r="B3" s="48">
        <v>2</v>
      </c>
      <c r="C3" s="48">
        <v>3</v>
      </c>
      <c r="D3" s="48">
        <f>D2</f>
        <v>2019</v>
      </c>
      <c r="E3" s="46">
        <f>Electricity!G7</f>
        <v>23480.000000000473</v>
      </c>
      <c r="F3" s="46">
        <f>Electricity!E7</f>
        <v>3279.9999999997453</v>
      </c>
      <c r="G3" s="46">
        <f>Electricity!F7</f>
        <v>20200.000000000728</v>
      </c>
      <c r="H3" s="50">
        <v>1553.67</v>
      </c>
      <c r="I3" s="61" t="s">
        <v>28</v>
      </c>
      <c r="J3" s="112">
        <f>Electricity!L7</f>
        <v>26643244.646400362</v>
      </c>
      <c r="K3" s="46">
        <f t="shared" ref="K3:K32" si="0">J3/E3</f>
        <v>1134.720811175461</v>
      </c>
      <c r="L3" s="46">
        <f>Water!G6</f>
        <v>326</v>
      </c>
      <c r="M3" s="62">
        <v>12550</v>
      </c>
      <c r="N3" s="112">
        <f>TOTAL!L3*TOTAL!M3</f>
        <v>4091300</v>
      </c>
      <c r="O3" s="46">
        <f>Electricity!C7</f>
        <v>159</v>
      </c>
    </row>
    <row r="4" spans="1:15" x14ac:dyDescent="0.25">
      <c r="A4" s="51" t="s">
        <v>44</v>
      </c>
      <c r="B4" s="48">
        <v>3</v>
      </c>
      <c r="C4" s="48">
        <v>3</v>
      </c>
      <c r="D4" s="48">
        <f t="shared" ref="D4:D32" si="1">D3</f>
        <v>2019</v>
      </c>
      <c r="E4" s="46">
        <f>Electricity!G8</f>
        <v>26160.000000001673</v>
      </c>
      <c r="F4" s="46">
        <f>Electricity!E8</f>
        <v>5239.9999999997817</v>
      </c>
      <c r="G4" s="46">
        <f>Electricity!F8</f>
        <v>20920.000000001892</v>
      </c>
      <c r="H4" s="50">
        <v>1553.67</v>
      </c>
      <c r="I4" s="61" t="s">
        <v>28</v>
      </c>
      <c r="J4" s="112">
        <f>Electricity!L8</f>
        <v>30525182.361601658</v>
      </c>
      <c r="K4" s="46">
        <f t="shared" si="0"/>
        <v>1166.8647691743006</v>
      </c>
      <c r="L4" s="46">
        <f>Water!G7</f>
        <v>357</v>
      </c>
      <c r="M4" s="62">
        <v>12550</v>
      </c>
      <c r="N4" s="112">
        <f>TOTAL!L4*TOTAL!M4</f>
        <v>4480350</v>
      </c>
      <c r="O4" s="46">
        <f>Electricity!C8</f>
        <v>159</v>
      </c>
    </row>
    <row r="5" spans="1:15" x14ac:dyDescent="0.25">
      <c r="A5" s="51" t="s">
        <v>44</v>
      </c>
      <c r="B5" s="48">
        <v>4</v>
      </c>
      <c r="C5" s="48">
        <v>3</v>
      </c>
      <c r="D5" s="48">
        <f t="shared" si="1"/>
        <v>2019</v>
      </c>
      <c r="E5" s="46">
        <f>Electricity!G9</f>
        <v>26560.0000000004</v>
      </c>
      <c r="F5" s="46">
        <f>Electricity!E9</f>
        <v>5400.0000000005457</v>
      </c>
      <c r="G5" s="46">
        <f>Electricity!F9</f>
        <v>21159.999999999854</v>
      </c>
      <c r="H5" s="50">
        <v>1553.67</v>
      </c>
      <c r="I5" s="61" t="s">
        <v>28</v>
      </c>
      <c r="J5" s="112">
        <f>Electricity!L9</f>
        <v>31034288.947200716</v>
      </c>
      <c r="K5" s="46">
        <f t="shared" si="0"/>
        <v>1168.4596742168767</v>
      </c>
      <c r="L5" s="46">
        <f>Water!G8</f>
        <v>244</v>
      </c>
      <c r="M5" s="62">
        <v>12550</v>
      </c>
      <c r="N5" s="112">
        <f>TOTAL!L5*TOTAL!M5</f>
        <v>3062200</v>
      </c>
      <c r="O5" s="46">
        <f>Electricity!C9</f>
        <v>159</v>
      </c>
    </row>
    <row r="6" spans="1:15" x14ac:dyDescent="0.25">
      <c r="A6" s="51" t="s">
        <v>44</v>
      </c>
      <c r="B6" s="48">
        <v>5</v>
      </c>
      <c r="C6" s="48">
        <v>3</v>
      </c>
      <c r="D6" s="48">
        <f t="shared" si="1"/>
        <v>2019</v>
      </c>
      <c r="E6" s="46">
        <f>Electricity!G10</f>
        <v>25359.999999996944</v>
      </c>
      <c r="F6" s="46">
        <f>Electricity!E10</f>
        <v>4840.0000000001455</v>
      </c>
      <c r="G6" s="46">
        <f>Electricity!F10</f>
        <v>20519.999999996799</v>
      </c>
      <c r="H6" s="50">
        <v>1553.67</v>
      </c>
      <c r="I6" s="61" t="s">
        <v>28</v>
      </c>
      <c r="J6" s="112">
        <f>Electricity!L10</f>
        <v>29464543.641596831</v>
      </c>
      <c r="K6" s="46">
        <f t="shared" si="0"/>
        <v>1161.8510899684693</v>
      </c>
      <c r="L6" s="46">
        <f>Water!G9</f>
        <v>249</v>
      </c>
      <c r="M6" s="62">
        <v>12550</v>
      </c>
      <c r="N6" s="112">
        <f>TOTAL!L6*TOTAL!M6</f>
        <v>3124950</v>
      </c>
      <c r="O6" s="46">
        <f>Electricity!C10</f>
        <v>159</v>
      </c>
    </row>
    <row r="7" spans="1:15" x14ac:dyDescent="0.25">
      <c r="A7" s="51" t="s">
        <v>44</v>
      </c>
      <c r="B7" s="48">
        <v>6</v>
      </c>
      <c r="C7" s="48">
        <v>3</v>
      </c>
      <c r="D7" s="48">
        <f t="shared" si="1"/>
        <v>2019</v>
      </c>
      <c r="E7" s="46">
        <f>Electricity!G11</f>
        <v>26079.999999999927</v>
      </c>
      <c r="F7" s="46">
        <f>Electricity!E11</f>
        <v>5079.9999999999272</v>
      </c>
      <c r="G7" s="46">
        <f>Electricity!F11</f>
        <v>21000</v>
      </c>
      <c r="H7" s="50">
        <v>1553.67</v>
      </c>
      <c r="I7" s="61" t="s">
        <v>28</v>
      </c>
      <c r="J7" s="112">
        <f>Electricity!L11</f>
        <v>30355480.166399885</v>
      </c>
      <c r="K7" s="46">
        <f t="shared" si="0"/>
        <v>1163.9371229447841</v>
      </c>
      <c r="L7" s="46">
        <f>Water!G10</f>
        <v>336</v>
      </c>
      <c r="M7" s="62">
        <v>12550</v>
      </c>
      <c r="N7" s="112">
        <f>TOTAL!L7*TOTAL!M7</f>
        <v>4216800</v>
      </c>
      <c r="O7" s="46">
        <f>Electricity!C11</f>
        <v>159</v>
      </c>
    </row>
    <row r="8" spans="1:15" x14ac:dyDescent="0.25">
      <c r="A8" s="51" t="s">
        <v>44</v>
      </c>
      <c r="B8" s="48">
        <v>7</v>
      </c>
      <c r="C8" s="48">
        <v>3</v>
      </c>
      <c r="D8" s="48">
        <f t="shared" si="1"/>
        <v>2019</v>
      </c>
      <c r="E8" s="46">
        <f>Electricity!G12</f>
        <v>24800.000000001091</v>
      </c>
      <c r="F8" s="46">
        <f>Electricity!E12</f>
        <v>4399.9999999996362</v>
      </c>
      <c r="G8" s="46">
        <f>Electricity!F12</f>
        <v>20400.000000001455</v>
      </c>
      <c r="H8" s="50">
        <v>1553.67</v>
      </c>
      <c r="I8" s="61" t="s">
        <v>28</v>
      </c>
      <c r="J8" s="112">
        <f>Electricity!L12</f>
        <v>28637245.440000962</v>
      </c>
      <c r="K8" s="46">
        <f t="shared" si="0"/>
        <v>1154.7276387096654</v>
      </c>
      <c r="L8" s="46">
        <f>Water!G11</f>
        <v>219</v>
      </c>
      <c r="M8" s="62">
        <v>12550</v>
      </c>
      <c r="N8" s="112">
        <f>TOTAL!L8*TOTAL!M8</f>
        <v>2748450</v>
      </c>
      <c r="O8" s="46">
        <f>Electricity!C12</f>
        <v>159</v>
      </c>
    </row>
    <row r="9" spans="1:15" x14ac:dyDescent="0.25">
      <c r="A9" s="51" t="s">
        <v>44</v>
      </c>
      <c r="B9" s="48">
        <v>8</v>
      </c>
      <c r="C9" s="48">
        <v>3</v>
      </c>
      <c r="D9" s="48">
        <f t="shared" si="1"/>
        <v>2019</v>
      </c>
      <c r="E9" s="46">
        <f>Electricity!G13</f>
        <v>25640.000000000327</v>
      </c>
      <c r="F9" s="46">
        <f>Electricity!E13</f>
        <v>4800.0000000001819</v>
      </c>
      <c r="G9" s="46">
        <f>Electricity!F13</f>
        <v>20840.000000000146</v>
      </c>
      <c r="H9" s="50">
        <v>1553.67</v>
      </c>
      <c r="I9" s="61" t="s">
        <v>28</v>
      </c>
      <c r="J9" s="112">
        <f>Electricity!L13</f>
        <v>29740309.708800446</v>
      </c>
      <c r="K9" s="46">
        <f t="shared" si="0"/>
        <v>1159.9184753822178</v>
      </c>
      <c r="L9" s="46">
        <f>Water!G12</f>
        <v>389</v>
      </c>
      <c r="M9" s="62">
        <v>12550</v>
      </c>
      <c r="N9" s="112">
        <f>TOTAL!L9*TOTAL!M9</f>
        <v>4881950</v>
      </c>
      <c r="O9" s="46">
        <f>Electricity!C13</f>
        <v>159</v>
      </c>
    </row>
    <row r="10" spans="1:15" x14ac:dyDescent="0.25">
      <c r="A10" s="51" t="s">
        <v>44</v>
      </c>
      <c r="B10" s="48">
        <v>9</v>
      </c>
      <c r="C10" s="48">
        <v>3</v>
      </c>
      <c r="D10" s="48">
        <f t="shared" si="1"/>
        <v>2019</v>
      </c>
      <c r="E10" s="46">
        <f>Electricity!G14</f>
        <v>25759.999999998399</v>
      </c>
      <c r="F10" s="46">
        <f>Electricity!E14</f>
        <v>4639.9999999994179</v>
      </c>
      <c r="G10" s="46">
        <f>Electricity!F14</f>
        <v>21119.999999998981</v>
      </c>
      <c r="H10" s="50">
        <v>1553.67</v>
      </c>
      <c r="I10" s="61" t="s">
        <v>28</v>
      </c>
      <c r="J10" s="112">
        <f>Electricity!L14</f>
        <v>29782735.25759799</v>
      </c>
      <c r="K10" s="46">
        <f t="shared" si="0"/>
        <v>1156.1620829813603</v>
      </c>
      <c r="L10" s="46">
        <f>Water!G13</f>
        <v>468</v>
      </c>
      <c r="M10" s="62">
        <v>12550</v>
      </c>
      <c r="N10" s="112">
        <f>TOTAL!L10*TOTAL!M10</f>
        <v>5873400</v>
      </c>
      <c r="O10" s="46">
        <f>Electricity!C14</f>
        <v>159</v>
      </c>
    </row>
    <row r="11" spans="1:15" x14ac:dyDescent="0.25">
      <c r="A11" s="51" t="s">
        <v>44</v>
      </c>
      <c r="B11" s="48">
        <v>10</v>
      </c>
      <c r="C11" s="48">
        <v>3</v>
      </c>
      <c r="D11" s="48">
        <f t="shared" si="1"/>
        <v>2019</v>
      </c>
      <c r="E11" s="46">
        <f>Electricity!G15</f>
        <v>25760.000000001128</v>
      </c>
      <c r="F11" s="46">
        <f>Electricity!E15</f>
        <v>4880.0000000001091</v>
      </c>
      <c r="G11" s="46">
        <f>Electricity!F15</f>
        <v>20880.000000001019</v>
      </c>
      <c r="H11" s="50">
        <v>1553.67</v>
      </c>
      <c r="I11" s="61" t="s">
        <v>28</v>
      </c>
      <c r="J11" s="112">
        <f>Electricity!L15</f>
        <v>29910011.904001251</v>
      </c>
      <c r="K11" s="46">
        <f t="shared" si="0"/>
        <v>1161.1029465838487</v>
      </c>
      <c r="L11" s="46">
        <f>Water!G14</f>
        <v>408</v>
      </c>
      <c r="M11" s="62">
        <v>12550</v>
      </c>
      <c r="N11" s="112">
        <f>TOTAL!L11*TOTAL!M11</f>
        <v>5120400</v>
      </c>
      <c r="O11" s="46">
        <f>Electricity!C15</f>
        <v>159</v>
      </c>
    </row>
    <row r="12" spans="1:15" x14ac:dyDescent="0.25">
      <c r="A12" s="51" t="s">
        <v>44</v>
      </c>
      <c r="B12" s="48">
        <v>11</v>
      </c>
      <c r="C12" s="48">
        <v>3</v>
      </c>
      <c r="D12" s="48">
        <f t="shared" si="1"/>
        <v>2019</v>
      </c>
      <c r="E12" s="46">
        <f>Electricity!G16</f>
        <v>26840.000000000146</v>
      </c>
      <c r="F12" s="46">
        <f>Electricity!E16</f>
        <v>5520.0000000004366</v>
      </c>
      <c r="G12" s="46">
        <f>Electricity!F16</f>
        <v>21319.999999999709</v>
      </c>
      <c r="H12" s="50">
        <v>1553.67</v>
      </c>
      <c r="I12" s="61" t="s">
        <v>28</v>
      </c>
      <c r="J12" s="112">
        <f>Electricity!L16</f>
        <v>31394906.112000391</v>
      </c>
      <c r="K12" s="46">
        <f t="shared" si="0"/>
        <v>1169.705890909099</v>
      </c>
      <c r="L12" s="46">
        <f>Water!G15</f>
        <v>234</v>
      </c>
      <c r="M12" s="62">
        <v>12550</v>
      </c>
      <c r="N12" s="112">
        <f>TOTAL!L12*TOTAL!M12</f>
        <v>2936700</v>
      </c>
      <c r="O12" s="46">
        <f>Electricity!C16</f>
        <v>159</v>
      </c>
    </row>
    <row r="13" spans="1:15" x14ac:dyDescent="0.25">
      <c r="A13" s="51" t="s">
        <v>44</v>
      </c>
      <c r="B13" s="48">
        <v>12</v>
      </c>
      <c r="C13" s="48">
        <v>3</v>
      </c>
      <c r="D13" s="48">
        <f t="shared" si="1"/>
        <v>2019</v>
      </c>
      <c r="E13" s="46">
        <f>Electricity!G17</f>
        <v>26479.999999998654</v>
      </c>
      <c r="F13" s="46">
        <f>Electricity!E17</f>
        <v>5359.9999999996726</v>
      </c>
      <c r="G13" s="46">
        <f>Electricity!F17</f>
        <v>21119.999999998981</v>
      </c>
      <c r="H13" s="50">
        <v>1553.67</v>
      </c>
      <c r="I13" s="61" t="s">
        <v>28</v>
      </c>
      <c r="J13" s="112">
        <f>Electricity!L17</f>
        <v>30928225.075198393</v>
      </c>
      <c r="K13" s="46">
        <f t="shared" si="0"/>
        <v>1167.9843306344399</v>
      </c>
      <c r="L13" s="46">
        <f>Water!G16</f>
        <v>351</v>
      </c>
      <c r="M13" s="62">
        <v>12550</v>
      </c>
      <c r="N13" s="112">
        <f>TOTAL!L13*TOTAL!M13</f>
        <v>4405050</v>
      </c>
      <c r="O13" s="46">
        <f>Electricity!C17</f>
        <v>159</v>
      </c>
    </row>
    <row r="14" spans="1:15" x14ac:dyDescent="0.25">
      <c r="A14" s="51" t="s">
        <v>44</v>
      </c>
      <c r="B14" s="48">
        <v>13</v>
      </c>
      <c r="C14" s="48">
        <v>3</v>
      </c>
      <c r="D14" s="48">
        <f t="shared" si="1"/>
        <v>2019</v>
      </c>
      <c r="E14" s="46">
        <f>Electricity!G18</f>
        <v>31720.000000002983</v>
      </c>
      <c r="F14" s="46">
        <f>Electricity!E18</f>
        <v>5760.0000000002183</v>
      </c>
      <c r="G14" s="46">
        <f>Electricity!F18</f>
        <v>25960.000000002765</v>
      </c>
      <c r="H14" s="50">
        <v>1553.67</v>
      </c>
      <c r="I14" s="61" t="s">
        <v>28</v>
      </c>
      <c r="J14" s="112">
        <f>Electricity!L18</f>
        <v>36698099.712003283</v>
      </c>
      <c r="K14" s="46">
        <f t="shared" si="0"/>
        <v>1156.9388307692254</v>
      </c>
      <c r="L14" s="46">
        <f>Water!G17</f>
        <v>362</v>
      </c>
      <c r="M14" s="62">
        <v>12550</v>
      </c>
      <c r="N14" s="112">
        <f>TOTAL!L14*TOTAL!M14</f>
        <v>4543100</v>
      </c>
      <c r="O14" s="46">
        <f>Electricity!C18</f>
        <v>159</v>
      </c>
    </row>
    <row r="15" spans="1:15" x14ac:dyDescent="0.25">
      <c r="A15" s="51" t="s">
        <v>44</v>
      </c>
      <c r="B15" s="48">
        <v>14</v>
      </c>
      <c r="C15" s="48">
        <v>3</v>
      </c>
      <c r="D15" s="48">
        <f t="shared" si="1"/>
        <v>2019</v>
      </c>
      <c r="E15" s="46">
        <f>Electricity!G19</f>
        <v>19679.999999999382</v>
      </c>
      <c r="F15" s="46">
        <f>Electricity!E19</f>
        <v>2359.9999999996726</v>
      </c>
      <c r="G15" s="46">
        <f>Electricity!F19</f>
        <v>17319.999999999709</v>
      </c>
      <c r="H15" s="50">
        <v>1553.67</v>
      </c>
      <c r="I15" s="61" t="s">
        <v>28</v>
      </c>
      <c r="J15" s="112">
        <f>Electricity!L19</f>
        <v>22124923.699199174</v>
      </c>
      <c r="K15" s="46">
        <f t="shared" si="0"/>
        <v>1124.2339278048714</v>
      </c>
      <c r="L15" s="46">
        <f>Water!G18</f>
        <v>375</v>
      </c>
      <c r="M15" s="62">
        <v>12550</v>
      </c>
      <c r="N15" s="112">
        <f>TOTAL!L15*TOTAL!M15</f>
        <v>4706250</v>
      </c>
      <c r="O15" s="46">
        <f>Electricity!C19</f>
        <v>159</v>
      </c>
    </row>
    <row r="16" spans="1:15" x14ac:dyDescent="0.25">
      <c r="A16" s="51" t="s">
        <v>44</v>
      </c>
      <c r="B16" s="48">
        <v>15</v>
      </c>
      <c r="C16" s="48">
        <v>3</v>
      </c>
      <c r="D16" s="48">
        <f t="shared" si="1"/>
        <v>2019</v>
      </c>
      <c r="E16" s="46">
        <f>Electricity!G20</f>
        <v>26159.999999998035</v>
      </c>
      <c r="F16" s="46">
        <f>Electricity!E20</f>
        <v>5600.0000000003638</v>
      </c>
      <c r="G16" s="46">
        <f>Electricity!F20</f>
        <v>20559.999999997672</v>
      </c>
      <c r="H16" s="50">
        <v>1553.67</v>
      </c>
      <c r="I16" s="61" t="s">
        <v>28</v>
      </c>
      <c r="J16" s="112">
        <f>Electricity!L20</f>
        <v>30716097.331198104</v>
      </c>
      <c r="K16" s="46">
        <f t="shared" si="0"/>
        <v>1174.1627420183643</v>
      </c>
      <c r="L16" s="46">
        <f>Water!G19</f>
        <v>227</v>
      </c>
      <c r="M16" s="62">
        <v>12550</v>
      </c>
      <c r="N16" s="112">
        <f>TOTAL!L16*TOTAL!M16</f>
        <v>2848850</v>
      </c>
      <c r="O16" s="46">
        <f>Electricity!C20</f>
        <v>159</v>
      </c>
    </row>
    <row r="17" spans="1:15" x14ac:dyDescent="0.25">
      <c r="A17" s="51" t="s">
        <v>44</v>
      </c>
      <c r="B17" s="48">
        <v>16</v>
      </c>
      <c r="C17" s="48">
        <v>3</v>
      </c>
      <c r="D17" s="48">
        <f t="shared" si="1"/>
        <v>2019</v>
      </c>
      <c r="E17" s="46">
        <f>Electricity!G21</f>
        <v>27079.999999999927</v>
      </c>
      <c r="F17" s="46">
        <f>Electricity!E21</f>
        <v>5600.0000000003638</v>
      </c>
      <c r="G17" s="46">
        <f>Electricity!F21</f>
        <v>21479.999999999563</v>
      </c>
      <c r="H17" s="50">
        <v>1553.67</v>
      </c>
      <c r="I17" s="61" t="s">
        <v>28</v>
      </c>
      <c r="J17" s="112">
        <f>Electricity!L21</f>
        <v>31691884.953600112</v>
      </c>
      <c r="K17" s="46">
        <f t="shared" si="0"/>
        <v>1170.3059436336853</v>
      </c>
      <c r="L17" s="46">
        <f>Water!G20</f>
        <v>307</v>
      </c>
      <c r="M17" s="62">
        <v>12550</v>
      </c>
      <c r="N17" s="112">
        <f>TOTAL!L17*TOTAL!M17</f>
        <v>3852850</v>
      </c>
      <c r="O17" s="46">
        <f>Electricity!C21</f>
        <v>159</v>
      </c>
    </row>
    <row r="18" spans="1:15" x14ac:dyDescent="0.25">
      <c r="A18" s="51" t="s">
        <v>44</v>
      </c>
      <c r="B18" s="48">
        <v>17</v>
      </c>
      <c r="C18" s="48">
        <v>3</v>
      </c>
      <c r="D18" s="48">
        <f t="shared" si="1"/>
        <v>2019</v>
      </c>
      <c r="E18" s="46">
        <f>Electricity!G22</f>
        <v>29520.000000001346</v>
      </c>
      <c r="F18" s="46">
        <f>Electricity!E22</f>
        <v>9279.9999999997453</v>
      </c>
      <c r="G18" s="46">
        <f>Electricity!F22</f>
        <v>20240.000000001601</v>
      </c>
      <c r="H18" s="50">
        <v>1553.67</v>
      </c>
      <c r="I18" s="61" t="s">
        <v>28</v>
      </c>
      <c r="J18" s="112">
        <f>Electricity!L22</f>
        <v>36231418.675201297</v>
      </c>
      <c r="K18" s="46">
        <f t="shared" si="0"/>
        <v>1227.3515811381994</v>
      </c>
      <c r="L18" s="46">
        <f>Water!G21</f>
        <v>449</v>
      </c>
      <c r="M18" s="62">
        <v>12550</v>
      </c>
      <c r="N18" s="112">
        <f>TOTAL!L18*TOTAL!M18</f>
        <v>5634950</v>
      </c>
      <c r="O18" s="46">
        <f>Electricity!C22</f>
        <v>159</v>
      </c>
    </row>
    <row r="19" spans="1:15" x14ac:dyDescent="0.25">
      <c r="A19" s="51" t="s">
        <v>44</v>
      </c>
      <c r="B19" s="48">
        <v>18</v>
      </c>
      <c r="C19" s="48">
        <v>3</v>
      </c>
      <c r="D19" s="48">
        <f t="shared" si="1"/>
        <v>2019</v>
      </c>
      <c r="E19" s="46">
        <f>Electricity!G23</f>
        <v>25479.999999999563</v>
      </c>
      <c r="F19" s="46">
        <f>Electricity!E23</f>
        <v>4840.0000000001455</v>
      </c>
      <c r="G19" s="46">
        <f>Electricity!F23</f>
        <v>20639.999999999418</v>
      </c>
      <c r="H19" s="50">
        <v>1553.67</v>
      </c>
      <c r="I19" s="61" t="s">
        <v>28</v>
      </c>
      <c r="J19" s="112">
        <f>Electricity!L23</f>
        <v>29591820.287999611</v>
      </c>
      <c r="K19" s="46">
        <f t="shared" si="0"/>
        <v>1161.37442260597</v>
      </c>
      <c r="L19" s="46">
        <f>Water!G22</f>
        <v>214</v>
      </c>
      <c r="M19" s="62">
        <v>12550</v>
      </c>
      <c r="N19" s="112">
        <f>TOTAL!L19*TOTAL!M19</f>
        <v>2685700</v>
      </c>
      <c r="O19" s="46">
        <f>Electricity!C23</f>
        <v>159</v>
      </c>
    </row>
    <row r="20" spans="1:15" x14ac:dyDescent="0.25">
      <c r="A20" s="51" t="s">
        <v>44</v>
      </c>
      <c r="B20" s="48">
        <v>19</v>
      </c>
      <c r="C20" s="48">
        <v>3</v>
      </c>
      <c r="D20" s="48">
        <f t="shared" si="1"/>
        <v>2019</v>
      </c>
      <c r="E20" s="46">
        <f>Electricity!G24</f>
        <v>26080.000000001746</v>
      </c>
      <c r="F20" s="46">
        <f>Electricity!E24</f>
        <v>5159.9999999998545</v>
      </c>
      <c r="G20" s="46">
        <f>Electricity!F24</f>
        <v>20920.000000001892</v>
      </c>
      <c r="H20" s="50">
        <v>1553.67</v>
      </c>
      <c r="I20" s="61" t="s">
        <v>28</v>
      </c>
      <c r="J20" s="112">
        <f>Electricity!L24</f>
        <v>30397905.715201773</v>
      </c>
      <c r="K20" s="46">
        <f t="shared" si="0"/>
        <v>1165.5638694478428</v>
      </c>
      <c r="L20" s="46">
        <f>Water!G23</f>
        <v>252</v>
      </c>
      <c r="M20" s="62">
        <v>12550</v>
      </c>
      <c r="N20" s="112">
        <f>TOTAL!L20*TOTAL!M20</f>
        <v>3162600</v>
      </c>
      <c r="O20" s="46">
        <f>Electricity!C24</f>
        <v>159</v>
      </c>
    </row>
    <row r="21" spans="1:15" x14ac:dyDescent="0.25">
      <c r="A21" s="51" t="s">
        <v>44</v>
      </c>
      <c r="B21" s="48">
        <v>20</v>
      </c>
      <c r="C21" s="48">
        <v>3</v>
      </c>
      <c r="D21" s="48">
        <f t="shared" si="1"/>
        <v>2019</v>
      </c>
      <c r="E21" s="46">
        <f>Electricity!G25</f>
        <v>25359.999999998763</v>
      </c>
      <c r="F21" s="46">
        <f>Electricity!E25</f>
        <v>4399.9999999996362</v>
      </c>
      <c r="G21" s="46">
        <f>Electricity!F25</f>
        <v>20959.999999999127</v>
      </c>
      <c r="H21" s="50">
        <v>1553.67</v>
      </c>
      <c r="I21" s="61" t="s">
        <v>28</v>
      </c>
      <c r="J21" s="112">
        <f>Electricity!L25</f>
        <v>29231203.123198494</v>
      </c>
      <c r="K21" s="46">
        <f t="shared" si="0"/>
        <v>1152.6499654258644</v>
      </c>
      <c r="L21" s="46">
        <f>Water!G24</f>
        <v>277</v>
      </c>
      <c r="M21" s="62">
        <v>12550</v>
      </c>
      <c r="N21" s="112">
        <f>TOTAL!L21*TOTAL!M21</f>
        <v>3476350</v>
      </c>
      <c r="O21" s="46">
        <f>Electricity!C25</f>
        <v>159</v>
      </c>
    </row>
    <row r="22" spans="1:15" x14ac:dyDescent="0.25">
      <c r="A22" s="51" t="s">
        <v>44</v>
      </c>
      <c r="B22" s="48">
        <v>21</v>
      </c>
      <c r="C22" s="48">
        <v>3</v>
      </c>
      <c r="D22" s="48">
        <f t="shared" si="1"/>
        <v>2019</v>
      </c>
      <c r="E22" s="46">
        <f>Electricity!G26</f>
        <v>26560.0000000004</v>
      </c>
      <c r="F22" s="46">
        <f>Electricity!E26</f>
        <v>5240.0000000006912</v>
      </c>
      <c r="G22" s="46">
        <f>Electricity!F26</f>
        <v>21319.999999999709</v>
      </c>
      <c r="H22" s="50">
        <v>1553.67</v>
      </c>
      <c r="I22" s="61" t="s">
        <v>28</v>
      </c>
      <c r="J22" s="112">
        <f>Electricity!L26</f>
        <v>30949437.849600792</v>
      </c>
      <c r="K22" s="46">
        <f t="shared" si="0"/>
        <v>1165.2649792771208</v>
      </c>
      <c r="L22" s="46">
        <f>Water!G25</f>
        <v>433</v>
      </c>
      <c r="M22" s="62">
        <v>12550</v>
      </c>
      <c r="N22" s="112">
        <f>TOTAL!L22*TOTAL!M22</f>
        <v>5434150</v>
      </c>
      <c r="O22" s="46">
        <f>Electricity!C26</f>
        <v>159</v>
      </c>
    </row>
    <row r="23" spans="1:15" x14ac:dyDescent="0.25">
      <c r="A23" s="51" t="s">
        <v>44</v>
      </c>
      <c r="B23" s="48">
        <v>22</v>
      </c>
      <c r="C23" s="48">
        <v>3</v>
      </c>
      <c r="D23" s="48">
        <f t="shared" si="1"/>
        <v>2019</v>
      </c>
      <c r="E23" s="46">
        <f>Electricity!G27</f>
        <v>26480.000000000473</v>
      </c>
      <c r="F23" s="46">
        <f>Electricity!E27</f>
        <v>4599.9999999994543</v>
      </c>
      <c r="G23" s="46">
        <f>Electricity!F27</f>
        <v>21880.000000001019</v>
      </c>
      <c r="H23" s="50">
        <v>1553.67</v>
      </c>
      <c r="I23" s="61" t="s">
        <v>28</v>
      </c>
      <c r="J23" s="112">
        <f>Electricity!L27</f>
        <v>30525182.361600209</v>
      </c>
      <c r="K23" s="46">
        <f t="shared" si="0"/>
        <v>1152.7636843504404</v>
      </c>
      <c r="L23" s="46">
        <f>Water!G26</f>
        <v>306</v>
      </c>
      <c r="M23" s="62">
        <v>12550</v>
      </c>
      <c r="N23" s="112">
        <f>TOTAL!L23*TOTAL!M23</f>
        <v>3840300</v>
      </c>
      <c r="O23" s="46">
        <f>Electricity!C27</f>
        <v>159</v>
      </c>
    </row>
    <row r="24" spans="1:15" x14ac:dyDescent="0.25">
      <c r="A24" s="51" t="s">
        <v>44</v>
      </c>
      <c r="B24" s="48">
        <v>23</v>
      </c>
      <c r="C24" s="48">
        <v>3</v>
      </c>
      <c r="D24" s="48">
        <f t="shared" si="1"/>
        <v>2019</v>
      </c>
      <c r="E24" s="46">
        <f>Electricity!G28</f>
        <v>26920.000000000073</v>
      </c>
      <c r="F24" s="46">
        <f>Electricity!E28</f>
        <v>5440.0000000005093</v>
      </c>
      <c r="G24" s="46">
        <f>Electricity!F28</f>
        <v>21479.999999999563</v>
      </c>
      <c r="H24" s="50">
        <v>1553.67</v>
      </c>
      <c r="I24" s="61" t="s">
        <v>28</v>
      </c>
      <c r="J24" s="112">
        <f>Electricity!L28</f>
        <v>31437331.660800345</v>
      </c>
      <c r="K24" s="46">
        <f t="shared" si="0"/>
        <v>1167.8057823477066</v>
      </c>
      <c r="L24" s="46">
        <f>Water!G27</f>
        <v>231</v>
      </c>
      <c r="M24" s="62">
        <v>12550</v>
      </c>
      <c r="N24" s="112">
        <f>TOTAL!L24*TOTAL!M24</f>
        <v>2899050</v>
      </c>
      <c r="O24" s="46">
        <f>Electricity!C28</f>
        <v>159</v>
      </c>
    </row>
    <row r="25" spans="1:15" x14ac:dyDescent="0.25">
      <c r="A25" s="51" t="s">
        <v>44</v>
      </c>
      <c r="B25" s="48">
        <v>24</v>
      </c>
      <c r="C25" s="48">
        <v>3</v>
      </c>
      <c r="D25" s="48">
        <f t="shared" si="1"/>
        <v>2019</v>
      </c>
      <c r="E25" s="46">
        <f>Electricity!G29</f>
        <v>23439.99999999869</v>
      </c>
      <c r="F25" s="46">
        <f>Electricity!E29</f>
        <v>4000</v>
      </c>
      <c r="G25" s="46">
        <f>Electricity!F29</f>
        <v>19439.99999999869</v>
      </c>
      <c r="H25" s="50">
        <v>1553.67</v>
      </c>
      <c r="I25" s="61" t="s">
        <v>28</v>
      </c>
      <c r="J25" s="112">
        <f>Electricity!L29</f>
        <v>26982649.036798611</v>
      </c>
      <c r="K25" s="46">
        <f t="shared" si="0"/>
        <v>1151.1369043003463</v>
      </c>
      <c r="L25" s="46">
        <f>Water!G28</f>
        <v>260</v>
      </c>
      <c r="M25" s="62">
        <v>12550</v>
      </c>
      <c r="N25" s="112">
        <f>TOTAL!L25*TOTAL!M25</f>
        <v>3263000</v>
      </c>
      <c r="O25" s="46">
        <f>Electricity!C29</f>
        <v>159</v>
      </c>
    </row>
    <row r="26" spans="1:15" x14ac:dyDescent="0.25">
      <c r="A26" s="51" t="s">
        <v>44</v>
      </c>
      <c r="B26" s="48">
        <v>25</v>
      </c>
      <c r="C26" s="48">
        <v>3</v>
      </c>
      <c r="D26" s="48">
        <f t="shared" si="1"/>
        <v>2019</v>
      </c>
      <c r="E26" s="46">
        <f>Electricity!G30</f>
        <v>27519.999999999527</v>
      </c>
      <c r="F26" s="46">
        <f>Electricity!E30</f>
        <v>4519.9999999995271</v>
      </c>
      <c r="G26" s="46">
        <f>Electricity!F30</f>
        <v>23000</v>
      </c>
      <c r="H26" s="50">
        <v>1553.67</v>
      </c>
      <c r="I26" s="61" t="s">
        <v>28</v>
      </c>
      <c r="J26" s="112">
        <f>Electricity!L30</f>
        <v>31585821.081599247</v>
      </c>
      <c r="K26" s="46">
        <f t="shared" si="0"/>
        <v>1147.7405916278992</v>
      </c>
      <c r="L26" s="46">
        <f>Water!G29</f>
        <v>335</v>
      </c>
      <c r="M26" s="62">
        <v>12550</v>
      </c>
      <c r="N26" s="112">
        <f>TOTAL!L26*TOTAL!M26</f>
        <v>4204250</v>
      </c>
      <c r="O26" s="46">
        <f>Electricity!C30</f>
        <v>159</v>
      </c>
    </row>
    <row r="27" spans="1:15" x14ac:dyDescent="0.25">
      <c r="A27" s="51" t="s">
        <v>44</v>
      </c>
      <c r="B27" s="48">
        <v>26</v>
      </c>
      <c r="C27" s="48">
        <v>3</v>
      </c>
      <c r="D27" s="48">
        <f t="shared" si="1"/>
        <v>2019</v>
      </c>
      <c r="E27" s="46">
        <f>Electricity!G31</f>
        <v>25840.000000001965</v>
      </c>
      <c r="F27" s="46">
        <f>Electricity!E31</f>
        <v>4760.0000000002183</v>
      </c>
      <c r="G27" s="46">
        <f>Electricity!F31</f>
        <v>21080.000000001746</v>
      </c>
      <c r="H27" s="50">
        <v>1553.67</v>
      </c>
      <c r="I27" s="61" t="s">
        <v>28</v>
      </c>
      <c r="J27" s="112">
        <f>Electricity!L31</f>
        <v>29931224.6784022</v>
      </c>
      <c r="K27" s="46">
        <f t="shared" si="0"/>
        <v>1158.3291284210497</v>
      </c>
      <c r="L27" s="46">
        <f>Water!G30</f>
        <v>386</v>
      </c>
      <c r="M27" s="62">
        <v>12550</v>
      </c>
      <c r="N27" s="112">
        <f>TOTAL!L27*TOTAL!M27</f>
        <v>4844300</v>
      </c>
      <c r="O27" s="46">
        <f>Electricity!C31</f>
        <v>159</v>
      </c>
    </row>
    <row r="28" spans="1:15" x14ac:dyDescent="0.25">
      <c r="A28" s="51" t="s">
        <v>44</v>
      </c>
      <c r="B28" s="48">
        <v>27</v>
      </c>
      <c r="C28" s="48">
        <v>3</v>
      </c>
      <c r="D28" s="48">
        <f t="shared" si="1"/>
        <v>2019</v>
      </c>
      <c r="E28" s="46">
        <f>Electricity!G32</f>
        <v>26279.999999997017</v>
      </c>
      <c r="F28" s="46">
        <f>Electricity!E32</f>
        <v>5079.9999999999272</v>
      </c>
      <c r="G28" s="46">
        <f>Electricity!F32</f>
        <v>21199.99999999709</v>
      </c>
      <c r="H28" s="50">
        <v>1553.67</v>
      </c>
      <c r="I28" s="61" t="s">
        <v>28</v>
      </c>
      <c r="J28" s="112">
        <f>Electricity!L32</f>
        <v>30567607.910396796</v>
      </c>
      <c r="K28" s="46">
        <f t="shared" si="0"/>
        <v>1163.1509859360831</v>
      </c>
      <c r="L28" s="46">
        <f>Water!G31</f>
        <v>235</v>
      </c>
      <c r="M28" s="62">
        <v>12550</v>
      </c>
      <c r="N28" s="112">
        <f>TOTAL!L28*TOTAL!M28</f>
        <v>2949250</v>
      </c>
      <c r="O28" s="46">
        <f>Electricity!C32</f>
        <v>159</v>
      </c>
    </row>
    <row r="29" spans="1:15" x14ac:dyDescent="0.25">
      <c r="A29" s="51" t="s">
        <v>44</v>
      </c>
      <c r="B29" s="48">
        <v>28</v>
      </c>
      <c r="C29" s="48">
        <v>3</v>
      </c>
      <c r="D29" s="48">
        <f t="shared" si="1"/>
        <v>2019</v>
      </c>
      <c r="E29" s="46">
        <f>Electricity!G33</f>
        <v>25640.000000001237</v>
      </c>
      <c r="F29" s="46">
        <f>Electricity!E33</f>
        <v>4760.0000000002183</v>
      </c>
      <c r="G29" s="46">
        <f>Electricity!F33</f>
        <v>20880.000000001019</v>
      </c>
      <c r="H29" s="50">
        <v>1553.67</v>
      </c>
      <c r="I29" s="61" t="s">
        <v>28</v>
      </c>
      <c r="J29" s="112">
        <f>Electricity!L33</f>
        <v>29719096.934401423</v>
      </c>
      <c r="K29" s="46">
        <f t="shared" si="0"/>
        <v>1159.0911440873631</v>
      </c>
      <c r="L29" s="46">
        <f>Water!G32</f>
        <v>235</v>
      </c>
      <c r="M29" s="62">
        <v>12550</v>
      </c>
      <c r="N29" s="112">
        <f>TOTAL!L29*TOTAL!M29</f>
        <v>2949250</v>
      </c>
      <c r="O29" s="46">
        <f>Electricity!C33</f>
        <v>159</v>
      </c>
    </row>
    <row r="30" spans="1:15" s="46" customFormat="1" x14ac:dyDescent="0.25">
      <c r="A30" s="51" t="s">
        <v>44</v>
      </c>
      <c r="B30" s="48">
        <v>29</v>
      </c>
      <c r="C30" s="48">
        <v>3</v>
      </c>
      <c r="D30" s="48">
        <f t="shared" si="1"/>
        <v>2019</v>
      </c>
      <c r="E30" s="46">
        <f>Electricity!G34</f>
        <v>25960.000000000946</v>
      </c>
      <c r="F30" s="46">
        <f>Electricity!E34</f>
        <v>4719.9999999993452</v>
      </c>
      <c r="G30" s="46">
        <f>Electricity!F34</f>
        <v>21240.000000001601</v>
      </c>
      <c r="H30" s="50">
        <v>1553.67</v>
      </c>
      <c r="I30" s="61" t="s">
        <v>28</v>
      </c>
      <c r="J30" s="112">
        <f>Electricity!L34</f>
        <v>30037288.550400652</v>
      </c>
      <c r="K30" s="46">
        <f t="shared" si="0"/>
        <v>1157.0604218181647</v>
      </c>
      <c r="L30" s="46">
        <f>Water!G33</f>
        <v>364</v>
      </c>
      <c r="M30" s="62">
        <v>12550</v>
      </c>
      <c r="N30" s="112">
        <f>TOTAL!L30*TOTAL!M30</f>
        <v>4568200</v>
      </c>
      <c r="O30" s="46">
        <f>Electricity!C34</f>
        <v>159</v>
      </c>
    </row>
    <row r="31" spans="1:15" s="46" customFormat="1" x14ac:dyDescent="0.25">
      <c r="A31" s="51" t="s">
        <v>44</v>
      </c>
      <c r="B31" s="48">
        <v>30</v>
      </c>
      <c r="C31" s="48">
        <v>3</v>
      </c>
      <c r="D31" s="48">
        <f t="shared" si="1"/>
        <v>2019</v>
      </c>
      <c r="E31" s="46">
        <f>Electricity!G35</f>
        <v>26599.999999997635</v>
      </c>
      <c r="F31" s="46">
        <f>Electricity!E35</f>
        <v>5039.9999999999636</v>
      </c>
      <c r="G31" s="46">
        <f>Electricity!F35</f>
        <v>21559.999999997672</v>
      </c>
      <c r="H31" s="50">
        <v>1553.67</v>
      </c>
      <c r="I31" s="61" t="s">
        <v>28</v>
      </c>
      <c r="J31" s="112">
        <f>Electricity!L35</f>
        <v>30885799.52639747</v>
      </c>
      <c r="K31" s="46">
        <f t="shared" si="0"/>
        <v>1161.1202829473766</v>
      </c>
      <c r="L31" s="46">
        <f>Water!G34</f>
        <v>476</v>
      </c>
      <c r="M31" s="62">
        <v>12550</v>
      </c>
      <c r="N31" s="112">
        <f>TOTAL!L31*TOTAL!M31</f>
        <v>5973800</v>
      </c>
      <c r="O31" s="46">
        <f>Electricity!C35</f>
        <v>159</v>
      </c>
    </row>
    <row r="32" spans="1:15" s="46" customFormat="1" x14ac:dyDescent="0.25">
      <c r="A32" s="51" t="s">
        <v>44</v>
      </c>
      <c r="B32" s="48">
        <v>31</v>
      </c>
      <c r="C32" s="48">
        <v>3</v>
      </c>
      <c r="D32" s="48">
        <f t="shared" si="1"/>
        <v>2019</v>
      </c>
      <c r="E32" s="46">
        <f>Electricity!G36</f>
        <v>25480.000000000473</v>
      </c>
      <c r="F32" s="46">
        <f>Electricity!E36</f>
        <v>4480.0000000004729</v>
      </c>
      <c r="G32" s="46">
        <f>Electricity!F36</f>
        <v>21000</v>
      </c>
      <c r="H32" s="50">
        <v>1553.67</v>
      </c>
      <c r="I32" s="61" t="s">
        <v>28</v>
      </c>
      <c r="J32" s="112">
        <f>Electricity!L36</f>
        <v>29400905.318400752</v>
      </c>
      <c r="K32" s="46">
        <f t="shared" si="0"/>
        <v>1153.8816843956124</v>
      </c>
      <c r="L32" s="46">
        <f>Water!G35</f>
        <v>738</v>
      </c>
      <c r="M32" s="62">
        <v>12550</v>
      </c>
      <c r="N32" s="112">
        <f>TOTAL!L32*TOTAL!M32</f>
        <v>9261900</v>
      </c>
      <c r="O32" s="46">
        <f>Electricity!C36</f>
        <v>159</v>
      </c>
    </row>
    <row r="33" spans="1:13" s="46" customFormat="1" x14ac:dyDescent="0.25">
      <c r="A33" s="47"/>
      <c r="B33" s="49"/>
      <c r="C33" s="49"/>
      <c r="D33" s="48"/>
      <c r="G33" s="112"/>
      <c r="H33" s="112"/>
      <c r="I33" s="112"/>
      <c r="J33" s="112"/>
      <c r="K33" s="112"/>
      <c r="L33" s="112"/>
      <c r="M33" s="112"/>
    </row>
    <row r="34" spans="1:13" s="46" customFormat="1" x14ac:dyDescent="0.25">
      <c r="A34" s="47"/>
      <c r="B34" s="49"/>
      <c r="C34" s="49"/>
      <c r="D34" s="48"/>
      <c r="I34" s="50"/>
      <c r="J34" s="50"/>
      <c r="K34" s="50"/>
      <c r="L34" s="50"/>
      <c r="M34" s="50"/>
    </row>
    <row r="35" spans="1:13" s="46" customFormat="1" x14ac:dyDescent="0.25">
      <c r="A35" s="47"/>
      <c r="B35" s="49"/>
      <c r="C35" s="49"/>
      <c r="D35" s="48"/>
      <c r="I35" s="50"/>
      <c r="J35" s="50"/>
      <c r="K35" s="50"/>
      <c r="L35" s="50"/>
      <c r="M35" s="5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55"/>
  <sheetViews>
    <sheetView view="pageBreakPreview" zoomScale="80" zoomScaleNormal="80" zoomScaleSheetLayoutView="80" workbookViewId="0">
      <pane ySplit="4" topLeftCell="A5" activePane="bottomLeft" state="frozen"/>
      <selection pane="bottomLeft" activeCell="E2" sqref="E2:L2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8" customWidth="1"/>
    <col min="5" max="6" width="17.7109375" style="43" customWidth="1"/>
    <col min="7" max="7" width="22.5703125" style="43" customWidth="1"/>
    <col min="8" max="8" width="21.5703125" style="13" bestFit="1" customWidth="1"/>
    <col min="9" max="9" width="24.85546875" style="13" customWidth="1"/>
    <col min="10" max="10" width="29.7109375" style="91" customWidth="1"/>
    <col min="11" max="11" width="20.5703125" style="91" bestFit="1" customWidth="1"/>
    <col min="12" max="12" width="23.42578125" style="91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33.75" customHeight="1" thickBot="1" x14ac:dyDescent="0.3">
      <c r="B1" s="121" t="s">
        <v>37</v>
      </c>
      <c r="C1" s="122"/>
      <c r="D1" s="122"/>
      <c r="E1" s="28"/>
      <c r="F1" s="29"/>
      <c r="G1" s="29"/>
      <c r="H1" s="27"/>
      <c r="I1" s="26"/>
      <c r="J1" s="99"/>
      <c r="K1" s="99"/>
      <c r="L1" s="108"/>
      <c r="M1" s="2"/>
      <c r="N1" s="2"/>
    </row>
    <row r="2" spans="2:17" s="3" customFormat="1" ht="63" customHeight="1" x14ac:dyDescent="0.25">
      <c r="B2" s="123" t="s">
        <v>0</v>
      </c>
      <c r="C2" s="135" t="s">
        <v>33</v>
      </c>
      <c r="D2" s="126" t="s">
        <v>9</v>
      </c>
      <c r="E2" s="129" t="s">
        <v>38</v>
      </c>
      <c r="F2" s="130"/>
      <c r="G2" s="130"/>
      <c r="H2" s="130"/>
      <c r="I2" s="130"/>
      <c r="J2" s="130"/>
      <c r="K2" s="130"/>
      <c r="L2" s="131"/>
      <c r="M2" s="2"/>
      <c r="N2" s="2"/>
      <c r="O2" s="1"/>
      <c r="P2" s="1"/>
      <c r="Q2" s="1"/>
    </row>
    <row r="3" spans="2:17" s="23" customFormat="1" ht="25.5" customHeight="1" x14ac:dyDescent="0.25">
      <c r="B3" s="124"/>
      <c r="C3" s="136"/>
      <c r="D3" s="127"/>
      <c r="E3" s="20" t="s">
        <v>7</v>
      </c>
      <c r="F3" s="24" t="s">
        <v>13</v>
      </c>
      <c r="G3" s="24" t="s">
        <v>16</v>
      </c>
      <c r="H3" s="132" t="s">
        <v>17</v>
      </c>
      <c r="I3" s="133"/>
      <c r="J3" s="134"/>
      <c r="K3" s="117" t="s">
        <v>35</v>
      </c>
      <c r="L3" s="119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5"/>
      <c r="C4" s="55"/>
      <c r="D4" s="128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100" t="s">
        <v>1</v>
      </c>
      <c r="K4" s="118"/>
      <c r="L4" s="120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6" t="s">
        <v>34</v>
      </c>
      <c r="D5" s="92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100" t="s">
        <v>11</v>
      </c>
      <c r="K5" s="107" t="s">
        <v>11</v>
      </c>
      <c r="L5" s="109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43525</v>
      </c>
      <c r="C6" s="63">
        <v>159</v>
      </c>
      <c r="D6" s="93">
        <v>1035.78</v>
      </c>
      <c r="E6" s="114">
        <v>5760.0000000002183</v>
      </c>
      <c r="F6" s="115">
        <v>9439.9999999986903</v>
      </c>
      <c r="G6" s="86">
        <f>F6+E6</f>
        <v>15199.999999998909</v>
      </c>
      <c r="H6" s="87">
        <f t="shared" ref="H6:H33" si="0">E6*1.5*D6</f>
        <v>8949139.2000003383</v>
      </c>
      <c r="I6" s="87">
        <f t="shared" ref="I6:I33" si="1">F6*D6</f>
        <v>9777763.1999986432</v>
      </c>
      <c r="J6" s="87">
        <f t="shared" ref="J6:J30" si="2">I6+H6</f>
        <v>18726902.399998982</v>
      </c>
      <c r="K6" s="87">
        <f>J6*0.024</f>
        <v>449445.65759997559</v>
      </c>
      <c r="L6" s="110">
        <f>J6+K6</f>
        <v>19176348.057598956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43526</v>
      </c>
      <c r="C7" s="63">
        <v>159</v>
      </c>
      <c r="D7" s="93">
        <v>1035.78</v>
      </c>
      <c r="E7" s="114">
        <v>3279.9999999997453</v>
      </c>
      <c r="F7" s="115">
        <v>20200.000000000728</v>
      </c>
      <c r="G7" s="86">
        <f t="shared" ref="G7:G33" si="3">F7+E7</f>
        <v>23480.000000000473</v>
      </c>
      <c r="H7" s="87">
        <f t="shared" si="0"/>
        <v>5096037.5999996038</v>
      </c>
      <c r="I7" s="87">
        <f t="shared" si="1"/>
        <v>20922756.000000753</v>
      </c>
      <c r="J7" s="87">
        <f t="shared" si="2"/>
        <v>26018793.600000355</v>
      </c>
      <c r="K7" s="87">
        <f t="shared" ref="K7:K36" si="4">J7*0.024</f>
        <v>624451.04640000849</v>
      </c>
      <c r="L7" s="110">
        <f>J7+K7</f>
        <v>26643244.646400362</v>
      </c>
      <c r="M7" s="1"/>
      <c r="N7" s="44"/>
      <c r="O7" s="1"/>
      <c r="P7" s="1"/>
      <c r="Q7" s="1"/>
    </row>
    <row r="8" spans="2:17" s="3" customFormat="1" ht="50.1" customHeight="1" x14ac:dyDescent="0.25">
      <c r="B8" s="5">
        <v>43527</v>
      </c>
      <c r="C8" s="63">
        <v>159</v>
      </c>
      <c r="D8" s="93">
        <v>1035.78</v>
      </c>
      <c r="E8" s="114">
        <v>5239.9999999997817</v>
      </c>
      <c r="F8" s="115">
        <v>20920.000000001892</v>
      </c>
      <c r="G8" s="86">
        <f t="shared" si="3"/>
        <v>26160.000000001673</v>
      </c>
      <c r="H8" s="87">
        <f t="shared" si="0"/>
        <v>8141230.7999996608</v>
      </c>
      <c r="I8" s="87">
        <f t="shared" si="1"/>
        <v>21668517.600001957</v>
      </c>
      <c r="J8" s="87">
        <f t="shared" si="2"/>
        <v>29809748.400001619</v>
      </c>
      <c r="K8" s="87">
        <f t="shared" si="4"/>
        <v>715433.96160003892</v>
      </c>
      <c r="L8" s="110">
        <f t="shared" ref="L8:L30" si="5">J8+K8</f>
        <v>30525182.361601658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43528</v>
      </c>
      <c r="C9" s="63">
        <v>159</v>
      </c>
      <c r="D9" s="93">
        <v>1035.78</v>
      </c>
      <c r="E9" s="114">
        <v>5400.0000000005457</v>
      </c>
      <c r="F9" s="115">
        <v>21159.999999999854</v>
      </c>
      <c r="G9" s="86">
        <f t="shared" si="3"/>
        <v>26560.0000000004</v>
      </c>
      <c r="H9" s="87">
        <f t="shared" si="0"/>
        <v>8389818.0000008475</v>
      </c>
      <c r="I9" s="87">
        <f t="shared" si="1"/>
        <v>21917104.799999848</v>
      </c>
      <c r="J9" s="87">
        <f t="shared" si="2"/>
        <v>30306922.800000697</v>
      </c>
      <c r="K9" s="87">
        <f t="shared" si="4"/>
        <v>727366.14720001677</v>
      </c>
      <c r="L9" s="110">
        <f t="shared" si="5"/>
        <v>31034288.947200716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43529</v>
      </c>
      <c r="C10" s="63">
        <v>159</v>
      </c>
      <c r="D10" s="93">
        <v>1035.78</v>
      </c>
      <c r="E10" s="114">
        <v>4840.0000000001455</v>
      </c>
      <c r="F10" s="115">
        <v>20519.999999996799</v>
      </c>
      <c r="G10" s="86">
        <f t="shared" si="3"/>
        <v>25359.999999996944</v>
      </c>
      <c r="H10" s="87">
        <f t="shared" si="0"/>
        <v>7519762.8000002261</v>
      </c>
      <c r="I10" s="87">
        <f t="shared" si="1"/>
        <v>21254205.599996682</v>
      </c>
      <c r="J10" s="87">
        <f t="shared" si="2"/>
        <v>28773968.399996907</v>
      </c>
      <c r="K10" s="87">
        <f t="shared" si="4"/>
        <v>690575.24159992579</v>
      </c>
      <c r="L10" s="110">
        <f t="shared" si="5"/>
        <v>29464543.641596831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43530</v>
      </c>
      <c r="C11" s="63">
        <v>159</v>
      </c>
      <c r="D11" s="93">
        <v>1035.78</v>
      </c>
      <c r="E11" s="114">
        <v>5079.9999999999272</v>
      </c>
      <c r="F11" s="115">
        <v>21000</v>
      </c>
      <c r="G11" s="86">
        <f t="shared" si="3"/>
        <v>26079.999999999927</v>
      </c>
      <c r="H11" s="87">
        <f t="shared" si="0"/>
        <v>7892643.5999998869</v>
      </c>
      <c r="I11" s="87">
        <f t="shared" si="1"/>
        <v>21751380</v>
      </c>
      <c r="J11" s="87">
        <f t="shared" si="2"/>
        <v>29644023.599999886</v>
      </c>
      <c r="K11" s="87">
        <f t="shared" si="4"/>
        <v>711456.56639999733</v>
      </c>
      <c r="L11" s="110">
        <f t="shared" si="5"/>
        <v>30355480.166399885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43531</v>
      </c>
      <c r="C12" s="63">
        <v>159</v>
      </c>
      <c r="D12" s="93">
        <v>1035.78</v>
      </c>
      <c r="E12" s="114">
        <v>4399.9999999996362</v>
      </c>
      <c r="F12" s="115">
        <v>20400.000000001455</v>
      </c>
      <c r="G12" s="86">
        <f t="shared" si="3"/>
        <v>24800.000000001091</v>
      </c>
      <c r="H12" s="87">
        <f t="shared" si="0"/>
        <v>6836147.9999994347</v>
      </c>
      <c r="I12" s="87">
        <f t="shared" si="1"/>
        <v>21129912.000001505</v>
      </c>
      <c r="J12" s="87">
        <f t="shared" si="2"/>
        <v>27966060.000000939</v>
      </c>
      <c r="K12" s="87">
        <f t="shared" si="4"/>
        <v>671185.44000002253</v>
      </c>
      <c r="L12" s="110">
        <f t="shared" si="5"/>
        <v>28637245.440000962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43532</v>
      </c>
      <c r="C13" s="63">
        <v>159</v>
      </c>
      <c r="D13" s="93">
        <v>1035.78</v>
      </c>
      <c r="E13" s="114">
        <v>4800.0000000001819</v>
      </c>
      <c r="F13" s="115">
        <v>20840.000000000146</v>
      </c>
      <c r="G13" s="86">
        <f t="shared" si="3"/>
        <v>25640.000000000327</v>
      </c>
      <c r="H13" s="87">
        <f t="shared" si="0"/>
        <v>7457616.0000002822</v>
      </c>
      <c r="I13" s="87">
        <f t="shared" si="1"/>
        <v>21585655.200000152</v>
      </c>
      <c r="J13" s="87">
        <f t="shared" si="2"/>
        <v>29043271.200000435</v>
      </c>
      <c r="K13" s="87">
        <f t="shared" si="4"/>
        <v>697038.50880001043</v>
      </c>
      <c r="L13" s="110">
        <f t="shared" si="5"/>
        <v>29740309.708800446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43533</v>
      </c>
      <c r="C14" s="63">
        <v>159</v>
      </c>
      <c r="D14" s="93">
        <v>1035.78</v>
      </c>
      <c r="E14" s="114">
        <v>4639.9999999994179</v>
      </c>
      <c r="F14" s="115">
        <v>21119.999999998981</v>
      </c>
      <c r="G14" s="86">
        <f t="shared" si="3"/>
        <v>25759.999999998399</v>
      </c>
      <c r="H14" s="87">
        <f t="shared" si="0"/>
        <v>7209028.7999990955</v>
      </c>
      <c r="I14" s="87">
        <f t="shared" si="1"/>
        <v>21875673.599998944</v>
      </c>
      <c r="J14" s="87">
        <f t="shared" si="2"/>
        <v>29084702.399998039</v>
      </c>
      <c r="K14" s="87">
        <f t="shared" si="4"/>
        <v>698032.85759995296</v>
      </c>
      <c r="L14" s="110">
        <f t="shared" si="5"/>
        <v>29782735.25759799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43534</v>
      </c>
      <c r="C15" s="63">
        <v>159</v>
      </c>
      <c r="D15" s="93">
        <v>1035.78</v>
      </c>
      <c r="E15" s="114">
        <v>4880.0000000001091</v>
      </c>
      <c r="F15" s="115">
        <v>20880.000000001019</v>
      </c>
      <c r="G15" s="86">
        <f t="shared" si="3"/>
        <v>25760.000000001128</v>
      </c>
      <c r="H15" s="87">
        <f t="shared" si="0"/>
        <v>7581909.6000001691</v>
      </c>
      <c r="I15" s="87">
        <f t="shared" si="1"/>
        <v>21627086.400001053</v>
      </c>
      <c r="J15" s="87">
        <f t="shared" si="2"/>
        <v>29208996.000001222</v>
      </c>
      <c r="K15" s="87">
        <f t="shared" si="4"/>
        <v>701015.90400002932</v>
      </c>
      <c r="L15" s="110">
        <f t="shared" si="5"/>
        <v>29910011.904001251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43535</v>
      </c>
      <c r="C16" s="63">
        <v>159</v>
      </c>
      <c r="D16" s="93">
        <v>1035.78</v>
      </c>
      <c r="E16" s="114">
        <v>5520.0000000004366</v>
      </c>
      <c r="F16" s="115">
        <v>21319.999999999709</v>
      </c>
      <c r="G16" s="86">
        <f t="shared" si="3"/>
        <v>26840.000000000146</v>
      </c>
      <c r="H16" s="87">
        <f t="shared" si="0"/>
        <v>8576258.4000006784</v>
      </c>
      <c r="I16" s="87">
        <f t="shared" si="1"/>
        <v>22082829.5999997</v>
      </c>
      <c r="J16" s="87">
        <f t="shared" si="2"/>
        <v>30659088.00000038</v>
      </c>
      <c r="K16" s="87">
        <f t="shared" si="4"/>
        <v>735818.11200000916</v>
      </c>
      <c r="L16" s="110">
        <f t="shared" si="5"/>
        <v>31394906.112000391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43536</v>
      </c>
      <c r="C17" s="63">
        <v>159</v>
      </c>
      <c r="D17" s="93">
        <v>1035.78</v>
      </c>
      <c r="E17" s="116">
        <v>5359.9999999996726</v>
      </c>
      <c r="F17" s="116">
        <v>21119.999999998981</v>
      </c>
      <c r="G17" s="86">
        <f t="shared" si="3"/>
        <v>26479.999999998654</v>
      </c>
      <c r="H17" s="87">
        <f t="shared" si="0"/>
        <v>8327671.1999994908</v>
      </c>
      <c r="I17" s="87">
        <f t="shared" si="1"/>
        <v>21875673.599998944</v>
      </c>
      <c r="J17" s="87">
        <f t="shared" si="2"/>
        <v>30203344.799998432</v>
      </c>
      <c r="K17" s="87">
        <f t="shared" si="4"/>
        <v>724880.27519996243</v>
      </c>
      <c r="L17" s="110">
        <f t="shared" si="5"/>
        <v>30928225.075198393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43537</v>
      </c>
      <c r="C18" s="63">
        <v>159</v>
      </c>
      <c r="D18" s="93">
        <v>1035.78</v>
      </c>
      <c r="E18" s="116">
        <v>5760.0000000002183</v>
      </c>
      <c r="F18" s="116">
        <v>25960.000000002765</v>
      </c>
      <c r="G18" s="86">
        <f t="shared" si="3"/>
        <v>31720.000000002983</v>
      </c>
      <c r="H18" s="87">
        <f t="shared" si="0"/>
        <v>8949139.2000003383</v>
      </c>
      <c r="I18" s="87">
        <f t="shared" si="1"/>
        <v>26888848.800002862</v>
      </c>
      <c r="J18" s="87">
        <f t="shared" si="2"/>
        <v>35837988.000003204</v>
      </c>
      <c r="K18" s="87">
        <f t="shared" si="4"/>
        <v>860111.71200007689</v>
      </c>
      <c r="L18" s="110">
        <f t="shared" si="5"/>
        <v>36698099.712003283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43538</v>
      </c>
      <c r="C19" s="63">
        <v>159</v>
      </c>
      <c r="D19" s="93">
        <v>1035.78</v>
      </c>
      <c r="E19" s="116">
        <v>2359.9999999996726</v>
      </c>
      <c r="F19" s="116">
        <v>17319.999999999709</v>
      </c>
      <c r="G19" s="86">
        <f t="shared" si="3"/>
        <v>19679.999999999382</v>
      </c>
      <c r="H19" s="87">
        <f t="shared" si="0"/>
        <v>3666661.1999994912</v>
      </c>
      <c r="I19" s="87">
        <f t="shared" si="1"/>
        <v>17939709.5999997</v>
      </c>
      <c r="J19" s="87">
        <f t="shared" si="2"/>
        <v>21606370.799999192</v>
      </c>
      <c r="K19" s="87">
        <f t="shared" si="4"/>
        <v>518552.8991999806</v>
      </c>
      <c r="L19" s="110">
        <f t="shared" si="5"/>
        <v>22124923.699199174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43539</v>
      </c>
      <c r="C20" s="63">
        <v>159</v>
      </c>
      <c r="D20" s="93">
        <v>1035.78</v>
      </c>
      <c r="E20" s="116">
        <v>5600.0000000003638</v>
      </c>
      <c r="F20" s="116">
        <v>20559.999999997672</v>
      </c>
      <c r="G20" s="86">
        <f t="shared" si="3"/>
        <v>26159.999999998035</v>
      </c>
      <c r="H20" s="87">
        <f t="shared" si="0"/>
        <v>8700552.0000005644</v>
      </c>
      <c r="I20" s="87">
        <f t="shared" si="1"/>
        <v>21295636.799997587</v>
      </c>
      <c r="J20" s="87">
        <f t="shared" si="2"/>
        <v>29996188.799998149</v>
      </c>
      <c r="K20" s="87">
        <f t="shared" si="4"/>
        <v>719908.53119995561</v>
      </c>
      <c r="L20" s="110">
        <f t="shared" si="5"/>
        <v>30716097.331198104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43540</v>
      </c>
      <c r="C21" s="63">
        <v>159</v>
      </c>
      <c r="D21" s="93">
        <v>1035.78</v>
      </c>
      <c r="E21" s="116">
        <v>5600.0000000003638</v>
      </c>
      <c r="F21" s="116">
        <v>21479.999999999563</v>
      </c>
      <c r="G21" s="86">
        <f t="shared" si="3"/>
        <v>27079.999999999927</v>
      </c>
      <c r="H21" s="87">
        <f t="shared" si="0"/>
        <v>8700552.0000005644</v>
      </c>
      <c r="I21" s="87">
        <f t="shared" si="1"/>
        <v>22248554.399999548</v>
      </c>
      <c r="J21" s="87">
        <f t="shared" si="2"/>
        <v>30949106.40000011</v>
      </c>
      <c r="K21" s="87">
        <f t="shared" si="4"/>
        <v>742778.55360000266</v>
      </c>
      <c r="L21" s="110">
        <f t="shared" si="5"/>
        <v>31691884.953600112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43541</v>
      </c>
      <c r="C22" s="63">
        <v>159</v>
      </c>
      <c r="D22" s="93">
        <v>1035.78</v>
      </c>
      <c r="E22" s="116">
        <v>9279.9999999997453</v>
      </c>
      <c r="F22" s="116">
        <v>20240.000000001601</v>
      </c>
      <c r="G22" s="86">
        <f t="shared" si="3"/>
        <v>29520.000000001346</v>
      </c>
      <c r="H22" s="87">
        <f t="shared" si="0"/>
        <v>14418057.599999605</v>
      </c>
      <c r="I22" s="87">
        <f t="shared" si="1"/>
        <v>20964187.200001657</v>
      </c>
      <c r="J22" s="87">
        <f t="shared" si="2"/>
        <v>35382244.800001264</v>
      </c>
      <c r="K22" s="87">
        <f t="shared" si="4"/>
        <v>849173.87520003039</v>
      </c>
      <c r="L22" s="110">
        <f t="shared" si="5"/>
        <v>36231418.675201297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43542</v>
      </c>
      <c r="C23" s="63">
        <v>159</v>
      </c>
      <c r="D23" s="93">
        <v>1035.78</v>
      </c>
      <c r="E23" s="116">
        <v>4840.0000000001455</v>
      </c>
      <c r="F23" s="116">
        <v>20639.999999999418</v>
      </c>
      <c r="G23" s="86">
        <f t="shared" si="3"/>
        <v>25479.999999999563</v>
      </c>
      <c r="H23" s="87">
        <f t="shared" si="0"/>
        <v>7519762.8000002261</v>
      </c>
      <c r="I23" s="87">
        <f t="shared" si="1"/>
        <v>21378499.199999396</v>
      </c>
      <c r="J23" s="87">
        <f t="shared" si="2"/>
        <v>28898261.99999962</v>
      </c>
      <c r="K23" s="87">
        <f t="shared" si="4"/>
        <v>693558.28799999086</v>
      </c>
      <c r="L23" s="110">
        <f t="shared" si="5"/>
        <v>29591820.287999611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43543</v>
      </c>
      <c r="C24" s="63">
        <v>159</v>
      </c>
      <c r="D24" s="93">
        <v>1035.78</v>
      </c>
      <c r="E24" s="116">
        <v>5159.9999999998545</v>
      </c>
      <c r="F24" s="116">
        <v>20920.000000001892</v>
      </c>
      <c r="G24" s="86">
        <f t="shared" si="3"/>
        <v>26080.000000001746</v>
      </c>
      <c r="H24" s="87">
        <f t="shared" si="0"/>
        <v>8016937.1999997739</v>
      </c>
      <c r="I24" s="87">
        <f t="shared" si="1"/>
        <v>21668517.600001957</v>
      </c>
      <c r="J24" s="87">
        <f t="shared" si="2"/>
        <v>29685454.800001733</v>
      </c>
      <c r="K24" s="87">
        <f t="shared" si="4"/>
        <v>712450.91520004161</v>
      </c>
      <c r="L24" s="110">
        <f t="shared" si="5"/>
        <v>30397905.715201773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43544</v>
      </c>
      <c r="C25" s="63">
        <v>159</v>
      </c>
      <c r="D25" s="93">
        <v>1035.78</v>
      </c>
      <c r="E25" s="116">
        <v>4399.9999999996362</v>
      </c>
      <c r="F25" s="116">
        <v>20959.999999999127</v>
      </c>
      <c r="G25" s="86">
        <f t="shared" si="3"/>
        <v>25359.999999998763</v>
      </c>
      <c r="H25" s="87">
        <f t="shared" si="0"/>
        <v>6836147.9999994347</v>
      </c>
      <c r="I25" s="87">
        <f t="shared" si="1"/>
        <v>21709948.799999095</v>
      </c>
      <c r="J25" s="87">
        <f t="shared" si="2"/>
        <v>28546096.799998529</v>
      </c>
      <c r="K25" s="87">
        <f t="shared" si="4"/>
        <v>685106.32319996471</v>
      </c>
      <c r="L25" s="110">
        <f t="shared" si="5"/>
        <v>29231203.123198494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43545</v>
      </c>
      <c r="C26" s="63">
        <v>159</v>
      </c>
      <c r="D26" s="93">
        <v>1035.78</v>
      </c>
      <c r="E26" s="116">
        <v>5240.0000000006912</v>
      </c>
      <c r="F26" s="116">
        <v>21319.999999999709</v>
      </c>
      <c r="G26" s="86">
        <f t="shared" si="3"/>
        <v>26560.0000000004</v>
      </c>
      <c r="H26" s="87">
        <f t="shared" si="0"/>
        <v>8141230.8000010736</v>
      </c>
      <c r="I26" s="87">
        <f t="shared" si="1"/>
        <v>22082829.5999997</v>
      </c>
      <c r="J26" s="87">
        <f t="shared" si="2"/>
        <v>30224060.400000773</v>
      </c>
      <c r="K26" s="87">
        <f t="shared" si="4"/>
        <v>725377.44960001856</v>
      </c>
      <c r="L26" s="110">
        <f>J26+K26</f>
        <v>30949437.849600792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43546</v>
      </c>
      <c r="C27" s="63">
        <v>159</v>
      </c>
      <c r="D27" s="93">
        <v>1035.78</v>
      </c>
      <c r="E27" s="116">
        <v>4599.9999999994543</v>
      </c>
      <c r="F27" s="116">
        <v>21880.000000001019</v>
      </c>
      <c r="G27" s="86">
        <f t="shared" si="3"/>
        <v>26480.000000000473</v>
      </c>
      <c r="H27" s="87">
        <f t="shared" si="0"/>
        <v>7146881.9999991516</v>
      </c>
      <c r="I27" s="87">
        <f t="shared" si="1"/>
        <v>22662866.400001053</v>
      </c>
      <c r="J27" s="87">
        <f t="shared" si="2"/>
        <v>29809748.400000203</v>
      </c>
      <c r="K27" s="87">
        <f t="shared" si="4"/>
        <v>715433.96160000493</v>
      </c>
      <c r="L27" s="110">
        <f t="shared" si="5"/>
        <v>30525182.361600209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43547</v>
      </c>
      <c r="C28" s="63">
        <v>159</v>
      </c>
      <c r="D28" s="93">
        <v>1035.78</v>
      </c>
      <c r="E28" s="116">
        <v>5440.0000000005093</v>
      </c>
      <c r="F28" s="116">
        <v>21479.999999999563</v>
      </c>
      <c r="G28" s="86">
        <f t="shared" si="3"/>
        <v>26920.000000000073</v>
      </c>
      <c r="H28" s="87">
        <f t="shared" si="0"/>
        <v>8451964.8000007905</v>
      </c>
      <c r="I28" s="87">
        <f t="shared" si="1"/>
        <v>22248554.399999548</v>
      </c>
      <c r="J28" s="87">
        <f t="shared" si="2"/>
        <v>30700519.200000338</v>
      </c>
      <c r="K28" s="87">
        <f t="shared" si="4"/>
        <v>736812.46080000815</v>
      </c>
      <c r="L28" s="110">
        <f t="shared" si="5"/>
        <v>31437331.660800345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43548</v>
      </c>
      <c r="C29" s="63">
        <v>159</v>
      </c>
      <c r="D29" s="93">
        <v>1035.78</v>
      </c>
      <c r="E29" s="116">
        <v>4000</v>
      </c>
      <c r="F29" s="116">
        <v>19439.99999999869</v>
      </c>
      <c r="G29" s="86">
        <f t="shared" si="3"/>
        <v>23439.99999999869</v>
      </c>
      <c r="H29" s="87">
        <f t="shared" si="0"/>
        <v>6214680</v>
      </c>
      <c r="I29" s="87">
        <f t="shared" si="1"/>
        <v>20135563.199998643</v>
      </c>
      <c r="J29" s="87">
        <f t="shared" si="2"/>
        <v>26350243.199998643</v>
      </c>
      <c r="K29" s="87">
        <f t="shared" si="4"/>
        <v>632405.83679996745</v>
      </c>
      <c r="L29" s="110">
        <f t="shared" si="5"/>
        <v>26982649.036798611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43549</v>
      </c>
      <c r="C30" s="63">
        <v>159</v>
      </c>
      <c r="D30" s="93">
        <v>1035.78</v>
      </c>
      <c r="E30" s="116">
        <v>4519.9999999995271</v>
      </c>
      <c r="F30" s="116">
        <v>23000</v>
      </c>
      <c r="G30" s="86">
        <f t="shared" si="3"/>
        <v>27519.999999999527</v>
      </c>
      <c r="H30" s="87">
        <f t="shared" si="0"/>
        <v>7022588.3999992646</v>
      </c>
      <c r="I30" s="87">
        <f t="shared" si="1"/>
        <v>23822940</v>
      </c>
      <c r="J30" s="87">
        <f t="shared" si="2"/>
        <v>30845528.399999265</v>
      </c>
      <c r="K30" s="87">
        <f t="shared" si="4"/>
        <v>740292.68159998232</v>
      </c>
      <c r="L30" s="110">
        <f t="shared" si="5"/>
        <v>31585821.081599247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43550</v>
      </c>
      <c r="C31" s="63">
        <v>159</v>
      </c>
      <c r="D31" s="93">
        <v>1035.78</v>
      </c>
      <c r="E31" s="116">
        <v>4760.0000000002183</v>
      </c>
      <c r="F31" s="116">
        <v>21080.000000001746</v>
      </c>
      <c r="G31" s="86">
        <f t="shared" si="3"/>
        <v>25840.000000001965</v>
      </c>
      <c r="H31" s="87">
        <f t="shared" si="0"/>
        <v>7395469.2000003392</v>
      </c>
      <c r="I31" s="87">
        <f t="shared" si="1"/>
        <v>21834242.400001809</v>
      </c>
      <c r="J31" s="87">
        <f t="shared" ref="J31:J33" si="6">I31+H31</f>
        <v>29229711.600002147</v>
      </c>
      <c r="K31" s="87">
        <f t="shared" si="4"/>
        <v>701513.07840005157</v>
      </c>
      <c r="L31" s="110">
        <f t="shared" ref="L31:L33" si="7">J31+K31</f>
        <v>29931224.6784022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43551</v>
      </c>
      <c r="C32" s="63">
        <v>159</v>
      </c>
      <c r="D32" s="93">
        <v>1035.78</v>
      </c>
      <c r="E32" s="116">
        <v>5079.9999999999272</v>
      </c>
      <c r="F32" s="116">
        <v>21199.99999999709</v>
      </c>
      <c r="G32" s="86">
        <f t="shared" si="3"/>
        <v>26279.999999997017</v>
      </c>
      <c r="H32" s="87">
        <f t="shared" si="0"/>
        <v>7892643.5999998869</v>
      </c>
      <c r="I32" s="87">
        <f t="shared" si="1"/>
        <v>21958535.999996986</v>
      </c>
      <c r="J32" s="87">
        <f t="shared" si="6"/>
        <v>29851179.599996872</v>
      </c>
      <c r="K32" s="87">
        <f t="shared" si="4"/>
        <v>716428.31039992499</v>
      </c>
      <c r="L32" s="110">
        <f t="shared" si="7"/>
        <v>30567607.910396796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43552</v>
      </c>
      <c r="C33" s="63">
        <v>159</v>
      </c>
      <c r="D33" s="93">
        <v>1035.78</v>
      </c>
      <c r="E33" s="116">
        <v>4760.0000000002183</v>
      </c>
      <c r="F33" s="116">
        <v>20880.000000001019</v>
      </c>
      <c r="G33" s="86">
        <f t="shared" si="3"/>
        <v>25640.000000001237</v>
      </c>
      <c r="H33" s="87">
        <f t="shared" si="0"/>
        <v>7395469.2000003392</v>
      </c>
      <c r="I33" s="87">
        <f t="shared" si="1"/>
        <v>21627086.400001053</v>
      </c>
      <c r="J33" s="87">
        <f t="shared" si="6"/>
        <v>29022555.600001391</v>
      </c>
      <c r="K33" s="87">
        <f t="shared" si="4"/>
        <v>696541.33440003335</v>
      </c>
      <c r="L33" s="110">
        <f t="shared" si="7"/>
        <v>29719096.934401423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43553</v>
      </c>
      <c r="C34" s="63">
        <v>159</v>
      </c>
      <c r="D34" s="93">
        <v>1035.78</v>
      </c>
      <c r="E34" s="116">
        <v>4719.9999999993452</v>
      </c>
      <c r="F34" s="116">
        <v>21240.000000001601</v>
      </c>
      <c r="G34" s="86">
        <f t="shared" ref="G34:G36" si="8">F34+E34</f>
        <v>25960.000000000946</v>
      </c>
      <c r="H34" s="87">
        <f t="shared" ref="H34:H36" si="9">E34*1.5*D34</f>
        <v>7333322.3999989824</v>
      </c>
      <c r="I34" s="87">
        <f t="shared" ref="I34:I36" si="10">F34*D34</f>
        <v>21999967.200001657</v>
      </c>
      <c r="J34" s="87">
        <f t="shared" ref="J34:J36" si="11">I34+H34</f>
        <v>29333289.600000639</v>
      </c>
      <c r="K34" s="87">
        <f t="shared" si="4"/>
        <v>703998.95040001534</v>
      </c>
      <c r="L34" s="110">
        <f t="shared" ref="L34:L36" si="12">J34+K34</f>
        <v>30037288.550400652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43554</v>
      </c>
      <c r="C35" s="63">
        <v>159</v>
      </c>
      <c r="D35" s="93">
        <v>1035.78</v>
      </c>
      <c r="E35" s="116">
        <v>5039.9999999999636</v>
      </c>
      <c r="F35" s="116">
        <v>21559.999999997672</v>
      </c>
      <c r="G35" s="86">
        <f t="shared" si="8"/>
        <v>26599.999999997635</v>
      </c>
      <c r="H35" s="87">
        <f t="shared" si="9"/>
        <v>7830496.799999943</v>
      </c>
      <c r="I35" s="87">
        <f t="shared" si="10"/>
        <v>22331416.799997587</v>
      </c>
      <c r="J35" s="87">
        <f t="shared" si="11"/>
        <v>30161913.599997528</v>
      </c>
      <c r="K35" s="87">
        <f t="shared" si="4"/>
        <v>723885.92639994074</v>
      </c>
      <c r="L35" s="110">
        <f t="shared" si="12"/>
        <v>30885799.52639747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43555</v>
      </c>
      <c r="C36" s="63">
        <v>159</v>
      </c>
      <c r="D36" s="93">
        <v>1035.78</v>
      </c>
      <c r="E36" s="116">
        <v>4480.0000000004729</v>
      </c>
      <c r="F36" s="116">
        <v>21000</v>
      </c>
      <c r="G36" s="86">
        <f t="shared" si="8"/>
        <v>25480.000000000473</v>
      </c>
      <c r="H36" s="87">
        <f t="shared" si="9"/>
        <v>6960441.6000007344</v>
      </c>
      <c r="I36" s="87">
        <f t="shared" si="10"/>
        <v>21751380</v>
      </c>
      <c r="J36" s="87">
        <f t="shared" si="11"/>
        <v>28711821.600000735</v>
      </c>
      <c r="K36" s="87">
        <f t="shared" si="4"/>
        <v>689083.71840001771</v>
      </c>
      <c r="L36" s="110">
        <f t="shared" si="12"/>
        <v>29400905.318400752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SUM(C6:C33)</f>
        <v>4452</v>
      </c>
      <c r="D37" s="94"/>
      <c r="E37" s="88">
        <f t="shared" ref="E37:L37" si="13">SUM(E6:E36)</f>
        <v>154840.00000000015</v>
      </c>
      <c r="F37" s="88">
        <f t="shared" si="13"/>
        <v>641079.99999999825</v>
      </c>
      <c r="G37" s="88">
        <f t="shared" si="13"/>
        <v>795919.99999999837</v>
      </c>
      <c r="H37" s="88">
        <f t="shared" si="13"/>
        <v>240570262.80000028</v>
      </c>
      <c r="I37" s="88">
        <f t="shared" si="13"/>
        <v>664017842.39999795</v>
      </c>
      <c r="J37" s="88">
        <f t="shared" si="13"/>
        <v>904588105.19999814</v>
      </c>
      <c r="K37" s="88">
        <f t="shared" si="13"/>
        <v>21710114.524799962</v>
      </c>
      <c r="L37" s="88">
        <f t="shared" si="13"/>
        <v>926298219.72479808</v>
      </c>
    </row>
    <row r="38" spans="2:17" s="1" customFormat="1" x14ac:dyDescent="0.25">
      <c r="B38" s="7"/>
      <c r="C38" s="7"/>
      <c r="D38" s="94"/>
      <c r="E38" s="31"/>
      <c r="F38" s="31"/>
      <c r="G38" s="32"/>
      <c r="H38" s="9"/>
      <c r="J38" s="101"/>
      <c r="K38" s="15"/>
      <c r="L38" s="89"/>
    </row>
    <row r="39" spans="2:17" s="1" customFormat="1" x14ac:dyDescent="0.25">
      <c r="B39" s="7"/>
      <c r="C39" s="7"/>
      <c r="D39" s="95"/>
      <c r="E39" s="31"/>
      <c r="F39" s="33"/>
      <c r="G39" s="32"/>
      <c r="H39" s="8"/>
      <c r="I39" s="10"/>
      <c r="J39" s="101"/>
      <c r="K39" s="15"/>
      <c r="L39" s="79"/>
      <c r="N39" s="7"/>
    </row>
    <row r="40" spans="2:17" s="1" customFormat="1" x14ac:dyDescent="0.25">
      <c r="B40" s="7"/>
      <c r="C40" s="7"/>
      <c r="D40" s="96"/>
      <c r="E40" s="31"/>
      <c r="F40" s="34"/>
      <c r="G40" s="32"/>
      <c r="H40" s="9"/>
      <c r="J40" s="102"/>
      <c r="K40" s="89"/>
      <c r="L40" s="79"/>
      <c r="N40" s="7"/>
    </row>
    <row r="41" spans="2:17" s="1" customFormat="1" x14ac:dyDescent="0.25">
      <c r="B41" s="7"/>
      <c r="C41" s="7"/>
      <c r="D41" s="96"/>
      <c r="E41" s="31"/>
      <c r="F41" s="33"/>
      <c r="G41" s="32"/>
      <c r="H41" s="9"/>
      <c r="J41" s="103"/>
      <c r="K41" s="79"/>
      <c r="L41" s="89"/>
      <c r="N41" s="7"/>
    </row>
    <row r="42" spans="2:17" s="1" customFormat="1" x14ac:dyDescent="0.25">
      <c r="B42" s="7"/>
      <c r="C42" s="7"/>
      <c r="D42" s="96"/>
      <c r="E42" s="31"/>
      <c r="F42" s="33"/>
      <c r="G42" s="32"/>
      <c r="H42" s="9"/>
      <c r="J42" s="104"/>
      <c r="K42" s="79"/>
      <c r="L42" s="89"/>
      <c r="N42" s="7"/>
    </row>
    <row r="43" spans="2:17" s="1" customFormat="1" x14ac:dyDescent="0.25">
      <c r="B43" s="7"/>
      <c r="C43" s="7"/>
      <c r="D43" s="95"/>
      <c r="E43" s="31"/>
      <c r="F43" s="31"/>
      <c r="G43" s="32"/>
      <c r="H43" s="9"/>
      <c r="J43" s="102"/>
      <c r="K43" s="15"/>
      <c r="L43" s="89"/>
      <c r="N43" s="7"/>
    </row>
    <row r="44" spans="2:17" s="1" customFormat="1" x14ac:dyDescent="0.25">
      <c r="B44" s="7"/>
      <c r="C44" s="7"/>
      <c r="D44" s="96"/>
      <c r="E44" s="32"/>
      <c r="F44" s="32"/>
      <c r="G44" s="32"/>
      <c r="J44" s="105"/>
      <c r="K44" s="79"/>
      <c r="L44" s="79"/>
      <c r="N44" s="7"/>
    </row>
    <row r="45" spans="2:17" s="1" customFormat="1" x14ac:dyDescent="0.25">
      <c r="B45" s="7"/>
      <c r="C45" s="7"/>
      <c r="D45" s="95"/>
      <c r="E45" s="35"/>
      <c r="F45" s="35"/>
      <c r="G45" s="36" t="s">
        <v>6</v>
      </c>
      <c r="H45" s="9"/>
      <c r="J45" s="102"/>
      <c r="K45" s="89"/>
      <c r="L45" s="89"/>
      <c r="M45" s="11"/>
      <c r="N45" s="7"/>
    </row>
    <row r="46" spans="2:17" s="1" customFormat="1" ht="21" x14ac:dyDescent="0.25">
      <c r="B46" s="7"/>
      <c r="C46" s="7"/>
      <c r="D46" s="96"/>
      <c r="E46" s="32"/>
      <c r="F46" s="32"/>
      <c r="G46" s="37"/>
      <c r="H46" s="7"/>
      <c r="J46" s="106"/>
      <c r="K46" s="89"/>
      <c r="L46" s="111"/>
      <c r="N46" s="7"/>
    </row>
    <row r="47" spans="2:17" s="1" customFormat="1" x14ac:dyDescent="0.25">
      <c r="D47" s="95"/>
      <c r="E47" s="38"/>
      <c r="F47" s="32"/>
      <c r="G47" s="30"/>
      <c r="J47" s="89"/>
      <c r="K47" s="89"/>
      <c r="L47" s="89"/>
      <c r="M47" s="16"/>
      <c r="N47" s="7"/>
    </row>
    <row r="48" spans="2:17" s="1" customFormat="1" x14ac:dyDescent="0.25">
      <c r="D48" s="96"/>
      <c r="E48" s="32"/>
      <c r="F48" s="32"/>
      <c r="G48" s="30"/>
      <c r="J48" s="89"/>
      <c r="K48" s="89"/>
      <c r="L48" s="89"/>
    </row>
    <row r="49" spans="2:12" s="1" customFormat="1" x14ac:dyDescent="0.25">
      <c r="D49" s="96"/>
      <c r="E49" s="32"/>
      <c r="F49" s="32"/>
      <c r="G49" s="39"/>
      <c r="J49" s="89"/>
      <c r="K49" s="89"/>
      <c r="L49" s="89"/>
    </row>
    <row r="50" spans="2:12" s="1" customFormat="1" x14ac:dyDescent="0.25">
      <c r="B50" s="12"/>
      <c r="C50" s="12"/>
      <c r="D50" s="97"/>
      <c r="E50" s="40"/>
      <c r="F50" s="40"/>
      <c r="G50" s="41"/>
      <c r="H50" s="12"/>
      <c r="I50" s="12"/>
      <c r="J50" s="90"/>
      <c r="K50" s="90"/>
      <c r="L50" s="90"/>
    </row>
    <row r="51" spans="2:12" s="12" customFormat="1" x14ac:dyDescent="0.25">
      <c r="D51" s="97"/>
      <c r="E51" s="40"/>
      <c r="F51" s="40"/>
      <c r="G51" s="42"/>
      <c r="J51" s="90"/>
      <c r="K51" s="90"/>
      <c r="L51" s="90"/>
    </row>
    <row r="52" spans="2:12" s="12" customFormat="1" x14ac:dyDescent="0.25">
      <c r="D52" s="97"/>
      <c r="E52" s="40"/>
      <c r="F52" s="40"/>
      <c r="G52" s="40"/>
      <c r="J52" s="90"/>
      <c r="K52" s="90"/>
      <c r="L52" s="90"/>
    </row>
    <row r="53" spans="2:12" s="12" customFormat="1" x14ac:dyDescent="0.25">
      <c r="D53" s="97"/>
      <c r="E53" s="40"/>
      <c r="F53" s="40"/>
      <c r="G53" s="42"/>
      <c r="J53" s="90"/>
      <c r="K53" s="90"/>
      <c r="L53" s="90"/>
    </row>
    <row r="54" spans="2:12" s="12" customFormat="1" x14ac:dyDescent="0.25">
      <c r="D54" s="97"/>
      <c r="E54" s="40"/>
      <c r="F54" s="40"/>
      <c r="G54" s="40"/>
      <c r="J54" s="90"/>
      <c r="K54" s="90"/>
      <c r="L54" s="90"/>
    </row>
    <row r="55" spans="2:12" s="12" customFormat="1" x14ac:dyDescent="0.25">
      <c r="B55" s="13"/>
      <c r="C55" s="13"/>
      <c r="D55" s="98"/>
      <c r="E55" s="43"/>
      <c r="F55" s="43"/>
      <c r="G55" s="43"/>
      <c r="H55" s="13"/>
      <c r="I55" s="13"/>
      <c r="J55" s="91"/>
      <c r="K55" s="91"/>
      <c r="L55" s="91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zoomScaleNormal="100" workbookViewId="0">
      <selection activeCell="F48" sqref="F48"/>
    </sheetView>
  </sheetViews>
  <sheetFormatPr defaultRowHeight="15" x14ac:dyDescent="0.25"/>
  <cols>
    <col min="1" max="4" width="9.140625" style="59"/>
    <col min="5" max="5" width="19.28515625" style="59" customWidth="1"/>
    <col min="6" max="6" width="29" style="59" customWidth="1"/>
    <col min="7" max="7" width="33.140625" style="71" customWidth="1"/>
    <col min="8" max="8" width="13.42578125" style="59" bestFit="1" customWidth="1"/>
    <col min="9" max="9" width="11.5703125" style="59" bestFit="1" customWidth="1"/>
    <col min="10" max="43" width="9.140625" style="59"/>
    <col min="44" max="16384" width="9.140625" style="65"/>
  </cols>
  <sheetData>
    <row r="1" spans="1:43" ht="15" customHeight="1" x14ac:dyDescent="0.25">
      <c r="B1" s="137" t="s">
        <v>3</v>
      </c>
      <c r="C1" s="137"/>
      <c r="D1" s="137"/>
      <c r="E1" s="137"/>
      <c r="F1" s="137"/>
      <c r="G1" s="137"/>
    </row>
    <row r="2" spans="1:43" ht="15" customHeight="1" x14ac:dyDescent="0.25">
      <c r="B2" s="137"/>
      <c r="C2" s="137"/>
      <c r="D2" s="137"/>
      <c r="E2" s="137"/>
      <c r="F2" s="137"/>
      <c r="G2" s="137"/>
    </row>
    <row r="3" spans="1:43" s="68" customFormat="1" ht="27" customHeight="1" x14ac:dyDescent="0.3">
      <c r="A3" s="66"/>
      <c r="B3" s="138" t="s">
        <v>0</v>
      </c>
      <c r="C3" s="138" t="s">
        <v>22</v>
      </c>
      <c r="D3" s="139" t="s">
        <v>21</v>
      </c>
      <c r="E3" s="81" t="s">
        <v>30</v>
      </c>
      <c r="F3" s="67" t="s">
        <v>32</v>
      </c>
      <c r="G3" s="82" t="s">
        <v>18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</row>
    <row r="4" spans="1:43" s="68" customFormat="1" ht="27" customHeight="1" x14ac:dyDescent="0.3">
      <c r="A4" s="66"/>
      <c r="B4" s="138"/>
      <c r="C4" s="138"/>
      <c r="D4" s="140"/>
      <c r="E4" s="83" t="s">
        <v>31</v>
      </c>
      <c r="F4" s="67" t="s">
        <v>31</v>
      </c>
      <c r="G4" s="67" t="s">
        <v>31</v>
      </c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</row>
    <row r="5" spans="1:43" ht="15.75" x14ac:dyDescent="0.25">
      <c r="B5" s="84">
        <v>1</v>
      </c>
      <c r="C5" s="84">
        <v>3</v>
      </c>
      <c r="D5" s="84">
        <v>2019</v>
      </c>
      <c r="E5" s="113">
        <v>48</v>
      </c>
      <c r="F5" s="58">
        <v>192</v>
      </c>
      <c r="G5" s="60">
        <f>E5+F5</f>
        <v>240</v>
      </c>
    </row>
    <row r="6" spans="1:43" ht="15.75" x14ac:dyDescent="0.25">
      <c r="B6" s="84">
        <v>2</v>
      </c>
      <c r="C6" s="84">
        <v>3</v>
      </c>
      <c r="D6" s="84">
        <f>D5</f>
        <v>2019</v>
      </c>
      <c r="E6" s="113">
        <v>67</v>
      </c>
      <c r="F6" s="58">
        <v>259</v>
      </c>
      <c r="G6" s="60">
        <f t="shared" ref="G6:G35" si="0">E6+F6</f>
        <v>326</v>
      </c>
    </row>
    <row r="7" spans="1:43" ht="15.75" x14ac:dyDescent="0.25">
      <c r="B7" s="84">
        <v>3</v>
      </c>
      <c r="C7" s="84">
        <v>3</v>
      </c>
      <c r="D7" s="84">
        <f t="shared" ref="D7:D35" si="1">D6</f>
        <v>2019</v>
      </c>
      <c r="E7" s="113">
        <v>71</v>
      </c>
      <c r="F7" s="58">
        <v>286</v>
      </c>
      <c r="G7" s="60">
        <f t="shared" si="0"/>
        <v>357</v>
      </c>
    </row>
    <row r="8" spans="1:43" ht="15.75" x14ac:dyDescent="0.25">
      <c r="B8" s="84">
        <v>4</v>
      </c>
      <c r="C8" s="84">
        <v>3</v>
      </c>
      <c r="D8" s="84">
        <f t="shared" si="1"/>
        <v>2019</v>
      </c>
      <c r="E8" s="113">
        <v>49</v>
      </c>
      <c r="F8" s="58">
        <v>195</v>
      </c>
      <c r="G8" s="60">
        <f t="shared" si="0"/>
        <v>244</v>
      </c>
    </row>
    <row r="9" spans="1:43" ht="15.75" x14ac:dyDescent="0.25">
      <c r="B9" s="84">
        <v>5</v>
      </c>
      <c r="C9" s="84">
        <v>3</v>
      </c>
      <c r="D9" s="84">
        <f t="shared" si="1"/>
        <v>2019</v>
      </c>
      <c r="E9" s="113">
        <v>80</v>
      </c>
      <c r="F9" s="58">
        <v>169</v>
      </c>
      <c r="G9" s="60">
        <f t="shared" si="0"/>
        <v>249</v>
      </c>
    </row>
    <row r="10" spans="1:43" ht="15.75" x14ac:dyDescent="0.25">
      <c r="B10" s="84">
        <v>6</v>
      </c>
      <c r="C10" s="84">
        <v>3</v>
      </c>
      <c r="D10" s="84">
        <f t="shared" si="1"/>
        <v>2019</v>
      </c>
      <c r="E10" s="113">
        <v>36</v>
      </c>
      <c r="F10" s="58">
        <v>300</v>
      </c>
      <c r="G10" s="60">
        <f t="shared" si="0"/>
        <v>336</v>
      </c>
    </row>
    <row r="11" spans="1:43" ht="15.75" x14ac:dyDescent="0.25">
      <c r="B11" s="84">
        <v>7</v>
      </c>
      <c r="C11" s="84">
        <v>3</v>
      </c>
      <c r="D11" s="84">
        <f t="shared" si="1"/>
        <v>2019</v>
      </c>
      <c r="E11" s="113">
        <v>67</v>
      </c>
      <c r="F11" s="58">
        <v>152</v>
      </c>
      <c r="G11" s="60">
        <f t="shared" si="0"/>
        <v>219</v>
      </c>
    </row>
    <row r="12" spans="1:43" ht="15.75" x14ac:dyDescent="0.25">
      <c r="B12" s="84">
        <v>8</v>
      </c>
      <c r="C12" s="84">
        <v>3</v>
      </c>
      <c r="D12" s="84">
        <f t="shared" si="1"/>
        <v>2019</v>
      </c>
      <c r="E12" s="113">
        <v>70</v>
      </c>
      <c r="F12" s="58">
        <v>319</v>
      </c>
      <c r="G12" s="60">
        <f t="shared" si="0"/>
        <v>389</v>
      </c>
    </row>
    <row r="13" spans="1:43" ht="15.75" x14ac:dyDescent="0.25">
      <c r="B13" s="84">
        <v>9</v>
      </c>
      <c r="C13" s="84">
        <v>3</v>
      </c>
      <c r="D13" s="84">
        <f t="shared" si="1"/>
        <v>2019</v>
      </c>
      <c r="E13" s="113">
        <v>72</v>
      </c>
      <c r="F13" s="58">
        <v>396</v>
      </c>
      <c r="G13" s="60">
        <f t="shared" si="0"/>
        <v>468</v>
      </c>
    </row>
    <row r="14" spans="1:43" ht="15.75" x14ac:dyDescent="0.25">
      <c r="B14" s="84">
        <v>10</v>
      </c>
      <c r="C14" s="84">
        <v>3</v>
      </c>
      <c r="D14" s="84">
        <f t="shared" si="1"/>
        <v>2019</v>
      </c>
      <c r="E14" s="113">
        <v>100</v>
      </c>
      <c r="F14" s="58">
        <v>308</v>
      </c>
      <c r="G14" s="60">
        <f t="shared" si="0"/>
        <v>408</v>
      </c>
    </row>
    <row r="15" spans="1:43" ht="15.75" x14ac:dyDescent="0.25">
      <c r="B15" s="84">
        <v>11</v>
      </c>
      <c r="C15" s="84">
        <v>3</v>
      </c>
      <c r="D15" s="84">
        <f t="shared" si="1"/>
        <v>2019</v>
      </c>
      <c r="E15" s="113">
        <v>45</v>
      </c>
      <c r="F15" s="58">
        <v>189</v>
      </c>
      <c r="G15" s="60">
        <f t="shared" si="0"/>
        <v>234</v>
      </c>
    </row>
    <row r="16" spans="1:43" ht="15.75" x14ac:dyDescent="0.25">
      <c r="B16" s="84">
        <v>12</v>
      </c>
      <c r="C16" s="84">
        <v>3</v>
      </c>
      <c r="D16" s="84">
        <f t="shared" si="1"/>
        <v>2019</v>
      </c>
      <c r="E16" s="113">
        <v>73</v>
      </c>
      <c r="F16" s="58">
        <v>278</v>
      </c>
      <c r="G16" s="60">
        <f t="shared" si="0"/>
        <v>351</v>
      </c>
    </row>
    <row r="17" spans="2:7" ht="15.75" x14ac:dyDescent="0.25">
      <c r="B17" s="84">
        <v>13</v>
      </c>
      <c r="C17" s="84">
        <v>3</v>
      </c>
      <c r="D17" s="84">
        <f t="shared" si="1"/>
        <v>2019</v>
      </c>
      <c r="E17" s="113">
        <v>68</v>
      </c>
      <c r="F17" s="58">
        <v>294</v>
      </c>
      <c r="G17" s="60">
        <f t="shared" si="0"/>
        <v>362</v>
      </c>
    </row>
    <row r="18" spans="2:7" ht="15.75" x14ac:dyDescent="0.25">
      <c r="B18" s="84">
        <v>14</v>
      </c>
      <c r="C18" s="84">
        <v>3</v>
      </c>
      <c r="D18" s="84">
        <f t="shared" si="1"/>
        <v>2019</v>
      </c>
      <c r="E18" s="113">
        <v>54</v>
      </c>
      <c r="F18" s="58">
        <v>321</v>
      </c>
      <c r="G18" s="60">
        <f t="shared" si="0"/>
        <v>375</v>
      </c>
    </row>
    <row r="19" spans="2:7" ht="15.75" x14ac:dyDescent="0.25">
      <c r="B19" s="84">
        <v>15</v>
      </c>
      <c r="C19" s="84">
        <v>3</v>
      </c>
      <c r="D19" s="84">
        <f t="shared" si="1"/>
        <v>2019</v>
      </c>
      <c r="E19" s="113">
        <v>45</v>
      </c>
      <c r="F19" s="58">
        <v>182</v>
      </c>
      <c r="G19" s="60">
        <f t="shared" si="0"/>
        <v>227</v>
      </c>
    </row>
    <row r="20" spans="2:7" ht="15.75" x14ac:dyDescent="0.25">
      <c r="B20" s="84">
        <v>16</v>
      </c>
      <c r="C20" s="84">
        <v>3</v>
      </c>
      <c r="D20" s="84">
        <f t="shared" si="1"/>
        <v>2019</v>
      </c>
      <c r="E20" s="113">
        <v>60</v>
      </c>
      <c r="F20" s="58">
        <v>247</v>
      </c>
      <c r="G20" s="60">
        <f t="shared" si="0"/>
        <v>307</v>
      </c>
    </row>
    <row r="21" spans="2:7" ht="15.75" x14ac:dyDescent="0.25">
      <c r="B21" s="84">
        <v>17</v>
      </c>
      <c r="C21" s="84">
        <v>3</v>
      </c>
      <c r="D21" s="84">
        <f t="shared" si="1"/>
        <v>2019</v>
      </c>
      <c r="E21" s="113">
        <v>88</v>
      </c>
      <c r="F21" s="58">
        <v>361</v>
      </c>
      <c r="G21" s="60">
        <f t="shared" si="0"/>
        <v>449</v>
      </c>
    </row>
    <row r="22" spans="2:7" ht="15.75" x14ac:dyDescent="0.25">
      <c r="B22" s="84">
        <v>18</v>
      </c>
      <c r="C22" s="84">
        <v>3</v>
      </c>
      <c r="D22" s="84">
        <f t="shared" si="1"/>
        <v>2019</v>
      </c>
      <c r="E22" s="113">
        <v>42</v>
      </c>
      <c r="F22" s="58">
        <v>172</v>
      </c>
      <c r="G22" s="60">
        <f t="shared" si="0"/>
        <v>214</v>
      </c>
    </row>
    <row r="23" spans="2:7" ht="15.75" x14ac:dyDescent="0.25">
      <c r="B23" s="84">
        <v>19</v>
      </c>
      <c r="C23" s="84">
        <v>3</v>
      </c>
      <c r="D23" s="84">
        <f t="shared" si="1"/>
        <v>2019</v>
      </c>
      <c r="E23" s="113">
        <v>48</v>
      </c>
      <c r="F23" s="58">
        <v>204</v>
      </c>
      <c r="G23" s="60">
        <f t="shared" si="0"/>
        <v>252</v>
      </c>
    </row>
    <row r="24" spans="2:7" ht="15.75" x14ac:dyDescent="0.25">
      <c r="B24" s="84">
        <v>20</v>
      </c>
      <c r="C24" s="84">
        <v>3</v>
      </c>
      <c r="D24" s="84">
        <f t="shared" si="1"/>
        <v>2019</v>
      </c>
      <c r="E24" s="113">
        <v>53</v>
      </c>
      <c r="F24" s="58">
        <v>224</v>
      </c>
      <c r="G24" s="60">
        <f t="shared" si="0"/>
        <v>277</v>
      </c>
    </row>
    <row r="25" spans="2:7" ht="15.75" x14ac:dyDescent="0.25">
      <c r="B25" s="84">
        <v>21</v>
      </c>
      <c r="C25" s="84">
        <v>3</v>
      </c>
      <c r="D25" s="84">
        <f t="shared" si="1"/>
        <v>2019</v>
      </c>
      <c r="E25" s="113">
        <v>85</v>
      </c>
      <c r="F25" s="58">
        <v>348</v>
      </c>
      <c r="G25" s="60">
        <f t="shared" si="0"/>
        <v>433</v>
      </c>
    </row>
    <row r="26" spans="2:7" ht="15.75" x14ac:dyDescent="0.25">
      <c r="B26" s="84">
        <v>22</v>
      </c>
      <c r="C26" s="84">
        <v>3</v>
      </c>
      <c r="D26" s="84">
        <f t="shared" si="1"/>
        <v>2019</v>
      </c>
      <c r="E26" s="113">
        <v>60</v>
      </c>
      <c r="F26" s="58">
        <v>246</v>
      </c>
      <c r="G26" s="60">
        <f t="shared" si="0"/>
        <v>306</v>
      </c>
    </row>
    <row r="27" spans="2:7" ht="15.75" x14ac:dyDescent="0.25">
      <c r="B27" s="84">
        <v>23</v>
      </c>
      <c r="C27" s="84">
        <v>3</v>
      </c>
      <c r="D27" s="84">
        <f t="shared" si="1"/>
        <v>2019</v>
      </c>
      <c r="E27" s="113">
        <v>44</v>
      </c>
      <c r="F27" s="58">
        <v>187</v>
      </c>
      <c r="G27" s="60">
        <f t="shared" si="0"/>
        <v>231</v>
      </c>
    </row>
    <row r="28" spans="2:7" ht="15.75" x14ac:dyDescent="0.25">
      <c r="B28" s="84">
        <v>24</v>
      </c>
      <c r="C28" s="84">
        <v>3</v>
      </c>
      <c r="D28" s="84">
        <f t="shared" si="1"/>
        <v>2019</v>
      </c>
      <c r="E28" s="113">
        <v>50</v>
      </c>
      <c r="F28" s="58">
        <v>210</v>
      </c>
      <c r="G28" s="60">
        <f t="shared" si="0"/>
        <v>260</v>
      </c>
    </row>
    <row r="29" spans="2:7" ht="15.75" x14ac:dyDescent="0.25">
      <c r="B29" s="84">
        <v>25</v>
      </c>
      <c r="C29" s="84">
        <v>3</v>
      </c>
      <c r="D29" s="84">
        <f t="shared" si="1"/>
        <v>2019</v>
      </c>
      <c r="E29" s="113">
        <v>64</v>
      </c>
      <c r="F29" s="58">
        <v>271</v>
      </c>
      <c r="G29" s="60">
        <f t="shared" si="0"/>
        <v>335</v>
      </c>
    </row>
    <row r="30" spans="2:7" ht="15.75" x14ac:dyDescent="0.25">
      <c r="B30" s="84">
        <v>26</v>
      </c>
      <c r="C30" s="84">
        <v>3</v>
      </c>
      <c r="D30" s="84">
        <f t="shared" si="1"/>
        <v>2019</v>
      </c>
      <c r="E30" s="113">
        <v>74</v>
      </c>
      <c r="F30" s="58">
        <v>312</v>
      </c>
      <c r="G30" s="60">
        <f t="shared" si="0"/>
        <v>386</v>
      </c>
    </row>
    <row r="31" spans="2:7" ht="15.75" x14ac:dyDescent="0.25">
      <c r="B31" s="84">
        <v>27</v>
      </c>
      <c r="C31" s="84">
        <v>3</v>
      </c>
      <c r="D31" s="84">
        <f t="shared" si="1"/>
        <v>2019</v>
      </c>
      <c r="E31" s="113">
        <v>43</v>
      </c>
      <c r="F31" s="58">
        <v>192</v>
      </c>
      <c r="G31" s="60">
        <f t="shared" si="0"/>
        <v>235</v>
      </c>
    </row>
    <row r="32" spans="2:7" ht="15.75" x14ac:dyDescent="0.25">
      <c r="B32" s="84">
        <v>28</v>
      </c>
      <c r="C32" s="84">
        <v>3</v>
      </c>
      <c r="D32" s="84">
        <f t="shared" si="1"/>
        <v>2019</v>
      </c>
      <c r="E32" s="113">
        <v>52</v>
      </c>
      <c r="F32" s="58">
        <v>183</v>
      </c>
      <c r="G32" s="60">
        <f t="shared" si="0"/>
        <v>235</v>
      </c>
    </row>
    <row r="33" spans="2:9" ht="15.75" x14ac:dyDescent="0.25">
      <c r="B33" s="84">
        <v>29</v>
      </c>
      <c r="C33" s="84">
        <v>3</v>
      </c>
      <c r="D33" s="84">
        <f t="shared" si="1"/>
        <v>2019</v>
      </c>
      <c r="E33" s="113">
        <v>60</v>
      </c>
      <c r="F33" s="58">
        <v>304</v>
      </c>
      <c r="G33" s="60">
        <f t="shared" si="0"/>
        <v>364</v>
      </c>
    </row>
    <row r="34" spans="2:9" ht="15.75" x14ac:dyDescent="0.25">
      <c r="B34" s="84">
        <v>30</v>
      </c>
      <c r="C34" s="84">
        <v>3</v>
      </c>
      <c r="D34" s="84">
        <f t="shared" si="1"/>
        <v>2019</v>
      </c>
      <c r="E34" s="113">
        <v>88</v>
      </c>
      <c r="F34" s="58">
        <v>388</v>
      </c>
      <c r="G34" s="60">
        <f t="shared" si="0"/>
        <v>476</v>
      </c>
    </row>
    <row r="35" spans="2:9" ht="15.75" x14ac:dyDescent="0.25">
      <c r="B35" s="84">
        <v>31</v>
      </c>
      <c r="C35" s="84">
        <v>3</v>
      </c>
      <c r="D35" s="84">
        <f t="shared" si="1"/>
        <v>2019</v>
      </c>
      <c r="E35" s="113">
        <v>139</v>
      </c>
      <c r="F35" s="58">
        <v>599</v>
      </c>
      <c r="G35" s="60">
        <f t="shared" si="0"/>
        <v>738</v>
      </c>
    </row>
    <row r="36" spans="2:9" x14ac:dyDescent="0.25">
      <c r="B36" s="69"/>
      <c r="C36" s="69"/>
      <c r="D36" s="69"/>
      <c r="E36" s="69"/>
      <c r="F36" s="69"/>
      <c r="G36" s="64"/>
    </row>
    <row r="37" spans="2:9" ht="21" x14ac:dyDescent="0.35">
      <c r="B37" s="70"/>
      <c r="C37" s="70"/>
      <c r="D37" s="70"/>
      <c r="E37" s="14">
        <f>SUM(E5:E36)</f>
        <v>1995</v>
      </c>
      <c r="F37" s="14">
        <f>SUM(F5:F36)</f>
        <v>8288</v>
      </c>
      <c r="G37" s="14">
        <f>SUM(G5:G35)</f>
        <v>10283</v>
      </c>
    </row>
    <row r="38" spans="2:9" x14ac:dyDescent="0.25">
      <c r="I38" s="72"/>
    </row>
    <row r="39" spans="2:9" x14ac:dyDescent="0.25">
      <c r="I39" s="72"/>
    </row>
    <row r="40" spans="2:9" ht="15.75" thickBot="1" x14ac:dyDescent="0.3"/>
    <row r="41" spans="2:9" ht="21.75" thickBot="1" x14ac:dyDescent="0.4">
      <c r="C41" s="76"/>
      <c r="D41" s="76"/>
      <c r="F41" s="76"/>
      <c r="G41" s="73">
        <f>E37+F37</f>
        <v>10283</v>
      </c>
      <c r="H41" s="74"/>
    </row>
    <row r="42" spans="2:9" ht="15.75" x14ac:dyDescent="0.25">
      <c r="B42" s="76"/>
      <c r="C42" s="76"/>
      <c r="D42" s="76"/>
      <c r="E42" s="76"/>
      <c r="F42" s="76"/>
      <c r="G42" s="75"/>
      <c r="H42" s="74"/>
    </row>
    <row r="43" spans="2:9" ht="15.75" x14ac:dyDescent="0.25">
      <c r="B43" s="76"/>
      <c r="C43" s="76"/>
      <c r="D43" s="76"/>
      <c r="E43" s="76"/>
      <c r="F43" s="76"/>
      <c r="G43" s="75"/>
      <c r="H43" s="74"/>
    </row>
    <row r="44" spans="2:9" ht="15.75" x14ac:dyDescent="0.25">
      <c r="B44" s="76" t="s">
        <v>4</v>
      </c>
      <c r="C44" s="76"/>
      <c r="D44" s="76"/>
      <c r="F44" s="85" t="s">
        <v>19</v>
      </c>
      <c r="G44" s="77">
        <v>12550</v>
      </c>
      <c r="H44" s="78"/>
    </row>
    <row r="45" spans="2:9" x14ac:dyDescent="0.25">
      <c r="G45" s="75"/>
    </row>
    <row r="46" spans="2:9" ht="15.75" thickBot="1" x14ac:dyDescent="0.3">
      <c r="G46" s="75"/>
    </row>
    <row r="47" spans="2:9" ht="27" thickBot="1" x14ac:dyDescent="0.3">
      <c r="F47" s="76" t="s">
        <v>5</v>
      </c>
      <c r="G47" s="80">
        <f>G41*G44</f>
        <v>129051650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2023-03-10T08:56:36Z</dcterms:modified>
</cp:coreProperties>
</file>