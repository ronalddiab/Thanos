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-120" yWindow="-120" windowWidth="29040" windowHeight="1584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" i="2" l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8" i="2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S23" i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O14" i="1"/>
  <c r="P14" i="1" s="1"/>
  <c r="O15" i="1"/>
  <c r="O16" i="1"/>
  <c r="O17" i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O25" i="1"/>
  <c r="O26" i="1"/>
  <c r="P26" i="1" s="1"/>
  <c r="O27" i="1"/>
  <c r="P27" i="1" s="1"/>
  <c r="O28" i="1"/>
  <c r="P28" i="1" s="1"/>
  <c r="O29" i="1"/>
  <c r="P9" i="1"/>
  <c r="P13" i="1"/>
  <c r="P15" i="1"/>
  <c r="P16" i="1"/>
  <c r="P17" i="1"/>
  <c r="P21" i="1"/>
  <c r="P24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L14" i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13" i="1"/>
  <c r="M14" i="1"/>
  <c r="M21" i="1"/>
  <c r="M22" i="1"/>
  <c r="M29" i="1"/>
  <c r="M30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10" i="1"/>
  <c r="J15" i="1"/>
  <c r="J18" i="1"/>
  <c r="J23" i="1"/>
  <c r="J26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F19" i="1"/>
  <c r="G19" i="1" s="1"/>
  <c r="F20" i="1"/>
  <c r="F21" i="1"/>
  <c r="G21" i="1" s="1"/>
  <c r="F22" i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10" i="1"/>
  <c r="G18" i="1"/>
  <c r="G20" i="1"/>
  <c r="G22" i="1"/>
  <c r="G26" i="1"/>
  <c r="D16" i="1"/>
  <c r="D23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<sst xmlns="http://schemas.openxmlformats.org/spreadsheetml/2006/main" count="441" uniqueCount="144">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</sst>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62">
        <v>1.27</v>
      </c>
      <c r="G7" s="47">
        <f>Gas!C8*0.9147</f>
        <v>0</v>
      </c>
      <c r="H7" s="163">
        <v>3.65</v>
      </c>
      <c r="I7" s="165">
        <f>Submetering!H7+Submetering!AD7+Submetering!AE7</f>
        <v>-194</v>
      </c>
      <c r="J7" s="165">
        <v>10.029999999999999</v>
      </c>
      <c r="K7" s="47">
        <f>ELECT.!B8</f>
        <v>0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62">
        <v>1.27</v>
      </c>
      <c r="G8" s="47">
        <f>Gas!C9*0.9147</f>
        <v>0</v>
      </c>
      <c r="H8" s="163">
        <v>3.65</v>
      </c>
      <c r="I8" s="165">
        <f>Submetering!H8+Submetering!AD8+Submetering!AE8</f>
        <v>-194</v>
      </c>
      <c r="J8" s="165">
        <v>10.029999999999999</v>
      </c>
      <c r="K8" s="47">
        <f>ELECT.!B9</f>
        <v>0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62">
        <v>1.27</v>
      </c>
      <c r="G9" s="47">
        <f>Gas!C10*0.9147</f>
        <v>0</v>
      </c>
      <c r="H9" s="163">
        <v>3.65</v>
      </c>
      <c r="I9" s="165">
        <f>Submetering!H9+Submetering!AD9+Submetering!AE9</f>
        <v>-194</v>
      </c>
      <c r="J9" s="165">
        <v>10.029999999999999</v>
      </c>
      <c r="K9" s="47">
        <f>ELECT.!B10</f>
        <v>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62">
        <v>1.27</v>
      </c>
      <c r="G10" s="47">
        <f>Gas!C11*0.9147</f>
        <v>0</v>
      </c>
      <c r="H10" s="163">
        <v>3.65</v>
      </c>
      <c r="I10" s="165">
        <f>Submetering!H10+Submetering!AD10+Submetering!AE10</f>
        <v>-194</v>
      </c>
      <c r="J10" s="165">
        <v>10.029999999999999</v>
      </c>
      <c r="K10" s="47">
        <f>ELECT.!B11</f>
        <v>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62">
        <v>1.27</v>
      </c>
      <c r="G11" s="47">
        <f>Gas!C12*0.9147</f>
        <v>0</v>
      </c>
      <c r="H11" s="163">
        <v>3.65</v>
      </c>
      <c r="I11" s="165">
        <f>Submetering!H11+Submetering!AD11+Submetering!AE11</f>
        <v>-194</v>
      </c>
      <c r="J11" s="165">
        <v>10.029999999999999</v>
      </c>
      <c r="K11" s="47">
        <f>ELECT.!B12</f>
        <v>0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62">
        <v>1.27</v>
      </c>
      <c r="G12" s="47">
        <f>Gas!C13*0.9147</f>
        <v>0</v>
      </c>
      <c r="H12" s="163">
        <v>3.65</v>
      </c>
      <c r="I12" s="165">
        <f>Submetering!H12+Submetering!AD12+Submetering!AE12</f>
        <v>-194</v>
      </c>
      <c r="J12" s="165">
        <v>10.029999999999999</v>
      </c>
      <c r="K12" s="47">
        <f>ELECT.!B13</f>
        <v>0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62">
        <v>1.27</v>
      </c>
      <c r="G13" s="47">
        <f>Gas!C14*0.9147</f>
        <v>0</v>
      </c>
      <c r="H13" s="163">
        <v>3.65</v>
      </c>
      <c r="I13" s="165">
        <f>Submetering!H13+Submetering!AD13+Submetering!AE13</f>
        <v>-194</v>
      </c>
      <c r="J13" s="165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62">
        <v>1.27</v>
      </c>
      <c r="G14" s="47">
        <f>Gas!C15*0.9147</f>
        <v>0</v>
      </c>
      <c r="H14" s="163">
        <v>3.65</v>
      </c>
      <c r="I14" s="165">
        <f>Submetering!H14+Submetering!AD14+Submetering!AE14</f>
        <v>-194</v>
      </c>
      <c r="J14" s="165">
        <v>10.029999999999999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62">
        <v>1.27</v>
      </c>
      <c r="G15" s="47">
        <f>Gas!C16*0.9147</f>
        <v>0</v>
      </c>
      <c r="H15" s="163">
        <v>3.65</v>
      </c>
      <c r="I15" s="165">
        <f>Submetering!H15+Submetering!AD15+Submetering!AE15</f>
        <v>-194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2">
        <v>1.27</v>
      </c>
      <c r="G16" s="47">
        <f>Gas!C17*0.9147</f>
        <v>0</v>
      </c>
      <c r="H16" s="163">
        <v>3.65</v>
      </c>
      <c r="I16" s="165">
        <f>Submetering!H16+Submetering!AD16+Submetering!AE16</f>
        <v>-194</v>
      </c>
      <c r="J16" s="165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0</v>
      </c>
      <c r="F7" s="47">
        <f>Water!E8</f>
        <v>0</v>
      </c>
      <c r="G7" s="47">
        <f>Water!G8</f>
        <v>0</v>
      </c>
      <c r="H7" s="47">
        <f>Water!I8</f>
        <v>0</v>
      </c>
      <c r="I7" s="47" t="str">
        <f>ELECT.!F8</f>
        <v>0</v>
      </c>
      <c r="J7" s="47" t="str">
        <f>ELECT.!H8</f>
        <v>0</v>
      </c>
      <c r="K7" s="47" t="str">
        <f>ELECT.!K8</f>
        <v>0</v>
      </c>
      <c r="L7" s="47" t="str">
        <f>ELECT.!M8</f>
        <v>0</v>
      </c>
      <c r="M7" s="47">
        <f>ELECT.!O8</f>
        <v>0</v>
      </c>
      <c r="N7" s="47" t="str">
        <f>ELECT.!Q8</f>
        <v>0</v>
      </c>
      <c r="O7" s="47" t="str">
        <f>ELECT.!S8</f>
        <v>0</v>
      </c>
      <c r="P7" s="47">
        <f>ELECT.!W8*2</f>
        <v>0</v>
      </c>
      <c r="Q7" s="47">
        <f>ELECT.!D8</f>
        <v>0</v>
      </c>
      <c r="R7" s="48" t="str">
        <f>BTU!C8</f>
        <v>0</v>
      </c>
      <c r="S7" s="48" t="str">
        <f>BTU!F8</f>
        <v>0</v>
      </c>
      <c r="T7" s="48" t="str">
        <f>BTU!I8</f>
        <v>0</v>
      </c>
      <c r="U7" s="48" t="str">
        <f>BTU!O8</f>
        <v>0</v>
      </c>
      <c r="V7" s="48" t="str">
        <f>BTU!L8</f>
        <v>0</v>
      </c>
      <c r="W7" s="48" t="str">
        <f>BTU!R8</f>
        <v>0</v>
      </c>
      <c r="X7" s="45">
        <f>ELECT.!B8</f>
        <v>0</v>
      </c>
      <c r="Y7" s="45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5">
        <f t="shared" si="1"/>
        <v>-25.569199999999999</v>
      </c>
      <c r="AE7" s="45">
        <f t="shared" si="2"/>
        <v>-168.4308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0</v>
      </c>
      <c r="F8" s="47">
        <f>Water!E9</f>
        <v>0</v>
      </c>
      <c r="G8" s="47">
        <f>Water!G9</f>
        <v>0</v>
      </c>
      <c r="H8" s="47">
        <f>Water!I9</f>
        <v>0</v>
      </c>
      <c r="I8" s="47">
        <f>ELECT.!F9</f>
        <v>0</v>
      </c>
      <c r="J8" s="47">
        <f>ELECT.!H9</f>
        <v>0</v>
      </c>
      <c r="K8" s="47">
        <f>ELECT.!K9</f>
        <v>0</v>
      </c>
      <c r="L8" s="47">
        <f>ELECT.!M9</f>
        <v>0</v>
      </c>
      <c r="M8" s="47">
        <f>ELECT.!O9</f>
        <v>0</v>
      </c>
      <c r="N8" s="47">
        <f>ELECT.!Q9</f>
        <v>0</v>
      </c>
      <c r="O8" s="47">
        <f>ELECT.!S9</f>
        <v>0</v>
      </c>
      <c r="P8" s="47">
        <f>ELECT.!W9*2</f>
        <v>0</v>
      </c>
      <c r="Q8" s="47">
        <f>ELECT.!D9</f>
        <v>0</v>
      </c>
      <c r="R8" s="48">
        <f>BTU!C9</f>
        <v>0</v>
      </c>
      <c r="S8" s="48">
        <f>BTU!F9</f>
        <v>0</v>
      </c>
      <c r="T8" s="48">
        <f>BTU!I9</f>
        <v>0</v>
      </c>
      <c r="U8" s="48">
        <f>BTU!O9</f>
        <v>0</v>
      </c>
      <c r="V8" s="48">
        <f>BTU!L9</f>
        <v>0</v>
      </c>
      <c r="W8" s="48">
        <f>BTU!R9</f>
        <v>0</v>
      </c>
      <c r="X8" s="45">
        <f>ELECT.!B9</f>
        <v>0</v>
      </c>
      <c r="Y8" s="4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5">
        <f t="shared" si="1"/>
        <v>-25.569199999999999</v>
      </c>
      <c r="AE8" s="45">
        <f t="shared" si="2"/>
        <v>-168.4308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0</v>
      </c>
      <c r="F9" s="47">
        <f>Water!E10</f>
        <v>0</v>
      </c>
      <c r="G9" s="47">
        <f>Water!G10</f>
        <v>0</v>
      </c>
      <c r="H9" s="47">
        <f>Water!I10</f>
        <v>0</v>
      </c>
      <c r="I9" s="47">
        <f>ELECT.!F10</f>
        <v>0</v>
      </c>
      <c r="J9" s="47">
        <f>ELECT.!H10</f>
        <v>0</v>
      </c>
      <c r="K9" s="47">
        <f>ELECT.!K10</f>
        <v>0</v>
      </c>
      <c r="L9" s="47">
        <f>ELECT.!M10</f>
        <v>0</v>
      </c>
      <c r="M9" s="47">
        <f>ELECT.!O10</f>
        <v>0</v>
      </c>
      <c r="N9" s="47">
        <f>ELECT.!Q10</f>
        <v>0</v>
      </c>
      <c r="O9" s="47">
        <f>ELECT.!S10</f>
        <v>0</v>
      </c>
      <c r="P9" s="47">
        <f>ELECT.!W10*2</f>
        <v>0</v>
      </c>
      <c r="Q9" s="47">
        <f>ELECT.!D10</f>
        <v>0</v>
      </c>
      <c r="R9" s="48">
        <f>BTU!C10</f>
        <v>0</v>
      </c>
      <c r="S9" s="48">
        <f>BTU!F10</f>
        <v>0</v>
      </c>
      <c r="T9" s="48">
        <f>BTU!I10</f>
        <v>0</v>
      </c>
      <c r="U9" s="48">
        <f>BTU!O10</f>
        <v>0</v>
      </c>
      <c r="V9" s="48">
        <f>BTU!L10</f>
        <v>0</v>
      </c>
      <c r="W9" s="48">
        <f>BTU!R10</f>
        <v>0</v>
      </c>
      <c r="X9" s="45">
        <f>ELECT.!B10</f>
        <v>0</v>
      </c>
      <c r="Y9" s="4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5">
        <f t="shared" si="1"/>
        <v>-25.569199999999999</v>
      </c>
      <c r="AE9" s="45">
        <f t="shared" si="2"/>
        <v>-168.4308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>
        <f>BTU!F11</f>
        <v>0</v>
      </c>
      <c r="T10" s="48">
        <f>BTU!I11</f>
        <v>0</v>
      </c>
      <c r="U10" s="48">
        <f>BTU!O11</f>
        <v>0</v>
      </c>
      <c r="V10" s="48">
        <f>BTU!L11</f>
        <v>0</v>
      </c>
      <c r="W10" s="48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B7" sqref="A7:XFD7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f t="shared" ref="B7:B33" si="10">B7</f>
        <v>45354</v>
      </c>
      <c r="C8" s="16">
        <f t="shared" si="0"/>
        <v>0</v>
      </c>
      <c r="D8" s="42">
        <f t="shared" ref="D7:D33" si="11">D7</f>
        <v>39565</v>
      </c>
      <c r="E8" s="16">
        <f t="shared" si="1"/>
        <v>0</v>
      </c>
      <c r="F8" s="42">
        <f t="shared" ref="F7:F33" si="12">F7</f>
        <v>20428</v>
      </c>
      <c r="G8" s="16">
        <f t="shared" si="2"/>
        <v>0</v>
      </c>
      <c r="H8" s="42">
        <f t="shared" ref="H7:H33" si="13">H7</f>
        <v>242920</v>
      </c>
      <c r="I8" s="16">
        <f t="shared" si="3"/>
        <v>0</v>
      </c>
      <c r="J8" s="42">
        <v>303517</v>
      </c>
      <c r="K8" s="16">
        <f t="shared" si="4"/>
        <v>0</v>
      </c>
      <c r="L8" s="42">
        <f t="shared" ref="L7:L33" si="14">L7</f>
        <v>25001</v>
      </c>
      <c r="M8" s="16">
        <f t="shared" si="5"/>
        <v>0</v>
      </c>
      <c r="N8" s="42">
        <f t="shared" ref="N7:N33" si="15">N7</f>
        <v>215560</v>
      </c>
      <c r="O8" s="16">
        <f t="shared" si="6"/>
        <v>0</v>
      </c>
      <c r="P8" s="42">
        <f t="shared" ref="P7:P33" si="16">P7</f>
        <v>106895</v>
      </c>
      <c r="Q8" s="16">
        <f t="shared" si="7"/>
        <v>0</v>
      </c>
      <c r="R8" s="1">
        <v>55047</v>
      </c>
      <c r="S8" s="16">
        <f>R8-R7</f>
        <v>0</v>
      </c>
      <c r="T8" s="42">
        <f t="shared" ref="T7:T33" si="17">T7</f>
        <v>3657</v>
      </c>
      <c r="U8" s="16">
        <f t="shared" si="9"/>
        <v>0</v>
      </c>
    </row>
    <row r="9" spans="1:24" ht="13.5" thickBot="1" x14ac:dyDescent="0.25">
      <c r="A9" s="10">
        <v>44354</v>
      </c>
      <c r="B9" s="42">
        <f t="shared" si="10"/>
        <v>45354</v>
      </c>
      <c r="C9" s="16">
        <f t="shared" si="0"/>
        <v>0</v>
      </c>
      <c r="D9" s="42">
        <f t="shared" si="11"/>
        <v>39565</v>
      </c>
      <c r="E9" s="16">
        <f t="shared" si="1"/>
        <v>0</v>
      </c>
      <c r="F9" s="42">
        <f t="shared" si="12"/>
        <v>20428</v>
      </c>
      <c r="G9" s="16">
        <f t="shared" si="2"/>
        <v>0</v>
      </c>
      <c r="H9" s="42">
        <f t="shared" si="13"/>
        <v>242920</v>
      </c>
      <c r="I9" s="16">
        <f t="shared" si="3"/>
        <v>0</v>
      </c>
      <c r="J9" s="42">
        <v>303517</v>
      </c>
      <c r="K9" s="16">
        <f t="shared" si="4"/>
        <v>0</v>
      </c>
      <c r="L9" s="42">
        <f t="shared" si="14"/>
        <v>25001</v>
      </c>
      <c r="M9" s="16">
        <f t="shared" si="5"/>
        <v>0</v>
      </c>
      <c r="N9" s="42">
        <f t="shared" si="15"/>
        <v>215560</v>
      </c>
      <c r="O9" s="16">
        <f t="shared" si="6"/>
        <v>0</v>
      </c>
      <c r="P9" s="42">
        <f t="shared" si="16"/>
        <v>106895</v>
      </c>
      <c r="Q9" s="16">
        <f>P9-P8</f>
        <v>0</v>
      </c>
      <c r="R9" s="1">
        <v>55047</v>
      </c>
      <c r="S9" s="16">
        <f>R9-R8</f>
        <v>0</v>
      </c>
      <c r="T9" s="42">
        <f t="shared" si="17"/>
        <v>3657</v>
      </c>
      <c r="U9" s="16">
        <f t="shared" si="9"/>
        <v>0</v>
      </c>
    </row>
    <row r="10" spans="1:24" ht="13.5" thickBot="1" x14ac:dyDescent="0.25">
      <c r="A10" s="10">
        <v>44355</v>
      </c>
      <c r="B10" s="42">
        <f t="shared" si="10"/>
        <v>45354</v>
      </c>
      <c r="C10" s="16">
        <f t="shared" si="0"/>
        <v>0</v>
      </c>
      <c r="D10" s="42">
        <f t="shared" si="11"/>
        <v>39565</v>
      </c>
      <c r="E10" s="16">
        <f t="shared" si="1"/>
        <v>0</v>
      </c>
      <c r="F10" s="42">
        <f t="shared" si="12"/>
        <v>20428</v>
      </c>
      <c r="G10" s="16">
        <f t="shared" si="2"/>
        <v>0</v>
      </c>
      <c r="H10" s="42">
        <f t="shared" si="13"/>
        <v>242920</v>
      </c>
      <c r="I10" s="16">
        <f t="shared" si="3"/>
        <v>0</v>
      </c>
      <c r="J10" s="42">
        <v>303517</v>
      </c>
      <c r="K10" s="16">
        <f t="shared" si="4"/>
        <v>0</v>
      </c>
      <c r="L10" s="42">
        <f t="shared" si="14"/>
        <v>25001</v>
      </c>
      <c r="M10" s="16">
        <f t="shared" si="5"/>
        <v>0</v>
      </c>
      <c r="N10" s="42">
        <f t="shared" si="15"/>
        <v>215560</v>
      </c>
      <c r="O10" s="16">
        <f t="shared" si="6"/>
        <v>0</v>
      </c>
      <c r="P10" s="42">
        <f t="shared" si="16"/>
        <v>106895</v>
      </c>
      <c r="Q10" s="16">
        <f>P10-P9</f>
        <v>0</v>
      </c>
      <c r="R10" s="1">
        <v>55047</v>
      </c>
      <c r="S10" s="16">
        <f>R10-R9</f>
        <v>0</v>
      </c>
      <c r="T10" s="42">
        <f t="shared" si="17"/>
        <v>3657</v>
      </c>
      <c r="U10" s="16">
        <f t="shared" si="9"/>
        <v>0</v>
      </c>
    </row>
    <row r="11" spans="1:24" ht="13.5" thickBot="1" x14ac:dyDescent="0.25">
      <c r="A11" s="10">
        <v>44356</v>
      </c>
      <c r="B11" s="42">
        <f t="shared" si="10"/>
        <v>45354</v>
      </c>
      <c r="C11" s="16">
        <f t="shared" si="0"/>
        <v>0</v>
      </c>
      <c r="D11" s="42">
        <f t="shared" si="11"/>
        <v>39565</v>
      </c>
      <c r="E11" s="16">
        <f t="shared" si="1"/>
        <v>0</v>
      </c>
      <c r="F11" s="42">
        <f t="shared" si="12"/>
        <v>20428</v>
      </c>
      <c r="G11" s="16">
        <f t="shared" si="2"/>
        <v>0</v>
      </c>
      <c r="H11" s="42">
        <f t="shared" si="13"/>
        <v>242920</v>
      </c>
      <c r="I11" s="16">
        <f t="shared" si="3"/>
        <v>0</v>
      </c>
      <c r="J11" s="42">
        <v>303517</v>
      </c>
      <c r="K11" s="16">
        <f t="shared" si="4"/>
        <v>0</v>
      </c>
      <c r="L11" s="42">
        <f t="shared" si="14"/>
        <v>25001</v>
      </c>
      <c r="M11" s="16">
        <f t="shared" si="5"/>
        <v>0</v>
      </c>
      <c r="N11" s="42">
        <f t="shared" si="15"/>
        <v>215560</v>
      </c>
      <c r="O11" s="16">
        <f t="shared" si="6"/>
        <v>0</v>
      </c>
      <c r="P11" s="42">
        <f t="shared" si="16"/>
        <v>106895</v>
      </c>
      <c r="Q11" s="16">
        <f t="shared" si="7"/>
        <v>0</v>
      </c>
      <c r="R11" s="1">
        <v>55047</v>
      </c>
      <c r="S11" s="16">
        <f t="shared" si="8"/>
        <v>0</v>
      </c>
      <c r="T11" s="42">
        <f t="shared" si="17"/>
        <v>3657</v>
      </c>
      <c r="U11" s="16">
        <f t="shared" si="9"/>
        <v>0</v>
      </c>
    </row>
    <row r="12" spans="1:24" ht="13.5" thickBot="1" x14ac:dyDescent="0.25">
      <c r="A12" s="10">
        <v>44357</v>
      </c>
      <c r="B12" s="42">
        <f t="shared" si="10"/>
        <v>45354</v>
      </c>
      <c r="C12" s="16">
        <f t="shared" si="0"/>
        <v>0</v>
      </c>
      <c r="D12" s="42">
        <f t="shared" si="11"/>
        <v>39565</v>
      </c>
      <c r="E12" s="16">
        <f t="shared" si="1"/>
        <v>0</v>
      </c>
      <c r="F12" s="42">
        <f t="shared" si="12"/>
        <v>20428</v>
      </c>
      <c r="G12" s="16">
        <f t="shared" si="2"/>
        <v>0</v>
      </c>
      <c r="H12" s="42">
        <f t="shared" si="13"/>
        <v>242920</v>
      </c>
      <c r="I12" s="16">
        <f t="shared" si="3"/>
        <v>0</v>
      </c>
      <c r="J12" s="42">
        <v>303517</v>
      </c>
      <c r="K12" s="16">
        <f t="shared" si="4"/>
        <v>0</v>
      </c>
      <c r="L12" s="42">
        <f t="shared" si="14"/>
        <v>25001</v>
      </c>
      <c r="M12" s="16">
        <f t="shared" si="5"/>
        <v>0</v>
      </c>
      <c r="N12" s="42">
        <f t="shared" si="15"/>
        <v>215560</v>
      </c>
      <c r="O12" s="16">
        <f t="shared" si="6"/>
        <v>0</v>
      </c>
      <c r="P12" s="42">
        <f t="shared" si="16"/>
        <v>106895</v>
      </c>
      <c r="Q12" s="16">
        <f t="shared" si="7"/>
        <v>0</v>
      </c>
      <c r="R12" s="1">
        <v>55047</v>
      </c>
      <c r="S12" s="16">
        <f t="shared" si="8"/>
        <v>0</v>
      </c>
      <c r="T12" s="42">
        <f t="shared" si="17"/>
        <v>3657</v>
      </c>
      <c r="U12" s="16">
        <f t="shared" si="9"/>
        <v>0</v>
      </c>
    </row>
    <row r="13" spans="1:24" ht="13.5" thickBot="1" x14ac:dyDescent="0.25">
      <c r="A13" s="10">
        <v>44358</v>
      </c>
      <c r="B13" s="42">
        <f t="shared" si="10"/>
        <v>45354</v>
      </c>
      <c r="C13" s="16">
        <f t="shared" si="0"/>
        <v>0</v>
      </c>
      <c r="D13" s="42">
        <f t="shared" si="11"/>
        <v>39565</v>
      </c>
      <c r="E13" s="16">
        <f t="shared" si="1"/>
        <v>0</v>
      </c>
      <c r="F13" s="42">
        <f t="shared" si="12"/>
        <v>20428</v>
      </c>
      <c r="G13" s="16">
        <f t="shared" si="2"/>
        <v>0</v>
      </c>
      <c r="H13" s="42">
        <f t="shared" si="13"/>
        <v>242920</v>
      </c>
      <c r="I13" s="16">
        <f t="shared" si="3"/>
        <v>0</v>
      </c>
      <c r="J13" s="42">
        <v>303517</v>
      </c>
      <c r="K13" s="16">
        <f t="shared" si="4"/>
        <v>0</v>
      </c>
      <c r="L13" s="42">
        <f t="shared" si="14"/>
        <v>25001</v>
      </c>
      <c r="M13" s="16">
        <f t="shared" si="5"/>
        <v>0</v>
      </c>
      <c r="N13" s="42">
        <f t="shared" si="15"/>
        <v>215560</v>
      </c>
      <c r="O13" s="16">
        <f t="shared" si="6"/>
        <v>0</v>
      </c>
      <c r="P13" s="42">
        <f t="shared" si="16"/>
        <v>106895</v>
      </c>
      <c r="Q13" s="16">
        <f t="shared" si="7"/>
        <v>0</v>
      </c>
      <c r="R13" s="1">
        <v>55047</v>
      </c>
      <c r="S13" s="16">
        <f t="shared" si="8"/>
        <v>0</v>
      </c>
      <c r="T13" s="42">
        <f t="shared" si="17"/>
        <v>3657</v>
      </c>
      <c r="U13" s="16">
        <f t="shared" si="9"/>
        <v>0</v>
      </c>
    </row>
    <row r="14" spans="1:24" ht="13.5" thickBot="1" x14ac:dyDescent="0.25">
      <c r="A14" s="10">
        <v>44359</v>
      </c>
      <c r="B14" s="42">
        <f t="shared" si="10"/>
        <v>45354</v>
      </c>
      <c r="C14" s="16">
        <f t="shared" si="0"/>
        <v>0</v>
      </c>
      <c r="D14" s="42">
        <f t="shared" si="11"/>
        <v>39565</v>
      </c>
      <c r="E14" s="16">
        <f t="shared" si="1"/>
        <v>0</v>
      </c>
      <c r="F14" s="42">
        <f t="shared" si="12"/>
        <v>20428</v>
      </c>
      <c r="G14" s="16">
        <f t="shared" si="2"/>
        <v>0</v>
      </c>
      <c r="H14" s="42">
        <f t="shared" si="13"/>
        <v>242920</v>
      </c>
      <c r="I14" s="16">
        <f t="shared" si="3"/>
        <v>0</v>
      </c>
      <c r="J14" s="42">
        <v>303517</v>
      </c>
      <c r="K14" s="16">
        <f t="shared" si="4"/>
        <v>0</v>
      </c>
      <c r="L14" s="42">
        <f t="shared" si="14"/>
        <v>25001</v>
      </c>
      <c r="M14" s="16">
        <f t="shared" si="5"/>
        <v>0</v>
      </c>
      <c r="N14" s="42">
        <f t="shared" si="15"/>
        <v>215560</v>
      </c>
      <c r="O14" s="16">
        <f t="shared" si="6"/>
        <v>0</v>
      </c>
      <c r="P14" s="42">
        <f t="shared" si="16"/>
        <v>106895</v>
      </c>
      <c r="Q14" s="16">
        <f t="shared" si="7"/>
        <v>0</v>
      </c>
      <c r="R14" s="1">
        <v>55047</v>
      </c>
      <c r="S14" s="16">
        <f t="shared" si="8"/>
        <v>0</v>
      </c>
      <c r="T14" s="42">
        <f t="shared" si="17"/>
        <v>3657</v>
      </c>
      <c r="U14" s="16">
        <f>(T14-T13)*800/5</f>
        <v>0</v>
      </c>
    </row>
    <row r="15" spans="1:24" ht="13.5" thickBot="1" x14ac:dyDescent="0.25">
      <c r="A15" s="10">
        <v>44360</v>
      </c>
      <c r="B15" s="42">
        <f t="shared" si="10"/>
        <v>45354</v>
      </c>
      <c r="C15" s="16">
        <f t="shared" si="0"/>
        <v>0</v>
      </c>
      <c r="D15" s="42">
        <f t="shared" si="11"/>
        <v>39565</v>
      </c>
      <c r="E15" s="16">
        <f t="shared" si="1"/>
        <v>0</v>
      </c>
      <c r="F15" s="42">
        <f t="shared" si="12"/>
        <v>20428</v>
      </c>
      <c r="G15" s="16">
        <f t="shared" si="2"/>
        <v>0</v>
      </c>
      <c r="H15" s="42">
        <f t="shared" si="13"/>
        <v>242920</v>
      </c>
      <c r="I15" s="16">
        <f t="shared" si="3"/>
        <v>0</v>
      </c>
      <c r="J15" s="42">
        <v>303517</v>
      </c>
      <c r="K15" s="16">
        <f t="shared" si="4"/>
        <v>0</v>
      </c>
      <c r="L15" s="42">
        <f t="shared" si="14"/>
        <v>25001</v>
      </c>
      <c r="M15" s="16">
        <f t="shared" si="5"/>
        <v>0</v>
      </c>
      <c r="N15" s="42">
        <f t="shared" si="15"/>
        <v>215560</v>
      </c>
      <c r="O15" s="16">
        <f t="shared" si="6"/>
        <v>0</v>
      </c>
      <c r="P15" s="42">
        <f t="shared" si="16"/>
        <v>106895</v>
      </c>
      <c r="Q15" s="16">
        <f t="shared" si="7"/>
        <v>0</v>
      </c>
      <c r="R15" s="1">
        <v>55047</v>
      </c>
      <c r="S15" s="16">
        <f t="shared" si="8"/>
        <v>0</v>
      </c>
      <c r="T15" s="42">
        <f t="shared" si="17"/>
        <v>3657</v>
      </c>
      <c r="U15" s="16">
        <f>(T15-T14)*800/5</f>
        <v>0</v>
      </c>
      <c r="X15" t="s">
        <v>12</v>
      </c>
    </row>
    <row r="16" spans="1:24" ht="13.5" thickBot="1" x14ac:dyDescent="0.25">
      <c r="A16" s="10">
        <v>44361</v>
      </c>
      <c r="B16" s="42">
        <f t="shared" si="10"/>
        <v>45354</v>
      </c>
      <c r="C16" s="16">
        <f t="shared" si="0"/>
        <v>0</v>
      </c>
      <c r="D16" s="42">
        <f t="shared" si="11"/>
        <v>39565</v>
      </c>
      <c r="E16" s="16">
        <f t="shared" si="1"/>
        <v>0</v>
      </c>
      <c r="F16" s="42">
        <f t="shared" si="12"/>
        <v>20428</v>
      </c>
      <c r="G16" s="16">
        <f t="shared" si="2"/>
        <v>0</v>
      </c>
      <c r="H16" s="42">
        <f t="shared" si="13"/>
        <v>242920</v>
      </c>
      <c r="I16" s="16">
        <f t="shared" si="3"/>
        <v>0</v>
      </c>
      <c r="J16" s="42">
        <v>303517</v>
      </c>
      <c r="K16" s="16">
        <f t="shared" si="4"/>
        <v>0</v>
      </c>
      <c r="L16" s="42">
        <f t="shared" si="14"/>
        <v>25001</v>
      </c>
      <c r="M16" s="16">
        <f t="shared" si="5"/>
        <v>0</v>
      </c>
      <c r="N16" s="42">
        <f t="shared" si="15"/>
        <v>215560</v>
      </c>
      <c r="O16" s="16">
        <f t="shared" si="6"/>
        <v>0</v>
      </c>
      <c r="P16" s="42">
        <f t="shared" si="16"/>
        <v>106895</v>
      </c>
      <c r="Q16" s="16">
        <f t="shared" si="7"/>
        <v>0</v>
      </c>
      <c r="R16" s="1">
        <v>55047</v>
      </c>
      <c r="S16" s="16">
        <f t="shared" si="8"/>
        <v>0</v>
      </c>
      <c r="T16" s="42">
        <f t="shared" si="17"/>
        <v>3657</v>
      </c>
      <c r="U16" s="16">
        <f t="shared" si="9"/>
        <v>0</v>
      </c>
      <c r="W16" t="s">
        <v>12</v>
      </c>
    </row>
    <row r="17" spans="1:23" ht="13.5" thickBot="1" x14ac:dyDescent="0.25">
      <c r="A17" s="10">
        <v>44362</v>
      </c>
      <c r="B17" s="42">
        <f t="shared" si="10"/>
        <v>45354</v>
      </c>
      <c r="C17" s="16">
        <f t="shared" si="0"/>
        <v>0</v>
      </c>
      <c r="D17" s="42">
        <f t="shared" si="11"/>
        <v>39565</v>
      </c>
      <c r="E17" s="16">
        <f t="shared" si="1"/>
        <v>0</v>
      </c>
      <c r="F17" s="42">
        <f t="shared" si="12"/>
        <v>20428</v>
      </c>
      <c r="G17" s="16">
        <f t="shared" si="2"/>
        <v>0</v>
      </c>
      <c r="H17" s="42">
        <f t="shared" si="13"/>
        <v>242920</v>
      </c>
      <c r="I17" s="16">
        <f t="shared" si="3"/>
        <v>0</v>
      </c>
      <c r="J17" s="42">
        <v>303517</v>
      </c>
      <c r="K17" s="16">
        <f t="shared" si="4"/>
        <v>0</v>
      </c>
      <c r="L17" s="42">
        <f t="shared" si="14"/>
        <v>25001</v>
      </c>
      <c r="M17" s="16">
        <f t="shared" si="5"/>
        <v>0</v>
      </c>
      <c r="N17" s="42">
        <f t="shared" si="15"/>
        <v>215560</v>
      </c>
      <c r="O17" s="16">
        <f t="shared" si="6"/>
        <v>0</v>
      </c>
      <c r="P17" s="42">
        <f t="shared" si="16"/>
        <v>106895</v>
      </c>
      <c r="Q17" s="16">
        <f t="shared" si="7"/>
        <v>0</v>
      </c>
      <c r="R17" s="1">
        <v>55047</v>
      </c>
      <c r="S17" s="16">
        <f>S16</f>
        <v>0</v>
      </c>
      <c r="T17" s="42">
        <f t="shared" si="17"/>
        <v>3657</v>
      </c>
      <c r="U17" s="16">
        <f t="shared" si="9"/>
        <v>0</v>
      </c>
    </row>
    <row r="18" spans="1:23" ht="13.5" thickBot="1" x14ac:dyDescent="0.25">
      <c r="A18" s="10">
        <v>44363</v>
      </c>
      <c r="B18" s="42">
        <f t="shared" si="10"/>
        <v>45354</v>
      </c>
      <c r="C18" s="16">
        <f t="shared" si="0"/>
        <v>0</v>
      </c>
      <c r="D18" s="42">
        <f t="shared" si="11"/>
        <v>39565</v>
      </c>
      <c r="E18" s="16">
        <f t="shared" si="1"/>
        <v>0</v>
      </c>
      <c r="F18" s="42">
        <f t="shared" si="12"/>
        <v>20428</v>
      </c>
      <c r="G18" s="16">
        <f t="shared" si="2"/>
        <v>0</v>
      </c>
      <c r="H18" s="42">
        <f t="shared" si="13"/>
        <v>242920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si="14"/>
        <v>25001</v>
      </c>
      <c r="M18" s="16">
        <f t="shared" si="5"/>
        <v>0</v>
      </c>
      <c r="N18" s="42">
        <f t="shared" si="15"/>
        <v>215560</v>
      </c>
      <c r="O18" s="16">
        <f t="shared" si="6"/>
        <v>0</v>
      </c>
      <c r="P18" s="42">
        <f t="shared" si="16"/>
        <v>106895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si="17"/>
        <v>3657</v>
      </c>
      <c r="U18" s="16">
        <f t="shared" si="9"/>
        <v>0</v>
      </c>
    </row>
    <row r="19" spans="1:23" ht="13.5" thickBot="1" x14ac:dyDescent="0.25">
      <c r="A19" s="10">
        <v>44364</v>
      </c>
      <c r="B19" s="42">
        <f t="shared" si="10"/>
        <v>45354</v>
      </c>
      <c r="C19" s="16">
        <f t="shared" si="0"/>
        <v>0</v>
      </c>
      <c r="D19" s="42">
        <f t="shared" si="11"/>
        <v>39565</v>
      </c>
      <c r="E19" s="16">
        <f t="shared" si="1"/>
        <v>0</v>
      </c>
      <c r="F19" s="42">
        <f t="shared" si="12"/>
        <v>20428</v>
      </c>
      <c r="G19" s="16">
        <f t="shared" si="2"/>
        <v>0</v>
      </c>
      <c r="H19" s="42">
        <f t="shared" si="13"/>
        <v>242920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4"/>
        <v>25001</v>
      </c>
      <c r="M19" s="16">
        <f t="shared" si="5"/>
        <v>0</v>
      </c>
      <c r="N19" s="42">
        <f t="shared" si="15"/>
        <v>215560</v>
      </c>
      <c r="O19" s="16">
        <f t="shared" si="6"/>
        <v>0</v>
      </c>
      <c r="P19" s="42">
        <f t="shared" si="16"/>
        <v>106895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3657</v>
      </c>
      <c r="U19" s="16">
        <f t="shared" si="9"/>
        <v>0</v>
      </c>
      <c r="W19" t="s">
        <v>12</v>
      </c>
    </row>
    <row r="20" spans="1:23" ht="13.5" thickBot="1" x14ac:dyDescent="0.25">
      <c r="A20" s="10">
        <v>44365</v>
      </c>
      <c r="B20" s="42">
        <f t="shared" si="10"/>
        <v>45354</v>
      </c>
      <c r="C20" s="16">
        <f t="shared" si="0"/>
        <v>0</v>
      </c>
      <c r="D20" s="42">
        <f t="shared" si="11"/>
        <v>39565</v>
      </c>
      <c r="E20" s="16">
        <f t="shared" si="1"/>
        <v>0</v>
      </c>
      <c r="F20" s="42">
        <f t="shared" si="12"/>
        <v>20428</v>
      </c>
      <c r="G20" s="16">
        <f t="shared" si="2"/>
        <v>0</v>
      </c>
      <c r="H20" s="42">
        <f t="shared" si="13"/>
        <v>242920</v>
      </c>
      <c r="I20" s="16">
        <f t="shared" si="3"/>
        <v>0</v>
      </c>
      <c r="J20" s="42">
        <v>303517</v>
      </c>
      <c r="K20" s="16">
        <v>0</v>
      </c>
      <c r="L20" s="42">
        <f t="shared" si="14"/>
        <v>25001</v>
      </c>
      <c r="M20" s="16">
        <f t="shared" si="5"/>
        <v>0</v>
      </c>
      <c r="N20" s="42">
        <f t="shared" si="15"/>
        <v>215560</v>
      </c>
      <c r="O20" s="16">
        <f t="shared" si="6"/>
        <v>0</v>
      </c>
      <c r="P20" s="42">
        <f t="shared" si="16"/>
        <v>106895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3657</v>
      </c>
      <c r="U20" s="16">
        <f t="shared" si="9"/>
        <v>0</v>
      </c>
    </row>
    <row r="21" spans="1:23" ht="13.5" thickBot="1" x14ac:dyDescent="0.25">
      <c r="A21" s="10">
        <v>44366</v>
      </c>
      <c r="B21" s="42">
        <f t="shared" si="10"/>
        <v>45354</v>
      </c>
      <c r="C21" s="16">
        <f t="shared" si="0"/>
        <v>0</v>
      </c>
      <c r="D21" s="42">
        <f t="shared" si="11"/>
        <v>39565</v>
      </c>
      <c r="E21" s="16">
        <f t="shared" si="1"/>
        <v>0</v>
      </c>
      <c r="F21" s="42">
        <f t="shared" si="12"/>
        <v>20428</v>
      </c>
      <c r="G21" s="16">
        <f t="shared" si="2"/>
        <v>0</v>
      </c>
      <c r="H21" s="42">
        <f t="shared" si="13"/>
        <v>242920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4"/>
        <v>25001</v>
      </c>
      <c r="M21" s="16">
        <f t="shared" si="5"/>
        <v>0</v>
      </c>
      <c r="N21" s="42">
        <f t="shared" si="15"/>
        <v>215560</v>
      </c>
      <c r="O21" s="16">
        <f t="shared" si="6"/>
        <v>0</v>
      </c>
      <c r="P21" s="42">
        <f t="shared" si="16"/>
        <v>106895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3657</v>
      </c>
      <c r="U21" s="16">
        <f t="shared" si="9"/>
        <v>0</v>
      </c>
    </row>
    <row r="22" spans="1:23" ht="13.5" thickBot="1" x14ac:dyDescent="0.25">
      <c r="A22" s="10">
        <v>44367</v>
      </c>
      <c r="B22" s="42">
        <f t="shared" si="10"/>
        <v>45354</v>
      </c>
      <c r="C22" s="16">
        <f t="shared" si="0"/>
        <v>0</v>
      </c>
      <c r="D22" s="42">
        <f t="shared" si="11"/>
        <v>39565</v>
      </c>
      <c r="E22" s="16">
        <f t="shared" si="1"/>
        <v>0</v>
      </c>
      <c r="F22" s="42">
        <f t="shared" si="12"/>
        <v>20428</v>
      </c>
      <c r="G22" s="16">
        <f t="shared" si="2"/>
        <v>0</v>
      </c>
      <c r="H22" s="42">
        <f t="shared" si="13"/>
        <v>242920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4"/>
        <v>25001</v>
      </c>
      <c r="M22" s="16">
        <f t="shared" si="5"/>
        <v>0</v>
      </c>
      <c r="N22" s="42">
        <f t="shared" si="15"/>
        <v>215560</v>
      </c>
      <c r="O22" s="16">
        <f t="shared" si="6"/>
        <v>0</v>
      </c>
      <c r="P22" s="42">
        <f t="shared" si="16"/>
        <v>106895</v>
      </c>
      <c r="Q22" s="16">
        <f t="shared" si="7"/>
        <v>0</v>
      </c>
      <c r="R22" s="1">
        <v>55047</v>
      </c>
      <c r="S22" s="16">
        <f t="shared" si="8"/>
        <v>0</v>
      </c>
      <c r="T22" s="42">
        <f t="shared" si="17"/>
        <v>3657</v>
      </c>
      <c r="U22" s="16">
        <f t="shared" si="9"/>
        <v>0</v>
      </c>
    </row>
    <row r="23" spans="1:23" ht="13.5" thickBot="1" x14ac:dyDescent="0.25">
      <c r="A23" s="10">
        <v>44368</v>
      </c>
      <c r="B23" s="42">
        <f t="shared" si="10"/>
        <v>45354</v>
      </c>
      <c r="C23" s="16">
        <f t="shared" si="0"/>
        <v>0</v>
      </c>
      <c r="D23" s="42">
        <f t="shared" si="11"/>
        <v>39565</v>
      </c>
      <c r="E23" s="16">
        <f t="shared" si="1"/>
        <v>0</v>
      </c>
      <c r="F23" s="42">
        <f t="shared" si="12"/>
        <v>20428</v>
      </c>
      <c r="G23" s="16">
        <f t="shared" si="2"/>
        <v>0</v>
      </c>
      <c r="H23" s="42">
        <f t="shared" si="13"/>
        <v>242920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4"/>
        <v>25001</v>
      </c>
      <c r="M23" s="16">
        <f t="shared" si="5"/>
        <v>0</v>
      </c>
      <c r="N23" s="42">
        <f t="shared" si="15"/>
        <v>215560</v>
      </c>
      <c r="O23" s="16">
        <f t="shared" si="6"/>
        <v>0</v>
      </c>
      <c r="P23" s="42">
        <f t="shared" si="16"/>
        <v>106895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3657</v>
      </c>
      <c r="U23" s="16">
        <f t="shared" si="9"/>
        <v>0</v>
      </c>
    </row>
    <row r="24" spans="1:23" s="153" customFormat="1" ht="13.5" thickBot="1" x14ac:dyDescent="0.25">
      <c r="A24" s="10">
        <v>44369</v>
      </c>
      <c r="B24" s="42">
        <f t="shared" si="10"/>
        <v>45354</v>
      </c>
      <c r="C24" s="16">
        <f t="shared" si="0"/>
        <v>0</v>
      </c>
      <c r="D24" s="42">
        <f t="shared" si="11"/>
        <v>39565</v>
      </c>
      <c r="E24" s="16">
        <f t="shared" si="1"/>
        <v>0</v>
      </c>
      <c r="F24" s="42">
        <f t="shared" si="12"/>
        <v>20428</v>
      </c>
      <c r="G24" s="16">
        <f t="shared" si="2"/>
        <v>0</v>
      </c>
      <c r="H24" s="42">
        <f t="shared" si="13"/>
        <v>242920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4"/>
        <v>25001</v>
      </c>
      <c r="M24" s="16">
        <f t="shared" si="5"/>
        <v>0</v>
      </c>
      <c r="N24" s="42">
        <f t="shared" si="15"/>
        <v>215560</v>
      </c>
      <c r="O24" s="16">
        <f t="shared" si="6"/>
        <v>0</v>
      </c>
      <c r="P24" s="42">
        <f t="shared" si="16"/>
        <v>106895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3657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0"/>
        <v>45354</v>
      </c>
      <c r="C25" s="16">
        <f t="shared" si="0"/>
        <v>0</v>
      </c>
      <c r="D25" s="42">
        <f t="shared" si="11"/>
        <v>39565</v>
      </c>
      <c r="E25" s="16">
        <f t="shared" si="1"/>
        <v>0</v>
      </c>
      <c r="F25" s="42">
        <f t="shared" si="12"/>
        <v>20428</v>
      </c>
      <c r="G25" s="16">
        <f t="shared" si="2"/>
        <v>0</v>
      </c>
      <c r="H25" s="42">
        <f t="shared" si="13"/>
        <v>242920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4"/>
        <v>25001</v>
      </c>
      <c r="M25" s="16">
        <f t="shared" si="5"/>
        <v>0</v>
      </c>
      <c r="N25" s="42">
        <f t="shared" si="15"/>
        <v>215560</v>
      </c>
      <c r="O25" s="16">
        <f t="shared" si="6"/>
        <v>0</v>
      </c>
      <c r="P25" s="42">
        <f t="shared" si="16"/>
        <v>106895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3657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0"/>
        <v>45354</v>
      </c>
      <c r="C26" s="16">
        <f t="shared" si="0"/>
        <v>0</v>
      </c>
      <c r="D26" s="42">
        <f t="shared" si="11"/>
        <v>39565</v>
      </c>
      <c r="E26" s="16">
        <f t="shared" si="1"/>
        <v>0</v>
      </c>
      <c r="F26" s="42">
        <f t="shared" si="12"/>
        <v>20428</v>
      </c>
      <c r="G26" s="16">
        <f t="shared" si="2"/>
        <v>0</v>
      </c>
      <c r="H26" s="42">
        <f t="shared" si="13"/>
        <v>242920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4"/>
        <v>25001</v>
      </c>
      <c r="M26" s="16">
        <f t="shared" si="5"/>
        <v>0</v>
      </c>
      <c r="N26" s="42">
        <f t="shared" si="15"/>
        <v>215560</v>
      </c>
      <c r="O26" s="16">
        <f t="shared" si="6"/>
        <v>0</v>
      </c>
      <c r="P26" s="42">
        <f t="shared" si="16"/>
        <v>106895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3657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0"/>
        <v>45354</v>
      </c>
      <c r="C27" s="16">
        <f t="shared" si="0"/>
        <v>0</v>
      </c>
      <c r="D27" s="42">
        <f t="shared" si="11"/>
        <v>39565</v>
      </c>
      <c r="E27" s="16">
        <f t="shared" si="1"/>
        <v>0</v>
      </c>
      <c r="F27" s="42">
        <f t="shared" si="12"/>
        <v>20428</v>
      </c>
      <c r="G27" s="16">
        <f t="shared" si="2"/>
        <v>0</v>
      </c>
      <c r="H27" s="42">
        <f t="shared" si="13"/>
        <v>242920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4"/>
        <v>25001</v>
      </c>
      <c r="M27" s="16">
        <f t="shared" si="5"/>
        <v>0</v>
      </c>
      <c r="N27" s="42">
        <f t="shared" si="15"/>
        <v>215560</v>
      </c>
      <c r="O27" s="16">
        <f t="shared" si="6"/>
        <v>0</v>
      </c>
      <c r="P27" s="42">
        <f t="shared" si="16"/>
        <v>106895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3657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0"/>
        <v>45354</v>
      </c>
      <c r="C28" s="16">
        <f t="shared" si="0"/>
        <v>0</v>
      </c>
      <c r="D28" s="42">
        <f t="shared" si="11"/>
        <v>39565</v>
      </c>
      <c r="E28" s="16">
        <f t="shared" si="1"/>
        <v>0</v>
      </c>
      <c r="F28" s="42">
        <f t="shared" si="12"/>
        <v>20428</v>
      </c>
      <c r="G28" s="16">
        <f t="shared" si="2"/>
        <v>0</v>
      </c>
      <c r="H28" s="42">
        <f t="shared" si="13"/>
        <v>242920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4"/>
        <v>25001</v>
      </c>
      <c r="M28" s="16">
        <f t="shared" si="5"/>
        <v>0</v>
      </c>
      <c r="N28" s="42">
        <f t="shared" si="15"/>
        <v>215560</v>
      </c>
      <c r="O28" s="16">
        <f t="shared" si="6"/>
        <v>0</v>
      </c>
      <c r="P28" s="42">
        <f t="shared" si="16"/>
        <v>106895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3657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0"/>
        <v>45354</v>
      </c>
      <c r="C29" s="16">
        <f t="shared" si="0"/>
        <v>0</v>
      </c>
      <c r="D29" s="42">
        <f t="shared" si="11"/>
        <v>39565</v>
      </c>
      <c r="E29" s="16">
        <f t="shared" si="1"/>
        <v>0</v>
      </c>
      <c r="F29" s="42">
        <f t="shared" si="12"/>
        <v>20428</v>
      </c>
      <c r="G29" s="16">
        <f t="shared" si="2"/>
        <v>0</v>
      </c>
      <c r="H29" s="42">
        <f t="shared" si="13"/>
        <v>242920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4"/>
        <v>25001</v>
      </c>
      <c r="M29" s="16">
        <f t="shared" si="5"/>
        <v>0</v>
      </c>
      <c r="N29" s="42">
        <f t="shared" si="15"/>
        <v>215560</v>
      </c>
      <c r="O29" s="16">
        <f t="shared" si="6"/>
        <v>0</v>
      </c>
      <c r="P29" s="42">
        <f t="shared" si="16"/>
        <v>106895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3657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0"/>
        <v>45354</v>
      </c>
      <c r="C30" s="16">
        <f t="shared" si="0"/>
        <v>0</v>
      </c>
      <c r="D30" s="42">
        <f t="shared" si="11"/>
        <v>39565</v>
      </c>
      <c r="E30" s="16">
        <f t="shared" si="1"/>
        <v>0</v>
      </c>
      <c r="F30" s="42">
        <f t="shared" si="12"/>
        <v>20428</v>
      </c>
      <c r="G30" s="16">
        <f t="shared" si="2"/>
        <v>0</v>
      </c>
      <c r="H30" s="42">
        <f t="shared" si="13"/>
        <v>242920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4"/>
        <v>25001</v>
      </c>
      <c r="M30" s="16">
        <f t="shared" si="5"/>
        <v>0</v>
      </c>
      <c r="N30" s="42">
        <f t="shared" si="15"/>
        <v>215560</v>
      </c>
      <c r="O30" s="16">
        <f t="shared" si="6"/>
        <v>0</v>
      </c>
      <c r="P30" s="42">
        <f t="shared" si="16"/>
        <v>106895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3657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0"/>
        <v>45354</v>
      </c>
      <c r="C31" s="16">
        <f t="shared" si="0"/>
        <v>0</v>
      </c>
      <c r="D31" s="42">
        <f t="shared" si="11"/>
        <v>39565</v>
      </c>
      <c r="E31" s="16">
        <f t="shared" si="1"/>
        <v>0</v>
      </c>
      <c r="F31" s="42">
        <f t="shared" si="12"/>
        <v>20428</v>
      </c>
      <c r="G31" s="16">
        <f t="shared" si="2"/>
        <v>0</v>
      </c>
      <c r="H31" s="42">
        <f t="shared" si="13"/>
        <v>242920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4"/>
        <v>25001</v>
      </c>
      <c r="M31" s="16">
        <f t="shared" si="5"/>
        <v>0</v>
      </c>
      <c r="N31" s="42">
        <f t="shared" si="15"/>
        <v>215560</v>
      </c>
      <c r="O31" s="16">
        <f t="shared" si="6"/>
        <v>0</v>
      </c>
      <c r="P31" s="42">
        <f t="shared" si="16"/>
        <v>106895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3657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0"/>
        <v>45354</v>
      </c>
      <c r="C32" s="16">
        <f t="shared" si="0"/>
        <v>0</v>
      </c>
      <c r="D32" s="42">
        <f t="shared" si="11"/>
        <v>39565</v>
      </c>
      <c r="E32" s="16">
        <f t="shared" si="1"/>
        <v>0</v>
      </c>
      <c r="F32" s="42">
        <f t="shared" si="12"/>
        <v>20428</v>
      </c>
      <c r="G32" s="16">
        <f t="shared" si="2"/>
        <v>0</v>
      </c>
      <c r="H32" s="42">
        <f t="shared" si="13"/>
        <v>242920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4"/>
        <v>25001</v>
      </c>
      <c r="M32" s="16">
        <f t="shared" si="5"/>
        <v>0</v>
      </c>
      <c r="N32" s="42">
        <f t="shared" si="15"/>
        <v>215560</v>
      </c>
      <c r="O32" s="16">
        <f t="shared" si="6"/>
        <v>0</v>
      </c>
      <c r="P32" s="42">
        <f t="shared" si="16"/>
        <v>106895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3657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0"/>
        <v>45354</v>
      </c>
      <c r="C33" s="16">
        <f t="shared" si="0"/>
        <v>0</v>
      </c>
      <c r="D33" s="42">
        <f t="shared" si="11"/>
        <v>39565</v>
      </c>
      <c r="E33" s="16">
        <f t="shared" si="1"/>
        <v>0</v>
      </c>
      <c r="F33" s="42">
        <f t="shared" si="12"/>
        <v>20428</v>
      </c>
      <c r="G33" s="16">
        <f t="shared" si="2"/>
        <v>0</v>
      </c>
      <c r="H33" s="42">
        <f t="shared" si="13"/>
        <v>242920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4"/>
        <v>25001</v>
      </c>
      <c r="M33" s="16">
        <f t="shared" si="5"/>
        <v>0</v>
      </c>
      <c r="N33" s="42">
        <f t="shared" si="15"/>
        <v>215560</v>
      </c>
      <c r="O33" s="16">
        <f t="shared" si="6"/>
        <v>0</v>
      </c>
      <c r="P33" s="42">
        <f t="shared" si="16"/>
        <v>106895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3657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4160</v>
      </c>
      <c r="D34" s="13"/>
      <c r="E34" s="11">
        <f>SUM(E3:E33)</f>
        <v>2240</v>
      </c>
      <c r="F34" s="13"/>
      <c r="G34" s="11">
        <f>SUM(G3:G33)</f>
        <v>340</v>
      </c>
      <c r="H34" s="13"/>
      <c r="I34" s="11">
        <f>SUM(I3:I33)</f>
        <v>335</v>
      </c>
      <c r="J34" s="13"/>
      <c r="K34" s="11">
        <f>SUM(K3:K33)</f>
        <v>0</v>
      </c>
      <c r="L34" s="13"/>
      <c r="M34" s="11">
        <f>SUM(M3:M33)</f>
        <v>2720</v>
      </c>
      <c r="N34" s="43"/>
      <c r="O34" s="11">
        <f>SUM(O3:O33)</f>
        <v>16</v>
      </c>
      <c r="P34" s="13"/>
      <c r="Q34" s="11">
        <f>SUM(Q3:Q33)</f>
        <v>724</v>
      </c>
      <c r="R34" s="1"/>
      <c r="S34" s="11">
        <f>SUM(S3:S33)</f>
        <v>0</v>
      </c>
      <c r="T34" s="1"/>
      <c r="U34" s="11">
        <f>SUM(U3:U33)</f>
        <v>800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7" sqref="A7:XFD7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/>
      <c r="C8" s="49">
        <f t="shared" si="3"/>
        <v>0</v>
      </c>
      <c r="D8" s="3"/>
      <c r="E8" s="49">
        <f t="shared" si="4"/>
        <v>0</v>
      </c>
      <c r="F8" s="3"/>
      <c r="G8" s="49">
        <f t="shared" si="7"/>
        <v>0</v>
      </c>
      <c r="H8" s="3"/>
      <c r="I8" s="54">
        <f t="shared" si="8"/>
        <v>0</v>
      </c>
      <c r="J8" s="23">
        <f t="shared" si="5"/>
        <v>0</v>
      </c>
      <c r="K8" s="24">
        <f t="shared" si="6"/>
        <v>0</v>
      </c>
    </row>
    <row r="9" spans="1:14" ht="16.5" thickBot="1" x14ac:dyDescent="0.3">
      <c r="A9" s="10">
        <v>44354</v>
      </c>
      <c r="B9" s="3"/>
      <c r="C9" s="49">
        <f t="shared" ref="C9:C33" si="9">(IF((B9-B8)&lt;0,"0",(B9-B8)))*10</f>
        <v>0</v>
      </c>
      <c r="D9" s="3"/>
      <c r="E9" s="49">
        <f t="shared" si="4"/>
        <v>0</v>
      </c>
      <c r="F9" s="3"/>
      <c r="G9" s="49">
        <f t="shared" si="7"/>
        <v>0</v>
      </c>
      <c r="H9" s="3"/>
      <c r="I9" s="54">
        <f t="shared" si="8"/>
        <v>0</v>
      </c>
      <c r="J9" s="23">
        <f t="shared" si="5"/>
        <v>0</v>
      </c>
      <c r="K9" s="24">
        <f t="shared" si="6"/>
        <v>0</v>
      </c>
    </row>
    <row r="10" spans="1:14" ht="16.5" thickBot="1" x14ac:dyDescent="0.3">
      <c r="A10" s="10">
        <v>44355</v>
      </c>
      <c r="B10" s="3"/>
      <c r="C10" s="49">
        <f>(IF((B10-B9)&lt;0,"0",(B10-B9)))*10</f>
        <v>0</v>
      </c>
      <c r="D10" s="3"/>
      <c r="E10" s="49">
        <f t="shared" si="4"/>
        <v>0</v>
      </c>
      <c r="F10" s="3"/>
      <c r="G10" s="49">
        <f t="shared" si="7"/>
        <v>0</v>
      </c>
      <c r="H10" s="3"/>
      <c r="I10" s="54">
        <f t="shared" si="8"/>
        <v>0</v>
      </c>
      <c r="J10" s="23">
        <f t="shared" si="5"/>
        <v>0</v>
      </c>
      <c r="K10" s="24">
        <f t="shared" si="6"/>
        <v>0</v>
      </c>
    </row>
    <row r="11" spans="1:14" ht="16.5" thickBot="1" x14ac:dyDescent="0.3">
      <c r="A11" s="10">
        <v>44356</v>
      </c>
      <c r="B11" s="3"/>
      <c r="C11" s="49">
        <f t="shared" si="9"/>
        <v>0</v>
      </c>
      <c r="D11" s="3"/>
      <c r="E11" s="49">
        <f t="shared" si="4"/>
        <v>0</v>
      </c>
      <c r="F11" s="3"/>
      <c r="G11" s="49">
        <f t="shared" si="7"/>
        <v>0</v>
      </c>
      <c r="H11" s="3"/>
      <c r="I11" s="54">
        <f t="shared" si="8"/>
        <v>0</v>
      </c>
      <c r="J11" s="23">
        <f t="shared" si="5"/>
        <v>0</v>
      </c>
      <c r="K11" s="24">
        <f t="shared" si="6"/>
        <v>0</v>
      </c>
      <c r="N11" t="s">
        <v>12</v>
      </c>
    </row>
    <row r="12" spans="1:14" ht="16.5" thickBot="1" x14ac:dyDescent="0.3">
      <c r="A12" s="10">
        <v>44357</v>
      </c>
      <c r="B12" s="3"/>
      <c r="C12" s="49">
        <f t="shared" si="9"/>
        <v>0</v>
      </c>
      <c r="D12" s="3"/>
      <c r="E12" s="49">
        <f t="shared" si="4"/>
        <v>0</v>
      </c>
      <c r="F12" s="3"/>
      <c r="G12" s="49">
        <f t="shared" si="7"/>
        <v>0</v>
      </c>
      <c r="H12" s="3"/>
      <c r="I12" s="54">
        <f t="shared" si="8"/>
        <v>0</v>
      </c>
      <c r="J12" s="23">
        <f t="shared" si="5"/>
        <v>0</v>
      </c>
      <c r="K12" s="24">
        <f t="shared" si="6"/>
        <v>0</v>
      </c>
    </row>
    <row r="13" spans="1:14" ht="16.5" thickBot="1" x14ac:dyDescent="0.3">
      <c r="A13" s="10">
        <v>44358</v>
      </c>
      <c r="B13" s="3"/>
      <c r="C13" s="49">
        <f t="shared" si="9"/>
        <v>0</v>
      </c>
      <c r="D13" s="3"/>
      <c r="E13" s="49">
        <f t="shared" si="4"/>
        <v>0</v>
      </c>
      <c r="F13" s="3"/>
      <c r="G13" s="49">
        <f t="shared" si="7"/>
        <v>0</v>
      </c>
      <c r="H13" s="3"/>
      <c r="I13" s="54">
        <f t="shared" si="8"/>
        <v>0</v>
      </c>
      <c r="J13" s="23">
        <f t="shared" si="5"/>
        <v>0</v>
      </c>
      <c r="K13" s="24">
        <f t="shared" si="6"/>
        <v>0</v>
      </c>
    </row>
    <row r="14" spans="1:14" ht="16.5" thickBot="1" x14ac:dyDescent="0.3">
      <c r="A14" s="10">
        <v>44359</v>
      </c>
      <c r="B14" s="3"/>
      <c r="C14" s="49">
        <f t="shared" si="9"/>
        <v>0</v>
      </c>
      <c r="D14" s="3"/>
      <c r="E14" s="49">
        <f t="shared" si="4"/>
        <v>0</v>
      </c>
      <c r="F14" s="3"/>
      <c r="G14" s="49">
        <f t="shared" si="7"/>
        <v>0</v>
      </c>
      <c r="H14" s="3"/>
      <c r="I14" s="54">
        <f t="shared" si="8"/>
        <v>0</v>
      </c>
      <c r="J14" s="23">
        <f t="shared" si="5"/>
        <v>0</v>
      </c>
      <c r="K14" s="24">
        <f t="shared" si="6"/>
        <v>0</v>
      </c>
    </row>
    <row r="15" spans="1:14" ht="16.5" thickBot="1" x14ac:dyDescent="0.3">
      <c r="A15" s="10">
        <v>44360</v>
      </c>
      <c r="B15" s="3"/>
      <c r="C15" s="49">
        <f t="shared" si="9"/>
        <v>0</v>
      </c>
      <c r="D15" s="3"/>
      <c r="E15" s="49">
        <f t="shared" si="4"/>
        <v>0</v>
      </c>
      <c r="F15" s="3"/>
      <c r="G15" s="49">
        <f t="shared" si="7"/>
        <v>0</v>
      </c>
      <c r="H15" s="3"/>
      <c r="I15" s="54">
        <f t="shared" si="8"/>
        <v>0</v>
      </c>
      <c r="J15" s="23">
        <f t="shared" si="5"/>
        <v>0</v>
      </c>
      <c r="K15" s="24">
        <f t="shared" si="6"/>
        <v>0</v>
      </c>
    </row>
    <row r="16" spans="1:14" ht="16.5" thickBot="1" x14ac:dyDescent="0.3">
      <c r="A16" s="10">
        <v>44361</v>
      </c>
      <c r="B16" s="3"/>
      <c r="C16" s="49">
        <f t="shared" si="9"/>
        <v>0</v>
      </c>
      <c r="D16" s="3"/>
      <c r="E16" s="49">
        <f t="shared" si="4"/>
        <v>0</v>
      </c>
      <c r="F16" s="3"/>
      <c r="G16" s="49">
        <f t="shared" si="7"/>
        <v>0</v>
      </c>
      <c r="H16" s="3"/>
      <c r="I16" s="54">
        <f t="shared" si="8"/>
        <v>0</v>
      </c>
      <c r="J16" s="23">
        <f t="shared" si="5"/>
        <v>0</v>
      </c>
      <c r="K16" s="24">
        <f t="shared" si="6"/>
        <v>0</v>
      </c>
    </row>
    <row r="17" spans="1:25" ht="16.5" thickBot="1" x14ac:dyDescent="0.3">
      <c r="A17" s="10">
        <v>44362</v>
      </c>
      <c r="B17" s="3"/>
      <c r="C17" s="49">
        <f t="shared" si="9"/>
        <v>0</v>
      </c>
      <c r="D17" s="3"/>
      <c r="E17" s="49">
        <f t="shared" si="4"/>
        <v>0</v>
      </c>
      <c r="F17" s="3"/>
      <c r="G17" s="49">
        <f t="shared" si="7"/>
        <v>0</v>
      </c>
      <c r="H17" s="3"/>
      <c r="I17" s="54">
        <f t="shared" si="8"/>
        <v>0</v>
      </c>
      <c r="J17" s="23">
        <f t="shared" si="5"/>
        <v>0</v>
      </c>
      <c r="K17" s="24">
        <f t="shared" si="6"/>
        <v>0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/>
      <c r="C18" s="49">
        <f t="shared" si="9"/>
        <v>0</v>
      </c>
      <c r="D18" s="3"/>
      <c r="E18" s="49">
        <f t="shared" si="4"/>
        <v>0</v>
      </c>
      <c r="F18" s="3"/>
      <c r="G18" s="49">
        <f t="shared" si="7"/>
        <v>0</v>
      </c>
      <c r="H18" s="3"/>
      <c r="I18" s="54">
        <f t="shared" si="8"/>
        <v>0</v>
      </c>
      <c r="J18" s="23">
        <f t="shared" si="5"/>
        <v>0</v>
      </c>
      <c r="K18" s="24">
        <f t="shared" si="6"/>
        <v>0</v>
      </c>
      <c r="Q18" t="s">
        <v>43</v>
      </c>
    </row>
    <row r="19" spans="1:25" ht="16.5" thickBot="1" x14ac:dyDescent="0.3">
      <c r="A19" s="10">
        <v>44364</v>
      </c>
      <c r="B19" s="3"/>
      <c r="C19" s="49">
        <f t="shared" si="9"/>
        <v>0</v>
      </c>
      <c r="D19" s="3"/>
      <c r="E19" s="49">
        <f t="shared" si="4"/>
        <v>0</v>
      </c>
      <c r="F19" s="3"/>
      <c r="G19" s="49">
        <f t="shared" si="7"/>
        <v>0</v>
      </c>
      <c r="H19" s="3"/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44365</v>
      </c>
      <c r="B20" s="3"/>
      <c r="C20" s="49">
        <f t="shared" si="9"/>
        <v>0</v>
      </c>
      <c r="D20" s="3"/>
      <c r="E20" s="49">
        <f t="shared" si="4"/>
        <v>0</v>
      </c>
      <c r="F20" s="3"/>
      <c r="G20" s="49">
        <f t="shared" si="7"/>
        <v>0</v>
      </c>
      <c r="H20" s="3"/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44366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44367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7150</v>
      </c>
      <c r="D34" s="3"/>
      <c r="E34" s="66">
        <f>SUM(E3:E33)</f>
        <v>16.2</v>
      </c>
      <c r="F34" s="3"/>
      <c r="G34" s="66">
        <f>SUM(G3:G33)</f>
        <v>3013.2</v>
      </c>
      <c r="H34" s="3"/>
      <c r="I34" s="66">
        <f>SUM(I3:I33)</f>
        <v>17.657999999999998</v>
      </c>
      <c r="J34" s="66">
        <f>SUM(J3:J33)</f>
        <v>10197.057999999999</v>
      </c>
      <c r="K34" s="66">
        <f>SUM(K3:K33)</f>
        <v>59754.759879999998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selection activeCell="A7" sqref="A7:XFD7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/>
      <c r="C8" s="161"/>
      <c r="D8" s="49">
        <f t="shared" si="11"/>
        <v>0</v>
      </c>
      <c r="E8" s="137"/>
      <c r="F8" s="49" t="str">
        <f t="shared" si="12"/>
        <v>0</v>
      </c>
      <c r="G8" s="141"/>
      <c r="H8" s="49" t="str">
        <f t="shared" si="13"/>
        <v>0</v>
      </c>
      <c r="I8" s="138">
        <f t="shared" si="14"/>
        <v>0</v>
      </c>
      <c r="J8" s="137"/>
      <c r="K8" s="49" t="str">
        <f t="shared" si="15"/>
        <v>0</v>
      </c>
      <c r="L8" s="139"/>
      <c r="M8" s="49" t="str">
        <f t="shared" si="16"/>
        <v>0</v>
      </c>
      <c r="N8" s="137"/>
      <c r="O8" s="49">
        <f t="shared" si="23"/>
        <v>0</v>
      </c>
      <c r="P8" s="139"/>
      <c r="Q8" s="49" t="str">
        <f t="shared" si="17"/>
        <v>0</v>
      </c>
      <c r="R8" s="137"/>
      <c r="S8" s="49" t="str">
        <f t="shared" si="18"/>
        <v>0</v>
      </c>
      <c r="T8" s="137">
        <v>0</v>
      </c>
      <c r="U8" s="140"/>
      <c r="V8" s="137"/>
      <c r="W8" s="49" t="str">
        <f t="shared" si="19"/>
        <v>0</v>
      </c>
      <c r="X8" s="28">
        <f t="shared" si="20"/>
        <v>0</v>
      </c>
      <c r="Y8" s="35">
        <f t="shared" si="21"/>
        <v>0</v>
      </c>
      <c r="Z8" s="27">
        <f t="shared" si="22"/>
        <v>0</v>
      </c>
      <c r="AA8" s="27">
        <f t="shared" si="24"/>
        <v>23701.015332800001</v>
      </c>
    </row>
    <row r="9" spans="1:27" ht="16.5" thickBot="1" x14ac:dyDescent="0.25">
      <c r="A9" s="10">
        <v>44354</v>
      </c>
      <c r="B9" s="49"/>
      <c r="C9" s="161"/>
      <c r="D9" s="49">
        <f t="shared" si="11"/>
        <v>0</v>
      </c>
      <c r="E9" s="137"/>
      <c r="F9" s="49">
        <f t="shared" si="12"/>
        <v>0</v>
      </c>
      <c r="G9" s="141"/>
      <c r="H9" s="49">
        <f t="shared" si="13"/>
        <v>0</v>
      </c>
      <c r="I9" s="138">
        <f t="shared" si="14"/>
        <v>0</v>
      </c>
      <c r="J9" s="137"/>
      <c r="K9" s="49">
        <f t="shared" si="15"/>
        <v>0</v>
      </c>
      <c r="L9" s="139"/>
      <c r="M9" s="49">
        <f t="shared" si="16"/>
        <v>0</v>
      </c>
      <c r="N9" s="137"/>
      <c r="O9" s="49">
        <f t="shared" si="23"/>
        <v>0</v>
      </c>
      <c r="P9" s="139"/>
      <c r="Q9" s="49">
        <f t="shared" si="17"/>
        <v>0</v>
      </c>
      <c r="R9" s="137"/>
      <c r="S9" s="49">
        <f t="shared" si="18"/>
        <v>0</v>
      </c>
      <c r="T9" s="137">
        <v>0</v>
      </c>
      <c r="U9" s="140"/>
      <c r="V9" s="137"/>
      <c r="W9" s="49">
        <f t="shared" si="19"/>
        <v>0</v>
      </c>
      <c r="X9" s="28">
        <f t="shared" si="20"/>
        <v>0</v>
      </c>
      <c r="Y9" s="35">
        <f t="shared" si="21"/>
        <v>0</v>
      </c>
      <c r="Z9" s="27">
        <f t="shared" si="22"/>
        <v>0</v>
      </c>
      <c r="AA9" s="27">
        <f t="shared" si="24"/>
        <v>16898.365161599999</v>
      </c>
    </row>
    <row r="10" spans="1:27" ht="16.5" thickBot="1" x14ac:dyDescent="0.25">
      <c r="A10" s="10">
        <v>44355</v>
      </c>
      <c r="B10" s="49"/>
      <c r="C10" s="161"/>
      <c r="D10" s="49">
        <f t="shared" si="11"/>
        <v>0</v>
      </c>
      <c r="E10" s="137"/>
      <c r="F10" s="49">
        <f t="shared" si="12"/>
        <v>0</v>
      </c>
      <c r="G10" s="141"/>
      <c r="H10" s="49">
        <f t="shared" si="13"/>
        <v>0</v>
      </c>
      <c r="I10" s="138">
        <f t="shared" si="14"/>
        <v>0</v>
      </c>
      <c r="J10" s="137"/>
      <c r="K10" s="49">
        <f t="shared" si="15"/>
        <v>0</v>
      </c>
      <c r="L10" s="139"/>
      <c r="M10" s="49">
        <f t="shared" si="16"/>
        <v>0</v>
      </c>
      <c r="N10" s="137"/>
      <c r="O10" s="49">
        <f t="shared" si="23"/>
        <v>0</v>
      </c>
      <c r="P10" s="139"/>
      <c r="Q10" s="49">
        <f t="shared" si="17"/>
        <v>0</v>
      </c>
      <c r="R10" s="137"/>
      <c r="S10" s="49">
        <f t="shared" si="18"/>
        <v>0</v>
      </c>
      <c r="T10" s="137">
        <v>0</v>
      </c>
      <c r="U10" s="140"/>
      <c r="V10" s="137"/>
      <c r="W10" s="49">
        <f t="shared" si="19"/>
        <v>0</v>
      </c>
      <c r="X10" s="28">
        <f t="shared" si="20"/>
        <v>0</v>
      </c>
      <c r="Y10" s="35">
        <f t="shared" si="21"/>
        <v>0</v>
      </c>
      <c r="Z10" s="27">
        <f t="shared" si="22"/>
        <v>0</v>
      </c>
      <c r="AA10" s="27">
        <f t="shared" si="24"/>
        <v>7024.8955087999993</v>
      </c>
    </row>
    <row r="11" spans="1:27" ht="15.75" customHeight="1" thickBot="1" x14ac:dyDescent="0.25">
      <c r="A11" s="10">
        <v>44356</v>
      </c>
      <c r="B11" s="49"/>
      <c r="C11" s="161"/>
      <c r="D11" s="49">
        <f t="shared" si="11"/>
        <v>0</v>
      </c>
      <c r="E11" s="137"/>
      <c r="F11" s="49">
        <f t="shared" si="12"/>
        <v>0</v>
      </c>
      <c r="G11" s="141"/>
      <c r="H11" s="49">
        <f t="shared" si="13"/>
        <v>0</v>
      </c>
      <c r="I11" s="138">
        <f t="shared" si="14"/>
        <v>0</v>
      </c>
      <c r="J11" s="137"/>
      <c r="K11" s="49">
        <f t="shared" si="15"/>
        <v>0</v>
      </c>
      <c r="L11" s="139"/>
      <c r="M11" s="49">
        <f t="shared" si="16"/>
        <v>0</v>
      </c>
      <c r="N11" s="137"/>
      <c r="O11" s="49">
        <f t="shared" si="23"/>
        <v>0</v>
      </c>
      <c r="P11" s="139"/>
      <c r="Q11" s="49">
        <f t="shared" si="17"/>
        <v>0</v>
      </c>
      <c r="R11" s="137"/>
      <c r="S11" s="49">
        <f t="shared" si="18"/>
        <v>0</v>
      </c>
      <c r="T11" s="137">
        <v>0</v>
      </c>
      <c r="U11" s="140"/>
      <c r="V11" s="137"/>
      <c r="W11" s="49">
        <f t="shared" si="19"/>
        <v>0</v>
      </c>
      <c r="X11" s="28">
        <f t="shared" si="20"/>
        <v>0</v>
      </c>
      <c r="Y11" s="35">
        <f t="shared" si="21"/>
        <v>0</v>
      </c>
      <c r="Z11" s="27">
        <f t="shared" si="22"/>
        <v>0</v>
      </c>
      <c r="AA11" s="27">
        <f t="shared" si="24"/>
        <v>0</v>
      </c>
    </row>
    <row r="12" spans="1:27" ht="16.5" thickBot="1" x14ac:dyDescent="0.25">
      <c r="A12" s="10">
        <v>44357</v>
      </c>
      <c r="B12" s="49"/>
      <c r="C12" s="161"/>
      <c r="D12" s="49">
        <f t="shared" si="11"/>
        <v>0</v>
      </c>
      <c r="E12" s="137"/>
      <c r="F12" s="49">
        <f t="shared" si="12"/>
        <v>0</v>
      </c>
      <c r="G12" s="141"/>
      <c r="H12" s="49">
        <f t="shared" si="13"/>
        <v>0</v>
      </c>
      <c r="I12" s="138">
        <f t="shared" si="14"/>
        <v>0</v>
      </c>
      <c r="J12" s="137"/>
      <c r="K12" s="49">
        <f t="shared" si="15"/>
        <v>0</v>
      </c>
      <c r="L12" s="139"/>
      <c r="M12" s="49">
        <f t="shared" si="16"/>
        <v>0</v>
      </c>
      <c r="N12" s="137"/>
      <c r="O12" s="49">
        <f t="shared" si="23"/>
        <v>0</v>
      </c>
      <c r="P12" s="139"/>
      <c r="Q12" s="49">
        <f t="shared" si="17"/>
        <v>0</v>
      </c>
      <c r="R12" s="137"/>
      <c r="S12" s="49">
        <f t="shared" si="18"/>
        <v>0</v>
      </c>
      <c r="T12" s="137">
        <v>0</v>
      </c>
      <c r="U12" s="140"/>
      <c r="V12" s="137"/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0</v>
      </c>
    </row>
    <row r="13" spans="1:27" ht="16.5" thickBot="1" x14ac:dyDescent="0.25">
      <c r="A13" s="10">
        <v>44358</v>
      </c>
      <c r="B13" s="49"/>
      <c r="C13" s="161"/>
      <c r="D13" s="49">
        <f t="shared" si="11"/>
        <v>0</v>
      </c>
      <c r="E13" s="137"/>
      <c r="F13" s="49">
        <f t="shared" si="12"/>
        <v>0</v>
      </c>
      <c r="G13" s="141"/>
      <c r="H13" s="49">
        <f t="shared" si="13"/>
        <v>0</v>
      </c>
      <c r="I13" s="138">
        <f t="shared" si="14"/>
        <v>0</v>
      </c>
      <c r="J13" s="137"/>
      <c r="K13" s="49">
        <f t="shared" si="15"/>
        <v>0</v>
      </c>
      <c r="L13" s="139"/>
      <c r="M13" s="49">
        <f t="shared" si="16"/>
        <v>0</v>
      </c>
      <c r="N13" s="137"/>
      <c r="O13" s="49">
        <f t="shared" si="23"/>
        <v>0</v>
      </c>
      <c r="P13" s="139"/>
      <c r="Q13" s="49">
        <f t="shared" si="17"/>
        <v>0</v>
      </c>
      <c r="R13" s="137"/>
      <c r="S13" s="49">
        <f>IF((R13-R12)&lt;0,"0",(R13-R12))</f>
        <v>0</v>
      </c>
      <c r="T13" s="137">
        <v>0</v>
      </c>
      <c r="U13" s="140"/>
      <c r="V13" s="137"/>
      <c r="W13" s="49">
        <f t="shared" si="19"/>
        <v>0</v>
      </c>
      <c r="X13" s="28">
        <f t="shared" si="20"/>
        <v>0</v>
      </c>
      <c r="Y13" s="35">
        <f t="shared" si="21"/>
        <v>0</v>
      </c>
      <c r="Z13" s="27">
        <f t="shared" si="22"/>
        <v>0</v>
      </c>
      <c r="AA13" s="27">
        <f t="shared" si="24"/>
        <v>0</v>
      </c>
    </row>
    <row r="14" spans="1:27" ht="16.5" thickBot="1" x14ac:dyDescent="0.25">
      <c r="A14" s="10">
        <v>44359</v>
      </c>
      <c r="B14" s="49"/>
      <c r="C14" s="161"/>
      <c r="D14" s="49">
        <f t="shared" si="11"/>
        <v>0</v>
      </c>
      <c r="E14" s="137"/>
      <c r="F14" s="49">
        <f>IF((E14-E13)&lt;0,"0",(E14-E13))</f>
        <v>0</v>
      </c>
      <c r="G14" s="141"/>
      <c r="H14" s="49">
        <f t="shared" si="13"/>
        <v>0</v>
      </c>
      <c r="I14" s="138">
        <f t="shared" si="14"/>
        <v>0</v>
      </c>
      <c r="J14" s="137"/>
      <c r="K14" s="49">
        <f t="shared" si="15"/>
        <v>0</v>
      </c>
      <c r="L14" s="139"/>
      <c r="M14" s="49">
        <f t="shared" si="16"/>
        <v>0</v>
      </c>
      <c r="N14" s="137"/>
      <c r="O14" s="49">
        <f t="shared" si="23"/>
        <v>0</v>
      </c>
      <c r="P14" s="139"/>
      <c r="Q14" s="49">
        <f t="shared" si="17"/>
        <v>0</v>
      </c>
      <c r="R14" s="137"/>
      <c r="S14" s="49">
        <f>IF((R14-R13)&lt;0,"0",(R14-R13))</f>
        <v>0</v>
      </c>
      <c r="T14" s="137">
        <v>0</v>
      </c>
      <c r="U14" s="140"/>
      <c r="V14" s="137"/>
      <c r="W14" s="49">
        <f t="shared" si="19"/>
        <v>0</v>
      </c>
      <c r="X14" s="28">
        <f t="shared" si="20"/>
        <v>0</v>
      </c>
      <c r="Y14" s="35">
        <f t="shared" si="21"/>
        <v>0</v>
      </c>
      <c r="Z14" s="27">
        <f t="shared" si="22"/>
        <v>0</v>
      </c>
      <c r="AA14" s="27">
        <f t="shared" si="24"/>
        <v>0</v>
      </c>
    </row>
    <row r="15" spans="1:27" ht="16.5" thickBot="1" x14ac:dyDescent="0.25">
      <c r="A15" s="10">
        <v>44360</v>
      </c>
      <c r="B15" s="49"/>
      <c r="C15" s="161"/>
      <c r="D15" s="49">
        <f t="shared" si="11"/>
        <v>0</v>
      </c>
      <c r="E15" s="137"/>
      <c r="F15" s="49">
        <f>IF((E15-E14)&lt;0,"0",(E15-E14))</f>
        <v>0</v>
      </c>
      <c r="G15" s="141"/>
      <c r="H15" s="49">
        <f t="shared" si="13"/>
        <v>0</v>
      </c>
      <c r="I15" s="138">
        <f t="shared" si="14"/>
        <v>0</v>
      </c>
      <c r="J15" s="137"/>
      <c r="K15" s="49">
        <f t="shared" si="15"/>
        <v>0</v>
      </c>
      <c r="L15" s="139"/>
      <c r="M15" s="49">
        <f t="shared" si="16"/>
        <v>0</v>
      </c>
      <c r="N15" s="137"/>
      <c r="O15" s="49">
        <f t="shared" si="23"/>
        <v>0</v>
      </c>
      <c r="P15" s="139"/>
      <c r="Q15" s="49">
        <f t="shared" si="17"/>
        <v>0</v>
      </c>
      <c r="R15" s="137"/>
      <c r="S15" s="49">
        <f>IF((R15-R14)&lt;0,"0",(R15-R14))</f>
        <v>0</v>
      </c>
      <c r="T15" s="137">
        <v>0</v>
      </c>
      <c r="U15" s="140"/>
      <c r="V15" s="137"/>
      <c r="W15" s="49">
        <f t="shared" si="19"/>
        <v>0</v>
      </c>
      <c r="X15" s="28">
        <f t="shared" si="20"/>
        <v>0</v>
      </c>
      <c r="Y15" s="35">
        <f t="shared" si="21"/>
        <v>0</v>
      </c>
      <c r="Z15" s="27">
        <f t="shared" si="22"/>
        <v>0</v>
      </c>
      <c r="AA15" s="27">
        <f t="shared" si="24"/>
        <v>0</v>
      </c>
    </row>
    <row r="16" spans="1:27" ht="16.5" thickBot="1" x14ac:dyDescent="0.25">
      <c r="A16" s="10">
        <v>44361</v>
      </c>
      <c r="B16" s="49"/>
      <c r="C16" s="161"/>
      <c r="D16" s="49">
        <f t="shared" si="11"/>
        <v>0</v>
      </c>
      <c r="E16" s="137"/>
      <c r="F16" s="49">
        <f>IF((E16-E15)&lt;0,"0",(E16-E15))</f>
        <v>0</v>
      </c>
      <c r="G16" s="141"/>
      <c r="H16" s="49">
        <f t="shared" si="13"/>
        <v>0</v>
      </c>
      <c r="I16" s="138">
        <f t="shared" si="14"/>
        <v>0</v>
      </c>
      <c r="J16" s="137"/>
      <c r="K16" s="49">
        <f t="shared" si="15"/>
        <v>0</v>
      </c>
      <c r="L16" s="139"/>
      <c r="M16" s="49">
        <f t="shared" si="16"/>
        <v>0</v>
      </c>
      <c r="N16" s="137"/>
      <c r="O16" s="49">
        <f t="shared" si="23"/>
        <v>0</v>
      </c>
      <c r="P16" s="139"/>
      <c r="Q16" s="49">
        <f t="shared" si="17"/>
        <v>0</v>
      </c>
      <c r="R16" s="137"/>
      <c r="S16" s="49">
        <f t="shared" si="18"/>
        <v>0</v>
      </c>
      <c r="T16" s="137">
        <v>0</v>
      </c>
      <c r="U16" s="140"/>
      <c r="V16" s="137"/>
      <c r="W16" s="49">
        <f t="shared" si="19"/>
        <v>0</v>
      </c>
      <c r="X16" s="28">
        <f t="shared" si="20"/>
        <v>0</v>
      </c>
      <c r="Y16" s="35">
        <f t="shared" si="21"/>
        <v>0</v>
      </c>
      <c r="Z16" s="27">
        <f t="shared" si="22"/>
        <v>0</v>
      </c>
      <c r="AA16" s="27">
        <f t="shared" si="24"/>
        <v>0</v>
      </c>
    </row>
    <row r="17" spans="1:27" s="151" customFormat="1" ht="16.5" thickBot="1" x14ac:dyDescent="0.25">
      <c r="A17" s="10">
        <v>44362</v>
      </c>
      <c r="B17" s="146"/>
      <c r="C17" s="161"/>
      <c r="D17" s="49">
        <f t="shared" si="11"/>
        <v>0</v>
      </c>
      <c r="E17" s="137"/>
      <c r="F17" s="146">
        <f t="shared" si="12"/>
        <v>0</v>
      </c>
      <c r="G17" s="141"/>
      <c r="H17" s="49">
        <f t="shared" si="13"/>
        <v>0</v>
      </c>
      <c r="I17" s="148">
        <f t="shared" si="14"/>
        <v>0</v>
      </c>
      <c r="J17" s="137"/>
      <c r="K17" s="146">
        <f t="shared" si="15"/>
        <v>0</v>
      </c>
      <c r="L17" s="139"/>
      <c r="M17" s="146">
        <f t="shared" si="16"/>
        <v>0</v>
      </c>
      <c r="N17" s="137"/>
      <c r="O17" s="146">
        <f t="shared" si="23"/>
        <v>0</v>
      </c>
      <c r="P17" s="139"/>
      <c r="Q17" s="146">
        <f t="shared" si="17"/>
        <v>0</v>
      </c>
      <c r="R17" s="137"/>
      <c r="S17" s="146">
        <f t="shared" si="18"/>
        <v>0</v>
      </c>
      <c r="T17" s="147">
        <v>0</v>
      </c>
      <c r="U17" s="140"/>
      <c r="V17" s="137"/>
      <c r="W17" s="146">
        <f t="shared" si="19"/>
        <v>0</v>
      </c>
      <c r="X17" s="28">
        <f t="shared" si="20"/>
        <v>0</v>
      </c>
      <c r="Y17" s="149">
        <f t="shared" si="21"/>
        <v>0</v>
      </c>
      <c r="Z17" s="150">
        <f t="shared" si="22"/>
        <v>0</v>
      </c>
      <c r="AA17" s="150">
        <f t="shared" si="24"/>
        <v>0</v>
      </c>
    </row>
    <row r="18" spans="1:27" s="151" customFormat="1" ht="16.5" thickBot="1" x14ac:dyDescent="0.25">
      <c r="A18" s="10">
        <v>44363</v>
      </c>
      <c r="B18" s="146"/>
      <c r="C18" s="161"/>
      <c r="D18" s="49">
        <f t="shared" si="11"/>
        <v>0</v>
      </c>
      <c r="E18" s="137"/>
      <c r="F18" s="146">
        <f t="shared" si="12"/>
        <v>0</v>
      </c>
      <c r="G18" s="141"/>
      <c r="H18" s="49">
        <f t="shared" si="13"/>
        <v>0</v>
      </c>
      <c r="I18" s="148">
        <f t="shared" si="14"/>
        <v>0</v>
      </c>
      <c r="J18" s="137"/>
      <c r="K18" s="146">
        <f t="shared" si="15"/>
        <v>0</v>
      </c>
      <c r="L18" s="139"/>
      <c r="M18" s="146">
        <f t="shared" si="16"/>
        <v>0</v>
      </c>
      <c r="N18" s="137"/>
      <c r="O18" s="146">
        <f t="shared" si="23"/>
        <v>0</v>
      </c>
      <c r="P18" s="139"/>
      <c r="Q18" s="146">
        <f t="shared" si="17"/>
        <v>0</v>
      </c>
      <c r="R18" s="137"/>
      <c r="S18" s="146">
        <f t="shared" si="18"/>
        <v>0</v>
      </c>
      <c r="T18" s="147">
        <v>0</v>
      </c>
      <c r="U18" s="140"/>
      <c r="V18" s="137"/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0</v>
      </c>
    </row>
    <row r="19" spans="1:27" s="151" customFormat="1" ht="16.5" thickBot="1" x14ac:dyDescent="0.25">
      <c r="A19" s="10">
        <v>44364</v>
      </c>
      <c r="B19" s="146"/>
      <c r="C19" s="161"/>
      <c r="D19" s="49">
        <f>IF((C19-C18)&lt;0,"0",(C19-C18))*160</f>
        <v>0</v>
      </c>
      <c r="E19" s="137"/>
      <c r="F19" s="146">
        <f t="shared" si="12"/>
        <v>0</v>
      </c>
      <c r="G19" s="141"/>
      <c r="H19" s="49">
        <f t="shared" si="13"/>
        <v>0</v>
      </c>
      <c r="I19" s="148">
        <f t="shared" si="14"/>
        <v>0</v>
      </c>
      <c r="J19" s="137"/>
      <c r="K19" s="146">
        <f t="shared" si="15"/>
        <v>0</v>
      </c>
      <c r="L19" s="139"/>
      <c r="M19" s="146">
        <f t="shared" si="16"/>
        <v>0</v>
      </c>
      <c r="N19" s="137"/>
      <c r="O19" s="146">
        <f t="shared" si="23"/>
        <v>0</v>
      </c>
      <c r="P19" s="139"/>
      <c r="Q19" s="146">
        <f t="shared" si="17"/>
        <v>0</v>
      </c>
      <c r="R19" s="137"/>
      <c r="S19" s="146">
        <f t="shared" si="18"/>
        <v>0</v>
      </c>
      <c r="T19" s="147">
        <v>0</v>
      </c>
      <c r="U19" s="140"/>
      <c r="V19" s="137"/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0</v>
      </c>
    </row>
    <row r="20" spans="1:27" s="151" customFormat="1" ht="16.5" thickBot="1" x14ac:dyDescent="0.25">
      <c r="A20" s="10">
        <v>44365</v>
      </c>
      <c r="B20" s="146"/>
      <c r="C20" s="161"/>
      <c r="D20" s="49">
        <f>IF((C20-C19)&lt;0,"0",(C20-C19))*160</f>
        <v>0</v>
      </c>
      <c r="E20" s="137"/>
      <c r="F20" s="146">
        <f t="shared" si="12"/>
        <v>0</v>
      </c>
      <c r="G20" s="141"/>
      <c r="H20" s="49">
        <f t="shared" si="13"/>
        <v>0</v>
      </c>
      <c r="I20" s="148">
        <f t="shared" si="14"/>
        <v>0</v>
      </c>
      <c r="J20" s="137"/>
      <c r="K20" s="146">
        <f t="shared" si="15"/>
        <v>0</v>
      </c>
      <c r="L20" s="139"/>
      <c r="M20" s="146">
        <f t="shared" si="16"/>
        <v>0</v>
      </c>
      <c r="N20" s="137"/>
      <c r="O20" s="146">
        <f t="shared" si="23"/>
        <v>0</v>
      </c>
      <c r="P20" s="139"/>
      <c r="Q20" s="146">
        <f t="shared" si="17"/>
        <v>0</v>
      </c>
      <c r="R20" s="137"/>
      <c r="S20" s="146">
        <f t="shared" si="18"/>
        <v>0</v>
      </c>
      <c r="T20" s="147">
        <v>0</v>
      </c>
      <c r="U20" s="140"/>
      <c r="V20" s="137"/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0</v>
      </c>
    </row>
    <row r="21" spans="1:27" s="151" customFormat="1" ht="16.5" thickBot="1" x14ac:dyDescent="0.25">
      <c r="A21" s="10">
        <v>44366</v>
      </c>
      <c r="B21" s="146"/>
      <c r="C21" s="161"/>
      <c r="D21" s="49">
        <f>IF((C21-C20)&lt;0,"0",(C21-C20))*160</f>
        <v>0</v>
      </c>
      <c r="E21" s="137"/>
      <c r="F21" s="146">
        <f t="shared" si="12"/>
        <v>0</v>
      </c>
      <c r="G21" s="141"/>
      <c r="H21" s="49">
        <f t="shared" si="13"/>
        <v>0</v>
      </c>
      <c r="I21" s="148">
        <f t="shared" si="14"/>
        <v>0</v>
      </c>
      <c r="J21" s="137"/>
      <c r="K21" s="146">
        <f t="shared" si="15"/>
        <v>0</v>
      </c>
      <c r="L21" s="139"/>
      <c r="M21" s="146">
        <f t="shared" si="16"/>
        <v>0</v>
      </c>
      <c r="N21" s="137"/>
      <c r="O21" s="146">
        <f t="shared" si="23"/>
        <v>0</v>
      </c>
      <c r="P21" s="139"/>
      <c r="Q21" s="146">
        <f t="shared" si="17"/>
        <v>0</v>
      </c>
      <c r="R21" s="137"/>
      <c r="S21" s="146">
        <f t="shared" si="18"/>
        <v>0</v>
      </c>
      <c r="T21" s="147">
        <v>0</v>
      </c>
      <c r="U21" s="140"/>
      <c r="V21" s="137"/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44367</v>
      </c>
      <c r="B22" s="49"/>
      <c r="C22" s="161"/>
      <c r="D22" s="49">
        <f t="shared" si="11"/>
        <v>0</v>
      </c>
      <c r="E22" s="137"/>
      <c r="F22" s="49">
        <f t="shared" si="12"/>
        <v>0</v>
      </c>
      <c r="G22" s="141"/>
      <c r="H22" s="49">
        <f t="shared" si="13"/>
        <v>0</v>
      </c>
      <c r="I22" s="138">
        <f t="shared" si="14"/>
        <v>0</v>
      </c>
      <c r="J22" s="137"/>
      <c r="K22" s="49">
        <f t="shared" si="15"/>
        <v>0</v>
      </c>
      <c r="L22" s="139"/>
      <c r="M22" s="49">
        <f t="shared" si="16"/>
        <v>0</v>
      </c>
      <c r="N22" s="137"/>
      <c r="O22" s="49">
        <f t="shared" si="23"/>
        <v>0</v>
      </c>
      <c r="P22" s="139"/>
      <c r="Q22" s="49">
        <f t="shared" si="17"/>
        <v>0</v>
      </c>
      <c r="R22" s="137"/>
      <c r="S22" s="49">
        <f t="shared" si="18"/>
        <v>0</v>
      </c>
      <c r="T22" s="137">
        <v>0</v>
      </c>
      <c r="U22" s="140"/>
      <c r="V22" s="137"/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44368</v>
      </c>
      <c r="B23" s="49"/>
      <c r="C23" s="161"/>
      <c r="D23" s="49">
        <f t="shared" si="11"/>
        <v>0</v>
      </c>
      <c r="E23" s="137"/>
      <c r="F23" s="49">
        <f t="shared" si="12"/>
        <v>0</v>
      </c>
      <c r="G23" s="141"/>
      <c r="H23" s="49">
        <f t="shared" si="13"/>
        <v>0</v>
      </c>
      <c r="I23" s="138">
        <f t="shared" si="14"/>
        <v>0</v>
      </c>
      <c r="J23" s="137"/>
      <c r="K23" s="49">
        <f t="shared" si="15"/>
        <v>0</v>
      </c>
      <c r="L23" s="139"/>
      <c r="M23" s="49">
        <f t="shared" si="16"/>
        <v>0</v>
      </c>
      <c r="N23" s="137"/>
      <c r="O23" s="49">
        <f t="shared" si="23"/>
        <v>0</v>
      </c>
      <c r="P23" s="139"/>
      <c r="Q23" s="49">
        <f t="shared" si="17"/>
        <v>0</v>
      </c>
      <c r="R23" s="137"/>
      <c r="S23" s="49">
        <f t="shared" si="18"/>
        <v>0</v>
      </c>
      <c r="T23" s="137">
        <v>0</v>
      </c>
      <c r="U23" s="140"/>
      <c r="V23" s="137"/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>
        <f t="shared" si="12"/>
        <v>0</v>
      </c>
      <c r="G24" s="141"/>
      <c r="H24" s="49">
        <f t="shared" si="13"/>
        <v>0</v>
      </c>
      <c r="I24" s="138">
        <f t="shared" si="14"/>
        <v>0</v>
      </c>
      <c r="J24" s="137"/>
      <c r="K24" s="49">
        <f t="shared" si="15"/>
        <v>0</v>
      </c>
      <c r="L24" s="139"/>
      <c r="M24" s="49">
        <f t="shared" si="16"/>
        <v>0</v>
      </c>
      <c r="N24" s="137"/>
      <c r="O24" s="49">
        <f t="shared" si="23"/>
        <v>0</v>
      </c>
      <c r="P24" s="139"/>
      <c r="Q24" s="49">
        <f t="shared" si="17"/>
        <v>0</v>
      </c>
      <c r="R24" s="137"/>
      <c r="S24" s="49">
        <f t="shared" si="18"/>
        <v>0</v>
      </c>
      <c r="T24" s="137">
        <v>0</v>
      </c>
      <c r="U24" s="140"/>
      <c r="V24" s="137"/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887</v>
      </c>
      <c r="C34" s="159"/>
      <c r="D34" s="159">
        <f>SUM(D2:D33)</f>
        <v>2880</v>
      </c>
      <c r="E34" s="159">
        <v>0</v>
      </c>
      <c r="F34" s="159">
        <f>SUM(F2:F33)</f>
        <v>77790</v>
      </c>
      <c r="G34" s="159">
        <v>0</v>
      </c>
      <c r="H34" s="159">
        <f>SUM(H2:H33)</f>
        <v>253343</v>
      </c>
      <c r="I34" s="159">
        <f>SUM(I5:I33)</f>
        <v>191002</v>
      </c>
      <c r="J34" s="159">
        <v>0</v>
      </c>
      <c r="K34" s="159">
        <f>SUM(K2:K33)</f>
        <v>29513</v>
      </c>
      <c r="L34" s="159">
        <v>0</v>
      </c>
      <c r="M34" s="159">
        <f>SUM(M2:M33)</f>
        <v>29983</v>
      </c>
      <c r="N34" s="159">
        <v>0</v>
      </c>
      <c r="O34" s="159">
        <f>SUM(O2:O33)</f>
        <v>50772</v>
      </c>
      <c r="P34" s="159">
        <v>0</v>
      </c>
      <c r="Q34" s="159">
        <f>SUM(Q2:Q33)</f>
        <v>55176</v>
      </c>
      <c r="R34" s="159">
        <v>0</v>
      </c>
      <c r="S34" s="159">
        <f>SUM(S2:S33)</f>
        <v>50004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56223</v>
      </c>
      <c r="X34" s="159">
        <f>SUM(X5:X33)</f>
        <v>155079</v>
      </c>
      <c r="Y34" s="159">
        <f>SUM(Y2:Y33)</f>
        <v>63363</v>
      </c>
      <c r="Z34" s="159">
        <f>SUM(Z2:Z33)</f>
        <v>41120.787614400004</v>
      </c>
      <c r="AA34" s="159">
        <f>SUM(AA2:AA33)</f>
        <v>154776.68766559998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7" sqref="A7:XFD7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/>
      <c r="C8" s="55" t="str">
        <f>IF((B8-B7)&lt;0,"0",(B8-B7))</f>
        <v>0</v>
      </c>
    </row>
    <row r="9" spans="1:9" ht="24" thickBot="1" x14ac:dyDescent="0.4">
      <c r="A9" s="10">
        <v>44354</v>
      </c>
      <c r="B9" s="154"/>
      <c r="C9" s="55">
        <f t="shared" si="0"/>
        <v>0</v>
      </c>
    </row>
    <row r="10" spans="1:9" ht="24" thickBot="1" x14ac:dyDescent="0.4">
      <c r="A10" s="10">
        <v>44355</v>
      </c>
      <c r="B10" s="154"/>
      <c r="C10" s="55">
        <f t="shared" si="0"/>
        <v>0</v>
      </c>
    </row>
    <row r="11" spans="1:9" ht="24" thickBot="1" x14ac:dyDescent="0.4">
      <c r="A11" s="10">
        <v>44356</v>
      </c>
      <c r="B11" s="154"/>
      <c r="C11" s="55">
        <f t="shared" si="0"/>
        <v>0</v>
      </c>
    </row>
    <row r="12" spans="1:9" ht="24" thickBot="1" x14ac:dyDescent="0.4">
      <c r="A12" s="10">
        <v>44357</v>
      </c>
      <c r="B12" s="154"/>
      <c r="C12" s="55">
        <f t="shared" si="0"/>
        <v>0</v>
      </c>
    </row>
    <row r="13" spans="1:9" ht="24" thickBot="1" x14ac:dyDescent="0.4">
      <c r="A13" s="10">
        <v>44358</v>
      </c>
      <c r="B13" s="154"/>
      <c r="C13" s="55">
        <f t="shared" si="0"/>
        <v>0</v>
      </c>
    </row>
    <row r="14" spans="1:9" ht="24" thickBot="1" x14ac:dyDescent="0.4">
      <c r="A14" s="10">
        <v>44359</v>
      </c>
      <c r="B14" s="154"/>
      <c r="C14" s="55">
        <f t="shared" si="0"/>
        <v>0</v>
      </c>
    </row>
    <row r="15" spans="1:9" ht="24" thickBot="1" x14ac:dyDescent="0.4">
      <c r="A15" s="10">
        <v>44360</v>
      </c>
      <c r="B15" s="154"/>
      <c r="C15" s="55">
        <f t="shared" si="0"/>
        <v>0</v>
      </c>
      <c r="I15" t="s">
        <v>12</v>
      </c>
    </row>
    <row r="16" spans="1:9" ht="26.25" customHeight="1" thickBot="1" x14ac:dyDescent="0.4">
      <c r="A16" s="10">
        <v>44361</v>
      </c>
      <c r="B16" s="154"/>
      <c r="C16" s="55">
        <f t="shared" si="0"/>
        <v>0</v>
      </c>
    </row>
    <row r="17" spans="1:9" ht="25.5" customHeight="1" thickBot="1" x14ac:dyDescent="0.4">
      <c r="A17" s="10">
        <v>44362</v>
      </c>
      <c r="B17" s="154"/>
      <c r="C17" s="55">
        <f t="shared" si="0"/>
        <v>0</v>
      </c>
      <c r="F17" s="152"/>
    </row>
    <row r="18" spans="1:9" ht="24" thickBot="1" x14ac:dyDescent="0.4">
      <c r="A18" s="10">
        <v>44363</v>
      </c>
      <c r="B18" s="154"/>
      <c r="C18" s="55">
        <f t="shared" si="0"/>
        <v>0</v>
      </c>
    </row>
    <row r="19" spans="1:9" ht="24" thickBot="1" x14ac:dyDescent="0.4">
      <c r="A19" s="10">
        <v>44364</v>
      </c>
      <c r="B19" s="154"/>
      <c r="C19" s="55">
        <f t="shared" si="0"/>
        <v>0</v>
      </c>
    </row>
    <row r="20" spans="1:9" ht="24" thickBot="1" x14ac:dyDescent="0.4">
      <c r="A20" s="10">
        <v>44365</v>
      </c>
      <c r="B20" s="154"/>
      <c r="C20" s="55">
        <f t="shared" si="0"/>
        <v>0</v>
      </c>
    </row>
    <row r="21" spans="1:9" ht="24" thickBot="1" x14ac:dyDescent="0.4">
      <c r="A21" s="10">
        <v>44366</v>
      </c>
      <c r="B21" s="154"/>
      <c r="C21" s="55">
        <f t="shared" si="0"/>
        <v>0</v>
      </c>
    </row>
    <row r="22" spans="1:9" ht="24" thickBot="1" x14ac:dyDescent="0.4">
      <c r="A22" s="10">
        <v>44367</v>
      </c>
      <c r="B22" s="154"/>
      <c r="C22" s="55">
        <f t="shared" si="0"/>
        <v>0</v>
      </c>
    </row>
    <row r="23" spans="1:9" ht="24" thickBot="1" x14ac:dyDescent="0.4">
      <c r="A23" s="10">
        <v>44368</v>
      </c>
      <c r="B23" s="154"/>
      <c r="C23" s="55">
        <f t="shared" si="0"/>
        <v>0</v>
      </c>
      <c r="F23" t="s">
        <v>12</v>
      </c>
    </row>
    <row r="24" spans="1:9" ht="24" thickBot="1" x14ac:dyDescent="0.4">
      <c r="A24" s="10">
        <v>44369</v>
      </c>
      <c r="B24" s="154"/>
      <c r="C24" s="55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9996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xSplit="1" topLeftCell="C1" activePane="topRight" state="frozen"/>
      <selection pane="topRight" activeCell="A7" sqref="A7:XFD7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/>
      <c r="C8" s="54" t="str">
        <f t="shared" si="11"/>
        <v>0</v>
      </c>
      <c r="D8" s="38">
        <f t="shared" si="12"/>
        <v>0</v>
      </c>
      <c r="E8" s="1"/>
      <c r="F8" s="54" t="str">
        <f t="shared" si="13"/>
        <v>0</v>
      </c>
      <c r="G8" s="38">
        <f t="shared" si="14"/>
        <v>0</v>
      </c>
      <c r="H8" s="1"/>
      <c r="I8" s="54" t="str">
        <f t="shared" si="15"/>
        <v>0</v>
      </c>
      <c r="J8" s="38">
        <f t="shared" si="16"/>
        <v>0</v>
      </c>
      <c r="K8" s="7"/>
      <c r="L8" s="54" t="str">
        <f t="shared" si="17"/>
        <v>0</v>
      </c>
      <c r="M8" s="38">
        <f t="shared" si="18"/>
        <v>0</v>
      </c>
      <c r="N8" s="7"/>
      <c r="O8" s="54" t="str">
        <f t="shared" si="19"/>
        <v>0</v>
      </c>
      <c r="P8" s="38">
        <f t="shared" si="20"/>
        <v>0</v>
      </c>
      <c r="Q8" s="7"/>
      <c r="R8" s="54" t="str">
        <f t="shared" si="21"/>
        <v>0</v>
      </c>
      <c r="S8" s="38">
        <f t="shared" si="22"/>
        <v>0</v>
      </c>
      <c r="T8" s="8">
        <f t="shared" si="24"/>
        <v>0</v>
      </c>
      <c r="U8" s="40">
        <f t="shared" si="23"/>
        <v>0</v>
      </c>
    </row>
    <row r="9" spans="1:25" ht="16.5" thickBot="1" x14ac:dyDescent="0.25">
      <c r="A9" s="10">
        <v>44354</v>
      </c>
      <c r="B9" s="1"/>
      <c r="C9" s="54">
        <f t="shared" si="11"/>
        <v>0</v>
      </c>
      <c r="D9" s="38">
        <f t="shared" si="12"/>
        <v>0</v>
      </c>
      <c r="E9" s="1"/>
      <c r="F9" s="54">
        <f t="shared" si="13"/>
        <v>0</v>
      </c>
      <c r="G9" s="38">
        <f t="shared" si="14"/>
        <v>0</v>
      </c>
      <c r="H9" s="1"/>
      <c r="I9" s="54">
        <f t="shared" si="15"/>
        <v>0</v>
      </c>
      <c r="J9" s="38">
        <f t="shared" si="16"/>
        <v>0</v>
      </c>
      <c r="K9" s="7"/>
      <c r="L9" s="54">
        <f t="shared" si="17"/>
        <v>0</v>
      </c>
      <c r="M9" s="38">
        <f t="shared" si="18"/>
        <v>0</v>
      </c>
      <c r="N9" s="7"/>
      <c r="O9" s="54">
        <f t="shared" si="19"/>
        <v>0</v>
      </c>
      <c r="P9" s="38">
        <f t="shared" si="20"/>
        <v>0</v>
      </c>
      <c r="Q9" s="7"/>
      <c r="R9" s="54">
        <f t="shared" si="21"/>
        <v>0</v>
      </c>
      <c r="S9" s="38">
        <f t="shared" si="22"/>
        <v>0</v>
      </c>
      <c r="T9" s="8">
        <f t="shared" si="24"/>
        <v>0</v>
      </c>
      <c r="U9" s="40">
        <f t="shared" si="23"/>
        <v>0</v>
      </c>
    </row>
    <row r="10" spans="1:25" ht="16.5" thickBot="1" x14ac:dyDescent="0.25">
      <c r="A10" s="10">
        <v>44355</v>
      </c>
      <c r="B10" s="1"/>
      <c r="C10" s="54">
        <f t="shared" si="11"/>
        <v>0</v>
      </c>
      <c r="D10" s="38">
        <f t="shared" si="12"/>
        <v>0</v>
      </c>
      <c r="E10" s="1"/>
      <c r="F10" s="54">
        <f t="shared" si="13"/>
        <v>0</v>
      </c>
      <c r="G10" s="38">
        <f t="shared" si="14"/>
        <v>0</v>
      </c>
      <c r="H10" s="1"/>
      <c r="I10" s="54">
        <f t="shared" si="15"/>
        <v>0</v>
      </c>
      <c r="J10" s="38">
        <f t="shared" si="16"/>
        <v>0</v>
      </c>
      <c r="K10" s="7"/>
      <c r="L10" s="54">
        <f t="shared" si="17"/>
        <v>0</v>
      </c>
      <c r="M10" s="38">
        <f t="shared" si="18"/>
        <v>0</v>
      </c>
      <c r="N10" s="7"/>
      <c r="O10" s="54">
        <f t="shared" si="19"/>
        <v>0</v>
      </c>
      <c r="P10" s="38">
        <f t="shared" si="20"/>
        <v>0</v>
      </c>
      <c r="Q10" s="7"/>
      <c r="R10" s="54">
        <f t="shared" si="21"/>
        <v>0</v>
      </c>
      <c r="S10" s="38">
        <f t="shared" si="22"/>
        <v>0</v>
      </c>
      <c r="T10" s="8">
        <f t="shared" si="24"/>
        <v>0</v>
      </c>
      <c r="U10" s="40">
        <f t="shared" si="23"/>
        <v>0</v>
      </c>
    </row>
    <row r="11" spans="1:25" ht="16.5" thickBot="1" x14ac:dyDescent="0.25">
      <c r="A11" s="10">
        <v>44356</v>
      </c>
      <c r="B11" s="1"/>
      <c r="C11" s="54">
        <f t="shared" si="11"/>
        <v>0</v>
      </c>
      <c r="D11" s="38">
        <f t="shared" si="12"/>
        <v>0</v>
      </c>
      <c r="E11" s="1"/>
      <c r="F11" s="54">
        <f t="shared" si="13"/>
        <v>0</v>
      </c>
      <c r="G11" s="38">
        <f t="shared" si="14"/>
        <v>0</v>
      </c>
      <c r="H11" s="1"/>
      <c r="I11" s="54">
        <f t="shared" si="15"/>
        <v>0</v>
      </c>
      <c r="J11" s="38">
        <f t="shared" si="16"/>
        <v>0</v>
      </c>
      <c r="K11" s="7"/>
      <c r="L11" s="54">
        <f t="shared" si="17"/>
        <v>0</v>
      </c>
      <c r="M11" s="38">
        <f t="shared" si="18"/>
        <v>0</v>
      </c>
      <c r="N11" s="7"/>
      <c r="O11" s="54">
        <f t="shared" si="19"/>
        <v>0</v>
      </c>
      <c r="P11" s="38">
        <f t="shared" si="20"/>
        <v>0</v>
      </c>
      <c r="Q11" s="7"/>
      <c r="R11" s="54">
        <f t="shared" si="21"/>
        <v>0</v>
      </c>
      <c r="S11" s="38">
        <f t="shared" si="22"/>
        <v>0</v>
      </c>
      <c r="T11" s="8">
        <f t="shared" si="24"/>
        <v>0</v>
      </c>
      <c r="U11" s="40">
        <f t="shared" si="23"/>
        <v>0</v>
      </c>
    </row>
    <row r="12" spans="1:25" ht="16.5" thickBot="1" x14ac:dyDescent="0.25">
      <c r="A12" s="10">
        <v>44357</v>
      </c>
      <c r="B12" s="1"/>
      <c r="C12" s="54">
        <f t="shared" si="11"/>
        <v>0</v>
      </c>
      <c r="D12" s="38">
        <f t="shared" si="12"/>
        <v>0</v>
      </c>
      <c r="E12" s="1"/>
      <c r="F12" s="54">
        <f t="shared" si="13"/>
        <v>0</v>
      </c>
      <c r="G12" s="38">
        <f t="shared" si="14"/>
        <v>0</v>
      </c>
      <c r="H12" s="1"/>
      <c r="I12" s="54">
        <f t="shared" si="15"/>
        <v>0</v>
      </c>
      <c r="J12" s="38">
        <f t="shared" si="16"/>
        <v>0</v>
      </c>
      <c r="K12" s="7"/>
      <c r="L12" s="54">
        <f t="shared" si="17"/>
        <v>0</v>
      </c>
      <c r="M12" s="38">
        <f t="shared" si="18"/>
        <v>0</v>
      </c>
      <c r="N12" s="7"/>
      <c r="O12" s="54">
        <f t="shared" si="19"/>
        <v>0</v>
      </c>
      <c r="P12" s="38">
        <f t="shared" si="20"/>
        <v>0</v>
      </c>
      <c r="Q12" s="7"/>
      <c r="R12" s="54">
        <f t="shared" si="21"/>
        <v>0</v>
      </c>
      <c r="S12" s="38">
        <f t="shared" si="22"/>
        <v>0</v>
      </c>
      <c r="T12" s="8">
        <f t="shared" si="24"/>
        <v>0</v>
      </c>
      <c r="U12" s="40">
        <f t="shared" si="23"/>
        <v>0</v>
      </c>
    </row>
    <row r="13" spans="1:25" ht="16.5" thickBot="1" x14ac:dyDescent="0.25">
      <c r="A13" s="10">
        <v>44358</v>
      </c>
      <c r="B13" s="1"/>
      <c r="C13" s="54">
        <f t="shared" si="11"/>
        <v>0</v>
      </c>
      <c r="D13" s="38">
        <f t="shared" si="12"/>
        <v>0</v>
      </c>
      <c r="E13" s="1"/>
      <c r="F13" s="54">
        <f t="shared" si="13"/>
        <v>0</v>
      </c>
      <c r="G13" s="38">
        <f t="shared" si="14"/>
        <v>0</v>
      </c>
      <c r="H13" s="1"/>
      <c r="I13" s="54">
        <f t="shared" si="15"/>
        <v>0</v>
      </c>
      <c r="J13" s="38">
        <f t="shared" si="16"/>
        <v>0</v>
      </c>
      <c r="K13" s="7"/>
      <c r="L13" s="54">
        <f t="shared" si="17"/>
        <v>0</v>
      </c>
      <c r="M13" s="38">
        <f t="shared" si="18"/>
        <v>0</v>
      </c>
      <c r="N13" s="7"/>
      <c r="O13" s="54">
        <f t="shared" si="19"/>
        <v>0</v>
      </c>
      <c r="P13" s="38">
        <f t="shared" si="20"/>
        <v>0</v>
      </c>
      <c r="Q13" s="7"/>
      <c r="R13" s="54">
        <f t="shared" si="21"/>
        <v>0</v>
      </c>
      <c r="S13" s="38">
        <f t="shared" si="22"/>
        <v>0</v>
      </c>
      <c r="T13" s="8">
        <f t="shared" si="24"/>
        <v>0</v>
      </c>
      <c r="U13" s="40">
        <f t="shared" si="23"/>
        <v>0</v>
      </c>
    </row>
    <row r="14" spans="1:25" ht="16.5" thickBot="1" x14ac:dyDescent="0.25">
      <c r="A14" s="10">
        <v>44359</v>
      </c>
      <c r="B14" s="1"/>
      <c r="C14" s="54">
        <f t="shared" si="11"/>
        <v>0</v>
      </c>
      <c r="D14" s="38">
        <f t="shared" si="12"/>
        <v>0</v>
      </c>
      <c r="E14" s="1"/>
      <c r="F14" s="54">
        <f t="shared" si="13"/>
        <v>0</v>
      </c>
      <c r="G14" s="38">
        <f t="shared" si="14"/>
        <v>0</v>
      </c>
      <c r="H14" s="1"/>
      <c r="I14" s="54">
        <f t="shared" si="15"/>
        <v>0</v>
      </c>
      <c r="J14" s="38">
        <f t="shared" si="16"/>
        <v>0</v>
      </c>
      <c r="K14" s="7"/>
      <c r="L14" s="54">
        <f t="shared" si="17"/>
        <v>0</v>
      </c>
      <c r="M14" s="38">
        <f t="shared" si="18"/>
        <v>0</v>
      </c>
      <c r="N14" s="7"/>
      <c r="O14" s="54">
        <f t="shared" si="19"/>
        <v>0</v>
      </c>
      <c r="P14" s="38">
        <f t="shared" si="20"/>
        <v>0</v>
      </c>
      <c r="Q14" s="7"/>
      <c r="R14" s="54">
        <f t="shared" si="21"/>
        <v>0</v>
      </c>
      <c r="S14" s="38">
        <f t="shared" si="22"/>
        <v>0</v>
      </c>
      <c r="T14" s="8">
        <f t="shared" si="24"/>
        <v>0</v>
      </c>
      <c r="U14" s="40">
        <f t="shared" si="23"/>
        <v>0</v>
      </c>
    </row>
    <row r="15" spans="1:25" ht="16.5" thickBot="1" x14ac:dyDescent="0.25">
      <c r="A15" s="10">
        <v>44360</v>
      </c>
      <c r="B15" s="1"/>
      <c r="C15" s="54">
        <f t="shared" si="11"/>
        <v>0</v>
      </c>
      <c r="D15" s="38">
        <f t="shared" si="12"/>
        <v>0</v>
      </c>
      <c r="E15" s="1"/>
      <c r="F15" s="54">
        <f t="shared" si="13"/>
        <v>0</v>
      </c>
      <c r="G15" s="38">
        <f t="shared" si="14"/>
        <v>0</v>
      </c>
      <c r="H15" s="1"/>
      <c r="I15" s="54">
        <f t="shared" si="15"/>
        <v>0</v>
      </c>
      <c r="J15" s="38">
        <f t="shared" si="16"/>
        <v>0</v>
      </c>
      <c r="K15" s="7"/>
      <c r="L15" s="54">
        <f t="shared" si="17"/>
        <v>0</v>
      </c>
      <c r="M15" s="38">
        <f t="shared" si="18"/>
        <v>0</v>
      </c>
      <c r="N15" s="7"/>
      <c r="O15" s="54">
        <f t="shared" si="19"/>
        <v>0</v>
      </c>
      <c r="P15" s="38">
        <f t="shared" si="20"/>
        <v>0</v>
      </c>
      <c r="Q15" s="7"/>
      <c r="R15" s="54">
        <f t="shared" si="21"/>
        <v>0</v>
      </c>
      <c r="S15" s="38">
        <f t="shared" si="22"/>
        <v>0</v>
      </c>
      <c r="T15" s="8">
        <f t="shared" si="24"/>
        <v>0</v>
      </c>
      <c r="U15" s="40">
        <f t="shared" si="23"/>
        <v>0</v>
      </c>
      <c r="W15" t="s">
        <v>12</v>
      </c>
    </row>
    <row r="16" spans="1:25" ht="16.5" thickBot="1" x14ac:dyDescent="0.25">
      <c r="A16" s="10">
        <v>44361</v>
      </c>
      <c r="B16" s="1"/>
      <c r="C16" s="54">
        <f t="shared" si="11"/>
        <v>0</v>
      </c>
      <c r="D16" s="38">
        <f t="shared" si="12"/>
        <v>0</v>
      </c>
      <c r="E16" s="1"/>
      <c r="F16" s="54">
        <f t="shared" si="13"/>
        <v>0</v>
      </c>
      <c r="G16" s="38">
        <f t="shared" si="14"/>
        <v>0</v>
      </c>
      <c r="H16" s="1"/>
      <c r="I16" s="54">
        <f t="shared" si="15"/>
        <v>0</v>
      </c>
      <c r="J16" s="38">
        <f t="shared" si="16"/>
        <v>0</v>
      </c>
      <c r="K16" s="7"/>
      <c r="L16" s="54">
        <f t="shared" si="17"/>
        <v>0</v>
      </c>
      <c r="M16" s="38">
        <f t="shared" si="18"/>
        <v>0</v>
      </c>
      <c r="N16" s="7"/>
      <c r="O16" s="54">
        <f t="shared" si="19"/>
        <v>0</v>
      </c>
      <c r="P16" s="38">
        <f t="shared" si="20"/>
        <v>0</v>
      </c>
      <c r="Q16" s="7"/>
      <c r="R16" s="54">
        <f t="shared" si="21"/>
        <v>0</v>
      </c>
      <c r="S16" s="38">
        <f t="shared" si="22"/>
        <v>0</v>
      </c>
      <c r="T16" s="8">
        <f t="shared" si="24"/>
        <v>0</v>
      </c>
      <c r="U16" s="40">
        <f t="shared" si="23"/>
        <v>0</v>
      </c>
      <c r="Y16" t="s">
        <v>12</v>
      </c>
    </row>
    <row r="17" spans="1:24" ht="16.5" thickBot="1" x14ac:dyDescent="0.25">
      <c r="A17" s="10">
        <v>44362</v>
      </c>
      <c r="B17" s="1"/>
      <c r="C17" s="54">
        <f t="shared" si="11"/>
        <v>0</v>
      </c>
      <c r="D17" s="38">
        <f t="shared" si="12"/>
        <v>0</v>
      </c>
      <c r="E17" s="1"/>
      <c r="F17" s="54">
        <f t="shared" si="13"/>
        <v>0</v>
      </c>
      <c r="G17" s="38">
        <f t="shared" si="14"/>
        <v>0</v>
      </c>
      <c r="H17" s="1"/>
      <c r="I17" s="54">
        <f t="shared" si="15"/>
        <v>0</v>
      </c>
      <c r="J17" s="38">
        <f t="shared" si="16"/>
        <v>0</v>
      </c>
      <c r="K17" s="7"/>
      <c r="L17" s="54">
        <f t="shared" si="17"/>
        <v>0</v>
      </c>
      <c r="M17" s="38">
        <f t="shared" si="18"/>
        <v>0</v>
      </c>
      <c r="N17" s="7"/>
      <c r="O17" s="54">
        <f t="shared" si="19"/>
        <v>0</v>
      </c>
      <c r="P17" s="38">
        <f t="shared" si="20"/>
        <v>0</v>
      </c>
      <c r="Q17" s="7"/>
      <c r="R17" s="54">
        <f t="shared" si="21"/>
        <v>0</v>
      </c>
      <c r="S17" s="38">
        <f t="shared" si="22"/>
        <v>0</v>
      </c>
      <c r="T17" s="8">
        <f t="shared" si="24"/>
        <v>0</v>
      </c>
      <c r="U17" s="40">
        <f t="shared" si="23"/>
        <v>0</v>
      </c>
    </row>
    <row r="18" spans="1:24" ht="16.5" thickBot="1" x14ac:dyDescent="0.25">
      <c r="A18" s="10">
        <v>44363</v>
      </c>
      <c r="B18" s="1"/>
      <c r="C18" s="54">
        <f t="shared" si="11"/>
        <v>0</v>
      </c>
      <c r="D18" s="38">
        <f t="shared" si="12"/>
        <v>0</v>
      </c>
      <c r="E18" s="1"/>
      <c r="F18" s="54">
        <f t="shared" si="13"/>
        <v>0</v>
      </c>
      <c r="G18" s="38">
        <f t="shared" si="14"/>
        <v>0</v>
      </c>
      <c r="H18" s="1"/>
      <c r="I18" s="54">
        <f t="shared" si="15"/>
        <v>0</v>
      </c>
      <c r="J18" s="38">
        <f t="shared" si="16"/>
        <v>0</v>
      </c>
      <c r="K18" s="7"/>
      <c r="L18" s="54">
        <f t="shared" si="17"/>
        <v>0</v>
      </c>
      <c r="M18" s="38">
        <f t="shared" si="18"/>
        <v>0</v>
      </c>
      <c r="N18" s="7"/>
      <c r="O18" s="54">
        <f t="shared" si="19"/>
        <v>0</v>
      </c>
      <c r="P18" s="38">
        <f t="shared" si="20"/>
        <v>0</v>
      </c>
      <c r="Q18" s="7"/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44364</v>
      </c>
      <c r="B19" s="1"/>
      <c r="C19" s="54">
        <f t="shared" si="11"/>
        <v>0</v>
      </c>
      <c r="D19" s="38">
        <f t="shared" si="12"/>
        <v>0</v>
      </c>
      <c r="E19" s="1"/>
      <c r="F19" s="54">
        <f t="shared" si="13"/>
        <v>0</v>
      </c>
      <c r="G19" s="38">
        <f t="shared" si="14"/>
        <v>0</v>
      </c>
      <c r="H19" s="1"/>
      <c r="I19" s="54">
        <f t="shared" si="15"/>
        <v>0</v>
      </c>
      <c r="J19" s="38">
        <f t="shared" si="16"/>
        <v>0</v>
      </c>
      <c r="K19" s="7"/>
      <c r="L19" s="54">
        <f t="shared" si="17"/>
        <v>0</v>
      </c>
      <c r="M19" s="38">
        <f t="shared" si="18"/>
        <v>0</v>
      </c>
      <c r="N19" s="7"/>
      <c r="O19" s="54">
        <f t="shared" si="19"/>
        <v>0</v>
      </c>
      <c r="P19" s="38">
        <f t="shared" si="20"/>
        <v>0</v>
      </c>
      <c r="Q19" s="7"/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44365</v>
      </c>
      <c r="B20" s="1"/>
      <c r="C20" s="54">
        <f t="shared" si="11"/>
        <v>0</v>
      </c>
      <c r="D20" s="38">
        <f t="shared" si="12"/>
        <v>0</v>
      </c>
      <c r="E20" s="1"/>
      <c r="F20" s="54">
        <f t="shared" si="13"/>
        <v>0</v>
      </c>
      <c r="G20" s="38">
        <f t="shared" si="14"/>
        <v>0</v>
      </c>
      <c r="H20" s="1"/>
      <c r="I20" s="54">
        <f t="shared" si="15"/>
        <v>0</v>
      </c>
      <c r="J20" s="38">
        <f t="shared" si="16"/>
        <v>0</v>
      </c>
      <c r="K20" s="7"/>
      <c r="L20" s="54">
        <f t="shared" si="17"/>
        <v>0</v>
      </c>
      <c r="M20" s="38">
        <f t="shared" si="18"/>
        <v>0</v>
      </c>
      <c r="N20" s="7"/>
      <c r="O20" s="54">
        <f t="shared" si="19"/>
        <v>0</v>
      </c>
      <c r="P20" s="38">
        <f t="shared" si="20"/>
        <v>0</v>
      </c>
      <c r="Q20" s="7"/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44366</v>
      </c>
      <c r="B21" s="1"/>
      <c r="C21" s="54">
        <f t="shared" si="11"/>
        <v>0</v>
      </c>
      <c r="D21" s="38">
        <f t="shared" si="12"/>
        <v>0</v>
      </c>
      <c r="E21" s="1"/>
      <c r="F21" s="54">
        <f t="shared" si="13"/>
        <v>0</v>
      </c>
      <c r="G21" s="38">
        <f t="shared" si="14"/>
        <v>0</v>
      </c>
      <c r="H21" s="1"/>
      <c r="I21" s="54">
        <f t="shared" si="15"/>
        <v>0</v>
      </c>
      <c r="J21" s="38">
        <f t="shared" si="16"/>
        <v>0</v>
      </c>
      <c r="K21" s="7"/>
      <c r="L21" s="54">
        <f t="shared" si="17"/>
        <v>0</v>
      </c>
      <c r="M21" s="38">
        <f t="shared" si="18"/>
        <v>0</v>
      </c>
      <c r="N21" s="7"/>
      <c r="O21" s="54">
        <f t="shared" si="19"/>
        <v>0</v>
      </c>
      <c r="P21" s="38">
        <f t="shared" si="20"/>
        <v>0</v>
      </c>
      <c r="Q21" s="7"/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44367</v>
      </c>
      <c r="B22" s="1"/>
      <c r="C22" s="54">
        <f t="shared" si="11"/>
        <v>0</v>
      </c>
      <c r="D22" s="38">
        <f t="shared" si="12"/>
        <v>0</v>
      </c>
      <c r="E22" s="1"/>
      <c r="F22" s="54">
        <f t="shared" si="13"/>
        <v>0</v>
      </c>
      <c r="G22" s="38">
        <f t="shared" si="14"/>
        <v>0</v>
      </c>
      <c r="H22" s="1"/>
      <c r="I22" s="54">
        <f t="shared" si="15"/>
        <v>0</v>
      </c>
      <c r="J22" s="38">
        <f t="shared" si="16"/>
        <v>0</v>
      </c>
      <c r="K22" s="7"/>
      <c r="L22" s="54">
        <f t="shared" si="17"/>
        <v>0</v>
      </c>
      <c r="M22" s="38">
        <f t="shared" si="18"/>
        <v>0</v>
      </c>
      <c r="N22" s="7"/>
      <c r="O22" s="54">
        <f t="shared" si="19"/>
        <v>0</v>
      </c>
      <c r="P22" s="38">
        <f t="shared" si="20"/>
        <v>0</v>
      </c>
      <c r="Q22" s="7"/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44368</v>
      </c>
      <c r="B23" s="1"/>
      <c r="C23" s="54">
        <f t="shared" si="11"/>
        <v>0</v>
      </c>
      <c r="D23" s="38">
        <f t="shared" si="12"/>
        <v>0</v>
      </c>
      <c r="E23" s="1"/>
      <c r="F23" s="54">
        <f t="shared" si="13"/>
        <v>0</v>
      </c>
      <c r="G23" s="38">
        <f t="shared" si="14"/>
        <v>0</v>
      </c>
      <c r="H23" s="1"/>
      <c r="I23" s="54">
        <f t="shared" si="15"/>
        <v>0</v>
      </c>
      <c r="J23" s="38">
        <f t="shared" si="16"/>
        <v>0</v>
      </c>
      <c r="K23" s="7"/>
      <c r="L23" s="54">
        <f t="shared" si="17"/>
        <v>0</v>
      </c>
      <c r="M23" s="38">
        <f t="shared" si="18"/>
        <v>0</v>
      </c>
      <c r="N23" s="7"/>
      <c r="O23" s="54">
        <f t="shared" si="19"/>
        <v>0</v>
      </c>
      <c r="P23" s="38">
        <f t="shared" si="20"/>
        <v>0</v>
      </c>
      <c r="Q23" s="7"/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44369</v>
      </c>
      <c r="B24" s="1"/>
      <c r="C24" s="54">
        <f t="shared" si="11"/>
        <v>0</v>
      </c>
      <c r="D24" s="38">
        <f t="shared" si="12"/>
        <v>0</v>
      </c>
      <c r="E24" s="1"/>
      <c r="F24" s="54">
        <f t="shared" si="13"/>
        <v>0</v>
      </c>
      <c r="G24" s="38">
        <f t="shared" si="14"/>
        <v>0</v>
      </c>
      <c r="H24" s="1"/>
      <c r="I24" s="54">
        <f t="shared" si="15"/>
        <v>0</v>
      </c>
      <c r="J24" s="38">
        <f t="shared" si="16"/>
        <v>0</v>
      </c>
      <c r="K24" s="7"/>
      <c r="L24" s="54">
        <f t="shared" si="17"/>
        <v>0</v>
      </c>
      <c r="M24" s="38">
        <f t="shared" si="18"/>
        <v>0</v>
      </c>
      <c r="N24" s="7"/>
      <c r="O24" s="54">
        <f t="shared" si="19"/>
        <v>0</v>
      </c>
      <c r="P24" s="38">
        <f t="shared" si="20"/>
        <v>0</v>
      </c>
      <c r="Q24" s="7"/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42.203000000001339</v>
      </c>
      <c r="D34" s="159">
        <f>SUM(D2:D33)</f>
        <v>99138.199999999764</v>
      </c>
      <c r="E34" s="159">
        <v>0</v>
      </c>
      <c r="F34" s="159">
        <f>SUM(F2:F33)</f>
        <v>14.717000000000098</v>
      </c>
      <c r="G34" s="159">
        <f>SUM(G2:G33)</f>
        <v>27962.300000000185</v>
      </c>
      <c r="H34" s="159"/>
      <c r="I34" s="159">
        <f>SUM(I2:I33)</f>
        <v>46</v>
      </c>
      <c r="J34" s="159">
        <f>SUM(J2:J33)</f>
        <v>87400</v>
      </c>
      <c r="K34" s="159"/>
      <c r="L34" s="159">
        <f>SUM(L2:L33)</f>
        <v>12.830000000001746</v>
      </c>
      <c r="M34" s="159">
        <f>SUM(M2:M33)</f>
        <v>24377.000000003318</v>
      </c>
      <c r="N34" s="159"/>
      <c r="O34" s="159">
        <f>SUM(O2:O33)</f>
        <v>8.2229999999999563</v>
      </c>
      <c r="P34" s="159">
        <f>SUM(P2:P33)</f>
        <v>15623.699999999917</v>
      </c>
      <c r="Q34" s="159"/>
      <c r="R34" s="159">
        <f>SUM(R2:R33)</f>
        <v>14.720000000000255</v>
      </c>
      <c r="S34" s="159">
        <f>SUM(S2:S33)</f>
        <v>27968.000000000484</v>
      </c>
      <c r="T34" s="159">
        <f>SUM(T2:T33)</f>
        <v>148.66800000000194</v>
      </c>
      <c r="U34" s="159">
        <f>SUM(U2:U33)</f>
        <v>282469.20000000368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-13254977</v>
      </c>
      <c r="D7" s="115">
        <f t="shared" si="0"/>
        <v>-16833820.789999999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6035</v>
      </c>
      <c r="D8" s="115">
        <f t="shared" si="0"/>
        <v>7664.45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816</v>
      </c>
      <c r="D9" s="115">
        <f t="shared" si="0"/>
        <v>1036.32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2720</v>
      </c>
      <c r="D10" s="115">
        <f t="shared" si="0"/>
        <v>3454.4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724</v>
      </c>
      <c r="D11" s="115">
        <f t="shared" si="0"/>
        <v>919.48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3657</v>
      </c>
      <c r="K16" s="104">
        <f>(J16-I16)*160</f>
        <v>800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25001</v>
      </c>
      <c r="K18" s="104">
        <f>(J18-I18)*160</f>
        <v>2720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106895</v>
      </c>
      <c r="K19" s="104">
        <f>J19-I19</f>
        <v>724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45354</v>
      </c>
      <c r="K21" s="104">
        <f>(J21-I21)*120</f>
        <v>3120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39565</v>
      </c>
      <c r="K22" s="104">
        <f>(J22-I22)*160</f>
        <v>2240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20428</v>
      </c>
      <c r="K23" s="104">
        <f>(J23-I23)*20</f>
        <v>340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242920</v>
      </c>
      <c r="K24" s="104">
        <f>J24-I24</f>
        <v>335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215560</v>
      </c>
      <c r="K25" s="104">
        <f>J25-I25</f>
        <v>16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73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73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75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75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74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74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73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73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75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75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74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74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73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73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75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75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74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74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73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73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75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75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74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74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73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73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75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75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74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74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73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73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75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75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74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74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73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73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75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75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74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74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73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73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75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75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74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74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73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73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75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75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74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74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73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73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75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75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74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74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73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73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75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75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4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74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73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73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75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75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74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74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73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73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75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75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74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74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73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73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75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75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74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74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73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73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75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75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3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73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75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75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73">
        <v>23</v>
      </c>
      <c r="D49" s="71" t="s">
        <v>83</v>
      </c>
      <c r="E49" s="86"/>
      <c r="F49" s="86"/>
      <c r="G49" s="73">
        <f t="shared" si="2"/>
        <v>0</v>
      </c>
      <c r="H49" s="74"/>
      <c r="J49" s="173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75"/>
      <c r="D50" s="71" t="s">
        <v>82</v>
      </c>
      <c r="E50" s="86"/>
      <c r="F50" s="86"/>
      <c r="G50" s="73">
        <f t="shared" si="2"/>
        <v>0</v>
      </c>
      <c r="H50" s="74"/>
      <c r="J50" s="175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76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76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77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77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78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78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73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73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74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74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73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73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74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74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73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73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74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74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73">
        <v>28</v>
      </c>
      <c r="D62" s="182" t="s">
        <v>86</v>
      </c>
      <c r="E62" s="72"/>
      <c r="F62" s="72"/>
      <c r="G62" s="73"/>
      <c r="H62" s="184" t="s">
        <v>87</v>
      </c>
      <c r="I62" s="77"/>
      <c r="J62" s="173">
        <v>28</v>
      </c>
      <c r="K62" s="182" t="s">
        <v>86</v>
      </c>
      <c r="L62" s="72"/>
      <c r="M62" s="72"/>
      <c r="N62" s="73"/>
      <c r="O62" s="184" t="s">
        <v>87</v>
      </c>
    </row>
    <row r="63" spans="1:15" ht="15" x14ac:dyDescent="0.2">
      <c r="A63" s="77"/>
      <c r="B63" s="67"/>
      <c r="C63" s="174"/>
      <c r="D63" s="183"/>
      <c r="E63" s="72"/>
      <c r="F63" s="72"/>
      <c r="G63" s="73"/>
      <c r="H63" s="185"/>
      <c r="I63" s="77"/>
      <c r="J63" s="174"/>
      <c r="K63" s="183"/>
      <c r="L63" s="72"/>
      <c r="M63" s="72"/>
      <c r="N63" s="73"/>
      <c r="O63" s="185"/>
    </row>
    <row r="64" spans="1:15" x14ac:dyDescent="0.2">
      <c r="A64" s="77"/>
      <c r="B64" s="67"/>
      <c r="C64" s="186" t="s">
        <v>88</v>
      </c>
      <c r="D64" s="186"/>
      <c r="E64" s="186"/>
      <c r="F64" s="186"/>
      <c r="G64" s="91">
        <f>SUM(G2:G63)</f>
        <v>31537</v>
      </c>
      <c r="H64" s="92"/>
      <c r="I64" s="77"/>
      <c r="J64" s="186" t="s">
        <v>88</v>
      </c>
      <c r="K64" s="186"/>
      <c r="L64" s="186"/>
      <c r="M64" s="186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7">
        <v>44317</v>
      </c>
      <c r="C69" s="188"/>
      <c r="D69" s="188"/>
      <c r="E69" s="189"/>
      <c r="F69" s="95"/>
      <c r="G69" s="187">
        <v>44348</v>
      </c>
      <c r="H69" s="188"/>
      <c r="I69" s="188"/>
      <c r="J69" s="189"/>
      <c r="K69" s="95"/>
      <c r="L69" s="179" t="s">
        <v>25</v>
      </c>
      <c r="M69" s="180"/>
      <c r="N69" s="180"/>
      <c r="O69" s="181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2021-06-06T00:58:01Z</dcterms:modified>
</cp:coreProperties>
</file>