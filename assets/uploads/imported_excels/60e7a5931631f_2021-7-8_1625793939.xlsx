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esktop\"/>
    </mc:Choice>
  </mc:AlternateContent>
  <bookViews>
    <workbookView xWindow="0" yWindow="0" windowWidth="24000" windowHeight="9600" tabRatio="598" activeTab="2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7" i="2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1" i="2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H11" i="2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1" i="2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1" i="2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1" i="2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Q11" i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N11" i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11" i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11" i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11" i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H11" i="3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11" i="3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D6" i="3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B11" i="3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J2" i="3"/>
  <c r="K2" i="3" s="1"/>
  <c r="V11" i="4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11" i="4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11" i="4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11" i="4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L11" i="4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J11" i="4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G11" i="4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E11" i="4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C11" i="4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I2" i="4"/>
  <c r="N26" i="10" l="1"/>
  <c r="Q22" i="2" l="1"/>
  <c r="U3" i="2" l="1"/>
  <c r="S3" i="2"/>
  <c r="R3" i="2"/>
  <c r="Q3" i="2"/>
  <c r="O3" i="2"/>
  <c r="M3" i="2"/>
  <c r="J3" i="2"/>
  <c r="K3" i="2" s="1"/>
  <c r="I3" i="2"/>
  <c r="G3" i="2"/>
  <c r="E3" i="2"/>
  <c r="C3" i="2"/>
  <c r="I3" i="3"/>
  <c r="G3" i="3"/>
  <c r="E3" i="3"/>
  <c r="C3" i="3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C6" i="5"/>
  <c r="W3" i="4"/>
  <c r="S3" i="4"/>
  <c r="Q3" i="4"/>
  <c r="O3" i="4"/>
  <c r="M3" i="4"/>
  <c r="K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30" i="1"/>
  <c r="P30" i="1" s="1"/>
  <c r="O31" i="1"/>
  <c r="P31" i="1" s="1"/>
  <c r="O32" i="1"/>
  <c r="P32" i="1" s="1"/>
  <c r="O33" i="1"/>
  <c r="P3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L4" i="1"/>
  <c r="M4" i="1" s="1"/>
  <c r="L5" i="1"/>
  <c r="M5" i="1" s="1"/>
  <c r="L6" i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M6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F4" i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3" i="1"/>
  <c r="G33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C31" i="1"/>
  <c r="D31" i="1" s="1"/>
  <c r="C32" i="1"/>
  <c r="D32" i="1" s="1"/>
  <c r="C33" i="1"/>
  <c r="D33" i="1" s="1"/>
  <c r="D30" i="1" l="1"/>
  <c r="M88" i="10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F31" i="1" l="1"/>
  <c r="G31" i="1" s="1"/>
  <c r="F32" i="1"/>
  <c r="G32" i="1" s="1"/>
  <c r="N32" i="8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C4" i="1"/>
  <c r="N94" i="10"/>
  <c r="D4" i="1" l="1"/>
  <c r="D34" i="1" s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R33" i="1"/>
  <c r="S33" i="1" s="1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R32" i="1"/>
  <c r="S32" i="1" s="1"/>
  <c r="R31" i="1"/>
  <c r="S31" i="1" s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I33" i="1"/>
  <c r="I32" i="1"/>
  <c r="J32" i="1" s="1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3" i="1"/>
  <c r="J34" i="1" s="1"/>
  <c r="T31" i="8"/>
  <c r="X33" i="4"/>
  <c r="Y33" i="4" s="1"/>
  <c r="F21" i="4"/>
  <c r="I20" i="3" l="1"/>
  <c r="Q20" i="2" l="1"/>
  <c r="G29" i="9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1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6" i="3"/>
  <c r="G15" i="8" s="1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G17" i="3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15" i="8" l="1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4" i="1"/>
  <c r="G34" i="1" s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T22" i="1"/>
  <c r="U22" i="1" s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<sst xmlns="http://schemas.openxmlformats.org/spreadsheetml/2006/main" count="442" uniqueCount="144">
  <si>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</si>
  <si>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</si>
  <si>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</si>
  <si>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</si>
  <si>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</si>
  <si>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</si>
  <si>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</si>
  <si>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</si>
  <si>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</si>
  <si>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</si>
  <si>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</si>
  <si>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</si>
  <si>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</si>
  <si>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</si>
  <si>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</si>
  <si>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</si>
  <si>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</si>
  <si>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</si>
  <si>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</si>
  <si>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</si>
  <si>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</si>
  <si>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</si>
  <si>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</si>
  <si>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</si>
  <si>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</si>
  <si>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</si>
  <si>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</si>
  <si>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</si>
  <si>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</si>
  <si>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</si>
  <si>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</si>
  <si>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</si>
  <si>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</si>
  <si>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</si>
  <si>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</si>
  <si>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</si>
  <si>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</si>
  <si>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</si>
  <si>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</si>
  <si>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</si>
  <si>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</si>
  <si>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</si>
  <si>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</si>
  <si>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</si>
  <si>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</si>
  <si>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</si>
  <si>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</si>
  <si>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</si>
  <si>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</si>
  <si>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</si>
  <si>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</si>
  <si>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</si>
  <si>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</si>
  <si>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</si>
  <si>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</si>
  <si>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</si>
  <si>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</si>
  <si>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</si>
  <si>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</si>
  <si>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</si>
  <si>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</si>
  <si>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</si>
  <si>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</si>
  <si>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</si>
  <si>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</si>
  <si>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</si>
  <si>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</si>
  <si>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</si>
  <si>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</si>
  <si>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</si>
  <si>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</si>
  <si>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</si>
  <si>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</si>
  <si>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</si>
  <si>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</si>
  <si>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</si>
  <si>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</si>
  <si>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</si>
  <si>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</si>
  <si>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</si>
  <si>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</si>
  <si>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</si>
  <si>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</si>
  <si>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</si>
  <si>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</si>
  <si>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</si>
  <si>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</si>
  <si>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</si>
  <si>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</si>
  <si>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</si>
  <si>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</si>
  <si>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</si>
  <si>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</si>
  <si>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</si>
  <si>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</si>
  <si>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</si>
  <si>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</si>
  <si>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</si>
  <si>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</si>
  <si>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</si>
  <si>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</si>
  <si>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</si>
  <si>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</si>
  <si>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</si>
  <si>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</si>
  <si>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</si>
  <si>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</si>
  <si>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</si>
  <si>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</si>
  <si>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</si>
  <si>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</si>
  <si>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</si>
  <si>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</si>
  <si>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</si>
  <si>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</si>
  <si>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</si>
  <si>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</si>
  <si>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</si>
  <si>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</si>
  <si>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</si>
  <si>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</si>
  <si>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</si>
  <si>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</si>
  <si>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</si>
  <si>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</si>
  <si>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</si>
  <si>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</si>
  <si>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</si>
  <si>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</si>
  <si>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</si>
  <si>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</si>
  <si>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</si>
  <si>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</si>
  <si>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</si>
  <si>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</si>
  <si>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</si>
  <si>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</si>
  <si>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</si>
  <si>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</si>
  <si>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April  2021</t>
  </si>
  <si>
    <t>Acutal till May  2021</t>
  </si>
  <si>
    <t>.</t>
  </si>
  <si>
    <t>Acutal till June  2021</t>
  </si>
  <si>
    <t>Energy Monthly Statement July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</si>
</sst>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3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selection activeCell="C2" sqref="C2:C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7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91024.117632000009</v>
      </c>
      <c r="F2" s="162">
        <v>1.27</v>
      </c>
      <c r="G2" s="47">
        <f>Gas!C3*0.9147</f>
        <v>1943.7375</v>
      </c>
      <c r="H2" s="163">
        <v>3.65</v>
      </c>
      <c r="I2" s="164">
        <f>Submetering!H2+Submetering!AD2+Submetering!AE2</f>
        <v>1306</v>
      </c>
      <c r="J2" s="165">
        <v>10.029999999999999</v>
      </c>
      <c r="K2" s="47">
        <f>ELECT.!B3</f>
        <v>165</v>
      </c>
    </row>
    <row r="3" spans="1:14" x14ac:dyDescent="0.2">
      <c r="A3" s="58" t="s">
        <v>53</v>
      </c>
      <c r="B3" s="63">
        <f>B2+1</f>
        <v>2</v>
      </c>
      <c r="C3" s="63">
        <v>7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56745.401704000004</v>
      </c>
      <c r="F3" s="162">
        <v>1.27</v>
      </c>
      <c r="G3" s="47">
        <f>Gas!C4*0.9147</f>
        <v>1881.5378999999998</v>
      </c>
      <c r="H3" s="163">
        <v>3.65</v>
      </c>
      <c r="I3" s="165">
        <f>Submetering!H3+Submetering!AD3+Submetering!AE3</f>
        <v>1336</v>
      </c>
      <c r="J3" s="165">
        <v>10.029999999999999</v>
      </c>
      <c r="K3" s="47">
        <f>ELECT.!B4</f>
        <v>176</v>
      </c>
    </row>
    <row r="4" spans="1:14" x14ac:dyDescent="0.2">
      <c r="A4" s="58" t="s">
        <v>53</v>
      </c>
      <c r="B4" s="63">
        <f t="shared" ref="B4:B31" si="0">B3+1</f>
        <v>3</v>
      </c>
      <c r="C4" s="63">
        <v>7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62731.646375999997</v>
      </c>
      <c r="F4" s="162">
        <v>1.27</v>
      </c>
      <c r="G4" s="47">
        <f>Gas!C5*0.9147</f>
        <v>1968.4343999999999</v>
      </c>
      <c r="H4" s="163">
        <v>3.65</v>
      </c>
      <c r="I4" s="165">
        <f>Submetering!H4+Submetering!AD4+Submetering!AE4</f>
        <v>1156</v>
      </c>
      <c r="J4" s="165">
        <v>10.029999999999999</v>
      </c>
      <c r="K4" s="47">
        <f>ELECT.!B5</f>
        <v>167</v>
      </c>
    </row>
    <row r="5" spans="1:14" x14ac:dyDescent="0.2">
      <c r="A5" s="58" t="s">
        <v>53</v>
      </c>
      <c r="B5" s="63">
        <f t="shared" si="0"/>
        <v>4</v>
      </c>
      <c r="C5" s="63">
        <v>7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76765.596836000012</v>
      </c>
      <c r="F5" s="162">
        <v>1.27</v>
      </c>
      <c r="G5" s="47">
        <f>Gas!C6*0.9147</f>
        <v>2032.4633999999999</v>
      </c>
      <c r="H5" s="163">
        <v>3.65</v>
      </c>
      <c r="I5" s="165">
        <f>Submetering!H5+Submetering!AD5+Submetering!AE5</f>
        <v>1256</v>
      </c>
      <c r="J5" s="165">
        <v>10.029999999999999</v>
      </c>
      <c r="K5" s="47">
        <f>ELECT.!B6</f>
        <v>187</v>
      </c>
    </row>
    <row r="6" spans="1:14" x14ac:dyDescent="0.2">
      <c r="A6" s="58" t="s">
        <v>53</v>
      </c>
      <c r="B6" s="63">
        <f t="shared" si="0"/>
        <v>5</v>
      </c>
      <c r="C6" s="63">
        <v>7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71744.18116399998</v>
      </c>
      <c r="F6" s="162">
        <v>1.27</v>
      </c>
      <c r="G6" s="47">
        <f>Gas!C7*0.9147</f>
        <v>2114.7864</v>
      </c>
      <c r="H6" s="163">
        <v>3.65</v>
      </c>
      <c r="I6" s="165">
        <f>Submetering!H6+Submetering!AD6+Submetering!AE6</f>
        <v>1256</v>
      </c>
      <c r="J6" s="165">
        <v>10.029999999999999</v>
      </c>
      <c r="K6" s="47">
        <f>ELECT.!B7</f>
        <v>172</v>
      </c>
    </row>
    <row r="7" spans="1:14" x14ac:dyDescent="0.2">
      <c r="A7" s="58" t="s">
        <v>53</v>
      </c>
      <c r="B7" s="63">
        <f t="shared" si="0"/>
        <v>6</v>
      </c>
      <c r="C7" s="63">
        <v>7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68298.754531999992</v>
      </c>
      <c r="F7" s="162">
        <v>1.27</v>
      </c>
      <c r="G7" s="47">
        <f>Gas!C8*0.9147</f>
        <v>1914.4670999999998</v>
      </c>
      <c r="H7" s="163">
        <v>3.65</v>
      </c>
      <c r="I7" s="165">
        <f>Submetering!H7+Submetering!AD7+Submetering!AE7</f>
        <v>1706</v>
      </c>
      <c r="J7" s="165">
        <v>10.029999999999999</v>
      </c>
      <c r="K7" s="47">
        <f>ELECT.!B8</f>
        <v>176</v>
      </c>
    </row>
    <row r="8" spans="1:14" x14ac:dyDescent="0.2">
      <c r="A8" s="58" t="s">
        <v>53</v>
      </c>
      <c r="B8" s="63">
        <f t="shared" si="0"/>
        <v>7</v>
      </c>
      <c r="C8" s="63">
        <v>7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47139.438447999994</v>
      </c>
      <c r="F8" s="162">
        <v>1.27</v>
      </c>
      <c r="G8" s="47">
        <f>Gas!C9*0.9147</f>
        <v>1929.1023</v>
      </c>
      <c r="H8" s="163">
        <v>3.65</v>
      </c>
      <c r="I8" s="165">
        <f>Submetering!H8+Submetering!AD8+Submetering!AE8</f>
        <v>1306</v>
      </c>
      <c r="J8" s="165">
        <v>10.029999999999999</v>
      </c>
      <c r="K8" s="47">
        <f>ELECT.!B9</f>
        <v>182</v>
      </c>
    </row>
    <row r="9" spans="1:14" x14ac:dyDescent="0.2">
      <c r="A9" s="58" t="s">
        <v>53</v>
      </c>
      <c r="B9" s="63">
        <f t="shared" si="0"/>
        <v>8</v>
      </c>
      <c r="C9" s="63">
        <v>7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85046.820288000003</v>
      </c>
      <c r="F9" s="162">
        <v>1.27</v>
      </c>
      <c r="G9" s="47">
        <f>Gas!C10*0.9147</f>
        <v>1918.1259</v>
      </c>
      <c r="H9" s="163">
        <v>3.65</v>
      </c>
      <c r="I9" s="165">
        <f>Submetering!H9+Submetering!AD9+Submetering!AE9</f>
        <v>1506</v>
      </c>
      <c r="J9" s="165">
        <v>10.029999999999999</v>
      </c>
      <c r="K9" s="47">
        <f>ELECT.!B10</f>
        <v>180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7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62">
        <v>1.27</v>
      </c>
      <c r="G10" s="47">
        <f>Gas!C11*0.9147</f>
        <v>0</v>
      </c>
      <c r="H10" s="163">
        <v>3.65</v>
      </c>
      <c r="I10" s="165">
        <f>Submetering!H10+Submetering!AD10+Submetering!AE10</f>
        <v>-194</v>
      </c>
      <c r="J10" s="165">
        <v>10.029999999999999</v>
      </c>
      <c r="K10" s="47">
        <f>ELECT.!B11</f>
        <v>0</v>
      </c>
    </row>
    <row r="11" spans="1:14" x14ac:dyDescent="0.2">
      <c r="A11" s="58" t="s">
        <v>53</v>
      </c>
      <c r="B11" s="63">
        <f t="shared" si="0"/>
        <v>10</v>
      </c>
      <c r="C11" s="63">
        <v>7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62">
        <v>1.27</v>
      </c>
      <c r="G11" s="47">
        <f>Gas!C12*0.9147</f>
        <v>0</v>
      </c>
      <c r="H11" s="163">
        <v>3.65</v>
      </c>
      <c r="I11" s="165">
        <f>Submetering!H11+Submetering!AD11+Submetering!AE11</f>
        <v>-194</v>
      </c>
      <c r="J11" s="165">
        <v>10.029999999999999</v>
      </c>
      <c r="K11" s="47">
        <f>ELECT.!B12</f>
        <v>0</v>
      </c>
    </row>
    <row r="12" spans="1:14" x14ac:dyDescent="0.2">
      <c r="A12" s="58" t="s">
        <v>53</v>
      </c>
      <c r="B12" s="63">
        <f t="shared" si="0"/>
        <v>11</v>
      </c>
      <c r="C12" s="63">
        <v>7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62">
        <v>1.27</v>
      </c>
      <c r="G12" s="47">
        <f>Gas!C13*0.9147</f>
        <v>0</v>
      </c>
      <c r="H12" s="163">
        <v>3.65</v>
      </c>
      <c r="I12" s="165">
        <f>Submetering!H12+Submetering!AD12+Submetering!AE12</f>
        <v>-194</v>
      </c>
      <c r="J12" s="165">
        <v>10.029999999999999</v>
      </c>
      <c r="K12" s="47">
        <f>ELECT.!B13</f>
        <v>0</v>
      </c>
    </row>
    <row r="13" spans="1:14" x14ac:dyDescent="0.2">
      <c r="A13" s="58" t="s">
        <v>53</v>
      </c>
      <c r="B13" s="63">
        <f t="shared" si="0"/>
        <v>12</v>
      </c>
      <c r="C13" s="63">
        <v>7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62">
        <v>1.27</v>
      </c>
      <c r="G13" s="47">
        <f>Gas!C14*0.9147</f>
        <v>0</v>
      </c>
      <c r="H13" s="163">
        <v>3.65</v>
      </c>
      <c r="I13" s="165">
        <f>Submetering!H13+Submetering!AD13+Submetering!AE13</f>
        <v>-194</v>
      </c>
      <c r="J13" s="165">
        <v>10.029999999999999</v>
      </c>
      <c r="K13" s="47">
        <f>ELECT.!B14</f>
        <v>0</v>
      </c>
    </row>
    <row r="14" spans="1:14" x14ac:dyDescent="0.2">
      <c r="A14" s="58" t="s">
        <v>53</v>
      </c>
      <c r="B14" s="63">
        <f t="shared" si="0"/>
        <v>13</v>
      </c>
      <c r="C14" s="63">
        <v>7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62">
        <v>1.27</v>
      </c>
      <c r="G14" s="47">
        <f>Gas!C15*0.9147</f>
        <v>0</v>
      </c>
      <c r="H14" s="163">
        <v>3.65</v>
      </c>
      <c r="I14" s="165">
        <f>Submetering!H14+Submetering!AD14+Submetering!AE14</f>
        <v>-194</v>
      </c>
      <c r="J14" s="165">
        <v>10.029999999999999</v>
      </c>
      <c r="K14" s="47">
        <f>ELECT.!B15</f>
        <v>0</v>
      </c>
    </row>
    <row r="15" spans="1:14" x14ac:dyDescent="0.2">
      <c r="A15" s="58" t="s">
        <v>53</v>
      </c>
      <c r="B15" s="63">
        <f t="shared" si="0"/>
        <v>14</v>
      </c>
      <c r="C15" s="63">
        <v>7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62">
        <v>1.27</v>
      </c>
      <c r="G15" s="47">
        <f>Gas!C16*0.9147</f>
        <v>0</v>
      </c>
      <c r="H15" s="163">
        <v>3.65</v>
      </c>
      <c r="I15" s="165">
        <f>Submetering!H15+Submetering!AD15+Submetering!AE15</f>
        <v>-194</v>
      </c>
      <c r="J15" s="165">
        <v>10.029999999999999</v>
      </c>
      <c r="K15" s="47">
        <f>ELECT.!B16</f>
        <v>0</v>
      </c>
    </row>
    <row r="16" spans="1:14" x14ac:dyDescent="0.2">
      <c r="A16" s="58" t="s">
        <v>53</v>
      </c>
      <c r="B16" s="63">
        <f t="shared" si="0"/>
        <v>15</v>
      </c>
      <c r="C16" s="63">
        <v>7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62">
        <v>1.27</v>
      </c>
      <c r="G16" s="47">
        <f>Gas!C17*0.9147</f>
        <v>0</v>
      </c>
      <c r="H16" s="163">
        <v>3.65</v>
      </c>
      <c r="I16" s="165">
        <f>Submetering!H16+Submetering!AD16+Submetering!AE16</f>
        <v>-194</v>
      </c>
      <c r="J16" s="165">
        <v>10.029999999999999</v>
      </c>
      <c r="K16" s="47">
        <f>ELECT.!B17</f>
        <v>0</v>
      </c>
    </row>
    <row r="17" spans="1:13" x14ac:dyDescent="0.2">
      <c r="A17" s="58" t="s">
        <v>53</v>
      </c>
      <c r="B17" s="63">
        <f t="shared" si="0"/>
        <v>16</v>
      </c>
      <c r="C17" s="63">
        <v>7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62">
        <v>1.27</v>
      </c>
      <c r="G17" s="47">
        <f>Gas!C18*0.9147</f>
        <v>0</v>
      </c>
      <c r="H17" s="163">
        <v>3.65</v>
      </c>
      <c r="I17" s="165">
        <f>Submetering!H17+Submetering!AD17+Submetering!AE17</f>
        <v>-194</v>
      </c>
      <c r="J17" s="165">
        <v>10.029999999999999</v>
      </c>
      <c r="K17" s="47">
        <f>ELECT.!B18</f>
        <v>0</v>
      </c>
    </row>
    <row r="18" spans="1:13" x14ac:dyDescent="0.2">
      <c r="A18" s="58" t="s">
        <v>53</v>
      </c>
      <c r="B18" s="63">
        <f t="shared" si="0"/>
        <v>17</v>
      </c>
      <c r="C18" s="63">
        <v>7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62">
        <v>1.27</v>
      </c>
      <c r="G18" s="47">
        <f>Gas!C19*0.9147</f>
        <v>0</v>
      </c>
      <c r="H18" s="163">
        <v>3.65</v>
      </c>
      <c r="I18" s="165">
        <f>Submetering!H18+Submetering!AD18+Submetering!AE18</f>
        <v>-194</v>
      </c>
      <c r="J18" s="165">
        <v>10.029999999999999</v>
      </c>
      <c r="K18" s="47">
        <f>ELECT.!B19</f>
        <v>0</v>
      </c>
    </row>
    <row r="19" spans="1:13" x14ac:dyDescent="0.2">
      <c r="A19" s="58" t="s">
        <v>53</v>
      </c>
      <c r="B19" s="63">
        <f t="shared" si="0"/>
        <v>18</v>
      </c>
      <c r="C19" s="63">
        <v>7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62">
        <v>1.27</v>
      </c>
      <c r="G19" s="47">
        <f>Gas!C20*0.9147</f>
        <v>0</v>
      </c>
      <c r="H19" s="163">
        <v>3.65</v>
      </c>
      <c r="I19" s="165">
        <f>Submetering!H19+Submetering!AD19+Submetering!AE19</f>
        <v>-194</v>
      </c>
      <c r="J19" s="165">
        <v>10.029999999999999</v>
      </c>
      <c r="K19" s="47">
        <f>ELECT.!B20</f>
        <v>0</v>
      </c>
    </row>
    <row r="20" spans="1:13" x14ac:dyDescent="0.2">
      <c r="A20" s="58" t="s">
        <v>53</v>
      </c>
      <c r="B20" s="63">
        <f t="shared" si="0"/>
        <v>19</v>
      </c>
      <c r="C20" s="63">
        <v>7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62">
        <v>1.27</v>
      </c>
      <c r="G20" s="47">
        <f>Gas!C21*0.9147</f>
        <v>0</v>
      </c>
      <c r="H20" s="163">
        <v>3.65</v>
      </c>
      <c r="I20" s="165">
        <f>Submetering!H20+Submetering!AD20+Submetering!AE20</f>
        <v>-194</v>
      </c>
      <c r="J20" s="165">
        <v>10.029999999999999</v>
      </c>
      <c r="K20" s="47">
        <f>ELECT.!B21</f>
        <v>0</v>
      </c>
    </row>
    <row r="21" spans="1:13" x14ac:dyDescent="0.2">
      <c r="A21" s="58" t="s">
        <v>53</v>
      </c>
      <c r="B21" s="63">
        <f t="shared" si="0"/>
        <v>20</v>
      </c>
      <c r="C21" s="63">
        <v>7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62">
        <v>1.27</v>
      </c>
      <c r="G21" s="47">
        <f>Gas!C22*0.9147</f>
        <v>0</v>
      </c>
      <c r="H21" s="163">
        <v>3.65</v>
      </c>
      <c r="I21" s="165">
        <f>Submetering!H21+Submetering!AD21+Submetering!AE21</f>
        <v>-194</v>
      </c>
      <c r="J21" s="165">
        <v>10.029999999999999</v>
      </c>
      <c r="K21" s="47">
        <f>ELECT.!B22</f>
        <v>0</v>
      </c>
    </row>
    <row r="22" spans="1:13" x14ac:dyDescent="0.2">
      <c r="A22" s="58" t="s">
        <v>53</v>
      </c>
      <c r="B22" s="63">
        <f t="shared" si="0"/>
        <v>21</v>
      </c>
      <c r="C22" s="63">
        <v>7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62">
        <v>1.27</v>
      </c>
      <c r="G22" s="47">
        <f>Gas!C23*0.9147</f>
        <v>0</v>
      </c>
      <c r="H22" s="163">
        <v>3.65</v>
      </c>
      <c r="I22" s="165">
        <f>Submetering!H22+Submetering!AD22+Submetering!AE22</f>
        <v>-194</v>
      </c>
      <c r="J22" s="165">
        <v>10.029999999999999</v>
      </c>
      <c r="K22" s="47">
        <f>ELECT.!B23</f>
        <v>0</v>
      </c>
    </row>
    <row r="23" spans="1:13" x14ac:dyDescent="0.2">
      <c r="A23" s="58" t="s">
        <v>53</v>
      </c>
      <c r="B23" s="63">
        <f t="shared" si="0"/>
        <v>22</v>
      </c>
      <c r="C23" s="63">
        <v>7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62">
        <v>1.27</v>
      </c>
      <c r="G23" s="47">
        <f>Gas!C24*0.9147</f>
        <v>0</v>
      </c>
      <c r="H23" s="163">
        <v>3.65</v>
      </c>
      <c r="I23" s="165">
        <f>Submetering!H23+Submetering!AD23+Submetering!AE23</f>
        <v>-194</v>
      </c>
      <c r="J23" s="165">
        <v>10.029999999999999</v>
      </c>
      <c r="K23" s="47">
        <f>ELECT.!B24</f>
        <v>0</v>
      </c>
    </row>
    <row r="24" spans="1:13" x14ac:dyDescent="0.2">
      <c r="A24" s="58" t="s">
        <v>53</v>
      </c>
      <c r="B24" s="63">
        <f t="shared" si="0"/>
        <v>23</v>
      </c>
      <c r="C24" s="63">
        <v>7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62">
        <v>1.27</v>
      </c>
      <c r="G24" s="47">
        <f>Gas!C25*0.9147</f>
        <v>0</v>
      </c>
      <c r="H24" s="163">
        <v>3.65</v>
      </c>
      <c r="I24" s="165">
        <f>Submetering!H24+Submetering!AD24+Submetering!AE24</f>
        <v>-194</v>
      </c>
      <c r="J24" s="165">
        <v>10.029999999999999</v>
      </c>
      <c r="K24" s="47">
        <f>ELECT.!B25</f>
        <v>0</v>
      </c>
    </row>
    <row r="25" spans="1:13" x14ac:dyDescent="0.2">
      <c r="A25" s="58" t="s">
        <v>53</v>
      </c>
      <c r="B25" s="63">
        <f t="shared" si="0"/>
        <v>24</v>
      </c>
      <c r="C25" s="63">
        <v>7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62">
        <v>1.27</v>
      </c>
      <c r="G25" s="47">
        <f>Gas!C26*0.9147</f>
        <v>0</v>
      </c>
      <c r="H25" s="163">
        <v>3.65</v>
      </c>
      <c r="I25" s="165">
        <f>Submetering!H25+Submetering!AD25+Submetering!AE25</f>
        <v>-194</v>
      </c>
      <c r="J25" s="165">
        <v>10.029999999999999</v>
      </c>
      <c r="K25" s="47">
        <f>ELECT.!B26</f>
        <v>0</v>
      </c>
    </row>
    <row r="26" spans="1:13" x14ac:dyDescent="0.2">
      <c r="A26" s="58" t="s">
        <v>53</v>
      </c>
      <c r="B26" s="63">
        <f>B25+1</f>
        <v>25</v>
      </c>
      <c r="C26" s="63">
        <v>7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62">
        <v>1.27</v>
      </c>
      <c r="G26" s="47">
        <f>Gas!C27*0.9147</f>
        <v>0</v>
      </c>
      <c r="H26" s="163">
        <v>3.65</v>
      </c>
      <c r="I26" s="165">
        <f>Submetering!H26+Submetering!AD26+Submetering!AE26</f>
        <v>-194</v>
      </c>
      <c r="J26" s="165">
        <v>10.029999999999999</v>
      </c>
      <c r="K26" s="47">
        <f>ELECT.!B27</f>
        <v>0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7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62">
        <v>1.27</v>
      </c>
      <c r="G27" s="47">
        <f>Gas!C28*0.9147</f>
        <v>0</v>
      </c>
      <c r="H27" s="163">
        <v>3.65</v>
      </c>
      <c r="I27" s="165">
        <f>Submetering!H27+Submetering!AD27+Submetering!AE27</f>
        <v>-194</v>
      </c>
      <c r="J27" s="165">
        <v>10.029999999999999</v>
      </c>
      <c r="K27" s="47">
        <f>ELECT.!B28</f>
        <v>0</v>
      </c>
    </row>
    <row r="28" spans="1:13" x14ac:dyDescent="0.2">
      <c r="A28" s="58" t="s">
        <v>53</v>
      </c>
      <c r="B28" s="63">
        <f t="shared" si="0"/>
        <v>27</v>
      </c>
      <c r="C28" s="63">
        <v>7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62">
        <v>1.27</v>
      </c>
      <c r="G28" s="47">
        <f>Gas!C29*0.9147</f>
        <v>0</v>
      </c>
      <c r="H28" s="163">
        <v>3.65</v>
      </c>
      <c r="I28" s="165">
        <f>Submetering!H28+Submetering!AD28+Submetering!AE28</f>
        <v>-194</v>
      </c>
      <c r="J28" s="165">
        <v>10.029999999999999</v>
      </c>
      <c r="K28" s="47">
        <f>ELECT.!B29</f>
        <v>0</v>
      </c>
    </row>
    <row r="29" spans="1:13" x14ac:dyDescent="0.2">
      <c r="A29" s="58" t="s">
        <v>53</v>
      </c>
      <c r="B29" s="63">
        <f t="shared" si="0"/>
        <v>28</v>
      </c>
      <c r="C29" s="63">
        <v>7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62">
        <v>1.27</v>
      </c>
      <c r="G29" s="47">
        <f>Gas!C30*0.9147</f>
        <v>0</v>
      </c>
      <c r="H29" s="163">
        <v>3.65</v>
      </c>
      <c r="I29" s="165">
        <f>Submetering!H29+Submetering!AD29+Submetering!AE29</f>
        <v>-194</v>
      </c>
      <c r="J29" s="165">
        <v>10.029999999999999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7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62">
        <v>1.27</v>
      </c>
      <c r="G30" s="47">
        <f>Gas!C31*0.9147</f>
        <v>0</v>
      </c>
      <c r="H30" s="163">
        <v>3.65</v>
      </c>
      <c r="I30" s="165">
        <f>Submetering!H30+Submetering!AD30+Submetering!AE30</f>
        <v>-194</v>
      </c>
      <c r="J30" s="165">
        <v>10.029999999999999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7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2">
        <v>1.27</v>
      </c>
      <c r="G31" s="47">
        <f>Gas!C32*0.9147</f>
        <v>0</v>
      </c>
      <c r="H31" s="163">
        <v>3.65</v>
      </c>
      <c r="I31" s="165">
        <f>Submetering!H31+Submetering!AD31+Submetering!AE31</f>
        <v>-194</v>
      </c>
      <c r="J31" s="165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v>31</v>
      </c>
      <c r="C32" s="63">
        <v>7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2">
        <v>1.27</v>
      </c>
      <c r="G32" s="47">
        <f>Gas!C33*0.9147</f>
        <v>0</v>
      </c>
      <c r="H32" s="163">
        <v>3.65</v>
      </c>
      <c r="I32" s="165">
        <f>Submetering!H32+Submetering!AD32+Submetering!AE32</f>
        <v>-194</v>
      </c>
      <c r="J32" s="165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C29" sqref="C29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3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4" t="s">
        <v>133</v>
      </c>
      <c r="AE1" s="144" t="s">
        <v>134</v>
      </c>
    </row>
    <row r="2" spans="1:31" x14ac:dyDescent="0.2">
      <c r="A2" s="58" t="s">
        <v>53</v>
      </c>
      <c r="B2" s="63">
        <v>1</v>
      </c>
      <c r="C2" s="63">
        <v>7</v>
      </c>
      <c r="D2" s="63">
        <v>2021</v>
      </c>
      <c r="E2" s="47">
        <f>Water!C3</f>
        <v>1500</v>
      </c>
      <c r="F2" s="47">
        <f>Water!E3</f>
        <v>0</v>
      </c>
      <c r="G2" s="47">
        <f>Water!G3</f>
        <v>477.9</v>
      </c>
      <c r="H2" s="47">
        <f>Water!I3</f>
        <v>2.9430000000000001</v>
      </c>
      <c r="I2" s="47">
        <f>ELECT.!F3</f>
        <v>21757</v>
      </c>
      <c r="J2" s="47">
        <f>ELECT.!H3</f>
        <v>73169</v>
      </c>
      <c r="K2" s="47">
        <f>ELECT.!K3</f>
        <v>6690</v>
      </c>
      <c r="L2" s="47">
        <f>ELECT.!M3</f>
        <v>6074</v>
      </c>
      <c r="M2" s="47">
        <f>ELECT.!O3</f>
        <v>10464</v>
      </c>
      <c r="N2" s="47">
        <f>ELECT.!Q3</f>
        <v>21275</v>
      </c>
      <c r="O2" s="47">
        <f>ELECT.!S3</f>
        <v>13588</v>
      </c>
      <c r="P2" s="47">
        <f>ELECT.!W3*2</f>
        <v>29060</v>
      </c>
      <c r="Q2" s="47">
        <f>ELECT.!D3</f>
        <v>640</v>
      </c>
      <c r="R2" s="48">
        <f>BTU!C3</f>
        <v>12.583999999998923</v>
      </c>
      <c r="S2" s="48">
        <f>BTU!F3</f>
        <v>2.0329999999999018</v>
      </c>
      <c r="T2" s="48">
        <f>BTU!I3</f>
        <v>8</v>
      </c>
      <c r="U2" s="48">
        <f>BTU!O3</f>
        <v>1.293999999999869</v>
      </c>
      <c r="V2" s="48">
        <f>BTU!L3</f>
        <v>2.0300000000006548</v>
      </c>
      <c r="W2" s="48">
        <f>BTU!R3</f>
        <v>3.1100000000005821</v>
      </c>
      <c r="X2" s="45">
        <f>ELECT.!B3</f>
        <v>165</v>
      </c>
      <c r="Y2" s="45">
        <f>I2+J2-(K2+L2+M2+N2+O2+P2)</f>
        <v>7775</v>
      </c>
      <c r="Z2">
        <f>'Mall, Citadel, Rotana'!C3+'Mall, Citadel, Rotana'!E3+'Mall, Citadel, Rotana'!G3+'Mall, Citadel, Rotana'!I3</f>
        <v>1568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94</v>
      </c>
      <c r="AD2" s="45">
        <f>(E2-H2-194)*0.1318</f>
        <v>171.74291260000001</v>
      </c>
      <c r="AE2" s="45">
        <f>E2-H2-AD2-194</f>
        <v>1131.3140874000001</v>
      </c>
    </row>
    <row r="3" spans="1:31" x14ac:dyDescent="0.2">
      <c r="A3" s="58" t="s">
        <v>53</v>
      </c>
      <c r="B3" s="63">
        <f>B2+1</f>
        <v>2</v>
      </c>
      <c r="C3" s="63">
        <v>7</v>
      </c>
      <c r="D3" s="63">
        <v>2021</v>
      </c>
      <c r="E3" s="47">
        <f>Water!C4</f>
        <v>1530</v>
      </c>
      <c r="F3" s="47">
        <f>Water!E4</f>
        <v>0</v>
      </c>
      <c r="G3" s="47">
        <f>Water!G4</f>
        <v>513</v>
      </c>
      <c r="H3" s="47">
        <f>Water!I4</f>
        <v>2.052</v>
      </c>
      <c r="I3" s="47">
        <f>ELECT.!F4</f>
        <v>7196</v>
      </c>
      <c r="J3" s="47">
        <f>ELECT.!H4</f>
        <v>52622</v>
      </c>
      <c r="K3" s="47">
        <f>ELECT.!K4</f>
        <v>4397</v>
      </c>
      <c r="L3" s="47">
        <f>ELECT.!M4</f>
        <v>3867</v>
      </c>
      <c r="M3" s="47">
        <f>ELECT.!O4</f>
        <v>3194</v>
      </c>
      <c r="N3" s="47">
        <f>ELECT.!Q4</f>
        <v>18620</v>
      </c>
      <c r="O3" s="47">
        <f>ELECT.!S4</f>
        <v>8952</v>
      </c>
      <c r="P3" s="47">
        <f>ELECT.!W4*2</f>
        <v>19254</v>
      </c>
      <c r="Q3" s="47">
        <f>ELECT.!D4</f>
        <v>800</v>
      </c>
      <c r="R3" s="48">
        <f>BTU!C4</f>
        <v>16.409000000003289</v>
      </c>
      <c r="S3" s="48">
        <f>BTU!F4</f>
        <v>2.0340000000001055</v>
      </c>
      <c r="T3" s="48">
        <f>BTU!I4</f>
        <v>10</v>
      </c>
      <c r="U3" s="48">
        <f>BTU!O4</f>
        <v>2.19399999999996</v>
      </c>
      <c r="V3" s="48">
        <f>BTU!L4</f>
        <v>3.2899999999990541</v>
      </c>
      <c r="W3" s="48">
        <f>BTU!R4</f>
        <v>3.0199999999995271</v>
      </c>
      <c r="X3" s="45">
        <f>ELECT.!B4</f>
        <v>176</v>
      </c>
      <c r="Y3" s="45">
        <f t="shared" ref="Y3:Y31" si="0">I3+J3-(K3+L3+M3+N3+O3+P3)</f>
        <v>1534</v>
      </c>
      <c r="Z3">
        <f>'Mall, Citadel, Rotana'!C4+'Mall, Citadel, Rotana'!E4+'Mall, Citadel, Rotana'!G4+'Mall, Citadel, Rotana'!I4</f>
        <v>1571</v>
      </c>
      <c r="AA3">
        <f>'Mall, Citadel, Rotana'!K4+'Mall, Citadel, Rotana'!M4</f>
        <v>480</v>
      </c>
      <c r="AB3">
        <f>'Mall, Citadel, Rotana'!O4</f>
        <v>4</v>
      </c>
      <c r="AC3">
        <f>'Mall, Citadel, Rotana'!Q4+'Mall, Citadel, Rotana'!S4</f>
        <v>110</v>
      </c>
      <c r="AD3" s="45">
        <f t="shared" ref="AD3:AD31" si="1">(E3-H3-194)*0.1318</f>
        <v>175.81434640000001</v>
      </c>
      <c r="AE3" s="45">
        <f t="shared" ref="AE3:AE31" si="2">E3-H3-AD3-194</f>
        <v>1158.1336536000001</v>
      </c>
    </row>
    <row r="4" spans="1:31" x14ac:dyDescent="0.2">
      <c r="A4" s="58" t="s">
        <v>53</v>
      </c>
      <c r="B4" s="63">
        <f t="shared" ref="B4:B31" si="3">B3+1</f>
        <v>3</v>
      </c>
      <c r="C4" s="63">
        <v>7</v>
      </c>
      <c r="D4" s="63">
        <v>2021</v>
      </c>
      <c r="E4" s="47">
        <f>Water!C5</f>
        <v>1350</v>
      </c>
      <c r="F4" s="47">
        <f>Water!E5</f>
        <v>0</v>
      </c>
      <c r="G4" s="47">
        <f>Water!G5</f>
        <v>510.3</v>
      </c>
      <c r="H4" s="47">
        <f>Water!I5</f>
        <v>2.3489999999999998</v>
      </c>
      <c r="I4" s="47">
        <f>ELECT.!F5</f>
        <v>7829</v>
      </c>
      <c r="J4" s="47">
        <f>ELECT.!H5</f>
        <v>58243</v>
      </c>
      <c r="K4" s="47">
        <f>ELECT.!K5</f>
        <v>5163</v>
      </c>
      <c r="L4" s="47">
        <f>ELECT.!M5</f>
        <v>4196</v>
      </c>
      <c r="M4" s="47">
        <f>ELECT.!O5</f>
        <v>3522</v>
      </c>
      <c r="N4" s="47">
        <f>ELECT.!Q5</f>
        <v>20799</v>
      </c>
      <c r="O4" s="47">
        <f>ELECT.!S5</f>
        <v>10010</v>
      </c>
      <c r="P4" s="47">
        <f>ELECT.!W5*2</f>
        <v>21504</v>
      </c>
      <c r="Q4" s="47">
        <f>ELECT.!D5</f>
        <v>640</v>
      </c>
      <c r="R4" s="48">
        <f>BTU!C5</f>
        <v>13.071999999996478</v>
      </c>
      <c r="S4" s="48">
        <f>BTU!F5</f>
        <v>2.2010000000000218</v>
      </c>
      <c r="T4" s="48">
        <f>BTU!I5</f>
        <v>8</v>
      </c>
      <c r="U4" s="48">
        <f>BTU!O5</f>
        <v>1.6210000000000946</v>
      </c>
      <c r="V4" s="48">
        <f>BTU!L5</f>
        <v>2.1599999999998545</v>
      </c>
      <c r="W4" s="48">
        <f>BTU!R5</f>
        <v>3.1199999999998909</v>
      </c>
      <c r="X4" s="45">
        <f>ELECT.!B5</f>
        <v>167</v>
      </c>
      <c r="Y4" s="45">
        <f t="shared" si="0"/>
        <v>878</v>
      </c>
      <c r="Z4">
        <f>'Mall, Citadel, Rotana'!C5+'Mall, Citadel, Rotana'!E5+'Mall, Citadel, Rotana'!G5+'Mall, Citadel, Rotana'!I5</f>
        <v>1715</v>
      </c>
      <c r="AA4">
        <f>'Mall, Citadel, Rotana'!K5+'Mall, Citadel, Rotana'!M5</f>
        <v>480</v>
      </c>
      <c r="AB4">
        <f>'Mall, Citadel, Rotana'!O5</f>
        <v>3</v>
      </c>
      <c r="AC4">
        <f>'Mall, Citadel, Rotana'!Q5+'Mall, Citadel, Rotana'!S5</f>
        <v>120</v>
      </c>
      <c r="AD4" s="45">
        <f t="shared" si="1"/>
        <v>152.0512018</v>
      </c>
      <c r="AE4" s="45">
        <f t="shared" si="2"/>
        <v>1001.5997982000001</v>
      </c>
    </row>
    <row r="5" spans="1:31" x14ac:dyDescent="0.2">
      <c r="A5" s="58" t="s">
        <v>53</v>
      </c>
      <c r="B5" s="63">
        <f t="shared" si="3"/>
        <v>4</v>
      </c>
      <c r="C5" s="63">
        <v>7</v>
      </c>
      <c r="D5" s="63">
        <v>2021</v>
      </c>
      <c r="E5" s="47">
        <f>Water!C6</f>
        <v>1450</v>
      </c>
      <c r="F5" s="47">
        <f>Water!E6</f>
        <v>0</v>
      </c>
      <c r="G5" s="47">
        <f>Water!G6</f>
        <v>475.2</v>
      </c>
      <c r="H5" s="47">
        <f>Water!I6</f>
        <v>2.484</v>
      </c>
      <c r="I5" s="47">
        <f>ELECT.!F6</f>
        <v>9265</v>
      </c>
      <c r="J5" s="47">
        <f>ELECT.!H6</f>
        <v>70872</v>
      </c>
      <c r="K5" s="47">
        <f>ELECT.!K6</f>
        <v>6688</v>
      </c>
      <c r="L5" s="47">
        <f>ELECT.!M6</f>
        <v>5332</v>
      </c>
      <c r="M5" s="47">
        <f>ELECT.!O6</f>
        <v>3776</v>
      </c>
      <c r="N5" s="47">
        <f>ELECT.!Q6</f>
        <v>24681</v>
      </c>
      <c r="O5" s="47">
        <f>ELECT.!S6</f>
        <v>11749</v>
      </c>
      <c r="P5" s="47">
        <f>ELECT.!W6*2</f>
        <v>26030</v>
      </c>
      <c r="Q5" s="47">
        <f>ELECT.!D6</f>
        <v>1120</v>
      </c>
      <c r="R5" s="48">
        <f>BTU!C6</f>
        <v>14.048000000002503</v>
      </c>
      <c r="S5" s="48">
        <f>BTU!F6</f>
        <v>3.5500000000001819</v>
      </c>
      <c r="T5" s="48">
        <f>BTU!I6</f>
        <v>8</v>
      </c>
      <c r="U5" s="48">
        <f>BTU!O6</f>
        <v>1.7809999999999491</v>
      </c>
      <c r="V5" s="48">
        <f>BTU!L6</f>
        <v>1.5100000000002183</v>
      </c>
      <c r="W5" s="48">
        <f>BTU!R6</f>
        <v>3.3200000000006185</v>
      </c>
      <c r="X5" s="45">
        <f>ELECT.!B6</f>
        <v>187</v>
      </c>
      <c r="Y5" s="45">
        <f t="shared" si="0"/>
        <v>1881</v>
      </c>
      <c r="Z5">
        <f>'Mall, Citadel, Rotana'!C6+'Mall, Citadel, Rotana'!E6+'Mall, Citadel, Rotana'!G6+'Mall, Citadel, Rotana'!I6</f>
        <v>1420</v>
      </c>
      <c r="AA5">
        <f>'Mall, Citadel, Rotana'!K6+'Mall, Citadel, Rotana'!M6</f>
        <v>640</v>
      </c>
      <c r="AB5">
        <f>'Mall, Citadel, Rotana'!O6</f>
        <v>3</v>
      </c>
      <c r="AC5">
        <f>'Mall, Citadel, Rotana'!Q6+'Mall, Citadel, Rotana'!S6</f>
        <v>131</v>
      </c>
      <c r="AD5" s="45">
        <f t="shared" si="1"/>
        <v>165.21340880000002</v>
      </c>
      <c r="AE5" s="45">
        <f t="shared" si="2"/>
        <v>1088.3025912000001</v>
      </c>
    </row>
    <row r="6" spans="1:31" x14ac:dyDescent="0.2">
      <c r="A6" s="58" t="s">
        <v>53</v>
      </c>
      <c r="B6" s="63">
        <f t="shared" si="3"/>
        <v>5</v>
      </c>
      <c r="C6" s="63">
        <v>7</v>
      </c>
      <c r="D6" s="63">
        <v>2021</v>
      </c>
      <c r="E6" s="47">
        <f>Water!C7</f>
        <v>1450</v>
      </c>
      <c r="F6" s="47">
        <f>Water!E7</f>
        <v>0</v>
      </c>
      <c r="G6" s="47">
        <f>Water!G7</f>
        <v>445.5</v>
      </c>
      <c r="H6" s="47">
        <f>Water!I7</f>
        <v>2.1059999999999999</v>
      </c>
      <c r="I6" s="47">
        <f>ELECT.!F7</f>
        <v>9282</v>
      </c>
      <c r="J6" s="47">
        <f>ELECT.!H7</f>
        <v>65191</v>
      </c>
      <c r="K6" s="47">
        <f>ELECT.!K7</f>
        <v>5994</v>
      </c>
      <c r="L6" s="47">
        <f>ELECT.!M7</f>
        <v>5406</v>
      </c>
      <c r="M6" s="47">
        <f>ELECT.!O7</f>
        <v>3736</v>
      </c>
      <c r="N6" s="47">
        <f>ELECT.!Q7</f>
        <v>23148</v>
      </c>
      <c r="O6" s="47">
        <f>ELECT.!S7</f>
        <v>10283</v>
      </c>
      <c r="P6" s="47">
        <f>ELECT.!W7*2</f>
        <v>24438</v>
      </c>
      <c r="Q6" s="47">
        <f>ELECT.!D7</f>
        <v>800</v>
      </c>
      <c r="R6" s="48">
        <f>BTU!C7</f>
        <v>12.473999999998341</v>
      </c>
      <c r="S6" s="48">
        <f>BTU!F7</f>
        <v>3.7649999999998727</v>
      </c>
      <c r="T6" s="48">
        <f>BTU!I7</f>
        <v>8</v>
      </c>
      <c r="U6" s="48">
        <f>BTU!O7</f>
        <v>1.7570000000000618</v>
      </c>
      <c r="V6" s="48">
        <f>BTU!L7</f>
        <v>2.3700000000008004</v>
      </c>
      <c r="W6" s="48">
        <f>BTU!R7</f>
        <v>3.0799999999999272</v>
      </c>
      <c r="X6" s="45">
        <f>ELECT.!B7</f>
        <v>172</v>
      </c>
      <c r="Y6" s="45">
        <f t="shared" si="0"/>
        <v>1468</v>
      </c>
      <c r="Z6">
        <f>'Mall, Citadel, Rotana'!C7+'Mall, Citadel, Rotana'!E7+'Mall, Citadel, Rotana'!G7+'Mall, Citadel, Rotana'!I7</f>
        <v>954</v>
      </c>
      <c r="AA6">
        <f>'Mall, Citadel, Rotana'!K7+'Mall, Citadel, Rotana'!M7</f>
        <v>640</v>
      </c>
      <c r="AB6">
        <f>'Mall, Citadel, Rotana'!O7</f>
        <v>3</v>
      </c>
      <c r="AC6">
        <f>'Mall, Citadel, Rotana'!Q7+'Mall, Citadel, Rotana'!S7</f>
        <v>0</v>
      </c>
      <c r="AD6" s="45">
        <f t="shared" si="1"/>
        <v>165.26322920000001</v>
      </c>
      <c r="AE6" s="45">
        <f t="shared" si="2"/>
        <v>1088.6307707999999</v>
      </c>
    </row>
    <row r="7" spans="1:31" x14ac:dyDescent="0.2">
      <c r="A7" s="58" t="s">
        <v>53</v>
      </c>
      <c r="B7" s="63">
        <f t="shared" si="3"/>
        <v>6</v>
      </c>
      <c r="C7" s="63">
        <v>7</v>
      </c>
      <c r="D7" s="63">
        <v>2021</v>
      </c>
      <c r="E7" s="47">
        <f>Water!C8</f>
        <v>1900</v>
      </c>
      <c r="F7" s="47">
        <f>Water!E8</f>
        <v>0</v>
      </c>
      <c r="G7" s="47">
        <f>Water!G8</f>
        <v>621</v>
      </c>
      <c r="H7" s="47">
        <f>Water!I8</f>
        <v>2.9699999999999998</v>
      </c>
      <c r="I7" s="47">
        <f>ELECT.!F8</f>
        <v>9401</v>
      </c>
      <c r="J7" s="47">
        <f>ELECT.!H8</f>
        <v>62779</v>
      </c>
      <c r="K7" s="47">
        <f>ELECT.!K8</f>
        <v>5930</v>
      </c>
      <c r="L7" s="47">
        <f>ELECT.!M8</f>
        <v>4977</v>
      </c>
      <c r="M7" s="47">
        <f>ELECT.!O8</f>
        <v>4278</v>
      </c>
      <c r="N7" s="47">
        <f>ELECT.!Q8</f>
        <v>21574</v>
      </c>
      <c r="O7" s="47">
        <f>ELECT.!S8</f>
        <v>10455</v>
      </c>
      <c r="P7" s="47">
        <f>ELECT.!W8*2</f>
        <v>23468</v>
      </c>
      <c r="Q7" s="47">
        <f>ELECT.!D8</f>
        <v>640</v>
      </c>
      <c r="R7" s="48">
        <f>BTU!C8</f>
        <v>13.07300000000032</v>
      </c>
      <c r="S7" s="48">
        <f>BTU!F8</f>
        <v>3.9169999999999163</v>
      </c>
      <c r="T7" s="48">
        <f>BTU!I8</f>
        <v>8</v>
      </c>
      <c r="U7" s="48">
        <f>BTU!O8</f>
        <v>1.8610000000003311</v>
      </c>
      <c r="V7" s="48">
        <f>BTU!L8</f>
        <v>2.5099999999983993</v>
      </c>
      <c r="W7" s="48">
        <f>BTU!R8</f>
        <v>2.339999999999236</v>
      </c>
      <c r="X7" s="45">
        <f>ELECT.!B8</f>
        <v>176</v>
      </c>
      <c r="Y7" s="45">
        <f t="shared" si="0"/>
        <v>1498</v>
      </c>
      <c r="Z7">
        <f>'Mall, Citadel, Rotana'!C8+'Mall, Citadel, Rotana'!E8+'Mall, Citadel, Rotana'!G8+'Mall, Citadel, Rotana'!I8</f>
        <v>1728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395</v>
      </c>
      <c r="AD7" s="45">
        <f t="shared" si="1"/>
        <v>224.45935399999999</v>
      </c>
      <c r="AE7" s="45">
        <f t="shared" si="2"/>
        <v>1478.5706459999999</v>
      </c>
    </row>
    <row r="8" spans="1:31" x14ac:dyDescent="0.2">
      <c r="A8" s="58" t="s">
        <v>53</v>
      </c>
      <c r="B8" s="63">
        <f t="shared" si="3"/>
        <v>7</v>
      </c>
      <c r="C8" s="63">
        <v>7</v>
      </c>
      <c r="D8" s="63">
        <v>2021</v>
      </c>
      <c r="E8" s="47">
        <f>Water!C9</f>
        <v>1500</v>
      </c>
      <c r="F8" s="47">
        <f>Water!E9</f>
        <v>0</v>
      </c>
      <c r="G8" s="47">
        <f>Water!G9</f>
        <v>434.7</v>
      </c>
      <c r="H8" s="47">
        <f>Water!I9</f>
        <v>2.5110000000000001</v>
      </c>
      <c r="I8" s="47">
        <f>ELECT.!F9</f>
        <v>10910</v>
      </c>
      <c r="J8" s="47">
        <f>ELECT.!H9</f>
        <v>39335</v>
      </c>
      <c r="K8" s="47">
        <f>ELECT.!K9</f>
        <v>4404</v>
      </c>
      <c r="L8" s="47">
        <f>ELECT.!M9</f>
        <v>3739</v>
      </c>
      <c r="M8" s="47">
        <f>ELECT.!O9</f>
        <v>7328</v>
      </c>
      <c r="N8" s="47">
        <f>ELECT.!Q9</f>
        <v>9834</v>
      </c>
      <c r="O8" s="47">
        <f>ELECT.!S9</f>
        <v>7416</v>
      </c>
      <c r="P8" s="47">
        <f>ELECT.!W9*2</f>
        <v>16756</v>
      </c>
      <c r="Q8" s="47">
        <f>ELECT.!D9</f>
        <v>640</v>
      </c>
      <c r="R8" s="48">
        <f>BTU!C9</f>
        <v>12.557000000000698</v>
      </c>
      <c r="S8" s="48">
        <f>BTU!F9</f>
        <v>3.8949999999999818</v>
      </c>
      <c r="T8" s="48">
        <f>BTU!I9</f>
        <v>7</v>
      </c>
      <c r="U8" s="48">
        <f>BTU!O9</f>
        <v>1.6119999999996253</v>
      </c>
      <c r="V8" s="48">
        <f>BTU!L9</f>
        <v>2.3700000000008004</v>
      </c>
      <c r="W8" s="48">
        <f>BTU!R9</f>
        <v>2.75</v>
      </c>
      <c r="X8" s="45">
        <f>ELECT.!B9</f>
        <v>182</v>
      </c>
      <c r="Y8" s="45">
        <f t="shared" si="0"/>
        <v>768</v>
      </c>
      <c r="Z8">
        <f>'Mall, Citadel, Rotana'!C9+'Mall, Citadel, Rotana'!E9+'Mall, Citadel, Rotana'!G9+'Mall, Citadel, Rotana'!I9</f>
        <v>1586</v>
      </c>
      <c r="AA8">
        <f>'Mall, Citadel, Rotana'!K9+'Mall, Citadel, Rotana'!M9</f>
        <v>800</v>
      </c>
      <c r="AB8">
        <f>'Mall, Citadel, Rotana'!O9</f>
        <v>4</v>
      </c>
      <c r="AC8">
        <f>'Mall, Citadel, Rotana'!Q9+'Mall, Citadel, Rotana'!S9</f>
        <v>0</v>
      </c>
      <c r="AD8" s="45">
        <f t="shared" si="1"/>
        <v>171.79985020000001</v>
      </c>
      <c r="AE8" s="45">
        <f t="shared" si="2"/>
        <v>1131.6891498</v>
      </c>
    </row>
    <row r="9" spans="1:31" x14ac:dyDescent="0.2">
      <c r="A9" s="58" t="s">
        <v>53</v>
      </c>
      <c r="B9" s="63">
        <f t="shared" si="3"/>
        <v>8</v>
      </c>
      <c r="C9" s="63">
        <v>7</v>
      </c>
      <c r="D9" s="63">
        <v>2021</v>
      </c>
      <c r="E9" s="47">
        <f>Water!C10</f>
        <v>1700</v>
      </c>
      <c r="F9" s="47">
        <f>Water!E10</f>
        <v>0</v>
      </c>
      <c r="G9" s="47">
        <f>Water!G10</f>
        <v>467.1</v>
      </c>
      <c r="H9" s="47">
        <f>Water!I10</f>
        <v>2.5379999999999998</v>
      </c>
      <c r="I9" s="47">
        <f>ELECT.!F10</f>
        <v>19016</v>
      </c>
      <c r="J9" s="47">
        <f>ELECT.!H10</f>
        <v>69085</v>
      </c>
      <c r="K9" s="47">
        <f>ELECT.!K10</f>
        <v>7767</v>
      </c>
      <c r="L9" s="47">
        <f>ELECT.!M10</f>
        <v>5659</v>
      </c>
      <c r="M9" s="47">
        <f>ELECT.!O10</f>
        <v>12824</v>
      </c>
      <c r="N9" s="47">
        <f>ELECT.!Q10</f>
        <v>17242</v>
      </c>
      <c r="O9" s="47">
        <f>ELECT.!S10</f>
        <v>13262</v>
      </c>
      <c r="P9" s="47">
        <f>ELECT.!W10*2</f>
        <v>29070</v>
      </c>
      <c r="Q9" s="47">
        <f>ELECT.!D10</f>
        <v>800</v>
      </c>
      <c r="R9" s="48">
        <f>BTU!C10</f>
        <v>12.894000000000233</v>
      </c>
      <c r="S9" s="48">
        <f>BTU!F10</f>
        <v>3.8240000000000691</v>
      </c>
      <c r="T9" s="48">
        <f>BTU!I10</f>
        <v>9</v>
      </c>
      <c r="U9" s="48">
        <f>BTU!O10</f>
        <v>1.6350000000002183</v>
      </c>
      <c r="V9" s="48">
        <f>BTU!L10</f>
        <v>2.25</v>
      </c>
      <c r="W9" s="48">
        <f>BTU!R10</f>
        <v>2.3200000000006185</v>
      </c>
      <c r="X9" s="45">
        <f>ELECT.!B10</f>
        <v>180</v>
      </c>
      <c r="Y9" s="45">
        <f t="shared" si="0"/>
        <v>2277</v>
      </c>
      <c r="Z9">
        <f>'Mall, Citadel, Rotana'!C10+'Mall, Citadel, Rotana'!E10+'Mall, Citadel, Rotana'!G10+'Mall, Citadel, Rotana'!I10</f>
        <v>1239</v>
      </c>
      <c r="AA9">
        <f>'Mall, Citadel, Rotana'!K10+'Mall, Citadel, Rotana'!M10</f>
        <v>480</v>
      </c>
      <c r="AB9">
        <f>'Mall, Citadel, Rotana'!O10</f>
        <v>3</v>
      </c>
      <c r="AC9">
        <f>'Mall, Citadel, Rotana'!Q10+'Mall, Citadel, Rotana'!S10</f>
        <v>0</v>
      </c>
      <c r="AD9" s="45">
        <f t="shared" si="1"/>
        <v>198.1562916</v>
      </c>
      <c r="AE9" s="45">
        <f t="shared" si="2"/>
        <v>1305.3057084</v>
      </c>
    </row>
    <row r="10" spans="1:31" x14ac:dyDescent="0.2">
      <c r="A10" s="58" t="s">
        <v>53</v>
      </c>
      <c r="B10" s="63">
        <f t="shared" si="3"/>
        <v>9</v>
      </c>
      <c r="C10" s="63">
        <v>7</v>
      </c>
      <c r="D10" s="63">
        <v>2021</v>
      </c>
      <c r="E10" s="47">
        <f>Water!C11</f>
        <v>0</v>
      </c>
      <c r="F10" s="47">
        <f>Water!E11</f>
        <v>0</v>
      </c>
      <c r="G10" s="47">
        <f>Water!G11</f>
        <v>0</v>
      </c>
      <c r="H10" s="47">
        <f>Water!I11</f>
        <v>0</v>
      </c>
      <c r="I10" s="47">
        <f>ELECT.!F11</f>
        <v>0</v>
      </c>
      <c r="J10" s="47">
        <f>ELECT.!H11</f>
        <v>0</v>
      </c>
      <c r="K10" s="47">
        <f>ELECT.!K11</f>
        <v>0</v>
      </c>
      <c r="L10" s="47">
        <f>ELECT.!M11</f>
        <v>0</v>
      </c>
      <c r="M10" s="47">
        <f>ELECT.!O11</f>
        <v>0</v>
      </c>
      <c r="N10" s="47">
        <f>ELECT.!Q11</f>
        <v>0</v>
      </c>
      <c r="O10" s="47">
        <f>ELECT.!S11</f>
        <v>0</v>
      </c>
      <c r="P10" s="47">
        <f>ELECT.!W11*2</f>
        <v>0</v>
      </c>
      <c r="Q10" s="47">
        <f>ELECT.!D11</f>
        <v>0</v>
      </c>
      <c r="R10" s="48">
        <f>BTU!C11</f>
        <v>0</v>
      </c>
      <c r="S10" s="48">
        <f>BTU!F11</f>
        <v>0</v>
      </c>
      <c r="T10" s="48">
        <f>BTU!I11</f>
        <v>0</v>
      </c>
      <c r="U10" s="48">
        <f>BTU!O11</f>
        <v>0</v>
      </c>
      <c r="V10" s="48">
        <f>BTU!L11</f>
        <v>0</v>
      </c>
      <c r="W10" s="48">
        <f>BTU!R11</f>
        <v>0</v>
      </c>
      <c r="X10" s="45">
        <f>ELECT.!B11</f>
        <v>0</v>
      </c>
      <c r="Y10" s="45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45">
        <f t="shared" si="1"/>
        <v>-25.569199999999999</v>
      </c>
      <c r="AE10" s="45">
        <f t="shared" si="2"/>
        <v>-168.4308</v>
      </c>
    </row>
    <row r="11" spans="1:31" x14ac:dyDescent="0.2">
      <c r="A11" s="58" t="s">
        <v>53</v>
      </c>
      <c r="B11" s="63">
        <f t="shared" si="3"/>
        <v>10</v>
      </c>
      <c r="C11" s="63">
        <v>7</v>
      </c>
      <c r="D11" s="63">
        <v>2021</v>
      </c>
      <c r="E11" s="47">
        <f>Water!C12</f>
        <v>0</v>
      </c>
      <c r="F11" s="47">
        <f>Water!E12</f>
        <v>0</v>
      </c>
      <c r="G11" s="47">
        <f>Water!G12</f>
        <v>0</v>
      </c>
      <c r="H11" s="47">
        <f>Water!I12</f>
        <v>0</v>
      </c>
      <c r="I11" s="47">
        <f>ELECT.!F12</f>
        <v>0</v>
      </c>
      <c r="J11" s="47">
        <f>ELECT.!H12</f>
        <v>0</v>
      </c>
      <c r="K11" s="47">
        <f>ELECT.!K12</f>
        <v>0</v>
      </c>
      <c r="L11" s="47">
        <f>ELECT.!M12</f>
        <v>0</v>
      </c>
      <c r="M11" s="47">
        <f>ELECT.!O12</f>
        <v>0</v>
      </c>
      <c r="N11" s="47">
        <f>ELECT.!Q12</f>
        <v>0</v>
      </c>
      <c r="O11" s="47">
        <f>ELECT.!S12</f>
        <v>0</v>
      </c>
      <c r="P11" s="47">
        <f>ELECT.!W12*2</f>
        <v>0</v>
      </c>
      <c r="Q11" s="47">
        <f>ELECT.!D12</f>
        <v>0</v>
      </c>
      <c r="R11" s="48">
        <f>BTU!C12</f>
        <v>0</v>
      </c>
      <c r="S11" s="48">
        <f>BTU!F12</f>
        <v>0</v>
      </c>
      <c r="T11" s="48">
        <f>BTU!I12</f>
        <v>0</v>
      </c>
      <c r="U11" s="48">
        <f>BTU!O12</f>
        <v>0</v>
      </c>
      <c r="V11" s="48">
        <f>BTU!L12</f>
        <v>0</v>
      </c>
      <c r="W11" s="48">
        <f>BTU!R12</f>
        <v>0</v>
      </c>
      <c r="X11" s="45">
        <f>ELECT.!B12</f>
        <v>0</v>
      </c>
      <c r="Y11" s="45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5">
        <f t="shared" si="1"/>
        <v>-25.569199999999999</v>
      </c>
      <c r="AE11" s="45">
        <f t="shared" si="2"/>
        <v>-168.4308</v>
      </c>
    </row>
    <row r="12" spans="1:31" x14ac:dyDescent="0.2">
      <c r="A12" s="58" t="s">
        <v>53</v>
      </c>
      <c r="B12" s="63">
        <f t="shared" si="3"/>
        <v>11</v>
      </c>
      <c r="C12" s="63">
        <v>7</v>
      </c>
      <c r="D12" s="63">
        <v>2021</v>
      </c>
      <c r="E12" s="47">
        <f>Water!C13</f>
        <v>0</v>
      </c>
      <c r="F12" s="47">
        <f>Water!E13</f>
        <v>0</v>
      </c>
      <c r="G12" s="47">
        <f>Water!G13</f>
        <v>0</v>
      </c>
      <c r="H12" s="47">
        <f>Water!I13</f>
        <v>0</v>
      </c>
      <c r="I12" s="47">
        <f>ELECT.!F13</f>
        <v>0</v>
      </c>
      <c r="J12" s="47">
        <f>ELECT.!H13</f>
        <v>0</v>
      </c>
      <c r="K12" s="47">
        <f>ELECT.!K13</f>
        <v>0</v>
      </c>
      <c r="L12" s="47">
        <f>ELECT.!M13</f>
        <v>0</v>
      </c>
      <c r="M12" s="47">
        <f>ELECT.!O13</f>
        <v>0</v>
      </c>
      <c r="N12" s="47">
        <f>ELECT.!Q13</f>
        <v>0</v>
      </c>
      <c r="O12" s="47">
        <f>ELECT.!S13</f>
        <v>0</v>
      </c>
      <c r="P12" s="47">
        <f>ELECT.!W13*2</f>
        <v>0</v>
      </c>
      <c r="Q12" s="47">
        <f>ELECT.!D13</f>
        <v>0</v>
      </c>
      <c r="R12" s="48">
        <f>BTU!C13</f>
        <v>0</v>
      </c>
      <c r="S12" s="48">
        <f>BTU!F13</f>
        <v>0</v>
      </c>
      <c r="T12" s="48">
        <f>BTU!I13</f>
        <v>0</v>
      </c>
      <c r="U12" s="48">
        <f>BTU!O13</f>
        <v>0</v>
      </c>
      <c r="V12" s="48">
        <f>BTU!L13</f>
        <v>0</v>
      </c>
      <c r="W12" s="48">
        <f>BTU!R13</f>
        <v>0</v>
      </c>
      <c r="X12" s="45">
        <f>ELECT.!B13</f>
        <v>0</v>
      </c>
      <c r="Y12" s="45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45">
        <f t="shared" si="1"/>
        <v>-25.569199999999999</v>
      </c>
      <c r="AE12" s="45">
        <f t="shared" si="2"/>
        <v>-168.4308</v>
      </c>
    </row>
    <row r="13" spans="1:31" x14ac:dyDescent="0.2">
      <c r="A13" s="58" t="s">
        <v>53</v>
      </c>
      <c r="B13" s="63">
        <f t="shared" si="3"/>
        <v>12</v>
      </c>
      <c r="C13" s="63">
        <v>7</v>
      </c>
      <c r="D13" s="63">
        <v>2021</v>
      </c>
      <c r="E13" s="47">
        <f>Water!C14</f>
        <v>0</v>
      </c>
      <c r="F13" s="47">
        <f>Water!E14</f>
        <v>0</v>
      </c>
      <c r="G13" s="47">
        <f>Water!G14</f>
        <v>0</v>
      </c>
      <c r="H13" s="47">
        <f>Water!I14</f>
        <v>0</v>
      </c>
      <c r="I13" s="47">
        <f>ELECT.!F14</f>
        <v>0</v>
      </c>
      <c r="J13" s="47">
        <f>ELECT.!H14</f>
        <v>0</v>
      </c>
      <c r="K13" s="47">
        <f>ELECT.!K14</f>
        <v>0</v>
      </c>
      <c r="L13" s="47">
        <f>ELECT.!M14</f>
        <v>0</v>
      </c>
      <c r="M13" s="47">
        <f>ELECT.!O14</f>
        <v>0</v>
      </c>
      <c r="N13" s="47">
        <f>ELECT.!Q14</f>
        <v>0</v>
      </c>
      <c r="O13" s="47">
        <f>ELECT.!S14</f>
        <v>0</v>
      </c>
      <c r="P13" s="47">
        <f>ELECT.!W14*2</f>
        <v>0</v>
      </c>
      <c r="Q13" s="47">
        <f>ELECT.!D14</f>
        <v>0</v>
      </c>
      <c r="R13" s="48">
        <f>BTU!C14</f>
        <v>0</v>
      </c>
      <c r="S13" s="48">
        <f>BTU!F14</f>
        <v>0</v>
      </c>
      <c r="T13" s="48">
        <f>BTU!I14</f>
        <v>0</v>
      </c>
      <c r="U13" s="48">
        <f>BTU!O14</f>
        <v>0</v>
      </c>
      <c r="V13" s="48">
        <f>BTU!L14</f>
        <v>0</v>
      </c>
      <c r="W13" s="48">
        <f>BTU!R14</f>
        <v>0</v>
      </c>
      <c r="X13" s="45">
        <f>ELECT.!B14</f>
        <v>0</v>
      </c>
      <c r="Y13" s="45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5">
        <f t="shared" si="1"/>
        <v>-25.569199999999999</v>
      </c>
      <c r="AE13" s="45">
        <f t="shared" si="2"/>
        <v>-168.4308</v>
      </c>
    </row>
    <row r="14" spans="1:31" x14ac:dyDescent="0.2">
      <c r="A14" s="58" t="s">
        <v>53</v>
      </c>
      <c r="B14" s="63">
        <f t="shared" si="3"/>
        <v>13</v>
      </c>
      <c r="C14" s="63">
        <v>7</v>
      </c>
      <c r="D14" s="63">
        <v>2021</v>
      </c>
      <c r="E14" s="47">
        <f>Water!C15</f>
        <v>0</v>
      </c>
      <c r="F14" s="47">
        <f>Water!E15</f>
        <v>0</v>
      </c>
      <c r="G14" s="47">
        <f>Water!G15</f>
        <v>0</v>
      </c>
      <c r="H14" s="47">
        <f>Water!I15</f>
        <v>0</v>
      </c>
      <c r="I14" s="47">
        <f>ELECT.!F15</f>
        <v>0</v>
      </c>
      <c r="J14" s="47">
        <f>ELECT.!H15</f>
        <v>0</v>
      </c>
      <c r="K14" s="47">
        <f>ELECT.!K15</f>
        <v>0</v>
      </c>
      <c r="L14" s="47">
        <f>ELECT.!M15</f>
        <v>0</v>
      </c>
      <c r="M14" s="47">
        <f>ELECT.!O15</f>
        <v>0</v>
      </c>
      <c r="N14" s="47">
        <f>ELECT.!Q15</f>
        <v>0</v>
      </c>
      <c r="O14" s="47">
        <f>ELECT.!S15</f>
        <v>0</v>
      </c>
      <c r="P14" s="47">
        <f>ELECT.!W15*2</f>
        <v>0</v>
      </c>
      <c r="Q14" s="47">
        <f>ELECT.!D15</f>
        <v>0</v>
      </c>
      <c r="R14" s="48">
        <f>BTU!C15</f>
        <v>0</v>
      </c>
      <c r="S14" s="48">
        <f>BTU!F15</f>
        <v>0</v>
      </c>
      <c r="T14" s="48">
        <f>BTU!I15</f>
        <v>0</v>
      </c>
      <c r="U14" s="48">
        <f>BTU!O15</f>
        <v>0</v>
      </c>
      <c r="V14" s="48">
        <f>BTU!L15</f>
        <v>0</v>
      </c>
      <c r="W14" s="48">
        <f>BTU!R15</f>
        <v>0</v>
      </c>
      <c r="X14" s="45">
        <f>ELECT.!B15</f>
        <v>0</v>
      </c>
      <c r="Y14" s="45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5">
        <f t="shared" si="1"/>
        <v>-25.569199999999999</v>
      </c>
      <c r="AE14" s="45">
        <f t="shared" si="2"/>
        <v>-168.4308</v>
      </c>
    </row>
    <row r="15" spans="1:31" x14ac:dyDescent="0.2">
      <c r="A15" s="58" t="s">
        <v>53</v>
      </c>
      <c r="B15" s="63">
        <f t="shared" si="3"/>
        <v>14</v>
      </c>
      <c r="C15" s="63">
        <v>7</v>
      </c>
      <c r="D15" s="63">
        <v>2021</v>
      </c>
      <c r="E15" s="47">
        <f>Water!C16</f>
        <v>0</v>
      </c>
      <c r="F15" s="47">
        <f>Water!E16</f>
        <v>0</v>
      </c>
      <c r="G15" s="47">
        <f>Water!G16</f>
        <v>0</v>
      </c>
      <c r="H15" s="47">
        <f>Water!I16</f>
        <v>0</v>
      </c>
      <c r="I15" s="47">
        <f>ELECT.!F16</f>
        <v>0</v>
      </c>
      <c r="J15" s="47">
        <f>ELECT.!H16</f>
        <v>0</v>
      </c>
      <c r="K15" s="47">
        <f>ELECT.!K16</f>
        <v>0</v>
      </c>
      <c r="L15" s="47">
        <f>ELECT.!M16</f>
        <v>0</v>
      </c>
      <c r="M15" s="47">
        <f>ELECT.!O16</f>
        <v>0</v>
      </c>
      <c r="N15" s="47">
        <f>ELECT.!Q16</f>
        <v>0</v>
      </c>
      <c r="O15" s="47">
        <f>ELECT.!S16</f>
        <v>0</v>
      </c>
      <c r="P15" s="47">
        <f>ELECT.!W16*2</f>
        <v>0</v>
      </c>
      <c r="Q15" s="47">
        <f>ELECT.!D16</f>
        <v>0</v>
      </c>
      <c r="R15" s="48">
        <f>BTU!C16</f>
        <v>0</v>
      </c>
      <c r="S15" s="48">
        <f>BTU!F16</f>
        <v>0</v>
      </c>
      <c r="T15" s="48">
        <f>BTU!I16</f>
        <v>0</v>
      </c>
      <c r="U15" s="48">
        <f>BTU!O16</f>
        <v>0</v>
      </c>
      <c r="V15" s="48">
        <f>BTU!L16</f>
        <v>0</v>
      </c>
      <c r="W15" s="48">
        <f>BTU!R16</f>
        <v>0</v>
      </c>
      <c r="X15" s="45">
        <f>ELECT.!B16</f>
        <v>0</v>
      </c>
      <c r="Y15" s="45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5">
        <f t="shared" si="1"/>
        <v>-25.569199999999999</v>
      </c>
      <c r="AE15" s="45">
        <f t="shared" si="2"/>
        <v>-168.4308</v>
      </c>
    </row>
    <row r="16" spans="1:31" x14ac:dyDescent="0.2">
      <c r="A16" s="58" t="s">
        <v>53</v>
      </c>
      <c r="B16" s="63">
        <f t="shared" si="3"/>
        <v>15</v>
      </c>
      <c r="C16" s="63">
        <v>7</v>
      </c>
      <c r="D16" s="63">
        <v>2021</v>
      </c>
      <c r="E16" s="47">
        <f>Water!C17</f>
        <v>0</v>
      </c>
      <c r="F16" s="47">
        <f>Water!E17</f>
        <v>0</v>
      </c>
      <c r="G16" s="47">
        <f>Water!G17</f>
        <v>0</v>
      </c>
      <c r="H16" s="47">
        <f>Water!I17</f>
        <v>0</v>
      </c>
      <c r="I16" s="47">
        <f>ELECT.!F17</f>
        <v>0</v>
      </c>
      <c r="J16" s="47">
        <f>ELECT.!H17</f>
        <v>0</v>
      </c>
      <c r="K16" s="47">
        <f>ELECT.!K17</f>
        <v>0</v>
      </c>
      <c r="L16" s="47">
        <f>ELECT.!M17</f>
        <v>0</v>
      </c>
      <c r="M16" s="47">
        <f>ELECT.!O17</f>
        <v>0</v>
      </c>
      <c r="N16" s="47">
        <f>ELECT.!Q17</f>
        <v>0</v>
      </c>
      <c r="O16" s="47">
        <f>ELECT.!S17</f>
        <v>0</v>
      </c>
      <c r="P16" s="47">
        <f>ELECT.!W17*2</f>
        <v>0</v>
      </c>
      <c r="Q16" s="47">
        <f>ELECT.!D17</f>
        <v>0</v>
      </c>
      <c r="R16" s="48">
        <f>BTU!C17</f>
        <v>0</v>
      </c>
      <c r="S16" s="48">
        <f>BTU!F17</f>
        <v>0</v>
      </c>
      <c r="T16" s="48">
        <f>BTU!I17</f>
        <v>0</v>
      </c>
      <c r="U16" s="48">
        <f>BTU!O17</f>
        <v>0</v>
      </c>
      <c r="V16" s="48">
        <f>BTU!L17</f>
        <v>0</v>
      </c>
      <c r="W16" s="48">
        <f>BTU!R17</f>
        <v>0</v>
      </c>
      <c r="X16" s="45">
        <f>ELECT.!B17</f>
        <v>0</v>
      </c>
      <c r="Y16" s="45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5">
        <f t="shared" si="1"/>
        <v>-25.569199999999999</v>
      </c>
      <c r="AE16" s="45">
        <f t="shared" si="2"/>
        <v>-168.4308</v>
      </c>
    </row>
    <row r="17" spans="1:31" x14ac:dyDescent="0.2">
      <c r="A17" s="58" t="s">
        <v>53</v>
      </c>
      <c r="B17" s="63">
        <f t="shared" si="3"/>
        <v>16</v>
      </c>
      <c r="C17" s="63">
        <v>7</v>
      </c>
      <c r="D17" s="63">
        <v>2021</v>
      </c>
      <c r="E17" s="47">
        <f>Water!C18</f>
        <v>0</v>
      </c>
      <c r="F17" s="47">
        <f>Water!E18</f>
        <v>0</v>
      </c>
      <c r="G17" s="47">
        <f>Water!G18</f>
        <v>0</v>
      </c>
      <c r="H17" s="47">
        <f>Water!I18</f>
        <v>0</v>
      </c>
      <c r="I17" s="47">
        <f>ELECT.!F18</f>
        <v>0</v>
      </c>
      <c r="J17" s="47">
        <f>ELECT.!H18</f>
        <v>0</v>
      </c>
      <c r="K17" s="47">
        <f>ELECT.!K18</f>
        <v>0</v>
      </c>
      <c r="L17" s="47">
        <f>ELECT.!M18</f>
        <v>0</v>
      </c>
      <c r="M17" s="47">
        <f>ELECT.!O18</f>
        <v>0</v>
      </c>
      <c r="N17" s="47">
        <f>ELECT.!Q18</f>
        <v>0</v>
      </c>
      <c r="O17" s="47">
        <f>ELECT.!S18</f>
        <v>0</v>
      </c>
      <c r="P17" s="47">
        <f>ELECT.!W18*2</f>
        <v>0</v>
      </c>
      <c r="Q17" s="47">
        <f>ELECT.!D18</f>
        <v>0</v>
      </c>
      <c r="R17" s="48">
        <f>BTU!C18</f>
        <v>0</v>
      </c>
      <c r="S17" s="48">
        <f>BTU!F18</f>
        <v>0</v>
      </c>
      <c r="T17" s="48">
        <f>BTU!I18</f>
        <v>0</v>
      </c>
      <c r="U17" s="48">
        <f>BTU!O18</f>
        <v>0</v>
      </c>
      <c r="V17" s="48">
        <f>BTU!L18</f>
        <v>0</v>
      </c>
      <c r="W17" s="48">
        <f>BTU!R18</f>
        <v>0</v>
      </c>
      <c r="X17" s="45">
        <f>ELECT.!B18</f>
        <v>0</v>
      </c>
      <c r="Y17" s="4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5">
        <f t="shared" si="1"/>
        <v>-25.569199999999999</v>
      </c>
      <c r="AE17" s="45">
        <f t="shared" si="2"/>
        <v>-168.4308</v>
      </c>
    </row>
    <row r="18" spans="1:31" x14ac:dyDescent="0.2">
      <c r="A18" s="58" t="s">
        <v>53</v>
      </c>
      <c r="B18" s="63">
        <f t="shared" si="3"/>
        <v>17</v>
      </c>
      <c r="C18" s="63">
        <v>7</v>
      </c>
      <c r="D18" s="63">
        <v>2021</v>
      </c>
      <c r="E18" s="47">
        <f>Water!C19</f>
        <v>0</v>
      </c>
      <c r="F18" s="47">
        <f>Water!E19</f>
        <v>0</v>
      </c>
      <c r="G18" s="47">
        <f>Water!G19</f>
        <v>0</v>
      </c>
      <c r="H18" s="47">
        <f>Water!I19</f>
        <v>0</v>
      </c>
      <c r="I18" s="47">
        <f>ELECT.!F19</f>
        <v>0</v>
      </c>
      <c r="J18" s="47">
        <f>ELECT.!H19</f>
        <v>0</v>
      </c>
      <c r="K18" s="47">
        <f>ELECT.!K19</f>
        <v>0</v>
      </c>
      <c r="L18" s="47">
        <f>ELECT.!M19</f>
        <v>0</v>
      </c>
      <c r="M18" s="47">
        <f>ELECT.!O19</f>
        <v>0</v>
      </c>
      <c r="N18" s="47">
        <f>ELECT.!Q19</f>
        <v>0</v>
      </c>
      <c r="O18" s="47">
        <f>ELECT.!S19</f>
        <v>0</v>
      </c>
      <c r="P18" s="47">
        <f>ELECT.!W19*2</f>
        <v>0</v>
      </c>
      <c r="Q18" s="47">
        <f>ELECT.!D19</f>
        <v>0</v>
      </c>
      <c r="R18" s="48">
        <f>BTU!C19</f>
        <v>0</v>
      </c>
      <c r="S18" s="48">
        <f>BTU!F19</f>
        <v>0</v>
      </c>
      <c r="T18" s="48">
        <f>BTU!I19</f>
        <v>0</v>
      </c>
      <c r="U18" s="48">
        <f>BTU!O19</f>
        <v>0</v>
      </c>
      <c r="V18" s="48">
        <f>BTU!L19</f>
        <v>0</v>
      </c>
      <c r="W18" s="48">
        <f>BTU!R19</f>
        <v>0</v>
      </c>
      <c r="X18" s="45">
        <f>ELECT.!B19</f>
        <v>0</v>
      </c>
      <c r="Y18" s="4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5">
        <f t="shared" si="1"/>
        <v>-25.569199999999999</v>
      </c>
      <c r="AE18" s="45">
        <f t="shared" si="2"/>
        <v>-168.4308</v>
      </c>
    </row>
    <row r="19" spans="1:31" x14ac:dyDescent="0.2">
      <c r="A19" s="58" t="s">
        <v>53</v>
      </c>
      <c r="B19" s="63">
        <f t="shared" si="3"/>
        <v>18</v>
      </c>
      <c r="C19" s="63">
        <v>7</v>
      </c>
      <c r="D19" s="63">
        <v>2021</v>
      </c>
      <c r="E19" s="47">
        <f>Water!C20</f>
        <v>0</v>
      </c>
      <c r="F19" s="47">
        <f>Water!E20</f>
        <v>0</v>
      </c>
      <c r="G19" s="47">
        <f>Water!G20</f>
        <v>0</v>
      </c>
      <c r="H19" s="47">
        <f>Water!I20</f>
        <v>0</v>
      </c>
      <c r="I19" s="47">
        <f>ELECT.!F20</f>
        <v>0</v>
      </c>
      <c r="J19" s="47">
        <f>ELECT.!H20</f>
        <v>0</v>
      </c>
      <c r="K19" s="47">
        <f>ELECT.!K20</f>
        <v>0</v>
      </c>
      <c r="L19" s="47">
        <f>ELECT.!M20</f>
        <v>0</v>
      </c>
      <c r="M19" s="47">
        <f>ELECT.!O20</f>
        <v>0</v>
      </c>
      <c r="N19" s="47">
        <f>ELECT.!Q20</f>
        <v>0</v>
      </c>
      <c r="O19" s="47">
        <f>ELECT.!S20</f>
        <v>0</v>
      </c>
      <c r="P19" s="47">
        <f>ELECT.!W20*2</f>
        <v>0</v>
      </c>
      <c r="Q19" s="47">
        <f>ELECT.!D20</f>
        <v>0</v>
      </c>
      <c r="R19" s="48">
        <f>BTU!C20</f>
        <v>0</v>
      </c>
      <c r="S19" s="48">
        <f>BTU!F20</f>
        <v>0</v>
      </c>
      <c r="T19" s="48">
        <f>BTU!I20</f>
        <v>0</v>
      </c>
      <c r="U19" s="48">
        <f>BTU!O20</f>
        <v>0</v>
      </c>
      <c r="V19" s="48">
        <f>BTU!L20</f>
        <v>0</v>
      </c>
      <c r="W19" s="48">
        <f>BTU!R20</f>
        <v>0</v>
      </c>
      <c r="X19" s="45">
        <f>ELECT.!B20</f>
        <v>0</v>
      </c>
      <c r="Y19" s="4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5">
        <f t="shared" si="1"/>
        <v>-25.569199999999999</v>
      </c>
      <c r="AE19" s="45">
        <f t="shared" si="2"/>
        <v>-168.4308</v>
      </c>
    </row>
    <row r="20" spans="1:31" x14ac:dyDescent="0.2">
      <c r="A20" s="58" t="s">
        <v>53</v>
      </c>
      <c r="B20" s="63">
        <f t="shared" si="3"/>
        <v>19</v>
      </c>
      <c r="C20" s="63">
        <v>7</v>
      </c>
      <c r="D20" s="63">
        <v>2021</v>
      </c>
      <c r="E20" s="47">
        <f>Water!C21</f>
        <v>0</v>
      </c>
      <c r="F20" s="47">
        <f>Water!E21</f>
        <v>0</v>
      </c>
      <c r="G20" s="47">
        <f>Water!G21</f>
        <v>0</v>
      </c>
      <c r="H20" s="47">
        <f>Water!I21</f>
        <v>0</v>
      </c>
      <c r="I20" s="47">
        <f>ELECT.!F21</f>
        <v>0</v>
      </c>
      <c r="J20" s="47">
        <f>ELECT.!H21</f>
        <v>0</v>
      </c>
      <c r="K20" s="47">
        <f>ELECT.!K21</f>
        <v>0</v>
      </c>
      <c r="L20" s="47">
        <f>ELECT.!M21</f>
        <v>0</v>
      </c>
      <c r="M20" s="47">
        <f>ELECT.!O21</f>
        <v>0</v>
      </c>
      <c r="N20" s="47">
        <f>ELECT.!Q21</f>
        <v>0</v>
      </c>
      <c r="O20" s="47">
        <f>ELECT.!S21</f>
        <v>0</v>
      </c>
      <c r="P20" s="47">
        <f>ELECT.!W21*2</f>
        <v>0</v>
      </c>
      <c r="Q20" s="47">
        <f>ELECT.!D21</f>
        <v>0</v>
      </c>
      <c r="R20" s="48">
        <f>BTU!C21</f>
        <v>0</v>
      </c>
      <c r="S20" s="48">
        <f>BTU!F21</f>
        <v>0</v>
      </c>
      <c r="T20" s="48">
        <f>BTU!I21</f>
        <v>0</v>
      </c>
      <c r="U20" s="48">
        <f>BTU!O21</f>
        <v>0</v>
      </c>
      <c r="V20" s="48">
        <f>BTU!L21</f>
        <v>0</v>
      </c>
      <c r="W20" s="48">
        <f>BTU!R21</f>
        <v>0</v>
      </c>
      <c r="X20" s="45">
        <f>ELECT.!B21</f>
        <v>0</v>
      </c>
      <c r="Y20" s="4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5">
        <f t="shared" si="1"/>
        <v>-25.569199999999999</v>
      </c>
      <c r="AE20" s="45">
        <f t="shared" si="2"/>
        <v>-168.4308</v>
      </c>
    </row>
    <row r="21" spans="1:31" x14ac:dyDescent="0.2">
      <c r="A21" s="58" t="s">
        <v>53</v>
      </c>
      <c r="B21" s="63">
        <f t="shared" si="3"/>
        <v>20</v>
      </c>
      <c r="C21" s="63">
        <v>7</v>
      </c>
      <c r="D21" s="63">
        <v>2021</v>
      </c>
      <c r="E21" s="47">
        <f>Water!C22</f>
        <v>0</v>
      </c>
      <c r="F21" s="47">
        <f>Water!E22</f>
        <v>0</v>
      </c>
      <c r="G21" s="47">
        <f>Water!G22</f>
        <v>0</v>
      </c>
      <c r="H21" s="47">
        <f>Water!I22</f>
        <v>0</v>
      </c>
      <c r="I21" s="47">
        <f>ELECT.!F22</f>
        <v>0</v>
      </c>
      <c r="J21" s="47">
        <f>ELECT.!H22</f>
        <v>0</v>
      </c>
      <c r="K21" s="47">
        <f>ELECT.!K22</f>
        <v>0</v>
      </c>
      <c r="L21" s="47">
        <f>ELECT.!M22</f>
        <v>0</v>
      </c>
      <c r="M21" s="47">
        <f>ELECT.!O22</f>
        <v>0</v>
      </c>
      <c r="N21" s="47">
        <f>ELECT.!Q22</f>
        <v>0</v>
      </c>
      <c r="O21" s="47">
        <f>ELECT.!S22</f>
        <v>0</v>
      </c>
      <c r="P21" s="47">
        <f>ELECT.!W22*2</f>
        <v>0</v>
      </c>
      <c r="Q21" s="47">
        <f>ELECT.!D22</f>
        <v>0</v>
      </c>
      <c r="R21" s="48">
        <f>BTU!C22</f>
        <v>0</v>
      </c>
      <c r="S21" s="48">
        <f>BTU!F22</f>
        <v>0</v>
      </c>
      <c r="T21" s="48">
        <f>BTU!I22</f>
        <v>0</v>
      </c>
      <c r="U21" s="48">
        <f>BTU!O22</f>
        <v>0</v>
      </c>
      <c r="V21" s="48">
        <f>BTU!L22</f>
        <v>0</v>
      </c>
      <c r="W21" s="48">
        <f>BTU!R22</f>
        <v>0</v>
      </c>
      <c r="X21" s="45">
        <f>ELECT.!B22</f>
        <v>0</v>
      </c>
      <c r="Y21" s="4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5">
        <f t="shared" si="1"/>
        <v>-25.569199999999999</v>
      </c>
      <c r="AE21" s="45">
        <f t="shared" si="2"/>
        <v>-168.4308</v>
      </c>
    </row>
    <row r="22" spans="1:31" x14ac:dyDescent="0.2">
      <c r="A22" s="58" t="s">
        <v>53</v>
      </c>
      <c r="B22" s="63">
        <f t="shared" si="3"/>
        <v>21</v>
      </c>
      <c r="C22" s="63">
        <v>7</v>
      </c>
      <c r="D22" s="63">
        <v>2021</v>
      </c>
      <c r="E22" s="47">
        <f>Water!C23</f>
        <v>0</v>
      </c>
      <c r="F22" s="47">
        <f>Water!E23</f>
        <v>0</v>
      </c>
      <c r="G22" s="47">
        <f>Water!G23</f>
        <v>0</v>
      </c>
      <c r="H22" s="47">
        <f>Water!I23</f>
        <v>0</v>
      </c>
      <c r="I22" s="47">
        <f>ELECT.!F23</f>
        <v>0</v>
      </c>
      <c r="J22" s="47">
        <f>ELECT.!H23</f>
        <v>0</v>
      </c>
      <c r="K22" s="47">
        <f>ELECT.!K23</f>
        <v>0</v>
      </c>
      <c r="L22" s="47">
        <f>ELECT.!M23</f>
        <v>0</v>
      </c>
      <c r="M22" s="47">
        <f>ELECT.!O23</f>
        <v>0</v>
      </c>
      <c r="N22" s="47">
        <f>ELECT.!Q23</f>
        <v>0</v>
      </c>
      <c r="O22" s="47">
        <f>ELECT.!S23</f>
        <v>0</v>
      </c>
      <c r="P22" s="47">
        <f>ELECT.!W23*2</f>
        <v>0</v>
      </c>
      <c r="Q22" s="47">
        <f>ELECT.!D23</f>
        <v>0</v>
      </c>
      <c r="R22" s="48">
        <f>BTU!C23</f>
        <v>0</v>
      </c>
      <c r="S22" s="48">
        <f>BTU!F23</f>
        <v>0</v>
      </c>
      <c r="T22" s="48">
        <f>BTU!I23</f>
        <v>0</v>
      </c>
      <c r="U22" s="48">
        <f>BTU!O23</f>
        <v>0</v>
      </c>
      <c r="V22" s="48">
        <f>BTU!L23</f>
        <v>0</v>
      </c>
      <c r="W22" s="48">
        <f>BTU!R23</f>
        <v>0</v>
      </c>
      <c r="X22" s="45">
        <f>ELECT.!B23</f>
        <v>0</v>
      </c>
      <c r="Y22" s="4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5">
        <f t="shared" si="1"/>
        <v>-25.569199999999999</v>
      </c>
      <c r="AE22" s="45">
        <f t="shared" si="2"/>
        <v>-168.4308</v>
      </c>
    </row>
    <row r="23" spans="1:31" x14ac:dyDescent="0.2">
      <c r="A23" s="58" t="s">
        <v>53</v>
      </c>
      <c r="B23" s="63">
        <f t="shared" si="3"/>
        <v>22</v>
      </c>
      <c r="C23" s="63">
        <v>7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53</v>
      </c>
      <c r="B24" s="63">
        <f t="shared" si="3"/>
        <v>23</v>
      </c>
      <c r="C24" s="63">
        <v>7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53</v>
      </c>
      <c r="B25" s="63">
        <f t="shared" si="3"/>
        <v>24</v>
      </c>
      <c r="C25" s="63">
        <v>7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53</v>
      </c>
      <c r="B26" s="63">
        <f>B25+1</f>
        <v>25</v>
      </c>
      <c r="C26" s="63">
        <v>7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53</v>
      </c>
      <c r="B27" s="63">
        <f t="shared" si="3"/>
        <v>26</v>
      </c>
      <c r="C27" s="63">
        <v>7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53</v>
      </c>
      <c r="B28" s="63">
        <f t="shared" si="3"/>
        <v>27</v>
      </c>
      <c r="C28" s="63">
        <v>7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53</v>
      </c>
      <c r="B29" s="63">
        <f t="shared" si="3"/>
        <v>28</v>
      </c>
      <c r="C29" s="63">
        <v>7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7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7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v>31</v>
      </c>
      <c r="C32" s="63">
        <v>7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>(E32-H32-194)*0.1318</f>
        <v>-25.569199999999999</v>
      </c>
      <c r="AE32" s="45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abSelected="1" topLeftCell="E1" workbookViewId="0">
      <selection activeCell="Z10" sqref="Z10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5" customHeight="1" thickBot="1" x14ac:dyDescent="0.25">
      <c r="A2" s="10">
        <v>44377</v>
      </c>
      <c r="B2" s="42">
        <v>45485</v>
      </c>
      <c r="C2" s="16"/>
      <c r="D2" s="42">
        <v>39638</v>
      </c>
      <c r="E2" s="16"/>
      <c r="F2" s="42">
        <v>20517</v>
      </c>
      <c r="G2" s="16"/>
      <c r="H2" s="42">
        <v>244572</v>
      </c>
      <c r="I2" s="16"/>
      <c r="J2" s="42">
        <v>303517</v>
      </c>
      <c r="K2" s="16"/>
      <c r="L2" s="42">
        <v>25097</v>
      </c>
      <c r="M2" s="16"/>
      <c r="N2" s="42">
        <v>215639</v>
      </c>
      <c r="O2" s="16"/>
      <c r="P2" s="42">
        <v>110495</v>
      </c>
      <c r="Q2" s="16"/>
      <c r="R2" s="1">
        <v>55047</v>
      </c>
      <c r="S2" s="16"/>
      <c r="T2" s="42">
        <v>3684</v>
      </c>
      <c r="U2" s="16"/>
      <c r="V2" t="s">
        <v>12</v>
      </c>
    </row>
    <row r="3" spans="1:24" ht="13.5" thickBot="1" x14ac:dyDescent="0.25">
      <c r="A3" s="10">
        <v>44378</v>
      </c>
      <c r="B3" s="42">
        <v>45491</v>
      </c>
      <c r="C3" s="16">
        <f>(B3-B2)*800/5</f>
        <v>960</v>
      </c>
      <c r="D3" s="42">
        <v>39641</v>
      </c>
      <c r="E3" s="16">
        <f>(D3-D2)*800/5</f>
        <v>480</v>
      </c>
      <c r="F3" s="42">
        <v>20521</v>
      </c>
      <c r="G3" s="16">
        <f>(F3-F2)*100/5</f>
        <v>80</v>
      </c>
      <c r="H3" s="42">
        <v>244620</v>
      </c>
      <c r="I3" s="16">
        <f>(H3-H2)</f>
        <v>48</v>
      </c>
      <c r="J3" s="42">
        <f>J2</f>
        <v>303517</v>
      </c>
      <c r="K3" s="16">
        <f>(J3-J2)*800/5</f>
        <v>0</v>
      </c>
      <c r="L3" s="42">
        <v>25101</v>
      </c>
      <c r="M3" s="16">
        <f>(L3-L2)*800/5</f>
        <v>640</v>
      </c>
      <c r="N3" s="42">
        <v>215642</v>
      </c>
      <c r="O3" s="16">
        <f>N3-N2</f>
        <v>3</v>
      </c>
      <c r="P3" s="42">
        <v>110589</v>
      </c>
      <c r="Q3" s="16">
        <f>P3-P2</f>
        <v>94</v>
      </c>
      <c r="R3" s="1">
        <f>R2</f>
        <v>55047</v>
      </c>
      <c r="S3" s="16">
        <f>R3-R2</f>
        <v>0</v>
      </c>
      <c r="T3" s="42">
        <v>3685</v>
      </c>
      <c r="U3" s="16">
        <f>(T3-T2)*800/5</f>
        <v>160</v>
      </c>
    </row>
    <row r="4" spans="1:24" ht="13.5" thickBot="1" x14ac:dyDescent="0.25">
      <c r="A4" s="10">
        <v>44379</v>
      </c>
      <c r="B4" s="42">
        <v>45497</v>
      </c>
      <c r="C4" s="16">
        <f t="shared" ref="C4:C33" si="0">(B4-B3)*800/5</f>
        <v>960</v>
      </c>
      <c r="D4" s="42">
        <v>39644</v>
      </c>
      <c r="E4" s="16">
        <f t="shared" ref="E4:E33" si="1">(D4-D3)*800/5</f>
        <v>480</v>
      </c>
      <c r="F4" s="42">
        <v>20525</v>
      </c>
      <c r="G4" s="16">
        <f t="shared" ref="G4:G33" si="2">(F4-F3)*100/5</f>
        <v>80</v>
      </c>
      <c r="H4" s="42">
        <v>244671</v>
      </c>
      <c r="I4" s="16">
        <f t="shared" ref="I4:I33" si="3">(H4-H3)</f>
        <v>51</v>
      </c>
      <c r="J4" s="42">
        <v>303517</v>
      </c>
      <c r="K4" s="16">
        <f t="shared" ref="K4:K33" si="4">(J4-J3)*800/5</f>
        <v>0</v>
      </c>
      <c r="L4" s="42">
        <v>25104</v>
      </c>
      <c r="M4" s="16">
        <f t="shared" ref="M4:M33" si="5">(L4-L3)*800/5</f>
        <v>480</v>
      </c>
      <c r="N4" s="42">
        <v>215646</v>
      </c>
      <c r="O4" s="16">
        <f t="shared" ref="O4:O33" si="6">N4-N3</f>
        <v>4</v>
      </c>
      <c r="P4" s="42">
        <v>110699</v>
      </c>
      <c r="Q4" s="16">
        <f t="shared" ref="Q4:Q33" si="7">P4-P3</f>
        <v>110</v>
      </c>
      <c r="R4" s="1">
        <v>55047</v>
      </c>
      <c r="S4" s="16">
        <f t="shared" ref="S4:S33" si="8">R4-R3</f>
        <v>0</v>
      </c>
      <c r="T4" s="42">
        <v>3686</v>
      </c>
      <c r="U4" s="16">
        <f t="shared" ref="U4:U33" si="9">(T4-T3)*800/5</f>
        <v>160</v>
      </c>
    </row>
    <row r="5" spans="1:24" ht="13.5" thickBot="1" x14ac:dyDescent="0.25">
      <c r="A5" s="10">
        <v>44380</v>
      </c>
      <c r="B5" s="42">
        <v>45502</v>
      </c>
      <c r="C5" s="16">
        <f t="shared" si="0"/>
        <v>800</v>
      </c>
      <c r="D5" s="42">
        <v>39649</v>
      </c>
      <c r="E5" s="16">
        <f t="shared" si="1"/>
        <v>800</v>
      </c>
      <c r="F5" s="42">
        <v>20528</v>
      </c>
      <c r="G5" s="16">
        <f t="shared" si="2"/>
        <v>60</v>
      </c>
      <c r="H5" s="42">
        <v>244726</v>
      </c>
      <c r="I5" s="16">
        <f t="shared" si="3"/>
        <v>55</v>
      </c>
      <c r="J5" s="42">
        <v>303517</v>
      </c>
      <c r="K5" s="16">
        <f t="shared" si="4"/>
        <v>0</v>
      </c>
      <c r="L5" s="42">
        <v>25107</v>
      </c>
      <c r="M5" s="16">
        <f t="shared" si="5"/>
        <v>480</v>
      </c>
      <c r="N5" s="42">
        <v>215649</v>
      </c>
      <c r="O5" s="16">
        <f t="shared" si="6"/>
        <v>3</v>
      </c>
      <c r="P5" s="42">
        <v>110819</v>
      </c>
      <c r="Q5" s="16">
        <f t="shared" si="7"/>
        <v>120</v>
      </c>
      <c r="R5" s="1">
        <v>55047</v>
      </c>
      <c r="S5" s="16">
        <f t="shared" si="8"/>
        <v>0</v>
      </c>
      <c r="T5" s="42">
        <v>3687</v>
      </c>
      <c r="U5" s="16">
        <f t="shared" si="9"/>
        <v>160</v>
      </c>
    </row>
    <row r="6" spans="1:24" ht="13.5" thickBot="1" x14ac:dyDescent="0.25">
      <c r="A6" s="10">
        <v>44381</v>
      </c>
      <c r="B6" s="42">
        <v>45507</v>
      </c>
      <c r="C6" s="16">
        <f t="shared" si="0"/>
        <v>800</v>
      </c>
      <c r="D6" s="42">
        <v>39652</v>
      </c>
      <c r="E6" s="16">
        <f t="shared" si="1"/>
        <v>480</v>
      </c>
      <c r="F6" s="42">
        <v>20531</v>
      </c>
      <c r="G6" s="16">
        <f t="shared" si="2"/>
        <v>60</v>
      </c>
      <c r="H6" s="42">
        <v>244806</v>
      </c>
      <c r="I6" s="16">
        <f t="shared" si="3"/>
        <v>80</v>
      </c>
      <c r="J6" s="42">
        <v>303517</v>
      </c>
      <c r="K6" s="16">
        <f t="shared" si="4"/>
        <v>0</v>
      </c>
      <c r="L6" s="42">
        <v>25111</v>
      </c>
      <c r="M6" s="16">
        <f t="shared" si="5"/>
        <v>640</v>
      </c>
      <c r="N6" s="42">
        <v>215652</v>
      </c>
      <c r="O6" s="16">
        <f t="shared" si="6"/>
        <v>3</v>
      </c>
      <c r="P6" s="42">
        <v>110950</v>
      </c>
      <c r="Q6" s="16">
        <f t="shared" si="7"/>
        <v>131</v>
      </c>
      <c r="R6" s="1">
        <v>55047</v>
      </c>
      <c r="S6" s="16">
        <f>R30-R5</f>
        <v>0</v>
      </c>
      <c r="T6" s="42">
        <v>3688</v>
      </c>
      <c r="U6" s="16">
        <f t="shared" si="9"/>
        <v>160</v>
      </c>
    </row>
    <row r="7" spans="1:24" ht="13.5" thickBot="1" x14ac:dyDescent="0.25">
      <c r="A7" s="10">
        <v>44382</v>
      </c>
      <c r="B7" s="42">
        <v>45513</v>
      </c>
      <c r="C7" s="16">
        <f t="shared" si="0"/>
        <v>960</v>
      </c>
      <c r="D7" s="42">
        <v>39651</v>
      </c>
      <c r="E7" s="16">
        <f t="shared" si="1"/>
        <v>-160</v>
      </c>
      <c r="F7" s="42">
        <v>20535</v>
      </c>
      <c r="G7" s="16">
        <f t="shared" si="2"/>
        <v>80</v>
      </c>
      <c r="H7" s="42">
        <v>244880</v>
      </c>
      <c r="I7" s="16">
        <f t="shared" si="3"/>
        <v>74</v>
      </c>
      <c r="J7" s="42">
        <v>303517</v>
      </c>
      <c r="K7" s="16">
        <f t="shared" si="4"/>
        <v>0</v>
      </c>
      <c r="L7" s="42">
        <v>25115</v>
      </c>
      <c r="M7" s="16">
        <f t="shared" si="5"/>
        <v>640</v>
      </c>
      <c r="N7" s="42">
        <v>215655</v>
      </c>
      <c r="O7" s="16">
        <f t="shared" si="6"/>
        <v>3</v>
      </c>
      <c r="P7" s="42">
        <f t="shared" ref="P7:P33" si="10">P6</f>
        <v>110950</v>
      </c>
      <c r="Q7" s="16">
        <f t="shared" si="7"/>
        <v>0</v>
      </c>
      <c r="R7" s="1">
        <v>55047</v>
      </c>
      <c r="S7" s="16">
        <f>R7-R30</f>
        <v>0</v>
      </c>
      <c r="T7" s="42">
        <v>3690</v>
      </c>
      <c r="U7" s="16">
        <f t="shared" si="9"/>
        <v>320</v>
      </c>
    </row>
    <row r="8" spans="1:24" ht="13.5" thickBot="1" x14ac:dyDescent="0.25">
      <c r="A8" s="10">
        <v>44383</v>
      </c>
      <c r="B8" s="42">
        <v>45519</v>
      </c>
      <c r="C8" s="16">
        <f t="shared" si="0"/>
        <v>960</v>
      </c>
      <c r="D8" s="42">
        <v>39655</v>
      </c>
      <c r="E8" s="16">
        <f t="shared" si="1"/>
        <v>640</v>
      </c>
      <c r="F8" s="42">
        <v>20538</v>
      </c>
      <c r="G8" s="16">
        <f t="shared" si="2"/>
        <v>60</v>
      </c>
      <c r="H8" s="42">
        <v>244948</v>
      </c>
      <c r="I8" s="16">
        <f t="shared" si="3"/>
        <v>68</v>
      </c>
      <c r="J8" s="42">
        <v>303517</v>
      </c>
      <c r="K8" s="16">
        <f t="shared" si="4"/>
        <v>0</v>
      </c>
      <c r="L8" s="42">
        <v>25119</v>
      </c>
      <c r="M8" s="16">
        <f t="shared" si="5"/>
        <v>640</v>
      </c>
      <c r="N8" s="42">
        <v>215658</v>
      </c>
      <c r="O8" s="16">
        <f t="shared" si="6"/>
        <v>3</v>
      </c>
      <c r="P8" s="42">
        <v>111345</v>
      </c>
      <c r="Q8" s="16">
        <f t="shared" si="7"/>
        <v>395</v>
      </c>
      <c r="R8" s="1">
        <v>55047</v>
      </c>
      <c r="S8" s="16">
        <f>R8-R7</f>
        <v>0</v>
      </c>
      <c r="T8" s="42">
        <v>3691</v>
      </c>
      <c r="U8" s="16">
        <f t="shared" si="9"/>
        <v>160</v>
      </c>
    </row>
    <row r="9" spans="1:24" ht="13.5" thickBot="1" x14ac:dyDescent="0.25">
      <c r="A9" s="10">
        <v>44384</v>
      </c>
      <c r="B9" s="42">
        <v>45525</v>
      </c>
      <c r="C9" s="16">
        <f t="shared" si="0"/>
        <v>960</v>
      </c>
      <c r="D9" s="42">
        <v>39658</v>
      </c>
      <c r="E9" s="16">
        <f t="shared" si="1"/>
        <v>480</v>
      </c>
      <c r="F9" s="42">
        <v>20542</v>
      </c>
      <c r="G9" s="16">
        <f t="shared" si="2"/>
        <v>80</v>
      </c>
      <c r="H9" s="42">
        <v>245014</v>
      </c>
      <c r="I9" s="16">
        <f t="shared" si="3"/>
        <v>66</v>
      </c>
      <c r="J9" s="42">
        <v>303517</v>
      </c>
      <c r="K9" s="16">
        <f t="shared" si="4"/>
        <v>0</v>
      </c>
      <c r="L9" s="42">
        <v>25124</v>
      </c>
      <c r="M9" s="16">
        <f t="shared" si="5"/>
        <v>800</v>
      </c>
      <c r="N9" s="42">
        <v>215662</v>
      </c>
      <c r="O9" s="16">
        <f t="shared" si="6"/>
        <v>4</v>
      </c>
      <c r="P9" s="42">
        <f t="shared" si="10"/>
        <v>111345</v>
      </c>
      <c r="Q9" s="16">
        <f>P9-P8</f>
        <v>0</v>
      </c>
      <c r="R9" s="1">
        <v>55047</v>
      </c>
      <c r="S9" s="16">
        <f>R9-R8</f>
        <v>0</v>
      </c>
      <c r="T9" s="42">
        <v>3693</v>
      </c>
      <c r="U9" s="16">
        <f t="shared" si="9"/>
        <v>320</v>
      </c>
    </row>
    <row r="10" spans="1:24" ht="13.5" thickBot="1" x14ac:dyDescent="0.25">
      <c r="A10" s="10">
        <v>44385</v>
      </c>
      <c r="B10" s="42">
        <v>45530</v>
      </c>
      <c r="C10" s="16">
        <f t="shared" si="0"/>
        <v>800</v>
      </c>
      <c r="D10" s="42">
        <v>39660</v>
      </c>
      <c r="E10" s="16">
        <f t="shared" si="1"/>
        <v>320</v>
      </c>
      <c r="F10" s="42">
        <v>20545</v>
      </c>
      <c r="G10" s="16">
        <f t="shared" si="2"/>
        <v>60</v>
      </c>
      <c r="H10" s="42">
        <v>245073</v>
      </c>
      <c r="I10" s="16">
        <f t="shared" si="3"/>
        <v>59</v>
      </c>
      <c r="J10" s="42">
        <v>303517</v>
      </c>
      <c r="K10" s="16">
        <f t="shared" si="4"/>
        <v>0</v>
      </c>
      <c r="L10" s="42">
        <v>25127</v>
      </c>
      <c r="M10" s="16">
        <f t="shared" si="5"/>
        <v>480</v>
      </c>
      <c r="N10" s="42">
        <v>215665</v>
      </c>
      <c r="O10" s="16">
        <f t="shared" si="6"/>
        <v>3</v>
      </c>
      <c r="P10" s="42">
        <f t="shared" si="10"/>
        <v>111345</v>
      </c>
      <c r="Q10" s="16">
        <f>P10-P9</f>
        <v>0</v>
      </c>
      <c r="R10" s="1">
        <v>55047</v>
      </c>
      <c r="S10" s="16">
        <f>R10-R9</f>
        <v>0</v>
      </c>
      <c r="T10" s="42">
        <v>3694</v>
      </c>
      <c r="U10" s="16">
        <f t="shared" si="9"/>
        <v>160</v>
      </c>
    </row>
    <row r="11" spans="1:24" ht="13.5" thickBot="1" x14ac:dyDescent="0.25">
      <c r="A11" s="10">
        <v>44386</v>
      </c>
      <c r="B11" s="42">
        <f t="shared" ref="B10:B33" si="11">B10</f>
        <v>45530</v>
      </c>
      <c r="C11" s="16">
        <f t="shared" si="0"/>
        <v>0</v>
      </c>
      <c r="D11" s="42">
        <f t="shared" ref="D10:D33" si="12">D10</f>
        <v>39660</v>
      </c>
      <c r="E11" s="16">
        <f t="shared" si="1"/>
        <v>0</v>
      </c>
      <c r="F11" s="42">
        <f t="shared" ref="F10:F33" si="13">F10</f>
        <v>20545</v>
      </c>
      <c r="G11" s="16">
        <f t="shared" si="2"/>
        <v>0</v>
      </c>
      <c r="H11" s="42">
        <f t="shared" ref="H10:H33" si="14">H10</f>
        <v>245073</v>
      </c>
      <c r="I11" s="16">
        <f t="shared" si="3"/>
        <v>0</v>
      </c>
      <c r="J11" s="42">
        <v>303517</v>
      </c>
      <c r="K11" s="16">
        <f t="shared" si="4"/>
        <v>0</v>
      </c>
      <c r="L11" s="42">
        <f t="shared" ref="L10:L33" si="15">L10</f>
        <v>25127</v>
      </c>
      <c r="M11" s="16">
        <f t="shared" si="5"/>
        <v>0</v>
      </c>
      <c r="N11" s="42">
        <f t="shared" ref="N10:N33" si="16">N10</f>
        <v>215665</v>
      </c>
      <c r="O11" s="16">
        <f t="shared" si="6"/>
        <v>0</v>
      </c>
      <c r="P11" s="42">
        <f t="shared" si="10"/>
        <v>111345</v>
      </c>
      <c r="Q11" s="16">
        <f t="shared" si="7"/>
        <v>0</v>
      </c>
      <c r="R11" s="1">
        <v>55047</v>
      </c>
      <c r="S11" s="16">
        <f t="shared" si="8"/>
        <v>0</v>
      </c>
      <c r="T11" s="42">
        <f t="shared" ref="T10:T33" si="17">T10</f>
        <v>3694</v>
      </c>
      <c r="U11" s="16">
        <f t="shared" si="9"/>
        <v>0</v>
      </c>
    </row>
    <row r="12" spans="1:24" ht="13.5" thickBot="1" x14ac:dyDescent="0.25">
      <c r="A12" s="10">
        <v>44387</v>
      </c>
      <c r="B12" s="42">
        <f t="shared" si="11"/>
        <v>45530</v>
      </c>
      <c r="C12" s="16">
        <f t="shared" si="0"/>
        <v>0</v>
      </c>
      <c r="D12" s="42">
        <f t="shared" si="12"/>
        <v>39660</v>
      </c>
      <c r="E12" s="16">
        <f t="shared" si="1"/>
        <v>0</v>
      </c>
      <c r="F12" s="42">
        <f t="shared" si="13"/>
        <v>20545</v>
      </c>
      <c r="G12" s="16">
        <f t="shared" si="2"/>
        <v>0</v>
      </c>
      <c r="H12" s="42">
        <f t="shared" si="14"/>
        <v>245073</v>
      </c>
      <c r="I12" s="16">
        <f t="shared" si="3"/>
        <v>0</v>
      </c>
      <c r="J12" s="42">
        <v>303517</v>
      </c>
      <c r="K12" s="16">
        <f t="shared" si="4"/>
        <v>0</v>
      </c>
      <c r="L12" s="42">
        <f t="shared" si="15"/>
        <v>25127</v>
      </c>
      <c r="M12" s="16">
        <f t="shared" si="5"/>
        <v>0</v>
      </c>
      <c r="N12" s="42">
        <f t="shared" si="16"/>
        <v>215665</v>
      </c>
      <c r="O12" s="16">
        <f t="shared" si="6"/>
        <v>0</v>
      </c>
      <c r="P12" s="42">
        <f t="shared" si="10"/>
        <v>111345</v>
      </c>
      <c r="Q12" s="16">
        <f t="shared" si="7"/>
        <v>0</v>
      </c>
      <c r="R12" s="1">
        <v>55047</v>
      </c>
      <c r="S12" s="16">
        <f t="shared" si="8"/>
        <v>0</v>
      </c>
      <c r="T12" s="42">
        <f t="shared" si="17"/>
        <v>3694</v>
      </c>
      <c r="U12" s="16">
        <f t="shared" si="9"/>
        <v>0</v>
      </c>
    </row>
    <row r="13" spans="1:24" ht="13.5" thickBot="1" x14ac:dyDescent="0.25">
      <c r="A13" s="10">
        <v>44388</v>
      </c>
      <c r="B13" s="42">
        <f t="shared" si="11"/>
        <v>45530</v>
      </c>
      <c r="C13" s="16">
        <f t="shared" si="0"/>
        <v>0</v>
      </c>
      <c r="D13" s="42">
        <f t="shared" si="12"/>
        <v>39660</v>
      </c>
      <c r="E13" s="16">
        <f t="shared" si="1"/>
        <v>0</v>
      </c>
      <c r="F13" s="42">
        <f t="shared" si="13"/>
        <v>20545</v>
      </c>
      <c r="G13" s="16">
        <f t="shared" si="2"/>
        <v>0</v>
      </c>
      <c r="H13" s="42">
        <f t="shared" si="14"/>
        <v>245073</v>
      </c>
      <c r="I13" s="16">
        <f t="shared" si="3"/>
        <v>0</v>
      </c>
      <c r="J13" s="42">
        <v>303517</v>
      </c>
      <c r="K13" s="16">
        <f t="shared" si="4"/>
        <v>0</v>
      </c>
      <c r="L13" s="42">
        <f t="shared" si="15"/>
        <v>25127</v>
      </c>
      <c r="M13" s="16">
        <f t="shared" si="5"/>
        <v>0</v>
      </c>
      <c r="N13" s="42">
        <f t="shared" si="16"/>
        <v>215665</v>
      </c>
      <c r="O13" s="16">
        <f t="shared" si="6"/>
        <v>0</v>
      </c>
      <c r="P13" s="42">
        <f t="shared" si="10"/>
        <v>111345</v>
      </c>
      <c r="Q13" s="16">
        <f t="shared" si="7"/>
        <v>0</v>
      </c>
      <c r="R13" s="1">
        <v>55047</v>
      </c>
      <c r="S13" s="16">
        <f t="shared" si="8"/>
        <v>0</v>
      </c>
      <c r="T13" s="42">
        <f t="shared" si="17"/>
        <v>3694</v>
      </c>
      <c r="U13" s="16">
        <f t="shared" si="9"/>
        <v>0</v>
      </c>
    </row>
    <row r="14" spans="1:24" ht="13.5" thickBot="1" x14ac:dyDescent="0.25">
      <c r="A14" s="10">
        <v>44389</v>
      </c>
      <c r="B14" s="42">
        <f t="shared" si="11"/>
        <v>45530</v>
      </c>
      <c r="C14" s="16">
        <f t="shared" si="0"/>
        <v>0</v>
      </c>
      <c r="D14" s="42">
        <f t="shared" si="12"/>
        <v>39660</v>
      </c>
      <c r="E14" s="16">
        <f t="shared" si="1"/>
        <v>0</v>
      </c>
      <c r="F14" s="42">
        <f t="shared" si="13"/>
        <v>20545</v>
      </c>
      <c r="G14" s="16">
        <f t="shared" si="2"/>
        <v>0</v>
      </c>
      <c r="H14" s="42">
        <f t="shared" si="14"/>
        <v>245073</v>
      </c>
      <c r="I14" s="16">
        <f t="shared" si="3"/>
        <v>0</v>
      </c>
      <c r="J14" s="42">
        <v>303517</v>
      </c>
      <c r="K14" s="16">
        <f t="shared" si="4"/>
        <v>0</v>
      </c>
      <c r="L14" s="42">
        <f t="shared" si="15"/>
        <v>25127</v>
      </c>
      <c r="M14" s="16">
        <f t="shared" si="5"/>
        <v>0</v>
      </c>
      <c r="N14" s="42">
        <f t="shared" si="16"/>
        <v>215665</v>
      </c>
      <c r="O14" s="16">
        <f t="shared" si="6"/>
        <v>0</v>
      </c>
      <c r="P14" s="42">
        <f t="shared" si="10"/>
        <v>111345</v>
      </c>
      <c r="Q14" s="16">
        <f t="shared" si="7"/>
        <v>0</v>
      </c>
      <c r="R14" s="1">
        <v>55047</v>
      </c>
      <c r="S14" s="16">
        <f t="shared" si="8"/>
        <v>0</v>
      </c>
      <c r="T14" s="42">
        <f t="shared" si="17"/>
        <v>3694</v>
      </c>
      <c r="U14" s="16">
        <f>(T14-T13)*800/5</f>
        <v>0</v>
      </c>
    </row>
    <row r="15" spans="1:24" ht="13.5" thickBot="1" x14ac:dyDescent="0.25">
      <c r="A15" s="10">
        <v>44390</v>
      </c>
      <c r="B15" s="42">
        <f t="shared" si="11"/>
        <v>45530</v>
      </c>
      <c r="C15" s="16">
        <f t="shared" si="0"/>
        <v>0</v>
      </c>
      <c r="D15" s="42">
        <f t="shared" si="12"/>
        <v>39660</v>
      </c>
      <c r="E15" s="16">
        <f t="shared" si="1"/>
        <v>0</v>
      </c>
      <c r="F15" s="42">
        <f t="shared" si="13"/>
        <v>20545</v>
      </c>
      <c r="G15" s="16">
        <f t="shared" si="2"/>
        <v>0</v>
      </c>
      <c r="H15" s="42">
        <f t="shared" si="14"/>
        <v>245073</v>
      </c>
      <c r="I15" s="16">
        <f t="shared" si="3"/>
        <v>0</v>
      </c>
      <c r="J15" s="42">
        <v>303517</v>
      </c>
      <c r="K15" s="16">
        <f t="shared" si="4"/>
        <v>0</v>
      </c>
      <c r="L15" s="42">
        <f t="shared" si="15"/>
        <v>25127</v>
      </c>
      <c r="M15" s="16">
        <f t="shared" si="5"/>
        <v>0</v>
      </c>
      <c r="N15" s="42">
        <f t="shared" si="16"/>
        <v>215665</v>
      </c>
      <c r="O15" s="16">
        <f t="shared" si="6"/>
        <v>0</v>
      </c>
      <c r="P15" s="42">
        <f t="shared" si="10"/>
        <v>111345</v>
      </c>
      <c r="Q15" s="16">
        <f t="shared" si="7"/>
        <v>0</v>
      </c>
      <c r="R15" s="1">
        <v>55047</v>
      </c>
      <c r="S15" s="16">
        <f t="shared" si="8"/>
        <v>0</v>
      </c>
      <c r="T15" s="42">
        <f t="shared" si="17"/>
        <v>3694</v>
      </c>
      <c r="U15" s="16">
        <f>(T15-T14)*800/5</f>
        <v>0</v>
      </c>
      <c r="X15" t="s">
        <v>12</v>
      </c>
    </row>
    <row r="16" spans="1:24" ht="13.5" thickBot="1" x14ac:dyDescent="0.25">
      <c r="A16" s="10">
        <v>44391</v>
      </c>
      <c r="B16" s="42">
        <f t="shared" si="11"/>
        <v>45530</v>
      </c>
      <c r="C16" s="16">
        <f t="shared" si="0"/>
        <v>0</v>
      </c>
      <c r="D16" s="42">
        <f t="shared" si="12"/>
        <v>39660</v>
      </c>
      <c r="E16" s="16">
        <f t="shared" si="1"/>
        <v>0</v>
      </c>
      <c r="F16" s="42">
        <f t="shared" si="13"/>
        <v>20545</v>
      </c>
      <c r="G16" s="16">
        <f t="shared" si="2"/>
        <v>0</v>
      </c>
      <c r="H16" s="42">
        <f t="shared" si="14"/>
        <v>245073</v>
      </c>
      <c r="I16" s="16">
        <f t="shared" si="3"/>
        <v>0</v>
      </c>
      <c r="J16" s="42">
        <v>303517</v>
      </c>
      <c r="K16" s="16">
        <f t="shared" si="4"/>
        <v>0</v>
      </c>
      <c r="L16" s="42">
        <f t="shared" si="15"/>
        <v>25127</v>
      </c>
      <c r="M16" s="16">
        <f t="shared" si="5"/>
        <v>0</v>
      </c>
      <c r="N16" s="42">
        <f t="shared" si="16"/>
        <v>215665</v>
      </c>
      <c r="O16" s="16">
        <f t="shared" si="6"/>
        <v>0</v>
      </c>
      <c r="P16" s="42">
        <f t="shared" si="10"/>
        <v>111345</v>
      </c>
      <c r="Q16" s="16">
        <f t="shared" si="7"/>
        <v>0</v>
      </c>
      <c r="R16" s="1">
        <v>55047</v>
      </c>
      <c r="S16" s="16">
        <f t="shared" si="8"/>
        <v>0</v>
      </c>
      <c r="T16" s="42">
        <f t="shared" si="17"/>
        <v>3694</v>
      </c>
      <c r="U16" s="16">
        <f t="shared" si="9"/>
        <v>0</v>
      </c>
      <c r="W16" t="s">
        <v>12</v>
      </c>
    </row>
    <row r="17" spans="1:23" ht="13.5" thickBot="1" x14ac:dyDescent="0.25">
      <c r="A17" s="10">
        <v>44392</v>
      </c>
      <c r="B17" s="42">
        <f t="shared" si="11"/>
        <v>45530</v>
      </c>
      <c r="C17" s="16">
        <f t="shared" si="0"/>
        <v>0</v>
      </c>
      <c r="D17" s="42">
        <f t="shared" si="12"/>
        <v>39660</v>
      </c>
      <c r="E17" s="16">
        <f t="shared" si="1"/>
        <v>0</v>
      </c>
      <c r="F17" s="42">
        <f t="shared" si="13"/>
        <v>20545</v>
      </c>
      <c r="G17" s="16">
        <f t="shared" si="2"/>
        <v>0</v>
      </c>
      <c r="H17" s="42">
        <f t="shared" si="14"/>
        <v>245073</v>
      </c>
      <c r="I17" s="16">
        <f t="shared" si="3"/>
        <v>0</v>
      </c>
      <c r="J17" s="42">
        <v>303517</v>
      </c>
      <c r="K17" s="16">
        <f t="shared" si="4"/>
        <v>0</v>
      </c>
      <c r="L17" s="42">
        <f t="shared" si="15"/>
        <v>25127</v>
      </c>
      <c r="M17" s="16">
        <f t="shared" si="5"/>
        <v>0</v>
      </c>
      <c r="N17" s="42">
        <f t="shared" si="16"/>
        <v>215665</v>
      </c>
      <c r="O17" s="16">
        <f t="shared" si="6"/>
        <v>0</v>
      </c>
      <c r="P17" s="42">
        <f t="shared" si="10"/>
        <v>111345</v>
      </c>
      <c r="Q17" s="16">
        <f t="shared" si="7"/>
        <v>0</v>
      </c>
      <c r="R17" s="1">
        <v>55047</v>
      </c>
      <c r="S17" s="16">
        <f>S16</f>
        <v>0</v>
      </c>
      <c r="T17" s="42">
        <f t="shared" si="17"/>
        <v>3694</v>
      </c>
      <c r="U17" s="16">
        <f t="shared" si="9"/>
        <v>0</v>
      </c>
    </row>
    <row r="18" spans="1:23" ht="13.5" thickBot="1" x14ac:dyDescent="0.25">
      <c r="A18" s="10">
        <v>44393</v>
      </c>
      <c r="B18" s="42">
        <f t="shared" si="11"/>
        <v>45530</v>
      </c>
      <c r="C18" s="16">
        <f t="shared" si="0"/>
        <v>0</v>
      </c>
      <c r="D18" s="42">
        <f t="shared" si="12"/>
        <v>39660</v>
      </c>
      <c r="E18" s="16">
        <f t="shared" si="1"/>
        <v>0</v>
      </c>
      <c r="F18" s="42">
        <f t="shared" si="13"/>
        <v>20545</v>
      </c>
      <c r="G18" s="16">
        <f t="shared" si="2"/>
        <v>0</v>
      </c>
      <c r="H18" s="42">
        <f t="shared" si="14"/>
        <v>245073</v>
      </c>
      <c r="I18" s="16">
        <f t="shared" si="3"/>
        <v>0</v>
      </c>
      <c r="J18" s="42">
        <v>303517</v>
      </c>
      <c r="K18" s="16">
        <f t="shared" si="4"/>
        <v>0</v>
      </c>
      <c r="L18" s="42">
        <f t="shared" si="15"/>
        <v>25127</v>
      </c>
      <c r="M18" s="16">
        <f t="shared" si="5"/>
        <v>0</v>
      </c>
      <c r="N18" s="42">
        <f t="shared" si="16"/>
        <v>215665</v>
      </c>
      <c r="O18" s="16">
        <f t="shared" si="6"/>
        <v>0</v>
      </c>
      <c r="P18" s="42">
        <f t="shared" si="10"/>
        <v>111345</v>
      </c>
      <c r="Q18" s="16">
        <f t="shared" si="7"/>
        <v>0</v>
      </c>
      <c r="R18" s="1">
        <v>55047</v>
      </c>
      <c r="S18" s="16">
        <f t="shared" si="8"/>
        <v>0</v>
      </c>
      <c r="T18" s="42">
        <f t="shared" si="17"/>
        <v>3694</v>
      </c>
      <c r="U18" s="16">
        <f t="shared" si="9"/>
        <v>0</v>
      </c>
    </row>
    <row r="19" spans="1:23" ht="13.5" thickBot="1" x14ac:dyDescent="0.25">
      <c r="A19" s="10">
        <v>44394</v>
      </c>
      <c r="B19" s="42">
        <f t="shared" si="11"/>
        <v>45530</v>
      </c>
      <c r="C19" s="16">
        <f t="shared" si="0"/>
        <v>0</v>
      </c>
      <c r="D19" s="42">
        <f t="shared" si="12"/>
        <v>39660</v>
      </c>
      <c r="E19" s="16">
        <f t="shared" si="1"/>
        <v>0</v>
      </c>
      <c r="F19" s="42">
        <f t="shared" si="13"/>
        <v>20545</v>
      </c>
      <c r="G19" s="16">
        <f t="shared" si="2"/>
        <v>0</v>
      </c>
      <c r="H19" s="42">
        <f t="shared" si="14"/>
        <v>245073</v>
      </c>
      <c r="I19" s="16">
        <f t="shared" si="3"/>
        <v>0</v>
      </c>
      <c r="J19" s="42">
        <v>303517</v>
      </c>
      <c r="K19" s="16">
        <f t="shared" si="4"/>
        <v>0</v>
      </c>
      <c r="L19" s="42">
        <f t="shared" si="15"/>
        <v>25127</v>
      </c>
      <c r="M19" s="16">
        <f t="shared" si="5"/>
        <v>0</v>
      </c>
      <c r="N19" s="42">
        <f t="shared" si="16"/>
        <v>215665</v>
      </c>
      <c r="O19" s="16">
        <f t="shared" si="6"/>
        <v>0</v>
      </c>
      <c r="P19" s="42">
        <f t="shared" si="10"/>
        <v>111345</v>
      </c>
      <c r="Q19" s="16">
        <f t="shared" si="7"/>
        <v>0</v>
      </c>
      <c r="R19" s="1">
        <v>55047</v>
      </c>
      <c r="S19" s="16">
        <f t="shared" si="8"/>
        <v>0</v>
      </c>
      <c r="T19" s="42">
        <f t="shared" si="17"/>
        <v>3694</v>
      </c>
      <c r="U19" s="16">
        <f t="shared" si="9"/>
        <v>0</v>
      </c>
      <c r="W19" t="s">
        <v>12</v>
      </c>
    </row>
    <row r="20" spans="1:23" ht="13.5" thickBot="1" x14ac:dyDescent="0.25">
      <c r="A20" s="10">
        <v>44395</v>
      </c>
      <c r="B20" s="42">
        <f t="shared" si="11"/>
        <v>45530</v>
      </c>
      <c r="C20" s="16">
        <f t="shared" si="0"/>
        <v>0</v>
      </c>
      <c r="D20" s="42">
        <f t="shared" si="12"/>
        <v>39660</v>
      </c>
      <c r="E20" s="16">
        <f t="shared" si="1"/>
        <v>0</v>
      </c>
      <c r="F20" s="42">
        <f t="shared" si="13"/>
        <v>20545</v>
      </c>
      <c r="G20" s="16">
        <f t="shared" si="2"/>
        <v>0</v>
      </c>
      <c r="H20" s="42">
        <f t="shared" si="14"/>
        <v>245073</v>
      </c>
      <c r="I20" s="16">
        <f t="shared" si="3"/>
        <v>0</v>
      </c>
      <c r="J20" s="42">
        <v>303517</v>
      </c>
      <c r="K20" s="16">
        <v>0</v>
      </c>
      <c r="L20" s="42">
        <f t="shared" si="15"/>
        <v>25127</v>
      </c>
      <c r="M20" s="16">
        <f t="shared" si="5"/>
        <v>0</v>
      </c>
      <c r="N20" s="42">
        <f t="shared" si="16"/>
        <v>215665</v>
      </c>
      <c r="O20" s="16">
        <f t="shared" si="6"/>
        <v>0</v>
      </c>
      <c r="P20" s="42">
        <f t="shared" si="10"/>
        <v>111345</v>
      </c>
      <c r="Q20" s="16">
        <f t="shared" si="7"/>
        <v>0</v>
      </c>
      <c r="R20" s="1">
        <v>55047</v>
      </c>
      <c r="S20" s="16">
        <f t="shared" si="8"/>
        <v>0</v>
      </c>
      <c r="T20" s="42">
        <f t="shared" si="17"/>
        <v>3694</v>
      </c>
      <c r="U20" s="16">
        <f t="shared" si="9"/>
        <v>0</v>
      </c>
    </row>
    <row r="21" spans="1:23" ht="13.5" thickBot="1" x14ac:dyDescent="0.25">
      <c r="A21" s="10">
        <v>44396</v>
      </c>
      <c r="B21" s="42">
        <f t="shared" si="11"/>
        <v>45530</v>
      </c>
      <c r="C21" s="16">
        <f t="shared" si="0"/>
        <v>0</v>
      </c>
      <c r="D21" s="42">
        <f t="shared" si="12"/>
        <v>39660</v>
      </c>
      <c r="E21" s="16">
        <f t="shared" si="1"/>
        <v>0</v>
      </c>
      <c r="F21" s="42">
        <f t="shared" si="13"/>
        <v>20545</v>
      </c>
      <c r="G21" s="16">
        <f t="shared" si="2"/>
        <v>0</v>
      </c>
      <c r="H21" s="42">
        <f t="shared" si="14"/>
        <v>245073</v>
      </c>
      <c r="I21" s="16">
        <f t="shared" si="3"/>
        <v>0</v>
      </c>
      <c r="J21" s="42">
        <v>303517</v>
      </c>
      <c r="K21" s="16">
        <f t="shared" si="4"/>
        <v>0</v>
      </c>
      <c r="L21" s="42">
        <f t="shared" si="15"/>
        <v>25127</v>
      </c>
      <c r="M21" s="16">
        <f t="shared" si="5"/>
        <v>0</v>
      </c>
      <c r="N21" s="42">
        <f t="shared" si="16"/>
        <v>215665</v>
      </c>
      <c r="O21" s="16">
        <f t="shared" si="6"/>
        <v>0</v>
      </c>
      <c r="P21" s="42">
        <f t="shared" si="10"/>
        <v>111345</v>
      </c>
      <c r="Q21" s="16">
        <f t="shared" si="7"/>
        <v>0</v>
      </c>
      <c r="R21" s="1">
        <v>55047</v>
      </c>
      <c r="S21" s="16">
        <f t="shared" si="8"/>
        <v>0</v>
      </c>
      <c r="T21" s="42">
        <f t="shared" si="17"/>
        <v>3694</v>
      </c>
      <c r="U21" s="16">
        <f t="shared" si="9"/>
        <v>0</v>
      </c>
    </row>
    <row r="22" spans="1:23" ht="13.5" thickBot="1" x14ac:dyDescent="0.25">
      <c r="A22" s="10">
        <v>44397</v>
      </c>
      <c r="B22" s="42">
        <f t="shared" si="11"/>
        <v>45530</v>
      </c>
      <c r="C22" s="16">
        <f t="shared" si="0"/>
        <v>0</v>
      </c>
      <c r="D22" s="42">
        <f t="shared" si="12"/>
        <v>39660</v>
      </c>
      <c r="E22" s="16">
        <f t="shared" si="1"/>
        <v>0</v>
      </c>
      <c r="F22" s="42">
        <f t="shared" si="13"/>
        <v>20545</v>
      </c>
      <c r="G22" s="16">
        <f t="shared" si="2"/>
        <v>0</v>
      </c>
      <c r="H22" s="42">
        <f t="shared" si="14"/>
        <v>245073</v>
      </c>
      <c r="I22" s="16">
        <f t="shared" si="3"/>
        <v>0</v>
      </c>
      <c r="J22" s="42">
        <v>303517</v>
      </c>
      <c r="K22" s="16">
        <f t="shared" si="4"/>
        <v>0</v>
      </c>
      <c r="L22" s="42">
        <f t="shared" si="15"/>
        <v>25127</v>
      </c>
      <c r="M22" s="16">
        <f t="shared" si="5"/>
        <v>0</v>
      </c>
      <c r="N22" s="42">
        <f t="shared" si="16"/>
        <v>215665</v>
      </c>
      <c r="O22" s="16">
        <f t="shared" si="6"/>
        <v>0</v>
      </c>
      <c r="P22" s="42">
        <f t="shared" si="10"/>
        <v>111345</v>
      </c>
      <c r="Q22" s="16">
        <f>P22-P21</f>
        <v>0</v>
      </c>
      <c r="R22" s="1">
        <v>55047</v>
      </c>
      <c r="S22" s="16">
        <f t="shared" si="8"/>
        <v>0</v>
      </c>
      <c r="T22" s="42">
        <f t="shared" si="17"/>
        <v>3694</v>
      </c>
      <c r="U22" s="16">
        <f t="shared" si="9"/>
        <v>0</v>
      </c>
    </row>
    <row r="23" spans="1:23" ht="13.5" thickBot="1" x14ac:dyDescent="0.25">
      <c r="A23" s="10">
        <v>44398</v>
      </c>
      <c r="B23" s="42">
        <f t="shared" si="11"/>
        <v>45530</v>
      </c>
      <c r="C23" s="16">
        <f t="shared" si="0"/>
        <v>0</v>
      </c>
      <c r="D23" s="42">
        <f t="shared" si="12"/>
        <v>39660</v>
      </c>
      <c r="E23" s="16">
        <f t="shared" si="1"/>
        <v>0</v>
      </c>
      <c r="F23" s="42">
        <f t="shared" si="13"/>
        <v>20545</v>
      </c>
      <c r="G23" s="16">
        <f t="shared" si="2"/>
        <v>0</v>
      </c>
      <c r="H23" s="42">
        <f t="shared" si="14"/>
        <v>245073</v>
      </c>
      <c r="I23" s="16">
        <f t="shared" si="3"/>
        <v>0</v>
      </c>
      <c r="J23" s="42">
        <v>303517</v>
      </c>
      <c r="K23" s="16">
        <f t="shared" si="4"/>
        <v>0</v>
      </c>
      <c r="L23" s="42">
        <f t="shared" si="15"/>
        <v>25127</v>
      </c>
      <c r="M23" s="16">
        <f t="shared" si="5"/>
        <v>0</v>
      </c>
      <c r="N23" s="42">
        <f t="shared" si="16"/>
        <v>215665</v>
      </c>
      <c r="O23" s="16">
        <f t="shared" si="6"/>
        <v>0</v>
      </c>
      <c r="P23" s="42">
        <f t="shared" si="10"/>
        <v>111345</v>
      </c>
      <c r="Q23" s="16">
        <f t="shared" si="7"/>
        <v>0</v>
      </c>
      <c r="R23" s="1">
        <v>55047</v>
      </c>
      <c r="S23" s="16">
        <f t="shared" si="8"/>
        <v>0</v>
      </c>
      <c r="T23" s="42">
        <f t="shared" si="17"/>
        <v>3694</v>
      </c>
      <c r="U23" s="16">
        <f t="shared" si="9"/>
        <v>0</v>
      </c>
    </row>
    <row r="24" spans="1:23" s="153" customFormat="1" ht="13.5" thickBot="1" x14ac:dyDescent="0.25">
      <c r="A24" s="10">
        <v>44399</v>
      </c>
      <c r="B24" s="42">
        <f t="shared" si="11"/>
        <v>45530</v>
      </c>
      <c r="C24" s="16">
        <f t="shared" si="0"/>
        <v>0</v>
      </c>
      <c r="D24" s="42">
        <f t="shared" si="12"/>
        <v>39660</v>
      </c>
      <c r="E24" s="16">
        <f t="shared" si="1"/>
        <v>0</v>
      </c>
      <c r="F24" s="42">
        <f t="shared" si="13"/>
        <v>20545</v>
      </c>
      <c r="G24" s="16">
        <f t="shared" si="2"/>
        <v>0</v>
      </c>
      <c r="H24" s="42">
        <f t="shared" si="14"/>
        <v>245073</v>
      </c>
      <c r="I24" s="16">
        <f t="shared" si="3"/>
        <v>0</v>
      </c>
      <c r="J24" s="42">
        <v>303517</v>
      </c>
      <c r="K24" s="16">
        <f t="shared" si="4"/>
        <v>0</v>
      </c>
      <c r="L24" s="42">
        <f t="shared" si="15"/>
        <v>25127</v>
      </c>
      <c r="M24" s="16">
        <f t="shared" si="5"/>
        <v>0</v>
      </c>
      <c r="N24" s="42">
        <f t="shared" si="16"/>
        <v>215665</v>
      </c>
      <c r="O24" s="16">
        <f t="shared" si="6"/>
        <v>0</v>
      </c>
      <c r="P24" s="42">
        <f t="shared" si="10"/>
        <v>111345</v>
      </c>
      <c r="Q24" s="16">
        <f t="shared" si="7"/>
        <v>0</v>
      </c>
      <c r="R24" s="1">
        <v>55047</v>
      </c>
      <c r="S24" s="16">
        <f t="shared" si="8"/>
        <v>0</v>
      </c>
      <c r="T24" s="42">
        <f t="shared" si="17"/>
        <v>3694</v>
      </c>
      <c r="U24" s="16">
        <f t="shared" si="9"/>
        <v>0</v>
      </c>
    </row>
    <row r="25" spans="1:23" ht="13.5" thickBot="1" x14ac:dyDescent="0.25">
      <c r="A25" s="10">
        <v>44400</v>
      </c>
      <c r="B25" s="42">
        <f t="shared" si="11"/>
        <v>45530</v>
      </c>
      <c r="C25" s="16">
        <f t="shared" si="0"/>
        <v>0</v>
      </c>
      <c r="D25" s="42">
        <f t="shared" si="12"/>
        <v>39660</v>
      </c>
      <c r="E25" s="16">
        <f t="shared" si="1"/>
        <v>0</v>
      </c>
      <c r="F25" s="42">
        <f t="shared" si="13"/>
        <v>20545</v>
      </c>
      <c r="G25" s="16">
        <f t="shared" si="2"/>
        <v>0</v>
      </c>
      <c r="H25" s="42">
        <f t="shared" si="14"/>
        <v>245073</v>
      </c>
      <c r="I25" s="16">
        <f t="shared" si="3"/>
        <v>0</v>
      </c>
      <c r="J25" s="42">
        <v>303517</v>
      </c>
      <c r="K25" s="16">
        <f t="shared" si="4"/>
        <v>0</v>
      </c>
      <c r="L25" s="42">
        <f t="shared" si="15"/>
        <v>25127</v>
      </c>
      <c r="M25" s="16">
        <f t="shared" si="5"/>
        <v>0</v>
      </c>
      <c r="N25" s="42">
        <f t="shared" si="16"/>
        <v>215665</v>
      </c>
      <c r="O25" s="16">
        <f t="shared" si="6"/>
        <v>0</v>
      </c>
      <c r="P25" s="42">
        <f t="shared" si="10"/>
        <v>111345</v>
      </c>
      <c r="Q25" s="16">
        <f t="shared" si="7"/>
        <v>0</v>
      </c>
      <c r="R25" s="1">
        <v>55047</v>
      </c>
      <c r="S25" s="16">
        <f t="shared" si="8"/>
        <v>0</v>
      </c>
      <c r="T25" s="42">
        <f t="shared" si="17"/>
        <v>3694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44401</v>
      </c>
      <c r="B26" s="42">
        <f t="shared" si="11"/>
        <v>45530</v>
      </c>
      <c r="C26" s="16">
        <f t="shared" si="0"/>
        <v>0</v>
      </c>
      <c r="D26" s="42">
        <f t="shared" si="12"/>
        <v>39660</v>
      </c>
      <c r="E26" s="16">
        <f t="shared" si="1"/>
        <v>0</v>
      </c>
      <c r="F26" s="42">
        <f t="shared" si="13"/>
        <v>20545</v>
      </c>
      <c r="G26" s="16">
        <f t="shared" si="2"/>
        <v>0</v>
      </c>
      <c r="H26" s="42">
        <f t="shared" si="14"/>
        <v>245073</v>
      </c>
      <c r="I26" s="16">
        <f t="shared" si="3"/>
        <v>0</v>
      </c>
      <c r="J26" s="42">
        <v>303517</v>
      </c>
      <c r="K26" s="16">
        <f t="shared" si="4"/>
        <v>0</v>
      </c>
      <c r="L26" s="42">
        <f t="shared" si="15"/>
        <v>25127</v>
      </c>
      <c r="M26" s="16">
        <f t="shared" si="5"/>
        <v>0</v>
      </c>
      <c r="N26" s="42">
        <f t="shared" si="16"/>
        <v>215665</v>
      </c>
      <c r="O26" s="16">
        <f t="shared" si="6"/>
        <v>0</v>
      </c>
      <c r="P26" s="42">
        <f t="shared" si="10"/>
        <v>111345</v>
      </c>
      <c r="Q26" s="16">
        <f t="shared" si="7"/>
        <v>0</v>
      </c>
      <c r="R26" s="1">
        <v>55047</v>
      </c>
      <c r="S26" s="16">
        <f t="shared" si="8"/>
        <v>0</v>
      </c>
      <c r="T26" s="42">
        <f t="shared" si="17"/>
        <v>3694</v>
      </c>
      <c r="U26" s="16">
        <f t="shared" si="9"/>
        <v>0</v>
      </c>
      <c r="W26" t="s">
        <v>12</v>
      </c>
    </row>
    <row r="27" spans="1:23" ht="13.5" thickBot="1" x14ac:dyDescent="0.25">
      <c r="A27" s="10">
        <v>44402</v>
      </c>
      <c r="B27" s="42">
        <f t="shared" si="11"/>
        <v>45530</v>
      </c>
      <c r="C27" s="16">
        <f t="shared" si="0"/>
        <v>0</v>
      </c>
      <c r="D27" s="42">
        <f t="shared" si="12"/>
        <v>39660</v>
      </c>
      <c r="E27" s="16">
        <f t="shared" si="1"/>
        <v>0</v>
      </c>
      <c r="F27" s="42">
        <f t="shared" si="13"/>
        <v>20545</v>
      </c>
      <c r="G27" s="16">
        <f t="shared" si="2"/>
        <v>0</v>
      </c>
      <c r="H27" s="42">
        <f t="shared" si="14"/>
        <v>245073</v>
      </c>
      <c r="I27" s="16">
        <f t="shared" si="3"/>
        <v>0</v>
      </c>
      <c r="J27" s="42">
        <v>303517</v>
      </c>
      <c r="K27" s="16">
        <f t="shared" si="4"/>
        <v>0</v>
      </c>
      <c r="L27" s="42">
        <f t="shared" si="15"/>
        <v>25127</v>
      </c>
      <c r="M27" s="16">
        <f t="shared" si="5"/>
        <v>0</v>
      </c>
      <c r="N27" s="42">
        <f t="shared" si="16"/>
        <v>215665</v>
      </c>
      <c r="O27" s="16">
        <f t="shared" si="6"/>
        <v>0</v>
      </c>
      <c r="P27" s="42">
        <f t="shared" si="10"/>
        <v>111345</v>
      </c>
      <c r="Q27" s="16">
        <f t="shared" si="7"/>
        <v>0</v>
      </c>
      <c r="R27" s="1">
        <v>55047</v>
      </c>
      <c r="S27" s="16">
        <f t="shared" si="8"/>
        <v>0</v>
      </c>
      <c r="T27" s="42">
        <f t="shared" si="17"/>
        <v>3694</v>
      </c>
      <c r="U27" s="16">
        <f t="shared" si="9"/>
        <v>0</v>
      </c>
    </row>
    <row r="28" spans="1:23" ht="13.5" thickBot="1" x14ac:dyDescent="0.25">
      <c r="A28" s="10">
        <v>44403</v>
      </c>
      <c r="B28" s="42">
        <f t="shared" si="11"/>
        <v>45530</v>
      </c>
      <c r="C28" s="16">
        <f t="shared" si="0"/>
        <v>0</v>
      </c>
      <c r="D28" s="42">
        <f t="shared" si="12"/>
        <v>39660</v>
      </c>
      <c r="E28" s="16">
        <f t="shared" si="1"/>
        <v>0</v>
      </c>
      <c r="F28" s="42">
        <f t="shared" si="13"/>
        <v>20545</v>
      </c>
      <c r="G28" s="16">
        <f t="shared" si="2"/>
        <v>0</v>
      </c>
      <c r="H28" s="42">
        <f t="shared" si="14"/>
        <v>245073</v>
      </c>
      <c r="I28" s="16">
        <f t="shared" si="3"/>
        <v>0</v>
      </c>
      <c r="J28" s="42">
        <v>303517</v>
      </c>
      <c r="K28" s="16">
        <f t="shared" si="4"/>
        <v>0</v>
      </c>
      <c r="L28" s="42">
        <f t="shared" si="15"/>
        <v>25127</v>
      </c>
      <c r="M28" s="16">
        <f t="shared" si="5"/>
        <v>0</v>
      </c>
      <c r="N28" s="42">
        <f t="shared" si="16"/>
        <v>215665</v>
      </c>
      <c r="O28" s="16">
        <f t="shared" si="6"/>
        <v>0</v>
      </c>
      <c r="P28" s="42">
        <f t="shared" si="10"/>
        <v>111345</v>
      </c>
      <c r="Q28" s="17">
        <f t="shared" si="7"/>
        <v>0</v>
      </c>
      <c r="R28" s="1">
        <v>55047</v>
      </c>
      <c r="S28" s="17">
        <f t="shared" si="8"/>
        <v>0</v>
      </c>
      <c r="T28" s="42">
        <f t="shared" si="17"/>
        <v>3694</v>
      </c>
      <c r="U28" s="16">
        <f t="shared" si="9"/>
        <v>0</v>
      </c>
    </row>
    <row r="29" spans="1:23" ht="13.5" thickBot="1" x14ac:dyDescent="0.25">
      <c r="A29" s="10">
        <v>44404</v>
      </c>
      <c r="B29" s="42">
        <f t="shared" si="11"/>
        <v>45530</v>
      </c>
      <c r="C29" s="16">
        <f t="shared" si="0"/>
        <v>0</v>
      </c>
      <c r="D29" s="42">
        <f t="shared" si="12"/>
        <v>39660</v>
      </c>
      <c r="E29" s="16">
        <f t="shared" si="1"/>
        <v>0</v>
      </c>
      <c r="F29" s="42">
        <f t="shared" si="13"/>
        <v>20545</v>
      </c>
      <c r="G29" s="16">
        <f t="shared" si="2"/>
        <v>0</v>
      </c>
      <c r="H29" s="42">
        <f t="shared" si="14"/>
        <v>245073</v>
      </c>
      <c r="I29" s="16">
        <f t="shared" si="3"/>
        <v>0</v>
      </c>
      <c r="J29" s="42">
        <v>303517</v>
      </c>
      <c r="K29" s="16">
        <f t="shared" si="4"/>
        <v>0</v>
      </c>
      <c r="L29" s="42">
        <f t="shared" si="15"/>
        <v>25127</v>
      </c>
      <c r="M29" s="16">
        <f t="shared" si="5"/>
        <v>0</v>
      </c>
      <c r="N29" s="42">
        <f t="shared" si="16"/>
        <v>215665</v>
      </c>
      <c r="O29" s="16">
        <f t="shared" si="6"/>
        <v>0</v>
      </c>
      <c r="P29" s="42">
        <f t="shared" si="10"/>
        <v>111345</v>
      </c>
      <c r="Q29" s="16">
        <f t="shared" si="7"/>
        <v>0</v>
      </c>
      <c r="R29" s="1">
        <v>55047</v>
      </c>
      <c r="S29" s="16">
        <f t="shared" si="8"/>
        <v>0</v>
      </c>
      <c r="T29" s="42">
        <f t="shared" si="17"/>
        <v>3694</v>
      </c>
      <c r="U29" s="16">
        <f t="shared" si="9"/>
        <v>0</v>
      </c>
    </row>
    <row r="30" spans="1:23" ht="13.5" thickBot="1" x14ac:dyDescent="0.25">
      <c r="A30" s="10">
        <v>44405</v>
      </c>
      <c r="B30" s="42">
        <f t="shared" si="11"/>
        <v>45530</v>
      </c>
      <c r="C30" s="16">
        <f t="shared" si="0"/>
        <v>0</v>
      </c>
      <c r="D30" s="42">
        <f t="shared" si="12"/>
        <v>39660</v>
      </c>
      <c r="E30" s="16">
        <f t="shared" si="1"/>
        <v>0</v>
      </c>
      <c r="F30" s="42">
        <f t="shared" si="13"/>
        <v>20545</v>
      </c>
      <c r="G30" s="16">
        <f t="shared" si="2"/>
        <v>0</v>
      </c>
      <c r="H30" s="42">
        <f t="shared" si="14"/>
        <v>245073</v>
      </c>
      <c r="I30" s="16">
        <f t="shared" si="3"/>
        <v>0</v>
      </c>
      <c r="J30" s="42">
        <v>303517</v>
      </c>
      <c r="K30" s="16">
        <f t="shared" si="4"/>
        <v>0</v>
      </c>
      <c r="L30" s="42">
        <f t="shared" si="15"/>
        <v>25127</v>
      </c>
      <c r="M30" s="16">
        <f t="shared" si="5"/>
        <v>0</v>
      </c>
      <c r="N30" s="42">
        <f t="shared" si="16"/>
        <v>215665</v>
      </c>
      <c r="O30" s="16">
        <f t="shared" si="6"/>
        <v>0</v>
      </c>
      <c r="P30" s="42">
        <f t="shared" si="10"/>
        <v>111345</v>
      </c>
      <c r="Q30" s="16">
        <f t="shared" si="7"/>
        <v>0</v>
      </c>
      <c r="R30" s="1">
        <v>55047</v>
      </c>
      <c r="S30" s="16">
        <f t="shared" si="8"/>
        <v>0</v>
      </c>
      <c r="T30" s="42">
        <f t="shared" si="17"/>
        <v>3694</v>
      </c>
      <c r="U30" s="16">
        <f t="shared" si="9"/>
        <v>0</v>
      </c>
    </row>
    <row r="31" spans="1:23" ht="13.5" thickBot="1" x14ac:dyDescent="0.25">
      <c r="A31" s="10">
        <v>44406</v>
      </c>
      <c r="B31" s="42">
        <f t="shared" si="11"/>
        <v>45530</v>
      </c>
      <c r="C31" s="16">
        <f t="shared" si="0"/>
        <v>0</v>
      </c>
      <c r="D31" s="42">
        <f t="shared" si="12"/>
        <v>39660</v>
      </c>
      <c r="E31" s="16">
        <f t="shared" si="1"/>
        <v>0</v>
      </c>
      <c r="F31" s="42">
        <f t="shared" si="13"/>
        <v>20545</v>
      </c>
      <c r="G31" s="16">
        <f t="shared" si="2"/>
        <v>0</v>
      </c>
      <c r="H31" s="42">
        <f t="shared" si="14"/>
        <v>245073</v>
      </c>
      <c r="I31" s="16">
        <f t="shared" si="3"/>
        <v>0</v>
      </c>
      <c r="J31" s="42">
        <v>303517</v>
      </c>
      <c r="K31" s="16">
        <f t="shared" si="4"/>
        <v>0</v>
      </c>
      <c r="L31" s="42">
        <f t="shared" si="15"/>
        <v>25127</v>
      </c>
      <c r="M31" s="16">
        <f t="shared" si="5"/>
        <v>0</v>
      </c>
      <c r="N31" s="42">
        <f t="shared" si="16"/>
        <v>215665</v>
      </c>
      <c r="O31" s="16">
        <f t="shared" si="6"/>
        <v>0</v>
      </c>
      <c r="P31" s="42">
        <f t="shared" si="10"/>
        <v>111345</v>
      </c>
      <c r="Q31" s="16">
        <f t="shared" si="7"/>
        <v>0</v>
      </c>
      <c r="R31" s="1">
        <v>55047</v>
      </c>
      <c r="S31" s="16">
        <f t="shared" si="8"/>
        <v>0</v>
      </c>
      <c r="T31" s="42">
        <f t="shared" si="17"/>
        <v>3694</v>
      </c>
      <c r="U31" s="16">
        <f t="shared" si="9"/>
        <v>0</v>
      </c>
    </row>
    <row r="32" spans="1:23" ht="15" customHeight="1" thickBot="1" x14ac:dyDescent="0.25">
      <c r="A32" s="10">
        <v>44407</v>
      </c>
      <c r="B32" s="42">
        <f t="shared" si="11"/>
        <v>45530</v>
      </c>
      <c r="C32" s="16">
        <f t="shared" si="0"/>
        <v>0</v>
      </c>
      <c r="D32" s="42">
        <f t="shared" si="12"/>
        <v>39660</v>
      </c>
      <c r="E32" s="16">
        <f t="shared" si="1"/>
        <v>0</v>
      </c>
      <c r="F32" s="42">
        <f t="shared" si="13"/>
        <v>20545</v>
      </c>
      <c r="G32" s="16">
        <f t="shared" si="2"/>
        <v>0</v>
      </c>
      <c r="H32" s="42">
        <f t="shared" si="14"/>
        <v>245073</v>
      </c>
      <c r="I32" s="16">
        <f t="shared" si="3"/>
        <v>0</v>
      </c>
      <c r="J32" s="42">
        <v>303517</v>
      </c>
      <c r="K32" s="16">
        <f t="shared" si="4"/>
        <v>0</v>
      </c>
      <c r="L32" s="42">
        <f t="shared" si="15"/>
        <v>25127</v>
      </c>
      <c r="M32" s="16">
        <f t="shared" si="5"/>
        <v>0</v>
      </c>
      <c r="N32" s="42">
        <f t="shared" si="16"/>
        <v>215665</v>
      </c>
      <c r="O32" s="16">
        <f t="shared" si="6"/>
        <v>0</v>
      </c>
      <c r="P32" s="42">
        <f t="shared" si="10"/>
        <v>111345</v>
      </c>
      <c r="Q32" s="16">
        <f t="shared" si="7"/>
        <v>0</v>
      </c>
      <c r="R32" s="1">
        <v>55047</v>
      </c>
      <c r="S32" s="16">
        <f t="shared" si="8"/>
        <v>0</v>
      </c>
      <c r="T32" s="42">
        <f t="shared" si="17"/>
        <v>3694</v>
      </c>
      <c r="U32" s="16">
        <f t="shared" si="9"/>
        <v>0</v>
      </c>
      <c r="V32" t="s">
        <v>12</v>
      </c>
    </row>
    <row r="33" spans="1:21" ht="13.5" thickBot="1" x14ac:dyDescent="0.25">
      <c r="A33" s="10">
        <v>44408</v>
      </c>
      <c r="B33" s="42">
        <f t="shared" si="11"/>
        <v>45530</v>
      </c>
      <c r="C33" s="16">
        <f t="shared" si="0"/>
        <v>0</v>
      </c>
      <c r="D33" s="42">
        <f t="shared" si="12"/>
        <v>39660</v>
      </c>
      <c r="E33" s="16">
        <f t="shared" si="1"/>
        <v>0</v>
      </c>
      <c r="F33" s="42">
        <f t="shared" si="13"/>
        <v>20545</v>
      </c>
      <c r="G33" s="16">
        <f t="shared" si="2"/>
        <v>0</v>
      </c>
      <c r="H33" s="42">
        <f t="shared" si="14"/>
        <v>245073</v>
      </c>
      <c r="I33" s="16">
        <f t="shared" si="3"/>
        <v>0</v>
      </c>
      <c r="J33" s="42">
        <v>303517</v>
      </c>
      <c r="K33" s="16">
        <f t="shared" si="4"/>
        <v>0</v>
      </c>
      <c r="L33" s="42">
        <f t="shared" si="15"/>
        <v>25127</v>
      </c>
      <c r="M33" s="16">
        <f t="shared" si="5"/>
        <v>0</v>
      </c>
      <c r="N33" s="42">
        <f t="shared" si="16"/>
        <v>215665</v>
      </c>
      <c r="O33" s="16">
        <f t="shared" si="6"/>
        <v>0</v>
      </c>
      <c r="P33" s="42">
        <f t="shared" si="10"/>
        <v>111345</v>
      </c>
      <c r="Q33" s="16">
        <f t="shared" si="7"/>
        <v>0</v>
      </c>
      <c r="R33" s="1">
        <v>55047</v>
      </c>
      <c r="S33" s="16">
        <f t="shared" si="8"/>
        <v>0</v>
      </c>
      <c r="T33" s="42">
        <f t="shared" si="17"/>
        <v>3694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7200</v>
      </c>
      <c r="D34" s="13"/>
      <c r="E34" s="11">
        <f>SUM(E3:E33)</f>
        <v>3520</v>
      </c>
      <c r="F34" s="13"/>
      <c r="G34" s="11">
        <f>SUM(G3:G33)</f>
        <v>560</v>
      </c>
      <c r="H34" s="13"/>
      <c r="I34" s="11">
        <f>SUM(I3:I33)</f>
        <v>501</v>
      </c>
      <c r="J34" s="13"/>
      <c r="K34" s="11">
        <f>SUM(K3:K33)</f>
        <v>0</v>
      </c>
      <c r="L34" s="13"/>
      <c r="M34" s="11">
        <f>SUM(M3:M33)</f>
        <v>4800</v>
      </c>
      <c r="N34" s="43"/>
      <c r="O34" s="11">
        <f>SUM(O3:O33)</f>
        <v>26</v>
      </c>
      <c r="P34" s="13"/>
      <c r="Q34" s="11">
        <f>SUM(Q3:Q33)</f>
        <v>850</v>
      </c>
      <c r="R34" s="1"/>
      <c r="S34" s="11">
        <f>SUM(S3:S33)</f>
        <v>0</v>
      </c>
      <c r="T34" s="1"/>
      <c r="U34" s="11">
        <f>SUM(U3:U33)</f>
        <v>1600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opLeftCell="L1" zoomScale="120" zoomScaleNormal="120" zoomScaleSheetLayoutView="110" workbookViewId="0">
      <selection activeCell="Z10" sqref="Z10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44377</v>
      </c>
      <c r="B2" s="49"/>
      <c r="C2" s="161">
        <v>18384</v>
      </c>
      <c r="D2" s="49"/>
      <c r="E2" s="137">
        <v>26610613</v>
      </c>
      <c r="F2" s="49"/>
      <c r="G2" s="141">
        <v>84264575</v>
      </c>
      <c r="H2" s="49"/>
      <c r="I2" s="28">
        <f>F2+H2</f>
        <v>0</v>
      </c>
      <c r="J2" s="137">
        <v>8265059</v>
      </c>
      <c r="K2" s="49"/>
      <c r="L2" s="139">
        <v>8234029</v>
      </c>
      <c r="M2" s="49"/>
      <c r="N2" s="137">
        <v>5362491</v>
      </c>
      <c r="O2" s="49"/>
      <c r="P2" s="139">
        <v>3873285</v>
      </c>
      <c r="Q2" s="49"/>
      <c r="R2" s="137">
        <v>17852083</v>
      </c>
      <c r="S2" s="49"/>
      <c r="T2" s="137"/>
      <c r="U2" s="29"/>
      <c r="V2" s="137">
        <v>5557238</v>
      </c>
      <c r="W2" s="49"/>
      <c r="X2" s="28"/>
      <c r="Y2" s="35"/>
      <c r="Z2" s="27"/>
      <c r="AA2" s="27"/>
    </row>
    <row r="3" spans="1:27" ht="16.5" thickBot="1" x14ac:dyDescent="0.25">
      <c r="A3" s="10">
        <v>44378</v>
      </c>
      <c r="B3" s="49">
        <v>165</v>
      </c>
      <c r="C3" s="161">
        <v>18388</v>
      </c>
      <c r="D3" s="49">
        <f t="shared" ref="D3" si="0">IF((C3-C2)&lt;0,"0",(C3-C2))*160</f>
        <v>640</v>
      </c>
      <c r="E3" s="137">
        <v>26632370</v>
      </c>
      <c r="F3" s="49">
        <f t="shared" ref="F3" si="1">IF((E3-E2)&lt;0,"0",(E3-E2))</f>
        <v>21757</v>
      </c>
      <c r="G3" s="141">
        <v>84337744</v>
      </c>
      <c r="H3" s="49">
        <f t="shared" ref="H3" si="2">IF((G3-G2)&lt;0,"0",(G3-G2))</f>
        <v>73169</v>
      </c>
      <c r="I3" s="28">
        <f>F3+H3</f>
        <v>94926</v>
      </c>
      <c r="J3" s="137">
        <v>8271749</v>
      </c>
      <c r="K3" s="49">
        <f t="shared" ref="K3" si="3">IF((J3-J2)&lt;0,"0",(J3-J2))</f>
        <v>6690</v>
      </c>
      <c r="L3" s="139">
        <v>8240103</v>
      </c>
      <c r="M3" s="49">
        <f t="shared" ref="M3" si="4">IF((L3-L2)&lt;0,"0",(L3-L2))</f>
        <v>6074</v>
      </c>
      <c r="N3" s="137">
        <v>5367723</v>
      </c>
      <c r="O3" s="49">
        <f>(IF((N3-N2)&lt;P94,"0",(N3-N2)))*2</f>
        <v>10464</v>
      </c>
      <c r="P3" s="139">
        <v>3894560</v>
      </c>
      <c r="Q3" s="49">
        <f t="shared" ref="Q3" si="5">IF((P3-P2)&lt;0,"0",(P3-P2))</f>
        <v>21275</v>
      </c>
      <c r="R3" s="137">
        <v>17865671</v>
      </c>
      <c r="S3" s="49">
        <f t="shared" ref="S3" si="6">IF((R3-R2)&lt;0,"0",(R3-R2))</f>
        <v>13588</v>
      </c>
      <c r="T3" s="137">
        <v>0</v>
      </c>
      <c r="U3" s="140"/>
      <c r="V3" s="137">
        <v>5571768</v>
      </c>
      <c r="W3" s="49">
        <f t="shared" ref="W3" si="7">IF((V3-V2)&lt;0,"0",(V3-V2))</f>
        <v>14530</v>
      </c>
      <c r="X3" s="28">
        <f t="shared" ref="X3" si="8">K3+M3+O3+Q3+S3+U3+W3</f>
        <v>72621</v>
      </c>
      <c r="Y3" s="35">
        <f t="shared" ref="Y3" si="9">I3-X3</f>
        <v>22305</v>
      </c>
      <c r="Z3" s="27">
        <f t="shared" ref="Z3" si="10">(0.93352*(W3+S3)+0.5568*(Q3+O3))*0.26</f>
        <v>11419.457545600002</v>
      </c>
      <c r="AA3" s="27">
        <f>SUM(Z1:Z3)</f>
        <v>11419.457545600002</v>
      </c>
    </row>
    <row r="4" spans="1:27" ht="16.5" thickBot="1" x14ac:dyDescent="0.25">
      <c r="A4" s="10">
        <v>44379</v>
      </c>
      <c r="B4" s="49">
        <v>176</v>
      </c>
      <c r="C4" s="161">
        <v>18393</v>
      </c>
      <c r="D4" s="49">
        <f t="shared" ref="D4:D33" si="11">IF((C4-C3)&lt;0,"0",(C4-C3))*160</f>
        <v>800</v>
      </c>
      <c r="E4" s="137">
        <v>26639566</v>
      </c>
      <c r="F4" s="49">
        <f t="shared" ref="F4:F33" si="12">IF((E4-E3)&lt;0,"0",(E4-E3))</f>
        <v>7196</v>
      </c>
      <c r="G4" s="141">
        <v>84390366</v>
      </c>
      <c r="H4" s="49">
        <f t="shared" ref="H4:H33" si="13">IF((G4-G3)&lt;0,"0",(G4-G3))</f>
        <v>52622</v>
      </c>
      <c r="I4" s="138">
        <f t="shared" ref="I4:I30" si="14">F4+H4</f>
        <v>59818</v>
      </c>
      <c r="J4" s="137">
        <v>8276146</v>
      </c>
      <c r="K4" s="49">
        <f t="shared" ref="K4:K33" si="15">IF((J4-J3)&lt;0,"0",(J4-J3))</f>
        <v>4397</v>
      </c>
      <c r="L4" s="139">
        <v>8243970</v>
      </c>
      <c r="M4" s="49">
        <f t="shared" ref="M4:M33" si="16">IF((L4-L3)&lt;0,"0",(L4-L3))</f>
        <v>3867</v>
      </c>
      <c r="N4" s="137">
        <v>5369320</v>
      </c>
      <c r="O4" s="49">
        <f>(IF((N4-N3)&lt;P96,"0",(N4-N3)))*2</f>
        <v>3194</v>
      </c>
      <c r="P4" s="139">
        <v>3913180</v>
      </c>
      <c r="Q4" s="49">
        <f t="shared" ref="Q4:Q33" si="17">IF((P4-P3)&lt;0,"0",(P4-P3))</f>
        <v>18620</v>
      </c>
      <c r="R4" s="137">
        <v>17874623</v>
      </c>
      <c r="S4" s="49">
        <f t="shared" ref="S4:S33" si="18">IF((R4-R3)&lt;0,"0",(R4-R3))</f>
        <v>8952</v>
      </c>
      <c r="T4" s="137">
        <v>0</v>
      </c>
      <c r="U4" s="140"/>
      <c r="V4" s="137">
        <v>5581395</v>
      </c>
      <c r="W4" s="49">
        <f t="shared" ref="W4:W33" si="19">IF((V4-V3)&lt;0,"0",(V4-V3))</f>
        <v>9627</v>
      </c>
      <c r="X4" s="28">
        <f t="shared" ref="X4:X33" si="20">K4+M4+O4+Q4+S4+U4+W4</f>
        <v>48657</v>
      </c>
      <c r="Y4" s="35">
        <f t="shared" ref="Y4:Y33" si="21">I4-X4</f>
        <v>11161</v>
      </c>
      <c r="Z4" s="27">
        <f t="shared" ref="Z4:Z33" si="22">(0.93352*(W4+S4)+0.5568*(Q4+O4))*0.26</f>
        <v>7667.3748527999996</v>
      </c>
      <c r="AA4" s="27">
        <f>SUM(Z2:Z4)</f>
        <v>19086.832398400002</v>
      </c>
    </row>
    <row r="5" spans="1:27" ht="16.5" thickBot="1" x14ac:dyDescent="0.25">
      <c r="A5" s="10">
        <v>44380</v>
      </c>
      <c r="B5" s="49">
        <v>167</v>
      </c>
      <c r="C5" s="161">
        <v>18397</v>
      </c>
      <c r="D5" s="49">
        <f t="shared" si="11"/>
        <v>640</v>
      </c>
      <c r="E5" s="137">
        <v>26647395</v>
      </c>
      <c r="F5" s="49">
        <f t="shared" si="12"/>
        <v>7829</v>
      </c>
      <c r="G5" s="141">
        <v>84448609</v>
      </c>
      <c r="H5" s="49">
        <f t="shared" si="13"/>
        <v>58243</v>
      </c>
      <c r="I5" s="138">
        <f t="shared" si="14"/>
        <v>66072</v>
      </c>
      <c r="J5" s="137">
        <v>8281309</v>
      </c>
      <c r="K5" s="49">
        <f t="shared" si="15"/>
        <v>5163</v>
      </c>
      <c r="L5" s="139">
        <v>8248166</v>
      </c>
      <c r="M5" s="49">
        <f t="shared" si="16"/>
        <v>4196</v>
      </c>
      <c r="N5" s="137">
        <v>5371081</v>
      </c>
      <c r="O5" s="49">
        <f t="shared" ref="O5:O33" si="23">(IF((N5-N4)&lt;0,"0",(N5-N4)))*2</f>
        <v>3522</v>
      </c>
      <c r="P5" s="139">
        <v>3933979</v>
      </c>
      <c r="Q5" s="49">
        <f t="shared" si="17"/>
        <v>20799</v>
      </c>
      <c r="R5" s="137">
        <v>17884633</v>
      </c>
      <c r="S5" s="49">
        <f t="shared" si="18"/>
        <v>10010</v>
      </c>
      <c r="T5" s="137">
        <v>0</v>
      </c>
      <c r="U5" s="140"/>
      <c r="V5" s="137">
        <v>5592147</v>
      </c>
      <c r="W5" s="49">
        <f t="shared" si="19"/>
        <v>10752</v>
      </c>
      <c r="X5" s="28">
        <f t="shared" si="20"/>
        <v>54442</v>
      </c>
      <c r="Y5" s="35">
        <f t="shared" si="21"/>
        <v>11630</v>
      </c>
      <c r="Z5" s="27">
        <f t="shared" si="22"/>
        <v>8560.1555103999999</v>
      </c>
      <c r="AA5" s="27">
        <f>SUM(Z3:Z5)</f>
        <v>27646.987908800002</v>
      </c>
    </row>
    <row r="6" spans="1:27" ht="16.5" thickBot="1" x14ac:dyDescent="0.25">
      <c r="A6" s="10">
        <v>44381</v>
      </c>
      <c r="B6" s="49">
        <v>187</v>
      </c>
      <c r="C6" s="161">
        <v>18404</v>
      </c>
      <c r="D6" s="49">
        <f t="shared" si="11"/>
        <v>1120</v>
      </c>
      <c r="E6" s="137">
        <v>26656660</v>
      </c>
      <c r="F6" s="49">
        <f t="shared" si="12"/>
        <v>9265</v>
      </c>
      <c r="G6" s="141">
        <v>84519481</v>
      </c>
      <c r="H6" s="49">
        <f t="shared" si="13"/>
        <v>70872</v>
      </c>
      <c r="I6" s="138">
        <f t="shared" si="14"/>
        <v>80137</v>
      </c>
      <c r="J6" s="137">
        <v>8287997</v>
      </c>
      <c r="K6" s="49">
        <f t="shared" si="15"/>
        <v>6688</v>
      </c>
      <c r="L6" s="139">
        <v>8253498</v>
      </c>
      <c r="M6" s="49">
        <f t="shared" si="16"/>
        <v>5332</v>
      </c>
      <c r="N6" s="137">
        <v>5372969</v>
      </c>
      <c r="O6" s="49">
        <f t="shared" si="23"/>
        <v>3776</v>
      </c>
      <c r="P6" s="139">
        <v>3958660</v>
      </c>
      <c r="Q6" s="49">
        <f t="shared" si="17"/>
        <v>24681</v>
      </c>
      <c r="R6" s="137">
        <v>17896382</v>
      </c>
      <c r="S6" s="49">
        <f t="shared" si="18"/>
        <v>11749</v>
      </c>
      <c r="T6" s="137">
        <v>0</v>
      </c>
      <c r="U6" s="140"/>
      <c r="V6" s="137">
        <v>5605162</v>
      </c>
      <c r="W6" s="49">
        <f t="shared" si="19"/>
        <v>13015</v>
      </c>
      <c r="X6" s="28">
        <f t="shared" si="20"/>
        <v>65241</v>
      </c>
      <c r="Y6" s="35">
        <f t="shared" si="21"/>
        <v>14896</v>
      </c>
      <c r="Z6" s="27">
        <f t="shared" si="22"/>
        <v>10130.262188799999</v>
      </c>
      <c r="AA6" s="27">
        <f>SUM(Z4:Z6)</f>
        <v>26357.792551999999</v>
      </c>
    </row>
    <row r="7" spans="1:27" ht="16.5" thickBot="1" x14ac:dyDescent="0.25">
      <c r="A7" s="10">
        <v>44382</v>
      </c>
      <c r="B7" s="49">
        <v>172</v>
      </c>
      <c r="C7" s="161">
        <v>18409</v>
      </c>
      <c r="D7" s="49">
        <f t="shared" si="11"/>
        <v>800</v>
      </c>
      <c r="E7" s="137">
        <v>26665942</v>
      </c>
      <c r="F7" s="49">
        <f t="shared" si="12"/>
        <v>9282</v>
      </c>
      <c r="G7" s="141">
        <v>84584672</v>
      </c>
      <c r="H7" s="49">
        <f t="shared" si="13"/>
        <v>65191</v>
      </c>
      <c r="I7" s="138">
        <f t="shared" si="14"/>
        <v>74473</v>
      </c>
      <c r="J7" s="137">
        <v>8293991</v>
      </c>
      <c r="K7" s="49">
        <f t="shared" si="15"/>
        <v>5994</v>
      </c>
      <c r="L7" s="139">
        <v>8258904</v>
      </c>
      <c r="M7" s="49">
        <f t="shared" si="16"/>
        <v>5406</v>
      </c>
      <c r="N7" s="137">
        <v>5374837</v>
      </c>
      <c r="O7" s="49">
        <f t="shared" si="23"/>
        <v>3736</v>
      </c>
      <c r="P7" s="139">
        <v>3981808</v>
      </c>
      <c r="Q7" s="49">
        <f t="shared" si="17"/>
        <v>23148</v>
      </c>
      <c r="R7" s="137">
        <v>17906665</v>
      </c>
      <c r="S7" s="49">
        <f t="shared" si="18"/>
        <v>10283</v>
      </c>
      <c r="T7" s="137">
        <v>0</v>
      </c>
      <c r="U7" s="140"/>
      <c r="V7" s="137">
        <v>5617381</v>
      </c>
      <c r="W7" s="49">
        <f t="shared" si="19"/>
        <v>12219</v>
      </c>
      <c r="X7" s="28">
        <f t="shared" si="20"/>
        <v>60786</v>
      </c>
      <c r="Y7" s="35">
        <f t="shared" si="21"/>
        <v>13687</v>
      </c>
      <c r="Z7" s="27">
        <f t="shared" si="22"/>
        <v>9353.520342400001</v>
      </c>
      <c r="AA7" s="27">
        <f t="shared" ref="AA7:AA33" si="24">SUM(Z4:Z7)</f>
        <v>35711.312894399998</v>
      </c>
    </row>
    <row r="8" spans="1:27" ht="16.5" thickBot="1" x14ac:dyDescent="0.25">
      <c r="A8" s="10">
        <v>44383</v>
      </c>
      <c r="B8" s="49">
        <v>176</v>
      </c>
      <c r="C8" s="161">
        <v>18413</v>
      </c>
      <c r="D8" s="49">
        <f t="shared" si="11"/>
        <v>640</v>
      </c>
      <c r="E8" s="137">
        <v>26675343</v>
      </c>
      <c r="F8" s="49">
        <f t="shared" si="12"/>
        <v>9401</v>
      </c>
      <c r="G8" s="141">
        <v>84647451</v>
      </c>
      <c r="H8" s="49">
        <f t="shared" si="13"/>
        <v>62779</v>
      </c>
      <c r="I8" s="138">
        <f t="shared" si="14"/>
        <v>72180</v>
      </c>
      <c r="J8" s="137">
        <v>8299921</v>
      </c>
      <c r="K8" s="49">
        <f t="shared" si="15"/>
        <v>5930</v>
      </c>
      <c r="L8" s="139">
        <v>8263881</v>
      </c>
      <c r="M8" s="49">
        <f t="shared" si="16"/>
        <v>4977</v>
      </c>
      <c r="N8" s="137">
        <v>5376976</v>
      </c>
      <c r="O8" s="49">
        <f t="shared" si="23"/>
        <v>4278</v>
      </c>
      <c r="P8" s="139">
        <v>4003382</v>
      </c>
      <c r="Q8" s="49">
        <f t="shared" si="17"/>
        <v>21574</v>
      </c>
      <c r="R8" s="137">
        <v>17917120</v>
      </c>
      <c r="S8" s="49">
        <f t="shared" si="18"/>
        <v>10455</v>
      </c>
      <c r="T8" s="137">
        <v>0</v>
      </c>
      <c r="U8" s="140"/>
      <c r="V8" s="137">
        <v>5629115</v>
      </c>
      <c r="W8" s="49">
        <f t="shared" si="19"/>
        <v>11734</v>
      </c>
      <c r="X8" s="28">
        <f t="shared" si="20"/>
        <v>58948</v>
      </c>
      <c r="Y8" s="35">
        <f t="shared" si="21"/>
        <v>13232</v>
      </c>
      <c r="Z8" s="27">
        <f t="shared" si="22"/>
        <v>9128.1499088000019</v>
      </c>
      <c r="AA8" s="27">
        <f t="shared" si="24"/>
        <v>37172.087950400004</v>
      </c>
    </row>
    <row r="9" spans="1:27" ht="16.5" thickBot="1" x14ac:dyDescent="0.25">
      <c r="A9" s="10">
        <v>44384</v>
      </c>
      <c r="B9" s="49">
        <v>182</v>
      </c>
      <c r="C9" s="161">
        <v>18417</v>
      </c>
      <c r="D9" s="49">
        <f t="shared" si="11"/>
        <v>640</v>
      </c>
      <c r="E9" s="137">
        <v>26686253</v>
      </c>
      <c r="F9" s="49">
        <f t="shared" si="12"/>
        <v>10910</v>
      </c>
      <c r="G9" s="141">
        <v>84686786</v>
      </c>
      <c r="H9" s="49">
        <f t="shared" si="13"/>
        <v>39335</v>
      </c>
      <c r="I9" s="138">
        <f t="shared" si="14"/>
        <v>50245</v>
      </c>
      <c r="J9" s="137">
        <v>8304325</v>
      </c>
      <c r="K9" s="49">
        <f t="shared" si="15"/>
        <v>4404</v>
      </c>
      <c r="L9" s="139">
        <v>8267620</v>
      </c>
      <c r="M9" s="49">
        <f t="shared" si="16"/>
        <v>3739</v>
      </c>
      <c r="N9" s="137">
        <v>5380640</v>
      </c>
      <c r="O9" s="49">
        <f t="shared" si="23"/>
        <v>7328</v>
      </c>
      <c r="P9" s="139">
        <v>4013216</v>
      </c>
      <c r="Q9" s="49">
        <f t="shared" si="17"/>
        <v>9834</v>
      </c>
      <c r="R9" s="137">
        <v>17924536</v>
      </c>
      <c r="S9" s="49">
        <f t="shared" si="18"/>
        <v>7416</v>
      </c>
      <c r="T9" s="137">
        <v>0</v>
      </c>
      <c r="U9" s="140"/>
      <c r="V9" s="137">
        <v>5637493</v>
      </c>
      <c r="W9" s="49">
        <f t="shared" si="19"/>
        <v>8378</v>
      </c>
      <c r="X9" s="28">
        <f t="shared" si="20"/>
        <v>41099</v>
      </c>
      <c r="Y9" s="35">
        <f t="shared" si="21"/>
        <v>9146</v>
      </c>
      <c r="Z9" s="27">
        <f t="shared" si="22"/>
        <v>6317.9522848000006</v>
      </c>
      <c r="AA9" s="27">
        <f t="shared" si="24"/>
        <v>34929.884724800002</v>
      </c>
    </row>
    <row r="10" spans="1:27" ht="16.5" thickBot="1" x14ac:dyDescent="0.25">
      <c r="A10" s="10">
        <v>44385</v>
      </c>
      <c r="B10" s="49">
        <v>180</v>
      </c>
      <c r="C10" s="161">
        <v>18422</v>
      </c>
      <c r="D10" s="49">
        <f t="shared" si="11"/>
        <v>800</v>
      </c>
      <c r="E10" s="137">
        <v>26705269</v>
      </c>
      <c r="F10" s="49">
        <f t="shared" si="12"/>
        <v>19016</v>
      </c>
      <c r="G10" s="141">
        <v>84755871</v>
      </c>
      <c r="H10" s="49">
        <f t="shared" si="13"/>
        <v>69085</v>
      </c>
      <c r="I10" s="138">
        <f t="shared" si="14"/>
        <v>88101</v>
      </c>
      <c r="J10" s="137">
        <v>8312092</v>
      </c>
      <c r="K10" s="49">
        <f t="shared" si="15"/>
        <v>7767</v>
      </c>
      <c r="L10" s="139">
        <v>8273279</v>
      </c>
      <c r="M10" s="49">
        <f t="shared" si="16"/>
        <v>5659</v>
      </c>
      <c r="N10" s="137">
        <v>5387052</v>
      </c>
      <c r="O10" s="49">
        <f t="shared" si="23"/>
        <v>12824</v>
      </c>
      <c r="P10" s="139">
        <v>4030458</v>
      </c>
      <c r="Q10" s="49">
        <f t="shared" si="17"/>
        <v>17242</v>
      </c>
      <c r="R10" s="137">
        <v>17937798</v>
      </c>
      <c r="S10" s="49">
        <f t="shared" si="18"/>
        <v>13262</v>
      </c>
      <c r="T10" s="137">
        <v>0</v>
      </c>
      <c r="U10" s="140"/>
      <c r="V10" s="137">
        <v>5652028</v>
      </c>
      <c r="W10" s="49">
        <f t="shared" si="19"/>
        <v>14535</v>
      </c>
      <c r="X10" s="28">
        <f t="shared" si="20"/>
        <v>71289</v>
      </c>
      <c r="Y10" s="35">
        <f t="shared" si="21"/>
        <v>16812</v>
      </c>
      <c r="Z10" s="27">
        <f t="shared" si="22"/>
        <v>11099.3491024</v>
      </c>
      <c r="AA10" s="27">
        <f t="shared" si="24"/>
        <v>35898.971638400006</v>
      </c>
    </row>
    <row r="11" spans="1:27" ht="15.75" customHeight="1" thickBot="1" x14ac:dyDescent="0.25">
      <c r="A11" s="10">
        <v>44386</v>
      </c>
      <c r="B11" s="49"/>
      <c r="C11" s="161">
        <f t="shared" ref="C10:C33" si="25">C10</f>
        <v>18422</v>
      </c>
      <c r="D11" s="49">
        <f t="shared" si="11"/>
        <v>0</v>
      </c>
      <c r="E11" s="137">
        <f t="shared" ref="E10:E33" si="26">E10</f>
        <v>26705269</v>
      </c>
      <c r="F11" s="49">
        <f t="shared" si="12"/>
        <v>0</v>
      </c>
      <c r="G11" s="141">
        <f t="shared" ref="G10:G33" si="27">G10</f>
        <v>84755871</v>
      </c>
      <c r="H11" s="49">
        <f t="shared" si="13"/>
        <v>0</v>
      </c>
      <c r="I11" s="138">
        <f t="shared" si="14"/>
        <v>0</v>
      </c>
      <c r="J11" s="137">
        <f t="shared" ref="J10:J33" si="28">J10</f>
        <v>8312092</v>
      </c>
      <c r="K11" s="49">
        <f t="shared" si="15"/>
        <v>0</v>
      </c>
      <c r="L11" s="139">
        <f t="shared" ref="L10:L33" si="29">L10</f>
        <v>8273279</v>
      </c>
      <c r="M11" s="49">
        <f t="shared" si="16"/>
        <v>0</v>
      </c>
      <c r="N11" s="137">
        <f t="shared" ref="N10:N33" si="30">N10</f>
        <v>5387052</v>
      </c>
      <c r="O11" s="49">
        <f t="shared" si="23"/>
        <v>0</v>
      </c>
      <c r="P11" s="139">
        <f t="shared" ref="P10:P33" si="31">P10</f>
        <v>4030458</v>
      </c>
      <c r="Q11" s="49">
        <f t="shared" si="17"/>
        <v>0</v>
      </c>
      <c r="R11" s="137">
        <f t="shared" ref="R10:R33" si="32">R10</f>
        <v>17937798</v>
      </c>
      <c r="S11" s="49">
        <f t="shared" si="18"/>
        <v>0</v>
      </c>
      <c r="T11" s="137">
        <v>0</v>
      </c>
      <c r="U11" s="140"/>
      <c r="V11" s="137">
        <f t="shared" ref="V10:V33" si="33">V10</f>
        <v>5652028</v>
      </c>
      <c r="W11" s="49">
        <f t="shared" si="19"/>
        <v>0</v>
      </c>
      <c r="X11" s="28">
        <f t="shared" si="20"/>
        <v>0</v>
      </c>
      <c r="Y11" s="35">
        <f t="shared" si="21"/>
        <v>0</v>
      </c>
      <c r="Z11" s="27">
        <f t="shared" si="22"/>
        <v>0</v>
      </c>
      <c r="AA11" s="27">
        <f t="shared" si="24"/>
        <v>26545.451296000003</v>
      </c>
    </row>
    <row r="12" spans="1:27" ht="16.5" thickBot="1" x14ac:dyDescent="0.25">
      <c r="A12" s="10">
        <v>44387</v>
      </c>
      <c r="B12" s="49"/>
      <c r="C12" s="161">
        <f t="shared" si="25"/>
        <v>18422</v>
      </c>
      <c r="D12" s="49">
        <f t="shared" si="11"/>
        <v>0</v>
      </c>
      <c r="E12" s="137">
        <f t="shared" si="26"/>
        <v>26705269</v>
      </c>
      <c r="F12" s="49">
        <f t="shared" si="12"/>
        <v>0</v>
      </c>
      <c r="G12" s="141">
        <f t="shared" si="27"/>
        <v>84755871</v>
      </c>
      <c r="H12" s="49">
        <f t="shared" si="13"/>
        <v>0</v>
      </c>
      <c r="I12" s="138">
        <f t="shared" si="14"/>
        <v>0</v>
      </c>
      <c r="J12" s="137">
        <f t="shared" si="28"/>
        <v>8312092</v>
      </c>
      <c r="K12" s="49">
        <f t="shared" si="15"/>
        <v>0</v>
      </c>
      <c r="L12" s="139">
        <f t="shared" si="29"/>
        <v>8273279</v>
      </c>
      <c r="M12" s="49">
        <f t="shared" si="16"/>
        <v>0</v>
      </c>
      <c r="N12" s="137">
        <f t="shared" si="30"/>
        <v>5387052</v>
      </c>
      <c r="O12" s="49">
        <f t="shared" si="23"/>
        <v>0</v>
      </c>
      <c r="P12" s="139">
        <f t="shared" si="31"/>
        <v>4030458</v>
      </c>
      <c r="Q12" s="49">
        <f t="shared" si="17"/>
        <v>0</v>
      </c>
      <c r="R12" s="137">
        <f t="shared" si="32"/>
        <v>17937798</v>
      </c>
      <c r="S12" s="49">
        <f t="shared" si="18"/>
        <v>0</v>
      </c>
      <c r="T12" s="137">
        <v>0</v>
      </c>
      <c r="U12" s="140"/>
      <c r="V12" s="137">
        <f t="shared" si="33"/>
        <v>5652028</v>
      </c>
      <c r="W12" s="49">
        <f t="shared" si="19"/>
        <v>0</v>
      </c>
      <c r="X12" s="28">
        <f t="shared" si="20"/>
        <v>0</v>
      </c>
      <c r="Y12" s="35">
        <f t="shared" si="21"/>
        <v>0</v>
      </c>
      <c r="Z12" s="27">
        <f t="shared" si="22"/>
        <v>0</v>
      </c>
      <c r="AA12" s="27">
        <f t="shared" si="24"/>
        <v>17417.301387200001</v>
      </c>
    </row>
    <row r="13" spans="1:27" ht="16.5" thickBot="1" x14ac:dyDescent="0.25">
      <c r="A13" s="10">
        <v>44388</v>
      </c>
      <c r="B13" s="49"/>
      <c r="C13" s="161">
        <f t="shared" si="25"/>
        <v>18422</v>
      </c>
      <c r="D13" s="49">
        <f t="shared" si="11"/>
        <v>0</v>
      </c>
      <c r="E13" s="137">
        <f t="shared" si="26"/>
        <v>26705269</v>
      </c>
      <c r="F13" s="49">
        <f t="shared" si="12"/>
        <v>0</v>
      </c>
      <c r="G13" s="141">
        <f t="shared" si="27"/>
        <v>84755871</v>
      </c>
      <c r="H13" s="49">
        <f t="shared" si="13"/>
        <v>0</v>
      </c>
      <c r="I13" s="138">
        <f t="shared" si="14"/>
        <v>0</v>
      </c>
      <c r="J13" s="137">
        <f t="shared" si="28"/>
        <v>8312092</v>
      </c>
      <c r="K13" s="49">
        <f t="shared" si="15"/>
        <v>0</v>
      </c>
      <c r="L13" s="139">
        <f t="shared" si="29"/>
        <v>8273279</v>
      </c>
      <c r="M13" s="49">
        <f t="shared" si="16"/>
        <v>0</v>
      </c>
      <c r="N13" s="137">
        <f t="shared" si="30"/>
        <v>5387052</v>
      </c>
      <c r="O13" s="49">
        <f t="shared" si="23"/>
        <v>0</v>
      </c>
      <c r="P13" s="139">
        <f t="shared" si="31"/>
        <v>4030458</v>
      </c>
      <c r="Q13" s="49">
        <f t="shared" si="17"/>
        <v>0</v>
      </c>
      <c r="R13" s="137">
        <f t="shared" si="32"/>
        <v>17937798</v>
      </c>
      <c r="S13" s="49">
        <f>IF((R13-R12)&lt;0,"0",(R13-R12))</f>
        <v>0</v>
      </c>
      <c r="T13" s="137">
        <v>0</v>
      </c>
      <c r="U13" s="140"/>
      <c r="V13" s="137">
        <f t="shared" si="33"/>
        <v>5652028</v>
      </c>
      <c r="W13" s="49">
        <f t="shared" si="19"/>
        <v>0</v>
      </c>
      <c r="X13" s="28">
        <f t="shared" si="20"/>
        <v>0</v>
      </c>
      <c r="Y13" s="35">
        <f t="shared" si="21"/>
        <v>0</v>
      </c>
      <c r="Z13" s="27">
        <f t="shared" si="22"/>
        <v>0</v>
      </c>
      <c r="AA13" s="27">
        <f t="shared" si="24"/>
        <v>11099.3491024</v>
      </c>
    </row>
    <row r="14" spans="1:27" ht="16.5" thickBot="1" x14ac:dyDescent="0.25">
      <c r="A14" s="10">
        <v>44389</v>
      </c>
      <c r="B14" s="49"/>
      <c r="C14" s="161">
        <f t="shared" si="25"/>
        <v>18422</v>
      </c>
      <c r="D14" s="49">
        <f t="shared" si="11"/>
        <v>0</v>
      </c>
      <c r="E14" s="137">
        <f t="shared" si="26"/>
        <v>26705269</v>
      </c>
      <c r="F14" s="49">
        <f>IF((E14-E13)&lt;0,"0",(E14-E13))</f>
        <v>0</v>
      </c>
      <c r="G14" s="141">
        <f t="shared" si="27"/>
        <v>84755871</v>
      </c>
      <c r="H14" s="49">
        <f t="shared" si="13"/>
        <v>0</v>
      </c>
      <c r="I14" s="138">
        <f t="shared" si="14"/>
        <v>0</v>
      </c>
      <c r="J14" s="137">
        <f t="shared" si="28"/>
        <v>8312092</v>
      </c>
      <c r="K14" s="49">
        <f t="shared" si="15"/>
        <v>0</v>
      </c>
      <c r="L14" s="139">
        <f t="shared" si="29"/>
        <v>8273279</v>
      </c>
      <c r="M14" s="49">
        <f t="shared" si="16"/>
        <v>0</v>
      </c>
      <c r="N14" s="137">
        <f t="shared" si="30"/>
        <v>5387052</v>
      </c>
      <c r="O14" s="49">
        <f t="shared" si="23"/>
        <v>0</v>
      </c>
      <c r="P14" s="139">
        <f t="shared" si="31"/>
        <v>4030458</v>
      </c>
      <c r="Q14" s="49">
        <f t="shared" si="17"/>
        <v>0</v>
      </c>
      <c r="R14" s="137">
        <f t="shared" si="32"/>
        <v>17937798</v>
      </c>
      <c r="S14" s="49">
        <f>IF((R14-R13)&lt;0,"0",(R14-R13))</f>
        <v>0</v>
      </c>
      <c r="T14" s="137">
        <v>0</v>
      </c>
      <c r="U14" s="140"/>
      <c r="V14" s="137">
        <f t="shared" si="33"/>
        <v>5652028</v>
      </c>
      <c r="W14" s="49">
        <f t="shared" si="19"/>
        <v>0</v>
      </c>
      <c r="X14" s="28">
        <f t="shared" si="20"/>
        <v>0</v>
      </c>
      <c r="Y14" s="35">
        <f t="shared" si="21"/>
        <v>0</v>
      </c>
      <c r="Z14" s="27">
        <f t="shared" si="22"/>
        <v>0</v>
      </c>
      <c r="AA14" s="27">
        <f t="shared" si="24"/>
        <v>0</v>
      </c>
    </row>
    <row r="15" spans="1:27" ht="16.5" thickBot="1" x14ac:dyDescent="0.25">
      <c r="A15" s="10">
        <v>44390</v>
      </c>
      <c r="B15" s="49"/>
      <c r="C15" s="161">
        <f t="shared" si="25"/>
        <v>18422</v>
      </c>
      <c r="D15" s="49">
        <f t="shared" si="11"/>
        <v>0</v>
      </c>
      <c r="E15" s="137">
        <f t="shared" si="26"/>
        <v>26705269</v>
      </c>
      <c r="F15" s="49">
        <f>IF((E15-E14)&lt;0,"0",(E15-E14))</f>
        <v>0</v>
      </c>
      <c r="G15" s="141">
        <f t="shared" si="27"/>
        <v>84755871</v>
      </c>
      <c r="H15" s="49">
        <f t="shared" si="13"/>
        <v>0</v>
      </c>
      <c r="I15" s="138">
        <f t="shared" si="14"/>
        <v>0</v>
      </c>
      <c r="J15" s="137">
        <f t="shared" si="28"/>
        <v>8312092</v>
      </c>
      <c r="K15" s="49">
        <f t="shared" si="15"/>
        <v>0</v>
      </c>
      <c r="L15" s="139">
        <f t="shared" si="29"/>
        <v>8273279</v>
      </c>
      <c r="M15" s="49">
        <f t="shared" si="16"/>
        <v>0</v>
      </c>
      <c r="N15" s="137">
        <f t="shared" si="30"/>
        <v>5387052</v>
      </c>
      <c r="O15" s="49">
        <f t="shared" si="23"/>
        <v>0</v>
      </c>
      <c r="P15" s="139">
        <f t="shared" si="31"/>
        <v>4030458</v>
      </c>
      <c r="Q15" s="49">
        <f t="shared" si="17"/>
        <v>0</v>
      </c>
      <c r="R15" s="137">
        <f t="shared" si="32"/>
        <v>17937798</v>
      </c>
      <c r="S15" s="49">
        <f>IF((R15-R14)&lt;0,"0",(R15-R14))</f>
        <v>0</v>
      </c>
      <c r="T15" s="137">
        <v>0</v>
      </c>
      <c r="U15" s="140"/>
      <c r="V15" s="137">
        <f t="shared" si="33"/>
        <v>5652028</v>
      </c>
      <c r="W15" s="49">
        <f t="shared" si="19"/>
        <v>0</v>
      </c>
      <c r="X15" s="28">
        <f t="shared" si="20"/>
        <v>0</v>
      </c>
      <c r="Y15" s="35">
        <f t="shared" si="21"/>
        <v>0</v>
      </c>
      <c r="Z15" s="27">
        <f t="shared" si="22"/>
        <v>0</v>
      </c>
      <c r="AA15" s="27">
        <f t="shared" si="24"/>
        <v>0</v>
      </c>
    </row>
    <row r="16" spans="1:27" ht="16.5" thickBot="1" x14ac:dyDescent="0.25">
      <c r="A16" s="10">
        <v>44391</v>
      </c>
      <c r="B16" s="49"/>
      <c r="C16" s="161">
        <f t="shared" si="25"/>
        <v>18422</v>
      </c>
      <c r="D16" s="49">
        <f t="shared" si="11"/>
        <v>0</v>
      </c>
      <c r="E16" s="137">
        <f t="shared" si="26"/>
        <v>26705269</v>
      </c>
      <c r="F16" s="49">
        <f>IF((E16-E15)&lt;0,"0",(E16-E15))</f>
        <v>0</v>
      </c>
      <c r="G16" s="141">
        <f t="shared" si="27"/>
        <v>84755871</v>
      </c>
      <c r="H16" s="49">
        <f t="shared" si="13"/>
        <v>0</v>
      </c>
      <c r="I16" s="138">
        <f t="shared" si="14"/>
        <v>0</v>
      </c>
      <c r="J16" s="137">
        <f t="shared" si="28"/>
        <v>8312092</v>
      </c>
      <c r="K16" s="49">
        <f t="shared" si="15"/>
        <v>0</v>
      </c>
      <c r="L16" s="139">
        <f t="shared" si="29"/>
        <v>8273279</v>
      </c>
      <c r="M16" s="49">
        <f t="shared" si="16"/>
        <v>0</v>
      </c>
      <c r="N16" s="137">
        <f t="shared" si="30"/>
        <v>5387052</v>
      </c>
      <c r="O16" s="49">
        <f t="shared" si="23"/>
        <v>0</v>
      </c>
      <c r="P16" s="139">
        <f t="shared" si="31"/>
        <v>4030458</v>
      </c>
      <c r="Q16" s="49">
        <f t="shared" si="17"/>
        <v>0</v>
      </c>
      <c r="R16" s="137">
        <f t="shared" si="32"/>
        <v>17937798</v>
      </c>
      <c r="S16" s="49">
        <f t="shared" si="18"/>
        <v>0</v>
      </c>
      <c r="T16" s="137">
        <v>0</v>
      </c>
      <c r="U16" s="140"/>
      <c r="V16" s="137">
        <f t="shared" si="33"/>
        <v>5652028</v>
      </c>
      <c r="W16" s="49">
        <f t="shared" si="19"/>
        <v>0</v>
      </c>
      <c r="X16" s="28">
        <f t="shared" si="20"/>
        <v>0</v>
      </c>
      <c r="Y16" s="35">
        <f t="shared" si="21"/>
        <v>0</v>
      </c>
      <c r="Z16" s="27">
        <f t="shared" si="22"/>
        <v>0</v>
      </c>
      <c r="AA16" s="27">
        <f t="shared" si="24"/>
        <v>0</v>
      </c>
    </row>
    <row r="17" spans="1:27" s="151" customFormat="1" ht="16.5" thickBot="1" x14ac:dyDescent="0.25">
      <c r="A17" s="10">
        <v>44392</v>
      </c>
      <c r="B17" s="146"/>
      <c r="C17" s="161">
        <f t="shared" si="25"/>
        <v>18422</v>
      </c>
      <c r="D17" s="49">
        <f t="shared" si="11"/>
        <v>0</v>
      </c>
      <c r="E17" s="137">
        <f t="shared" si="26"/>
        <v>26705269</v>
      </c>
      <c r="F17" s="146">
        <f t="shared" si="12"/>
        <v>0</v>
      </c>
      <c r="G17" s="141">
        <f t="shared" si="27"/>
        <v>84755871</v>
      </c>
      <c r="H17" s="49">
        <f t="shared" si="13"/>
        <v>0</v>
      </c>
      <c r="I17" s="148">
        <f t="shared" si="14"/>
        <v>0</v>
      </c>
      <c r="J17" s="137">
        <f t="shared" si="28"/>
        <v>8312092</v>
      </c>
      <c r="K17" s="146">
        <f t="shared" si="15"/>
        <v>0</v>
      </c>
      <c r="L17" s="139">
        <f t="shared" si="29"/>
        <v>8273279</v>
      </c>
      <c r="M17" s="146">
        <f t="shared" si="16"/>
        <v>0</v>
      </c>
      <c r="N17" s="137">
        <f t="shared" si="30"/>
        <v>5387052</v>
      </c>
      <c r="O17" s="146">
        <f t="shared" si="23"/>
        <v>0</v>
      </c>
      <c r="P17" s="139">
        <f t="shared" si="31"/>
        <v>4030458</v>
      </c>
      <c r="Q17" s="146">
        <f t="shared" si="17"/>
        <v>0</v>
      </c>
      <c r="R17" s="137">
        <f t="shared" si="32"/>
        <v>17937798</v>
      </c>
      <c r="S17" s="146">
        <f t="shared" si="18"/>
        <v>0</v>
      </c>
      <c r="T17" s="147">
        <v>0</v>
      </c>
      <c r="U17" s="140"/>
      <c r="V17" s="137">
        <f t="shared" si="33"/>
        <v>5652028</v>
      </c>
      <c r="W17" s="146">
        <f t="shared" si="19"/>
        <v>0</v>
      </c>
      <c r="X17" s="28">
        <f t="shared" si="20"/>
        <v>0</v>
      </c>
      <c r="Y17" s="149">
        <f t="shared" si="21"/>
        <v>0</v>
      </c>
      <c r="Z17" s="150">
        <f t="shared" si="22"/>
        <v>0</v>
      </c>
      <c r="AA17" s="150">
        <f t="shared" si="24"/>
        <v>0</v>
      </c>
    </row>
    <row r="18" spans="1:27" s="151" customFormat="1" ht="16.5" thickBot="1" x14ac:dyDescent="0.25">
      <c r="A18" s="10">
        <v>44393</v>
      </c>
      <c r="B18" s="146"/>
      <c r="C18" s="161">
        <f t="shared" si="25"/>
        <v>18422</v>
      </c>
      <c r="D18" s="49">
        <f t="shared" si="11"/>
        <v>0</v>
      </c>
      <c r="E18" s="137">
        <f t="shared" si="26"/>
        <v>26705269</v>
      </c>
      <c r="F18" s="146">
        <f t="shared" si="12"/>
        <v>0</v>
      </c>
      <c r="G18" s="141">
        <f t="shared" si="27"/>
        <v>84755871</v>
      </c>
      <c r="H18" s="49">
        <f t="shared" si="13"/>
        <v>0</v>
      </c>
      <c r="I18" s="148">
        <f t="shared" si="14"/>
        <v>0</v>
      </c>
      <c r="J18" s="137">
        <f t="shared" si="28"/>
        <v>8312092</v>
      </c>
      <c r="K18" s="146">
        <f t="shared" si="15"/>
        <v>0</v>
      </c>
      <c r="L18" s="139">
        <f t="shared" si="29"/>
        <v>8273279</v>
      </c>
      <c r="M18" s="146">
        <f t="shared" si="16"/>
        <v>0</v>
      </c>
      <c r="N18" s="137">
        <f t="shared" si="30"/>
        <v>5387052</v>
      </c>
      <c r="O18" s="146">
        <f t="shared" si="23"/>
        <v>0</v>
      </c>
      <c r="P18" s="139">
        <f t="shared" si="31"/>
        <v>4030458</v>
      </c>
      <c r="Q18" s="146">
        <f t="shared" si="17"/>
        <v>0</v>
      </c>
      <c r="R18" s="137">
        <f t="shared" si="32"/>
        <v>17937798</v>
      </c>
      <c r="S18" s="146">
        <f t="shared" si="18"/>
        <v>0</v>
      </c>
      <c r="T18" s="147">
        <v>0</v>
      </c>
      <c r="U18" s="140"/>
      <c r="V18" s="137">
        <f t="shared" si="33"/>
        <v>5652028</v>
      </c>
      <c r="W18" s="146">
        <f t="shared" si="19"/>
        <v>0</v>
      </c>
      <c r="X18" s="28">
        <f t="shared" si="20"/>
        <v>0</v>
      </c>
      <c r="Y18" s="149">
        <f t="shared" si="21"/>
        <v>0</v>
      </c>
      <c r="Z18" s="150">
        <f t="shared" si="22"/>
        <v>0</v>
      </c>
      <c r="AA18" s="150">
        <f t="shared" si="24"/>
        <v>0</v>
      </c>
    </row>
    <row r="19" spans="1:27" s="151" customFormat="1" ht="16.5" thickBot="1" x14ac:dyDescent="0.25">
      <c r="A19" s="10">
        <v>44394</v>
      </c>
      <c r="B19" s="146"/>
      <c r="C19" s="161">
        <f t="shared" si="25"/>
        <v>18422</v>
      </c>
      <c r="D19" s="49">
        <f>IF((C19-C18)&lt;0,"0",(C19-C18))*160</f>
        <v>0</v>
      </c>
      <c r="E19" s="137">
        <f t="shared" si="26"/>
        <v>26705269</v>
      </c>
      <c r="F19" s="146">
        <f t="shared" si="12"/>
        <v>0</v>
      </c>
      <c r="G19" s="141">
        <f t="shared" si="27"/>
        <v>84755871</v>
      </c>
      <c r="H19" s="49">
        <f t="shared" si="13"/>
        <v>0</v>
      </c>
      <c r="I19" s="148">
        <f t="shared" si="14"/>
        <v>0</v>
      </c>
      <c r="J19" s="137">
        <f t="shared" si="28"/>
        <v>8312092</v>
      </c>
      <c r="K19" s="146">
        <f t="shared" si="15"/>
        <v>0</v>
      </c>
      <c r="L19" s="139">
        <f t="shared" si="29"/>
        <v>8273279</v>
      </c>
      <c r="M19" s="146">
        <f t="shared" si="16"/>
        <v>0</v>
      </c>
      <c r="N19" s="137">
        <f t="shared" si="30"/>
        <v>5387052</v>
      </c>
      <c r="O19" s="146">
        <f t="shared" si="23"/>
        <v>0</v>
      </c>
      <c r="P19" s="139">
        <f t="shared" si="31"/>
        <v>4030458</v>
      </c>
      <c r="Q19" s="146">
        <f t="shared" si="17"/>
        <v>0</v>
      </c>
      <c r="R19" s="137">
        <f t="shared" si="32"/>
        <v>17937798</v>
      </c>
      <c r="S19" s="146">
        <f t="shared" si="18"/>
        <v>0</v>
      </c>
      <c r="T19" s="147">
        <v>0</v>
      </c>
      <c r="U19" s="140"/>
      <c r="V19" s="137">
        <f t="shared" si="33"/>
        <v>5652028</v>
      </c>
      <c r="W19" s="146">
        <f t="shared" si="19"/>
        <v>0</v>
      </c>
      <c r="X19" s="28">
        <f t="shared" si="20"/>
        <v>0</v>
      </c>
      <c r="Y19" s="149">
        <f t="shared" si="21"/>
        <v>0</v>
      </c>
      <c r="Z19" s="150">
        <f t="shared" si="22"/>
        <v>0</v>
      </c>
      <c r="AA19" s="150">
        <f t="shared" si="24"/>
        <v>0</v>
      </c>
    </row>
    <row r="20" spans="1:27" s="151" customFormat="1" ht="16.5" thickBot="1" x14ac:dyDescent="0.25">
      <c r="A20" s="10">
        <v>44395</v>
      </c>
      <c r="B20" s="146"/>
      <c r="C20" s="161">
        <f t="shared" si="25"/>
        <v>18422</v>
      </c>
      <c r="D20" s="49">
        <f>IF((C20-C19)&lt;0,"0",(C20-C19))*160</f>
        <v>0</v>
      </c>
      <c r="E20" s="137">
        <f t="shared" si="26"/>
        <v>26705269</v>
      </c>
      <c r="F20" s="146">
        <f t="shared" si="12"/>
        <v>0</v>
      </c>
      <c r="G20" s="141">
        <f t="shared" si="27"/>
        <v>84755871</v>
      </c>
      <c r="H20" s="49">
        <f t="shared" si="13"/>
        <v>0</v>
      </c>
      <c r="I20" s="148">
        <f t="shared" si="14"/>
        <v>0</v>
      </c>
      <c r="J20" s="137">
        <f t="shared" si="28"/>
        <v>8312092</v>
      </c>
      <c r="K20" s="146">
        <f t="shared" si="15"/>
        <v>0</v>
      </c>
      <c r="L20" s="139">
        <f t="shared" si="29"/>
        <v>8273279</v>
      </c>
      <c r="M20" s="146">
        <f t="shared" si="16"/>
        <v>0</v>
      </c>
      <c r="N20" s="137">
        <f t="shared" si="30"/>
        <v>5387052</v>
      </c>
      <c r="O20" s="146">
        <f t="shared" si="23"/>
        <v>0</v>
      </c>
      <c r="P20" s="139">
        <f t="shared" si="31"/>
        <v>4030458</v>
      </c>
      <c r="Q20" s="146">
        <f t="shared" si="17"/>
        <v>0</v>
      </c>
      <c r="R20" s="137">
        <f t="shared" si="32"/>
        <v>17937798</v>
      </c>
      <c r="S20" s="146">
        <f t="shared" si="18"/>
        <v>0</v>
      </c>
      <c r="T20" s="147">
        <v>0</v>
      </c>
      <c r="U20" s="140"/>
      <c r="V20" s="137">
        <f t="shared" si="33"/>
        <v>5652028</v>
      </c>
      <c r="W20" s="146">
        <f t="shared" si="19"/>
        <v>0</v>
      </c>
      <c r="X20" s="28">
        <f t="shared" si="20"/>
        <v>0</v>
      </c>
      <c r="Y20" s="149">
        <f t="shared" si="21"/>
        <v>0</v>
      </c>
      <c r="Z20" s="150">
        <f t="shared" si="22"/>
        <v>0</v>
      </c>
      <c r="AA20" s="150">
        <f t="shared" si="24"/>
        <v>0</v>
      </c>
    </row>
    <row r="21" spans="1:27" s="151" customFormat="1" ht="16.5" thickBot="1" x14ac:dyDescent="0.25">
      <c r="A21" s="10">
        <v>44396</v>
      </c>
      <c r="B21" s="146"/>
      <c r="C21" s="161">
        <f t="shared" si="25"/>
        <v>18422</v>
      </c>
      <c r="D21" s="49">
        <f>IF((C21-C20)&lt;0,"0",(C21-C20))*160</f>
        <v>0</v>
      </c>
      <c r="E21" s="137">
        <f t="shared" si="26"/>
        <v>26705269</v>
      </c>
      <c r="F21" s="146">
        <f t="shared" si="12"/>
        <v>0</v>
      </c>
      <c r="G21" s="141">
        <f t="shared" si="27"/>
        <v>84755871</v>
      </c>
      <c r="H21" s="49">
        <f t="shared" si="13"/>
        <v>0</v>
      </c>
      <c r="I21" s="148">
        <f t="shared" si="14"/>
        <v>0</v>
      </c>
      <c r="J21" s="137">
        <f t="shared" si="28"/>
        <v>8312092</v>
      </c>
      <c r="K21" s="146">
        <f t="shared" si="15"/>
        <v>0</v>
      </c>
      <c r="L21" s="139">
        <f t="shared" si="29"/>
        <v>8273279</v>
      </c>
      <c r="M21" s="146">
        <f t="shared" si="16"/>
        <v>0</v>
      </c>
      <c r="N21" s="137">
        <f t="shared" si="30"/>
        <v>5387052</v>
      </c>
      <c r="O21" s="146">
        <f t="shared" si="23"/>
        <v>0</v>
      </c>
      <c r="P21" s="139">
        <f t="shared" si="31"/>
        <v>4030458</v>
      </c>
      <c r="Q21" s="146">
        <f t="shared" si="17"/>
        <v>0</v>
      </c>
      <c r="R21" s="137">
        <f t="shared" si="32"/>
        <v>17937798</v>
      </c>
      <c r="S21" s="146">
        <f t="shared" si="18"/>
        <v>0</v>
      </c>
      <c r="T21" s="147">
        <v>0</v>
      </c>
      <c r="U21" s="140"/>
      <c r="V21" s="137">
        <f t="shared" si="33"/>
        <v>5652028</v>
      </c>
      <c r="W21" s="146">
        <f t="shared" si="19"/>
        <v>0</v>
      </c>
      <c r="X21" s="28">
        <f t="shared" si="20"/>
        <v>0</v>
      </c>
      <c r="Y21" s="149">
        <f t="shared" si="21"/>
        <v>0</v>
      </c>
      <c r="Z21" s="150">
        <f t="shared" si="22"/>
        <v>0</v>
      </c>
      <c r="AA21" s="150">
        <f t="shared" si="24"/>
        <v>0</v>
      </c>
    </row>
    <row r="22" spans="1:27" ht="16.5" thickBot="1" x14ac:dyDescent="0.25">
      <c r="A22" s="10">
        <v>44397</v>
      </c>
      <c r="B22" s="49"/>
      <c r="C22" s="161">
        <f t="shared" si="25"/>
        <v>18422</v>
      </c>
      <c r="D22" s="49">
        <f t="shared" si="11"/>
        <v>0</v>
      </c>
      <c r="E22" s="137">
        <f t="shared" si="26"/>
        <v>26705269</v>
      </c>
      <c r="F22" s="49">
        <f t="shared" si="12"/>
        <v>0</v>
      </c>
      <c r="G22" s="141">
        <f t="shared" si="27"/>
        <v>84755871</v>
      </c>
      <c r="H22" s="49">
        <f t="shared" si="13"/>
        <v>0</v>
      </c>
      <c r="I22" s="138">
        <f t="shared" si="14"/>
        <v>0</v>
      </c>
      <c r="J22" s="137">
        <f t="shared" si="28"/>
        <v>8312092</v>
      </c>
      <c r="K22" s="49">
        <f t="shared" si="15"/>
        <v>0</v>
      </c>
      <c r="L22" s="139">
        <f t="shared" si="29"/>
        <v>8273279</v>
      </c>
      <c r="M22" s="49">
        <f t="shared" si="16"/>
        <v>0</v>
      </c>
      <c r="N22" s="137">
        <f t="shared" si="30"/>
        <v>5387052</v>
      </c>
      <c r="O22" s="49">
        <f t="shared" si="23"/>
        <v>0</v>
      </c>
      <c r="P22" s="139">
        <f t="shared" si="31"/>
        <v>4030458</v>
      </c>
      <c r="Q22" s="49">
        <f t="shared" si="17"/>
        <v>0</v>
      </c>
      <c r="R22" s="137">
        <f t="shared" si="32"/>
        <v>17937798</v>
      </c>
      <c r="S22" s="49">
        <f t="shared" si="18"/>
        <v>0</v>
      </c>
      <c r="T22" s="137">
        <v>0</v>
      </c>
      <c r="U22" s="140"/>
      <c r="V22" s="137">
        <f t="shared" si="33"/>
        <v>5652028</v>
      </c>
      <c r="W22" s="49">
        <f t="shared" si="19"/>
        <v>0</v>
      </c>
      <c r="X22" s="28">
        <f t="shared" si="20"/>
        <v>0</v>
      </c>
      <c r="Y22" s="35">
        <f t="shared" si="21"/>
        <v>0</v>
      </c>
      <c r="Z22" s="27">
        <f t="shared" si="22"/>
        <v>0</v>
      </c>
      <c r="AA22" s="27">
        <f t="shared" si="24"/>
        <v>0</v>
      </c>
    </row>
    <row r="23" spans="1:27" ht="16.5" thickBot="1" x14ac:dyDescent="0.25">
      <c r="A23" s="10">
        <v>44398</v>
      </c>
      <c r="B23" s="49"/>
      <c r="C23" s="161">
        <f t="shared" si="25"/>
        <v>18422</v>
      </c>
      <c r="D23" s="49">
        <f t="shared" si="11"/>
        <v>0</v>
      </c>
      <c r="E23" s="137">
        <f t="shared" si="26"/>
        <v>26705269</v>
      </c>
      <c r="F23" s="49">
        <f t="shared" si="12"/>
        <v>0</v>
      </c>
      <c r="G23" s="141">
        <f t="shared" si="27"/>
        <v>84755871</v>
      </c>
      <c r="H23" s="49">
        <f t="shared" si="13"/>
        <v>0</v>
      </c>
      <c r="I23" s="138">
        <f t="shared" si="14"/>
        <v>0</v>
      </c>
      <c r="J23" s="137">
        <f t="shared" si="28"/>
        <v>8312092</v>
      </c>
      <c r="K23" s="49">
        <f t="shared" si="15"/>
        <v>0</v>
      </c>
      <c r="L23" s="139">
        <f t="shared" si="29"/>
        <v>8273279</v>
      </c>
      <c r="M23" s="49">
        <f t="shared" si="16"/>
        <v>0</v>
      </c>
      <c r="N23" s="137">
        <f t="shared" si="30"/>
        <v>5387052</v>
      </c>
      <c r="O23" s="49">
        <f t="shared" si="23"/>
        <v>0</v>
      </c>
      <c r="P23" s="139">
        <f t="shared" si="31"/>
        <v>4030458</v>
      </c>
      <c r="Q23" s="49">
        <f t="shared" si="17"/>
        <v>0</v>
      </c>
      <c r="R23" s="137">
        <f t="shared" si="32"/>
        <v>17937798</v>
      </c>
      <c r="S23" s="49">
        <f t="shared" si="18"/>
        <v>0</v>
      </c>
      <c r="T23" s="137">
        <v>0</v>
      </c>
      <c r="U23" s="140"/>
      <c r="V23" s="137">
        <f t="shared" si="33"/>
        <v>5652028</v>
      </c>
      <c r="W23" s="49">
        <f t="shared" si="19"/>
        <v>0</v>
      </c>
      <c r="X23" s="28">
        <f t="shared" si="20"/>
        <v>0</v>
      </c>
      <c r="Y23" s="35">
        <f t="shared" si="21"/>
        <v>0</v>
      </c>
      <c r="Z23" s="27">
        <f t="shared" si="22"/>
        <v>0</v>
      </c>
      <c r="AA23" s="27">
        <f t="shared" si="24"/>
        <v>0</v>
      </c>
    </row>
    <row r="24" spans="1:27" ht="16.5" thickBot="1" x14ac:dyDescent="0.25">
      <c r="A24" s="10">
        <v>44399</v>
      </c>
      <c r="B24" s="49"/>
      <c r="C24" s="161">
        <f t="shared" si="25"/>
        <v>18422</v>
      </c>
      <c r="D24" s="49">
        <f t="shared" si="11"/>
        <v>0</v>
      </c>
      <c r="E24" s="137">
        <f t="shared" si="26"/>
        <v>26705269</v>
      </c>
      <c r="F24" s="49">
        <f t="shared" si="12"/>
        <v>0</v>
      </c>
      <c r="G24" s="141">
        <f t="shared" si="27"/>
        <v>84755871</v>
      </c>
      <c r="H24" s="49">
        <f t="shared" si="13"/>
        <v>0</v>
      </c>
      <c r="I24" s="138">
        <f t="shared" si="14"/>
        <v>0</v>
      </c>
      <c r="J24" s="137">
        <f t="shared" si="28"/>
        <v>8312092</v>
      </c>
      <c r="K24" s="49">
        <f t="shared" si="15"/>
        <v>0</v>
      </c>
      <c r="L24" s="139">
        <f t="shared" si="29"/>
        <v>8273279</v>
      </c>
      <c r="M24" s="49">
        <f t="shared" si="16"/>
        <v>0</v>
      </c>
      <c r="N24" s="137">
        <f t="shared" si="30"/>
        <v>5387052</v>
      </c>
      <c r="O24" s="49">
        <f t="shared" si="23"/>
        <v>0</v>
      </c>
      <c r="P24" s="139">
        <f t="shared" si="31"/>
        <v>4030458</v>
      </c>
      <c r="Q24" s="49">
        <f t="shared" si="17"/>
        <v>0</v>
      </c>
      <c r="R24" s="137">
        <f t="shared" si="32"/>
        <v>17937798</v>
      </c>
      <c r="S24" s="49">
        <f t="shared" si="18"/>
        <v>0</v>
      </c>
      <c r="T24" s="137">
        <v>0</v>
      </c>
      <c r="U24" s="140"/>
      <c r="V24" s="137">
        <f t="shared" si="33"/>
        <v>5652028</v>
      </c>
      <c r="W24" s="49">
        <f t="shared" si="19"/>
        <v>0</v>
      </c>
      <c r="X24" s="28">
        <f t="shared" si="20"/>
        <v>0</v>
      </c>
      <c r="Y24" s="35">
        <f t="shared" si="21"/>
        <v>0</v>
      </c>
      <c r="Z24" s="27">
        <f t="shared" si="22"/>
        <v>0</v>
      </c>
      <c r="AA24" s="27">
        <f t="shared" si="24"/>
        <v>0</v>
      </c>
    </row>
    <row r="25" spans="1:27" ht="16.5" thickBot="1" x14ac:dyDescent="0.25">
      <c r="A25" s="10">
        <v>44400</v>
      </c>
      <c r="B25" s="49"/>
      <c r="C25" s="161">
        <f t="shared" si="25"/>
        <v>18422</v>
      </c>
      <c r="D25" s="49">
        <f t="shared" si="11"/>
        <v>0</v>
      </c>
      <c r="E25" s="137">
        <f t="shared" si="26"/>
        <v>26705269</v>
      </c>
      <c r="F25" s="49">
        <f t="shared" si="12"/>
        <v>0</v>
      </c>
      <c r="G25" s="141">
        <f t="shared" si="27"/>
        <v>84755871</v>
      </c>
      <c r="H25" s="49">
        <f t="shared" si="13"/>
        <v>0</v>
      </c>
      <c r="I25" s="138">
        <f t="shared" si="14"/>
        <v>0</v>
      </c>
      <c r="J25" s="137">
        <f t="shared" si="28"/>
        <v>8312092</v>
      </c>
      <c r="K25" s="49">
        <f t="shared" si="15"/>
        <v>0</v>
      </c>
      <c r="L25" s="139">
        <f t="shared" si="29"/>
        <v>8273279</v>
      </c>
      <c r="M25" s="49">
        <f t="shared" si="16"/>
        <v>0</v>
      </c>
      <c r="N25" s="137">
        <f t="shared" si="30"/>
        <v>5387052</v>
      </c>
      <c r="O25" s="49">
        <f t="shared" si="23"/>
        <v>0</v>
      </c>
      <c r="P25" s="139">
        <f t="shared" si="31"/>
        <v>4030458</v>
      </c>
      <c r="Q25" s="49">
        <f t="shared" si="17"/>
        <v>0</v>
      </c>
      <c r="R25" s="137">
        <f t="shared" si="32"/>
        <v>17937798</v>
      </c>
      <c r="S25" s="49">
        <f t="shared" si="18"/>
        <v>0</v>
      </c>
      <c r="T25" s="137">
        <v>0</v>
      </c>
      <c r="U25" s="140"/>
      <c r="V25" s="137">
        <f t="shared" si="33"/>
        <v>5652028</v>
      </c>
      <c r="W25" s="49">
        <f t="shared" si="19"/>
        <v>0</v>
      </c>
      <c r="X25" s="28">
        <f t="shared" si="20"/>
        <v>0</v>
      </c>
      <c r="Y25" s="35">
        <f t="shared" si="21"/>
        <v>0</v>
      </c>
      <c r="Z25" s="27">
        <f t="shared" si="22"/>
        <v>0</v>
      </c>
      <c r="AA25" s="27">
        <f t="shared" si="24"/>
        <v>0</v>
      </c>
    </row>
    <row r="26" spans="1:27" ht="16.5" thickBot="1" x14ac:dyDescent="0.25">
      <c r="A26" s="10">
        <v>44401</v>
      </c>
      <c r="B26" s="49"/>
      <c r="C26" s="161">
        <f t="shared" si="25"/>
        <v>18422</v>
      </c>
      <c r="D26" s="49">
        <f t="shared" si="11"/>
        <v>0</v>
      </c>
      <c r="E26" s="137">
        <f t="shared" si="26"/>
        <v>26705269</v>
      </c>
      <c r="F26" s="49">
        <f t="shared" si="12"/>
        <v>0</v>
      </c>
      <c r="G26" s="141">
        <f t="shared" si="27"/>
        <v>84755871</v>
      </c>
      <c r="H26" s="49">
        <f t="shared" si="13"/>
        <v>0</v>
      </c>
      <c r="I26" s="138">
        <f t="shared" si="14"/>
        <v>0</v>
      </c>
      <c r="J26" s="137">
        <f t="shared" si="28"/>
        <v>8312092</v>
      </c>
      <c r="K26" s="49">
        <f t="shared" si="15"/>
        <v>0</v>
      </c>
      <c r="L26" s="139">
        <f t="shared" si="29"/>
        <v>8273279</v>
      </c>
      <c r="M26" s="49">
        <f t="shared" si="16"/>
        <v>0</v>
      </c>
      <c r="N26" s="137">
        <f t="shared" si="30"/>
        <v>5387052</v>
      </c>
      <c r="O26" s="49">
        <f t="shared" si="23"/>
        <v>0</v>
      </c>
      <c r="P26" s="139">
        <f t="shared" si="31"/>
        <v>4030458</v>
      </c>
      <c r="Q26" s="49">
        <f t="shared" si="17"/>
        <v>0</v>
      </c>
      <c r="R26" s="137">
        <f t="shared" si="32"/>
        <v>17937798</v>
      </c>
      <c r="S26" s="49">
        <f t="shared" si="18"/>
        <v>0</v>
      </c>
      <c r="T26" s="137">
        <v>0</v>
      </c>
      <c r="U26" s="140"/>
      <c r="V26" s="137">
        <f t="shared" si="33"/>
        <v>5652028</v>
      </c>
      <c r="W26" s="49">
        <f t="shared" si="19"/>
        <v>0</v>
      </c>
      <c r="X26" s="28">
        <f t="shared" si="20"/>
        <v>0</v>
      </c>
      <c r="Y26" s="35">
        <f t="shared" si="21"/>
        <v>0</v>
      </c>
      <c r="Z26" s="27">
        <f t="shared" si="22"/>
        <v>0</v>
      </c>
      <c r="AA26" s="27">
        <f t="shared" si="24"/>
        <v>0</v>
      </c>
    </row>
    <row r="27" spans="1:27" ht="16.5" thickBot="1" x14ac:dyDescent="0.25">
      <c r="A27" s="10">
        <v>44402</v>
      </c>
      <c r="B27" s="49"/>
      <c r="C27" s="161">
        <f t="shared" si="25"/>
        <v>18422</v>
      </c>
      <c r="D27" s="49">
        <f t="shared" si="11"/>
        <v>0</v>
      </c>
      <c r="E27" s="137">
        <f t="shared" si="26"/>
        <v>26705269</v>
      </c>
      <c r="F27" s="49">
        <f t="shared" si="12"/>
        <v>0</v>
      </c>
      <c r="G27" s="141">
        <f t="shared" si="27"/>
        <v>84755871</v>
      </c>
      <c r="H27" s="49">
        <f t="shared" si="13"/>
        <v>0</v>
      </c>
      <c r="I27" s="138">
        <f t="shared" si="14"/>
        <v>0</v>
      </c>
      <c r="J27" s="137">
        <f t="shared" si="28"/>
        <v>8312092</v>
      </c>
      <c r="K27" s="49">
        <f t="shared" si="15"/>
        <v>0</v>
      </c>
      <c r="L27" s="139">
        <f t="shared" si="29"/>
        <v>8273279</v>
      </c>
      <c r="M27" s="49">
        <f t="shared" si="16"/>
        <v>0</v>
      </c>
      <c r="N27" s="137">
        <f t="shared" si="30"/>
        <v>5387052</v>
      </c>
      <c r="O27" s="49">
        <f t="shared" si="23"/>
        <v>0</v>
      </c>
      <c r="P27" s="139">
        <f t="shared" si="31"/>
        <v>4030458</v>
      </c>
      <c r="Q27" s="49">
        <f t="shared" si="17"/>
        <v>0</v>
      </c>
      <c r="R27" s="137">
        <f t="shared" si="32"/>
        <v>17937798</v>
      </c>
      <c r="S27" s="49">
        <f t="shared" si="18"/>
        <v>0</v>
      </c>
      <c r="T27" s="137">
        <v>0</v>
      </c>
      <c r="U27" s="140"/>
      <c r="V27" s="137">
        <f t="shared" si="33"/>
        <v>5652028</v>
      </c>
      <c r="W27" s="49">
        <f t="shared" si="19"/>
        <v>0</v>
      </c>
      <c r="X27" s="28">
        <f t="shared" si="20"/>
        <v>0</v>
      </c>
      <c r="Y27" s="35">
        <f t="shared" si="21"/>
        <v>0</v>
      </c>
      <c r="Z27" s="27">
        <f t="shared" si="22"/>
        <v>0</v>
      </c>
      <c r="AA27" s="27">
        <f t="shared" si="24"/>
        <v>0</v>
      </c>
    </row>
    <row r="28" spans="1:27" ht="16.5" thickBot="1" x14ac:dyDescent="0.25">
      <c r="A28" s="10">
        <v>44403</v>
      </c>
      <c r="B28" s="49"/>
      <c r="C28" s="161">
        <f t="shared" si="25"/>
        <v>18422</v>
      </c>
      <c r="D28" s="49">
        <f t="shared" si="11"/>
        <v>0</v>
      </c>
      <c r="E28" s="137">
        <f t="shared" si="26"/>
        <v>26705269</v>
      </c>
      <c r="F28" s="49">
        <f t="shared" si="12"/>
        <v>0</v>
      </c>
      <c r="G28" s="141">
        <f t="shared" si="27"/>
        <v>84755871</v>
      </c>
      <c r="H28" s="49">
        <f t="shared" si="13"/>
        <v>0</v>
      </c>
      <c r="I28" s="138">
        <f t="shared" si="14"/>
        <v>0</v>
      </c>
      <c r="J28" s="137">
        <f t="shared" si="28"/>
        <v>8312092</v>
      </c>
      <c r="K28" s="49">
        <f t="shared" si="15"/>
        <v>0</v>
      </c>
      <c r="L28" s="139">
        <f t="shared" si="29"/>
        <v>8273279</v>
      </c>
      <c r="M28" s="49">
        <f t="shared" si="16"/>
        <v>0</v>
      </c>
      <c r="N28" s="137">
        <f t="shared" si="30"/>
        <v>5387052</v>
      </c>
      <c r="O28" s="49">
        <f t="shared" si="23"/>
        <v>0</v>
      </c>
      <c r="P28" s="139">
        <f t="shared" si="31"/>
        <v>4030458</v>
      </c>
      <c r="Q28" s="49">
        <f t="shared" si="17"/>
        <v>0</v>
      </c>
      <c r="R28" s="137">
        <f t="shared" si="32"/>
        <v>17937798</v>
      </c>
      <c r="S28" s="49">
        <f t="shared" si="18"/>
        <v>0</v>
      </c>
      <c r="T28" s="137">
        <v>0</v>
      </c>
      <c r="U28" s="140"/>
      <c r="V28" s="137">
        <f t="shared" si="33"/>
        <v>5652028</v>
      </c>
      <c r="W28" s="49">
        <f t="shared" si="19"/>
        <v>0</v>
      </c>
      <c r="X28" s="28">
        <f t="shared" si="20"/>
        <v>0</v>
      </c>
      <c r="Y28" s="35">
        <f t="shared" si="21"/>
        <v>0</v>
      </c>
      <c r="Z28" s="27">
        <f t="shared" si="22"/>
        <v>0</v>
      </c>
      <c r="AA28" s="27">
        <f t="shared" si="24"/>
        <v>0</v>
      </c>
    </row>
    <row r="29" spans="1:27" ht="16.5" thickBot="1" x14ac:dyDescent="0.25">
      <c r="A29" s="10">
        <v>44404</v>
      </c>
      <c r="B29" s="49"/>
      <c r="C29" s="161">
        <f t="shared" si="25"/>
        <v>18422</v>
      </c>
      <c r="D29" s="49">
        <f t="shared" si="11"/>
        <v>0</v>
      </c>
      <c r="E29" s="137">
        <f t="shared" si="26"/>
        <v>26705269</v>
      </c>
      <c r="F29" s="49">
        <f t="shared" si="12"/>
        <v>0</v>
      </c>
      <c r="G29" s="141">
        <f t="shared" si="27"/>
        <v>84755871</v>
      </c>
      <c r="H29" s="49">
        <f t="shared" si="13"/>
        <v>0</v>
      </c>
      <c r="I29" s="138">
        <f t="shared" si="14"/>
        <v>0</v>
      </c>
      <c r="J29" s="137">
        <f t="shared" si="28"/>
        <v>8312092</v>
      </c>
      <c r="K29" s="49">
        <f t="shared" si="15"/>
        <v>0</v>
      </c>
      <c r="L29" s="139">
        <f t="shared" si="29"/>
        <v>8273279</v>
      </c>
      <c r="M29" s="49">
        <f t="shared" si="16"/>
        <v>0</v>
      </c>
      <c r="N29" s="137">
        <f t="shared" si="30"/>
        <v>5387052</v>
      </c>
      <c r="O29" s="49">
        <f t="shared" si="23"/>
        <v>0</v>
      </c>
      <c r="P29" s="139">
        <f t="shared" si="31"/>
        <v>4030458</v>
      </c>
      <c r="Q29" s="49">
        <f t="shared" si="17"/>
        <v>0</v>
      </c>
      <c r="R29" s="137">
        <f t="shared" si="32"/>
        <v>17937798</v>
      </c>
      <c r="S29" s="49">
        <f t="shared" si="18"/>
        <v>0</v>
      </c>
      <c r="T29" s="137">
        <v>0</v>
      </c>
      <c r="U29" s="140"/>
      <c r="V29" s="137">
        <f t="shared" si="33"/>
        <v>5652028</v>
      </c>
      <c r="W29" s="49">
        <f t="shared" si="19"/>
        <v>0</v>
      </c>
      <c r="X29" s="28">
        <f t="shared" si="20"/>
        <v>0</v>
      </c>
      <c r="Y29" s="35">
        <f t="shared" si="21"/>
        <v>0</v>
      </c>
      <c r="Z29" s="27">
        <f t="shared" si="22"/>
        <v>0</v>
      </c>
      <c r="AA29" s="27">
        <f t="shared" si="24"/>
        <v>0</v>
      </c>
    </row>
    <row r="30" spans="1:27" ht="16.5" thickBot="1" x14ac:dyDescent="0.25">
      <c r="A30" s="10">
        <v>44405</v>
      </c>
      <c r="B30" s="49"/>
      <c r="C30" s="161">
        <f t="shared" si="25"/>
        <v>18422</v>
      </c>
      <c r="D30" s="49">
        <f t="shared" si="11"/>
        <v>0</v>
      </c>
      <c r="E30" s="137">
        <f t="shared" si="26"/>
        <v>26705269</v>
      </c>
      <c r="F30" s="49">
        <f t="shared" si="12"/>
        <v>0</v>
      </c>
      <c r="G30" s="141">
        <f t="shared" si="27"/>
        <v>84755871</v>
      </c>
      <c r="H30" s="49">
        <f t="shared" si="13"/>
        <v>0</v>
      </c>
      <c r="I30" s="138">
        <f t="shared" si="14"/>
        <v>0</v>
      </c>
      <c r="J30" s="137">
        <f t="shared" si="28"/>
        <v>8312092</v>
      </c>
      <c r="K30" s="49">
        <f t="shared" si="15"/>
        <v>0</v>
      </c>
      <c r="L30" s="139">
        <f t="shared" si="29"/>
        <v>8273279</v>
      </c>
      <c r="M30" s="49">
        <f t="shared" si="16"/>
        <v>0</v>
      </c>
      <c r="N30" s="137">
        <f t="shared" si="30"/>
        <v>5387052</v>
      </c>
      <c r="O30" s="49">
        <f t="shared" si="23"/>
        <v>0</v>
      </c>
      <c r="P30" s="139">
        <f t="shared" si="31"/>
        <v>4030458</v>
      </c>
      <c r="Q30" s="49">
        <f t="shared" si="17"/>
        <v>0</v>
      </c>
      <c r="R30" s="137">
        <f t="shared" si="32"/>
        <v>17937798</v>
      </c>
      <c r="S30" s="49">
        <f t="shared" si="18"/>
        <v>0</v>
      </c>
      <c r="T30" s="137">
        <v>0</v>
      </c>
      <c r="U30" s="140"/>
      <c r="V30" s="137">
        <f t="shared" si="33"/>
        <v>5652028</v>
      </c>
      <c r="W30" s="49">
        <f t="shared" si="19"/>
        <v>0</v>
      </c>
      <c r="X30" s="28">
        <f t="shared" si="20"/>
        <v>0</v>
      </c>
      <c r="Y30" s="35">
        <f t="shared" si="21"/>
        <v>0</v>
      </c>
      <c r="Z30" s="27">
        <f t="shared" si="22"/>
        <v>0</v>
      </c>
      <c r="AA30" s="27">
        <f t="shared" si="24"/>
        <v>0</v>
      </c>
    </row>
    <row r="31" spans="1:27" ht="16.5" thickBot="1" x14ac:dyDescent="0.25">
      <c r="A31" s="10">
        <v>44406</v>
      </c>
      <c r="B31" s="49"/>
      <c r="C31" s="161">
        <f t="shared" si="25"/>
        <v>18422</v>
      </c>
      <c r="D31" s="49">
        <f t="shared" si="11"/>
        <v>0</v>
      </c>
      <c r="E31" s="137">
        <f t="shared" si="26"/>
        <v>26705269</v>
      </c>
      <c r="F31" s="49">
        <f t="shared" si="12"/>
        <v>0</v>
      </c>
      <c r="G31" s="141">
        <f t="shared" si="27"/>
        <v>84755871</v>
      </c>
      <c r="H31" s="49">
        <f t="shared" si="13"/>
        <v>0</v>
      </c>
      <c r="I31" s="28">
        <f>F31+H31</f>
        <v>0</v>
      </c>
      <c r="J31" s="137">
        <f t="shared" si="28"/>
        <v>8312092</v>
      </c>
      <c r="K31" s="49">
        <f t="shared" si="15"/>
        <v>0</v>
      </c>
      <c r="L31" s="139">
        <f t="shared" si="29"/>
        <v>8273279</v>
      </c>
      <c r="M31" s="49">
        <f t="shared" si="16"/>
        <v>0</v>
      </c>
      <c r="N31" s="137">
        <f t="shared" si="30"/>
        <v>5387052</v>
      </c>
      <c r="O31" s="49">
        <f t="shared" si="23"/>
        <v>0</v>
      </c>
      <c r="P31" s="139">
        <f t="shared" si="31"/>
        <v>4030458</v>
      </c>
      <c r="Q31" s="49">
        <f t="shared" si="17"/>
        <v>0</v>
      </c>
      <c r="R31" s="137">
        <f t="shared" si="32"/>
        <v>17937798</v>
      </c>
      <c r="S31" s="49">
        <f t="shared" si="18"/>
        <v>0</v>
      </c>
      <c r="T31" s="137">
        <v>0</v>
      </c>
      <c r="U31" s="29"/>
      <c r="V31" s="137">
        <f t="shared" si="33"/>
        <v>5652028</v>
      </c>
      <c r="W31" s="49">
        <f t="shared" si="19"/>
        <v>0</v>
      </c>
      <c r="X31" s="28">
        <f t="shared" si="20"/>
        <v>0</v>
      </c>
      <c r="Y31" s="35">
        <f t="shared" si="21"/>
        <v>0</v>
      </c>
      <c r="Z31" s="27">
        <f t="shared" si="22"/>
        <v>0</v>
      </c>
      <c r="AA31" s="27">
        <f t="shared" si="24"/>
        <v>0</v>
      </c>
    </row>
    <row r="32" spans="1:27" ht="16.5" thickBot="1" x14ac:dyDescent="0.25">
      <c r="A32" s="10">
        <v>44407</v>
      </c>
      <c r="B32" s="49"/>
      <c r="C32" s="161">
        <f t="shared" si="25"/>
        <v>18422</v>
      </c>
      <c r="D32" s="49">
        <f t="shared" si="11"/>
        <v>0</v>
      </c>
      <c r="E32" s="137">
        <f t="shared" si="26"/>
        <v>26705269</v>
      </c>
      <c r="F32" s="49">
        <f t="shared" si="12"/>
        <v>0</v>
      </c>
      <c r="G32" s="141">
        <f t="shared" si="27"/>
        <v>84755871</v>
      </c>
      <c r="H32" s="49">
        <f t="shared" si="13"/>
        <v>0</v>
      </c>
      <c r="I32" s="28">
        <f>F32+H32</f>
        <v>0</v>
      </c>
      <c r="J32" s="137">
        <f t="shared" si="28"/>
        <v>8312092</v>
      </c>
      <c r="K32" s="49">
        <f t="shared" si="15"/>
        <v>0</v>
      </c>
      <c r="L32" s="139">
        <f t="shared" si="29"/>
        <v>8273279</v>
      </c>
      <c r="M32" s="49">
        <f t="shared" si="16"/>
        <v>0</v>
      </c>
      <c r="N32" s="137">
        <f t="shared" si="30"/>
        <v>5387052</v>
      </c>
      <c r="O32" s="49">
        <f t="shared" si="23"/>
        <v>0</v>
      </c>
      <c r="P32" s="139">
        <f t="shared" si="31"/>
        <v>4030458</v>
      </c>
      <c r="Q32" s="49">
        <f t="shared" si="17"/>
        <v>0</v>
      </c>
      <c r="R32" s="137">
        <f t="shared" si="32"/>
        <v>17937798</v>
      </c>
      <c r="S32" s="49">
        <f t="shared" si="18"/>
        <v>0</v>
      </c>
      <c r="T32" s="137">
        <v>0</v>
      </c>
      <c r="U32" s="29"/>
      <c r="V32" s="137">
        <f t="shared" si="33"/>
        <v>5652028</v>
      </c>
      <c r="W32" s="49">
        <f t="shared" si="19"/>
        <v>0</v>
      </c>
      <c r="X32" s="28">
        <f t="shared" si="20"/>
        <v>0</v>
      </c>
      <c r="Y32" s="35">
        <f t="shared" si="21"/>
        <v>0</v>
      </c>
      <c r="Z32" s="27">
        <f t="shared" si="22"/>
        <v>0</v>
      </c>
      <c r="AA32" s="27">
        <f t="shared" si="24"/>
        <v>0</v>
      </c>
    </row>
    <row r="33" spans="1:28" ht="16.5" thickBot="1" x14ac:dyDescent="0.25">
      <c r="A33" s="10">
        <v>44408</v>
      </c>
      <c r="B33" s="49"/>
      <c r="C33" s="161">
        <f t="shared" si="25"/>
        <v>18422</v>
      </c>
      <c r="D33" s="49">
        <f t="shared" si="11"/>
        <v>0</v>
      </c>
      <c r="E33" s="137">
        <f t="shared" si="26"/>
        <v>26705269</v>
      </c>
      <c r="F33" s="49">
        <f t="shared" si="12"/>
        <v>0</v>
      </c>
      <c r="G33" s="141">
        <f t="shared" si="27"/>
        <v>84755871</v>
      </c>
      <c r="H33" s="49">
        <f t="shared" si="13"/>
        <v>0</v>
      </c>
      <c r="I33" s="28">
        <f>F33+H33</f>
        <v>0</v>
      </c>
      <c r="J33" s="137">
        <f t="shared" si="28"/>
        <v>8312092</v>
      </c>
      <c r="K33" s="49">
        <f t="shared" si="15"/>
        <v>0</v>
      </c>
      <c r="L33" s="139">
        <f t="shared" si="29"/>
        <v>8273279</v>
      </c>
      <c r="M33" s="49">
        <f t="shared" si="16"/>
        <v>0</v>
      </c>
      <c r="N33" s="137">
        <f t="shared" si="30"/>
        <v>5387052</v>
      </c>
      <c r="O33" s="49">
        <f t="shared" si="23"/>
        <v>0</v>
      </c>
      <c r="P33" s="139">
        <f t="shared" si="31"/>
        <v>4030458</v>
      </c>
      <c r="Q33" s="49">
        <f t="shared" si="17"/>
        <v>0</v>
      </c>
      <c r="R33" s="137">
        <f t="shared" si="32"/>
        <v>17937798</v>
      </c>
      <c r="S33" s="49">
        <f t="shared" si="18"/>
        <v>0</v>
      </c>
      <c r="T33" s="137">
        <v>0</v>
      </c>
      <c r="U33" s="29"/>
      <c r="V33" s="137">
        <f t="shared" si="33"/>
        <v>5652028</v>
      </c>
      <c r="W33" s="49">
        <f t="shared" si="19"/>
        <v>0</v>
      </c>
      <c r="X33" s="28">
        <f t="shared" si="20"/>
        <v>0</v>
      </c>
      <c r="Y33" s="35">
        <f t="shared" si="21"/>
        <v>0</v>
      </c>
      <c r="Z33" s="27">
        <f t="shared" si="22"/>
        <v>0</v>
      </c>
      <c r="AA33" s="27">
        <f t="shared" si="24"/>
        <v>0</v>
      </c>
    </row>
    <row r="34" spans="1:28" ht="16.5" thickBot="1" x14ac:dyDescent="0.25">
      <c r="A34" s="6" t="s">
        <v>23</v>
      </c>
      <c r="B34" s="159">
        <f>SUM(B2:B33)</f>
        <v>1405</v>
      </c>
      <c r="C34" s="159"/>
      <c r="D34" s="159">
        <f>SUM(D2:D33)</f>
        <v>6080</v>
      </c>
      <c r="E34" s="159">
        <v>0</v>
      </c>
      <c r="F34" s="159">
        <f>SUM(F2:F33)</f>
        <v>94656</v>
      </c>
      <c r="G34" s="159">
        <v>0</v>
      </c>
      <c r="H34" s="159">
        <f>SUM(H2:H33)</f>
        <v>491296</v>
      </c>
      <c r="I34" s="159">
        <f>SUM(I5:I33)</f>
        <v>431208</v>
      </c>
      <c r="J34" s="159">
        <v>0</v>
      </c>
      <c r="K34" s="159">
        <f>SUM(K2:K33)</f>
        <v>47033</v>
      </c>
      <c r="L34" s="159">
        <v>0</v>
      </c>
      <c r="M34" s="159">
        <f>SUM(M2:M33)</f>
        <v>39250</v>
      </c>
      <c r="N34" s="159">
        <v>0</v>
      </c>
      <c r="O34" s="159">
        <f>SUM(O2:O33)</f>
        <v>49122</v>
      </c>
      <c r="P34" s="159">
        <v>0</v>
      </c>
      <c r="Q34" s="159">
        <f>SUM(Q2:Q33)</f>
        <v>157173</v>
      </c>
      <c r="R34" s="159">
        <v>0</v>
      </c>
      <c r="S34" s="159">
        <f>SUM(S2:S33)</f>
        <v>85715</v>
      </c>
      <c r="T34" s="159">
        <f>SUM(T5:T33)</f>
        <v>0</v>
      </c>
      <c r="U34" s="159">
        <f>SUM(U2:U33)</f>
        <v>0</v>
      </c>
      <c r="V34" s="159">
        <v>0</v>
      </c>
      <c r="W34" s="159">
        <f>SUM(W2:W33)</f>
        <v>94790</v>
      </c>
      <c r="X34" s="159">
        <f>SUM(X5:X33)</f>
        <v>351805</v>
      </c>
      <c r="Y34" s="159">
        <f>SUM(Y2:Y33)</f>
        <v>112869</v>
      </c>
      <c r="Z34" s="159">
        <f>SUM(Z2:Z33)</f>
        <v>73676.221736000007</v>
      </c>
      <c r="AA34" s="159">
        <f>SUM(AA2:AA33)</f>
        <v>283285.42939840001</v>
      </c>
    </row>
    <row r="35" spans="1:28" x14ac:dyDescent="0.25">
      <c r="U35" s="26" t="s">
        <v>12</v>
      </c>
      <c r="Y35" s="31"/>
    </row>
    <row r="36" spans="1:28" x14ac:dyDescent="0.25">
      <c r="Y36" s="31"/>
      <c r="AB36" s="145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opLeftCell="A8" zoomScale="110" zoomScaleNormal="110" workbookViewId="0">
      <selection activeCell="J10" sqref="J10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44377</v>
      </c>
      <c r="B2" s="3">
        <v>415688</v>
      </c>
      <c r="C2" s="49"/>
      <c r="D2" s="3">
        <v>4377000</v>
      </c>
      <c r="E2" s="49"/>
      <c r="F2" s="3">
        <v>3826500</v>
      </c>
      <c r="G2" s="49"/>
      <c r="H2" s="3">
        <v>738448</v>
      </c>
      <c r="I2" s="54"/>
      <c r="J2" s="23">
        <f t="shared" ref="J2" si="0">C2+E2+G2+I2</f>
        <v>0</v>
      </c>
      <c r="K2" s="24">
        <f t="shared" ref="K2" si="1">J2*5.86</f>
        <v>0</v>
      </c>
    </row>
    <row r="3" spans="1:14" ht="16.5" thickBot="1" x14ac:dyDescent="0.3">
      <c r="A3" s="10">
        <v>44378</v>
      </c>
      <c r="B3" s="3">
        <v>415838</v>
      </c>
      <c r="C3" s="49">
        <f t="shared" ref="C3" si="2">(IF((B3-B2)&lt;0,"0",(B3-B2)))*10</f>
        <v>1500</v>
      </c>
      <c r="D3" s="3">
        <v>4377000</v>
      </c>
      <c r="E3" s="49">
        <f>(IF((D3-D2)&lt;0,"0",(D3-D2)))*0.027</f>
        <v>0</v>
      </c>
      <c r="F3" s="3">
        <v>3844200</v>
      </c>
      <c r="G3" s="49">
        <f>(IF((F3-F2)&lt;0,"0",(F3-F2)))*0.027</f>
        <v>477.9</v>
      </c>
      <c r="H3" s="3">
        <v>738557</v>
      </c>
      <c r="I3" s="54">
        <f>(IF((H3-H2)&lt;0,"0",(H3-H2)))*0.027</f>
        <v>2.9430000000000001</v>
      </c>
      <c r="J3" s="23">
        <f t="shared" ref="J3" si="3">C3+E3+G3+I3</f>
        <v>1980.8430000000001</v>
      </c>
      <c r="K3" s="24">
        <f t="shared" ref="K3" si="4">J3*5.86</f>
        <v>11607.73998</v>
      </c>
    </row>
    <row r="4" spans="1:14" ht="16.5" thickBot="1" x14ac:dyDescent="0.3">
      <c r="A4" s="10">
        <v>44379</v>
      </c>
      <c r="B4" s="3">
        <v>415991</v>
      </c>
      <c r="C4" s="49">
        <f t="shared" ref="C4:C8" si="5">(IF((B4-B3)&lt;0,"0",(B4-B3)))*10</f>
        <v>1530</v>
      </c>
      <c r="D4" s="3">
        <v>4377000</v>
      </c>
      <c r="E4" s="49">
        <f t="shared" ref="E4:E33" si="6">(IF((D4-D3)&lt;0,"0",(D4-D3)))*0.027</f>
        <v>0</v>
      </c>
      <c r="F4" s="3">
        <v>3863200</v>
      </c>
      <c r="G4" s="49">
        <f>(IF((F4-F3)&lt;0,"0",(F4-F3)))*0.027</f>
        <v>513</v>
      </c>
      <c r="H4" s="3">
        <v>738633</v>
      </c>
      <c r="I4" s="54">
        <f>(IF((H4-H3)&lt;0,"0",(H4-H3)))*0.027</f>
        <v>2.052</v>
      </c>
      <c r="J4" s="23">
        <f t="shared" ref="J4:J33" si="7">C4+E4+G4+I4</f>
        <v>2045.0519999999999</v>
      </c>
      <c r="K4" s="24">
        <f t="shared" ref="K4:K33" si="8">J4*5.86</f>
        <v>11984.004720000001</v>
      </c>
    </row>
    <row r="5" spans="1:14" ht="16.5" thickBot="1" x14ac:dyDescent="0.3">
      <c r="A5" s="10">
        <v>44380</v>
      </c>
      <c r="B5" s="3">
        <v>416126</v>
      </c>
      <c r="C5" s="49">
        <f t="shared" si="5"/>
        <v>1350</v>
      </c>
      <c r="D5" s="3">
        <v>4377000</v>
      </c>
      <c r="E5" s="49">
        <f t="shared" si="6"/>
        <v>0</v>
      </c>
      <c r="F5" s="3">
        <v>3882100</v>
      </c>
      <c r="G5" s="49">
        <f t="shared" ref="G5:G33" si="9">(IF((F5-F4)&lt;0,"0",(F5-F4)))*0.027</f>
        <v>510.3</v>
      </c>
      <c r="H5" s="3">
        <v>738720</v>
      </c>
      <c r="I5" s="54">
        <f t="shared" ref="I5:I33" si="10">(IF((H5-H4)&lt;0,"0",(H5-H4)))*0.027</f>
        <v>2.3489999999999998</v>
      </c>
      <c r="J5" s="23">
        <f t="shared" si="7"/>
        <v>1862.6489999999999</v>
      </c>
      <c r="K5" s="24">
        <f t="shared" si="8"/>
        <v>10915.12314</v>
      </c>
    </row>
    <row r="6" spans="1:14" ht="16.5" thickBot="1" x14ac:dyDescent="0.3">
      <c r="A6" s="10">
        <v>44381</v>
      </c>
      <c r="B6" s="3">
        <v>416271</v>
      </c>
      <c r="C6" s="49">
        <f t="shared" si="5"/>
        <v>1450</v>
      </c>
      <c r="D6" s="3">
        <f t="shared" ref="D6:D33" si="11">D5</f>
        <v>4377000</v>
      </c>
      <c r="E6" s="49">
        <f t="shared" si="6"/>
        <v>0</v>
      </c>
      <c r="F6" s="3">
        <v>3899700</v>
      </c>
      <c r="G6" s="49">
        <f t="shared" si="9"/>
        <v>475.2</v>
      </c>
      <c r="H6" s="3">
        <v>738812</v>
      </c>
      <c r="I6" s="54">
        <f t="shared" si="10"/>
        <v>2.484</v>
      </c>
      <c r="J6" s="23">
        <f t="shared" si="7"/>
        <v>1927.684</v>
      </c>
      <c r="K6" s="24">
        <f t="shared" si="8"/>
        <v>11296.22824</v>
      </c>
    </row>
    <row r="7" spans="1:14" ht="16.5" thickBot="1" x14ac:dyDescent="0.3">
      <c r="A7" s="10">
        <v>44382</v>
      </c>
      <c r="B7" s="3">
        <v>416416</v>
      </c>
      <c r="C7" s="49">
        <f t="shared" si="5"/>
        <v>1450</v>
      </c>
      <c r="D7" s="3">
        <v>4377000</v>
      </c>
      <c r="E7" s="49">
        <f t="shared" si="6"/>
        <v>0</v>
      </c>
      <c r="F7" s="3">
        <v>3916200</v>
      </c>
      <c r="G7" s="49">
        <f t="shared" si="9"/>
        <v>445.5</v>
      </c>
      <c r="H7" s="3">
        <v>738890</v>
      </c>
      <c r="I7" s="54">
        <f t="shared" si="10"/>
        <v>2.1059999999999999</v>
      </c>
      <c r="J7" s="23">
        <f t="shared" si="7"/>
        <v>1897.606</v>
      </c>
      <c r="K7" s="24">
        <f t="shared" si="8"/>
        <v>11119.971160000001</v>
      </c>
      <c r="L7" t="s">
        <v>12</v>
      </c>
      <c r="N7" t="s">
        <v>12</v>
      </c>
    </row>
    <row r="8" spans="1:14" ht="16.5" thickBot="1" x14ac:dyDescent="0.3">
      <c r="A8" s="10">
        <v>44383</v>
      </c>
      <c r="B8" s="3">
        <v>416606</v>
      </c>
      <c r="C8" s="49">
        <f t="shared" si="5"/>
        <v>1900</v>
      </c>
      <c r="D8" s="3">
        <v>4377000</v>
      </c>
      <c r="E8" s="49">
        <f t="shared" si="6"/>
        <v>0</v>
      </c>
      <c r="F8" s="3">
        <v>3939200</v>
      </c>
      <c r="G8" s="49">
        <f t="shared" si="9"/>
        <v>621</v>
      </c>
      <c r="H8" s="3">
        <v>739000</v>
      </c>
      <c r="I8" s="54">
        <f t="shared" si="10"/>
        <v>2.9699999999999998</v>
      </c>
      <c r="J8" s="23">
        <f t="shared" si="7"/>
        <v>2523.9699999999998</v>
      </c>
      <c r="K8" s="24">
        <f t="shared" si="8"/>
        <v>14790.4642</v>
      </c>
    </row>
    <row r="9" spans="1:14" ht="16.5" thickBot="1" x14ac:dyDescent="0.3">
      <c r="A9" s="10">
        <v>44384</v>
      </c>
      <c r="B9" s="3">
        <v>416756</v>
      </c>
      <c r="C9" s="49">
        <f t="shared" ref="C9:C33" si="12">(IF((B9-B8)&lt;0,"0",(B9-B8)))*10</f>
        <v>1500</v>
      </c>
      <c r="D9" s="3">
        <v>4377000</v>
      </c>
      <c r="E9" s="49">
        <f t="shared" si="6"/>
        <v>0</v>
      </c>
      <c r="F9" s="3">
        <v>3955300</v>
      </c>
      <c r="G9" s="49">
        <f t="shared" si="9"/>
        <v>434.7</v>
      </c>
      <c r="H9" s="3">
        <v>739093</v>
      </c>
      <c r="I9" s="54">
        <f t="shared" si="10"/>
        <v>2.5110000000000001</v>
      </c>
      <c r="J9" s="23">
        <f t="shared" si="7"/>
        <v>1937.211</v>
      </c>
      <c r="K9" s="24">
        <f t="shared" si="8"/>
        <v>11352.05646</v>
      </c>
    </row>
    <row r="10" spans="1:14" ht="16.5" thickBot="1" x14ac:dyDescent="0.3">
      <c r="A10" s="10">
        <v>44385</v>
      </c>
      <c r="B10" s="3">
        <v>416926</v>
      </c>
      <c r="C10" s="49">
        <f>(IF((B10-B9)&lt;0,"0",(B10-B9)))*10</f>
        <v>1700</v>
      </c>
      <c r="D10" s="3">
        <v>4377000</v>
      </c>
      <c r="E10" s="49">
        <f t="shared" si="6"/>
        <v>0</v>
      </c>
      <c r="F10" s="3">
        <v>3972600</v>
      </c>
      <c r="G10" s="49">
        <f t="shared" si="9"/>
        <v>467.1</v>
      </c>
      <c r="H10" s="3">
        <v>739187</v>
      </c>
      <c r="I10" s="54">
        <f t="shared" si="10"/>
        <v>2.5379999999999998</v>
      </c>
      <c r="J10" s="23">
        <f t="shared" si="7"/>
        <v>2169.6379999999999</v>
      </c>
      <c r="K10" s="24">
        <f t="shared" si="8"/>
        <v>12714.078680000001</v>
      </c>
    </row>
    <row r="11" spans="1:14" ht="16.5" thickBot="1" x14ac:dyDescent="0.3">
      <c r="A11" s="10">
        <v>44386</v>
      </c>
      <c r="B11" s="3">
        <f t="shared" ref="B10:B33" si="13">B10</f>
        <v>416926</v>
      </c>
      <c r="C11" s="49">
        <f t="shared" si="12"/>
        <v>0</v>
      </c>
      <c r="D11" s="3">
        <f t="shared" si="11"/>
        <v>4377000</v>
      </c>
      <c r="E11" s="49">
        <f t="shared" si="6"/>
        <v>0</v>
      </c>
      <c r="F11" s="3">
        <f t="shared" ref="F10:F33" si="14">F10</f>
        <v>3972600</v>
      </c>
      <c r="G11" s="49">
        <f t="shared" si="9"/>
        <v>0</v>
      </c>
      <c r="H11" s="3">
        <f t="shared" ref="H10:H33" si="15">H10</f>
        <v>739187</v>
      </c>
      <c r="I11" s="54">
        <f t="shared" si="10"/>
        <v>0</v>
      </c>
      <c r="J11" s="23">
        <f t="shared" si="7"/>
        <v>0</v>
      </c>
      <c r="K11" s="24">
        <f t="shared" si="8"/>
        <v>0</v>
      </c>
      <c r="N11" t="s">
        <v>12</v>
      </c>
    </row>
    <row r="12" spans="1:14" ht="16.5" thickBot="1" x14ac:dyDescent="0.3">
      <c r="A12" s="10">
        <v>44387</v>
      </c>
      <c r="B12" s="3">
        <f t="shared" si="13"/>
        <v>416926</v>
      </c>
      <c r="C12" s="49">
        <f t="shared" si="12"/>
        <v>0</v>
      </c>
      <c r="D12" s="3">
        <f t="shared" si="11"/>
        <v>4377000</v>
      </c>
      <c r="E12" s="49">
        <f t="shared" si="6"/>
        <v>0</v>
      </c>
      <c r="F12" s="3">
        <f t="shared" si="14"/>
        <v>3972600</v>
      </c>
      <c r="G12" s="49">
        <f t="shared" si="9"/>
        <v>0</v>
      </c>
      <c r="H12" s="3">
        <f t="shared" si="15"/>
        <v>739187</v>
      </c>
      <c r="I12" s="54">
        <f t="shared" si="10"/>
        <v>0</v>
      </c>
      <c r="J12" s="23">
        <f t="shared" si="7"/>
        <v>0</v>
      </c>
      <c r="K12" s="24">
        <f t="shared" si="8"/>
        <v>0</v>
      </c>
    </row>
    <row r="13" spans="1:14" ht="16.5" thickBot="1" x14ac:dyDescent="0.3">
      <c r="A13" s="10">
        <v>44388</v>
      </c>
      <c r="B13" s="3">
        <f t="shared" si="13"/>
        <v>416926</v>
      </c>
      <c r="C13" s="49">
        <f t="shared" si="12"/>
        <v>0</v>
      </c>
      <c r="D13" s="3">
        <f t="shared" si="11"/>
        <v>4377000</v>
      </c>
      <c r="E13" s="49">
        <f t="shared" si="6"/>
        <v>0</v>
      </c>
      <c r="F13" s="3">
        <f t="shared" si="14"/>
        <v>3972600</v>
      </c>
      <c r="G13" s="49">
        <f t="shared" si="9"/>
        <v>0</v>
      </c>
      <c r="H13" s="3">
        <f t="shared" si="15"/>
        <v>739187</v>
      </c>
      <c r="I13" s="54">
        <f t="shared" si="10"/>
        <v>0</v>
      </c>
      <c r="J13" s="23">
        <f t="shared" si="7"/>
        <v>0</v>
      </c>
      <c r="K13" s="24">
        <f t="shared" si="8"/>
        <v>0</v>
      </c>
    </row>
    <row r="14" spans="1:14" ht="16.5" thickBot="1" x14ac:dyDescent="0.3">
      <c r="A14" s="10">
        <v>44389</v>
      </c>
      <c r="B14" s="3">
        <f t="shared" si="13"/>
        <v>416926</v>
      </c>
      <c r="C14" s="49">
        <f t="shared" si="12"/>
        <v>0</v>
      </c>
      <c r="D14" s="3">
        <f t="shared" si="11"/>
        <v>4377000</v>
      </c>
      <c r="E14" s="49">
        <f t="shared" si="6"/>
        <v>0</v>
      </c>
      <c r="F14" s="3">
        <f t="shared" si="14"/>
        <v>3972600</v>
      </c>
      <c r="G14" s="49">
        <f t="shared" si="9"/>
        <v>0</v>
      </c>
      <c r="H14" s="3">
        <f t="shared" si="15"/>
        <v>739187</v>
      </c>
      <c r="I14" s="54">
        <f t="shared" si="10"/>
        <v>0</v>
      </c>
      <c r="J14" s="23">
        <f t="shared" si="7"/>
        <v>0</v>
      </c>
      <c r="K14" s="24">
        <f t="shared" si="8"/>
        <v>0</v>
      </c>
    </row>
    <row r="15" spans="1:14" ht="16.5" thickBot="1" x14ac:dyDescent="0.3">
      <c r="A15" s="10">
        <v>44390</v>
      </c>
      <c r="B15" s="3">
        <f t="shared" si="13"/>
        <v>416926</v>
      </c>
      <c r="C15" s="49">
        <f t="shared" si="12"/>
        <v>0</v>
      </c>
      <c r="D15" s="3">
        <f t="shared" si="11"/>
        <v>4377000</v>
      </c>
      <c r="E15" s="49">
        <f t="shared" si="6"/>
        <v>0</v>
      </c>
      <c r="F15" s="3">
        <f t="shared" si="14"/>
        <v>3972600</v>
      </c>
      <c r="G15" s="49">
        <f t="shared" si="9"/>
        <v>0</v>
      </c>
      <c r="H15" s="3">
        <f t="shared" si="15"/>
        <v>739187</v>
      </c>
      <c r="I15" s="54">
        <f t="shared" si="10"/>
        <v>0</v>
      </c>
      <c r="J15" s="23">
        <f t="shared" si="7"/>
        <v>0</v>
      </c>
      <c r="K15" s="24">
        <f t="shared" si="8"/>
        <v>0</v>
      </c>
    </row>
    <row r="16" spans="1:14" ht="16.5" thickBot="1" x14ac:dyDescent="0.3">
      <c r="A16" s="10">
        <v>44391</v>
      </c>
      <c r="B16" s="3">
        <f t="shared" si="13"/>
        <v>416926</v>
      </c>
      <c r="C16" s="49">
        <f t="shared" si="12"/>
        <v>0</v>
      </c>
      <c r="D16" s="3">
        <f t="shared" si="11"/>
        <v>4377000</v>
      </c>
      <c r="E16" s="49">
        <f t="shared" si="6"/>
        <v>0</v>
      </c>
      <c r="F16" s="3">
        <f t="shared" si="14"/>
        <v>3972600</v>
      </c>
      <c r="G16" s="49">
        <f t="shared" si="9"/>
        <v>0</v>
      </c>
      <c r="H16" s="3">
        <f t="shared" si="15"/>
        <v>739187</v>
      </c>
      <c r="I16" s="54">
        <f t="shared" si="10"/>
        <v>0</v>
      </c>
      <c r="J16" s="23">
        <f t="shared" si="7"/>
        <v>0</v>
      </c>
      <c r="K16" s="24">
        <f t="shared" si="8"/>
        <v>0</v>
      </c>
    </row>
    <row r="17" spans="1:25" ht="16.5" thickBot="1" x14ac:dyDescent="0.3">
      <c r="A17" s="10">
        <v>44392</v>
      </c>
      <c r="B17" s="3">
        <f t="shared" si="13"/>
        <v>416926</v>
      </c>
      <c r="C17" s="49">
        <f t="shared" si="12"/>
        <v>0</v>
      </c>
      <c r="D17" s="3">
        <f t="shared" si="11"/>
        <v>4377000</v>
      </c>
      <c r="E17" s="49">
        <f t="shared" si="6"/>
        <v>0</v>
      </c>
      <c r="F17" s="3">
        <f t="shared" si="14"/>
        <v>3972600</v>
      </c>
      <c r="G17" s="49">
        <f t="shared" si="9"/>
        <v>0</v>
      </c>
      <c r="H17" s="3">
        <f t="shared" si="15"/>
        <v>739187</v>
      </c>
      <c r="I17" s="54">
        <f t="shared" si="10"/>
        <v>0</v>
      </c>
      <c r="J17" s="23">
        <f t="shared" si="7"/>
        <v>0</v>
      </c>
      <c r="K17" s="24">
        <f t="shared" si="8"/>
        <v>0</v>
      </c>
      <c r="P17" t="s">
        <v>12</v>
      </c>
      <c r="R17" t="s">
        <v>12</v>
      </c>
    </row>
    <row r="18" spans="1:25" ht="16.5" thickBot="1" x14ac:dyDescent="0.3">
      <c r="A18" s="10">
        <v>44393</v>
      </c>
      <c r="B18" s="3">
        <f t="shared" si="13"/>
        <v>416926</v>
      </c>
      <c r="C18" s="49">
        <f t="shared" si="12"/>
        <v>0</v>
      </c>
      <c r="D18" s="3">
        <f t="shared" si="11"/>
        <v>4377000</v>
      </c>
      <c r="E18" s="49">
        <f t="shared" si="6"/>
        <v>0</v>
      </c>
      <c r="F18" s="3">
        <f t="shared" si="14"/>
        <v>3972600</v>
      </c>
      <c r="G18" s="49">
        <f t="shared" si="9"/>
        <v>0</v>
      </c>
      <c r="H18" s="3">
        <f t="shared" si="15"/>
        <v>739187</v>
      </c>
      <c r="I18" s="54">
        <f t="shared" si="10"/>
        <v>0</v>
      </c>
      <c r="J18" s="23">
        <f t="shared" si="7"/>
        <v>0</v>
      </c>
      <c r="K18" s="24">
        <f t="shared" si="8"/>
        <v>0</v>
      </c>
      <c r="Q18" t="s">
        <v>43</v>
      </c>
    </row>
    <row r="19" spans="1:25" ht="16.5" thickBot="1" x14ac:dyDescent="0.3">
      <c r="A19" s="10">
        <v>44394</v>
      </c>
      <c r="B19" s="3">
        <f t="shared" si="13"/>
        <v>416926</v>
      </c>
      <c r="C19" s="49">
        <f t="shared" si="12"/>
        <v>0</v>
      </c>
      <c r="D19" s="3">
        <f t="shared" si="11"/>
        <v>4377000</v>
      </c>
      <c r="E19" s="49">
        <f t="shared" si="6"/>
        <v>0</v>
      </c>
      <c r="F19" s="3">
        <f t="shared" si="14"/>
        <v>3972600</v>
      </c>
      <c r="G19" s="49">
        <f t="shared" si="9"/>
        <v>0</v>
      </c>
      <c r="H19" s="3">
        <f t="shared" si="15"/>
        <v>739187</v>
      </c>
      <c r="I19" s="54">
        <f t="shared" si="10"/>
        <v>0</v>
      </c>
      <c r="J19" s="23">
        <f t="shared" si="7"/>
        <v>0</v>
      </c>
      <c r="K19" s="24">
        <f t="shared" si="8"/>
        <v>0</v>
      </c>
      <c r="Q19" t="s">
        <v>12</v>
      </c>
    </row>
    <row r="20" spans="1:25" ht="16.5" thickBot="1" x14ac:dyDescent="0.3">
      <c r="A20" s="10">
        <v>44395</v>
      </c>
      <c r="B20" s="3">
        <f t="shared" si="13"/>
        <v>416926</v>
      </c>
      <c r="C20" s="49">
        <f t="shared" si="12"/>
        <v>0</v>
      </c>
      <c r="D20" s="3">
        <f t="shared" si="11"/>
        <v>4377000</v>
      </c>
      <c r="E20" s="49">
        <f t="shared" si="6"/>
        <v>0</v>
      </c>
      <c r="F20" s="3">
        <f t="shared" si="14"/>
        <v>3972600</v>
      </c>
      <c r="G20" s="49">
        <f t="shared" si="9"/>
        <v>0</v>
      </c>
      <c r="H20" s="3">
        <f t="shared" si="15"/>
        <v>739187</v>
      </c>
      <c r="I20" s="54">
        <f t="shared" si="10"/>
        <v>0</v>
      </c>
      <c r="J20" s="23">
        <f t="shared" si="7"/>
        <v>0</v>
      </c>
      <c r="K20" s="24">
        <f t="shared" si="8"/>
        <v>0</v>
      </c>
    </row>
    <row r="21" spans="1:25" ht="16.5" thickBot="1" x14ac:dyDescent="0.3">
      <c r="A21" s="10">
        <v>44396</v>
      </c>
      <c r="B21" s="3">
        <f t="shared" si="13"/>
        <v>416926</v>
      </c>
      <c r="C21" s="49">
        <f t="shared" si="12"/>
        <v>0</v>
      </c>
      <c r="D21" s="3">
        <f t="shared" si="11"/>
        <v>4377000</v>
      </c>
      <c r="E21" s="49">
        <f t="shared" si="6"/>
        <v>0</v>
      </c>
      <c r="F21" s="3">
        <f t="shared" si="14"/>
        <v>3972600</v>
      </c>
      <c r="G21" s="49">
        <f t="shared" si="9"/>
        <v>0</v>
      </c>
      <c r="H21" s="3">
        <f t="shared" si="15"/>
        <v>739187</v>
      </c>
      <c r="I21" s="54">
        <f t="shared" si="10"/>
        <v>0</v>
      </c>
      <c r="J21" s="23">
        <f t="shared" si="7"/>
        <v>0</v>
      </c>
      <c r="K21" s="24">
        <f t="shared" si="8"/>
        <v>0</v>
      </c>
    </row>
    <row r="22" spans="1:25" ht="16.5" thickBot="1" x14ac:dyDescent="0.3">
      <c r="A22" s="10">
        <v>44397</v>
      </c>
      <c r="B22" s="3">
        <f t="shared" si="13"/>
        <v>416926</v>
      </c>
      <c r="C22" s="49">
        <f t="shared" si="12"/>
        <v>0</v>
      </c>
      <c r="D22" s="3">
        <f t="shared" si="11"/>
        <v>4377000</v>
      </c>
      <c r="E22" s="49">
        <f t="shared" si="6"/>
        <v>0</v>
      </c>
      <c r="F22" s="3">
        <f t="shared" si="14"/>
        <v>3972600</v>
      </c>
      <c r="G22" s="49">
        <f t="shared" si="9"/>
        <v>0</v>
      </c>
      <c r="H22" s="3">
        <f t="shared" si="15"/>
        <v>739187</v>
      </c>
      <c r="I22" s="54">
        <f t="shared" si="10"/>
        <v>0</v>
      </c>
      <c r="J22" s="23">
        <f t="shared" si="7"/>
        <v>0</v>
      </c>
      <c r="K22" s="24">
        <f t="shared" si="8"/>
        <v>0</v>
      </c>
      <c r="P22" t="s">
        <v>12</v>
      </c>
      <c r="S22" s="36" t="s">
        <v>12</v>
      </c>
    </row>
    <row r="23" spans="1:25" ht="16.5" thickBot="1" x14ac:dyDescent="0.3">
      <c r="A23" s="10">
        <v>44398</v>
      </c>
      <c r="B23" s="3">
        <f t="shared" si="13"/>
        <v>416926</v>
      </c>
      <c r="C23" s="49">
        <f t="shared" si="12"/>
        <v>0</v>
      </c>
      <c r="D23" s="3">
        <f t="shared" si="11"/>
        <v>4377000</v>
      </c>
      <c r="E23" s="49">
        <f t="shared" si="6"/>
        <v>0</v>
      </c>
      <c r="F23" s="3">
        <f t="shared" si="14"/>
        <v>3972600</v>
      </c>
      <c r="G23" s="49">
        <f t="shared" si="9"/>
        <v>0</v>
      </c>
      <c r="H23" s="3">
        <f t="shared" si="15"/>
        <v>739187</v>
      </c>
      <c r="I23" s="54">
        <f t="shared" si="10"/>
        <v>0</v>
      </c>
      <c r="J23" s="23">
        <f t="shared" si="7"/>
        <v>0</v>
      </c>
      <c r="K23" s="24">
        <f t="shared" si="8"/>
        <v>0</v>
      </c>
      <c r="Q23" t="s">
        <v>12</v>
      </c>
    </row>
    <row r="24" spans="1:25" ht="16.5" thickBot="1" x14ac:dyDescent="0.3">
      <c r="A24" s="10">
        <v>44399</v>
      </c>
      <c r="B24" s="3">
        <f t="shared" si="13"/>
        <v>416926</v>
      </c>
      <c r="C24" s="49">
        <f t="shared" si="12"/>
        <v>0</v>
      </c>
      <c r="D24" s="3">
        <f t="shared" si="11"/>
        <v>4377000</v>
      </c>
      <c r="E24" s="49">
        <f t="shared" si="6"/>
        <v>0</v>
      </c>
      <c r="F24" s="3">
        <f t="shared" si="14"/>
        <v>3972600</v>
      </c>
      <c r="G24" s="49">
        <f t="shared" si="9"/>
        <v>0</v>
      </c>
      <c r="H24" s="3">
        <f t="shared" si="15"/>
        <v>739187</v>
      </c>
      <c r="I24" s="54">
        <f t="shared" si="10"/>
        <v>0</v>
      </c>
      <c r="J24" s="23">
        <f t="shared" si="7"/>
        <v>0</v>
      </c>
      <c r="K24" s="24">
        <f t="shared" si="8"/>
        <v>0</v>
      </c>
    </row>
    <row r="25" spans="1:25" ht="17.25" customHeight="1" thickBot="1" x14ac:dyDescent="0.4">
      <c r="A25" s="10">
        <v>44400</v>
      </c>
      <c r="B25" s="3">
        <f t="shared" si="13"/>
        <v>416926</v>
      </c>
      <c r="C25" s="49">
        <f t="shared" si="12"/>
        <v>0</v>
      </c>
      <c r="D25" s="3">
        <f t="shared" si="11"/>
        <v>4377000</v>
      </c>
      <c r="E25" s="49">
        <f t="shared" si="6"/>
        <v>0</v>
      </c>
      <c r="F25" s="3">
        <f t="shared" si="14"/>
        <v>3972600</v>
      </c>
      <c r="G25" s="49">
        <f>F25-F24</f>
        <v>0</v>
      </c>
      <c r="H25" s="3">
        <f t="shared" si="15"/>
        <v>739187</v>
      </c>
      <c r="I25" s="54">
        <f t="shared" si="10"/>
        <v>0</v>
      </c>
      <c r="J25" s="23">
        <f t="shared" si="7"/>
        <v>0</v>
      </c>
      <c r="K25" s="24">
        <f t="shared" si="8"/>
        <v>0</v>
      </c>
      <c r="Y25" s="65"/>
    </row>
    <row r="26" spans="1:25" ht="16.5" thickBot="1" x14ac:dyDescent="0.3">
      <c r="A26" s="10">
        <v>44401</v>
      </c>
      <c r="B26" s="3">
        <f t="shared" si="13"/>
        <v>416926</v>
      </c>
      <c r="C26" s="49">
        <f t="shared" si="12"/>
        <v>0</v>
      </c>
      <c r="D26" s="3">
        <f t="shared" si="11"/>
        <v>4377000</v>
      </c>
      <c r="E26" s="49">
        <f t="shared" si="6"/>
        <v>0</v>
      </c>
      <c r="F26" s="3">
        <f t="shared" si="14"/>
        <v>3972600</v>
      </c>
      <c r="G26" s="49">
        <f t="shared" si="9"/>
        <v>0</v>
      </c>
      <c r="H26" s="3">
        <f t="shared" si="15"/>
        <v>739187</v>
      </c>
      <c r="I26" s="54">
        <f t="shared" si="10"/>
        <v>0</v>
      </c>
      <c r="J26" s="23">
        <f t="shared" si="7"/>
        <v>0</v>
      </c>
      <c r="K26" s="24">
        <f t="shared" si="8"/>
        <v>0</v>
      </c>
      <c r="L26" t="s">
        <v>12</v>
      </c>
    </row>
    <row r="27" spans="1:25" ht="16.5" thickBot="1" x14ac:dyDescent="0.3">
      <c r="A27" s="10">
        <v>44402</v>
      </c>
      <c r="B27" s="3">
        <f t="shared" si="13"/>
        <v>416926</v>
      </c>
      <c r="C27" s="49">
        <f t="shared" si="12"/>
        <v>0</v>
      </c>
      <c r="D27" s="3">
        <f t="shared" si="11"/>
        <v>4377000</v>
      </c>
      <c r="E27" s="49">
        <f t="shared" si="6"/>
        <v>0</v>
      </c>
      <c r="F27" s="3">
        <f t="shared" si="14"/>
        <v>3972600</v>
      </c>
      <c r="G27" s="49">
        <f t="shared" si="9"/>
        <v>0</v>
      </c>
      <c r="H27" s="3">
        <f t="shared" si="15"/>
        <v>739187</v>
      </c>
      <c r="I27" s="54">
        <f t="shared" si="10"/>
        <v>0</v>
      </c>
      <c r="J27" s="23">
        <f t="shared" si="7"/>
        <v>0</v>
      </c>
      <c r="K27" s="24">
        <f t="shared" si="8"/>
        <v>0</v>
      </c>
      <c r="O27" t="s">
        <v>12</v>
      </c>
    </row>
    <row r="28" spans="1:25" ht="16.5" thickBot="1" x14ac:dyDescent="0.3">
      <c r="A28" s="10">
        <v>44403</v>
      </c>
      <c r="B28" s="3">
        <f t="shared" si="13"/>
        <v>416926</v>
      </c>
      <c r="C28" s="49">
        <f t="shared" si="12"/>
        <v>0</v>
      </c>
      <c r="D28" s="3">
        <f t="shared" si="11"/>
        <v>4377000</v>
      </c>
      <c r="E28" s="49">
        <f t="shared" si="6"/>
        <v>0</v>
      </c>
      <c r="F28" s="3">
        <f t="shared" si="14"/>
        <v>3972600</v>
      </c>
      <c r="G28" s="49">
        <f t="shared" si="9"/>
        <v>0</v>
      </c>
      <c r="H28" s="3">
        <f t="shared" si="15"/>
        <v>739187</v>
      </c>
      <c r="I28" s="54">
        <f t="shared" si="10"/>
        <v>0</v>
      </c>
      <c r="J28" s="23">
        <f t="shared" si="7"/>
        <v>0</v>
      </c>
      <c r="K28" s="24">
        <f t="shared" si="8"/>
        <v>0</v>
      </c>
    </row>
    <row r="29" spans="1:25" ht="16.5" thickBot="1" x14ac:dyDescent="0.3">
      <c r="A29" s="10">
        <v>44404</v>
      </c>
      <c r="B29" s="3">
        <f t="shared" si="13"/>
        <v>416926</v>
      </c>
      <c r="C29" s="49">
        <f t="shared" si="12"/>
        <v>0</v>
      </c>
      <c r="D29" s="3">
        <f t="shared" si="11"/>
        <v>4377000</v>
      </c>
      <c r="E29" s="49">
        <f t="shared" si="6"/>
        <v>0</v>
      </c>
      <c r="F29" s="3">
        <f t="shared" si="14"/>
        <v>3972600</v>
      </c>
      <c r="G29" s="49">
        <f t="shared" si="9"/>
        <v>0</v>
      </c>
      <c r="H29" s="3">
        <f t="shared" si="15"/>
        <v>739187</v>
      </c>
      <c r="I29" s="54">
        <f t="shared" si="10"/>
        <v>0</v>
      </c>
      <c r="J29" s="23">
        <f t="shared" si="7"/>
        <v>0</v>
      </c>
      <c r="K29" s="24">
        <f t="shared" si="8"/>
        <v>0</v>
      </c>
    </row>
    <row r="30" spans="1:25" ht="16.5" thickBot="1" x14ac:dyDescent="0.3">
      <c r="A30" s="10">
        <v>44405</v>
      </c>
      <c r="B30" s="3">
        <f t="shared" si="13"/>
        <v>416926</v>
      </c>
      <c r="C30" s="49">
        <f t="shared" si="12"/>
        <v>0</v>
      </c>
      <c r="D30" s="3">
        <f t="shared" si="11"/>
        <v>4377000</v>
      </c>
      <c r="E30" s="49">
        <f t="shared" si="6"/>
        <v>0</v>
      </c>
      <c r="F30" s="3">
        <f t="shared" si="14"/>
        <v>3972600</v>
      </c>
      <c r="G30" s="49">
        <f t="shared" si="9"/>
        <v>0</v>
      </c>
      <c r="H30" s="3">
        <f t="shared" si="15"/>
        <v>739187</v>
      </c>
      <c r="I30" s="54">
        <f t="shared" si="10"/>
        <v>0</v>
      </c>
      <c r="J30" s="23">
        <f t="shared" si="7"/>
        <v>0</v>
      </c>
      <c r="K30" s="24">
        <f t="shared" si="8"/>
        <v>0</v>
      </c>
    </row>
    <row r="31" spans="1:25" ht="16.5" thickBot="1" x14ac:dyDescent="0.3">
      <c r="A31" s="10">
        <v>44406</v>
      </c>
      <c r="B31" s="3">
        <f t="shared" si="13"/>
        <v>416926</v>
      </c>
      <c r="C31" s="49">
        <f t="shared" si="12"/>
        <v>0</v>
      </c>
      <c r="D31" s="3">
        <f t="shared" si="11"/>
        <v>4377000</v>
      </c>
      <c r="E31" s="49">
        <f t="shared" si="6"/>
        <v>0</v>
      </c>
      <c r="F31" s="3">
        <f t="shared" si="14"/>
        <v>3972600</v>
      </c>
      <c r="G31" s="49">
        <f t="shared" si="9"/>
        <v>0</v>
      </c>
      <c r="H31" s="3">
        <f t="shared" si="15"/>
        <v>739187</v>
      </c>
      <c r="I31" s="54">
        <f t="shared" si="10"/>
        <v>0</v>
      </c>
      <c r="J31" s="23">
        <f t="shared" si="7"/>
        <v>0</v>
      </c>
      <c r="K31" s="24">
        <f t="shared" si="8"/>
        <v>0</v>
      </c>
    </row>
    <row r="32" spans="1:25" ht="16.5" thickBot="1" x14ac:dyDescent="0.3">
      <c r="A32" s="10">
        <v>44407</v>
      </c>
      <c r="B32" s="3">
        <f t="shared" si="13"/>
        <v>416926</v>
      </c>
      <c r="C32" s="49">
        <f t="shared" si="12"/>
        <v>0</v>
      </c>
      <c r="D32" s="3">
        <f t="shared" si="11"/>
        <v>4377000</v>
      </c>
      <c r="E32" s="49">
        <f t="shared" si="6"/>
        <v>0</v>
      </c>
      <c r="F32" s="3">
        <f t="shared" si="14"/>
        <v>3972600</v>
      </c>
      <c r="G32" s="49">
        <f t="shared" si="9"/>
        <v>0</v>
      </c>
      <c r="H32" s="3">
        <f t="shared" si="15"/>
        <v>739187</v>
      </c>
      <c r="I32" s="54">
        <f t="shared" si="10"/>
        <v>0</v>
      </c>
      <c r="J32" s="23">
        <f t="shared" si="7"/>
        <v>0</v>
      </c>
      <c r="K32" s="24">
        <f t="shared" si="8"/>
        <v>0</v>
      </c>
    </row>
    <row r="33" spans="1:11" ht="16.5" thickBot="1" x14ac:dyDescent="0.3">
      <c r="A33" s="10">
        <v>44408</v>
      </c>
      <c r="B33" s="3">
        <f t="shared" si="13"/>
        <v>416926</v>
      </c>
      <c r="C33" s="49">
        <f t="shared" si="12"/>
        <v>0</v>
      </c>
      <c r="D33" s="3">
        <f t="shared" si="11"/>
        <v>4377000</v>
      </c>
      <c r="E33" s="49">
        <f t="shared" si="6"/>
        <v>0</v>
      </c>
      <c r="F33" s="3">
        <f t="shared" si="14"/>
        <v>3972600</v>
      </c>
      <c r="G33" s="49">
        <f t="shared" si="9"/>
        <v>0</v>
      </c>
      <c r="H33" s="3">
        <f t="shared" si="15"/>
        <v>739187</v>
      </c>
      <c r="I33" s="54">
        <f t="shared" si="10"/>
        <v>0</v>
      </c>
      <c r="J33" s="23">
        <f t="shared" si="7"/>
        <v>0</v>
      </c>
      <c r="K33" s="24">
        <f t="shared" si="8"/>
        <v>0</v>
      </c>
    </row>
    <row r="34" spans="1:11" ht="21" thickBot="1" x14ac:dyDescent="0.3">
      <c r="A34" s="9" t="s">
        <v>23</v>
      </c>
      <c r="B34" s="3"/>
      <c r="C34" s="66">
        <f>SUM(C3:C33)</f>
        <v>12380</v>
      </c>
      <c r="D34" s="3"/>
      <c r="E34" s="66">
        <f>SUM(E3:E33)</f>
        <v>0</v>
      </c>
      <c r="F34" s="3"/>
      <c r="G34" s="66">
        <f>SUM(G3:G33)</f>
        <v>3944.7</v>
      </c>
      <c r="H34" s="3"/>
      <c r="I34" s="66">
        <f>SUM(I3:I33)</f>
        <v>19.952999999999999</v>
      </c>
      <c r="J34" s="66">
        <f>SUM(J3:J33)</f>
        <v>16344.652999999998</v>
      </c>
      <c r="K34" s="66">
        <f>SUM(K3:K33)</f>
        <v>95779.666580000019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selection activeCell="B11" sqref="B11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44377</v>
      </c>
      <c r="B2" s="154">
        <v>17435439</v>
      </c>
      <c r="C2" s="55"/>
    </row>
    <row r="3" spans="1:9" ht="24" thickBot="1" x14ac:dyDescent="0.4">
      <c r="A3" s="10">
        <v>44378</v>
      </c>
      <c r="B3" s="154">
        <v>17437564</v>
      </c>
      <c r="C3" s="55">
        <f>IF((B3-B2)&lt;0,"0",(B3-B2))</f>
        <v>2125</v>
      </c>
    </row>
    <row r="4" spans="1:9" ht="24" thickBot="1" x14ac:dyDescent="0.4">
      <c r="A4" s="10">
        <v>44379</v>
      </c>
      <c r="B4" s="154">
        <v>17439621</v>
      </c>
      <c r="C4" s="55">
        <f t="shared" ref="C4:C30" si="0">IF((B4-B3)&lt;0,"0",(B4-B3))</f>
        <v>2057</v>
      </c>
    </row>
    <row r="5" spans="1:9" ht="24" thickBot="1" x14ac:dyDescent="0.4">
      <c r="A5" s="10">
        <v>44380</v>
      </c>
      <c r="B5" s="154">
        <v>17441773</v>
      </c>
      <c r="C5" s="55">
        <f t="shared" si="0"/>
        <v>2152</v>
      </c>
    </row>
    <row r="6" spans="1:9" ht="24" thickBot="1" x14ac:dyDescent="0.4">
      <c r="A6" s="10">
        <v>44381</v>
      </c>
      <c r="B6" s="154">
        <v>17443995</v>
      </c>
      <c r="C6" s="55">
        <f>IF((B6-B5)&lt;0,"0",(B6-B5))</f>
        <v>2222</v>
      </c>
    </row>
    <row r="7" spans="1:9" ht="24" thickBot="1" x14ac:dyDescent="0.4">
      <c r="A7" s="10">
        <v>44382</v>
      </c>
      <c r="B7" s="154">
        <v>17446307</v>
      </c>
      <c r="C7" s="55">
        <f>IF((B7-B6)&lt;0,"0",(B7-B6))</f>
        <v>2312</v>
      </c>
    </row>
    <row r="8" spans="1:9" ht="24" thickBot="1" x14ac:dyDescent="0.4">
      <c r="A8" s="10">
        <v>44383</v>
      </c>
      <c r="B8" s="154">
        <v>17448400</v>
      </c>
      <c r="C8" s="55">
        <f>IF((B8-B7)&lt;0,"0",(B8-B7))</f>
        <v>2093</v>
      </c>
    </row>
    <row r="9" spans="1:9" ht="24" thickBot="1" x14ac:dyDescent="0.4">
      <c r="A9" s="10">
        <v>44384</v>
      </c>
      <c r="B9" s="154">
        <v>17450509</v>
      </c>
      <c r="C9" s="55">
        <f t="shared" si="0"/>
        <v>2109</v>
      </c>
    </row>
    <row r="10" spans="1:9" ht="24" thickBot="1" x14ac:dyDescent="0.4">
      <c r="A10" s="10">
        <v>44385</v>
      </c>
      <c r="B10" s="154">
        <v>17452606</v>
      </c>
      <c r="C10" s="55">
        <f t="shared" si="0"/>
        <v>2097</v>
      </c>
    </row>
    <row r="11" spans="1:9" ht="24" thickBot="1" x14ac:dyDescent="0.4">
      <c r="A11" s="10">
        <v>44386</v>
      </c>
      <c r="B11" s="154">
        <f t="shared" ref="B10:B33" si="1">B10</f>
        <v>17452606</v>
      </c>
      <c r="C11" s="55">
        <f t="shared" si="0"/>
        <v>0</v>
      </c>
    </row>
    <row r="12" spans="1:9" ht="24" thickBot="1" x14ac:dyDescent="0.4">
      <c r="A12" s="10">
        <v>44387</v>
      </c>
      <c r="B12" s="154">
        <f t="shared" si="1"/>
        <v>17452606</v>
      </c>
      <c r="C12" s="55">
        <f t="shared" si="0"/>
        <v>0</v>
      </c>
    </row>
    <row r="13" spans="1:9" ht="24" thickBot="1" x14ac:dyDescent="0.4">
      <c r="A13" s="10">
        <v>44388</v>
      </c>
      <c r="B13" s="154">
        <f t="shared" si="1"/>
        <v>17452606</v>
      </c>
      <c r="C13" s="55">
        <f t="shared" si="0"/>
        <v>0</v>
      </c>
    </row>
    <row r="14" spans="1:9" ht="24" thickBot="1" x14ac:dyDescent="0.4">
      <c r="A14" s="10">
        <v>44389</v>
      </c>
      <c r="B14" s="154">
        <f t="shared" si="1"/>
        <v>17452606</v>
      </c>
      <c r="C14" s="55">
        <f t="shared" si="0"/>
        <v>0</v>
      </c>
    </row>
    <row r="15" spans="1:9" ht="24" thickBot="1" x14ac:dyDescent="0.4">
      <c r="A15" s="10">
        <v>44390</v>
      </c>
      <c r="B15" s="154">
        <f t="shared" si="1"/>
        <v>17452606</v>
      </c>
      <c r="C15" s="55">
        <f t="shared" si="0"/>
        <v>0</v>
      </c>
      <c r="I15" t="s">
        <v>12</v>
      </c>
    </row>
    <row r="16" spans="1:9" ht="26.25" customHeight="1" thickBot="1" x14ac:dyDescent="0.4">
      <c r="A16" s="10">
        <v>44391</v>
      </c>
      <c r="B16" s="154">
        <f t="shared" si="1"/>
        <v>17452606</v>
      </c>
      <c r="C16" s="55">
        <f t="shared" si="0"/>
        <v>0</v>
      </c>
    </row>
    <row r="17" spans="1:9" ht="25.5" customHeight="1" thickBot="1" x14ac:dyDescent="0.4">
      <c r="A17" s="10">
        <v>44392</v>
      </c>
      <c r="B17" s="154">
        <f t="shared" si="1"/>
        <v>17452606</v>
      </c>
      <c r="C17" s="55">
        <f t="shared" si="0"/>
        <v>0</v>
      </c>
      <c r="F17" s="152"/>
    </row>
    <row r="18" spans="1:9" ht="24" thickBot="1" x14ac:dyDescent="0.4">
      <c r="A18" s="10">
        <v>44393</v>
      </c>
      <c r="B18" s="154">
        <f t="shared" si="1"/>
        <v>17452606</v>
      </c>
      <c r="C18" s="55">
        <f t="shared" si="0"/>
        <v>0</v>
      </c>
    </row>
    <row r="19" spans="1:9" ht="24" thickBot="1" x14ac:dyDescent="0.4">
      <c r="A19" s="10">
        <v>44394</v>
      </c>
      <c r="B19" s="154">
        <f t="shared" si="1"/>
        <v>17452606</v>
      </c>
      <c r="C19" s="55">
        <f t="shared" si="0"/>
        <v>0</v>
      </c>
    </row>
    <row r="20" spans="1:9" ht="24" thickBot="1" x14ac:dyDescent="0.4">
      <c r="A20" s="10">
        <v>44395</v>
      </c>
      <c r="B20" s="154">
        <f t="shared" si="1"/>
        <v>17452606</v>
      </c>
      <c r="C20" s="55">
        <f t="shared" si="0"/>
        <v>0</v>
      </c>
    </row>
    <row r="21" spans="1:9" ht="24" thickBot="1" x14ac:dyDescent="0.4">
      <c r="A21" s="10">
        <v>44396</v>
      </c>
      <c r="B21" s="154">
        <f t="shared" si="1"/>
        <v>17452606</v>
      </c>
      <c r="C21" s="55">
        <f t="shared" si="0"/>
        <v>0</v>
      </c>
    </row>
    <row r="22" spans="1:9" ht="24" thickBot="1" x14ac:dyDescent="0.4">
      <c r="A22" s="10">
        <v>44397</v>
      </c>
      <c r="B22" s="154">
        <f t="shared" si="1"/>
        <v>17452606</v>
      </c>
      <c r="C22" s="55">
        <f t="shared" si="0"/>
        <v>0</v>
      </c>
    </row>
    <row r="23" spans="1:9" ht="24" thickBot="1" x14ac:dyDescent="0.4">
      <c r="A23" s="10">
        <v>44398</v>
      </c>
      <c r="B23" s="154">
        <f t="shared" si="1"/>
        <v>17452606</v>
      </c>
      <c r="C23" s="55">
        <f t="shared" si="0"/>
        <v>0</v>
      </c>
      <c r="F23" t="s">
        <v>12</v>
      </c>
    </row>
    <row r="24" spans="1:9" ht="24" thickBot="1" x14ac:dyDescent="0.4">
      <c r="A24" s="10">
        <v>44399</v>
      </c>
      <c r="B24" s="154">
        <f t="shared" si="1"/>
        <v>17452606</v>
      </c>
      <c r="C24" s="55">
        <f t="shared" si="0"/>
        <v>0</v>
      </c>
      <c r="E24" t="s">
        <v>12</v>
      </c>
    </row>
    <row r="25" spans="1:9" ht="24" thickBot="1" x14ac:dyDescent="0.4">
      <c r="A25" s="10">
        <v>44400</v>
      </c>
      <c r="B25" s="154">
        <f t="shared" si="1"/>
        <v>17452606</v>
      </c>
      <c r="C25" s="55">
        <f t="shared" si="0"/>
        <v>0</v>
      </c>
    </row>
    <row r="26" spans="1:9" ht="24" thickBot="1" x14ac:dyDescent="0.4">
      <c r="A26" s="10">
        <v>44401</v>
      </c>
      <c r="B26" s="154">
        <f t="shared" si="1"/>
        <v>17452606</v>
      </c>
      <c r="C26" s="55">
        <f t="shared" si="0"/>
        <v>0</v>
      </c>
    </row>
    <row r="27" spans="1:9" ht="24" thickBot="1" x14ac:dyDescent="0.4">
      <c r="A27" s="10">
        <v>44402</v>
      </c>
      <c r="B27" s="154">
        <f t="shared" si="1"/>
        <v>17452606</v>
      </c>
      <c r="C27" s="55">
        <f t="shared" si="0"/>
        <v>0</v>
      </c>
    </row>
    <row r="28" spans="1:9" ht="24" thickBot="1" x14ac:dyDescent="0.4">
      <c r="A28" s="10">
        <v>44403</v>
      </c>
      <c r="B28" s="154">
        <f t="shared" si="1"/>
        <v>17452606</v>
      </c>
      <c r="C28" s="55">
        <f t="shared" si="0"/>
        <v>0</v>
      </c>
      <c r="I28" t="s">
        <v>12</v>
      </c>
    </row>
    <row r="29" spans="1:9" ht="24" thickBot="1" x14ac:dyDescent="0.4">
      <c r="A29" s="10">
        <v>44404</v>
      </c>
      <c r="B29" s="154">
        <f t="shared" si="1"/>
        <v>17452606</v>
      </c>
      <c r="C29" s="55">
        <f t="shared" si="0"/>
        <v>0</v>
      </c>
    </row>
    <row r="30" spans="1:9" ht="24" thickBot="1" x14ac:dyDescent="0.4">
      <c r="A30" s="10">
        <v>44405</v>
      </c>
      <c r="B30" s="154">
        <f t="shared" si="1"/>
        <v>17452606</v>
      </c>
      <c r="C30" s="55">
        <f t="shared" si="0"/>
        <v>0</v>
      </c>
    </row>
    <row r="31" spans="1:9" ht="24" thickBot="1" x14ac:dyDescent="0.4">
      <c r="A31" s="10">
        <v>44406</v>
      </c>
      <c r="B31" s="154">
        <f t="shared" si="1"/>
        <v>17452606</v>
      </c>
      <c r="C31" s="55">
        <f>IF((B31-B30)&lt;0,"0",(B31-B30))</f>
        <v>0</v>
      </c>
    </row>
    <row r="32" spans="1:9" ht="24" thickBot="1" x14ac:dyDescent="0.4">
      <c r="A32" s="10">
        <v>44407</v>
      </c>
      <c r="B32" s="154">
        <f t="shared" si="1"/>
        <v>17452606</v>
      </c>
      <c r="C32" s="55">
        <f>IF((B32-B31)&lt;0,"0",(B32-B31))</f>
        <v>0</v>
      </c>
    </row>
    <row r="33" spans="1:3" ht="24" thickBot="1" x14ac:dyDescent="0.4">
      <c r="A33" s="10">
        <v>44408</v>
      </c>
      <c r="B33" s="154">
        <f t="shared" si="1"/>
        <v>17452606</v>
      </c>
      <c r="C33" s="55">
        <f>IF((B33-B32)&lt;0,"0",(B33-B32))</f>
        <v>0</v>
      </c>
    </row>
    <row r="34" spans="1:3" ht="24" thickBot="1" x14ac:dyDescent="0.4">
      <c r="A34" s="168" t="s">
        <v>138</v>
      </c>
      <c r="B34" s="169"/>
      <c r="C34" s="157">
        <f>SUM(C3:C33)</f>
        <v>17167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zoomScale="87" zoomScaleNormal="87" workbookViewId="0">
      <pane xSplit="1" topLeftCell="G1" activePane="topRight" state="frozen"/>
      <selection pane="topRight" activeCell="V10" sqref="V10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44377</v>
      </c>
      <c r="B2" s="1">
        <v>21066.855</v>
      </c>
      <c r="C2" s="54"/>
      <c r="D2" s="38"/>
      <c r="E2" s="1">
        <v>3691.165</v>
      </c>
      <c r="F2" s="54"/>
      <c r="G2" s="38"/>
      <c r="H2" s="1">
        <v>3399</v>
      </c>
      <c r="I2" s="54"/>
      <c r="J2" s="38"/>
      <c r="K2" s="7">
        <v>13480.26</v>
      </c>
      <c r="L2" s="54"/>
      <c r="M2" s="38"/>
      <c r="N2" s="7">
        <v>3095.377</v>
      </c>
      <c r="O2" s="54"/>
      <c r="P2" s="38"/>
      <c r="Q2" s="7">
        <v>4887.95</v>
      </c>
      <c r="R2" s="54"/>
      <c r="S2" s="38"/>
      <c r="T2" s="8"/>
      <c r="U2" s="40"/>
    </row>
    <row r="3" spans="1:25" ht="16.5" thickBot="1" x14ac:dyDescent="0.25">
      <c r="A3" s="10">
        <v>44378</v>
      </c>
      <c r="B3" s="1">
        <v>21079.438999999998</v>
      </c>
      <c r="C3" s="54">
        <f>IF((B3-B2)&lt;0,"0",(B3-B2))</f>
        <v>12.583999999998923</v>
      </c>
      <c r="D3" s="38">
        <f t="shared" ref="D3" si="0">C3*1.9*1000</f>
        <v>23909.59999999795</v>
      </c>
      <c r="E3" s="1">
        <v>3693.1979999999999</v>
      </c>
      <c r="F3" s="54">
        <f t="shared" ref="F3" si="1">IF((E3-E2)&lt;0,"0",(E3-E2))</f>
        <v>2.0329999999999018</v>
      </c>
      <c r="G3" s="38">
        <f t="shared" ref="G3" si="2">F3*1.9*1000</f>
        <v>3862.6999999998134</v>
      </c>
      <c r="H3" s="1">
        <v>3407</v>
      </c>
      <c r="I3" s="54">
        <f t="shared" ref="I3" si="3">IF((H3-H2)&lt;0,"0",(H3-H2))</f>
        <v>8</v>
      </c>
      <c r="J3" s="38">
        <f t="shared" ref="J3" si="4">I3*1.9*1000</f>
        <v>15200</v>
      </c>
      <c r="K3" s="7">
        <v>13482.29</v>
      </c>
      <c r="L3" s="54">
        <f t="shared" ref="L3" si="5">IF((K3-K2)&lt;0,"0",(K3-K2))</f>
        <v>2.0300000000006548</v>
      </c>
      <c r="M3" s="38">
        <f t="shared" ref="M3" si="6">L3*1.9*1000</f>
        <v>3857.0000000012442</v>
      </c>
      <c r="N3" s="7">
        <v>3096.6709999999998</v>
      </c>
      <c r="O3" s="54">
        <f t="shared" ref="O3" si="7">IF((N3-N2)&lt;0,"0",(N3-N2))</f>
        <v>1.293999999999869</v>
      </c>
      <c r="P3" s="38">
        <f t="shared" ref="P3" si="8">O3*1.9*1000</f>
        <v>2458.5999999997512</v>
      </c>
      <c r="Q3" s="7">
        <v>4891.0600000000004</v>
      </c>
      <c r="R3" s="54">
        <f t="shared" ref="R3" si="9">IF((Q3-Q2)&lt;0,"0",(Q3-Q2))</f>
        <v>3.1100000000005821</v>
      </c>
      <c r="S3" s="38">
        <f t="shared" ref="S3" si="10">R3*1.9*1000</f>
        <v>5909.0000000011059</v>
      </c>
      <c r="T3" s="8">
        <f>C3+F3+I3+L3+O3+R3</f>
        <v>29.050999999999931</v>
      </c>
      <c r="U3" s="40">
        <f>T3*1.9*1000</f>
        <v>55196.899999999863</v>
      </c>
    </row>
    <row r="4" spans="1:25" ht="16.5" thickBot="1" x14ac:dyDescent="0.25">
      <c r="A4" s="10">
        <v>44379</v>
      </c>
      <c r="B4" s="1">
        <v>21095.848000000002</v>
      </c>
      <c r="C4" s="54">
        <f t="shared" ref="C4:C33" si="11">IF((B4-B3)&lt;0,"0",(B4-B3))</f>
        <v>16.409000000003289</v>
      </c>
      <c r="D4" s="38">
        <f t="shared" ref="D4:D33" si="12">C4*1.9*1000</f>
        <v>31177.100000006249</v>
      </c>
      <c r="E4" s="1">
        <v>3695.232</v>
      </c>
      <c r="F4" s="54">
        <f t="shared" ref="F4:F33" si="13">IF((E4-E3)&lt;0,"0",(E4-E3))</f>
        <v>2.0340000000001055</v>
      </c>
      <c r="G4" s="38">
        <f t="shared" ref="G4:G33" si="14">F4*1.9*1000</f>
        <v>3864.6000000002</v>
      </c>
      <c r="H4" s="1">
        <v>3417</v>
      </c>
      <c r="I4" s="54">
        <f t="shared" ref="I4:I33" si="15">IF((H4-H3)&lt;0,"0",(H4-H3))</f>
        <v>10</v>
      </c>
      <c r="J4" s="38">
        <f t="shared" ref="J4:J33" si="16">I4*1.9*1000</f>
        <v>19000</v>
      </c>
      <c r="K4" s="7">
        <v>13485.58</v>
      </c>
      <c r="L4" s="54">
        <f t="shared" ref="L4:L33" si="17">IF((K4-K3)&lt;0,"0",(K4-K3))</f>
        <v>3.2899999999990541</v>
      </c>
      <c r="M4" s="38">
        <f t="shared" ref="M4:M33" si="18">L4*1.9*1000</f>
        <v>6250.9999999982028</v>
      </c>
      <c r="N4" s="7">
        <v>3098.8649999999998</v>
      </c>
      <c r="O4" s="54">
        <f t="shared" ref="O4:O33" si="19">IF((N4-N3)&lt;0,"0",(N4-N3))</f>
        <v>2.19399999999996</v>
      </c>
      <c r="P4" s="38">
        <f t="shared" ref="P4:P33" si="20">O4*1.9*1000</f>
        <v>4168.599999999924</v>
      </c>
      <c r="Q4" s="7">
        <v>4894.08</v>
      </c>
      <c r="R4" s="54">
        <f t="shared" ref="R4:R33" si="21">IF((Q4-Q3)&lt;0,"0",(Q4-Q3))</f>
        <v>3.0199999999995271</v>
      </c>
      <c r="S4" s="38">
        <f t="shared" ref="S4:S33" si="22">R4*1.9*1000</f>
        <v>5737.9999999991005</v>
      </c>
      <c r="T4" s="8">
        <f>C4+F4+I4+L4+O4+R4</f>
        <v>36.947000000001935</v>
      </c>
      <c r="U4" s="40">
        <f t="shared" ref="U4:U33" si="23">T4*1.9*1000</f>
        <v>70199.30000000367</v>
      </c>
    </row>
    <row r="5" spans="1:25" ht="16.5" thickBot="1" x14ac:dyDescent="0.25">
      <c r="A5" s="10">
        <v>44380</v>
      </c>
      <c r="B5" s="1">
        <v>21108.92</v>
      </c>
      <c r="C5" s="54">
        <f t="shared" si="11"/>
        <v>13.071999999996478</v>
      </c>
      <c r="D5" s="38">
        <f t="shared" si="12"/>
        <v>24836.799999993305</v>
      </c>
      <c r="E5" s="1">
        <v>3697.433</v>
      </c>
      <c r="F5" s="54">
        <f t="shared" si="13"/>
        <v>2.2010000000000218</v>
      </c>
      <c r="G5" s="38">
        <f t="shared" si="14"/>
        <v>4181.9000000000415</v>
      </c>
      <c r="H5" s="1">
        <v>3425</v>
      </c>
      <c r="I5" s="54">
        <f t="shared" si="15"/>
        <v>8</v>
      </c>
      <c r="J5" s="38">
        <f t="shared" si="16"/>
        <v>15200</v>
      </c>
      <c r="K5" s="7">
        <v>13487.74</v>
      </c>
      <c r="L5" s="54">
        <f t="shared" si="17"/>
        <v>2.1599999999998545</v>
      </c>
      <c r="M5" s="38">
        <f t="shared" si="18"/>
        <v>4103.9999999997226</v>
      </c>
      <c r="N5" s="7">
        <v>3100.4859999999999</v>
      </c>
      <c r="O5" s="54">
        <f t="shared" si="19"/>
        <v>1.6210000000000946</v>
      </c>
      <c r="P5" s="38">
        <f t="shared" si="20"/>
        <v>3079.9000000001797</v>
      </c>
      <c r="Q5" s="7">
        <v>4897.2</v>
      </c>
      <c r="R5" s="54">
        <f t="shared" si="21"/>
        <v>3.1199999999998909</v>
      </c>
      <c r="S5" s="38">
        <f t="shared" si="22"/>
        <v>5927.9999999997917</v>
      </c>
      <c r="T5" s="8">
        <f>C5+F5+I5+L5+O5+R5</f>
        <v>30.17399999999634</v>
      </c>
      <c r="U5" s="40">
        <f t="shared" si="23"/>
        <v>57330.599999993043</v>
      </c>
    </row>
    <row r="6" spans="1:25" ht="16.5" thickBot="1" x14ac:dyDescent="0.25">
      <c r="A6" s="10">
        <v>44381</v>
      </c>
      <c r="B6" s="1">
        <v>21122.968000000001</v>
      </c>
      <c r="C6" s="54">
        <f t="shared" si="11"/>
        <v>14.048000000002503</v>
      </c>
      <c r="D6" s="38">
        <f t="shared" si="12"/>
        <v>26691.200000004756</v>
      </c>
      <c r="E6" s="1">
        <v>3700.9830000000002</v>
      </c>
      <c r="F6" s="54">
        <f t="shared" si="13"/>
        <v>3.5500000000001819</v>
      </c>
      <c r="G6" s="38">
        <f t="shared" si="14"/>
        <v>6745.0000000003456</v>
      </c>
      <c r="H6" s="1">
        <v>3433</v>
      </c>
      <c r="I6" s="54">
        <f t="shared" si="15"/>
        <v>8</v>
      </c>
      <c r="J6" s="38">
        <f t="shared" si="16"/>
        <v>15200</v>
      </c>
      <c r="K6" s="7">
        <v>13489.25</v>
      </c>
      <c r="L6" s="54">
        <f t="shared" si="17"/>
        <v>1.5100000000002183</v>
      </c>
      <c r="M6" s="38">
        <f t="shared" si="18"/>
        <v>2869.0000000004147</v>
      </c>
      <c r="N6" s="7">
        <v>3102.2669999999998</v>
      </c>
      <c r="O6" s="54">
        <f t="shared" si="19"/>
        <v>1.7809999999999491</v>
      </c>
      <c r="P6" s="38">
        <f t="shared" si="20"/>
        <v>3383.8999999999028</v>
      </c>
      <c r="Q6" s="7">
        <v>4900.5200000000004</v>
      </c>
      <c r="R6" s="54">
        <f t="shared" si="21"/>
        <v>3.3200000000006185</v>
      </c>
      <c r="S6" s="38">
        <f t="shared" si="22"/>
        <v>6308.0000000011751</v>
      </c>
      <c r="T6" s="8">
        <f t="shared" ref="T6:T33" si="24">C6+F6+I6+L6+O6+R6</f>
        <v>32.209000000003471</v>
      </c>
      <c r="U6" s="40">
        <f t="shared" si="23"/>
        <v>61197.100000006591</v>
      </c>
    </row>
    <row r="7" spans="1:25" ht="16.5" thickBot="1" x14ac:dyDescent="0.25">
      <c r="A7" s="10">
        <v>44382</v>
      </c>
      <c r="B7" s="1">
        <v>21135.441999999999</v>
      </c>
      <c r="C7" s="54">
        <f t="shared" si="11"/>
        <v>12.473999999998341</v>
      </c>
      <c r="D7" s="38">
        <f t="shared" si="12"/>
        <v>23700.599999996848</v>
      </c>
      <c r="E7" s="1">
        <v>3704.748</v>
      </c>
      <c r="F7" s="54">
        <f t="shared" si="13"/>
        <v>3.7649999999998727</v>
      </c>
      <c r="G7" s="38">
        <f t="shared" si="14"/>
        <v>7153.4999999997581</v>
      </c>
      <c r="H7" s="1">
        <v>3441</v>
      </c>
      <c r="I7" s="54">
        <f t="shared" si="15"/>
        <v>8</v>
      </c>
      <c r="J7" s="38">
        <f t="shared" si="16"/>
        <v>15200</v>
      </c>
      <c r="K7" s="7">
        <v>13491.62</v>
      </c>
      <c r="L7" s="54">
        <f t="shared" si="17"/>
        <v>2.3700000000008004</v>
      </c>
      <c r="M7" s="38">
        <f t="shared" si="18"/>
        <v>4503.0000000015207</v>
      </c>
      <c r="N7" s="7">
        <v>3104.0239999999999</v>
      </c>
      <c r="O7" s="54">
        <f t="shared" si="19"/>
        <v>1.7570000000000618</v>
      </c>
      <c r="P7" s="38">
        <f t="shared" si="20"/>
        <v>3338.3000000001175</v>
      </c>
      <c r="Q7" s="7">
        <v>4903.6000000000004</v>
      </c>
      <c r="R7" s="54">
        <f t="shared" si="21"/>
        <v>3.0799999999999272</v>
      </c>
      <c r="S7" s="38">
        <f t="shared" si="22"/>
        <v>5851.9999999998618</v>
      </c>
      <c r="T7" s="8">
        <f t="shared" si="24"/>
        <v>31.445999999999003</v>
      </c>
      <c r="U7" s="40">
        <f t="shared" si="23"/>
        <v>59747.399999998102</v>
      </c>
    </row>
    <row r="8" spans="1:25" ht="16.5" thickBot="1" x14ac:dyDescent="0.25">
      <c r="A8" s="10">
        <v>44383</v>
      </c>
      <c r="B8" s="1">
        <v>21148.514999999999</v>
      </c>
      <c r="C8" s="54">
        <f t="shared" si="11"/>
        <v>13.07300000000032</v>
      </c>
      <c r="D8" s="38">
        <f t="shared" si="12"/>
        <v>24838.700000000608</v>
      </c>
      <c r="E8" s="1">
        <v>3708.665</v>
      </c>
      <c r="F8" s="54">
        <f t="shared" si="13"/>
        <v>3.9169999999999163</v>
      </c>
      <c r="G8" s="38">
        <f t="shared" si="14"/>
        <v>7442.2999999998401</v>
      </c>
      <c r="H8" s="1">
        <v>3449</v>
      </c>
      <c r="I8" s="54">
        <f t="shared" si="15"/>
        <v>8</v>
      </c>
      <c r="J8" s="38">
        <f t="shared" si="16"/>
        <v>15200</v>
      </c>
      <c r="K8" s="7">
        <v>13494.13</v>
      </c>
      <c r="L8" s="54">
        <f t="shared" si="17"/>
        <v>2.5099999999983993</v>
      </c>
      <c r="M8" s="38">
        <f t="shared" si="18"/>
        <v>4768.9999999969577</v>
      </c>
      <c r="N8" s="7">
        <v>3105.8850000000002</v>
      </c>
      <c r="O8" s="54">
        <f t="shared" si="19"/>
        <v>1.8610000000003311</v>
      </c>
      <c r="P8" s="38">
        <f t="shared" si="20"/>
        <v>3535.9000000006286</v>
      </c>
      <c r="Q8" s="7">
        <v>4905.9399999999996</v>
      </c>
      <c r="R8" s="54">
        <f t="shared" si="21"/>
        <v>2.339999999999236</v>
      </c>
      <c r="S8" s="38">
        <f t="shared" si="22"/>
        <v>4445.9999999985484</v>
      </c>
      <c r="T8" s="8">
        <f t="shared" si="24"/>
        <v>31.700999999998203</v>
      </c>
      <c r="U8" s="40">
        <f t="shared" si="23"/>
        <v>60231.899999996589</v>
      </c>
    </row>
    <row r="9" spans="1:25" ht="16.5" thickBot="1" x14ac:dyDescent="0.25">
      <c r="A9" s="10">
        <v>44384</v>
      </c>
      <c r="B9" s="1">
        <v>21161.072</v>
      </c>
      <c r="C9" s="54">
        <f t="shared" si="11"/>
        <v>12.557000000000698</v>
      </c>
      <c r="D9" s="38">
        <f t="shared" si="12"/>
        <v>23858.300000001323</v>
      </c>
      <c r="E9" s="1">
        <v>3712.56</v>
      </c>
      <c r="F9" s="54">
        <f t="shared" si="13"/>
        <v>3.8949999999999818</v>
      </c>
      <c r="G9" s="38">
        <f t="shared" si="14"/>
        <v>7400.4999999999654</v>
      </c>
      <c r="H9" s="1">
        <v>3456</v>
      </c>
      <c r="I9" s="54">
        <f t="shared" si="15"/>
        <v>7</v>
      </c>
      <c r="J9" s="38">
        <f t="shared" si="16"/>
        <v>13299.999999999998</v>
      </c>
      <c r="K9" s="7">
        <v>13496.5</v>
      </c>
      <c r="L9" s="54">
        <f t="shared" si="17"/>
        <v>2.3700000000008004</v>
      </c>
      <c r="M9" s="38">
        <f t="shared" si="18"/>
        <v>4503.0000000015207</v>
      </c>
      <c r="N9" s="7">
        <v>3107.4969999999998</v>
      </c>
      <c r="O9" s="54">
        <f t="shared" si="19"/>
        <v>1.6119999999996253</v>
      </c>
      <c r="P9" s="38">
        <f t="shared" si="20"/>
        <v>3062.799999999288</v>
      </c>
      <c r="Q9" s="7">
        <v>4908.6899999999996</v>
      </c>
      <c r="R9" s="54">
        <f t="shared" si="21"/>
        <v>2.75</v>
      </c>
      <c r="S9" s="38">
        <f t="shared" si="22"/>
        <v>5225</v>
      </c>
      <c r="T9" s="8">
        <f t="shared" si="24"/>
        <v>30.184000000001106</v>
      </c>
      <c r="U9" s="40">
        <f t="shared" si="23"/>
        <v>57349.600000002101</v>
      </c>
    </row>
    <row r="10" spans="1:25" ht="16.5" thickBot="1" x14ac:dyDescent="0.25">
      <c r="A10" s="10">
        <v>44385</v>
      </c>
      <c r="B10" s="1">
        <v>21173.966</v>
      </c>
      <c r="C10" s="54">
        <f t="shared" si="11"/>
        <v>12.894000000000233</v>
      </c>
      <c r="D10" s="38">
        <f t="shared" si="12"/>
        <v>24498.600000000439</v>
      </c>
      <c r="E10" s="1">
        <v>3716.384</v>
      </c>
      <c r="F10" s="54">
        <f t="shared" si="13"/>
        <v>3.8240000000000691</v>
      </c>
      <c r="G10" s="38">
        <f t="shared" si="14"/>
        <v>7265.6000000001304</v>
      </c>
      <c r="H10" s="1">
        <v>3465</v>
      </c>
      <c r="I10" s="54">
        <f t="shared" si="15"/>
        <v>9</v>
      </c>
      <c r="J10" s="38">
        <f t="shared" si="16"/>
        <v>17099.999999999996</v>
      </c>
      <c r="K10" s="7">
        <v>13498.75</v>
      </c>
      <c r="L10" s="54">
        <f t="shared" si="17"/>
        <v>2.25</v>
      </c>
      <c r="M10" s="38">
        <f t="shared" si="18"/>
        <v>4274.9999999999991</v>
      </c>
      <c r="N10" s="7">
        <v>3109.1320000000001</v>
      </c>
      <c r="O10" s="54">
        <f t="shared" si="19"/>
        <v>1.6350000000002183</v>
      </c>
      <c r="P10" s="38">
        <f t="shared" si="20"/>
        <v>3106.5000000004143</v>
      </c>
      <c r="Q10" s="7">
        <v>4911.01</v>
      </c>
      <c r="R10" s="54">
        <f t="shared" si="21"/>
        <v>2.3200000000006185</v>
      </c>
      <c r="S10" s="38">
        <f t="shared" si="22"/>
        <v>4408.0000000011742</v>
      </c>
      <c r="T10" s="8">
        <f t="shared" si="24"/>
        <v>31.923000000001139</v>
      </c>
      <c r="U10" s="40">
        <f t="shared" si="23"/>
        <v>60653.700000002158</v>
      </c>
    </row>
    <row r="11" spans="1:25" ht="16.5" thickBot="1" x14ac:dyDescent="0.25">
      <c r="A11" s="10">
        <v>44386</v>
      </c>
      <c r="B11" s="1">
        <f t="shared" ref="B10:B33" si="25">B10</f>
        <v>21173.966</v>
      </c>
      <c r="C11" s="54">
        <f t="shared" si="11"/>
        <v>0</v>
      </c>
      <c r="D11" s="38">
        <f t="shared" si="12"/>
        <v>0</v>
      </c>
      <c r="E11" s="1">
        <f t="shared" ref="E10:E33" si="26">E10</f>
        <v>3716.384</v>
      </c>
      <c r="F11" s="54">
        <f t="shared" si="13"/>
        <v>0</v>
      </c>
      <c r="G11" s="38">
        <f t="shared" si="14"/>
        <v>0</v>
      </c>
      <c r="H11" s="1">
        <f t="shared" ref="H10:H33" si="27">H10</f>
        <v>3465</v>
      </c>
      <c r="I11" s="54">
        <f t="shared" si="15"/>
        <v>0</v>
      </c>
      <c r="J11" s="38">
        <f t="shared" si="16"/>
        <v>0</v>
      </c>
      <c r="K11" s="7">
        <f t="shared" ref="K10:K33" si="28">K10</f>
        <v>13498.75</v>
      </c>
      <c r="L11" s="54">
        <f t="shared" si="17"/>
        <v>0</v>
      </c>
      <c r="M11" s="38">
        <f t="shared" si="18"/>
        <v>0</v>
      </c>
      <c r="N11" s="7">
        <f t="shared" ref="N10:N33" si="29">N10</f>
        <v>3109.1320000000001</v>
      </c>
      <c r="O11" s="54">
        <f t="shared" si="19"/>
        <v>0</v>
      </c>
      <c r="P11" s="38">
        <f t="shared" si="20"/>
        <v>0</v>
      </c>
      <c r="Q11" s="7">
        <f t="shared" ref="Q10:Q33" si="30">Q10</f>
        <v>4911.01</v>
      </c>
      <c r="R11" s="54">
        <f t="shared" si="21"/>
        <v>0</v>
      </c>
      <c r="S11" s="38">
        <f t="shared" si="22"/>
        <v>0</v>
      </c>
      <c r="T11" s="8">
        <f t="shared" si="24"/>
        <v>0</v>
      </c>
      <c r="U11" s="40">
        <f t="shared" si="23"/>
        <v>0</v>
      </c>
    </row>
    <row r="12" spans="1:25" ht="16.5" thickBot="1" x14ac:dyDescent="0.25">
      <c r="A12" s="10">
        <v>44387</v>
      </c>
      <c r="B12" s="1">
        <f t="shared" si="25"/>
        <v>21173.966</v>
      </c>
      <c r="C12" s="54">
        <f t="shared" si="11"/>
        <v>0</v>
      </c>
      <c r="D12" s="38">
        <f t="shared" si="12"/>
        <v>0</v>
      </c>
      <c r="E12" s="1">
        <f t="shared" si="26"/>
        <v>3716.384</v>
      </c>
      <c r="F12" s="54">
        <f t="shared" si="13"/>
        <v>0</v>
      </c>
      <c r="G12" s="38">
        <f t="shared" si="14"/>
        <v>0</v>
      </c>
      <c r="H12" s="1">
        <f t="shared" si="27"/>
        <v>3465</v>
      </c>
      <c r="I12" s="54">
        <f t="shared" si="15"/>
        <v>0</v>
      </c>
      <c r="J12" s="38">
        <f t="shared" si="16"/>
        <v>0</v>
      </c>
      <c r="K12" s="7">
        <f t="shared" si="28"/>
        <v>13498.75</v>
      </c>
      <c r="L12" s="54">
        <f t="shared" si="17"/>
        <v>0</v>
      </c>
      <c r="M12" s="38">
        <f t="shared" si="18"/>
        <v>0</v>
      </c>
      <c r="N12" s="7">
        <f t="shared" si="29"/>
        <v>3109.1320000000001</v>
      </c>
      <c r="O12" s="54">
        <f t="shared" si="19"/>
        <v>0</v>
      </c>
      <c r="P12" s="38">
        <f t="shared" si="20"/>
        <v>0</v>
      </c>
      <c r="Q12" s="7">
        <f t="shared" si="30"/>
        <v>4911.01</v>
      </c>
      <c r="R12" s="54">
        <f t="shared" si="21"/>
        <v>0</v>
      </c>
      <c r="S12" s="38">
        <f t="shared" si="22"/>
        <v>0</v>
      </c>
      <c r="T12" s="8">
        <f t="shared" si="24"/>
        <v>0</v>
      </c>
      <c r="U12" s="40">
        <f t="shared" si="23"/>
        <v>0</v>
      </c>
    </row>
    <row r="13" spans="1:25" ht="16.5" thickBot="1" x14ac:dyDescent="0.25">
      <c r="A13" s="10">
        <v>44388</v>
      </c>
      <c r="B13" s="1">
        <f t="shared" si="25"/>
        <v>21173.966</v>
      </c>
      <c r="C13" s="54">
        <f t="shared" si="11"/>
        <v>0</v>
      </c>
      <c r="D13" s="38">
        <f t="shared" si="12"/>
        <v>0</v>
      </c>
      <c r="E13" s="1">
        <f t="shared" si="26"/>
        <v>3716.384</v>
      </c>
      <c r="F13" s="54">
        <f t="shared" si="13"/>
        <v>0</v>
      </c>
      <c r="G13" s="38">
        <f t="shared" si="14"/>
        <v>0</v>
      </c>
      <c r="H13" s="1">
        <f t="shared" si="27"/>
        <v>3465</v>
      </c>
      <c r="I13" s="54">
        <f t="shared" si="15"/>
        <v>0</v>
      </c>
      <c r="J13" s="38">
        <f t="shared" si="16"/>
        <v>0</v>
      </c>
      <c r="K13" s="7">
        <f t="shared" si="28"/>
        <v>13498.75</v>
      </c>
      <c r="L13" s="54">
        <f t="shared" si="17"/>
        <v>0</v>
      </c>
      <c r="M13" s="38">
        <f t="shared" si="18"/>
        <v>0</v>
      </c>
      <c r="N13" s="7">
        <f t="shared" si="29"/>
        <v>3109.1320000000001</v>
      </c>
      <c r="O13" s="54">
        <f t="shared" si="19"/>
        <v>0</v>
      </c>
      <c r="P13" s="38">
        <f t="shared" si="20"/>
        <v>0</v>
      </c>
      <c r="Q13" s="7">
        <f t="shared" si="30"/>
        <v>4911.01</v>
      </c>
      <c r="R13" s="54">
        <f t="shared" si="21"/>
        <v>0</v>
      </c>
      <c r="S13" s="38">
        <f t="shared" si="22"/>
        <v>0</v>
      </c>
      <c r="T13" s="8">
        <f t="shared" si="24"/>
        <v>0</v>
      </c>
      <c r="U13" s="40">
        <f t="shared" si="23"/>
        <v>0</v>
      </c>
    </row>
    <row r="14" spans="1:25" ht="16.5" thickBot="1" x14ac:dyDescent="0.25">
      <c r="A14" s="10">
        <v>44389</v>
      </c>
      <c r="B14" s="1">
        <f t="shared" si="25"/>
        <v>21173.966</v>
      </c>
      <c r="C14" s="54">
        <f t="shared" si="11"/>
        <v>0</v>
      </c>
      <c r="D14" s="38">
        <f t="shared" si="12"/>
        <v>0</v>
      </c>
      <c r="E14" s="1">
        <f t="shared" si="26"/>
        <v>3716.384</v>
      </c>
      <c r="F14" s="54">
        <f t="shared" si="13"/>
        <v>0</v>
      </c>
      <c r="G14" s="38">
        <f t="shared" si="14"/>
        <v>0</v>
      </c>
      <c r="H14" s="1">
        <f t="shared" si="27"/>
        <v>3465</v>
      </c>
      <c r="I14" s="54">
        <f t="shared" si="15"/>
        <v>0</v>
      </c>
      <c r="J14" s="38">
        <f t="shared" si="16"/>
        <v>0</v>
      </c>
      <c r="K14" s="7">
        <f t="shared" si="28"/>
        <v>13498.75</v>
      </c>
      <c r="L14" s="54">
        <f t="shared" si="17"/>
        <v>0</v>
      </c>
      <c r="M14" s="38">
        <f t="shared" si="18"/>
        <v>0</v>
      </c>
      <c r="N14" s="7">
        <f t="shared" si="29"/>
        <v>3109.1320000000001</v>
      </c>
      <c r="O14" s="54">
        <f t="shared" si="19"/>
        <v>0</v>
      </c>
      <c r="P14" s="38">
        <f t="shared" si="20"/>
        <v>0</v>
      </c>
      <c r="Q14" s="7">
        <f t="shared" si="30"/>
        <v>4911.01</v>
      </c>
      <c r="R14" s="54">
        <f t="shared" si="21"/>
        <v>0</v>
      </c>
      <c r="S14" s="38">
        <f t="shared" si="22"/>
        <v>0</v>
      </c>
      <c r="T14" s="8">
        <f t="shared" si="24"/>
        <v>0</v>
      </c>
      <c r="U14" s="40">
        <f t="shared" si="23"/>
        <v>0</v>
      </c>
    </row>
    <row r="15" spans="1:25" ht="16.5" thickBot="1" x14ac:dyDescent="0.25">
      <c r="A15" s="10">
        <v>44390</v>
      </c>
      <c r="B15" s="1">
        <f t="shared" si="25"/>
        <v>21173.966</v>
      </c>
      <c r="C15" s="54">
        <f t="shared" si="11"/>
        <v>0</v>
      </c>
      <c r="D15" s="38">
        <f t="shared" si="12"/>
        <v>0</v>
      </c>
      <c r="E15" s="1">
        <f t="shared" si="26"/>
        <v>3716.384</v>
      </c>
      <c r="F15" s="54">
        <f t="shared" si="13"/>
        <v>0</v>
      </c>
      <c r="G15" s="38">
        <f t="shared" si="14"/>
        <v>0</v>
      </c>
      <c r="H15" s="1">
        <f t="shared" si="27"/>
        <v>3465</v>
      </c>
      <c r="I15" s="54">
        <f t="shared" si="15"/>
        <v>0</v>
      </c>
      <c r="J15" s="38">
        <f t="shared" si="16"/>
        <v>0</v>
      </c>
      <c r="K15" s="7">
        <f t="shared" si="28"/>
        <v>13498.75</v>
      </c>
      <c r="L15" s="54">
        <f t="shared" si="17"/>
        <v>0</v>
      </c>
      <c r="M15" s="38">
        <f t="shared" si="18"/>
        <v>0</v>
      </c>
      <c r="N15" s="7">
        <f t="shared" si="29"/>
        <v>3109.1320000000001</v>
      </c>
      <c r="O15" s="54">
        <f t="shared" si="19"/>
        <v>0</v>
      </c>
      <c r="P15" s="38">
        <f t="shared" si="20"/>
        <v>0</v>
      </c>
      <c r="Q15" s="7">
        <f t="shared" si="30"/>
        <v>4911.01</v>
      </c>
      <c r="R15" s="54">
        <f t="shared" si="21"/>
        <v>0</v>
      </c>
      <c r="S15" s="38">
        <f t="shared" si="22"/>
        <v>0</v>
      </c>
      <c r="T15" s="8">
        <f t="shared" si="24"/>
        <v>0</v>
      </c>
      <c r="U15" s="40">
        <f t="shared" si="23"/>
        <v>0</v>
      </c>
      <c r="W15" t="s">
        <v>12</v>
      </c>
    </row>
    <row r="16" spans="1:25" ht="16.5" thickBot="1" x14ac:dyDescent="0.25">
      <c r="A16" s="10">
        <v>44391</v>
      </c>
      <c r="B16" s="1">
        <f t="shared" si="25"/>
        <v>21173.966</v>
      </c>
      <c r="C16" s="54">
        <f t="shared" si="11"/>
        <v>0</v>
      </c>
      <c r="D16" s="38">
        <f t="shared" si="12"/>
        <v>0</v>
      </c>
      <c r="E16" s="1">
        <f t="shared" si="26"/>
        <v>3716.384</v>
      </c>
      <c r="F16" s="54">
        <f t="shared" si="13"/>
        <v>0</v>
      </c>
      <c r="G16" s="38">
        <f t="shared" si="14"/>
        <v>0</v>
      </c>
      <c r="H16" s="1">
        <f t="shared" si="27"/>
        <v>3465</v>
      </c>
      <c r="I16" s="54">
        <f t="shared" si="15"/>
        <v>0</v>
      </c>
      <c r="J16" s="38">
        <f t="shared" si="16"/>
        <v>0</v>
      </c>
      <c r="K16" s="7">
        <f t="shared" si="28"/>
        <v>13498.75</v>
      </c>
      <c r="L16" s="54">
        <f t="shared" si="17"/>
        <v>0</v>
      </c>
      <c r="M16" s="38">
        <f t="shared" si="18"/>
        <v>0</v>
      </c>
      <c r="N16" s="7">
        <f t="shared" si="29"/>
        <v>3109.1320000000001</v>
      </c>
      <c r="O16" s="54">
        <f t="shared" si="19"/>
        <v>0</v>
      </c>
      <c r="P16" s="38">
        <f t="shared" si="20"/>
        <v>0</v>
      </c>
      <c r="Q16" s="7">
        <f t="shared" si="30"/>
        <v>4911.01</v>
      </c>
      <c r="R16" s="54">
        <f t="shared" si="21"/>
        <v>0</v>
      </c>
      <c r="S16" s="38">
        <f t="shared" si="22"/>
        <v>0</v>
      </c>
      <c r="T16" s="8">
        <f t="shared" si="24"/>
        <v>0</v>
      </c>
      <c r="U16" s="40">
        <f t="shared" si="23"/>
        <v>0</v>
      </c>
      <c r="Y16" t="s">
        <v>12</v>
      </c>
    </row>
    <row r="17" spans="1:24" ht="16.5" thickBot="1" x14ac:dyDescent="0.25">
      <c r="A17" s="10">
        <v>44392</v>
      </c>
      <c r="B17" s="1">
        <f t="shared" si="25"/>
        <v>21173.966</v>
      </c>
      <c r="C17" s="54">
        <f t="shared" si="11"/>
        <v>0</v>
      </c>
      <c r="D17" s="38">
        <f t="shared" si="12"/>
        <v>0</v>
      </c>
      <c r="E17" s="1">
        <f t="shared" si="26"/>
        <v>3716.384</v>
      </c>
      <c r="F17" s="54">
        <f t="shared" si="13"/>
        <v>0</v>
      </c>
      <c r="G17" s="38">
        <f t="shared" si="14"/>
        <v>0</v>
      </c>
      <c r="H17" s="1">
        <f t="shared" si="27"/>
        <v>3465</v>
      </c>
      <c r="I17" s="54">
        <f t="shared" si="15"/>
        <v>0</v>
      </c>
      <c r="J17" s="38">
        <f t="shared" si="16"/>
        <v>0</v>
      </c>
      <c r="K17" s="7">
        <f t="shared" si="28"/>
        <v>13498.75</v>
      </c>
      <c r="L17" s="54">
        <f t="shared" si="17"/>
        <v>0</v>
      </c>
      <c r="M17" s="38">
        <f t="shared" si="18"/>
        <v>0</v>
      </c>
      <c r="N17" s="7">
        <f t="shared" si="29"/>
        <v>3109.1320000000001</v>
      </c>
      <c r="O17" s="54">
        <f t="shared" si="19"/>
        <v>0</v>
      </c>
      <c r="P17" s="38">
        <f t="shared" si="20"/>
        <v>0</v>
      </c>
      <c r="Q17" s="7">
        <f t="shared" si="30"/>
        <v>4911.01</v>
      </c>
      <c r="R17" s="54">
        <f t="shared" si="21"/>
        <v>0</v>
      </c>
      <c r="S17" s="38">
        <f t="shared" si="22"/>
        <v>0</v>
      </c>
      <c r="T17" s="8">
        <f t="shared" si="24"/>
        <v>0</v>
      </c>
      <c r="U17" s="40">
        <f t="shared" si="23"/>
        <v>0</v>
      </c>
    </row>
    <row r="18" spans="1:24" ht="16.5" thickBot="1" x14ac:dyDescent="0.25">
      <c r="A18" s="10">
        <v>44393</v>
      </c>
      <c r="B18" s="1">
        <f t="shared" si="25"/>
        <v>21173.966</v>
      </c>
      <c r="C18" s="54">
        <f t="shared" si="11"/>
        <v>0</v>
      </c>
      <c r="D18" s="38">
        <f t="shared" si="12"/>
        <v>0</v>
      </c>
      <c r="E18" s="1">
        <f t="shared" si="26"/>
        <v>3716.384</v>
      </c>
      <c r="F18" s="54">
        <f t="shared" si="13"/>
        <v>0</v>
      </c>
      <c r="G18" s="38">
        <f t="shared" si="14"/>
        <v>0</v>
      </c>
      <c r="H18" s="1">
        <f t="shared" si="27"/>
        <v>3465</v>
      </c>
      <c r="I18" s="54">
        <f t="shared" si="15"/>
        <v>0</v>
      </c>
      <c r="J18" s="38">
        <f t="shared" si="16"/>
        <v>0</v>
      </c>
      <c r="K18" s="7">
        <f t="shared" si="28"/>
        <v>13498.75</v>
      </c>
      <c r="L18" s="54">
        <f t="shared" si="17"/>
        <v>0</v>
      </c>
      <c r="M18" s="38">
        <f t="shared" si="18"/>
        <v>0</v>
      </c>
      <c r="N18" s="7">
        <f t="shared" si="29"/>
        <v>3109.1320000000001</v>
      </c>
      <c r="O18" s="54">
        <f t="shared" si="19"/>
        <v>0</v>
      </c>
      <c r="P18" s="38">
        <f t="shared" si="20"/>
        <v>0</v>
      </c>
      <c r="Q18" s="7">
        <f t="shared" si="30"/>
        <v>4911.01</v>
      </c>
      <c r="R18" s="54">
        <f t="shared" si="21"/>
        <v>0</v>
      </c>
      <c r="S18" s="38">
        <f t="shared" si="22"/>
        <v>0</v>
      </c>
      <c r="T18" s="8">
        <f t="shared" si="24"/>
        <v>0</v>
      </c>
      <c r="U18" s="40">
        <f t="shared" si="23"/>
        <v>0</v>
      </c>
    </row>
    <row r="19" spans="1:24" ht="16.5" thickBot="1" x14ac:dyDescent="0.25">
      <c r="A19" s="10">
        <v>44394</v>
      </c>
      <c r="B19" s="1">
        <f t="shared" si="25"/>
        <v>21173.966</v>
      </c>
      <c r="C19" s="54">
        <f t="shared" si="11"/>
        <v>0</v>
      </c>
      <c r="D19" s="38">
        <f t="shared" si="12"/>
        <v>0</v>
      </c>
      <c r="E19" s="1">
        <f t="shared" si="26"/>
        <v>3716.384</v>
      </c>
      <c r="F19" s="54">
        <f t="shared" si="13"/>
        <v>0</v>
      </c>
      <c r="G19" s="38">
        <f t="shared" si="14"/>
        <v>0</v>
      </c>
      <c r="H19" s="1">
        <f t="shared" si="27"/>
        <v>3465</v>
      </c>
      <c r="I19" s="54">
        <f t="shared" si="15"/>
        <v>0</v>
      </c>
      <c r="J19" s="38">
        <f t="shared" si="16"/>
        <v>0</v>
      </c>
      <c r="K19" s="7">
        <f t="shared" si="28"/>
        <v>13498.75</v>
      </c>
      <c r="L19" s="54">
        <f t="shared" si="17"/>
        <v>0</v>
      </c>
      <c r="M19" s="38">
        <f t="shared" si="18"/>
        <v>0</v>
      </c>
      <c r="N19" s="7">
        <f t="shared" si="29"/>
        <v>3109.1320000000001</v>
      </c>
      <c r="O19" s="54">
        <f t="shared" si="19"/>
        <v>0</v>
      </c>
      <c r="P19" s="38">
        <f t="shared" si="20"/>
        <v>0</v>
      </c>
      <c r="Q19" s="7">
        <f t="shared" si="30"/>
        <v>4911.01</v>
      </c>
      <c r="R19" s="54">
        <f t="shared" si="21"/>
        <v>0</v>
      </c>
      <c r="S19" s="38">
        <f t="shared" si="22"/>
        <v>0</v>
      </c>
      <c r="T19" s="8">
        <f t="shared" si="24"/>
        <v>0</v>
      </c>
      <c r="U19" s="40">
        <f t="shared" si="23"/>
        <v>0</v>
      </c>
    </row>
    <row r="20" spans="1:24" ht="16.5" thickBot="1" x14ac:dyDescent="0.25">
      <c r="A20" s="10">
        <v>44395</v>
      </c>
      <c r="B20" s="1">
        <f t="shared" si="25"/>
        <v>21173.966</v>
      </c>
      <c r="C20" s="54">
        <f t="shared" si="11"/>
        <v>0</v>
      </c>
      <c r="D20" s="38">
        <f t="shared" si="12"/>
        <v>0</v>
      </c>
      <c r="E20" s="1">
        <f t="shared" si="26"/>
        <v>3716.384</v>
      </c>
      <c r="F20" s="54">
        <f t="shared" si="13"/>
        <v>0</v>
      </c>
      <c r="G20" s="38">
        <f t="shared" si="14"/>
        <v>0</v>
      </c>
      <c r="H20" s="1">
        <f t="shared" si="27"/>
        <v>3465</v>
      </c>
      <c r="I20" s="54">
        <f t="shared" si="15"/>
        <v>0</v>
      </c>
      <c r="J20" s="38">
        <f t="shared" si="16"/>
        <v>0</v>
      </c>
      <c r="K20" s="7">
        <f t="shared" si="28"/>
        <v>13498.75</v>
      </c>
      <c r="L20" s="54">
        <f t="shared" si="17"/>
        <v>0</v>
      </c>
      <c r="M20" s="38">
        <f t="shared" si="18"/>
        <v>0</v>
      </c>
      <c r="N20" s="7">
        <f t="shared" si="29"/>
        <v>3109.1320000000001</v>
      </c>
      <c r="O20" s="54">
        <f t="shared" si="19"/>
        <v>0</v>
      </c>
      <c r="P20" s="38">
        <f t="shared" si="20"/>
        <v>0</v>
      </c>
      <c r="Q20" s="7">
        <f t="shared" si="30"/>
        <v>4911.01</v>
      </c>
      <c r="R20" s="54">
        <f t="shared" si="21"/>
        <v>0</v>
      </c>
      <c r="S20" s="38">
        <f t="shared" si="22"/>
        <v>0</v>
      </c>
      <c r="T20" s="8">
        <f t="shared" si="24"/>
        <v>0</v>
      </c>
      <c r="U20" s="40">
        <f t="shared" si="23"/>
        <v>0</v>
      </c>
      <c r="X20" t="s">
        <v>12</v>
      </c>
    </row>
    <row r="21" spans="1:24" ht="16.5" thickBot="1" x14ac:dyDescent="0.25">
      <c r="A21" s="10">
        <v>44396</v>
      </c>
      <c r="B21" s="1">
        <f t="shared" si="25"/>
        <v>21173.966</v>
      </c>
      <c r="C21" s="54">
        <f t="shared" si="11"/>
        <v>0</v>
      </c>
      <c r="D21" s="38">
        <f t="shared" si="12"/>
        <v>0</v>
      </c>
      <c r="E21" s="1">
        <f t="shared" si="26"/>
        <v>3716.384</v>
      </c>
      <c r="F21" s="54">
        <f t="shared" si="13"/>
        <v>0</v>
      </c>
      <c r="G21" s="38">
        <f t="shared" si="14"/>
        <v>0</v>
      </c>
      <c r="H21" s="1">
        <f t="shared" si="27"/>
        <v>3465</v>
      </c>
      <c r="I21" s="54">
        <f t="shared" si="15"/>
        <v>0</v>
      </c>
      <c r="J21" s="38">
        <f t="shared" si="16"/>
        <v>0</v>
      </c>
      <c r="K21" s="7">
        <f t="shared" si="28"/>
        <v>13498.75</v>
      </c>
      <c r="L21" s="54">
        <f t="shared" si="17"/>
        <v>0</v>
      </c>
      <c r="M21" s="38">
        <f t="shared" si="18"/>
        <v>0</v>
      </c>
      <c r="N21" s="7">
        <f t="shared" si="29"/>
        <v>3109.1320000000001</v>
      </c>
      <c r="O21" s="54">
        <f t="shared" si="19"/>
        <v>0</v>
      </c>
      <c r="P21" s="38">
        <f t="shared" si="20"/>
        <v>0</v>
      </c>
      <c r="Q21" s="7">
        <f t="shared" si="30"/>
        <v>4911.01</v>
      </c>
      <c r="R21" s="54">
        <f t="shared" si="21"/>
        <v>0</v>
      </c>
      <c r="S21" s="38">
        <f t="shared" si="22"/>
        <v>0</v>
      </c>
      <c r="T21" s="8">
        <f t="shared" si="24"/>
        <v>0</v>
      </c>
      <c r="U21" s="40">
        <f t="shared" si="23"/>
        <v>0</v>
      </c>
    </row>
    <row r="22" spans="1:24" ht="16.5" thickBot="1" x14ac:dyDescent="0.25">
      <c r="A22" s="10">
        <v>44397</v>
      </c>
      <c r="B22" s="1">
        <f t="shared" si="25"/>
        <v>21173.966</v>
      </c>
      <c r="C22" s="54">
        <f t="shared" si="11"/>
        <v>0</v>
      </c>
      <c r="D22" s="38">
        <f t="shared" si="12"/>
        <v>0</v>
      </c>
      <c r="E22" s="1">
        <f t="shared" si="26"/>
        <v>3716.384</v>
      </c>
      <c r="F22" s="54">
        <f t="shared" si="13"/>
        <v>0</v>
      </c>
      <c r="G22" s="38">
        <f t="shared" si="14"/>
        <v>0</v>
      </c>
      <c r="H22" s="1">
        <f t="shared" si="27"/>
        <v>3465</v>
      </c>
      <c r="I22" s="54">
        <f t="shared" si="15"/>
        <v>0</v>
      </c>
      <c r="J22" s="38">
        <f t="shared" si="16"/>
        <v>0</v>
      </c>
      <c r="K22" s="7">
        <f t="shared" si="28"/>
        <v>13498.75</v>
      </c>
      <c r="L22" s="54">
        <f t="shared" si="17"/>
        <v>0</v>
      </c>
      <c r="M22" s="38">
        <f t="shared" si="18"/>
        <v>0</v>
      </c>
      <c r="N22" s="7">
        <f t="shared" si="29"/>
        <v>3109.1320000000001</v>
      </c>
      <c r="O22" s="54">
        <f t="shared" si="19"/>
        <v>0</v>
      </c>
      <c r="P22" s="38">
        <f t="shared" si="20"/>
        <v>0</v>
      </c>
      <c r="Q22" s="7">
        <f t="shared" si="30"/>
        <v>4911.01</v>
      </c>
      <c r="R22" s="54">
        <f t="shared" si="21"/>
        <v>0</v>
      </c>
      <c r="S22" s="38">
        <f t="shared" si="22"/>
        <v>0</v>
      </c>
      <c r="T22" s="8">
        <f t="shared" si="24"/>
        <v>0</v>
      </c>
      <c r="U22" s="40">
        <f t="shared" si="23"/>
        <v>0</v>
      </c>
    </row>
    <row r="23" spans="1:24" ht="16.5" thickBot="1" x14ac:dyDescent="0.25">
      <c r="A23" s="10">
        <v>44398</v>
      </c>
      <c r="B23" s="1">
        <f t="shared" si="25"/>
        <v>21173.966</v>
      </c>
      <c r="C23" s="54">
        <f t="shared" si="11"/>
        <v>0</v>
      </c>
      <c r="D23" s="38">
        <f t="shared" si="12"/>
        <v>0</v>
      </c>
      <c r="E23" s="1">
        <f t="shared" si="26"/>
        <v>3716.384</v>
      </c>
      <c r="F23" s="54">
        <f t="shared" si="13"/>
        <v>0</v>
      </c>
      <c r="G23" s="38">
        <f t="shared" si="14"/>
        <v>0</v>
      </c>
      <c r="H23" s="1">
        <f t="shared" si="27"/>
        <v>3465</v>
      </c>
      <c r="I23" s="54">
        <f t="shared" si="15"/>
        <v>0</v>
      </c>
      <c r="J23" s="38">
        <f t="shared" si="16"/>
        <v>0</v>
      </c>
      <c r="K23" s="7">
        <f t="shared" si="28"/>
        <v>13498.75</v>
      </c>
      <c r="L23" s="54">
        <f t="shared" si="17"/>
        <v>0</v>
      </c>
      <c r="M23" s="38">
        <f t="shared" si="18"/>
        <v>0</v>
      </c>
      <c r="N23" s="7">
        <f t="shared" si="29"/>
        <v>3109.1320000000001</v>
      </c>
      <c r="O23" s="54">
        <f t="shared" si="19"/>
        <v>0</v>
      </c>
      <c r="P23" s="38">
        <f t="shared" si="20"/>
        <v>0</v>
      </c>
      <c r="Q23" s="7">
        <f t="shared" si="30"/>
        <v>4911.01</v>
      </c>
      <c r="R23" s="54">
        <f t="shared" si="21"/>
        <v>0</v>
      </c>
      <c r="S23" s="38">
        <f t="shared" si="22"/>
        <v>0</v>
      </c>
      <c r="T23" s="8">
        <f t="shared" si="24"/>
        <v>0</v>
      </c>
      <c r="U23" s="40">
        <f t="shared" si="23"/>
        <v>0</v>
      </c>
    </row>
    <row r="24" spans="1:24" ht="16.5" thickBot="1" x14ac:dyDescent="0.25">
      <c r="A24" s="10">
        <v>44399</v>
      </c>
      <c r="B24" s="1">
        <f t="shared" si="25"/>
        <v>21173.966</v>
      </c>
      <c r="C24" s="54">
        <f t="shared" si="11"/>
        <v>0</v>
      </c>
      <c r="D24" s="38">
        <f t="shared" si="12"/>
        <v>0</v>
      </c>
      <c r="E24" s="1">
        <f t="shared" si="26"/>
        <v>3716.384</v>
      </c>
      <c r="F24" s="54">
        <f t="shared" si="13"/>
        <v>0</v>
      </c>
      <c r="G24" s="38">
        <f t="shared" si="14"/>
        <v>0</v>
      </c>
      <c r="H24" s="1">
        <f t="shared" si="27"/>
        <v>3465</v>
      </c>
      <c r="I24" s="54">
        <f t="shared" si="15"/>
        <v>0</v>
      </c>
      <c r="J24" s="38">
        <f t="shared" si="16"/>
        <v>0</v>
      </c>
      <c r="K24" s="7">
        <f t="shared" si="28"/>
        <v>13498.75</v>
      </c>
      <c r="L24" s="54">
        <f t="shared" si="17"/>
        <v>0</v>
      </c>
      <c r="M24" s="38">
        <f t="shared" si="18"/>
        <v>0</v>
      </c>
      <c r="N24" s="7">
        <f t="shared" si="29"/>
        <v>3109.1320000000001</v>
      </c>
      <c r="O24" s="54">
        <f t="shared" si="19"/>
        <v>0</v>
      </c>
      <c r="P24" s="38">
        <f t="shared" si="20"/>
        <v>0</v>
      </c>
      <c r="Q24" s="7">
        <f t="shared" si="30"/>
        <v>4911.01</v>
      </c>
      <c r="R24" s="54">
        <f t="shared" si="21"/>
        <v>0</v>
      </c>
      <c r="S24" s="38">
        <f t="shared" si="22"/>
        <v>0</v>
      </c>
      <c r="T24" s="8">
        <f t="shared" si="24"/>
        <v>0</v>
      </c>
      <c r="U24" s="40">
        <f t="shared" si="23"/>
        <v>0</v>
      </c>
    </row>
    <row r="25" spans="1:24" ht="16.5" thickBot="1" x14ac:dyDescent="0.25">
      <c r="A25" s="10">
        <v>44400</v>
      </c>
      <c r="B25" s="1">
        <f t="shared" si="25"/>
        <v>21173.966</v>
      </c>
      <c r="C25" s="54">
        <f t="shared" si="11"/>
        <v>0</v>
      </c>
      <c r="D25" s="38">
        <f t="shared" si="12"/>
        <v>0</v>
      </c>
      <c r="E25" s="1">
        <f t="shared" si="26"/>
        <v>3716.384</v>
      </c>
      <c r="F25" s="54">
        <f t="shared" si="13"/>
        <v>0</v>
      </c>
      <c r="G25" s="38">
        <f t="shared" si="14"/>
        <v>0</v>
      </c>
      <c r="H25" s="1">
        <f t="shared" si="27"/>
        <v>3465</v>
      </c>
      <c r="I25" s="54">
        <f t="shared" si="15"/>
        <v>0</v>
      </c>
      <c r="J25" s="38">
        <f t="shared" si="16"/>
        <v>0</v>
      </c>
      <c r="K25" s="7">
        <f t="shared" si="28"/>
        <v>13498.75</v>
      </c>
      <c r="L25" s="54">
        <f t="shared" si="17"/>
        <v>0</v>
      </c>
      <c r="M25" s="38">
        <f t="shared" si="18"/>
        <v>0</v>
      </c>
      <c r="N25" s="7">
        <f t="shared" si="29"/>
        <v>3109.1320000000001</v>
      </c>
      <c r="O25" s="54">
        <f t="shared" si="19"/>
        <v>0</v>
      </c>
      <c r="P25" s="38">
        <f t="shared" si="20"/>
        <v>0</v>
      </c>
      <c r="Q25" s="7">
        <f t="shared" si="30"/>
        <v>4911.01</v>
      </c>
      <c r="R25" s="54">
        <f t="shared" si="21"/>
        <v>0</v>
      </c>
      <c r="S25" s="38">
        <f t="shared" si="22"/>
        <v>0</v>
      </c>
      <c r="T25" s="8">
        <f t="shared" si="24"/>
        <v>0</v>
      </c>
      <c r="U25" s="40">
        <f t="shared" si="23"/>
        <v>0</v>
      </c>
    </row>
    <row r="26" spans="1:24" ht="16.5" thickBot="1" x14ac:dyDescent="0.25">
      <c r="A26" s="10">
        <v>44401</v>
      </c>
      <c r="B26" s="1">
        <f t="shared" si="25"/>
        <v>21173.966</v>
      </c>
      <c r="C26" s="54">
        <f t="shared" si="11"/>
        <v>0</v>
      </c>
      <c r="D26" s="38">
        <f t="shared" si="12"/>
        <v>0</v>
      </c>
      <c r="E26" s="1">
        <f t="shared" si="26"/>
        <v>3716.384</v>
      </c>
      <c r="F26" s="54">
        <f t="shared" si="13"/>
        <v>0</v>
      </c>
      <c r="G26" s="38">
        <f t="shared" si="14"/>
        <v>0</v>
      </c>
      <c r="H26" s="1">
        <f t="shared" si="27"/>
        <v>3465</v>
      </c>
      <c r="I26" s="54">
        <f t="shared" si="15"/>
        <v>0</v>
      </c>
      <c r="J26" s="38">
        <f t="shared" si="16"/>
        <v>0</v>
      </c>
      <c r="K26" s="7">
        <f t="shared" si="28"/>
        <v>13498.75</v>
      </c>
      <c r="L26" s="54">
        <f t="shared" si="17"/>
        <v>0</v>
      </c>
      <c r="M26" s="38">
        <f t="shared" si="18"/>
        <v>0</v>
      </c>
      <c r="N26" s="7">
        <f t="shared" si="29"/>
        <v>3109.1320000000001</v>
      </c>
      <c r="O26" s="54">
        <f t="shared" si="19"/>
        <v>0</v>
      </c>
      <c r="P26" s="38">
        <f t="shared" si="20"/>
        <v>0</v>
      </c>
      <c r="Q26" s="7">
        <f t="shared" si="30"/>
        <v>4911.01</v>
      </c>
      <c r="R26" s="54">
        <f t="shared" si="21"/>
        <v>0</v>
      </c>
      <c r="S26" s="38">
        <f t="shared" si="22"/>
        <v>0</v>
      </c>
      <c r="T26" s="8">
        <f t="shared" si="24"/>
        <v>0</v>
      </c>
      <c r="U26" s="40">
        <f t="shared" si="23"/>
        <v>0</v>
      </c>
      <c r="V26" t="s">
        <v>12</v>
      </c>
    </row>
    <row r="27" spans="1:24" ht="16.5" thickBot="1" x14ac:dyDescent="0.25">
      <c r="A27" s="10">
        <v>44402</v>
      </c>
      <c r="B27" s="1">
        <f t="shared" si="25"/>
        <v>21173.966</v>
      </c>
      <c r="C27" s="54">
        <f t="shared" si="11"/>
        <v>0</v>
      </c>
      <c r="D27" s="38">
        <f t="shared" si="12"/>
        <v>0</v>
      </c>
      <c r="E27" s="1">
        <f t="shared" si="26"/>
        <v>3716.384</v>
      </c>
      <c r="F27" s="54">
        <f t="shared" si="13"/>
        <v>0</v>
      </c>
      <c r="G27" s="38">
        <f t="shared" si="14"/>
        <v>0</v>
      </c>
      <c r="H27" s="1">
        <f t="shared" si="27"/>
        <v>3465</v>
      </c>
      <c r="I27" s="54">
        <f t="shared" si="15"/>
        <v>0</v>
      </c>
      <c r="J27" s="38">
        <f t="shared" si="16"/>
        <v>0</v>
      </c>
      <c r="K27" s="7">
        <f t="shared" si="28"/>
        <v>13498.75</v>
      </c>
      <c r="L27" s="54">
        <f t="shared" si="17"/>
        <v>0</v>
      </c>
      <c r="M27" s="38">
        <f t="shared" si="18"/>
        <v>0</v>
      </c>
      <c r="N27" s="7">
        <f t="shared" si="29"/>
        <v>3109.1320000000001</v>
      </c>
      <c r="O27" s="54">
        <f t="shared" si="19"/>
        <v>0</v>
      </c>
      <c r="P27" s="38">
        <f t="shared" si="20"/>
        <v>0</v>
      </c>
      <c r="Q27" s="7">
        <f t="shared" si="30"/>
        <v>4911.01</v>
      </c>
      <c r="R27" s="54">
        <f t="shared" si="21"/>
        <v>0</v>
      </c>
      <c r="S27" s="38">
        <f t="shared" si="22"/>
        <v>0</v>
      </c>
      <c r="T27" s="8">
        <f t="shared" si="24"/>
        <v>0</v>
      </c>
      <c r="U27" s="40">
        <f t="shared" si="23"/>
        <v>0</v>
      </c>
      <c r="V27" t="s">
        <v>12</v>
      </c>
    </row>
    <row r="28" spans="1:24" ht="16.5" thickBot="1" x14ac:dyDescent="0.25">
      <c r="A28" s="10">
        <v>44403</v>
      </c>
      <c r="B28" s="1">
        <f t="shared" si="25"/>
        <v>21173.966</v>
      </c>
      <c r="C28" s="54">
        <f t="shared" si="11"/>
        <v>0</v>
      </c>
      <c r="D28" s="38">
        <f t="shared" si="12"/>
        <v>0</v>
      </c>
      <c r="E28" s="1">
        <f t="shared" si="26"/>
        <v>3716.384</v>
      </c>
      <c r="F28" s="54">
        <f t="shared" si="13"/>
        <v>0</v>
      </c>
      <c r="G28" s="38">
        <f t="shared" si="14"/>
        <v>0</v>
      </c>
      <c r="H28" s="1">
        <f t="shared" si="27"/>
        <v>3465</v>
      </c>
      <c r="I28" s="54">
        <f t="shared" si="15"/>
        <v>0</v>
      </c>
      <c r="J28" s="38">
        <f t="shared" si="16"/>
        <v>0</v>
      </c>
      <c r="K28" s="7">
        <f t="shared" si="28"/>
        <v>13498.75</v>
      </c>
      <c r="L28" s="54">
        <f t="shared" si="17"/>
        <v>0</v>
      </c>
      <c r="M28" s="38">
        <f t="shared" si="18"/>
        <v>0</v>
      </c>
      <c r="N28" s="7">
        <f t="shared" si="29"/>
        <v>3109.1320000000001</v>
      </c>
      <c r="O28" s="54">
        <f t="shared" si="19"/>
        <v>0</v>
      </c>
      <c r="P28" s="38">
        <f t="shared" si="20"/>
        <v>0</v>
      </c>
      <c r="Q28" s="7">
        <f t="shared" si="30"/>
        <v>4911.01</v>
      </c>
      <c r="R28" s="54">
        <f t="shared" si="21"/>
        <v>0</v>
      </c>
      <c r="S28" s="38">
        <f t="shared" si="22"/>
        <v>0</v>
      </c>
      <c r="T28" s="8">
        <f t="shared" si="24"/>
        <v>0</v>
      </c>
      <c r="U28" s="40">
        <f t="shared" si="23"/>
        <v>0</v>
      </c>
    </row>
    <row r="29" spans="1:24" ht="16.5" thickBot="1" x14ac:dyDescent="0.25">
      <c r="A29" s="10">
        <v>44404</v>
      </c>
      <c r="B29" s="1">
        <f t="shared" si="25"/>
        <v>21173.966</v>
      </c>
      <c r="C29" s="54">
        <f t="shared" si="11"/>
        <v>0</v>
      </c>
      <c r="D29" s="38">
        <f t="shared" si="12"/>
        <v>0</v>
      </c>
      <c r="E29" s="1">
        <f t="shared" si="26"/>
        <v>3716.384</v>
      </c>
      <c r="F29" s="54">
        <f t="shared" si="13"/>
        <v>0</v>
      </c>
      <c r="G29" s="38">
        <f t="shared" si="14"/>
        <v>0</v>
      </c>
      <c r="H29" s="1">
        <f t="shared" si="27"/>
        <v>3465</v>
      </c>
      <c r="I29" s="54">
        <f t="shared" si="15"/>
        <v>0</v>
      </c>
      <c r="J29" s="38">
        <f t="shared" si="16"/>
        <v>0</v>
      </c>
      <c r="K29" s="7">
        <f t="shared" si="28"/>
        <v>13498.75</v>
      </c>
      <c r="L29" s="54">
        <f t="shared" si="17"/>
        <v>0</v>
      </c>
      <c r="M29" s="38">
        <f t="shared" si="18"/>
        <v>0</v>
      </c>
      <c r="N29" s="7">
        <f t="shared" si="29"/>
        <v>3109.1320000000001</v>
      </c>
      <c r="O29" s="54">
        <f t="shared" si="19"/>
        <v>0</v>
      </c>
      <c r="P29" s="38">
        <f t="shared" si="20"/>
        <v>0</v>
      </c>
      <c r="Q29" s="7">
        <f t="shared" si="30"/>
        <v>4911.01</v>
      </c>
      <c r="R29" s="54">
        <f t="shared" si="21"/>
        <v>0</v>
      </c>
      <c r="S29" s="38">
        <f t="shared" si="22"/>
        <v>0</v>
      </c>
      <c r="T29" s="8">
        <f t="shared" si="24"/>
        <v>0</v>
      </c>
      <c r="U29" s="40">
        <f t="shared" si="23"/>
        <v>0</v>
      </c>
    </row>
    <row r="30" spans="1:24" ht="16.5" thickBot="1" x14ac:dyDescent="0.25">
      <c r="A30" s="10">
        <v>44405</v>
      </c>
      <c r="B30" s="1">
        <f t="shared" si="25"/>
        <v>21173.966</v>
      </c>
      <c r="C30" s="54">
        <f t="shared" si="11"/>
        <v>0</v>
      </c>
      <c r="D30" s="38">
        <f t="shared" si="12"/>
        <v>0</v>
      </c>
      <c r="E30" s="1">
        <f t="shared" si="26"/>
        <v>3716.384</v>
      </c>
      <c r="F30" s="54">
        <f t="shared" si="13"/>
        <v>0</v>
      </c>
      <c r="G30" s="38">
        <f t="shared" si="14"/>
        <v>0</v>
      </c>
      <c r="H30" s="1">
        <f t="shared" si="27"/>
        <v>3465</v>
      </c>
      <c r="I30" s="54">
        <f t="shared" si="15"/>
        <v>0</v>
      </c>
      <c r="J30" s="38">
        <f t="shared" si="16"/>
        <v>0</v>
      </c>
      <c r="K30" s="7">
        <f t="shared" si="28"/>
        <v>13498.75</v>
      </c>
      <c r="L30" s="54">
        <f t="shared" si="17"/>
        <v>0</v>
      </c>
      <c r="M30" s="38">
        <f t="shared" si="18"/>
        <v>0</v>
      </c>
      <c r="N30" s="7">
        <f t="shared" si="29"/>
        <v>3109.1320000000001</v>
      </c>
      <c r="O30" s="54">
        <f t="shared" si="19"/>
        <v>0</v>
      </c>
      <c r="P30" s="38">
        <f t="shared" si="20"/>
        <v>0</v>
      </c>
      <c r="Q30" s="7">
        <f t="shared" si="30"/>
        <v>4911.01</v>
      </c>
      <c r="R30" s="54">
        <f t="shared" si="21"/>
        <v>0</v>
      </c>
      <c r="S30" s="38">
        <f t="shared" si="22"/>
        <v>0</v>
      </c>
      <c r="T30" s="8">
        <f t="shared" si="24"/>
        <v>0</v>
      </c>
      <c r="U30" s="40">
        <f t="shared" si="23"/>
        <v>0</v>
      </c>
    </row>
    <row r="31" spans="1:24" ht="16.5" thickBot="1" x14ac:dyDescent="0.25">
      <c r="A31" s="10">
        <v>44406</v>
      </c>
      <c r="B31" s="1">
        <f t="shared" si="25"/>
        <v>21173.966</v>
      </c>
      <c r="C31" s="54">
        <f t="shared" si="11"/>
        <v>0</v>
      </c>
      <c r="D31" s="38">
        <f t="shared" si="12"/>
        <v>0</v>
      </c>
      <c r="E31" s="1">
        <f t="shared" si="26"/>
        <v>3716.384</v>
      </c>
      <c r="F31" s="54">
        <f t="shared" si="13"/>
        <v>0</v>
      </c>
      <c r="G31" s="38">
        <f t="shared" si="14"/>
        <v>0</v>
      </c>
      <c r="H31" s="1">
        <f t="shared" si="27"/>
        <v>3465</v>
      </c>
      <c r="I31" s="54">
        <f t="shared" si="15"/>
        <v>0</v>
      </c>
      <c r="J31" s="38">
        <f t="shared" si="16"/>
        <v>0</v>
      </c>
      <c r="K31" s="7">
        <f t="shared" si="28"/>
        <v>13498.75</v>
      </c>
      <c r="L31" s="54">
        <f t="shared" si="17"/>
        <v>0</v>
      </c>
      <c r="M31" s="38">
        <f t="shared" si="18"/>
        <v>0</v>
      </c>
      <c r="N31" s="7">
        <f t="shared" si="29"/>
        <v>3109.1320000000001</v>
      </c>
      <c r="O31" s="54">
        <f t="shared" si="19"/>
        <v>0</v>
      </c>
      <c r="P31" s="38">
        <f t="shared" si="20"/>
        <v>0</v>
      </c>
      <c r="Q31" s="7">
        <f t="shared" si="30"/>
        <v>4911.01</v>
      </c>
      <c r="R31" s="54">
        <f t="shared" si="21"/>
        <v>0</v>
      </c>
      <c r="S31" s="38">
        <f t="shared" si="22"/>
        <v>0</v>
      </c>
      <c r="T31" s="8">
        <f t="shared" si="24"/>
        <v>0</v>
      </c>
      <c r="U31" s="40">
        <f t="shared" si="23"/>
        <v>0</v>
      </c>
    </row>
    <row r="32" spans="1:24" ht="16.5" thickBot="1" x14ac:dyDescent="0.25">
      <c r="A32" s="10">
        <v>44407</v>
      </c>
      <c r="B32" s="1">
        <f t="shared" si="25"/>
        <v>21173.966</v>
      </c>
      <c r="C32" s="54">
        <f t="shared" si="11"/>
        <v>0</v>
      </c>
      <c r="D32" s="38">
        <f t="shared" si="12"/>
        <v>0</v>
      </c>
      <c r="E32" s="1">
        <f t="shared" si="26"/>
        <v>3716.384</v>
      </c>
      <c r="F32" s="54">
        <f t="shared" si="13"/>
        <v>0</v>
      </c>
      <c r="G32" s="38">
        <f t="shared" si="14"/>
        <v>0</v>
      </c>
      <c r="H32" s="1">
        <f t="shared" si="27"/>
        <v>3465</v>
      </c>
      <c r="I32" s="54">
        <f t="shared" si="15"/>
        <v>0</v>
      </c>
      <c r="J32" s="38">
        <f t="shared" si="16"/>
        <v>0</v>
      </c>
      <c r="K32" s="7">
        <f t="shared" si="28"/>
        <v>13498.75</v>
      </c>
      <c r="L32" s="54">
        <f t="shared" si="17"/>
        <v>0</v>
      </c>
      <c r="M32" s="38">
        <f t="shared" si="18"/>
        <v>0</v>
      </c>
      <c r="N32" s="7">
        <f t="shared" si="29"/>
        <v>3109.1320000000001</v>
      </c>
      <c r="O32" s="54">
        <f t="shared" si="19"/>
        <v>0</v>
      </c>
      <c r="P32" s="38">
        <f t="shared" si="20"/>
        <v>0</v>
      </c>
      <c r="Q32" s="7">
        <f t="shared" si="30"/>
        <v>4911.01</v>
      </c>
      <c r="R32" s="54">
        <f t="shared" si="21"/>
        <v>0</v>
      </c>
      <c r="S32" s="38">
        <f t="shared" si="22"/>
        <v>0</v>
      </c>
      <c r="T32" s="8">
        <f t="shared" si="24"/>
        <v>0</v>
      </c>
      <c r="U32" s="40">
        <f t="shared" si="23"/>
        <v>0</v>
      </c>
    </row>
    <row r="33" spans="1:27" ht="16.5" thickBot="1" x14ac:dyDescent="0.25">
      <c r="A33" s="10">
        <v>44408</v>
      </c>
      <c r="B33" s="1">
        <f t="shared" si="25"/>
        <v>21173.966</v>
      </c>
      <c r="C33" s="54">
        <f t="shared" si="11"/>
        <v>0</v>
      </c>
      <c r="D33" s="38">
        <f t="shared" si="12"/>
        <v>0</v>
      </c>
      <c r="E33" s="1">
        <f t="shared" si="26"/>
        <v>3716.384</v>
      </c>
      <c r="F33" s="54">
        <f t="shared" si="13"/>
        <v>0</v>
      </c>
      <c r="G33" s="38">
        <f t="shared" si="14"/>
        <v>0</v>
      </c>
      <c r="H33" s="1">
        <f t="shared" si="27"/>
        <v>3465</v>
      </c>
      <c r="I33" s="54">
        <f t="shared" si="15"/>
        <v>0</v>
      </c>
      <c r="J33" s="38">
        <f t="shared" si="16"/>
        <v>0</v>
      </c>
      <c r="K33" s="7">
        <f t="shared" si="28"/>
        <v>13498.75</v>
      </c>
      <c r="L33" s="54">
        <f t="shared" si="17"/>
        <v>0</v>
      </c>
      <c r="M33" s="38">
        <f t="shared" si="18"/>
        <v>0</v>
      </c>
      <c r="N33" s="7">
        <f t="shared" si="29"/>
        <v>3109.1320000000001</v>
      </c>
      <c r="O33" s="54">
        <f t="shared" si="19"/>
        <v>0</v>
      </c>
      <c r="P33" s="38">
        <f t="shared" si="20"/>
        <v>0</v>
      </c>
      <c r="Q33" s="7">
        <f t="shared" si="30"/>
        <v>4911.01</v>
      </c>
      <c r="R33" s="54">
        <f t="shared" si="21"/>
        <v>0</v>
      </c>
      <c r="S33" s="38">
        <f t="shared" si="22"/>
        <v>0</v>
      </c>
      <c r="T33" s="8">
        <f t="shared" si="24"/>
        <v>0</v>
      </c>
      <c r="U33" s="40">
        <f t="shared" si="23"/>
        <v>0</v>
      </c>
    </row>
    <row r="34" spans="1:27" s="26" customFormat="1" ht="16.5" thickBot="1" x14ac:dyDescent="0.25">
      <c r="A34" s="6" t="s">
        <v>23</v>
      </c>
      <c r="B34" s="159"/>
      <c r="C34" s="159">
        <f>SUM(C3:C33)</f>
        <v>107.11100000000079</v>
      </c>
      <c r="D34" s="159">
        <f>SUM(D2:D33)</f>
        <v>203510.90000000148</v>
      </c>
      <c r="E34" s="159">
        <v>0</v>
      </c>
      <c r="F34" s="159">
        <f>SUM(F2:F33)</f>
        <v>25.219000000000051</v>
      </c>
      <c r="G34" s="159">
        <f>SUM(G2:G33)</f>
        <v>47916.100000000093</v>
      </c>
      <c r="H34" s="159"/>
      <c r="I34" s="159">
        <f>SUM(I2:I33)</f>
        <v>66</v>
      </c>
      <c r="J34" s="159">
        <f>SUM(J2:J33)</f>
        <v>125400</v>
      </c>
      <c r="K34" s="159"/>
      <c r="L34" s="159">
        <f>SUM(L2:L33)</f>
        <v>18.489999999999782</v>
      </c>
      <c r="M34" s="159">
        <f>SUM(M2:M33)</f>
        <v>35130.999999999585</v>
      </c>
      <c r="N34" s="159"/>
      <c r="O34" s="159">
        <f>SUM(O2:O33)</f>
        <v>13.755000000000109</v>
      </c>
      <c r="P34" s="159">
        <f>SUM(P2:P33)</f>
        <v>26134.500000000204</v>
      </c>
      <c r="Q34" s="159"/>
      <c r="R34" s="159">
        <f>SUM(R2:R33)</f>
        <v>23.0600000000004</v>
      </c>
      <c r="S34" s="159">
        <f>SUM(S2:S33)</f>
        <v>43814.000000000757</v>
      </c>
      <c r="T34" s="159">
        <f>SUM(T2:T33)</f>
        <v>253.63500000000113</v>
      </c>
      <c r="U34" s="159">
        <f>SUM(U2:U33)</f>
        <v>481906.5000000021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9" sqref="F9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0" t="s">
        <v>143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</row>
    <row r="2" spans="1:11" ht="13.5" thickBot="1" x14ac:dyDescent="0.25">
      <c r="A2" s="105"/>
      <c r="B2" s="106" t="s">
        <v>92</v>
      </c>
      <c r="C2" s="107">
        <f>K8+K9+K14</f>
        <v>224374</v>
      </c>
      <c r="D2" s="107">
        <f>C2*1.27</f>
        <v>284954.98</v>
      </c>
      <c r="E2" s="108"/>
      <c r="F2" s="105"/>
      <c r="G2" s="105"/>
      <c r="H2" s="109" t="s">
        <v>93</v>
      </c>
      <c r="I2" s="110"/>
      <c r="J2" s="110"/>
      <c r="K2" s="110"/>
    </row>
    <row r="3" spans="1:11" ht="13.5" thickBot="1" x14ac:dyDescent="0.25">
      <c r="A3" s="105"/>
      <c r="B3" s="105"/>
      <c r="C3" s="105"/>
      <c r="D3" s="105"/>
      <c r="E3" s="105"/>
      <c r="F3" s="105"/>
      <c r="G3" s="105"/>
      <c r="H3" s="111" t="s">
        <v>94</v>
      </c>
      <c r="I3" s="155">
        <f>ELECT.!E2</f>
        <v>26610613</v>
      </c>
      <c r="J3" s="155">
        <f>ELECT.!E33</f>
        <v>26705269</v>
      </c>
      <c r="K3" s="102">
        <f>J3-I3</f>
        <v>94656</v>
      </c>
    </row>
    <row r="4" spans="1:11" ht="13.5" thickBot="1" x14ac:dyDescent="0.25">
      <c r="A4" s="105"/>
      <c r="B4" s="113" t="s">
        <v>95</v>
      </c>
      <c r="C4" s="114" t="s">
        <v>96</v>
      </c>
      <c r="D4" s="114" t="s">
        <v>97</v>
      </c>
      <c r="E4" s="114"/>
      <c r="F4" s="105"/>
      <c r="G4" s="105"/>
      <c r="H4" s="111" t="s">
        <v>98</v>
      </c>
      <c r="I4" s="112">
        <f>ELECT.!G2</f>
        <v>84264575</v>
      </c>
      <c r="J4" s="155">
        <f>ELECT.!G33</f>
        <v>84755871</v>
      </c>
      <c r="K4" s="102">
        <f>J4-I4</f>
        <v>491296</v>
      </c>
    </row>
    <row r="5" spans="1:11" ht="13.5" thickBot="1" x14ac:dyDescent="0.25">
      <c r="A5" s="105"/>
      <c r="B5" s="111" t="s">
        <v>27</v>
      </c>
      <c r="C5" s="115">
        <f>(K10+K12)*0.842284+K26</f>
        <v>237956.57378000001</v>
      </c>
      <c r="D5" s="115">
        <f t="shared" ref="D5:D11" si="0">C5*1.27</f>
        <v>302204.84870060004</v>
      </c>
      <c r="E5" s="116"/>
      <c r="F5" s="105"/>
      <c r="G5" s="105"/>
      <c r="H5" s="111" t="s">
        <v>23</v>
      </c>
      <c r="I5" s="117"/>
      <c r="J5" s="117"/>
      <c r="K5" s="142">
        <f>K3+K4</f>
        <v>585952</v>
      </c>
    </row>
    <row r="6" spans="1:11" ht="13.5" thickBot="1" x14ac:dyDescent="0.25">
      <c r="A6" s="105"/>
      <c r="B6" s="111" t="s">
        <v>99</v>
      </c>
      <c r="C6" s="115">
        <f>(K10+K12+K26)*0.1488</f>
        <v>41868.6</v>
      </c>
      <c r="D6" s="115">
        <f t="shared" si="0"/>
        <v>53173.121999999996</v>
      </c>
      <c r="E6" s="116"/>
      <c r="F6" s="105"/>
      <c r="G6" s="105"/>
      <c r="H6" s="111" t="s">
        <v>100</v>
      </c>
      <c r="I6" s="160">
        <f>ELECT.!J2</f>
        <v>8265059</v>
      </c>
      <c r="J6" s="156">
        <f>ELECT.!J33</f>
        <v>8312092</v>
      </c>
      <c r="K6" s="102">
        <f>J6-I6</f>
        <v>47033</v>
      </c>
    </row>
    <row r="7" spans="1:11" ht="13.5" thickBot="1" x14ac:dyDescent="0.25">
      <c r="A7" s="105"/>
      <c r="B7" s="111" t="s">
        <v>101</v>
      </c>
      <c r="C7" s="115">
        <f>(K6+K7)-(C8+C9+C10+C11+K26)</f>
        <v>62946</v>
      </c>
      <c r="D7" s="115">
        <f t="shared" si="0"/>
        <v>79941.42</v>
      </c>
      <c r="E7" s="116"/>
      <c r="F7" s="105"/>
      <c r="G7" s="105"/>
      <c r="H7" s="111" t="s">
        <v>102</v>
      </c>
      <c r="I7" s="160">
        <f>ELECT.!L2</f>
        <v>8234029</v>
      </c>
      <c r="J7" s="156">
        <f>ELECT.!L33</f>
        <v>8273279</v>
      </c>
      <c r="K7" s="102">
        <f>J7-I7</f>
        <v>39250</v>
      </c>
    </row>
    <row r="8" spans="1:11" ht="13.5" thickBot="1" x14ac:dyDescent="0.25">
      <c r="A8" s="105"/>
      <c r="B8" s="111" t="s">
        <v>103</v>
      </c>
      <c r="C8" s="115">
        <f>K21+K22+K23+K24</f>
        <v>9981</v>
      </c>
      <c r="D8" s="115">
        <f t="shared" si="0"/>
        <v>12675.87</v>
      </c>
      <c r="E8" s="116"/>
      <c r="F8" s="105"/>
      <c r="G8" s="105"/>
      <c r="H8" s="111" t="s">
        <v>104</v>
      </c>
      <c r="I8" s="160">
        <f>ELECT.!N2</f>
        <v>5362491</v>
      </c>
      <c r="J8" s="156">
        <f>ELECT.!N33</f>
        <v>5387052</v>
      </c>
      <c r="K8" s="102">
        <f>(J8-I8)*2</f>
        <v>49122</v>
      </c>
    </row>
    <row r="9" spans="1:11" ht="13.5" thickBot="1" x14ac:dyDescent="0.25">
      <c r="A9" s="105"/>
      <c r="B9" s="111" t="s">
        <v>137</v>
      </c>
      <c r="C9" s="115">
        <f>K25+K16+K17</f>
        <v>1626</v>
      </c>
      <c r="D9" s="115">
        <f t="shared" si="0"/>
        <v>2065.02</v>
      </c>
      <c r="E9" s="116"/>
      <c r="F9" s="105"/>
      <c r="G9" s="105"/>
      <c r="H9" s="111" t="s">
        <v>105</v>
      </c>
      <c r="I9" s="160">
        <f>ELECT.!P2</f>
        <v>3873285</v>
      </c>
      <c r="J9" s="156">
        <f>ELECT.!P33</f>
        <v>4030458</v>
      </c>
      <c r="K9" s="102">
        <f>J9-I9</f>
        <v>157173</v>
      </c>
    </row>
    <row r="10" spans="1:11" ht="13.5" thickBot="1" x14ac:dyDescent="0.25">
      <c r="A10" s="105"/>
      <c r="B10" s="111" t="s">
        <v>106</v>
      </c>
      <c r="C10" s="115">
        <f>K18</f>
        <v>4800</v>
      </c>
      <c r="D10" s="115">
        <f t="shared" si="0"/>
        <v>6096</v>
      </c>
      <c r="E10" s="116"/>
      <c r="F10" s="105"/>
      <c r="G10" s="105"/>
      <c r="H10" s="111" t="s">
        <v>107</v>
      </c>
      <c r="I10" s="160">
        <f>ELECT.!R2</f>
        <v>17852083</v>
      </c>
      <c r="J10" s="156">
        <f>ELECT.!R33</f>
        <v>17937798</v>
      </c>
      <c r="K10" s="102">
        <f>J10-I10</f>
        <v>85715</v>
      </c>
    </row>
    <row r="11" spans="1:11" ht="13.5" thickBot="1" x14ac:dyDescent="0.25">
      <c r="A11" s="105"/>
      <c r="B11" s="111" t="s">
        <v>108</v>
      </c>
      <c r="C11" s="115">
        <f>K19+K20</f>
        <v>850</v>
      </c>
      <c r="D11" s="115">
        <f t="shared" si="0"/>
        <v>1079.5</v>
      </c>
      <c r="E11" s="116"/>
      <c r="F11" s="105"/>
      <c r="G11" s="105"/>
      <c r="H11" s="111" t="s">
        <v>109</v>
      </c>
      <c r="I11" s="118">
        <v>0</v>
      </c>
      <c r="J11" s="156">
        <f>ELECT.!J38</f>
        <v>0</v>
      </c>
      <c r="K11" s="102">
        <f>J11-I11</f>
        <v>0</v>
      </c>
    </row>
    <row r="12" spans="1:11" ht="13.5" thickBot="1" x14ac:dyDescent="0.25">
      <c r="A12" s="105"/>
      <c r="B12" s="105"/>
      <c r="C12" s="119"/>
      <c r="D12" s="119"/>
      <c r="E12" s="119"/>
      <c r="F12" s="105"/>
      <c r="G12" s="105"/>
      <c r="H12" s="111" t="s">
        <v>110</v>
      </c>
      <c r="I12" s="160">
        <f>ELECT.!V2</f>
        <v>5557238</v>
      </c>
      <c r="J12" s="156">
        <f>ELECT.!V33</f>
        <v>5652028</v>
      </c>
      <c r="K12" s="102">
        <f>(J12-I12)*2</f>
        <v>189580</v>
      </c>
    </row>
    <row r="13" spans="1:11" ht="13.5" thickBot="1" x14ac:dyDescent="0.25">
      <c r="A13" s="105"/>
      <c r="B13" s="109" t="s">
        <v>111</v>
      </c>
      <c r="C13" s="116" t="s">
        <v>112</v>
      </c>
      <c r="D13" s="116" t="s">
        <v>97</v>
      </c>
      <c r="E13" s="116"/>
      <c r="F13" s="105"/>
      <c r="G13" s="105"/>
      <c r="H13" s="111" t="s">
        <v>113</v>
      </c>
      <c r="I13" s="120"/>
      <c r="J13" s="121"/>
      <c r="K13" s="122">
        <f>SUM(K6:K12)</f>
        <v>567873</v>
      </c>
    </row>
    <row r="14" spans="1:11" ht="13.5" thickBot="1" x14ac:dyDescent="0.25">
      <c r="A14" s="105"/>
      <c r="B14" s="111" t="s">
        <v>42</v>
      </c>
      <c r="C14" s="115">
        <f>K29</f>
        <v>12380</v>
      </c>
      <c r="D14" s="123">
        <f t="shared" ref="D14:D22" si="1">C14*10.03</f>
        <v>124171.4</v>
      </c>
      <c r="E14" s="124"/>
      <c r="F14" s="105"/>
      <c r="G14" s="105"/>
      <c r="H14" s="111" t="s">
        <v>114</v>
      </c>
      <c r="I14" s="120"/>
      <c r="J14" s="121"/>
      <c r="K14" s="103">
        <f>K5-K13</f>
        <v>18079</v>
      </c>
    </row>
    <row r="15" spans="1:11" ht="13.5" thickBot="1" x14ac:dyDescent="0.25">
      <c r="A15" s="105"/>
      <c r="B15" s="111" t="s">
        <v>115</v>
      </c>
      <c r="C15" s="125">
        <f>K30</f>
        <v>19.952999999999999</v>
      </c>
      <c r="D15" s="123">
        <f t="shared" si="1"/>
        <v>200.12858999999997</v>
      </c>
      <c r="E15" s="124"/>
      <c r="F15" s="105"/>
      <c r="G15" s="105"/>
      <c r="H15" s="105"/>
      <c r="I15" s="105"/>
      <c r="J15" s="105"/>
      <c r="K15" s="105"/>
    </row>
    <row r="16" spans="1:11" ht="13.5" thickBot="1" x14ac:dyDescent="0.25">
      <c r="A16" s="105"/>
      <c r="B16" s="111" t="s">
        <v>99</v>
      </c>
      <c r="C16" s="125">
        <f>(C14-C15-C17-C18-C19-C20-C21)*0.1318</f>
        <v>861.97819460000005</v>
      </c>
      <c r="D16" s="123">
        <f t="shared" si="1"/>
        <v>8645.6412918379992</v>
      </c>
      <c r="E16" s="124"/>
      <c r="F16" s="105"/>
      <c r="G16" s="105"/>
      <c r="H16" s="126" t="s">
        <v>136</v>
      </c>
      <c r="I16" s="127">
        <f>'Mall, Citadel, Rotana'!T2</f>
        <v>3684</v>
      </c>
      <c r="J16" s="127">
        <f>'Mall, Citadel, Rotana'!T33</f>
        <v>3694</v>
      </c>
      <c r="K16" s="104">
        <f>(J16-I16)*160</f>
        <v>1600</v>
      </c>
    </row>
    <row r="17" spans="1:11" ht="13.5" thickBot="1" x14ac:dyDescent="0.25">
      <c r="A17" s="105"/>
      <c r="B17" s="111" t="s">
        <v>103</v>
      </c>
      <c r="C17" s="125">
        <v>1420</v>
      </c>
      <c r="D17" s="123">
        <f t="shared" si="1"/>
        <v>14242.599999999999</v>
      </c>
      <c r="E17" s="124"/>
      <c r="F17" s="105"/>
      <c r="G17" s="105"/>
      <c r="H17" s="126" t="s">
        <v>19</v>
      </c>
      <c r="I17" s="127">
        <f>'Mall, Citadel, Rotana'!J2</f>
        <v>303517</v>
      </c>
      <c r="J17" s="127">
        <f>'Mall, Citadel, Rotana'!J33</f>
        <v>303517</v>
      </c>
      <c r="K17" s="104">
        <f>(J17-I17)*160</f>
        <v>0</v>
      </c>
    </row>
    <row r="18" spans="1:11" ht="13.5" thickBot="1" x14ac:dyDescent="0.25">
      <c r="A18" s="105"/>
      <c r="B18" s="111" t="s">
        <v>108</v>
      </c>
      <c r="C18" s="125">
        <v>200</v>
      </c>
      <c r="D18" s="123">
        <f t="shared" si="1"/>
        <v>2005.9999999999998</v>
      </c>
      <c r="E18" s="124"/>
      <c r="F18" s="105"/>
      <c r="G18" s="105"/>
      <c r="H18" s="126" t="s">
        <v>20</v>
      </c>
      <c r="I18" s="127">
        <f>'Mall, Citadel, Rotana'!L2</f>
        <v>25097</v>
      </c>
      <c r="J18" s="127">
        <f>'Mall, Citadel, Rotana'!L33</f>
        <v>25127</v>
      </c>
      <c r="K18" s="104">
        <f>(J18-I18)*160</f>
        <v>4800</v>
      </c>
    </row>
    <row r="19" spans="1:11" ht="15.75" thickBot="1" x14ac:dyDescent="0.25">
      <c r="A19" s="105"/>
      <c r="B19" s="111" t="s">
        <v>137</v>
      </c>
      <c r="C19" s="125">
        <v>600</v>
      </c>
      <c r="D19" s="123">
        <f t="shared" si="1"/>
        <v>6018</v>
      </c>
      <c r="E19" s="171" t="s">
        <v>116</v>
      </c>
      <c r="F19" s="172"/>
      <c r="G19" s="105"/>
      <c r="H19" s="126" t="s">
        <v>117</v>
      </c>
      <c r="I19" s="127">
        <f>'Mall, Citadel, Rotana'!P2</f>
        <v>110495</v>
      </c>
      <c r="J19" s="127">
        <f>'Mall, Citadel, Rotana'!P33</f>
        <v>111345</v>
      </c>
      <c r="K19" s="104">
        <f>J19-I19</f>
        <v>850</v>
      </c>
    </row>
    <row r="20" spans="1:11" ht="13.5" thickBot="1" x14ac:dyDescent="0.25">
      <c r="A20" s="105"/>
      <c r="B20" s="111" t="s">
        <v>106</v>
      </c>
      <c r="C20" s="125">
        <v>600</v>
      </c>
      <c r="D20" s="123">
        <f t="shared" si="1"/>
        <v>6018</v>
      </c>
      <c r="E20" s="124"/>
      <c r="F20" s="105"/>
      <c r="G20" s="105"/>
      <c r="H20" s="126" t="s">
        <v>118</v>
      </c>
      <c r="I20" s="127">
        <f>'Mall, Citadel, Rotana'!R2</f>
        <v>55047</v>
      </c>
      <c r="J20" s="127">
        <f>'Mall, Citadel, Rotana'!R33</f>
        <v>55047</v>
      </c>
      <c r="K20" s="104">
        <f>J20-I20</f>
        <v>0</v>
      </c>
    </row>
    <row r="21" spans="1:11" ht="13.5" thickBot="1" x14ac:dyDescent="0.25">
      <c r="A21" s="105"/>
      <c r="B21" s="111" t="s">
        <v>92</v>
      </c>
      <c r="C21" s="125">
        <v>3000</v>
      </c>
      <c r="D21" s="123">
        <f t="shared" si="1"/>
        <v>30089.999999999996</v>
      </c>
      <c r="E21" s="124"/>
      <c r="F21" s="105"/>
      <c r="G21" s="105"/>
      <c r="H21" s="126" t="s">
        <v>13</v>
      </c>
      <c r="I21" s="127">
        <f>'Mall, Citadel, Rotana'!B2</f>
        <v>45485</v>
      </c>
      <c r="J21" s="127">
        <f>'Mall, Citadel, Rotana'!B33</f>
        <v>45530</v>
      </c>
      <c r="K21" s="104">
        <f>(J21-I21)*120</f>
        <v>5400</v>
      </c>
    </row>
    <row r="22" spans="1:11" ht="13.5" thickBot="1" x14ac:dyDescent="0.25">
      <c r="A22" s="105"/>
      <c r="B22" s="111" t="s">
        <v>119</v>
      </c>
      <c r="C22" s="123">
        <f>C14-(C15+C16+C17+C18+C19+C20+C21)</f>
        <v>5678.0688054000002</v>
      </c>
      <c r="D22" s="123">
        <f t="shared" si="1"/>
        <v>56951.030118162002</v>
      </c>
      <c r="E22" s="124"/>
      <c r="F22" s="105"/>
      <c r="G22" s="105"/>
      <c r="H22" s="126" t="s">
        <v>15</v>
      </c>
      <c r="I22" s="127">
        <f>'Mall, Citadel, Rotana'!D2</f>
        <v>39638</v>
      </c>
      <c r="J22" s="127">
        <f>'Mall, Citadel, Rotana'!D33</f>
        <v>39660</v>
      </c>
      <c r="K22" s="104">
        <f>(J22-I22)*160</f>
        <v>3520</v>
      </c>
    </row>
    <row r="23" spans="1:11" x14ac:dyDescent="0.2">
      <c r="A23" s="105"/>
      <c r="B23" s="105"/>
      <c r="C23" s="119"/>
      <c r="D23" s="128"/>
      <c r="E23" s="124"/>
      <c r="F23" s="105"/>
      <c r="G23" s="105"/>
      <c r="H23" s="126" t="s">
        <v>17</v>
      </c>
      <c r="I23" s="127">
        <f>'Mall, Citadel, Rotana'!F2</f>
        <v>20517</v>
      </c>
      <c r="J23" s="127">
        <f>'Mall, Citadel, Rotana'!F33</f>
        <v>20545</v>
      </c>
      <c r="K23" s="104">
        <f>(J23-I23)*20</f>
        <v>560</v>
      </c>
    </row>
    <row r="24" spans="1:11" x14ac:dyDescent="0.2">
      <c r="A24" s="105"/>
      <c r="B24" s="109" t="s">
        <v>120</v>
      </c>
      <c r="C24" s="119"/>
      <c r="D24" s="119"/>
      <c r="E24" s="119"/>
      <c r="F24" s="105"/>
      <c r="G24" s="105"/>
      <c r="H24" s="126" t="s">
        <v>18</v>
      </c>
      <c r="I24" s="127">
        <f>'Mall, Citadel, Rotana'!H2</f>
        <v>244572</v>
      </c>
      <c r="J24" s="127">
        <f>'Mall, Citadel, Rotana'!H33</f>
        <v>245073</v>
      </c>
      <c r="K24" s="104">
        <f>J24-I24</f>
        <v>501</v>
      </c>
    </row>
    <row r="25" spans="1:11" ht="13.5" thickBot="1" x14ac:dyDescent="0.25">
      <c r="A25" s="105"/>
      <c r="B25" s="105"/>
      <c r="C25" s="116" t="s">
        <v>112</v>
      </c>
      <c r="D25" s="116" t="s">
        <v>121</v>
      </c>
      <c r="E25" s="116"/>
      <c r="F25" s="105"/>
      <c r="G25" s="105"/>
      <c r="H25" s="126" t="s">
        <v>122</v>
      </c>
      <c r="I25" s="127">
        <f>'Mall, Citadel, Rotana'!N2</f>
        <v>215639</v>
      </c>
      <c r="J25" s="127">
        <f>'Mall, Citadel, Rotana'!N33</f>
        <v>215665</v>
      </c>
      <c r="K25" s="104">
        <f>J25-I25</f>
        <v>26</v>
      </c>
    </row>
    <row r="26" spans="1:11" ht="13.5" thickBot="1" x14ac:dyDescent="0.25">
      <c r="A26" s="105"/>
      <c r="B26" s="111" t="s">
        <v>42</v>
      </c>
      <c r="C26" s="129">
        <f>K35</f>
        <v>17167</v>
      </c>
      <c r="D26" s="115">
        <f>C26*3.65</f>
        <v>62659.549999999996</v>
      </c>
      <c r="E26" s="116"/>
      <c r="F26" s="105"/>
      <c r="G26" s="105"/>
      <c r="H26" s="126" t="s">
        <v>123</v>
      </c>
      <c r="I26" s="136">
        <f>ELECT.!C2</f>
        <v>18384</v>
      </c>
      <c r="J26" s="136">
        <f>ELECT.!C33</f>
        <v>18422</v>
      </c>
      <c r="K26" s="104">
        <f>(J26-I26)*160</f>
        <v>6080</v>
      </c>
    </row>
    <row r="27" spans="1:11" ht="13.5" thickBot="1" x14ac:dyDescent="0.25">
      <c r="A27" s="105"/>
      <c r="B27" s="106" t="s">
        <v>124</v>
      </c>
      <c r="C27" s="129">
        <f>C26</f>
        <v>17167</v>
      </c>
      <c r="D27" s="115">
        <f>C27*3.65</f>
        <v>62659.549999999996</v>
      </c>
      <c r="E27" s="116"/>
      <c r="F27" s="105"/>
      <c r="G27" s="105"/>
      <c r="H27" s="109"/>
      <c r="I27" s="130"/>
      <c r="J27" s="105"/>
      <c r="K27" s="105"/>
    </row>
    <row r="28" spans="1:11" x14ac:dyDescent="0.2">
      <c r="A28" s="105"/>
      <c r="B28" s="105"/>
      <c r="C28" s="105"/>
      <c r="D28" s="105"/>
      <c r="E28" s="105"/>
      <c r="F28" s="105"/>
      <c r="G28" s="105"/>
      <c r="H28" s="109" t="s">
        <v>111</v>
      </c>
      <c r="I28" s="130"/>
      <c r="J28" s="105"/>
      <c r="K28" s="105"/>
    </row>
    <row r="29" spans="1:11" x14ac:dyDescent="0.2">
      <c r="A29" s="105"/>
      <c r="B29" s="105"/>
      <c r="C29" s="105"/>
      <c r="D29" s="105"/>
      <c r="E29" s="105"/>
      <c r="F29" s="105"/>
      <c r="G29" s="105" t="s">
        <v>12</v>
      </c>
      <c r="H29" s="126" t="s">
        <v>24</v>
      </c>
      <c r="I29" s="127">
        <f>Water!B2</f>
        <v>415688</v>
      </c>
      <c r="J29" s="127">
        <f>Water!B33</f>
        <v>416926</v>
      </c>
      <c r="K29" s="104">
        <f>(J29-I29)*10</f>
        <v>12380</v>
      </c>
    </row>
    <row r="30" spans="1:11" x14ac:dyDescent="0.2">
      <c r="A30" s="105"/>
      <c r="B30" s="105"/>
      <c r="C30" s="105"/>
      <c r="D30" s="105"/>
      <c r="E30" s="105"/>
      <c r="F30" s="105"/>
      <c r="G30" s="105"/>
      <c r="H30" s="126" t="s">
        <v>125</v>
      </c>
      <c r="I30" s="127">
        <f>Water!H2</f>
        <v>738448</v>
      </c>
      <c r="J30" s="127">
        <f>Water!H33</f>
        <v>739187</v>
      </c>
      <c r="K30" s="104">
        <f>(J30-I30)*0.027</f>
        <v>19.952999999999999</v>
      </c>
    </row>
    <row r="31" spans="1:11" x14ac:dyDescent="0.2">
      <c r="A31" s="105"/>
      <c r="B31" s="105"/>
      <c r="C31" s="105"/>
      <c r="D31" s="105"/>
      <c r="E31" s="105"/>
      <c r="F31" s="105"/>
      <c r="G31" s="105"/>
      <c r="H31" s="126" t="s">
        <v>126</v>
      </c>
      <c r="I31" s="127">
        <f>Water!D2</f>
        <v>4377000</v>
      </c>
      <c r="J31" s="127">
        <f>Water!D33</f>
        <v>4377000</v>
      </c>
      <c r="K31" s="104">
        <f>(J31-I31)*0.027</f>
        <v>0</v>
      </c>
    </row>
    <row r="32" spans="1:11" x14ac:dyDescent="0.2">
      <c r="A32" s="105"/>
      <c r="B32" s="105"/>
      <c r="C32" s="105"/>
      <c r="D32" s="105"/>
      <c r="E32" s="105"/>
      <c r="F32" s="105"/>
      <c r="G32" s="105"/>
      <c r="H32" s="126" t="s">
        <v>127</v>
      </c>
      <c r="I32" s="127">
        <f>Water!F2</f>
        <v>3826500</v>
      </c>
      <c r="J32" s="127">
        <f>Water!F33</f>
        <v>3972600</v>
      </c>
      <c r="K32" s="104">
        <f>(J32-I32)*0.027</f>
        <v>3944.7</v>
      </c>
    </row>
    <row r="33" spans="1:11" x14ac:dyDescent="0.2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</row>
    <row r="34" spans="1:11" x14ac:dyDescent="0.2">
      <c r="A34" s="131"/>
      <c r="B34" s="131"/>
      <c r="C34" s="131"/>
      <c r="D34" s="131"/>
      <c r="E34" s="131"/>
      <c r="F34" s="131"/>
      <c r="G34" s="131"/>
      <c r="H34" s="131" t="s">
        <v>120</v>
      </c>
      <c r="I34" s="131"/>
      <c r="J34" s="131"/>
      <c r="K34" s="131"/>
    </row>
    <row r="35" spans="1:11" x14ac:dyDescent="0.2">
      <c r="A35" s="131"/>
      <c r="B35" s="131"/>
      <c r="C35" s="131"/>
      <c r="D35" s="131"/>
      <c r="E35" s="131"/>
      <c r="F35" s="131"/>
      <c r="G35" s="132"/>
      <c r="H35" s="133" t="s">
        <v>42</v>
      </c>
      <c r="I35" s="134">
        <f>Gas!B2</f>
        <v>17435439</v>
      </c>
      <c r="J35" s="158">
        <f>Gas!B33</f>
        <v>17452606</v>
      </c>
      <c r="K35" s="135">
        <f>J35-I35</f>
        <v>17167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67" zoomScaleNormal="100" workbookViewId="0">
      <selection activeCell="M83" sqref="M8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7"/>
      <c r="C1" s="68" t="s">
        <v>77</v>
      </c>
      <c r="D1" s="69" t="s">
        <v>78</v>
      </c>
      <c r="E1" s="69" t="s">
        <v>139</v>
      </c>
      <c r="F1" s="69" t="s">
        <v>140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140</v>
      </c>
      <c r="M1" s="69" t="s">
        <v>142</v>
      </c>
      <c r="N1" s="69" t="s">
        <v>91</v>
      </c>
      <c r="O1" s="70" t="s">
        <v>79</v>
      </c>
    </row>
    <row r="2" spans="2:15" ht="15" x14ac:dyDescent="0.2">
      <c r="B2" s="67"/>
      <c r="C2" s="173">
        <v>6</v>
      </c>
      <c r="D2" s="71" t="s">
        <v>80</v>
      </c>
      <c r="E2" s="72">
        <v>277045</v>
      </c>
      <c r="F2" s="72">
        <v>278147</v>
      </c>
      <c r="G2" s="73">
        <f>F2-E2</f>
        <v>1102</v>
      </c>
      <c r="H2" s="74"/>
      <c r="J2" s="173">
        <v>6</v>
      </c>
      <c r="K2" s="71" t="s">
        <v>80</v>
      </c>
      <c r="L2" s="72">
        <v>278147</v>
      </c>
      <c r="M2" s="72">
        <v>279216</v>
      </c>
      <c r="N2" s="73">
        <f>M2-L2</f>
        <v>1069</v>
      </c>
      <c r="O2" s="74"/>
    </row>
    <row r="3" spans="2:15" ht="15" x14ac:dyDescent="0.2">
      <c r="B3" s="67"/>
      <c r="C3" s="175"/>
      <c r="D3" s="71" t="s">
        <v>81</v>
      </c>
      <c r="E3" s="72">
        <v>240756</v>
      </c>
      <c r="F3" s="72">
        <v>241395</v>
      </c>
      <c r="G3" s="73">
        <f t="shared" ref="G3:G43" si="0">F3-E3</f>
        <v>639</v>
      </c>
      <c r="H3" s="74"/>
      <c r="J3" s="175"/>
      <c r="K3" s="71" t="s">
        <v>81</v>
      </c>
      <c r="L3" s="72">
        <v>241395</v>
      </c>
      <c r="M3" s="72">
        <v>242223</v>
      </c>
      <c r="N3" s="73">
        <f t="shared" ref="N3:N60" si="1">M3-L3</f>
        <v>828</v>
      </c>
      <c r="O3" s="74"/>
    </row>
    <row r="4" spans="2:15" ht="15" x14ac:dyDescent="0.2">
      <c r="B4" s="67"/>
      <c r="C4" s="174"/>
      <c r="D4" s="71" t="s">
        <v>82</v>
      </c>
      <c r="E4" s="72">
        <v>189319</v>
      </c>
      <c r="F4" s="72">
        <v>189597</v>
      </c>
      <c r="G4" s="73">
        <f t="shared" si="0"/>
        <v>278</v>
      </c>
      <c r="H4" s="74"/>
      <c r="J4" s="174"/>
      <c r="K4" s="71" t="s">
        <v>82</v>
      </c>
      <c r="L4" s="72">
        <v>189597</v>
      </c>
      <c r="M4" s="72">
        <v>190115</v>
      </c>
      <c r="N4" s="73">
        <f t="shared" si="1"/>
        <v>518</v>
      </c>
      <c r="O4" s="74"/>
    </row>
    <row r="5" spans="2:15" ht="15" x14ac:dyDescent="0.2">
      <c r="B5" s="67"/>
      <c r="C5" s="173">
        <v>7</v>
      </c>
      <c r="D5" s="71" t="s">
        <v>80</v>
      </c>
      <c r="E5" s="72">
        <v>238044</v>
      </c>
      <c r="F5" s="72">
        <v>239098</v>
      </c>
      <c r="G5" s="73">
        <f t="shared" si="0"/>
        <v>1054</v>
      </c>
      <c r="H5" s="74"/>
      <c r="J5" s="173">
        <v>7</v>
      </c>
      <c r="K5" s="71" t="s">
        <v>80</v>
      </c>
      <c r="L5" s="72">
        <v>239098</v>
      </c>
      <c r="M5" s="72">
        <v>240166</v>
      </c>
      <c r="N5" s="73">
        <f t="shared" si="1"/>
        <v>1068</v>
      </c>
      <c r="O5" s="74"/>
    </row>
    <row r="6" spans="2:15" ht="15" x14ac:dyDescent="0.2">
      <c r="B6" s="67"/>
      <c r="C6" s="175"/>
      <c r="D6" s="71" t="s">
        <v>81</v>
      </c>
      <c r="E6" s="72">
        <v>153575</v>
      </c>
      <c r="F6" s="72">
        <v>153583</v>
      </c>
      <c r="G6" s="73">
        <f t="shared" si="0"/>
        <v>8</v>
      </c>
      <c r="H6" s="74"/>
      <c r="J6" s="175"/>
      <c r="K6" s="71" t="s">
        <v>81</v>
      </c>
      <c r="L6" s="72">
        <v>153583</v>
      </c>
      <c r="M6" s="72">
        <v>153654</v>
      </c>
      <c r="N6" s="73">
        <f t="shared" si="1"/>
        <v>71</v>
      </c>
      <c r="O6" s="74"/>
    </row>
    <row r="7" spans="2:15" ht="15" x14ac:dyDescent="0.2">
      <c r="B7" s="67"/>
      <c r="C7" s="174"/>
      <c r="D7" s="71" t="s">
        <v>82</v>
      </c>
      <c r="E7" s="72">
        <v>117538</v>
      </c>
      <c r="F7" s="72">
        <v>117854</v>
      </c>
      <c r="G7" s="73">
        <f t="shared" si="0"/>
        <v>316</v>
      </c>
      <c r="H7" s="74"/>
      <c r="J7" s="174"/>
      <c r="K7" s="71" t="s">
        <v>82</v>
      </c>
      <c r="L7" s="72">
        <v>117854</v>
      </c>
      <c r="M7" s="72">
        <v>118586</v>
      </c>
      <c r="N7" s="73">
        <f t="shared" si="1"/>
        <v>732</v>
      </c>
      <c r="O7" s="74"/>
    </row>
    <row r="8" spans="2:15" ht="15" x14ac:dyDescent="0.2">
      <c r="B8" s="67"/>
      <c r="C8" s="173">
        <v>8</v>
      </c>
      <c r="D8" s="71" t="s">
        <v>80</v>
      </c>
      <c r="E8" s="72">
        <v>72265</v>
      </c>
      <c r="F8" s="72">
        <v>72512</v>
      </c>
      <c r="G8" s="73">
        <f t="shared" si="0"/>
        <v>247</v>
      </c>
      <c r="H8" s="74"/>
      <c r="J8" s="173">
        <v>8</v>
      </c>
      <c r="K8" s="71" t="s">
        <v>80</v>
      </c>
      <c r="L8" s="72">
        <v>72512</v>
      </c>
      <c r="M8" s="72">
        <v>72662</v>
      </c>
      <c r="N8" s="73">
        <f t="shared" si="1"/>
        <v>150</v>
      </c>
      <c r="O8" s="74"/>
    </row>
    <row r="9" spans="2:15" ht="15" x14ac:dyDescent="0.2">
      <c r="B9" s="67"/>
      <c r="C9" s="175"/>
      <c r="D9" s="71" t="s">
        <v>81</v>
      </c>
      <c r="E9" s="72">
        <v>158</v>
      </c>
      <c r="F9" s="72">
        <v>158</v>
      </c>
      <c r="G9" s="73">
        <f t="shared" si="0"/>
        <v>0</v>
      </c>
      <c r="H9" s="75" t="s">
        <v>12</v>
      </c>
      <c r="J9" s="175"/>
      <c r="K9" s="71" t="s">
        <v>81</v>
      </c>
      <c r="L9" s="72">
        <v>158</v>
      </c>
      <c r="M9" s="72">
        <v>158</v>
      </c>
      <c r="N9" s="73">
        <f t="shared" si="1"/>
        <v>0</v>
      </c>
      <c r="O9" s="75" t="s">
        <v>12</v>
      </c>
    </row>
    <row r="10" spans="2:15" ht="15" x14ac:dyDescent="0.2">
      <c r="B10" s="67"/>
      <c r="C10" s="174"/>
      <c r="D10" s="71" t="s">
        <v>82</v>
      </c>
      <c r="E10" s="72">
        <v>95566</v>
      </c>
      <c r="F10" s="72">
        <v>96586</v>
      </c>
      <c r="G10" s="73">
        <f t="shared" si="0"/>
        <v>1020</v>
      </c>
      <c r="H10" s="74"/>
      <c r="J10" s="174"/>
      <c r="K10" s="71" t="s">
        <v>82</v>
      </c>
      <c r="L10" s="72">
        <v>96586</v>
      </c>
      <c r="M10" s="72">
        <v>97426</v>
      </c>
      <c r="N10" s="73">
        <f t="shared" si="1"/>
        <v>840</v>
      </c>
      <c r="O10" s="74"/>
    </row>
    <row r="11" spans="2:15" ht="15" x14ac:dyDescent="0.2">
      <c r="B11" s="67"/>
      <c r="C11" s="173">
        <v>9</v>
      </c>
      <c r="D11" s="71" t="s">
        <v>80</v>
      </c>
      <c r="E11" s="72">
        <v>39500</v>
      </c>
      <c r="F11" s="72">
        <v>43563</v>
      </c>
      <c r="G11" s="73">
        <f t="shared" si="0"/>
        <v>4063</v>
      </c>
      <c r="H11" s="74"/>
      <c r="J11" s="173">
        <v>9</v>
      </c>
      <c r="K11" s="71" t="s">
        <v>80</v>
      </c>
      <c r="L11" s="72">
        <v>43563</v>
      </c>
      <c r="M11" s="72">
        <v>43623</v>
      </c>
      <c r="N11" s="73">
        <f t="shared" si="1"/>
        <v>60</v>
      </c>
      <c r="O11" s="74"/>
    </row>
    <row r="12" spans="2:15" ht="15" x14ac:dyDescent="0.2">
      <c r="B12" s="67"/>
      <c r="C12" s="175"/>
      <c r="D12" s="71" t="s">
        <v>81</v>
      </c>
      <c r="E12" s="72">
        <v>0</v>
      </c>
      <c r="F12" s="72">
        <v>0</v>
      </c>
      <c r="G12" s="73">
        <f t="shared" si="0"/>
        <v>0</v>
      </c>
      <c r="H12" s="75" t="s">
        <v>12</v>
      </c>
      <c r="J12" s="175"/>
      <c r="K12" s="71" t="s">
        <v>81</v>
      </c>
      <c r="L12" s="72">
        <v>0</v>
      </c>
      <c r="M12" s="72">
        <v>0</v>
      </c>
      <c r="N12" s="73">
        <f t="shared" si="1"/>
        <v>0</v>
      </c>
      <c r="O12" s="75" t="s">
        <v>12</v>
      </c>
    </row>
    <row r="13" spans="2:15" ht="15" x14ac:dyDescent="0.2">
      <c r="B13" s="67"/>
      <c r="C13" s="174"/>
      <c r="D13" s="71" t="s">
        <v>82</v>
      </c>
      <c r="E13" s="72">
        <v>28397</v>
      </c>
      <c r="F13" s="72">
        <v>28469</v>
      </c>
      <c r="G13" s="73">
        <f t="shared" si="0"/>
        <v>72</v>
      </c>
      <c r="H13" s="74"/>
      <c r="I13" s="76"/>
      <c r="J13" s="174"/>
      <c r="K13" s="71" t="s">
        <v>82</v>
      </c>
      <c r="L13" s="72">
        <v>28469</v>
      </c>
      <c r="M13" s="72">
        <v>28565</v>
      </c>
      <c r="N13" s="73">
        <f t="shared" si="1"/>
        <v>96</v>
      </c>
      <c r="O13" s="74"/>
    </row>
    <row r="14" spans="2:15" ht="15" x14ac:dyDescent="0.2">
      <c r="B14" s="67"/>
      <c r="C14" s="173">
        <v>10</v>
      </c>
      <c r="D14" s="71" t="s">
        <v>80</v>
      </c>
      <c r="E14" s="72">
        <v>191472</v>
      </c>
      <c r="F14" s="72">
        <v>193243</v>
      </c>
      <c r="G14" s="73">
        <f t="shared" si="0"/>
        <v>1771</v>
      </c>
      <c r="H14" s="74"/>
      <c r="I14" s="77"/>
      <c r="J14" s="173">
        <v>10</v>
      </c>
      <c r="K14" s="71" t="s">
        <v>80</v>
      </c>
      <c r="L14" s="72">
        <v>193243</v>
      </c>
      <c r="M14" s="72">
        <v>195198</v>
      </c>
      <c r="N14" s="73">
        <f t="shared" si="1"/>
        <v>1955</v>
      </c>
      <c r="O14" s="74"/>
    </row>
    <row r="15" spans="2:15" ht="15" x14ac:dyDescent="0.2">
      <c r="B15" s="67"/>
      <c r="C15" s="175"/>
      <c r="D15" s="71" t="s">
        <v>81</v>
      </c>
      <c r="E15" s="72">
        <v>7717</v>
      </c>
      <c r="F15" s="72">
        <v>7741</v>
      </c>
      <c r="G15" s="73">
        <f t="shared" si="0"/>
        <v>24</v>
      </c>
      <c r="H15" s="74"/>
      <c r="I15" s="77"/>
      <c r="J15" s="175"/>
      <c r="K15" s="71" t="s">
        <v>81</v>
      </c>
      <c r="L15" s="72">
        <v>7741</v>
      </c>
      <c r="M15" s="72">
        <v>7717</v>
      </c>
      <c r="N15" s="73">
        <f t="shared" si="1"/>
        <v>-24</v>
      </c>
      <c r="O15" s="74"/>
    </row>
    <row r="16" spans="2:15" ht="15" x14ac:dyDescent="0.2">
      <c r="B16" s="67"/>
      <c r="C16" s="174"/>
      <c r="D16" s="71" t="s">
        <v>82</v>
      </c>
      <c r="E16" s="72">
        <v>183212</v>
      </c>
      <c r="F16" s="72">
        <v>184137</v>
      </c>
      <c r="G16" s="73">
        <f t="shared" si="0"/>
        <v>925</v>
      </c>
      <c r="H16" s="74"/>
      <c r="I16" s="77"/>
      <c r="J16" s="174"/>
      <c r="K16" s="71" t="s">
        <v>82</v>
      </c>
      <c r="L16" s="72">
        <v>184137</v>
      </c>
      <c r="M16" s="72">
        <v>85326</v>
      </c>
      <c r="N16" s="73">
        <f t="shared" si="1"/>
        <v>-98811</v>
      </c>
      <c r="O16" s="74"/>
    </row>
    <row r="17" spans="2:15" ht="15" x14ac:dyDescent="0.2">
      <c r="B17" s="67"/>
      <c r="C17" s="173">
        <v>11</v>
      </c>
      <c r="D17" s="71" t="s">
        <v>80</v>
      </c>
      <c r="E17" s="73">
        <v>63089</v>
      </c>
      <c r="F17" s="73">
        <v>63276</v>
      </c>
      <c r="G17" s="73">
        <f t="shared" si="0"/>
        <v>187</v>
      </c>
      <c r="H17" s="74"/>
      <c r="I17" s="77"/>
      <c r="J17" s="173">
        <v>11</v>
      </c>
      <c r="K17" s="71" t="s">
        <v>80</v>
      </c>
      <c r="L17" s="73">
        <v>63276</v>
      </c>
      <c r="M17" s="73">
        <v>63759</v>
      </c>
      <c r="N17" s="73">
        <f t="shared" si="1"/>
        <v>483</v>
      </c>
      <c r="O17" s="74"/>
    </row>
    <row r="18" spans="2:15" ht="15" x14ac:dyDescent="0.2">
      <c r="B18" s="67"/>
      <c r="C18" s="175"/>
      <c r="D18" s="71" t="s">
        <v>81</v>
      </c>
      <c r="E18" s="73">
        <v>210931</v>
      </c>
      <c r="F18" s="73">
        <v>211867</v>
      </c>
      <c r="G18" s="73">
        <f t="shared" si="0"/>
        <v>936</v>
      </c>
      <c r="H18" s="74"/>
      <c r="I18" s="77"/>
      <c r="J18" s="175"/>
      <c r="K18" s="71" t="s">
        <v>81</v>
      </c>
      <c r="L18" s="73">
        <v>211867</v>
      </c>
      <c r="M18" s="73">
        <v>212487</v>
      </c>
      <c r="N18" s="73">
        <f t="shared" si="1"/>
        <v>620</v>
      </c>
      <c r="O18" s="74"/>
    </row>
    <row r="19" spans="2:15" ht="15" x14ac:dyDescent="0.2">
      <c r="B19" s="67"/>
      <c r="C19" s="174"/>
      <c r="D19" s="71" t="s">
        <v>82</v>
      </c>
      <c r="E19" s="72">
        <v>30543</v>
      </c>
      <c r="F19" s="72">
        <v>30588</v>
      </c>
      <c r="G19" s="73">
        <f t="shared" si="0"/>
        <v>45</v>
      </c>
      <c r="H19" s="74"/>
      <c r="I19" s="77"/>
      <c r="J19" s="174"/>
      <c r="K19" s="71" t="s">
        <v>82</v>
      </c>
      <c r="L19" s="72">
        <v>30588</v>
      </c>
      <c r="M19" s="72">
        <v>30633</v>
      </c>
      <c r="N19" s="73">
        <f t="shared" si="1"/>
        <v>45</v>
      </c>
      <c r="O19" s="74"/>
    </row>
    <row r="20" spans="2:15" ht="15" x14ac:dyDescent="0.2">
      <c r="B20" s="67"/>
      <c r="C20" s="173">
        <v>12</v>
      </c>
      <c r="D20" s="71" t="s">
        <v>80</v>
      </c>
      <c r="E20" s="166">
        <v>145218</v>
      </c>
      <c r="F20" s="166">
        <v>145544</v>
      </c>
      <c r="G20" s="73">
        <f t="shared" si="0"/>
        <v>326</v>
      </c>
      <c r="H20" s="74"/>
      <c r="I20" s="77"/>
      <c r="J20" s="173">
        <v>12</v>
      </c>
      <c r="K20" s="71" t="s">
        <v>80</v>
      </c>
      <c r="L20" s="166">
        <v>145544</v>
      </c>
      <c r="M20" s="166">
        <v>145877</v>
      </c>
      <c r="N20" s="73">
        <f t="shared" si="1"/>
        <v>333</v>
      </c>
      <c r="O20" s="74"/>
    </row>
    <row r="21" spans="2:15" ht="15" x14ac:dyDescent="0.2">
      <c r="B21" s="67"/>
      <c r="C21" s="175"/>
      <c r="D21" s="71" t="s">
        <v>81</v>
      </c>
      <c r="E21" s="72">
        <v>22341</v>
      </c>
      <c r="F21" s="72">
        <v>22365</v>
      </c>
      <c r="G21" s="73">
        <f t="shared" si="0"/>
        <v>24</v>
      </c>
      <c r="H21" s="74"/>
      <c r="I21" s="78" t="s">
        <v>12</v>
      </c>
      <c r="J21" s="175"/>
      <c r="K21" s="71" t="s">
        <v>81</v>
      </c>
      <c r="L21" s="72">
        <v>22365</v>
      </c>
      <c r="M21" s="72">
        <v>22387</v>
      </c>
      <c r="N21" s="73">
        <f t="shared" si="1"/>
        <v>22</v>
      </c>
      <c r="O21" s="74"/>
    </row>
    <row r="22" spans="2:15" ht="15" x14ac:dyDescent="0.2">
      <c r="B22" s="67"/>
      <c r="C22" s="174"/>
      <c r="D22" s="71" t="s">
        <v>82</v>
      </c>
      <c r="E22" s="72">
        <v>239745</v>
      </c>
      <c r="F22" s="72">
        <v>241282</v>
      </c>
      <c r="G22" s="73">
        <f t="shared" si="0"/>
        <v>1537</v>
      </c>
      <c r="H22" s="74"/>
      <c r="I22" s="77"/>
      <c r="J22" s="174"/>
      <c r="K22" s="71" t="s">
        <v>82</v>
      </c>
      <c r="L22" s="72">
        <v>241282</v>
      </c>
      <c r="M22" s="72">
        <v>42280</v>
      </c>
      <c r="N22" s="73">
        <f t="shared" si="1"/>
        <v>-199002</v>
      </c>
      <c r="O22" s="74"/>
    </row>
    <row r="23" spans="2:15" ht="15" x14ac:dyDescent="0.2">
      <c r="B23" s="67"/>
      <c r="C23" s="173">
        <v>14</v>
      </c>
      <c r="D23" s="71" t="s">
        <v>80</v>
      </c>
      <c r="E23" s="72">
        <v>116427</v>
      </c>
      <c r="F23" s="72">
        <v>116596</v>
      </c>
      <c r="G23" s="73">
        <f t="shared" si="0"/>
        <v>169</v>
      </c>
      <c r="H23" s="74"/>
      <c r="I23" s="77"/>
      <c r="J23" s="173">
        <v>14</v>
      </c>
      <c r="K23" s="71" t="s">
        <v>80</v>
      </c>
      <c r="L23" s="72">
        <v>116596</v>
      </c>
      <c r="M23" s="72">
        <v>116596</v>
      </c>
      <c r="N23" s="73">
        <f t="shared" si="1"/>
        <v>0</v>
      </c>
      <c r="O23" s="74"/>
    </row>
    <row r="24" spans="2:15" ht="15" x14ac:dyDescent="0.2">
      <c r="B24" s="67"/>
      <c r="C24" s="175"/>
      <c r="D24" s="71" t="s">
        <v>81</v>
      </c>
      <c r="E24" s="79">
        <v>23763</v>
      </c>
      <c r="F24" s="79">
        <v>23763</v>
      </c>
      <c r="G24" s="73">
        <f t="shared" si="0"/>
        <v>0</v>
      </c>
      <c r="H24" s="74"/>
      <c r="I24" s="77"/>
      <c r="J24" s="175"/>
      <c r="K24" s="71" t="s">
        <v>81</v>
      </c>
      <c r="L24" s="79">
        <v>23763</v>
      </c>
      <c r="M24" s="79">
        <v>23763</v>
      </c>
      <c r="N24" s="73">
        <f t="shared" si="1"/>
        <v>0</v>
      </c>
      <c r="O24" s="74"/>
    </row>
    <row r="25" spans="2:15" ht="15" x14ac:dyDescent="0.2">
      <c r="B25" s="67"/>
      <c r="C25" s="174"/>
      <c r="D25" s="71" t="s">
        <v>82</v>
      </c>
      <c r="E25" s="72">
        <v>1966</v>
      </c>
      <c r="F25" s="72">
        <v>1999</v>
      </c>
      <c r="G25" s="73">
        <f t="shared" si="0"/>
        <v>33</v>
      </c>
      <c r="H25" s="74"/>
      <c r="I25" s="77"/>
      <c r="J25" s="174"/>
      <c r="K25" s="71" t="s">
        <v>82</v>
      </c>
      <c r="L25" s="72">
        <v>1999</v>
      </c>
      <c r="M25" s="72">
        <v>1999</v>
      </c>
      <c r="N25" s="73">
        <f t="shared" si="1"/>
        <v>0</v>
      </c>
      <c r="O25" s="74"/>
    </row>
    <row r="26" spans="2:15" ht="15" x14ac:dyDescent="0.2">
      <c r="B26" s="67"/>
      <c r="C26" s="173">
        <v>15</v>
      </c>
      <c r="D26" s="71" t="s">
        <v>80</v>
      </c>
      <c r="E26" s="166">
        <v>39380</v>
      </c>
      <c r="F26" s="166">
        <v>39380</v>
      </c>
      <c r="G26" s="73">
        <f t="shared" si="0"/>
        <v>0</v>
      </c>
      <c r="H26" s="74"/>
      <c r="I26" s="78" t="s">
        <v>12</v>
      </c>
      <c r="J26" s="173">
        <v>15</v>
      </c>
      <c r="K26" s="71" t="s">
        <v>80</v>
      </c>
      <c r="L26" s="166">
        <v>39380</v>
      </c>
      <c r="M26" s="166">
        <v>39344</v>
      </c>
      <c r="N26" s="73">
        <f t="shared" si="1"/>
        <v>-36</v>
      </c>
      <c r="O26" s="74"/>
    </row>
    <row r="27" spans="2:15" ht="15" x14ac:dyDescent="0.2">
      <c r="B27" s="67"/>
      <c r="C27" s="175"/>
      <c r="D27" s="71" t="s">
        <v>81</v>
      </c>
      <c r="E27" s="72">
        <v>79108</v>
      </c>
      <c r="F27" s="72">
        <v>79294</v>
      </c>
      <c r="G27" s="73">
        <f t="shared" si="0"/>
        <v>186</v>
      </c>
      <c r="H27" s="74"/>
      <c r="I27" s="78" t="s">
        <v>12</v>
      </c>
      <c r="J27" s="175"/>
      <c r="K27" s="71" t="s">
        <v>81</v>
      </c>
      <c r="L27" s="72">
        <v>79294</v>
      </c>
      <c r="M27" s="72">
        <v>80062</v>
      </c>
      <c r="N27" s="73">
        <f t="shared" si="1"/>
        <v>768</v>
      </c>
      <c r="O27" s="74"/>
    </row>
    <row r="28" spans="2:15" ht="15" x14ac:dyDescent="0.2">
      <c r="B28" s="67"/>
      <c r="C28" s="174"/>
      <c r="D28" s="71" t="s">
        <v>82</v>
      </c>
      <c r="E28" s="72">
        <v>151061</v>
      </c>
      <c r="F28" s="72">
        <v>151963</v>
      </c>
      <c r="G28" s="73">
        <f t="shared" si="0"/>
        <v>902</v>
      </c>
      <c r="H28" s="74"/>
      <c r="I28" s="77"/>
      <c r="J28" s="174"/>
      <c r="K28" s="71" t="s">
        <v>82</v>
      </c>
      <c r="L28" s="72">
        <v>151963</v>
      </c>
      <c r="M28" s="72">
        <v>153122</v>
      </c>
      <c r="N28" s="73">
        <f t="shared" si="1"/>
        <v>1159</v>
      </c>
      <c r="O28" s="74"/>
    </row>
    <row r="29" spans="2:15" ht="15" x14ac:dyDescent="0.2">
      <c r="B29" s="67"/>
      <c r="C29" s="173">
        <v>16</v>
      </c>
      <c r="D29" s="71" t="s">
        <v>80</v>
      </c>
      <c r="E29" s="166">
        <v>97965</v>
      </c>
      <c r="F29" s="166">
        <v>97965</v>
      </c>
      <c r="G29" s="73">
        <f t="shared" si="0"/>
        <v>0</v>
      </c>
      <c r="H29" s="75" t="s">
        <v>12</v>
      </c>
      <c r="I29" s="77"/>
      <c r="J29" s="173">
        <v>16</v>
      </c>
      <c r="K29" s="71" t="s">
        <v>80</v>
      </c>
      <c r="L29" s="166">
        <v>97965</v>
      </c>
      <c r="M29" s="166">
        <v>97792</v>
      </c>
      <c r="N29" s="73">
        <f t="shared" si="1"/>
        <v>-173</v>
      </c>
      <c r="O29" s="75" t="s">
        <v>12</v>
      </c>
    </row>
    <row r="30" spans="2:15" ht="15" x14ac:dyDescent="0.2">
      <c r="B30" s="67"/>
      <c r="C30" s="175"/>
      <c r="D30" s="71" t="s">
        <v>81</v>
      </c>
      <c r="E30" s="166">
        <v>59194</v>
      </c>
      <c r="F30" s="166">
        <v>59399</v>
      </c>
      <c r="G30" s="73">
        <f t="shared" si="0"/>
        <v>205</v>
      </c>
      <c r="H30" s="74"/>
      <c r="I30" s="77"/>
      <c r="J30" s="175"/>
      <c r="K30" s="71" t="s">
        <v>81</v>
      </c>
      <c r="L30" s="166">
        <v>59399</v>
      </c>
      <c r="M30" s="166">
        <v>59578</v>
      </c>
      <c r="N30" s="73">
        <f t="shared" si="1"/>
        <v>179</v>
      </c>
      <c r="O30" s="74"/>
    </row>
    <row r="31" spans="2:15" ht="15" x14ac:dyDescent="0.2">
      <c r="B31" s="67"/>
      <c r="C31" s="174"/>
      <c r="D31" s="71" t="s">
        <v>82</v>
      </c>
      <c r="E31" s="72">
        <v>68462</v>
      </c>
      <c r="F31" s="72">
        <v>68462</v>
      </c>
      <c r="G31" s="73">
        <f t="shared" si="0"/>
        <v>0</v>
      </c>
      <c r="H31" s="80"/>
      <c r="I31" s="77"/>
      <c r="J31" s="174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0"/>
    </row>
    <row r="32" spans="2:15" ht="15" x14ac:dyDescent="0.2">
      <c r="B32" s="67"/>
      <c r="C32" s="173">
        <v>17</v>
      </c>
      <c r="D32" s="71" t="s">
        <v>80</v>
      </c>
      <c r="E32" s="72">
        <v>31833</v>
      </c>
      <c r="F32" s="72">
        <v>32018</v>
      </c>
      <c r="G32" s="73">
        <f t="shared" si="0"/>
        <v>185</v>
      </c>
      <c r="H32" s="74"/>
      <c r="I32" s="77"/>
      <c r="J32" s="173">
        <v>17</v>
      </c>
      <c r="K32" s="71" t="s">
        <v>80</v>
      </c>
      <c r="L32" s="72">
        <v>32018</v>
      </c>
      <c r="M32" s="72">
        <v>32296</v>
      </c>
      <c r="N32" s="73">
        <f t="shared" si="1"/>
        <v>278</v>
      </c>
      <c r="O32" s="74"/>
    </row>
    <row r="33" spans="2:15" ht="15" x14ac:dyDescent="0.2">
      <c r="B33" s="67"/>
      <c r="C33" s="175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7"/>
      <c r="J33" s="175"/>
      <c r="K33" s="71" t="s">
        <v>81</v>
      </c>
      <c r="L33" s="72">
        <v>64144</v>
      </c>
      <c r="M33" s="72">
        <v>64122</v>
      </c>
      <c r="N33" s="73">
        <f t="shared" si="1"/>
        <v>-22</v>
      </c>
      <c r="O33" s="74"/>
    </row>
    <row r="34" spans="2:15" ht="15" x14ac:dyDescent="0.2">
      <c r="B34" s="67"/>
      <c r="C34" s="174"/>
      <c r="D34" s="71" t="s">
        <v>82</v>
      </c>
      <c r="E34" s="72">
        <v>11392</v>
      </c>
      <c r="F34" s="72">
        <v>11410</v>
      </c>
      <c r="G34" s="73">
        <f t="shared" si="0"/>
        <v>18</v>
      </c>
      <c r="H34" s="80"/>
      <c r="I34" s="77"/>
      <c r="J34" s="174"/>
      <c r="K34" s="71" t="s">
        <v>82</v>
      </c>
      <c r="L34" s="72">
        <v>11410</v>
      </c>
      <c r="M34" s="72">
        <v>11511</v>
      </c>
      <c r="N34" s="73">
        <f t="shared" si="1"/>
        <v>101</v>
      </c>
      <c r="O34" s="80"/>
    </row>
    <row r="35" spans="2:15" ht="15" x14ac:dyDescent="0.2">
      <c r="B35" s="67"/>
      <c r="C35" s="173">
        <v>18</v>
      </c>
      <c r="D35" s="71" t="s">
        <v>80</v>
      </c>
      <c r="E35" s="72">
        <v>233969</v>
      </c>
      <c r="F35" s="72">
        <v>235612</v>
      </c>
      <c r="G35" s="73">
        <f t="shared" si="0"/>
        <v>1643</v>
      </c>
      <c r="H35" s="80"/>
      <c r="I35" s="77"/>
      <c r="J35" s="173">
        <v>18</v>
      </c>
      <c r="K35" s="71" t="s">
        <v>80</v>
      </c>
      <c r="L35" s="72">
        <v>235612</v>
      </c>
      <c r="M35" s="72">
        <v>237344</v>
      </c>
      <c r="N35" s="73">
        <f t="shared" si="1"/>
        <v>1732</v>
      </c>
      <c r="O35" s="80"/>
    </row>
    <row r="36" spans="2:15" ht="15" x14ac:dyDescent="0.2">
      <c r="B36" s="67"/>
      <c r="C36" s="175"/>
      <c r="D36" s="71" t="s">
        <v>81</v>
      </c>
      <c r="E36" s="79">
        <v>16753</v>
      </c>
      <c r="F36" s="79">
        <v>16753</v>
      </c>
      <c r="G36" s="73">
        <f t="shared" si="0"/>
        <v>0</v>
      </c>
      <c r="H36" s="74"/>
      <c r="I36" s="77"/>
      <c r="J36" s="175"/>
      <c r="K36" s="71" t="s">
        <v>81</v>
      </c>
      <c r="L36" s="79">
        <v>16753</v>
      </c>
      <c r="M36" s="79">
        <v>16753</v>
      </c>
      <c r="N36" s="73">
        <f t="shared" si="1"/>
        <v>0</v>
      </c>
      <c r="O36" s="74"/>
    </row>
    <row r="37" spans="2:15" ht="15" x14ac:dyDescent="0.2">
      <c r="B37" s="67"/>
      <c r="C37" s="174"/>
      <c r="D37" s="71" t="s">
        <v>82</v>
      </c>
      <c r="E37" s="72">
        <v>75385</v>
      </c>
      <c r="F37" s="72">
        <v>76545</v>
      </c>
      <c r="G37" s="73">
        <f t="shared" si="0"/>
        <v>1160</v>
      </c>
      <c r="H37" s="74"/>
      <c r="I37" s="77"/>
      <c r="J37" s="174"/>
      <c r="K37" s="71" t="s">
        <v>82</v>
      </c>
      <c r="L37" s="72">
        <v>76545</v>
      </c>
      <c r="M37" s="72">
        <v>77837</v>
      </c>
      <c r="N37" s="73">
        <f t="shared" si="1"/>
        <v>1292</v>
      </c>
      <c r="O37" s="74"/>
    </row>
    <row r="38" spans="2:15" ht="15" x14ac:dyDescent="0.2">
      <c r="B38" s="67"/>
      <c r="C38" s="173">
        <v>19</v>
      </c>
      <c r="D38" s="71" t="s">
        <v>80</v>
      </c>
      <c r="E38" s="72">
        <v>21075</v>
      </c>
      <c r="F38" s="72">
        <v>21241</v>
      </c>
      <c r="G38" s="73">
        <f t="shared" si="0"/>
        <v>166</v>
      </c>
      <c r="H38" s="74"/>
      <c r="I38" s="77"/>
      <c r="J38" s="173">
        <v>19</v>
      </c>
      <c r="K38" s="71" t="s">
        <v>80</v>
      </c>
      <c r="L38" s="72">
        <v>21241</v>
      </c>
      <c r="M38" s="72">
        <v>21387</v>
      </c>
      <c r="N38" s="73">
        <f t="shared" si="1"/>
        <v>146</v>
      </c>
      <c r="O38" s="74"/>
    </row>
    <row r="39" spans="2:15" ht="15" x14ac:dyDescent="0.2">
      <c r="B39" s="67"/>
      <c r="C39" s="175"/>
      <c r="D39" s="71" t="s">
        <v>81</v>
      </c>
      <c r="E39" s="166">
        <v>82385</v>
      </c>
      <c r="F39" s="166">
        <v>82607</v>
      </c>
      <c r="G39" s="73">
        <f t="shared" si="0"/>
        <v>222</v>
      </c>
      <c r="H39" s="80"/>
      <c r="I39" s="77"/>
      <c r="J39" s="175"/>
      <c r="K39" s="71" t="s">
        <v>81</v>
      </c>
      <c r="L39" s="166">
        <v>82607</v>
      </c>
      <c r="M39" s="166">
        <v>82853</v>
      </c>
      <c r="N39" s="73">
        <f t="shared" si="1"/>
        <v>246</v>
      </c>
      <c r="O39" s="80"/>
    </row>
    <row r="40" spans="2:15" ht="15" x14ac:dyDescent="0.2">
      <c r="B40" s="67"/>
      <c r="C40" s="174"/>
      <c r="D40" s="71" t="s">
        <v>82</v>
      </c>
      <c r="E40" s="72">
        <v>53053</v>
      </c>
      <c r="F40" s="72">
        <v>53053</v>
      </c>
      <c r="G40" s="73">
        <f t="shared" si="0"/>
        <v>0</v>
      </c>
      <c r="H40" s="74"/>
      <c r="I40" s="77"/>
      <c r="J40" s="174"/>
      <c r="K40" s="71" t="s">
        <v>82</v>
      </c>
      <c r="L40" s="72">
        <v>53053</v>
      </c>
      <c r="M40" s="72">
        <v>53053</v>
      </c>
      <c r="N40" s="73">
        <f t="shared" si="1"/>
        <v>0</v>
      </c>
      <c r="O40" s="74"/>
    </row>
    <row r="41" spans="2:15" ht="15" x14ac:dyDescent="0.2">
      <c r="B41" s="67"/>
      <c r="C41" s="173">
        <v>20</v>
      </c>
      <c r="D41" s="71" t="s">
        <v>80</v>
      </c>
      <c r="E41" s="72">
        <v>117949</v>
      </c>
      <c r="F41" s="72">
        <v>118234</v>
      </c>
      <c r="G41" s="73">
        <f t="shared" si="0"/>
        <v>285</v>
      </c>
      <c r="H41" s="74"/>
      <c r="I41" s="77"/>
      <c r="J41" s="173">
        <v>20</v>
      </c>
      <c r="K41" s="71" t="s">
        <v>80</v>
      </c>
      <c r="L41" s="72">
        <v>118234</v>
      </c>
      <c r="M41" s="72">
        <v>118454</v>
      </c>
      <c r="N41" s="73">
        <f t="shared" si="1"/>
        <v>220</v>
      </c>
      <c r="O41" s="74"/>
    </row>
    <row r="42" spans="2:15" ht="15" x14ac:dyDescent="0.2">
      <c r="B42" s="67"/>
      <c r="C42" s="175"/>
      <c r="D42" s="71" t="s">
        <v>81</v>
      </c>
      <c r="E42" s="166">
        <v>68638</v>
      </c>
      <c r="F42" s="166">
        <v>68785</v>
      </c>
      <c r="G42" s="73">
        <f t="shared" si="0"/>
        <v>147</v>
      </c>
      <c r="H42" s="74"/>
      <c r="J42" s="175"/>
      <c r="K42" s="71" t="s">
        <v>81</v>
      </c>
      <c r="L42" s="166">
        <v>68785</v>
      </c>
      <c r="M42" s="166">
        <v>68935</v>
      </c>
      <c r="N42" s="73">
        <f t="shared" si="1"/>
        <v>150</v>
      </c>
      <c r="O42" s="74"/>
    </row>
    <row r="43" spans="2:15" ht="15" x14ac:dyDescent="0.2">
      <c r="B43" s="67"/>
      <c r="C43" s="174"/>
      <c r="D43" s="71" t="s">
        <v>82</v>
      </c>
      <c r="E43" s="72">
        <v>3237</v>
      </c>
      <c r="F43" s="72">
        <v>3251</v>
      </c>
      <c r="G43" s="73">
        <f t="shared" si="0"/>
        <v>14</v>
      </c>
      <c r="H43" s="74"/>
      <c r="J43" s="174"/>
      <c r="K43" s="71" t="s">
        <v>82</v>
      </c>
      <c r="L43" s="72">
        <v>3251</v>
      </c>
      <c r="M43" s="72">
        <v>3297</v>
      </c>
      <c r="N43" s="73">
        <f t="shared" si="1"/>
        <v>46</v>
      </c>
      <c r="O43" s="74"/>
    </row>
    <row r="44" spans="2:15" ht="15" x14ac:dyDescent="0.2">
      <c r="B44" s="67"/>
      <c r="C44" s="81"/>
      <c r="D44" s="82"/>
      <c r="E44" s="82"/>
      <c r="F44" s="82"/>
      <c r="G44" s="82"/>
      <c r="H44" s="84"/>
      <c r="J44" s="81"/>
      <c r="K44" s="82"/>
      <c r="L44" s="82"/>
      <c r="M44" s="82"/>
      <c r="N44" s="82"/>
      <c r="O44" s="84"/>
    </row>
    <row r="45" spans="2:15" ht="15" x14ac:dyDescent="0.2">
      <c r="B45" s="67"/>
      <c r="C45" s="173">
        <v>21</v>
      </c>
      <c r="D45" s="85" t="s">
        <v>83</v>
      </c>
      <c r="E45" s="72">
        <v>3218</v>
      </c>
      <c r="F45" s="72">
        <v>3367</v>
      </c>
      <c r="G45" s="73">
        <f t="shared" ref="G45:G50" si="2">F45-E45</f>
        <v>149</v>
      </c>
      <c r="H45" s="75" t="s">
        <v>12</v>
      </c>
      <c r="J45" s="173">
        <v>21</v>
      </c>
      <c r="K45" s="85" t="s">
        <v>83</v>
      </c>
      <c r="L45" s="72">
        <v>3367</v>
      </c>
      <c r="M45" s="72">
        <v>2421</v>
      </c>
      <c r="N45" s="73">
        <f t="shared" si="1"/>
        <v>-946</v>
      </c>
      <c r="O45" s="75" t="s">
        <v>12</v>
      </c>
    </row>
    <row r="46" spans="2:15" ht="15" x14ac:dyDescent="0.2">
      <c r="B46" s="67"/>
      <c r="C46" s="175"/>
      <c r="D46" s="85" t="s">
        <v>82</v>
      </c>
      <c r="E46" s="72">
        <v>38125</v>
      </c>
      <c r="F46" s="72">
        <v>38125</v>
      </c>
      <c r="G46" s="73">
        <f t="shared" si="2"/>
        <v>0</v>
      </c>
      <c r="H46" s="74"/>
      <c r="J46" s="175"/>
      <c r="K46" s="85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73">
        <v>22</v>
      </c>
      <c r="D47" s="85" t="s">
        <v>83</v>
      </c>
      <c r="E47" s="86">
        <v>13917</v>
      </c>
      <c r="F47" s="86">
        <v>13941</v>
      </c>
      <c r="G47" s="73">
        <f t="shared" si="2"/>
        <v>24</v>
      </c>
      <c r="H47" s="74"/>
      <c r="I47" t="s">
        <v>12</v>
      </c>
      <c r="J47" s="173">
        <v>22</v>
      </c>
      <c r="K47" s="85" t="s">
        <v>83</v>
      </c>
      <c r="L47" s="86">
        <v>13941</v>
      </c>
      <c r="M47" s="86">
        <v>13549</v>
      </c>
      <c r="N47" s="73">
        <f t="shared" si="1"/>
        <v>-392</v>
      </c>
      <c r="O47" s="74"/>
    </row>
    <row r="48" spans="2:15" ht="15" x14ac:dyDescent="0.2">
      <c r="B48" s="67"/>
      <c r="C48" s="175"/>
      <c r="D48" s="85" t="s">
        <v>82</v>
      </c>
      <c r="E48" s="86">
        <v>19003</v>
      </c>
      <c r="F48" s="86">
        <v>19468</v>
      </c>
      <c r="G48" s="73">
        <f t="shared" si="2"/>
        <v>465</v>
      </c>
      <c r="H48" s="74"/>
      <c r="J48" s="175"/>
      <c r="K48" s="85" t="s">
        <v>82</v>
      </c>
      <c r="L48" s="86">
        <v>19468</v>
      </c>
      <c r="M48" s="86">
        <v>19630</v>
      </c>
      <c r="N48" s="73">
        <f t="shared" si="1"/>
        <v>162</v>
      </c>
      <c r="O48" s="74"/>
    </row>
    <row r="49" spans="1:15" ht="15" x14ac:dyDescent="0.2">
      <c r="B49" s="67"/>
      <c r="C49" s="173">
        <v>23</v>
      </c>
      <c r="D49" s="71" t="s">
        <v>83</v>
      </c>
      <c r="E49" s="86"/>
      <c r="F49" s="86"/>
      <c r="G49" s="73">
        <f t="shared" si="2"/>
        <v>0</v>
      </c>
      <c r="H49" s="74"/>
      <c r="J49" s="173">
        <v>23</v>
      </c>
      <c r="K49" s="71" t="s">
        <v>83</v>
      </c>
      <c r="L49" s="86"/>
      <c r="M49" s="86"/>
      <c r="N49" s="73">
        <f t="shared" si="1"/>
        <v>0</v>
      </c>
      <c r="O49" s="74"/>
    </row>
    <row r="50" spans="1:15" ht="15" x14ac:dyDescent="0.2">
      <c r="B50" s="67"/>
      <c r="C50" s="175"/>
      <c r="D50" s="71" t="s">
        <v>82</v>
      </c>
      <c r="E50" s="86"/>
      <c r="F50" s="86"/>
      <c r="G50" s="73">
        <f t="shared" si="2"/>
        <v>0</v>
      </c>
      <c r="H50" s="74"/>
      <c r="J50" s="175"/>
      <c r="K50" s="71" t="s">
        <v>82</v>
      </c>
      <c r="L50" s="86"/>
      <c r="M50" s="86"/>
      <c r="N50" s="73">
        <f t="shared" si="1"/>
        <v>0</v>
      </c>
      <c r="O50" s="74"/>
    </row>
    <row r="51" spans="1:15" ht="15" x14ac:dyDescent="0.2">
      <c r="B51" s="67"/>
      <c r="C51" s="87"/>
      <c r="D51" s="82"/>
      <c r="E51" s="83"/>
      <c r="F51" s="83"/>
      <c r="G51" s="83"/>
      <c r="H51" s="84"/>
      <c r="J51" s="87"/>
      <c r="K51" s="82"/>
      <c r="L51" s="83"/>
      <c r="M51" s="83"/>
      <c r="N51" s="83"/>
      <c r="O51" s="84"/>
    </row>
    <row r="52" spans="1:15" ht="15" x14ac:dyDescent="0.2">
      <c r="B52" s="67"/>
      <c r="C52" s="176">
        <v>24</v>
      </c>
      <c r="D52" s="71" t="s">
        <v>84</v>
      </c>
      <c r="E52" s="166">
        <v>239731</v>
      </c>
      <c r="F52" s="166">
        <v>240464</v>
      </c>
      <c r="G52" s="73">
        <f t="shared" ref="G52:G60" si="3">F52-E52</f>
        <v>733</v>
      </c>
      <c r="H52" s="88"/>
      <c r="J52" s="176">
        <v>24</v>
      </c>
      <c r="K52" s="71" t="s">
        <v>84</v>
      </c>
      <c r="L52" s="166">
        <v>240464</v>
      </c>
      <c r="M52" s="166">
        <v>34557</v>
      </c>
      <c r="N52" s="73">
        <f t="shared" si="1"/>
        <v>-205907</v>
      </c>
      <c r="O52" s="88"/>
    </row>
    <row r="53" spans="1:15" ht="15" x14ac:dyDescent="0.2">
      <c r="B53" s="67"/>
      <c r="C53" s="177"/>
      <c r="D53" s="71" t="s">
        <v>85</v>
      </c>
      <c r="E53" s="166">
        <v>534805</v>
      </c>
      <c r="F53" s="166">
        <v>535259</v>
      </c>
      <c r="G53" s="73">
        <f t="shared" si="3"/>
        <v>454</v>
      </c>
      <c r="H53" s="80"/>
      <c r="J53" s="177"/>
      <c r="K53" s="71" t="s">
        <v>85</v>
      </c>
      <c r="L53" s="166">
        <v>535259</v>
      </c>
      <c r="M53" s="166">
        <v>535736</v>
      </c>
      <c r="N53" s="73">
        <f t="shared" si="1"/>
        <v>477</v>
      </c>
      <c r="O53" s="80"/>
    </row>
    <row r="54" spans="1:15" ht="15" x14ac:dyDescent="0.2">
      <c r="B54" s="67"/>
      <c r="C54" s="178"/>
      <c r="D54" s="71" t="s">
        <v>84</v>
      </c>
      <c r="E54" s="166">
        <v>34567</v>
      </c>
      <c r="F54" s="166">
        <v>34567</v>
      </c>
      <c r="G54" s="73">
        <f t="shared" si="3"/>
        <v>0</v>
      </c>
      <c r="H54" s="89" t="s">
        <v>12</v>
      </c>
      <c r="J54" s="178"/>
      <c r="K54" s="71" t="s">
        <v>84</v>
      </c>
      <c r="L54" s="166">
        <v>34567</v>
      </c>
      <c r="M54" s="166">
        <v>241579</v>
      </c>
      <c r="N54" s="73">
        <f t="shared" si="1"/>
        <v>207012</v>
      </c>
      <c r="O54" s="89" t="s">
        <v>12</v>
      </c>
    </row>
    <row r="55" spans="1:15" ht="15" x14ac:dyDescent="0.2">
      <c r="B55" s="67"/>
      <c r="C55" s="173">
        <v>25</v>
      </c>
      <c r="D55" s="71" t="s">
        <v>84</v>
      </c>
      <c r="E55" s="86">
        <v>330</v>
      </c>
      <c r="F55" s="86">
        <v>330</v>
      </c>
      <c r="G55" s="73">
        <f t="shared" si="3"/>
        <v>0</v>
      </c>
      <c r="H55" s="74"/>
      <c r="J55" s="173">
        <v>25</v>
      </c>
      <c r="K55" s="71" t="s">
        <v>84</v>
      </c>
      <c r="L55" s="86">
        <v>330</v>
      </c>
      <c r="M55" s="86">
        <v>330</v>
      </c>
      <c r="N55" s="73">
        <f t="shared" si="1"/>
        <v>0</v>
      </c>
      <c r="O55" s="74"/>
    </row>
    <row r="56" spans="1:15" ht="15" x14ac:dyDescent="0.2">
      <c r="B56" s="67"/>
      <c r="C56" s="174"/>
      <c r="D56" s="71" t="s">
        <v>85</v>
      </c>
      <c r="E56" s="86">
        <v>3</v>
      </c>
      <c r="F56" s="86">
        <v>3</v>
      </c>
      <c r="G56" s="73">
        <f t="shared" si="3"/>
        <v>0</v>
      </c>
      <c r="H56" s="74"/>
      <c r="J56" s="174"/>
      <c r="K56" s="71" t="s">
        <v>85</v>
      </c>
      <c r="L56" s="86">
        <v>3</v>
      </c>
      <c r="M56" s="86">
        <v>3</v>
      </c>
      <c r="N56" s="73">
        <f t="shared" si="1"/>
        <v>0</v>
      </c>
      <c r="O56" s="74"/>
    </row>
    <row r="57" spans="1:15" ht="15" x14ac:dyDescent="0.2">
      <c r="B57" s="67"/>
      <c r="C57" s="173">
        <v>26</v>
      </c>
      <c r="D57" s="71" t="s">
        <v>84</v>
      </c>
      <c r="E57" s="72">
        <v>696546</v>
      </c>
      <c r="F57" s="72">
        <v>700352</v>
      </c>
      <c r="G57" s="73">
        <f t="shared" si="3"/>
        <v>3806</v>
      </c>
      <c r="H57" s="74"/>
      <c r="J57" s="173">
        <v>26</v>
      </c>
      <c r="K57" s="71" t="s">
        <v>84</v>
      </c>
      <c r="L57" s="72">
        <v>700352</v>
      </c>
      <c r="M57" s="72">
        <v>703724</v>
      </c>
      <c r="N57" s="73">
        <f t="shared" si="1"/>
        <v>3372</v>
      </c>
      <c r="O57" s="74"/>
    </row>
    <row r="58" spans="1:15" ht="15" x14ac:dyDescent="0.2">
      <c r="A58" s="77"/>
      <c r="B58" s="67"/>
      <c r="C58" s="174"/>
      <c r="D58" s="71" t="s">
        <v>85</v>
      </c>
      <c r="E58" s="72">
        <v>763486</v>
      </c>
      <c r="F58" s="72">
        <v>767743</v>
      </c>
      <c r="G58" s="73">
        <f t="shared" si="3"/>
        <v>4257</v>
      </c>
      <c r="H58" s="80"/>
      <c r="I58" s="77"/>
      <c r="J58" s="174"/>
      <c r="K58" s="71" t="s">
        <v>85</v>
      </c>
      <c r="L58" s="72">
        <v>767743</v>
      </c>
      <c r="M58" s="72">
        <v>772007</v>
      </c>
      <c r="N58" s="73">
        <f t="shared" si="1"/>
        <v>4264</v>
      </c>
      <c r="O58" s="80"/>
    </row>
    <row r="59" spans="1:15" ht="15" x14ac:dyDescent="0.2">
      <c r="A59" s="77"/>
      <c r="B59" s="67"/>
      <c r="C59" s="173">
        <v>27</v>
      </c>
      <c r="D59" s="71" t="s">
        <v>84</v>
      </c>
      <c r="E59" s="72">
        <v>236626</v>
      </c>
      <c r="F59" s="72">
        <v>237633</v>
      </c>
      <c r="G59" s="73">
        <f t="shared" si="3"/>
        <v>1007</v>
      </c>
      <c r="H59" s="74"/>
      <c r="I59" s="77"/>
      <c r="J59" s="173">
        <v>27</v>
      </c>
      <c r="K59" s="71" t="s">
        <v>84</v>
      </c>
      <c r="L59" s="72">
        <v>237633</v>
      </c>
      <c r="M59" s="72">
        <v>238754</v>
      </c>
      <c r="N59" s="73">
        <f t="shared" si="1"/>
        <v>1121</v>
      </c>
      <c r="O59" s="74"/>
    </row>
    <row r="60" spans="1:15" ht="15" x14ac:dyDescent="0.2">
      <c r="A60" s="77"/>
      <c r="B60" s="67"/>
      <c r="C60" s="174"/>
      <c r="D60" s="71" t="s">
        <v>85</v>
      </c>
      <c r="E60" s="72">
        <v>96550</v>
      </c>
      <c r="F60" s="72">
        <v>97283</v>
      </c>
      <c r="G60" s="73">
        <f t="shared" si="3"/>
        <v>733</v>
      </c>
      <c r="H60" s="74"/>
      <c r="I60" s="77"/>
      <c r="J60" s="174"/>
      <c r="K60" s="71" t="s">
        <v>85</v>
      </c>
      <c r="L60" s="72">
        <v>97283</v>
      </c>
      <c r="M60" s="72">
        <v>97743</v>
      </c>
      <c r="N60" s="73">
        <f t="shared" si="1"/>
        <v>460</v>
      </c>
      <c r="O60" s="74"/>
    </row>
    <row r="61" spans="1:15" ht="15" x14ac:dyDescent="0.2">
      <c r="A61" s="77"/>
      <c r="B61" s="67"/>
      <c r="C61" s="81"/>
      <c r="D61" s="82"/>
      <c r="E61" s="72"/>
      <c r="F61" s="72"/>
      <c r="G61" s="90"/>
      <c r="H61" s="84"/>
      <c r="I61" s="77"/>
      <c r="J61" s="81"/>
      <c r="K61" s="82"/>
      <c r="L61" s="72"/>
      <c r="M61" s="72"/>
      <c r="N61" s="90"/>
      <c r="O61" s="84"/>
    </row>
    <row r="62" spans="1:15" ht="15" x14ac:dyDescent="0.2">
      <c r="A62" s="77"/>
      <c r="B62" s="67"/>
      <c r="C62" s="173">
        <v>28</v>
      </c>
      <c r="D62" s="182" t="s">
        <v>86</v>
      </c>
      <c r="E62" s="72"/>
      <c r="F62" s="72"/>
      <c r="G62" s="73"/>
      <c r="H62" s="184" t="s">
        <v>87</v>
      </c>
      <c r="I62" s="77"/>
      <c r="J62" s="173">
        <v>28</v>
      </c>
      <c r="K62" s="182" t="s">
        <v>86</v>
      </c>
      <c r="L62" s="72"/>
      <c r="M62" s="72"/>
      <c r="N62" s="73"/>
      <c r="O62" s="184" t="s">
        <v>87</v>
      </c>
    </row>
    <row r="63" spans="1:15" ht="15" x14ac:dyDescent="0.2">
      <c r="A63" s="77"/>
      <c r="B63" s="67"/>
      <c r="C63" s="174"/>
      <c r="D63" s="183"/>
      <c r="E63" s="72"/>
      <c r="F63" s="72"/>
      <c r="G63" s="73"/>
      <c r="H63" s="185"/>
      <c r="I63" s="77"/>
      <c r="J63" s="174"/>
      <c r="K63" s="183"/>
      <c r="L63" s="72"/>
      <c r="M63" s="72"/>
      <c r="N63" s="73"/>
      <c r="O63" s="185"/>
    </row>
    <row r="64" spans="1:15" x14ac:dyDescent="0.2">
      <c r="A64" s="77"/>
      <c r="B64" s="67"/>
      <c r="C64" s="186" t="s">
        <v>88</v>
      </c>
      <c r="D64" s="186"/>
      <c r="E64" s="186"/>
      <c r="F64" s="186"/>
      <c r="G64" s="91">
        <f>SUM(G2:G63)</f>
        <v>31537</v>
      </c>
      <c r="H64" s="92"/>
      <c r="I64" s="77"/>
      <c r="J64" s="186" t="s">
        <v>88</v>
      </c>
      <c r="K64" s="186"/>
      <c r="L64" s="186"/>
      <c r="M64" s="186"/>
      <c r="N64" s="91">
        <f>SUM(N2:N63)</f>
        <v>-273238</v>
      </c>
      <c r="O64" s="92"/>
    </row>
    <row r="68" spans="1:15" ht="13.5" thickBot="1" x14ac:dyDescent="0.25">
      <c r="A68" s="93"/>
      <c r="B68" s="93"/>
      <c r="C68" s="93"/>
      <c r="D68" s="94" t="s">
        <v>12</v>
      </c>
      <c r="E68" s="93"/>
      <c r="F68" s="93"/>
      <c r="G68" s="93"/>
      <c r="H68" s="93"/>
    </row>
    <row r="69" spans="1:15" ht="13.5" thickBot="1" x14ac:dyDescent="0.25">
      <c r="A69" s="95"/>
      <c r="B69" s="187">
        <v>44317</v>
      </c>
      <c r="C69" s="188"/>
      <c r="D69" s="188"/>
      <c r="E69" s="189"/>
      <c r="F69" s="95"/>
      <c r="G69" s="187">
        <v>44348</v>
      </c>
      <c r="H69" s="188"/>
      <c r="I69" s="188"/>
      <c r="J69" s="189"/>
      <c r="K69" s="95"/>
      <c r="L69" s="179" t="s">
        <v>25</v>
      </c>
      <c r="M69" s="180"/>
      <c r="N69" s="180"/>
      <c r="O69" s="181"/>
    </row>
    <row r="70" spans="1:15" ht="13.5" thickBot="1" x14ac:dyDescent="0.25">
      <c r="A70" s="93"/>
      <c r="B70" s="167" t="s">
        <v>77</v>
      </c>
      <c r="C70" s="167">
        <v>30</v>
      </c>
      <c r="D70" s="167" t="s">
        <v>89</v>
      </c>
      <c r="E70" s="167" t="s">
        <v>90</v>
      </c>
      <c r="F70" s="93"/>
      <c r="G70" s="167" t="s">
        <v>141</v>
      </c>
      <c r="H70" s="167">
        <v>30</v>
      </c>
      <c r="I70" s="167" t="s">
        <v>89</v>
      </c>
      <c r="J70" s="167" t="s">
        <v>90</v>
      </c>
      <c r="K70" s="93"/>
      <c r="L70" s="96" t="s">
        <v>77</v>
      </c>
      <c r="M70" s="96">
        <v>30</v>
      </c>
      <c r="N70" s="96" t="s">
        <v>89</v>
      </c>
      <c r="O70" s="96" t="s">
        <v>90</v>
      </c>
    </row>
    <row r="71" spans="1:15" ht="15.75" thickBot="1" x14ac:dyDescent="0.25">
      <c r="A71" s="93"/>
      <c r="B71" s="97">
        <v>6</v>
      </c>
      <c r="C71" s="98">
        <v>92374</v>
      </c>
      <c r="D71" s="99">
        <v>55047</v>
      </c>
      <c r="E71" s="100">
        <v>78552</v>
      </c>
      <c r="F71" s="93"/>
      <c r="G71" s="97">
        <v>6</v>
      </c>
      <c r="H71" s="98">
        <v>92509</v>
      </c>
      <c r="I71" s="99">
        <v>55533</v>
      </c>
      <c r="J71" s="100">
        <v>78552</v>
      </c>
      <c r="K71" s="93"/>
      <c r="L71" s="96">
        <v>6</v>
      </c>
      <c r="M71" s="101">
        <f>H71-C71</f>
        <v>135</v>
      </c>
      <c r="N71" s="101">
        <f>I71-D71</f>
        <v>486</v>
      </c>
      <c r="O71" s="101">
        <f>J71-E71</f>
        <v>0</v>
      </c>
    </row>
    <row r="72" spans="1:15" ht="15.75" thickBot="1" x14ac:dyDescent="0.25">
      <c r="A72" s="93"/>
      <c r="B72" s="97">
        <v>7</v>
      </c>
      <c r="C72" s="98">
        <v>95734</v>
      </c>
      <c r="D72" s="99">
        <v>103671</v>
      </c>
      <c r="E72" s="100">
        <v>63262</v>
      </c>
      <c r="F72" s="93"/>
      <c r="G72" s="97">
        <v>7</v>
      </c>
      <c r="H72" s="98">
        <v>96466</v>
      </c>
      <c r="I72" s="99">
        <v>103854</v>
      </c>
      <c r="J72" s="100">
        <v>63632</v>
      </c>
      <c r="K72" s="93"/>
      <c r="L72" s="96">
        <v>7</v>
      </c>
      <c r="M72" s="101">
        <f t="shared" ref="M72:O94" si="4">H72-C72</f>
        <v>732</v>
      </c>
      <c r="N72" s="101">
        <f t="shared" si="4"/>
        <v>183</v>
      </c>
      <c r="O72" s="101">
        <f t="shared" si="4"/>
        <v>370</v>
      </c>
    </row>
    <row r="73" spans="1:15" ht="15.75" thickBot="1" x14ac:dyDescent="0.25">
      <c r="A73" s="93"/>
      <c r="B73" s="97">
        <v>8</v>
      </c>
      <c r="C73" s="98">
        <v>112016</v>
      </c>
      <c r="D73" s="99">
        <v>245453</v>
      </c>
      <c r="E73" s="100">
        <v>105612</v>
      </c>
      <c r="F73" s="93"/>
      <c r="G73" s="97">
        <v>8</v>
      </c>
      <c r="H73" s="98">
        <v>112695</v>
      </c>
      <c r="I73" s="99">
        <v>247669</v>
      </c>
      <c r="J73" s="100">
        <v>106409</v>
      </c>
      <c r="K73" s="93"/>
      <c r="L73" s="96">
        <v>8</v>
      </c>
      <c r="M73" s="101">
        <f t="shared" si="4"/>
        <v>679</v>
      </c>
      <c r="N73" s="101">
        <f t="shared" si="4"/>
        <v>2216</v>
      </c>
      <c r="O73" s="101">
        <f t="shared" si="4"/>
        <v>797</v>
      </c>
    </row>
    <row r="74" spans="1:15" ht="15.75" thickBot="1" x14ac:dyDescent="0.25">
      <c r="A74" s="93"/>
      <c r="B74" s="97">
        <v>9</v>
      </c>
      <c r="C74" s="98">
        <v>68228</v>
      </c>
      <c r="D74" s="99">
        <v>151338</v>
      </c>
      <c r="E74" s="100">
        <v>150678</v>
      </c>
      <c r="F74" s="93"/>
      <c r="G74" s="97">
        <v>9</v>
      </c>
      <c r="H74" s="98">
        <v>68293</v>
      </c>
      <c r="I74" s="99">
        <v>151984</v>
      </c>
      <c r="J74" s="100">
        <v>152414</v>
      </c>
      <c r="K74" s="93"/>
      <c r="L74" s="96">
        <v>9</v>
      </c>
      <c r="M74" s="101">
        <f t="shared" si="4"/>
        <v>65</v>
      </c>
      <c r="N74" s="101">
        <f t="shared" si="4"/>
        <v>646</v>
      </c>
      <c r="O74" s="101">
        <f t="shared" si="4"/>
        <v>1736</v>
      </c>
    </row>
    <row r="75" spans="1:15" ht="15.75" thickBot="1" x14ac:dyDescent="0.25">
      <c r="A75" s="93"/>
      <c r="B75" s="97">
        <v>10</v>
      </c>
      <c r="C75" s="98">
        <v>70801</v>
      </c>
      <c r="D75" s="99">
        <v>111973</v>
      </c>
      <c r="E75" s="100">
        <v>143250</v>
      </c>
      <c r="F75" s="93"/>
      <c r="G75" s="97">
        <v>10</v>
      </c>
      <c r="H75" s="98">
        <v>71461</v>
      </c>
      <c r="I75" s="99">
        <v>112954</v>
      </c>
      <c r="J75" s="100">
        <v>144160</v>
      </c>
      <c r="K75" s="93"/>
      <c r="L75" s="96">
        <v>10</v>
      </c>
      <c r="M75" s="101">
        <f t="shared" si="4"/>
        <v>660</v>
      </c>
      <c r="N75" s="101">
        <f t="shared" si="4"/>
        <v>981</v>
      </c>
      <c r="O75" s="101">
        <f t="shared" si="4"/>
        <v>910</v>
      </c>
    </row>
    <row r="76" spans="1:15" ht="15.75" thickBot="1" x14ac:dyDescent="0.25">
      <c r="A76" s="93"/>
      <c r="B76" s="97">
        <v>11</v>
      </c>
      <c r="C76" s="98">
        <v>152635</v>
      </c>
      <c r="D76" s="99">
        <v>182054</v>
      </c>
      <c r="E76" s="100">
        <v>211520</v>
      </c>
      <c r="F76" s="93"/>
      <c r="G76" s="97">
        <v>11</v>
      </c>
      <c r="H76" s="98">
        <v>153339</v>
      </c>
      <c r="I76" s="99">
        <v>182575</v>
      </c>
      <c r="J76" s="100">
        <v>211728</v>
      </c>
      <c r="K76" s="93"/>
      <c r="L76" s="96">
        <v>11</v>
      </c>
      <c r="M76" s="101">
        <f t="shared" si="4"/>
        <v>704</v>
      </c>
      <c r="N76" s="101">
        <f t="shared" si="4"/>
        <v>521</v>
      </c>
      <c r="O76" s="101">
        <f t="shared" si="4"/>
        <v>208</v>
      </c>
    </row>
    <row r="77" spans="1:15" ht="15.75" thickBot="1" x14ac:dyDescent="0.25">
      <c r="A77" s="93"/>
      <c r="B77" s="97">
        <v>12</v>
      </c>
      <c r="C77" s="98">
        <v>148659</v>
      </c>
      <c r="D77" s="99">
        <v>96275</v>
      </c>
      <c r="E77" s="100">
        <v>100130</v>
      </c>
      <c r="F77" s="93"/>
      <c r="G77" s="97">
        <v>12</v>
      </c>
      <c r="H77" s="98">
        <v>149241</v>
      </c>
      <c r="I77" s="99">
        <v>96392</v>
      </c>
      <c r="J77" s="100">
        <v>106215</v>
      </c>
      <c r="K77" s="93"/>
      <c r="L77" s="96">
        <v>12</v>
      </c>
      <c r="M77" s="101">
        <f t="shared" si="4"/>
        <v>582</v>
      </c>
      <c r="N77" s="101">
        <f>I77-D77</f>
        <v>117</v>
      </c>
      <c r="O77" s="101">
        <f t="shared" si="4"/>
        <v>6085</v>
      </c>
    </row>
    <row r="78" spans="1:15" ht="15.75" thickBot="1" x14ac:dyDescent="0.25">
      <c r="A78" s="93"/>
      <c r="B78" s="97">
        <v>14</v>
      </c>
      <c r="C78" s="98">
        <v>123669</v>
      </c>
      <c r="D78" s="99">
        <v>47927</v>
      </c>
      <c r="E78" s="100">
        <v>50895</v>
      </c>
      <c r="F78" s="93"/>
      <c r="G78" s="97">
        <v>14</v>
      </c>
      <c r="H78" s="98">
        <v>123662</v>
      </c>
      <c r="I78" s="99">
        <v>50974</v>
      </c>
      <c r="J78" s="100">
        <v>47964</v>
      </c>
      <c r="K78" s="93"/>
      <c r="L78" s="96">
        <v>14</v>
      </c>
      <c r="M78" s="101">
        <f t="shared" si="4"/>
        <v>-7</v>
      </c>
      <c r="N78" s="101">
        <f t="shared" si="4"/>
        <v>3047</v>
      </c>
      <c r="O78" s="101">
        <f t="shared" si="4"/>
        <v>-2931</v>
      </c>
    </row>
    <row r="79" spans="1:15" ht="15.75" thickBot="1" x14ac:dyDescent="0.25">
      <c r="A79" s="93"/>
      <c r="B79" s="97">
        <v>15</v>
      </c>
      <c r="C79" s="98">
        <v>166733</v>
      </c>
      <c r="D79" s="99">
        <v>145942</v>
      </c>
      <c r="E79" s="100">
        <v>157487</v>
      </c>
      <c r="F79" s="93"/>
      <c r="G79" s="97">
        <v>15</v>
      </c>
      <c r="H79" s="98">
        <v>168024</v>
      </c>
      <c r="I79" s="99">
        <v>146784</v>
      </c>
      <c r="J79" s="100">
        <v>157945</v>
      </c>
      <c r="K79" s="93"/>
      <c r="L79" s="96">
        <v>15</v>
      </c>
      <c r="M79" s="101">
        <f t="shared" si="4"/>
        <v>1291</v>
      </c>
      <c r="N79" s="101">
        <f t="shared" si="4"/>
        <v>842</v>
      </c>
      <c r="O79" s="101">
        <f t="shared" si="4"/>
        <v>458</v>
      </c>
    </row>
    <row r="80" spans="1:15" ht="15.75" thickBot="1" x14ac:dyDescent="0.25">
      <c r="A80" s="93"/>
      <c r="B80" s="97">
        <v>16</v>
      </c>
      <c r="C80" s="98">
        <v>120829</v>
      </c>
      <c r="D80" s="99">
        <v>146144</v>
      </c>
      <c r="E80" s="100">
        <v>215163</v>
      </c>
      <c r="F80" s="93"/>
      <c r="G80" s="97">
        <v>16</v>
      </c>
      <c r="H80" s="98">
        <v>121689</v>
      </c>
      <c r="I80" s="99">
        <v>146910</v>
      </c>
      <c r="J80" s="100">
        <v>215419</v>
      </c>
      <c r="K80" s="93"/>
      <c r="L80" s="96">
        <v>16</v>
      </c>
      <c r="M80" s="101">
        <f t="shared" si="4"/>
        <v>860</v>
      </c>
      <c r="N80" s="101">
        <f t="shared" si="4"/>
        <v>766</v>
      </c>
      <c r="O80" s="101">
        <f t="shared" si="4"/>
        <v>256</v>
      </c>
    </row>
    <row r="81" spans="1:15" ht="15.75" thickBot="1" x14ac:dyDescent="0.25">
      <c r="A81" s="93"/>
      <c r="B81" s="97">
        <v>17</v>
      </c>
      <c r="C81" s="98">
        <v>38476</v>
      </c>
      <c r="D81" s="99">
        <v>85376</v>
      </c>
      <c r="E81" s="100">
        <v>201943</v>
      </c>
      <c r="F81" s="93"/>
      <c r="G81" s="97">
        <v>17</v>
      </c>
      <c r="H81" s="98">
        <v>38476</v>
      </c>
      <c r="I81" s="99">
        <v>85709</v>
      </c>
      <c r="J81" s="100">
        <v>202138</v>
      </c>
      <c r="K81" s="93"/>
      <c r="L81" s="96">
        <v>17</v>
      </c>
      <c r="M81" s="101">
        <f t="shared" si="4"/>
        <v>0</v>
      </c>
      <c r="N81" s="101">
        <f t="shared" si="4"/>
        <v>333</v>
      </c>
      <c r="O81" s="101">
        <f t="shared" si="4"/>
        <v>195</v>
      </c>
    </row>
    <row r="82" spans="1:15" ht="15.75" thickBot="1" x14ac:dyDescent="0.25">
      <c r="A82" s="93"/>
      <c r="B82" s="97">
        <v>18</v>
      </c>
      <c r="C82" s="98">
        <v>136235</v>
      </c>
      <c r="D82" s="99">
        <v>72184</v>
      </c>
      <c r="E82" s="100">
        <v>162768</v>
      </c>
      <c r="F82" s="93"/>
      <c r="G82" s="97">
        <v>18</v>
      </c>
      <c r="H82" s="98">
        <v>136428</v>
      </c>
      <c r="I82" s="99">
        <v>72401</v>
      </c>
      <c r="J82" s="100">
        <v>163080</v>
      </c>
      <c r="K82" s="93"/>
      <c r="L82" s="96">
        <v>18</v>
      </c>
      <c r="M82" s="101">
        <f t="shared" si="4"/>
        <v>193</v>
      </c>
      <c r="N82" s="101">
        <f t="shared" si="4"/>
        <v>217</v>
      </c>
      <c r="O82" s="101">
        <f t="shared" si="4"/>
        <v>312</v>
      </c>
    </row>
    <row r="83" spans="1:15" ht="15.75" thickBot="1" x14ac:dyDescent="0.25">
      <c r="A83" s="93"/>
      <c r="B83" s="97">
        <v>19</v>
      </c>
      <c r="C83" s="98">
        <v>75441</v>
      </c>
      <c r="D83" s="99">
        <v>170074</v>
      </c>
      <c r="E83" s="100">
        <v>121678</v>
      </c>
      <c r="F83" s="93"/>
      <c r="G83" s="97">
        <v>19</v>
      </c>
      <c r="H83" s="98">
        <v>75592</v>
      </c>
      <c r="I83" s="99">
        <v>170642</v>
      </c>
      <c r="J83" s="100">
        <v>122582</v>
      </c>
      <c r="K83" s="93"/>
      <c r="L83" s="96">
        <v>19</v>
      </c>
      <c r="M83" s="101">
        <f t="shared" si="4"/>
        <v>151</v>
      </c>
      <c r="N83" s="101">
        <f t="shared" si="4"/>
        <v>568</v>
      </c>
      <c r="O83" s="101">
        <f t="shared" si="4"/>
        <v>904</v>
      </c>
    </row>
    <row r="84" spans="1:15" ht="15.75" thickBot="1" x14ac:dyDescent="0.25">
      <c r="A84" s="93"/>
      <c r="B84" s="97">
        <v>20</v>
      </c>
      <c r="C84" s="98">
        <v>142668</v>
      </c>
      <c r="D84" s="99">
        <v>171627</v>
      </c>
      <c r="E84" s="100">
        <v>87434</v>
      </c>
      <c r="F84" s="93"/>
      <c r="G84" s="97">
        <v>20</v>
      </c>
      <c r="H84" s="98">
        <v>143123</v>
      </c>
      <c r="I84" s="99">
        <v>172307</v>
      </c>
      <c r="J84" s="100">
        <v>87542</v>
      </c>
      <c r="K84" s="93"/>
      <c r="L84" s="96">
        <v>20</v>
      </c>
      <c r="M84" s="101">
        <f>H84-C84</f>
        <v>455</v>
      </c>
      <c r="N84" s="101">
        <f t="shared" si="4"/>
        <v>680</v>
      </c>
      <c r="O84" s="101">
        <f t="shared" si="4"/>
        <v>108</v>
      </c>
    </row>
    <row r="85" spans="1:15" ht="15.75" thickBot="1" x14ac:dyDescent="0.25">
      <c r="A85" s="93"/>
      <c r="B85" s="97">
        <v>21</v>
      </c>
      <c r="C85" s="98">
        <v>191118</v>
      </c>
      <c r="D85" s="99">
        <v>88339</v>
      </c>
      <c r="E85" s="100">
        <v>111017</v>
      </c>
      <c r="F85" s="93"/>
      <c r="G85" s="97">
        <v>21</v>
      </c>
      <c r="H85" s="98">
        <v>191497</v>
      </c>
      <c r="I85" s="99">
        <v>88590</v>
      </c>
      <c r="J85" s="100">
        <v>111731</v>
      </c>
      <c r="K85" s="93"/>
      <c r="L85" s="96">
        <v>21</v>
      </c>
      <c r="M85" s="101">
        <f t="shared" si="4"/>
        <v>379</v>
      </c>
      <c r="N85" s="101">
        <f t="shared" si="4"/>
        <v>251</v>
      </c>
      <c r="O85" s="101">
        <f t="shared" si="4"/>
        <v>714</v>
      </c>
    </row>
    <row r="86" spans="1:15" ht="15.75" thickBot="1" x14ac:dyDescent="0.25">
      <c r="A86" s="93"/>
      <c r="B86" s="97">
        <v>22</v>
      </c>
      <c r="C86" s="98">
        <v>132813</v>
      </c>
      <c r="D86" s="99">
        <v>91010</v>
      </c>
      <c r="E86" s="100">
        <v>116927</v>
      </c>
      <c r="F86" s="93"/>
      <c r="G86" s="97">
        <v>22</v>
      </c>
      <c r="H86" s="98">
        <v>134248</v>
      </c>
      <c r="I86" s="99">
        <v>92444</v>
      </c>
      <c r="J86" s="100">
        <v>118355</v>
      </c>
      <c r="K86" s="93"/>
      <c r="L86" s="96">
        <v>22</v>
      </c>
      <c r="M86" s="101">
        <f t="shared" si="4"/>
        <v>1435</v>
      </c>
      <c r="N86" s="101">
        <f t="shared" si="4"/>
        <v>1434</v>
      </c>
      <c r="O86" s="101">
        <f t="shared" si="4"/>
        <v>1428</v>
      </c>
    </row>
    <row r="87" spans="1:15" ht="15.75" thickBot="1" x14ac:dyDescent="0.25">
      <c r="A87" s="93"/>
      <c r="B87" s="97">
        <v>23</v>
      </c>
      <c r="C87" s="98">
        <v>126911</v>
      </c>
      <c r="D87" s="99">
        <v>154743</v>
      </c>
      <c r="E87" s="100">
        <v>287877</v>
      </c>
      <c r="F87" s="93"/>
      <c r="G87" s="97">
        <v>23</v>
      </c>
      <c r="H87" s="98">
        <v>127340</v>
      </c>
      <c r="I87" s="99">
        <v>154958</v>
      </c>
      <c r="J87" s="100">
        <v>287989</v>
      </c>
      <c r="K87" s="93"/>
      <c r="L87" s="96">
        <v>23</v>
      </c>
      <c r="M87" s="101">
        <f t="shared" si="4"/>
        <v>429</v>
      </c>
      <c r="N87" s="101">
        <f t="shared" si="4"/>
        <v>215</v>
      </c>
      <c r="O87" s="101">
        <f t="shared" si="4"/>
        <v>112</v>
      </c>
    </row>
    <row r="88" spans="1:15" ht="15.75" thickBot="1" x14ac:dyDescent="0.25">
      <c r="A88" s="93"/>
      <c r="B88" s="97">
        <v>24</v>
      </c>
      <c r="C88" s="98">
        <v>78398</v>
      </c>
      <c r="D88" s="99">
        <v>149678</v>
      </c>
      <c r="E88" s="100">
        <v>101315</v>
      </c>
      <c r="F88" s="93"/>
      <c r="G88" s="97">
        <v>24</v>
      </c>
      <c r="H88" s="98">
        <v>78540</v>
      </c>
      <c r="I88" s="99">
        <v>150112</v>
      </c>
      <c r="J88" s="100">
        <v>101403</v>
      </c>
      <c r="K88" s="93"/>
      <c r="L88" s="96">
        <v>24</v>
      </c>
      <c r="M88" s="101">
        <f t="shared" si="4"/>
        <v>142</v>
      </c>
      <c r="N88" s="101">
        <f t="shared" si="4"/>
        <v>434</v>
      </c>
      <c r="O88" s="101">
        <f>J88-E88</f>
        <v>88</v>
      </c>
    </row>
    <row r="89" spans="1:15" ht="15.75" thickBot="1" x14ac:dyDescent="0.25">
      <c r="A89" s="93"/>
      <c r="B89" s="97">
        <v>25</v>
      </c>
      <c r="C89" s="98">
        <v>120617</v>
      </c>
      <c r="D89" s="99">
        <v>179190</v>
      </c>
      <c r="E89" s="100">
        <v>159256</v>
      </c>
      <c r="F89" s="93"/>
      <c r="G89" s="97">
        <v>25</v>
      </c>
      <c r="H89" s="98">
        <v>120754</v>
      </c>
      <c r="I89" s="99">
        <v>179432</v>
      </c>
      <c r="J89" s="100">
        <v>160166</v>
      </c>
      <c r="K89" s="93"/>
      <c r="L89" s="96">
        <v>25</v>
      </c>
      <c r="M89" s="101">
        <f t="shared" si="4"/>
        <v>137</v>
      </c>
      <c r="N89" s="101">
        <f t="shared" si="4"/>
        <v>242</v>
      </c>
      <c r="O89" s="101">
        <f>J89-E89</f>
        <v>910</v>
      </c>
    </row>
    <row r="90" spans="1:15" ht="15.75" thickBot="1" x14ac:dyDescent="0.25">
      <c r="A90" s="93"/>
      <c r="B90" s="97">
        <v>26</v>
      </c>
      <c r="C90" s="98">
        <v>113322</v>
      </c>
      <c r="D90" s="99">
        <v>50933</v>
      </c>
      <c r="E90" s="100">
        <v>53964</v>
      </c>
      <c r="F90" s="93"/>
      <c r="G90" s="97">
        <v>26</v>
      </c>
      <c r="H90" s="98">
        <v>113543</v>
      </c>
      <c r="I90" s="99">
        <v>51045</v>
      </c>
      <c r="J90" s="100">
        <v>52998</v>
      </c>
      <c r="K90" s="93"/>
      <c r="L90" s="96">
        <v>26</v>
      </c>
      <c r="M90" s="101">
        <f t="shared" si="4"/>
        <v>221</v>
      </c>
      <c r="N90" s="101">
        <f t="shared" si="4"/>
        <v>112</v>
      </c>
      <c r="O90" s="101">
        <f t="shared" si="4"/>
        <v>-966</v>
      </c>
    </row>
    <row r="91" spans="1:15" ht="15.75" thickBot="1" x14ac:dyDescent="0.25">
      <c r="A91" s="93"/>
      <c r="B91" s="97">
        <v>27</v>
      </c>
      <c r="C91" s="98">
        <v>101450</v>
      </c>
      <c r="D91" s="99">
        <v>108029</v>
      </c>
      <c r="E91" s="100">
        <v>120021</v>
      </c>
      <c r="F91" s="93"/>
      <c r="G91" s="97">
        <v>27</v>
      </c>
      <c r="H91" s="98">
        <v>101625</v>
      </c>
      <c r="I91" s="99">
        <v>108090</v>
      </c>
      <c r="J91" s="100">
        <v>120198</v>
      </c>
      <c r="K91" s="93"/>
      <c r="L91" s="96">
        <v>27</v>
      </c>
      <c r="M91" s="101">
        <f t="shared" si="4"/>
        <v>175</v>
      </c>
      <c r="N91" s="101">
        <f t="shared" si="4"/>
        <v>61</v>
      </c>
      <c r="O91" s="101">
        <f t="shared" si="4"/>
        <v>177</v>
      </c>
    </row>
    <row r="92" spans="1:15" ht="15.75" thickBot="1" x14ac:dyDescent="0.25">
      <c r="A92" s="93"/>
      <c r="B92" s="97">
        <v>28</v>
      </c>
      <c r="C92" s="98">
        <v>194074</v>
      </c>
      <c r="D92" s="99">
        <v>102133</v>
      </c>
      <c r="E92" s="100">
        <v>110195</v>
      </c>
      <c r="F92" s="93"/>
      <c r="G92" s="97">
        <v>28</v>
      </c>
      <c r="H92" s="98">
        <v>194490</v>
      </c>
      <c r="I92" s="99"/>
      <c r="J92" s="100">
        <v>110299</v>
      </c>
      <c r="K92" s="93"/>
      <c r="L92" s="96">
        <v>28</v>
      </c>
      <c r="M92" s="101">
        <f t="shared" si="4"/>
        <v>416</v>
      </c>
      <c r="N92" s="101">
        <f t="shared" si="4"/>
        <v>-102133</v>
      </c>
      <c r="O92" s="101">
        <f t="shared" si="4"/>
        <v>104</v>
      </c>
    </row>
    <row r="93" spans="1:15" ht="15.75" thickBot="1" x14ac:dyDescent="0.25">
      <c r="A93" s="93"/>
      <c r="B93" s="97">
        <v>29</v>
      </c>
      <c r="C93" s="98"/>
      <c r="D93" s="99">
        <v>81315</v>
      </c>
      <c r="E93" s="100"/>
      <c r="F93" s="93"/>
      <c r="G93" s="97">
        <v>29</v>
      </c>
      <c r="H93" s="98"/>
      <c r="I93" s="99">
        <v>82120</v>
      </c>
      <c r="J93" s="100"/>
      <c r="K93" s="93"/>
      <c r="L93" s="96">
        <v>29</v>
      </c>
      <c r="M93" s="101">
        <f t="shared" si="4"/>
        <v>0</v>
      </c>
      <c r="N93" s="101">
        <f t="shared" si="4"/>
        <v>805</v>
      </c>
      <c r="O93" s="101"/>
    </row>
    <row r="94" spans="1:15" ht="15.75" thickBot="1" x14ac:dyDescent="0.25">
      <c r="A94" s="93"/>
      <c r="B94" s="97">
        <v>30</v>
      </c>
      <c r="C94" s="98"/>
      <c r="D94" s="99">
        <v>14818</v>
      </c>
      <c r="E94" s="100"/>
      <c r="F94" s="93"/>
      <c r="G94" s="97">
        <v>30</v>
      </c>
      <c r="H94" s="98"/>
      <c r="I94" s="99">
        <v>14818</v>
      </c>
      <c r="J94" s="100"/>
      <c r="K94" s="93"/>
      <c r="L94" s="96">
        <v>30</v>
      </c>
      <c r="M94" s="101">
        <f t="shared" si="4"/>
        <v>0</v>
      </c>
      <c r="N94" s="101">
        <f>I94-D94</f>
        <v>0</v>
      </c>
      <c r="O94" s="93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2021-04-30T22:39:54Z</cp:lastPrinted>
  <dcterms:created xsi:type="dcterms:W3CDTF">2017-07-31T14:40:49Z</dcterms:created>
  <dcterms:modified xsi:type="dcterms:W3CDTF">2021-07-09T01:24:52Z</dcterms:modified>
</cp:coreProperties>
</file>