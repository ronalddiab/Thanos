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16" i="3" l="1"/>
  <c r="F17" i="3"/>
  <c r="G16" i="3" l="1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E16" i="3"/>
  <c r="E15" i="3"/>
  <c r="F15" i="3" l="1"/>
  <c r="E14" i="3"/>
  <c r="F14" i="3" l="1"/>
  <c r="E13" i="3"/>
  <c r="F13" i="3" l="1"/>
  <c r="F12" i="3"/>
  <c r="E12" i="3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 l="1"/>
  <c r="E4" i="3" l="1"/>
  <c r="F4" i="3" l="1"/>
  <c r="E3" i="3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AI15" i="3" s="1"/>
  <c r="CH23" i="4"/>
  <c r="CG23" i="4"/>
  <c r="CF23" i="4"/>
  <c r="CE23" i="4"/>
  <c r="CD23" i="4"/>
  <c r="CC23" i="4"/>
  <c r="AF15" i="3" s="1"/>
  <c r="CB23" i="4"/>
  <c r="CA23" i="4"/>
  <c r="BZ23" i="4"/>
  <c r="BY23" i="4"/>
  <c r="BX23" i="4"/>
  <c r="BW23" i="4"/>
  <c r="BV23" i="4"/>
  <c r="BT23" i="4"/>
  <c r="BS23" i="4"/>
  <c r="BH23" i="4"/>
  <c r="BG23" i="4"/>
  <c r="BF23" i="4"/>
  <c r="Y15" i="3" s="1"/>
  <c r="BE23" i="4"/>
  <c r="BD23" i="4"/>
  <c r="BC23" i="4"/>
  <c r="BB23" i="4"/>
  <c r="BA23" i="4"/>
  <c r="AZ23" i="4"/>
  <c r="W15" i="3" s="1"/>
  <c r="AX23" i="4"/>
  <c r="AW23" i="4"/>
  <c r="AV23" i="4"/>
  <c r="AU23" i="4"/>
  <c r="AT23" i="4"/>
  <c r="AS23" i="4"/>
  <c r="U15" i="3" s="1"/>
  <c r="AR23" i="4"/>
  <c r="AQ23" i="4"/>
  <c r="AP23" i="4"/>
  <c r="AO23" i="4"/>
  <c r="AN23" i="4"/>
  <c r="AM23" i="4"/>
  <c r="S15" i="3" s="1"/>
  <c r="AL23" i="4"/>
  <c r="AK23" i="4"/>
  <c r="AJ23" i="4"/>
  <c r="AI23" i="4"/>
  <c r="AH23" i="4"/>
  <c r="AG23" i="4"/>
  <c r="Q15" i="3" s="1"/>
  <c r="AF23" i="4"/>
  <c r="AE23" i="4"/>
  <c r="AD23" i="4"/>
  <c r="AC23" i="4"/>
  <c r="AB23" i="4"/>
  <c r="AA23" i="4"/>
  <c r="O15" i="3" s="1"/>
  <c r="Z23" i="4"/>
  <c r="Y23" i="4"/>
  <c r="X23" i="4"/>
  <c r="U23" i="4"/>
  <c r="S23" i="4"/>
  <c r="R23" i="4"/>
  <c r="L15" i="3" s="1"/>
  <c r="Q23" i="4"/>
  <c r="P23" i="4"/>
  <c r="O23" i="4"/>
  <c r="N23" i="4"/>
  <c r="M23" i="4"/>
  <c r="L23" i="4"/>
  <c r="K23" i="4"/>
  <c r="J23" i="4"/>
  <c r="I23" i="4"/>
  <c r="H23" i="4"/>
  <c r="G23" i="4"/>
  <c r="F23" i="4"/>
  <c r="H15" i="3" s="1"/>
  <c r="E23" i="4"/>
  <c r="D23" i="4"/>
  <c r="C23" i="4"/>
  <c r="B23" i="4"/>
  <c r="FC22" i="4"/>
  <c r="FB22" i="4"/>
  <c r="BK14" i="3" s="1"/>
  <c r="FA22" i="4"/>
  <c r="EZ22" i="4"/>
  <c r="EY22" i="4"/>
  <c r="EX22" i="4"/>
  <c r="EW22" i="4"/>
  <c r="EV22" i="4"/>
  <c r="BH14" i="3" s="1"/>
  <c r="EU22" i="4"/>
  <c r="ET22" i="4"/>
  <c r="ER22" i="4"/>
  <c r="EQ22" i="4"/>
  <c r="EP22" i="4"/>
  <c r="EO22" i="4"/>
  <c r="BF14" i="3" s="1"/>
  <c r="EN22" i="4"/>
  <c r="EM22" i="4"/>
  <c r="EL22" i="4"/>
  <c r="EK22" i="4"/>
  <c r="EJ22" i="4"/>
  <c r="EI22" i="4"/>
  <c r="BB14" i="3" s="1"/>
  <c r="EH22" i="4"/>
  <c r="EG22" i="4"/>
  <c r="EE22" i="4"/>
  <c r="ED22" i="4"/>
  <c r="EC22" i="4"/>
  <c r="EB22" i="4"/>
  <c r="AY14" i="3" s="1"/>
  <c r="EA22" i="4"/>
  <c r="DZ22" i="4"/>
  <c r="DY22" i="4"/>
  <c r="DX22" i="4"/>
  <c r="DW22" i="4"/>
  <c r="DV22" i="4"/>
  <c r="DU22" i="4"/>
  <c r="DT22" i="4"/>
  <c r="DR22" i="4"/>
  <c r="DQ22" i="4"/>
  <c r="DP22" i="4"/>
  <c r="DO22" i="4"/>
  <c r="AR14" i="3" s="1"/>
  <c r="DN22" i="4"/>
  <c r="DM22" i="4"/>
  <c r="DL22" i="4"/>
  <c r="DK22" i="4"/>
  <c r="DJ22" i="4"/>
  <c r="DI22" i="4"/>
  <c r="AQ14" i="3" s="1"/>
  <c r="DH22" i="4"/>
  <c r="DG22" i="4"/>
  <c r="DF22" i="4"/>
  <c r="DE22" i="4"/>
  <c r="DD22" i="4"/>
  <c r="DC22" i="4"/>
  <c r="AL14" i="3" s="1"/>
  <c r="DB22" i="4"/>
  <c r="DA22" i="4"/>
  <c r="CZ22" i="4"/>
  <c r="CY22" i="4"/>
  <c r="CX22" i="4"/>
  <c r="CW22" i="4"/>
  <c r="AK14" i="3" s="1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B15" i="3" l="1"/>
  <c r="AQ15" i="3"/>
  <c r="BK15" i="3"/>
  <c r="M15" i="3"/>
  <c r="AD15" i="3"/>
  <c r="AG15" i="3"/>
  <c r="Z15" i="3"/>
  <c r="AB15" i="3"/>
  <c r="AK15" i="3"/>
  <c r="BF15" i="3"/>
  <c r="AE14" i="3"/>
  <c r="AH14" i="3"/>
  <c r="G15" i="3"/>
  <c r="K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AR15" i="3"/>
  <c r="BH15" i="3"/>
  <c r="N8" i="3"/>
  <c r="P8" i="3"/>
  <c r="R8" i="3"/>
  <c r="T8" i="3"/>
  <c r="V8" i="3"/>
  <c r="X8" i="3"/>
  <c r="AJ8" i="3"/>
  <c r="AO8" i="3"/>
  <c r="AP8" i="3"/>
  <c r="AT8" i="3"/>
  <c r="AW8" i="3"/>
  <c r="AZ8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AE15" i="3"/>
  <c r="AH15" i="3"/>
  <c r="AL15" i="3"/>
  <c r="AY15" i="3"/>
  <c r="I15" i="3"/>
  <c r="J15" i="3"/>
  <c r="AA15" i="3"/>
  <c r="AC15" i="3"/>
  <c r="AM15" i="3"/>
  <c r="AN15" i="3"/>
  <c r="AS15" i="3"/>
  <c r="AU15" i="3"/>
  <c r="AX15" i="3"/>
  <c r="BA15" i="3"/>
  <c r="BE15" i="3"/>
  <c r="BG15" i="3"/>
  <c r="BI15" i="3"/>
  <c r="M14" i="3"/>
  <c r="AD14" i="3"/>
  <c r="AG14" i="3"/>
  <c r="Z14" i="3"/>
  <c r="AB14" i="3"/>
  <c r="G12" i="3"/>
  <c r="K12" i="3"/>
  <c r="AK12" i="3"/>
  <c r="AL12" i="3"/>
  <c r="AQ12" i="3"/>
  <c r="AR12" i="3"/>
  <c r="AY12" i="3"/>
  <c r="BB12" i="3"/>
  <c r="BF12" i="3"/>
  <c r="BH12" i="3"/>
  <c r="BK12" i="3"/>
  <c r="H13" i="3"/>
  <c r="L13" i="3"/>
  <c r="AE13" i="3"/>
  <c r="AH13" i="3"/>
  <c r="G14" i="3"/>
  <c r="K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I14" i="3"/>
  <c r="J14" i="3"/>
  <c r="AA14" i="3"/>
  <c r="AC14" i="3"/>
  <c r="AM14" i="3"/>
  <c r="AN14" i="3"/>
  <c r="AS14" i="3"/>
  <c r="AU14" i="3"/>
  <c r="AX14" i="3"/>
  <c r="BA14" i="3"/>
  <c r="BE14" i="3"/>
  <c r="BG14" i="3"/>
  <c r="BI14" i="3"/>
  <c r="H14" i="3"/>
  <c r="L14" i="3"/>
  <c r="O14" i="3"/>
  <c r="Q14" i="3"/>
  <c r="S14" i="3"/>
  <c r="U14" i="3"/>
  <c r="W14" i="3"/>
  <c r="Y14" i="3"/>
  <c r="AF14" i="3"/>
  <c r="AI14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G13" i="3"/>
  <c r="K13" i="3"/>
  <c r="AK13" i="3"/>
  <c r="AL13" i="3"/>
  <c r="AQ13" i="3"/>
  <c r="AR13" i="3"/>
  <c r="AY13" i="3"/>
  <c r="BB13" i="3"/>
  <c r="BF13" i="3"/>
  <c r="BH13" i="3"/>
  <c r="BK13" i="3"/>
  <c r="J12" i="3"/>
  <c r="I12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AD12" i="3"/>
  <c r="AG12" i="3"/>
  <c r="Z12" i="3"/>
  <c r="AB12" i="3"/>
  <c r="AA13" i="3"/>
  <c r="AC13" i="3"/>
  <c r="AM13" i="3"/>
  <c r="AN13" i="3"/>
  <c r="AS13" i="3"/>
  <c r="AU13" i="3"/>
  <c r="AX13" i="3"/>
  <c r="BA13" i="3"/>
  <c r="BE13" i="3"/>
  <c r="BG13" i="3"/>
  <c r="BI13" i="3"/>
  <c r="AC11" i="3"/>
  <c r="AN11" i="3"/>
  <c r="AS11" i="3"/>
  <c r="AX11" i="3"/>
  <c r="BE11" i="3"/>
  <c r="BG11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AA11" i="3"/>
  <c r="AM11" i="3"/>
  <c r="AU11" i="3"/>
  <c r="BA11" i="3"/>
  <c r="BI11" i="3"/>
  <c r="I10" i="3"/>
  <c r="J10" i="3"/>
  <c r="H6" i="3"/>
  <c r="L6" i="3"/>
  <c r="AE6" i="3"/>
  <c r="AH6" i="3"/>
  <c r="G7" i="3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AD10" i="3"/>
  <c r="AG10" i="3"/>
  <c r="Z10" i="3"/>
  <c r="AB10" i="3"/>
  <c r="AD9" i="3"/>
  <c r="AG9" i="3"/>
  <c r="Z9" i="3"/>
  <c r="AB9" i="3"/>
  <c r="J9" i="3"/>
  <c r="I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I8" i="3"/>
  <c r="J8" i="3"/>
  <c r="AD3" i="3"/>
  <c r="Z3" i="3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M8" i="3"/>
  <c r="O8" i="3"/>
  <c r="Q8" i="3"/>
  <c r="S8" i="3"/>
  <c r="U8" i="3"/>
  <c r="W8" i="3"/>
  <c r="Y8" i="3"/>
  <c r="AF8" i="3"/>
  <c r="AI8" i="3"/>
  <c r="G8" i="3"/>
  <c r="K8" i="3"/>
  <c r="AK8" i="3"/>
  <c r="AL8" i="3"/>
  <c r="AQ8" i="3"/>
  <c r="AR8" i="3"/>
  <c r="AY8" i="3"/>
  <c r="BB8" i="3"/>
  <c r="BF8" i="3"/>
  <c r="BH8" i="3"/>
  <c r="BK8" i="3"/>
  <c r="AD8" i="3"/>
  <c r="AG8" i="3"/>
  <c r="Z8" i="3"/>
  <c r="AB8" i="3"/>
  <c r="M7" i="3"/>
  <c r="O7" i="3"/>
  <c r="Q7" i="3"/>
  <c r="S7" i="3"/>
  <c r="U7" i="3"/>
  <c r="W7" i="3"/>
  <c r="Y7" i="3"/>
  <c r="AF7" i="3"/>
  <c r="AI7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A7" i="3"/>
  <c r="AC7" i="3"/>
  <c r="AM7" i="3"/>
  <c r="AN7" i="3"/>
  <c r="AS7" i="3"/>
  <c r="AU7" i="3"/>
  <c r="AX7" i="3"/>
  <c r="BA7" i="3"/>
  <c r="BE7" i="3"/>
  <c r="BG7" i="3"/>
  <c r="BI7" i="3"/>
  <c r="I6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AG3" i="3"/>
  <c r="G6" i="3"/>
  <c r="K6" i="3"/>
  <c r="AK6" i="3"/>
  <c r="AL6" i="3"/>
  <c r="AQ6" i="3"/>
  <c r="AR6" i="3"/>
  <c r="AY6" i="3"/>
  <c r="BB6" i="3"/>
  <c r="BF6" i="3"/>
  <c r="BH6" i="3"/>
  <c r="BK6" i="3"/>
  <c r="AD6" i="3"/>
  <c r="AG6" i="3"/>
  <c r="Z6" i="3"/>
  <c r="AB6" i="3"/>
  <c r="G2" i="3"/>
  <c r="M3" i="3"/>
  <c r="O3" i="3"/>
  <c r="Q3" i="3"/>
  <c r="S3" i="3"/>
  <c r="U3" i="3"/>
  <c r="W3" i="3"/>
  <c r="Y3" i="3"/>
  <c r="AF3" i="3"/>
  <c r="AI3" i="3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K3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M4" i="3"/>
  <c r="O4" i="3"/>
  <c r="Q4" i="3"/>
  <c r="S4" i="3"/>
  <c r="U4" i="3"/>
  <c r="W4" i="3"/>
  <c r="Y4" i="3"/>
  <c r="AF4" i="3"/>
  <c r="AI4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H3" i="3"/>
  <c r="L3" i="3"/>
  <c r="AE3" i="3"/>
  <c r="AH3" i="3"/>
  <c r="G4" i="3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AA3" i="3"/>
  <c r="AC3" i="3"/>
  <c r="AM3" i="3"/>
  <c r="AN3" i="3"/>
  <c r="AS3" i="3"/>
  <c r="AU3" i="3"/>
  <c r="AX3" i="3"/>
  <c r="BA3" i="3"/>
  <c r="BE3" i="3"/>
  <c r="BG3" i="3"/>
  <c r="BI3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G3" i="3"/>
  <c r="I3" i="3"/>
  <c r="I4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BC51" i="4" l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R48" i="4" l="1"/>
  <c r="R49" i="4" s="1"/>
  <c r="W22" i="4" l="1"/>
  <c r="V22" i="4"/>
  <c r="W23" i="4"/>
  <c r="V23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<sst xmlns="http://schemas.openxmlformats.org/spreadsheetml/2006/main" count="410" uniqueCount="203">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</sst>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>
        <row r="9">
          <cell r="B9">
            <v>0.35</v>
          </cell>
          <cell r="E9">
            <v>848346</v>
          </cell>
          <cell r="G9">
            <v>555</v>
          </cell>
          <cell r="H9">
            <v>51809</v>
          </cell>
          <cell r="J9">
            <v>287</v>
          </cell>
          <cell r="K9">
            <v>164625</v>
          </cell>
          <cell r="N9">
            <v>788173</v>
          </cell>
          <cell r="Q9">
            <v>177923</v>
          </cell>
          <cell r="S9">
            <v>33875</v>
          </cell>
          <cell r="U9">
            <v>194</v>
          </cell>
          <cell r="V9">
            <v>938</v>
          </cell>
          <cell r="AC9">
            <v>6885841.2000000002</v>
          </cell>
          <cell r="AD9">
            <v>2241.1200000001118</v>
          </cell>
          <cell r="AF9">
            <v>13279902.719999999</v>
          </cell>
          <cell r="AG9">
            <v>4677.1200000010431</v>
          </cell>
          <cell r="AI9">
            <v>13037423.280000001</v>
          </cell>
          <cell r="AJ9">
            <v>1315.4399999976158</v>
          </cell>
          <cell r="AL9">
            <v>16072435.68</v>
          </cell>
          <cell r="AM9">
            <v>8526</v>
          </cell>
          <cell r="AO9">
            <v>16436568.960000001</v>
          </cell>
          <cell r="AP9">
            <v>13056.959999997169</v>
          </cell>
          <cell r="AR9">
            <v>14899355.52</v>
          </cell>
          <cell r="AS9">
            <v>4969.4399999994785</v>
          </cell>
          <cell r="AU9">
            <v>12710901.84</v>
          </cell>
          <cell r="AV9">
            <v>2679.5999999996275</v>
          </cell>
          <cell r="AX9">
            <v>12247866.959999999</v>
          </cell>
          <cell r="AY9">
            <v>3800.160000000149</v>
          </cell>
          <cell r="BA9">
            <v>9772208.8800000008</v>
          </cell>
          <cell r="BB9">
            <v>2679.5999999996275</v>
          </cell>
          <cell r="BD9">
            <v>15050679.84</v>
          </cell>
          <cell r="BE9">
            <v>6284.8799999989569</v>
          </cell>
          <cell r="BK9">
            <v>64792000</v>
          </cell>
          <cell r="BL9">
            <v>-1800</v>
          </cell>
          <cell r="BN9">
            <v>67422300</v>
          </cell>
          <cell r="BO9">
            <v>38900</v>
          </cell>
          <cell r="BQ9">
            <v>62099800</v>
          </cell>
          <cell r="BR9">
            <v>62000</v>
          </cell>
          <cell r="BT9">
            <v>7032340</v>
          </cell>
          <cell r="BW9">
            <v>0.69</v>
          </cell>
          <cell r="BX9">
            <v>-0.10000000000000009</v>
          </cell>
          <cell r="BZ9">
            <v>55249</v>
          </cell>
          <cell r="CB9">
            <v>46769</v>
          </cell>
          <cell r="CD9">
            <v>16161</v>
          </cell>
          <cell r="CF9">
            <v>21026</v>
          </cell>
          <cell r="CH9">
            <v>22787</v>
          </cell>
          <cell r="CJ9">
            <v>50815</v>
          </cell>
          <cell r="CL9">
            <v>224565</v>
          </cell>
          <cell r="CM9">
            <v>91</v>
          </cell>
          <cell r="CO9">
            <v>170936</v>
          </cell>
          <cell r="CP9">
            <v>63</v>
          </cell>
          <cell r="CR9">
            <v>308195</v>
          </cell>
          <cell r="CS9">
            <v>0</v>
          </cell>
          <cell r="CU9">
            <v>597754</v>
          </cell>
          <cell r="CX9">
            <v>5602</v>
          </cell>
          <cell r="CZ9">
            <v>3177</v>
          </cell>
          <cell r="DB9">
            <v>25277</v>
          </cell>
          <cell r="DD9">
            <v>25923</v>
          </cell>
          <cell r="DF9">
            <v>17864</v>
          </cell>
          <cell r="DH9">
            <v>20921</v>
          </cell>
          <cell r="DJ9">
            <v>2364</v>
          </cell>
          <cell r="DL9">
            <v>5528</v>
          </cell>
          <cell r="DN9">
            <v>1268</v>
          </cell>
          <cell r="DP9">
            <v>2892</v>
          </cell>
          <cell r="DR9">
            <v>25850</v>
          </cell>
          <cell r="DU9">
            <v>2156.4</v>
          </cell>
          <cell r="DW9">
            <v>7426.5</v>
          </cell>
          <cell r="DY9">
            <v>1627.4</v>
          </cell>
          <cell r="EA9">
            <v>1487.8</v>
          </cell>
          <cell r="EC9">
            <v>803473</v>
          </cell>
          <cell r="EG9">
            <v>161042.6</v>
          </cell>
          <cell r="EJ9">
            <v>9824000</v>
          </cell>
          <cell r="EL9">
            <v>789420</v>
          </cell>
          <cell r="EN9">
            <v>6136300</v>
          </cell>
          <cell r="EP9">
            <v>2167200</v>
          </cell>
          <cell r="ER9">
            <v>913870</v>
          </cell>
          <cell r="ET9">
            <v>13625600</v>
          </cell>
          <cell r="EW9">
            <v>36015</v>
          </cell>
          <cell r="EY9">
            <v>31132</v>
          </cell>
          <cell r="FA9">
            <v>2247</v>
          </cell>
          <cell r="FC9">
            <v>52350</v>
          </cell>
          <cell r="FE9">
            <v>34727</v>
          </cell>
        </row>
        <row r="10">
          <cell r="B10">
            <v>0.34</v>
          </cell>
          <cell r="E10">
            <v>848589</v>
          </cell>
          <cell r="H10">
            <v>52069</v>
          </cell>
          <cell r="K10">
            <v>164625</v>
          </cell>
          <cell r="N10">
            <v>788447</v>
          </cell>
          <cell r="Q10">
            <v>178064</v>
          </cell>
          <cell r="S10">
            <v>34111.33</v>
          </cell>
          <cell r="V10">
            <v>969</v>
          </cell>
          <cell r="AC10">
            <v>6888082.3200000003</v>
          </cell>
          <cell r="AF10">
            <v>13284579.84</v>
          </cell>
          <cell r="AI10">
            <v>13038738.719999999</v>
          </cell>
          <cell r="AL10">
            <v>16080961.68</v>
          </cell>
          <cell r="AO10">
            <v>16449625.919999998</v>
          </cell>
          <cell r="AR10">
            <v>14904324.959999999</v>
          </cell>
          <cell r="AU10">
            <v>12713581.439999999</v>
          </cell>
          <cell r="AX10">
            <v>12251667.119999999</v>
          </cell>
          <cell r="BA10">
            <v>9774888.4800000004</v>
          </cell>
          <cell r="BD10">
            <v>15056964.719999999</v>
          </cell>
          <cell r="BK10">
            <v>64790200</v>
          </cell>
          <cell r="BN10">
            <v>67461200</v>
          </cell>
          <cell r="BQ10">
            <v>62161800</v>
          </cell>
          <cell r="BT10">
            <v>7037630</v>
          </cell>
          <cell r="BW10">
            <v>0.79</v>
          </cell>
          <cell r="BZ10">
            <v>55265</v>
          </cell>
          <cell r="CB10">
            <v>46785</v>
          </cell>
          <cell r="CD10">
            <v>16165</v>
          </cell>
          <cell r="CF10">
            <v>21036</v>
          </cell>
          <cell r="CH10">
            <v>22793</v>
          </cell>
          <cell r="CJ10">
            <v>50822</v>
          </cell>
          <cell r="CL10">
            <v>224656</v>
          </cell>
          <cell r="CO10">
            <v>170999</v>
          </cell>
          <cell r="CR10">
            <v>308195</v>
          </cell>
          <cell r="CU10">
            <v>597988</v>
          </cell>
          <cell r="CX10">
            <v>5610</v>
          </cell>
          <cell r="CZ10">
            <v>3182</v>
          </cell>
          <cell r="DB10">
            <v>25288</v>
          </cell>
          <cell r="DD10">
            <v>25937</v>
          </cell>
          <cell r="DF10">
            <v>17870</v>
          </cell>
          <cell r="DH10">
            <v>20928</v>
          </cell>
          <cell r="DJ10">
            <v>2374</v>
          </cell>
          <cell r="DL10">
            <v>5541</v>
          </cell>
          <cell r="DN10">
            <v>1272</v>
          </cell>
          <cell r="DP10">
            <v>2898</v>
          </cell>
          <cell r="DR10">
            <v>25858</v>
          </cell>
          <cell r="DU10">
            <v>2166.4</v>
          </cell>
          <cell r="DW10">
            <v>7434.5</v>
          </cell>
          <cell r="DY10">
            <v>1633.8</v>
          </cell>
          <cell r="EA10">
            <v>1499.4</v>
          </cell>
          <cell r="EC10">
            <v>804263</v>
          </cell>
          <cell r="EG10">
            <v>161195.70000000001</v>
          </cell>
          <cell r="EJ10">
            <v>9832200</v>
          </cell>
          <cell r="EL10">
            <v>789880</v>
          </cell>
          <cell r="EN10">
            <v>6139600</v>
          </cell>
          <cell r="EP10">
            <v>2168400</v>
          </cell>
          <cell r="ER10">
            <v>914860</v>
          </cell>
          <cell r="ET10">
            <v>13632900</v>
          </cell>
          <cell r="EW10">
            <v>36029</v>
          </cell>
          <cell r="EY10">
            <v>31144</v>
          </cell>
          <cell r="FA10">
            <v>2260</v>
          </cell>
          <cell r="FC10">
            <v>52367</v>
          </cell>
          <cell r="FE10">
            <v>34751</v>
          </cell>
        </row>
        <row r="11">
          <cell r="B11">
            <v>0.41</v>
          </cell>
          <cell r="E11">
            <v>849709</v>
          </cell>
          <cell r="F11">
            <v>1120</v>
          </cell>
          <cell r="G11">
            <v>502</v>
          </cell>
          <cell r="H11">
            <v>52352</v>
          </cell>
          <cell r="I11">
            <v>283</v>
          </cell>
          <cell r="J11">
            <v>266</v>
          </cell>
          <cell r="K11">
            <v>164625</v>
          </cell>
          <cell r="L11">
            <v>0</v>
          </cell>
          <cell r="N11">
            <v>788623</v>
          </cell>
          <cell r="O11">
            <v>176</v>
          </cell>
          <cell r="Q11">
            <v>178199</v>
          </cell>
          <cell r="R11">
            <v>135</v>
          </cell>
          <cell r="S11">
            <v>34358</v>
          </cell>
          <cell r="T11">
            <v>246.66999999999825</v>
          </cell>
          <cell r="U11">
            <v>190</v>
          </cell>
          <cell r="V11">
            <v>1002</v>
          </cell>
          <cell r="W11">
            <v>33</v>
          </cell>
          <cell r="AC11">
            <v>6890323.4400000004</v>
          </cell>
          <cell r="AD11">
            <v>2241.1200000001118</v>
          </cell>
          <cell r="AF11">
            <v>13289110.799999999</v>
          </cell>
          <cell r="AG11">
            <v>4530.9599999990314</v>
          </cell>
          <cell r="AI11">
            <v>13039956.719999999</v>
          </cell>
          <cell r="AJ11">
            <v>1218</v>
          </cell>
          <cell r="AL11">
            <v>16090656.960000001</v>
          </cell>
          <cell r="AM11">
            <v>9695.2800000011921</v>
          </cell>
          <cell r="AO11">
            <v>16463559.839999998</v>
          </cell>
          <cell r="AP11">
            <v>13933.919999999925</v>
          </cell>
          <cell r="AR11">
            <v>14909489.280000001</v>
          </cell>
          <cell r="AS11">
            <v>5164.3200000021607</v>
          </cell>
          <cell r="AU11">
            <v>12717966.24</v>
          </cell>
          <cell r="AV11">
            <v>4384.8000000007451</v>
          </cell>
          <cell r="AX11">
            <v>12255808.319999998</v>
          </cell>
          <cell r="AY11">
            <v>4141.1999999992549</v>
          </cell>
          <cell r="BA11">
            <v>9777714.2400000002</v>
          </cell>
          <cell r="BB11">
            <v>2825.7599999997765</v>
          </cell>
          <cell r="BD11">
            <v>15063347.039999999</v>
          </cell>
          <cell r="BE11">
            <v>6382.320000000298</v>
          </cell>
          <cell r="BK11">
            <v>64790200</v>
          </cell>
          <cell r="BL11">
            <v>0</v>
          </cell>
          <cell r="BN11">
            <v>67506400</v>
          </cell>
          <cell r="BO11">
            <v>45200</v>
          </cell>
          <cell r="BQ11">
            <v>62226200</v>
          </cell>
          <cell r="BR11">
            <v>64400</v>
          </cell>
          <cell r="BT11">
            <v>7043860</v>
          </cell>
          <cell r="BU11">
            <v>6230</v>
          </cell>
          <cell r="BW11">
            <v>0.78</v>
          </cell>
          <cell r="BX11">
            <v>1.0000000000000009E-2</v>
          </cell>
          <cell r="BZ11">
            <v>55282</v>
          </cell>
          <cell r="CA11">
            <v>17</v>
          </cell>
          <cell r="CB11">
            <v>46801</v>
          </cell>
          <cell r="CC11">
            <v>16</v>
          </cell>
          <cell r="CD11">
            <v>16171</v>
          </cell>
          <cell r="CE11">
            <v>6</v>
          </cell>
          <cell r="CF11">
            <v>21047</v>
          </cell>
          <cell r="CG11">
            <v>11</v>
          </cell>
          <cell r="CH11">
            <v>22804</v>
          </cell>
          <cell r="CI11">
            <v>11</v>
          </cell>
          <cell r="CJ11">
            <v>50845</v>
          </cell>
          <cell r="CK11">
            <v>23</v>
          </cell>
          <cell r="CL11">
            <v>224749</v>
          </cell>
          <cell r="CM11">
            <v>93</v>
          </cell>
          <cell r="CO11">
            <v>171067</v>
          </cell>
          <cell r="CP11">
            <v>68</v>
          </cell>
          <cell r="CR11">
            <v>308195</v>
          </cell>
          <cell r="CS11">
            <v>0</v>
          </cell>
          <cell r="CU11">
            <v>598224</v>
          </cell>
          <cell r="CV11">
            <v>236</v>
          </cell>
          <cell r="CX11">
            <v>5614</v>
          </cell>
          <cell r="CY11">
            <v>4</v>
          </cell>
          <cell r="CZ11">
            <v>3188</v>
          </cell>
          <cell r="DA11">
            <v>6</v>
          </cell>
          <cell r="DB11">
            <v>25300</v>
          </cell>
          <cell r="DC11">
            <v>12</v>
          </cell>
          <cell r="DD11">
            <v>25953</v>
          </cell>
          <cell r="DE11">
            <v>16</v>
          </cell>
          <cell r="DF11">
            <v>17876</v>
          </cell>
          <cell r="DG11">
            <v>6</v>
          </cell>
          <cell r="DH11">
            <v>20939</v>
          </cell>
          <cell r="DI11">
            <v>11</v>
          </cell>
          <cell r="DJ11">
            <v>2386</v>
          </cell>
          <cell r="DK11">
            <v>12</v>
          </cell>
          <cell r="DL11">
            <v>5555</v>
          </cell>
          <cell r="DM11">
            <v>14</v>
          </cell>
          <cell r="DN11">
            <v>1277</v>
          </cell>
          <cell r="DO11">
            <v>5</v>
          </cell>
          <cell r="DP11">
            <v>2905</v>
          </cell>
          <cell r="DQ11">
            <v>7</v>
          </cell>
          <cell r="DR11">
            <v>25858</v>
          </cell>
          <cell r="DS11">
            <v>0</v>
          </cell>
          <cell r="DU11">
            <v>2176.1999999999998</v>
          </cell>
          <cell r="DV11">
            <v>9.7999999999997272</v>
          </cell>
          <cell r="DW11">
            <v>7443</v>
          </cell>
          <cell r="DX11">
            <v>8.5</v>
          </cell>
          <cell r="DY11">
            <v>1640.6</v>
          </cell>
          <cell r="DZ11">
            <v>6.7999999999999545</v>
          </cell>
          <cell r="EA11">
            <v>1511</v>
          </cell>
          <cell r="EB11">
            <v>11.599999999999909</v>
          </cell>
          <cell r="EC11">
            <v>804973</v>
          </cell>
          <cell r="ED11">
            <v>710</v>
          </cell>
          <cell r="EG11">
            <v>161362</v>
          </cell>
          <cell r="EH11">
            <v>166.29999999998836</v>
          </cell>
          <cell r="EJ11">
            <v>9839700</v>
          </cell>
          <cell r="EK11">
            <v>7500</v>
          </cell>
          <cell r="EL11">
            <v>790280</v>
          </cell>
          <cell r="EM11">
            <v>400</v>
          </cell>
          <cell r="EN11">
            <v>6142700</v>
          </cell>
          <cell r="EO11">
            <v>3100</v>
          </cell>
          <cell r="EP11">
            <v>2169800</v>
          </cell>
          <cell r="EQ11">
            <v>1400</v>
          </cell>
          <cell r="ER11">
            <v>915710</v>
          </cell>
          <cell r="ES11">
            <v>850</v>
          </cell>
          <cell r="ET11">
            <v>13639900</v>
          </cell>
          <cell r="EU11">
            <v>7000</v>
          </cell>
          <cell r="EW11">
            <v>36044</v>
          </cell>
          <cell r="EX11">
            <v>15</v>
          </cell>
          <cell r="EY11">
            <v>31156</v>
          </cell>
          <cell r="EZ11">
            <v>12</v>
          </cell>
          <cell r="FA11">
            <v>2274</v>
          </cell>
          <cell r="FB11">
            <v>14</v>
          </cell>
          <cell r="FC11">
            <v>52388</v>
          </cell>
          <cell r="FD11">
            <v>21</v>
          </cell>
          <cell r="FE11">
            <v>34777</v>
          </cell>
          <cell r="FF11">
            <v>26</v>
          </cell>
        </row>
        <row r="12">
          <cell r="B12">
            <v>0.47</v>
          </cell>
          <cell r="E12">
            <v>850497</v>
          </cell>
          <cell r="F12">
            <v>788</v>
          </cell>
          <cell r="G12">
            <v>773</v>
          </cell>
          <cell r="H12">
            <v>52639</v>
          </cell>
          <cell r="I12">
            <v>287</v>
          </cell>
          <cell r="J12">
            <v>304</v>
          </cell>
          <cell r="K12">
            <v>164625</v>
          </cell>
          <cell r="L12">
            <v>0</v>
          </cell>
          <cell r="N12">
            <v>789238</v>
          </cell>
          <cell r="O12">
            <v>615</v>
          </cell>
          <cell r="Q12">
            <v>178421</v>
          </cell>
          <cell r="R12">
            <v>222</v>
          </cell>
          <cell r="S12">
            <v>34611.47</v>
          </cell>
          <cell r="T12">
            <v>253.47000000000116</v>
          </cell>
          <cell r="U12">
            <v>191</v>
          </cell>
          <cell r="V12">
            <v>1038</v>
          </cell>
          <cell r="W12">
            <v>36</v>
          </cell>
          <cell r="AC12">
            <v>6892710.7199999997</v>
          </cell>
          <cell r="AD12">
            <v>2387.2799999993294</v>
          </cell>
          <cell r="AF12">
            <v>13293544.319999998</v>
          </cell>
          <cell r="AG12">
            <v>4433.519999999553</v>
          </cell>
          <cell r="AI12">
            <v>13041467.040000001</v>
          </cell>
          <cell r="AJ12">
            <v>1510.3200000021607</v>
          </cell>
          <cell r="AL12">
            <v>16099962.48</v>
          </cell>
          <cell r="AM12">
            <v>9305.519999999553</v>
          </cell>
          <cell r="AO12">
            <v>16477688.639999999</v>
          </cell>
          <cell r="AP12">
            <v>14128.800000000745</v>
          </cell>
          <cell r="AR12">
            <v>14915043.359999999</v>
          </cell>
          <cell r="AS12">
            <v>5554.0799999982119</v>
          </cell>
          <cell r="AU12">
            <v>12722497.199999999</v>
          </cell>
          <cell r="AV12">
            <v>4530.9599999990314</v>
          </cell>
          <cell r="AX12">
            <v>12259657.199999999</v>
          </cell>
          <cell r="AY12">
            <v>3848.8800000008196</v>
          </cell>
          <cell r="BA12">
            <v>9780637.4399999995</v>
          </cell>
          <cell r="BB12">
            <v>2923.1999999992549</v>
          </cell>
          <cell r="BD12">
            <v>15069972.959999999</v>
          </cell>
          <cell r="BE12">
            <v>6625.9199999999255</v>
          </cell>
          <cell r="BK12">
            <v>64792000</v>
          </cell>
          <cell r="BL12">
            <v>1800</v>
          </cell>
          <cell r="BN12">
            <v>67550500</v>
          </cell>
          <cell r="BO12">
            <v>44100</v>
          </cell>
          <cell r="BQ12">
            <v>62292300</v>
          </cell>
          <cell r="BR12">
            <v>66100</v>
          </cell>
          <cell r="BT12">
            <v>7049910</v>
          </cell>
          <cell r="BU12">
            <v>6050</v>
          </cell>
          <cell r="BW12">
            <v>0.72</v>
          </cell>
          <cell r="BX12">
            <v>6.0000000000000053E-2</v>
          </cell>
          <cell r="BZ12">
            <v>55299</v>
          </cell>
          <cell r="CA12">
            <v>17</v>
          </cell>
          <cell r="CB12">
            <v>46817</v>
          </cell>
          <cell r="CC12">
            <v>16</v>
          </cell>
          <cell r="CD12">
            <v>16174</v>
          </cell>
          <cell r="CE12">
            <v>3</v>
          </cell>
          <cell r="CF12">
            <v>21057</v>
          </cell>
          <cell r="CG12">
            <v>10</v>
          </cell>
          <cell r="CH12">
            <v>22816</v>
          </cell>
          <cell r="CI12">
            <v>12</v>
          </cell>
          <cell r="CJ12">
            <v>50871</v>
          </cell>
          <cell r="CK12">
            <v>26</v>
          </cell>
          <cell r="CL12">
            <v>224841</v>
          </cell>
          <cell r="CM12">
            <v>92</v>
          </cell>
          <cell r="CO12">
            <v>171134</v>
          </cell>
          <cell r="CP12">
            <v>67</v>
          </cell>
          <cell r="CR12">
            <v>308195</v>
          </cell>
          <cell r="CS12">
            <v>0</v>
          </cell>
          <cell r="CU12">
            <v>598463</v>
          </cell>
          <cell r="CV12">
            <v>239</v>
          </cell>
          <cell r="CX12">
            <v>5622</v>
          </cell>
          <cell r="CY12">
            <v>8</v>
          </cell>
          <cell r="CZ12">
            <v>3192</v>
          </cell>
          <cell r="DA12">
            <v>4</v>
          </cell>
          <cell r="DB12">
            <v>25316</v>
          </cell>
          <cell r="DC12">
            <v>16</v>
          </cell>
          <cell r="DD12">
            <v>25972</v>
          </cell>
          <cell r="DE12">
            <v>19</v>
          </cell>
          <cell r="DF12">
            <v>17882</v>
          </cell>
          <cell r="DG12">
            <v>6</v>
          </cell>
          <cell r="DH12">
            <v>20946</v>
          </cell>
          <cell r="DI12">
            <v>7</v>
          </cell>
          <cell r="DJ12">
            <v>2396</v>
          </cell>
          <cell r="DK12">
            <v>10</v>
          </cell>
          <cell r="DL12">
            <v>5571</v>
          </cell>
          <cell r="DM12">
            <v>16</v>
          </cell>
          <cell r="DN12">
            <v>1286</v>
          </cell>
          <cell r="DO12">
            <v>9</v>
          </cell>
          <cell r="DP12">
            <v>2911</v>
          </cell>
          <cell r="DQ12">
            <v>6</v>
          </cell>
          <cell r="DR12">
            <v>25858</v>
          </cell>
          <cell r="DS12">
            <v>0</v>
          </cell>
          <cell r="DU12">
            <v>2187.1</v>
          </cell>
          <cell r="DV12">
            <v>10.900000000000091</v>
          </cell>
          <cell r="DW12">
            <v>7451.2</v>
          </cell>
          <cell r="DX12">
            <v>8.1999999999998181</v>
          </cell>
          <cell r="DY12">
            <v>1647</v>
          </cell>
          <cell r="DZ12">
            <v>6.4000000000000909</v>
          </cell>
          <cell r="EA12">
            <v>1523</v>
          </cell>
          <cell r="EB12">
            <v>12</v>
          </cell>
          <cell r="EC12">
            <v>805868</v>
          </cell>
          <cell r="ED12">
            <v>895</v>
          </cell>
          <cell r="EG12">
            <v>161505.9</v>
          </cell>
          <cell r="EH12">
            <v>143.89999999999418</v>
          </cell>
          <cell r="EJ12">
            <v>9847000</v>
          </cell>
          <cell r="EK12">
            <v>7300</v>
          </cell>
          <cell r="EL12">
            <v>790670</v>
          </cell>
          <cell r="EM12">
            <v>390</v>
          </cell>
          <cell r="EN12">
            <v>6145600</v>
          </cell>
          <cell r="EO12">
            <v>2900</v>
          </cell>
          <cell r="EP12">
            <v>2171200</v>
          </cell>
          <cell r="EQ12">
            <v>1400</v>
          </cell>
          <cell r="ER12">
            <v>916550</v>
          </cell>
          <cell r="ES12">
            <v>840</v>
          </cell>
          <cell r="ET12">
            <v>13647700</v>
          </cell>
          <cell r="EU12">
            <v>7800</v>
          </cell>
          <cell r="EW12">
            <v>36058</v>
          </cell>
          <cell r="EX12">
            <v>14</v>
          </cell>
          <cell r="EY12">
            <v>31170</v>
          </cell>
          <cell r="EZ12">
            <v>14</v>
          </cell>
          <cell r="FA12">
            <v>2290</v>
          </cell>
          <cell r="FB12">
            <v>16</v>
          </cell>
          <cell r="FC12">
            <v>52403</v>
          </cell>
          <cell r="FD12">
            <v>15</v>
          </cell>
          <cell r="FE12">
            <v>34805</v>
          </cell>
          <cell r="FF12">
            <v>28</v>
          </cell>
        </row>
        <row r="13">
          <cell r="B13">
            <v>0.51</v>
          </cell>
          <cell r="E13">
            <v>851315</v>
          </cell>
          <cell r="F13">
            <v>818</v>
          </cell>
          <cell r="G13">
            <v>860</v>
          </cell>
          <cell r="H13">
            <v>52924</v>
          </cell>
          <cell r="I13">
            <v>285</v>
          </cell>
          <cell r="J13">
            <v>319</v>
          </cell>
          <cell r="K13">
            <v>164625</v>
          </cell>
          <cell r="L13">
            <v>0</v>
          </cell>
          <cell r="N13">
            <v>789685</v>
          </cell>
          <cell r="O13">
            <v>447</v>
          </cell>
          <cell r="Q13">
            <v>178692</v>
          </cell>
          <cell r="R13">
            <v>271</v>
          </cell>
          <cell r="S13">
            <v>34853.370000000003</v>
          </cell>
          <cell r="T13">
            <v>241.90000000000146</v>
          </cell>
          <cell r="U13">
            <v>186</v>
          </cell>
          <cell r="V13">
            <v>1075</v>
          </cell>
          <cell r="W13">
            <v>37</v>
          </cell>
          <cell r="AC13">
            <v>6894854.3999999994</v>
          </cell>
          <cell r="AD13">
            <v>2143.679999999702</v>
          </cell>
          <cell r="AF13">
            <v>13298124</v>
          </cell>
          <cell r="AG13">
            <v>4579.6800000015646</v>
          </cell>
          <cell r="AI13">
            <v>13054524</v>
          </cell>
          <cell r="AJ13">
            <v>13056.959999999031</v>
          </cell>
          <cell r="AL13">
            <v>16100985.6</v>
          </cell>
          <cell r="AM13">
            <v>1023.1199999991804</v>
          </cell>
          <cell r="AO13">
            <v>16486945.439999998</v>
          </cell>
          <cell r="AP13">
            <v>9256.7999999988824</v>
          </cell>
          <cell r="AR13">
            <v>14920987.199999999</v>
          </cell>
          <cell r="AS13">
            <v>5943.839999999851</v>
          </cell>
          <cell r="AU13">
            <v>12726638.4</v>
          </cell>
          <cell r="AV13">
            <v>4141.2000000011176</v>
          </cell>
          <cell r="AX13">
            <v>12263798.4</v>
          </cell>
          <cell r="AY13">
            <v>4141.2000000011176</v>
          </cell>
          <cell r="BA13">
            <v>9783658.0800000001</v>
          </cell>
          <cell r="BB13">
            <v>3020.640000000596</v>
          </cell>
          <cell r="BD13">
            <v>15076404</v>
          </cell>
          <cell r="BE13">
            <v>6431.0400000009686</v>
          </cell>
          <cell r="BK13">
            <v>64850700</v>
          </cell>
          <cell r="BL13">
            <v>58700</v>
          </cell>
          <cell r="BN13">
            <v>67550500</v>
          </cell>
          <cell r="BO13">
            <v>0</v>
          </cell>
          <cell r="BQ13">
            <v>62334300</v>
          </cell>
          <cell r="BR13">
            <v>42000</v>
          </cell>
          <cell r="BT13">
            <v>7055670</v>
          </cell>
          <cell r="BU13">
            <v>5760</v>
          </cell>
          <cell r="BW13">
            <v>0.7</v>
          </cell>
          <cell r="BX13">
            <v>2.0000000000000018E-2</v>
          </cell>
          <cell r="BZ13">
            <v>55316</v>
          </cell>
          <cell r="CA13">
            <v>17</v>
          </cell>
          <cell r="CB13">
            <v>46833</v>
          </cell>
          <cell r="CC13">
            <v>16</v>
          </cell>
          <cell r="CD13">
            <v>16181</v>
          </cell>
          <cell r="CE13">
            <v>7</v>
          </cell>
          <cell r="CF13">
            <v>21067</v>
          </cell>
          <cell r="CG13">
            <v>10</v>
          </cell>
          <cell r="CH13">
            <v>22828</v>
          </cell>
          <cell r="CI13">
            <v>12</v>
          </cell>
          <cell r="CJ13">
            <v>50894</v>
          </cell>
          <cell r="CK13">
            <v>23</v>
          </cell>
          <cell r="CL13">
            <v>224940</v>
          </cell>
          <cell r="CM13">
            <v>99</v>
          </cell>
          <cell r="CO13">
            <v>171202</v>
          </cell>
          <cell r="CP13">
            <v>68</v>
          </cell>
          <cell r="CR13">
            <v>308195</v>
          </cell>
          <cell r="CS13">
            <v>0</v>
          </cell>
          <cell r="CU13">
            <v>598714</v>
          </cell>
          <cell r="CV13">
            <v>251</v>
          </cell>
          <cell r="CX13">
            <v>5628</v>
          </cell>
          <cell r="CY13">
            <v>6</v>
          </cell>
          <cell r="CZ13">
            <v>3197</v>
          </cell>
          <cell r="DA13">
            <v>5</v>
          </cell>
          <cell r="DB13">
            <v>25327</v>
          </cell>
          <cell r="DC13">
            <v>11</v>
          </cell>
          <cell r="DD13">
            <v>25985</v>
          </cell>
          <cell r="DE13">
            <v>13</v>
          </cell>
          <cell r="DF13">
            <v>17889</v>
          </cell>
          <cell r="DG13">
            <v>7</v>
          </cell>
          <cell r="DH13">
            <v>20952</v>
          </cell>
          <cell r="DI13">
            <v>6</v>
          </cell>
          <cell r="DJ13">
            <v>2405</v>
          </cell>
          <cell r="DK13">
            <v>9</v>
          </cell>
          <cell r="DL13">
            <v>5585</v>
          </cell>
          <cell r="DM13">
            <v>14</v>
          </cell>
          <cell r="DN13">
            <v>1293</v>
          </cell>
          <cell r="DO13">
            <v>7</v>
          </cell>
          <cell r="DP13">
            <v>2915</v>
          </cell>
          <cell r="DQ13">
            <v>4</v>
          </cell>
          <cell r="DR13">
            <v>25858</v>
          </cell>
          <cell r="DS13">
            <v>0</v>
          </cell>
          <cell r="DU13">
            <v>2197.3000000000002</v>
          </cell>
          <cell r="DV13">
            <v>10.200000000000273</v>
          </cell>
          <cell r="DW13">
            <v>7459.7</v>
          </cell>
          <cell r="DX13">
            <v>8.5</v>
          </cell>
          <cell r="DY13">
            <v>1654.2</v>
          </cell>
          <cell r="DZ13">
            <v>7.2000000000000455</v>
          </cell>
          <cell r="EA13">
            <v>1534.7</v>
          </cell>
          <cell r="EB13">
            <v>11.700000000000045</v>
          </cell>
          <cell r="EC13">
            <v>806645</v>
          </cell>
          <cell r="ED13">
            <v>777</v>
          </cell>
          <cell r="EG13">
            <v>161601</v>
          </cell>
          <cell r="EH13">
            <v>95.100000000005821</v>
          </cell>
          <cell r="EJ13">
            <v>9854400</v>
          </cell>
          <cell r="EK13">
            <v>7400</v>
          </cell>
          <cell r="EL13">
            <v>791080</v>
          </cell>
          <cell r="EM13">
            <v>410</v>
          </cell>
          <cell r="EN13">
            <v>6148600</v>
          </cell>
          <cell r="EO13">
            <v>3000</v>
          </cell>
          <cell r="EP13">
            <v>2172600</v>
          </cell>
          <cell r="EQ13">
            <v>1400</v>
          </cell>
          <cell r="ER13">
            <v>917430</v>
          </cell>
          <cell r="ES13">
            <v>880</v>
          </cell>
          <cell r="ET13">
            <v>13655600</v>
          </cell>
          <cell r="EU13">
            <v>7900</v>
          </cell>
          <cell r="EW13">
            <v>36072</v>
          </cell>
          <cell r="EX13">
            <v>14</v>
          </cell>
          <cell r="EY13">
            <v>31183</v>
          </cell>
          <cell r="EZ13">
            <v>13</v>
          </cell>
          <cell r="FA13">
            <v>2304</v>
          </cell>
          <cell r="FB13">
            <v>10</v>
          </cell>
          <cell r="FC13">
            <v>52419</v>
          </cell>
          <cell r="FD13">
            <v>16</v>
          </cell>
          <cell r="FE13">
            <v>34829</v>
          </cell>
          <cell r="FF13">
            <v>24</v>
          </cell>
        </row>
        <row r="14">
          <cell r="B14">
            <v>0.51</v>
          </cell>
          <cell r="E14">
            <v>851967</v>
          </cell>
          <cell r="F14">
            <v>652</v>
          </cell>
          <cell r="G14">
            <v>594</v>
          </cell>
          <cell r="H14">
            <v>53193</v>
          </cell>
          <cell r="I14">
            <v>269</v>
          </cell>
          <cell r="J14">
            <v>311</v>
          </cell>
          <cell r="K14">
            <v>164625</v>
          </cell>
          <cell r="L14">
            <v>0</v>
          </cell>
          <cell r="N14">
            <v>790015</v>
          </cell>
          <cell r="O14">
            <v>330</v>
          </cell>
          <cell r="Q14">
            <v>178802</v>
          </cell>
          <cell r="R14">
            <v>110</v>
          </cell>
          <cell r="S14">
            <v>35087.01</v>
          </cell>
          <cell r="T14">
            <v>233.63999999999942</v>
          </cell>
          <cell r="U14">
            <v>175</v>
          </cell>
          <cell r="V14">
            <v>1112</v>
          </cell>
          <cell r="W14">
            <v>37</v>
          </cell>
          <cell r="AC14">
            <v>6897241.6799999997</v>
          </cell>
          <cell r="AD14">
            <v>2387.2800000002608</v>
          </cell>
          <cell r="AF14">
            <v>13302606.24</v>
          </cell>
          <cell r="AG14">
            <v>4482.2400000002235</v>
          </cell>
          <cell r="AI14">
            <v>13065632.16</v>
          </cell>
          <cell r="AJ14">
            <v>11108.160000000149</v>
          </cell>
          <cell r="AL14">
            <v>16102739.52</v>
          </cell>
          <cell r="AM14">
            <v>1753.9199999999255</v>
          </cell>
          <cell r="AO14">
            <v>16495958.639999999</v>
          </cell>
          <cell r="AP14">
            <v>9013.2000000011176</v>
          </cell>
          <cell r="AR14">
            <v>14926297.68</v>
          </cell>
          <cell r="AS14">
            <v>5310.480000000447</v>
          </cell>
          <cell r="AU14">
            <v>12731169.359999999</v>
          </cell>
          <cell r="AV14">
            <v>4530.9599999990314</v>
          </cell>
          <cell r="AX14">
            <v>12267354.959999999</v>
          </cell>
          <cell r="AY14">
            <v>3556.5599999986589</v>
          </cell>
          <cell r="BA14">
            <v>9786435.1199999992</v>
          </cell>
          <cell r="BB14">
            <v>2777.0399999991059</v>
          </cell>
          <cell r="BD14">
            <v>15082737.6</v>
          </cell>
          <cell r="BE14">
            <v>6333.5999999996275</v>
          </cell>
          <cell r="BK14">
            <v>64909000</v>
          </cell>
          <cell r="BL14">
            <v>58300</v>
          </cell>
          <cell r="BN14">
            <v>67554200</v>
          </cell>
          <cell r="BO14">
            <v>3700</v>
          </cell>
          <cell r="BQ14">
            <v>62371400</v>
          </cell>
          <cell r="BR14">
            <v>37100</v>
          </cell>
          <cell r="BT14">
            <v>7061590</v>
          </cell>
          <cell r="BU14">
            <v>5920</v>
          </cell>
          <cell r="BW14">
            <v>0.65</v>
          </cell>
          <cell r="BX14">
            <v>4.9999999999999933E-2</v>
          </cell>
          <cell r="BZ14">
            <v>55333</v>
          </cell>
          <cell r="CA14">
            <v>17</v>
          </cell>
          <cell r="CB14">
            <v>46850</v>
          </cell>
          <cell r="CC14">
            <v>17</v>
          </cell>
          <cell r="CD14">
            <v>16186</v>
          </cell>
          <cell r="CE14">
            <v>5</v>
          </cell>
          <cell r="CF14">
            <v>21077</v>
          </cell>
          <cell r="CG14">
            <v>10</v>
          </cell>
          <cell r="CH14">
            <v>22838</v>
          </cell>
          <cell r="CI14">
            <v>10</v>
          </cell>
          <cell r="CJ14">
            <v>50920</v>
          </cell>
          <cell r="CK14">
            <v>26</v>
          </cell>
          <cell r="CL14">
            <v>225028</v>
          </cell>
          <cell r="CM14">
            <v>88</v>
          </cell>
          <cell r="CO14">
            <v>171264</v>
          </cell>
          <cell r="CP14">
            <v>62</v>
          </cell>
          <cell r="CR14">
            <v>308195</v>
          </cell>
          <cell r="CS14">
            <v>0</v>
          </cell>
          <cell r="CU14">
            <v>598932</v>
          </cell>
          <cell r="CV14">
            <v>218</v>
          </cell>
          <cell r="CX14">
            <v>5630</v>
          </cell>
          <cell r="CY14">
            <v>2</v>
          </cell>
          <cell r="CZ14">
            <v>3200</v>
          </cell>
          <cell r="DA14">
            <v>3</v>
          </cell>
          <cell r="DB14">
            <v>25337</v>
          </cell>
          <cell r="DC14">
            <v>10</v>
          </cell>
          <cell r="DD14">
            <v>25999</v>
          </cell>
          <cell r="DE14">
            <v>14</v>
          </cell>
          <cell r="DF14">
            <v>17895</v>
          </cell>
          <cell r="DG14">
            <v>6</v>
          </cell>
          <cell r="DH14">
            <v>20964</v>
          </cell>
          <cell r="DI14">
            <v>12</v>
          </cell>
          <cell r="DJ14">
            <v>2415</v>
          </cell>
          <cell r="DK14">
            <v>10</v>
          </cell>
          <cell r="DL14">
            <v>5597</v>
          </cell>
          <cell r="DM14">
            <v>12</v>
          </cell>
          <cell r="DN14">
            <v>1302</v>
          </cell>
          <cell r="DO14">
            <v>9</v>
          </cell>
          <cell r="DP14">
            <v>2918</v>
          </cell>
          <cell r="DQ14">
            <v>3</v>
          </cell>
          <cell r="DR14">
            <v>25858</v>
          </cell>
          <cell r="DS14">
            <v>0</v>
          </cell>
          <cell r="DU14">
            <v>2207</v>
          </cell>
          <cell r="DV14">
            <v>9.6999999999998181</v>
          </cell>
          <cell r="DW14">
            <v>7467</v>
          </cell>
          <cell r="DX14">
            <v>7.3000000000001819</v>
          </cell>
          <cell r="DY14">
            <v>1661.5</v>
          </cell>
          <cell r="DZ14">
            <v>7.2999999999999545</v>
          </cell>
          <cell r="EA14">
            <v>1545.2</v>
          </cell>
          <cell r="EB14">
            <v>10.5</v>
          </cell>
          <cell r="EC14">
            <v>807431</v>
          </cell>
          <cell r="ED14">
            <v>786</v>
          </cell>
          <cell r="EG14">
            <v>161811.20000000001</v>
          </cell>
          <cell r="EH14">
            <v>210.20000000001164</v>
          </cell>
          <cell r="EJ14">
            <v>9861700</v>
          </cell>
          <cell r="EK14">
            <v>7300</v>
          </cell>
          <cell r="EL14">
            <v>791490</v>
          </cell>
          <cell r="EM14">
            <v>410</v>
          </cell>
          <cell r="EN14">
            <v>6151600</v>
          </cell>
          <cell r="EO14">
            <v>3000</v>
          </cell>
          <cell r="EP14">
            <v>2174000</v>
          </cell>
          <cell r="EQ14">
            <v>1400</v>
          </cell>
          <cell r="ER14">
            <v>918350</v>
          </cell>
          <cell r="ES14">
            <v>920</v>
          </cell>
          <cell r="ET14">
            <v>13663400</v>
          </cell>
          <cell r="EU14">
            <v>7800</v>
          </cell>
          <cell r="EW14">
            <v>36085</v>
          </cell>
          <cell r="EX14">
            <v>13</v>
          </cell>
          <cell r="EY14">
            <v>31197</v>
          </cell>
          <cell r="EZ14">
            <v>14</v>
          </cell>
          <cell r="FA14">
            <v>2314</v>
          </cell>
          <cell r="FB14">
            <v>10</v>
          </cell>
          <cell r="FC14">
            <v>52434</v>
          </cell>
          <cell r="FD14">
            <v>15</v>
          </cell>
          <cell r="FE14">
            <v>34851</v>
          </cell>
          <cell r="FF14">
            <v>22</v>
          </cell>
        </row>
        <row r="15">
          <cell r="B15">
            <v>0.52</v>
          </cell>
          <cell r="E15">
            <v>852625</v>
          </cell>
          <cell r="F15">
            <v>658</v>
          </cell>
          <cell r="G15">
            <v>505</v>
          </cell>
          <cell r="H15">
            <v>53455</v>
          </cell>
          <cell r="I15">
            <v>262</v>
          </cell>
          <cell r="J15">
            <v>270</v>
          </cell>
          <cell r="K15">
            <v>164625</v>
          </cell>
          <cell r="L15">
            <v>0</v>
          </cell>
          <cell r="N15">
            <v>790330</v>
          </cell>
          <cell r="O15">
            <v>315</v>
          </cell>
          <cell r="Q15">
            <v>178925</v>
          </cell>
          <cell r="R15">
            <v>123</v>
          </cell>
          <cell r="S15">
            <v>35343.360000000001</v>
          </cell>
          <cell r="T15">
            <v>256.34999999999854</v>
          </cell>
          <cell r="U15">
            <v>176</v>
          </cell>
          <cell r="V15">
            <v>1148</v>
          </cell>
          <cell r="W15">
            <v>36</v>
          </cell>
          <cell r="AC15">
            <v>6899434.0800000001</v>
          </cell>
          <cell r="AD15">
            <v>2192.4000000003725</v>
          </cell>
          <cell r="AF15">
            <v>13307137.199999999</v>
          </cell>
          <cell r="AG15">
            <v>4530.9599999990314</v>
          </cell>
          <cell r="AI15">
            <v>13078884</v>
          </cell>
          <cell r="AJ15">
            <v>13251.839999999851</v>
          </cell>
          <cell r="AL15">
            <v>16104054.960000001</v>
          </cell>
          <cell r="AM15">
            <v>1315.4400000013411</v>
          </cell>
          <cell r="AO15">
            <v>16508528.4</v>
          </cell>
          <cell r="AP15">
            <v>12569.760000001639</v>
          </cell>
          <cell r="AR15">
            <v>14931803.039999999</v>
          </cell>
          <cell r="AS15">
            <v>5505.359999999404</v>
          </cell>
          <cell r="AU15">
            <v>12735554.16</v>
          </cell>
          <cell r="AV15">
            <v>4384.8000000007451</v>
          </cell>
          <cell r="AX15">
            <v>12271301.280000001</v>
          </cell>
          <cell r="AY15">
            <v>3946.3200000021607</v>
          </cell>
          <cell r="BA15">
            <v>9789358.3199999984</v>
          </cell>
          <cell r="BB15">
            <v>2923.1999999992549</v>
          </cell>
          <cell r="BD15">
            <v>15089022.48</v>
          </cell>
          <cell r="BE15">
            <v>6284.8800000008196</v>
          </cell>
          <cell r="BK15">
            <v>64976100</v>
          </cell>
          <cell r="BL15">
            <v>67100</v>
          </cell>
          <cell r="BN15">
            <v>67554200</v>
          </cell>
          <cell r="BO15">
            <v>0</v>
          </cell>
          <cell r="BQ15">
            <v>62423900</v>
          </cell>
          <cell r="BR15">
            <v>52500</v>
          </cell>
          <cell r="BT15">
            <v>7067160</v>
          </cell>
          <cell r="BU15">
            <v>5570</v>
          </cell>
          <cell r="BW15">
            <v>0.61</v>
          </cell>
          <cell r="BX15">
            <v>4.0000000000000036E-2</v>
          </cell>
          <cell r="BZ15">
            <v>55350</v>
          </cell>
          <cell r="CA15">
            <v>17</v>
          </cell>
          <cell r="CB15">
            <v>46863</v>
          </cell>
          <cell r="CC15">
            <v>13</v>
          </cell>
          <cell r="CD15">
            <v>16192</v>
          </cell>
          <cell r="CE15">
            <v>6</v>
          </cell>
          <cell r="CF15">
            <v>21087</v>
          </cell>
          <cell r="CG15">
            <v>10</v>
          </cell>
          <cell r="CH15">
            <v>22849</v>
          </cell>
          <cell r="CI15">
            <v>11</v>
          </cell>
          <cell r="CJ15">
            <v>50944</v>
          </cell>
          <cell r="CK15">
            <v>24</v>
          </cell>
          <cell r="CL15">
            <v>225119</v>
          </cell>
          <cell r="CM15">
            <v>91</v>
          </cell>
          <cell r="CO15">
            <v>171331</v>
          </cell>
          <cell r="CP15">
            <v>67</v>
          </cell>
          <cell r="CR15">
            <v>308195</v>
          </cell>
          <cell r="CS15">
            <v>0</v>
          </cell>
          <cell r="CU15">
            <v>599167</v>
          </cell>
          <cell r="CV15">
            <v>235</v>
          </cell>
          <cell r="CX15">
            <v>5635</v>
          </cell>
          <cell r="CY15">
            <v>5</v>
          </cell>
          <cell r="CZ15">
            <v>3203</v>
          </cell>
          <cell r="DA15">
            <v>3</v>
          </cell>
          <cell r="DB15">
            <v>25346</v>
          </cell>
          <cell r="DC15">
            <v>9</v>
          </cell>
          <cell r="DD15">
            <v>26012</v>
          </cell>
          <cell r="DE15">
            <v>13</v>
          </cell>
          <cell r="DF15">
            <v>17902</v>
          </cell>
          <cell r="DG15">
            <v>7</v>
          </cell>
          <cell r="DH15">
            <v>20976</v>
          </cell>
          <cell r="DI15">
            <v>12</v>
          </cell>
          <cell r="DJ15">
            <v>2424</v>
          </cell>
          <cell r="DK15">
            <v>9</v>
          </cell>
          <cell r="DL15">
            <v>5610</v>
          </cell>
          <cell r="DM15">
            <v>13</v>
          </cell>
          <cell r="DN15">
            <v>1310</v>
          </cell>
          <cell r="DO15">
            <v>8</v>
          </cell>
          <cell r="DP15">
            <v>2919</v>
          </cell>
          <cell r="DQ15">
            <v>1</v>
          </cell>
          <cell r="DR15">
            <v>25858</v>
          </cell>
          <cell r="DS15">
            <v>0</v>
          </cell>
          <cell r="DU15">
            <v>2216.1999999999998</v>
          </cell>
          <cell r="DV15">
            <v>9.1999999999998181</v>
          </cell>
          <cell r="DW15">
            <v>7474.9</v>
          </cell>
          <cell r="DX15">
            <v>7.8999999999996362</v>
          </cell>
          <cell r="DY15">
            <v>1668.7</v>
          </cell>
          <cell r="DZ15">
            <v>7.2000000000000455</v>
          </cell>
          <cell r="EA15">
            <v>1555.8</v>
          </cell>
          <cell r="EB15">
            <v>10.599999999999909</v>
          </cell>
          <cell r="EC15">
            <v>808237</v>
          </cell>
          <cell r="ED15">
            <v>806</v>
          </cell>
          <cell r="EG15">
            <v>161960.79999999999</v>
          </cell>
          <cell r="EH15">
            <v>149.59999999997672</v>
          </cell>
          <cell r="EJ15">
            <v>9869700</v>
          </cell>
          <cell r="EK15">
            <v>8000</v>
          </cell>
          <cell r="EL15">
            <v>791940</v>
          </cell>
          <cell r="EM15">
            <v>450</v>
          </cell>
          <cell r="EN15">
            <v>6155000</v>
          </cell>
          <cell r="EO15">
            <v>3400</v>
          </cell>
          <cell r="EP15">
            <v>2175400</v>
          </cell>
          <cell r="EQ15">
            <v>1400</v>
          </cell>
          <cell r="ER15">
            <v>919340</v>
          </cell>
          <cell r="ES15">
            <v>990</v>
          </cell>
          <cell r="ET15">
            <v>13673000</v>
          </cell>
          <cell r="EU15">
            <v>9600</v>
          </cell>
          <cell r="EW15">
            <v>36098</v>
          </cell>
          <cell r="EX15">
            <v>13</v>
          </cell>
          <cell r="EY15">
            <v>31210</v>
          </cell>
          <cell r="EZ15">
            <v>13</v>
          </cell>
          <cell r="FA15">
            <v>2326</v>
          </cell>
          <cell r="FB15">
            <v>12</v>
          </cell>
          <cell r="FC15">
            <v>52458</v>
          </cell>
          <cell r="FD15">
            <v>24</v>
          </cell>
          <cell r="FE15">
            <v>34872</v>
          </cell>
          <cell r="FF15">
            <v>21</v>
          </cell>
        </row>
        <row r="16">
          <cell r="B16">
            <v>0.6</v>
          </cell>
          <cell r="E16">
            <v>853597</v>
          </cell>
          <cell r="F16">
            <v>972</v>
          </cell>
          <cell r="G16">
            <v>499</v>
          </cell>
          <cell r="H16">
            <v>53733</v>
          </cell>
          <cell r="I16">
            <v>278</v>
          </cell>
          <cell r="J16">
            <v>253</v>
          </cell>
          <cell r="K16">
            <v>164625</v>
          </cell>
          <cell r="L16">
            <v>0</v>
          </cell>
          <cell r="N16">
            <v>790952</v>
          </cell>
          <cell r="O16">
            <v>622</v>
          </cell>
          <cell r="Q16">
            <v>179314</v>
          </cell>
          <cell r="R16">
            <v>389</v>
          </cell>
          <cell r="S16">
            <v>35624.81</v>
          </cell>
          <cell r="T16">
            <v>281.44999999999709</v>
          </cell>
          <cell r="U16">
            <v>177</v>
          </cell>
          <cell r="V16">
            <v>1194</v>
          </cell>
          <cell r="W16">
            <v>46</v>
          </cell>
          <cell r="AC16">
            <v>6901918.7999999998</v>
          </cell>
          <cell r="AD16">
            <v>2484.7199999997392</v>
          </cell>
          <cell r="AF16">
            <v>13311716.880000001</v>
          </cell>
          <cell r="AG16">
            <v>4579.6800000015646</v>
          </cell>
          <cell r="AI16">
            <v>13092817.919999998</v>
          </cell>
          <cell r="AJ16">
            <v>13933.919999998063</v>
          </cell>
          <cell r="AL16">
            <v>16105662.719999999</v>
          </cell>
          <cell r="AM16">
            <v>1607.7599999979138</v>
          </cell>
          <cell r="AO16">
            <v>16522900.799999999</v>
          </cell>
          <cell r="AP16">
            <v>14372.39999999851</v>
          </cell>
          <cell r="AR16">
            <v>14937357.119999999</v>
          </cell>
          <cell r="AS16">
            <v>5554.0800000000745</v>
          </cell>
          <cell r="AU16">
            <v>12740133.84</v>
          </cell>
          <cell r="AV16">
            <v>4579.679999999702</v>
          </cell>
          <cell r="AX16">
            <v>12275393.76</v>
          </cell>
          <cell r="AY16">
            <v>4092.4799999985844</v>
          </cell>
          <cell r="BA16">
            <v>9792476.4000000004</v>
          </cell>
          <cell r="BB16">
            <v>3118.0800000019372</v>
          </cell>
          <cell r="BD16">
            <v>15095453.52</v>
          </cell>
          <cell r="BE16">
            <v>6431.0399999991059</v>
          </cell>
          <cell r="BK16">
            <v>65045000</v>
          </cell>
          <cell r="BL16">
            <v>68900</v>
          </cell>
          <cell r="BN16">
            <v>67554200</v>
          </cell>
          <cell r="BO16">
            <v>0</v>
          </cell>
          <cell r="BQ16">
            <v>62485000</v>
          </cell>
          <cell r="BR16">
            <v>61100</v>
          </cell>
          <cell r="BT16">
            <v>7072810</v>
          </cell>
          <cell r="BU16">
            <v>5650</v>
          </cell>
          <cell r="BW16">
            <v>0.8</v>
          </cell>
          <cell r="BX16">
            <v>-0.19000000000000006</v>
          </cell>
          <cell r="BZ16">
            <v>55367</v>
          </cell>
          <cell r="CA16">
            <v>17</v>
          </cell>
          <cell r="CB16">
            <v>46877</v>
          </cell>
          <cell r="CC16">
            <v>14</v>
          </cell>
          <cell r="CD16">
            <v>16198</v>
          </cell>
          <cell r="CE16">
            <v>6</v>
          </cell>
          <cell r="CF16">
            <v>21099</v>
          </cell>
          <cell r="CG16">
            <v>12</v>
          </cell>
          <cell r="CH16">
            <v>22862</v>
          </cell>
          <cell r="CI16">
            <v>13</v>
          </cell>
          <cell r="CJ16">
            <v>50966</v>
          </cell>
          <cell r="CK16">
            <v>22</v>
          </cell>
          <cell r="CL16">
            <v>225211</v>
          </cell>
          <cell r="CM16">
            <v>92</v>
          </cell>
          <cell r="CO16">
            <v>171398</v>
          </cell>
          <cell r="CP16">
            <v>67</v>
          </cell>
          <cell r="CR16">
            <v>308195</v>
          </cell>
          <cell r="CS16">
            <v>0</v>
          </cell>
          <cell r="CU16">
            <v>599399</v>
          </cell>
          <cell r="CV16">
            <v>232</v>
          </cell>
          <cell r="CX16">
            <v>5639</v>
          </cell>
          <cell r="CY16">
            <v>4</v>
          </cell>
          <cell r="CZ16">
            <v>3206</v>
          </cell>
          <cell r="DA16">
            <v>3</v>
          </cell>
          <cell r="DB16">
            <v>25358</v>
          </cell>
          <cell r="DC16">
            <v>12</v>
          </cell>
          <cell r="DD16">
            <v>26027</v>
          </cell>
          <cell r="DE16">
            <v>15</v>
          </cell>
          <cell r="DF16">
            <v>17908</v>
          </cell>
          <cell r="DG16">
            <v>6</v>
          </cell>
          <cell r="DH16">
            <v>20988</v>
          </cell>
          <cell r="DI16">
            <v>12</v>
          </cell>
          <cell r="DJ16">
            <v>2434</v>
          </cell>
          <cell r="DK16">
            <v>10</v>
          </cell>
          <cell r="DL16">
            <v>5621</v>
          </cell>
          <cell r="DM16">
            <v>11</v>
          </cell>
          <cell r="DN16">
            <v>1317</v>
          </cell>
          <cell r="DO16">
            <v>7</v>
          </cell>
          <cell r="DP16">
            <v>2920</v>
          </cell>
          <cell r="DQ16">
            <v>1</v>
          </cell>
          <cell r="DR16">
            <v>25858</v>
          </cell>
          <cell r="DS16">
            <v>0</v>
          </cell>
          <cell r="DU16">
            <v>2226.4</v>
          </cell>
          <cell r="DV16">
            <v>10.200000000000273</v>
          </cell>
          <cell r="DW16">
            <v>7482.5</v>
          </cell>
          <cell r="DX16">
            <v>7.6000000000003638</v>
          </cell>
          <cell r="DY16">
            <v>1675.8</v>
          </cell>
          <cell r="DZ16">
            <v>7.0999999999999091</v>
          </cell>
          <cell r="EA16">
            <v>1567.1</v>
          </cell>
          <cell r="EB16">
            <v>11.299999999999955</v>
          </cell>
          <cell r="EC16">
            <v>809056</v>
          </cell>
          <cell r="ED16">
            <v>819</v>
          </cell>
          <cell r="EG16">
            <v>162115.1</v>
          </cell>
          <cell r="EH16">
            <v>154.30000000001746</v>
          </cell>
          <cell r="EJ16">
            <v>9878900</v>
          </cell>
          <cell r="EK16">
            <v>9200</v>
          </cell>
          <cell r="EL16">
            <v>792400</v>
          </cell>
          <cell r="EM16">
            <v>460</v>
          </cell>
          <cell r="EN16">
            <v>6158700</v>
          </cell>
          <cell r="EO16">
            <v>3700</v>
          </cell>
          <cell r="EP16">
            <v>2176900</v>
          </cell>
          <cell r="EQ16">
            <v>1500</v>
          </cell>
          <cell r="ER16">
            <v>920300</v>
          </cell>
          <cell r="ES16">
            <v>960</v>
          </cell>
          <cell r="ET16">
            <v>13683200</v>
          </cell>
          <cell r="EU16">
            <v>10200</v>
          </cell>
          <cell r="EW16">
            <v>36112</v>
          </cell>
          <cell r="EX16">
            <v>14</v>
          </cell>
          <cell r="EY16">
            <v>31223</v>
          </cell>
          <cell r="EZ16">
            <v>13</v>
          </cell>
          <cell r="FA16">
            <v>2337</v>
          </cell>
          <cell r="FB16">
            <v>11</v>
          </cell>
          <cell r="FC16">
            <v>52482</v>
          </cell>
          <cell r="FD16">
            <v>24</v>
          </cell>
          <cell r="FE16">
            <v>34895</v>
          </cell>
          <cell r="FF16">
            <v>23</v>
          </cell>
        </row>
        <row r="17">
          <cell r="B17">
            <v>0.59</v>
          </cell>
          <cell r="E17">
            <v>854439</v>
          </cell>
          <cell r="F17">
            <v>842</v>
          </cell>
          <cell r="G17">
            <v>584</v>
          </cell>
          <cell r="H17">
            <v>54010</v>
          </cell>
          <cell r="I17">
            <v>277</v>
          </cell>
          <cell r="J17">
            <v>278</v>
          </cell>
          <cell r="K17">
            <v>164625</v>
          </cell>
          <cell r="L17">
            <v>0</v>
          </cell>
          <cell r="N17">
            <v>791416</v>
          </cell>
          <cell r="O17">
            <v>464</v>
          </cell>
          <cell r="Q17">
            <v>179571</v>
          </cell>
          <cell r="R17">
            <v>257</v>
          </cell>
          <cell r="S17">
            <v>35904.769999999997</v>
          </cell>
          <cell r="T17">
            <v>279.95999999999913</v>
          </cell>
          <cell r="U17">
            <v>179</v>
          </cell>
          <cell r="V17">
            <v>1244</v>
          </cell>
          <cell r="W17">
            <v>50</v>
          </cell>
          <cell r="AC17">
            <v>6904111.2000000002</v>
          </cell>
          <cell r="AD17">
            <v>2192.4000000003725</v>
          </cell>
          <cell r="AF17">
            <v>13316150.4</v>
          </cell>
          <cell r="AG17">
            <v>4433.519999999553</v>
          </cell>
          <cell r="AI17">
            <v>13107628.799999999</v>
          </cell>
          <cell r="AJ17">
            <v>14810.88000000082</v>
          </cell>
          <cell r="AL17">
            <v>16106832</v>
          </cell>
          <cell r="AM17">
            <v>1169.2800000011921</v>
          </cell>
          <cell r="AO17">
            <v>16535080.799999999</v>
          </cell>
          <cell r="AP17">
            <v>12180</v>
          </cell>
          <cell r="AR17">
            <v>14942911.199999999</v>
          </cell>
          <cell r="AS17">
            <v>5554.0800000000745</v>
          </cell>
          <cell r="AU17">
            <v>12744664.799999999</v>
          </cell>
          <cell r="AV17">
            <v>4530.9599999990314</v>
          </cell>
          <cell r="AX17">
            <v>12279388.799999999</v>
          </cell>
          <cell r="AY17">
            <v>3995.0399999991059</v>
          </cell>
          <cell r="BA17">
            <v>9795643.1999999993</v>
          </cell>
          <cell r="BB17">
            <v>3166.7999999988824</v>
          </cell>
          <cell r="BD17">
            <v>15102225.6</v>
          </cell>
          <cell r="BE17">
            <v>6772.0800000000745</v>
          </cell>
          <cell r="BK17">
            <v>65117700</v>
          </cell>
          <cell r="BL17">
            <v>72700</v>
          </cell>
          <cell r="BN17">
            <v>67554200</v>
          </cell>
          <cell r="BO17">
            <v>0</v>
          </cell>
          <cell r="BQ17">
            <v>62538100</v>
          </cell>
          <cell r="BR17">
            <v>53100</v>
          </cell>
          <cell r="BT17">
            <v>7078880</v>
          </cell>
          <cell r="BU17">
            <v>6070</v>
          </cell>
          <cell r="BW17">
            <v>0.76</v>
          </cell>
          <cell r="BX17">
            <v>4.0000000000000036E-2</v>
          </cell>
          <cell r="BZ17">
            <v>55385</v>
          </cell>
          <cell r="CA17">
            <v>18</v>
          </cell>
          <cell r="CB17">
            <v>46892</v>
          </cell>
          <cell r="CC17">
            <v>15</v>
          </cell>
          <cell r="CD17">
            <v>16204</v>
          </cell>
          <cell r="CE17">
            <v>6</v>
          </cell>
          <cell r="CF17">
            <v>21112</v>
          </cell>
          <cell r="CG17">
            <v>13</v>
          </cell>
          <cell r="CH17">
            <v>22873</v>
          </cell>
          <cell r="CI17">
            <v>11</v>
          </cell>
          <cell r="CJ17">
            <v>50992</v>
          </cell>
          <cell r="CK17">
            <v>26</v>
          </cell>
          <cell r="CL17">
            <v>225309</v>
          </cell>
          <cell r="CM17">
            <v>98</v>
          </cell>
          <cell r="CO17">
            <v>171466</v>
          </cell>
          <cell r="CP17">
            <v>68</v>
          </cell>
          <cell r="CR17">
            <v>308195</v>
          </cell>
          <cell r="CS17">
            <v>0</v>
          </cell>
          <cell r="CU17">
            <v>599648</v>
          </cell>
          <cell r="CV17">
            <v>249</v>
          </cell>
          <cell r="CX17">
            <v>5646</v>
          </cell>
          <cell r="CY17">
            <v>7</v>
          </cell>
          <cell r="CZ17">
            <v>3211</v>
          </cell>
          <cell r="DA17">
            <v>5</v>
          </cell>
          <cell r="DB17">
            <v>25370</v>
          </cell>
          <cell r="DC17">
            <v>12</v>
          </cell>
          <cell r="DD17">
            <v>26044</v>
          </cell>
          <cell r="DE17">
            <v>17</v>
          </cell>
          <cell r="DF17">
            <v>17914</v>
          </cell>
          <cell r="DG17">
            <v>6</v>
          </cell>
          <cell r="DH17">
            <v>20994</v>
          </cell>
          <cell r="DI17">
            <v>6</v>
          </cell>
          <cell r="DJ17">
            <v>2445</v>
          </cell>
          <cell r="DK17">
            <v>11</v>
          </cell>
          <cell r="DL17">
            <v>5632</v>
          </cell>
          <cell r="DM17">
            <v>11</v>
          </cell>
          <cell r="DN17">
            <v>1324</v>
          </cell>
          <cell r="DO17">
            <v>7</v>
          </cell>
          <cell r="DP17">
            <v>2925</v>
          </cell>
          <cell r="DQ17">
            <v>5</v>
          </cell>
          <cell r="DR17">
            <v>25869</v>
          </cell>
          <cell r="DS17">
            <v>11</v>
          </cell>
          <cell r="DU17">
            <v>2236.9</v>
          </cell>
          <cell r="DV17">
            <v>10.5</v>
          </cell>
          <cell r="DW17">
            <v>7490.8</v>
          </cell>
          <cell r="DX17">
            <v>8.3000000000001819</v>
          </cell>
          <cell r="DY17">
            <v>1683.5</v>
          </cell>
          <cell r="DZ17">
            <v>7.7000000000000455</v>
          </cell>
          <cell r="EA17">
            <v>1578.4</v>
          </cell>
          <cell r="EB17">
            <v>11.300000000000182</v>
          </cell>
          <cell r="EC17">
            <v>809890</v>
          </cell>
          <cell r="ED17">
            <v>834</v>
          </cell>
          <cell r="EG17">
            <v>162270.79999999999</v>
          </cell>
          <cell r="EH17">
            <v>155.69999999998254</v>
          </cell>
          <cell r="EJ17">
            <v>9887300</v>
          </cell>
          <cell r="EK17">
            <v>8400</v>
          </cell>
          <cell r="EL17">
            <v>792840</v>
          </cell>
          <cell r="EM17">
            <v>440</v>
          </cell>
          <cell r="EN17">
            <v>6162200</v>
          </cell>
          <cell r="EO17">
            <v>3500</v>
          </cell>
          <cell r="EP17">
            <v>2178200</v>
          </cell>
          <cell r="EQ17">
            <v>1300</v>
          </cell>
          <cell r="ER17">
            <v>921240</v>
          </cell>
          <cell r="ES17">
            <v>940</v>
          </cell>
          <cell r="ET17">
            <v>13692000</v>
          </cell>
          <cell r="EU17">
            <v>8800</v>
          </cell>
          <cell r="EW17">
            <v>36128</v>
          </cell>
          <cell r="EX17">
            <v>16</v>
          </cell>
          <cell r="EY17">
            <v>31235</v>
          </cell>
          <cell r="EZ17">
            <v>12</v>
          </cell>
          <cell r="FA17">
            <v>2348</v>
          </cell>
          <cell r="FB17">
            <v>11</v>
          </cell>
          <cell r="FC17">
            <v>52498</v>
          </cell>
          <cell r="FD17">
            <v>16</v>
          </cell>
          <cell r="FE17">
            <v>34920</v>
          </cell>
          <cell r="FF17">
            <v>25</v>
          </cell>
        </row>
        <row r="18">
          <cell r="B18">
            <v>0.65</v>
          </cell>
          <cell r="E18">
            <v>855231</v>
          </cell>
          <cell r="F18">
            <v>792</v>
          </cell>
          <cell r="G18">
            <v>607</v>
          </cell>
          <cell r="H18">
            <v>54304</v>
          </cell>
          <cell r="I18">
            <v>294</v>
          </cell>
          <cell r="J18">
            <v>274</v>
          </cell>
          <cell r="K18">
            <v>164625</v>
          </cell>
          <cell r="L18">
            <v>0</v>
          </cell>
          <cell r="N18">
            <v>791824</v>
          </cell>
          <cell r="O18">
            <v>408</v>
          </cell>
          <cell r="Q18">
            <v>179732</v>
          </cell>
          <cell r="R18">
            <v>161</v>
          </cell>
          <cell r="S18">
            <v>36199.160000000003</v>
          </cell>
          <cell r="T18">
            <v>294.39000000000669</v>
          </cell>
          <cell r="U18">
            <v>177</v>
          </cell>
          <cell r="V18">
            <v>1290</v>
          </cell>
          <cell r="W18">
            <v>46</v>
          </cell>
          <cell r="AC18">
            <v>6906790.7999999998</v>
          </cell>
          <cell r="AD18">
            <v>2679.5999999996275</v>
          </cell>
          <cell r="AF18">
            <v>13320924.959999999</v>
          </cell>
          <cell r="AG18">
            <v>4774.5599999986589</v>
          </cell>
          <cell r="AI18">
            <v>13121952.48</v>
          </cell>
          <cell r="AJ18">
            <v>14323.680000001565</v>
          </cell>
          <cell r="AL18">
            <v>16108634.639999999</v>
          </cell>
          <cell r="AM18">
            <v>1802.6399999987334</v>
          </cell>
          <cell r="AO18">
            <v>16549891.68</v>
          </cell>
          <cell r="AP18">
            <v>14810.88000000082</v>
          </cell>
          <cell r="AR18">
            <v>14948172.959999999</v>
          </cell>
          <cell r="AS18">
            <v>5261.7599999997765</v>
          </cell>
          <cell r="AU18">
            <v>12749731.68</v>
          </cell>
          <cell r="AV18">
            <v>5066.8800000008196</v>
          </cell>
          <cell r="AX18">
            <v>12283432.559999999</v>
          </cell>
          <cell r="AY18">
            <v>4043.7599999997765</v>
          </cell>
          <cell r="BA18">
            <v>9798663.8399999999</v>
          </cell>
          <cell r="BB18">
            <v>3020.640000000596</v>
          </cell>
          <cell r="BD18">
            <v>15108851.52</v>
          </cell>
          <cell r="BE18">
            <v>6625.9199999999255</v>
          </cell>
          <cell r="BK18">
            <v>65188100</v>
          </cell>
          <cell r="BL18">
            <v>70400</v>
          </cell>
          <cell r="BN18">
            <v>67554300</v>
          </cell>
          <cell r="BO18">
            <v>100</v>
          </cell>
          <cell r="BQ18">
            <v>62598400</v>
          </cell>
          <cell r="BR18">
            <v>60300</v>
          </cell>
          <cell r="BT18">
            <v>7084540</v>
          </cell>
          <cell r="BU18">
            <v>5660</v>
          </cell>
          <cell r="BW18">
            <v>0.72</v>
          </cell>
          <cell r="BX18">
            <v>4.0000000000000036E-2</v>
          </cell>
          <cell r="BZ18">
            <v>55402</v>
          </cell>
          <cell r="CA18">
            <v>17</v>
          </cell>
          <cell r="CB18">
            <v>46908</v>
          </cell>
          <cell r="CC18">
            <v>16</v>
          </cell>
          <cell r="CD18">
            <v>16210</v>
          </cell>
          <cell r="CE18">
            <v>6</v>
          </cell>
          <cell r="CF18">
            <v>21121</v>
          </cell>
          <cell r="CG18">
            <v>9</v>
          </cell>
          <cell r="CH18">
            <v>22884</v>
          </cell>
          <cell r="CI18">
            <v>11</v>
          </cell>
          <cell r="CJ18">
            <v>51017</v>
          </cell>
          <cell r="CK18">
            <v>25</v>
          </cell>
          <cell r="CL18">
            <v>225397</v>
          </cell>
          <cell r="CM18">
            <v>88</v>
          </cell>
          <cell r="CO18">
            <v>171534</v>
          </cell>
          <cell r="CP18">
            <v>68</v>
          </cell>
          <cell r="CR18">
            <v>308195</v>
          </cell>
          <cell r="CS18">
            <v>0</v>
          </cell>
          <cell r="CU18">
            <v>599869</v>
          </cell>
          <cell r="CV18">
            <v>221</v>
          </cell>
          <cell r="CX18">
            <v>5652</v>
          </cell>
          <cell r="CY18">
            <v>6</v>
          </cell>
          <cell r="CZ18">
            <v>3216</v>
          </cell>
          <cell r="DA18">
            <v>5</v>
          </cell>
          <cell r="DB18">
            <v>25383</v>
          </cell>
          <cell r="DC18">
            <v>13</v>
          </cell>
          <cell r="DD18">
            <v>26062</v>
          </cell>
          <cell r="DE18">
            <v>18</v>
          </cell>
          <cell r="DF18">
            <v>17921</v>
          </cell>
          <cell r="DG18">
            <v>7</v>
          </cell>
          <cell r="DH18">
            <v>21001</v>
          </cell>
          <cell r="DI18">
            <v>7</v>
          </cell>
          <cell r="DJ18">
            <v>2454</v>
          </cell>
          <cell r="DK18">
            <v>9</v>
          </cell>
          <cell r="DL18">
            <v>5647</v>
          </cell>
          <cell r="DM18">
            <v>15</v>
          </cell>
          <cell r="DN18">
            <v>1333</v>
          </cell>
          <cell r="DO18">
            <v>9</v>
          </cell>
          <cell r="DP18">
            <v>2930</v>
          </cell>
          <cell r="DQ18">
            <v>5</v>
          </cell>
          <cell r="DR18">
            <v>25881</v>
          </cell>
          <cell r="DS18">
            <v>12</v>
          </cell>
          <cell r="DU18">
            <v>2247.4</v>
          </cell>
          <cell r="DV18">
            <v>10.5</v>
          </cell>
          <cell r="DW18">
            <v>7498.9</v>
          </cell>
          <cell r="DX18">
            <v>8.0999999999994543</v>
          </cell>
          <cell r="DY18">
            <v>1691.8</v>
          </cell>
          <cell r="DZ18">
            <v>8.2999999999999545</v>
          </cell>
          <cell r="EA18">
            <v>1589.3</v>
          </cell>
          <cell r="EB18">
            <v>10.899999999999864</v>
          </cell>
          <cell r="EC18">
            <v>810677</v>
          </cell>
          <cell r="ED18">
            <v>787</v>
          </cell>
          <cell r="EG18">
            <v>162430.6</v>
          </cell>
          <cell r="EH18">
            <v>159.80000000001746</v>
          </cell>
          <cell r="EJ18">
            <v>9896400</v>
          </cell>
          <cell r="EK18">
            <v>9100</v>
          </cell>
          <cell r="EL18">
            <v>793280</v>
          </cell>
          <cell r="EM18">
            <v>440</v>
          </cell>
          <cell r="EN18">
            <v>6165900</v>
          </cell>
          <cell r="EO18">
            <v>3700</v>
          </cell>
          <cell r="EP18">
            <v>2179700</v>
          </cell>
          <cell r="EQ18">
            <v>1500</v>
          </cell>
          <cell r="ER18">
            <v>922200</v>
          </cell>
          <cell r="ES18">
            <v>960</v>
          </cell>
          <cell r="ET18">
            <v>13702700</v>
          </cell>
          <cell r="EU18">
            <v>10700</v>
          </cell>
          <cell r="EW18">
            <v>36142</v>
          </cell>
          <cell r="EX18">
            <v>14</v>
          </cell>
          <cell r="EY18">
            <v>31252</v>
          </cell>
          <cell r="EZ18">
            <v>17</v>
          </cell>
          <cell r="FA18">
            <v>2358</v>
          </cell>
          <cell r="FB18">
            <v>10</v>
          </cell>
          <cell r="FC18">
            <v>52515</v>
          </cell>
          <cell r="FD18">
            <v>17</v>
          </cell>
          <cell r="FE18">
            <v>34948</v>
          </cell>
          <cell r="FF18">
            <v>28</v>
          </cell>
        </row>
        <row r="19">
          <cell r="B19">
            <v>0.68</v>
          </cell>
          <cell r="E19">
            <v>856060</v>
          </cell>
          <cell r="F19">
            <v>829</v>
          </cell>
          <cell r="G19">
            <v>561</v>
          </cell>
          <cell r="H19">
            <v>54644</v>
          </cell>
          <cell r="I19">
            <v>340</v>
          </cell>
          <cell r="J19">
            <v>276</v>
          </cell>
          <cell r="K19">
            <v>164625</v>
          </cell>
          <cell r="L19">
            <v>0</v>
          </cell>
          <cell r="N19">
            <v>792213</v>
          </cell>
          <cell r="O19">
            <v>389</v>
          </cell>
          <cell r="Q19">
            <v>179901</v>
          </cell>
          <cell r="R19">
            <v>169</v>
          </cell>
          <cell r="S19">
            <v>36502.370000000003</v>
          </cell>
          <cell r="T19">
            <v>303.20999999999913</v>
          </cell>
          <cell r="U19">
            <v>189</v>
          </cell>
          <cell r="V19">
            <v>1339</v>
          </cell>
          <cell r="W19">
            <v>49</v>
          </cell>
          <cell r="AC19">
            <v>6909129.3599999994</v>
          </cell>
          <cell r="AD19">
            <v>2338.5599999995902</v>
          </cell>
          <cell r="AF19">
            <v>13325358.48</v>
          </cell>
          <cell r="AG19">
            <v>4433.5200000014156</v>
          </cell>
          <cell r="AI19">
            <v>13136568.48</v>
          </cell>
          <cell r="AJ19">
            <v>14616</v>
          </cell>
          <cell r="AL19">
            <v>16110339.839999998</v>
          </cell>
          <cell r="AM19">
            <v>1705.1999999992549</v>
          </cell>
          <cell r="AO19">
            <v>16565141.039999999</v>
          </cell>
          <cell r="AP19">
            <v>15249.359999999404</v>
          </cell>
          <cell r="AR19">
            <v>14953629.6</v>
          </cell>
          <cell r="AS19">
            <v>5456.640000000596</v>
          </cell>
          <cell r="AU19">
            <v>12754506.24</v>
          </cell>
          <cell r="AV19">
            <v>4774.5600000005215</v>
          </cell>
          <cell r="AX19">
            <v>12287378.880000001</v>
          </cell>
          <cell r="AY19">
            <v>3946.3200000021607</v>
          </cell>
          <cell r="BA19">
            <v>9801538.3199999984</v>
          </cell>
          <cell r="BB19">
            <v>2874.4799999985844</v>
          </cell>
          <cell r="BD19">
            <v>15115721.039999999</v>
          </cell>
          <cell r="BE19">
            <v>6869.519999999553</v>
          </cell>
          <cell r="BK19">
            <v>65260800</v>
          </cell>
          <cell r="BL19">
            <v>72700</v>
          </cell>
          <cell r="BN19">
            <v>67554300</v>
          </cell>
          <cell r="BO19">
            <v>0</v>
          </cell>
          <cell r="BQ19">
            <v>62664200</v>
          </cell>
          <cell r="BR19">
            <v>65800</v>
          </cell>
          <cell r="BT19">
            <v>7091010</v>
          </cell>
          <cell r="BU19">
            <v>6470</v>
          </cell>
          <cell r="BW19">
            <v>0.69</v>
          </cell>
          <cell r="BX19">
            <v>3.0000000000000027E-2</v>
          </cell>
          <cell r="BZ19">
            <v>55420</v>
          </cell>
          <cell r="CA19">
            <v>18</v>
          </cell>
          <cell r="CB19">
            <v>46923</v>
          </cell>
          <cell r="CC19">
            <v>15</v>
          </cell>
          <cell r="CD19">
            <v>16216</v>
          </cell>
          <cell r="CE19">
            <v>6</v>
          </cell>
          <cell r="CF19">
            <v>21131</v>
          </cell>
          <cell r="CG19">
            <v>10</v>
          </cell>
          <cell r="CH19">
            <v>22893</v>
          </cell>
          <cell r="CI19">
            <v>9</v>
          </cell>
          <cell r="CJ19">
            <v>51042</v>
          </cell>
          <cell r="CK19">
            <v>25</v>
          </cell>
          <cell r="CL19">
            <v>225488</v>
          </cell>
          <cell r="CM19">
            <v>91</v>
          </cell>
          <cell r="CO19">
            <v>171624</v>
          </cell>
          <cell r="CP19">
            <v>90</v>
          </cell>
          <cell r="CR19">
            <v>308195</v>
          </cell>
          <cell r="CS19">
            <v>0</v>
          </cell>
          <cell r="CU19">
            <v>600095</v>
          </cell>
          <cell r="CV19">
            <v>226</v>
          </cell>
          <cell r="CX19">
            <v>5662</v>
          </cell>
          <cell r="CY19">
            <v>10</v>
          </cell>
          <cell r="CZ19">
            <v>3222</v>
          </cell>
          <cell r="DA19">
            <v>6</v>
          </cell>
          <cell r="DB19">
            <v>25397</v>
          </cell>
          <cell r="DC19">
            <v>14</v>
          </cell>
          <cell r="DD19">
            <v>26083</v>
          </cell>
          <cell r="DE19">
            <v>21</v>
          </cell>
          <cell r="DF19">
            <v>17929</v>
          </cell>
          <cell r="DG19">
            <v>8</v>
          </cell>
          <cell r="DH19">
            <v>21014</v>
          </cell>
          <cell r="DI19">
            <v>13</v>
          </cell>
          <cell r="DJ19">
            <v>2465</v>
          </cell>
          <cell r="DK19">
            <v>11</v>
          </cell>
          <cell r="DL19">
            <v>5663</v>
          </cell>
          <cell r="DM19">
            <v>16</v>
          </cell>
          <cell r="DN19">
            <v>1342</v>
          </cell>
          <cell r="DO19">
            <v>9</v>
          </cell>
          <cell r="DP19">
            <v>2934</v>
          </cell>
          <cell r="DQ19">
            <v>4</v>
          </cell>
          <cell r="DR19">
            <v>25892</v>
          </cell>
          <cell r="DS19">
            <v>11</v>
          </cell>
          <cell r="DU19">
            <v>2258.1999999999998</v>
          </cell>
          <cell r="DV19">
            <v>10.799999999999727</v>
          </cell>
          <cell r="DW19">
            <v>7507.2</v>
          </cell>
          <cell r="DX19">
            <v>8.3000000000001819</v>
          </cell>
          <cell r="DY19">
            <v>1700</v>
          </cell>
          <cell r="DZ19">
            <v>8.2000000000000455</v>
          </cell>
          <cell r="EA19">
            <v>1601.7</v>
          </cell>
          <cell r="EB19">
            <v>12.400000000000091</v>
          </cell>
          <cell r="EC19">
            <v>811521</v>
          </cell>
          <cell r="ED19">
            <v>844</v>
          </cell>
          <cell r="EG19">
            <v>162588.70000000001</v>
          </cell>
          <cell r="EH19">
            <v>158.10000000000582</v>
          </cell>
          <cell r="EJ19">
            <v>9906400</v>
          </cell>
          <cell r="EK19">
            <v>10000</v>
          </cell>
          <cell r="EL19">
            <v>793790</v>
          </cell>
          <cell r="EM19">
            <v>510</v>
          </cell>
          <cell r="EN19">
            <v>6170100</v>
          </cell>
          <cell r="EO19">
            <v>4200</v>
          </cell>
          <cell r="EP19">
            <v>2181200</v>
          </cell>
          <cell r="EQ19">
            <v>1500</v>
          </cell>
          <cell r="ER19">
            <v>923330</v>
          </cell>
          <cell r="ES19">
            <v>1130</v>
          </cell>
          <cell r="ET19">
            <v>13713900</v>
          </cell>
          <cell r="EU19">
            <v>11200</v>
          </cell>
          <cell r="EW19">
            <v>36158</v>
          </cell>
          <cell r="EX19">
            <v>16</v>
          </cell>
          <cell r="EY19">
            <v>31267</v>
          </cell>
          <cell r="EZ19">
            <v>15</v>
          </cell>
          <cell r="FA19">
            <v>2374</v>
          </cell>
          <cell r="FB19">
            <v>16</v>
          </cell>
          <cell r="FC19">
            <v>52530</v>
          </cell>
          <cell r="FD19">
            <v>15</v>
          </cell>
          <cell r="FE19">
            <v>34976</v>
          </cell>
          <cell r="FF19">
            <v>28</v>
          </cell>
        </row>
        <row r="20">
          <cell r="B20">
            <v>0.48</v>
          </cell>
          <cell r="E20">
            <v>856809</v>
          </cell>
          <cell r="F20">
            <v>749</v>
          </cell>
          <cell r="G20">
            <v>580</v>
          </cell>
          <cell r="H20">
            <v>54916</v>
          </cell>
          <cell r="I20">
            <v>272</v>
          </cell>
          <cell r="J20">
            <v>326</v>
          </cell>
          <cell r="K20">
            <v>164625</v>
          </cell>
          <cell r="L20">
            <v>0</v>
          </cell>
          <cell r="N20">
            <v>792608</v>
          </cell>
          <cell r="O20">
            <v>395</v>
          </cell>
          <cell r="Q20">
            <v>180056</v>
          </cell>
          <cell r="R20">
            <v>155</v>
          </cell>
          <cell r="S20">
            <v>36789.47</v>
          </cell>
          <cell r="T20">
            <v>287.09999999999854</v>
          </cell>
          <cell r="U20">
            <v>185</v>
          </cell>
          <cell r="V20">
            <v>1383</v>
          </cell>
          <cell r="W20">
            <v>44</v>
          </cell>
          <cell r="AC20">
            <v>6912393.5999999996</v>
          </cell>
          <cell r="AD20">
            <v>3264.2400000002235</v>
          </cell>
          <cell r="AF20">
            <v>13330279.199999999</v>
          </cell>
          <cell r="AG20">
            <v>4920.7199999988079</v>
          </cell>
          <cell r="AI20">
            <v>13150502.4</v>
          </cell>
          <cell r="AJ20">
            <v>13933.919999999925</v>
          </cell>
          <cell r="AL20">
            <v>16122909.6</v>
          </cell>
          <cell r="AM20">
            <v>12569.760000001639</v>
          </cell>
          <cell r="AO20">
            <v>16566748.799999999</v>
          </cell>
          <cell r="AP20">
            <v>1607.7599999997765</v>
          </cell>
          <cell r="AR20">
            <v>14959476</v>
          </cell>
          <cell r="AS20">
            <v>5846.4000000003725</v>
          </cell>
          <cell r="AU20">
            <v>12759280.799999999</v>
          </cell>
          <cell r="AV20">
            <v>4774.5599999986589</v>
          </cell>
          <cell r="AX20">
            <v>12291081.6</v>
          </cell>
          <cell r="AY20">
            <v>3702.7199999988079</v>
          </cell>
          <cell r="BA20">
            <v>9804412.7999999989</v>
          </cell>
          <cell r="BB20">
            <v>2874.480000000447</v>
          </cell>
          <cell r="BD20">
            <v>15122200.799999999</v>
          </cell>
          <cell r="BE20">
            <v>6479.7599999997765</v>
          </cell>
          <cell r="BK20">
            <v>65328400</v>
          </cell>
          <cell r="BL20">
            <v>67600</v>
          </cell>
          <cell r="BN20">
            <v>67614400</v>
          </cell>
          <cell r="BO20">
            <v>60100</v>
          </cell>
          <cell r="BQ20">
            <v>62666400</v>
          </cell>
          <cell r="BR20">
            <v>2200</v>
          </cell>
          <cell r="BT20">
            <v>7096880</v>
          </cell>
          <cell r="BU20">
            <v>5870</v>
          </cell>
          <cell r="BW20">
            <v>0.65</v>
          </cell>
          <cell r="BX20">
            <v>3.9999999999999925E-2</v>
          </cell>
          <cell r="BZ20">
            <v>55437</v>
          </cell>
          <cell r="CA20">
            <v>17</v>
          </cell>
          <cell r="CB20">
            <v>46937</v>
          </cell>
          <cell r="CC20">
            <v>14</v>
          </cell>
          <cell r="CD20">
            <v>16222</v>
          </cell>
          <cell r="CE20">
            <v>6</v>
          </cell>
          <cell r="CF20">
            <v>21140</v>
          </cell>
          <cell r="CG20">
            <v>9</v>
          </cell>
          <cell r="CH20">
            <v>22904</v>
          </cell>
          <cell r="CI20">
            <v>11</v>
          </cell>
          <cell r="CJ20">
            <v>51068</v>
          </cell>
          <cell r="CK20">
            <v>26</v>
          </cell>
          <cell r="CL20">
            <v>225586</v>
          </cell>
          <cell r="CM20">
            <v>98</v>
          </cell>
          <cell r="CO20">
            <v>171714</v>
          </cell>
          <cell r="CP20">
            <v>90</v>
          </cell>
          <cell r="CR20">
            <v>308195</v>
          </cell>
          <cell r="CS20">
            <v>0</v>
          </cell>
          <cell r="CU20">
            <v>600348</v>
          </cell>
          <cell r="CV20">
            <v>253</v>
          </cell>
          <cell r="CX20">
            <v>5667</v>
          </cell>
          <cell r="CY20">
            <v>5</v>
          </cell>
          <cell r="CZ20">
            <v>3227</v>
          </cell>
          <cell r="DA20">
            <v>5</v>
          </cell>
          <cell r="DB20">
            <v>25407</v>
          </cell>
          <cell r="DC20">
            <v>10</v>
          </cell>
          <cell r="DD20">
            <v>26098</v>
          </cell>
          <cell r="DE20">
            <v>15</v>
          </cell>
          <cell r="DF20">
            <v>17935</v>
          </cell>
          <cell r="DG20">
            <v>6</v>
          </cell>
          <cell r="DH20">
            <v>21021</v>
          </cell>
          <cell r="DI20">
            <v>7</v>
          </cell>
          <cell r="DJ20">
            <v>2473</v>
          </cell>
          <cell r="DK20">
            <v>8</v>
          </cell>
          <cell r="DL20">
            <v>5678</v>
          </cell>
          <cell r="DM20">
            <v>15</v>
          </cell>
          <cell r="DN20">
            <v>1350</v>
          </cell>
          <cell r="DO20">
            <v>8</v>
          </cell>
          <cell r="DP20">
            <v>2938</v>
          </cell>
          <cell r="DQ20">
            <v>4</v>
          </cell>
          <cell r="DR20">
            <v>25898</v>
          </cell>
          <cell r="DS20">
            <v>6</v>
          </cell>
          <cell r="DU20">
            <v>2266.1999999999998</v>
          </cell>
          <cell r="DV20">
            <v>8</v>
          </cell>
          <cell r="DW20">
            <v>7515.7</v>
          </cell>
          <cell r="DX20">
            <v>8.5</v>
          </cell>
          <cell r="DY20">
            <v>1707.5</v>
          </cell>
          <cell r="DZ20">
            <v>7.5</v>
          </cell>
          <cell r="EA20">
            <v>1613.5</v>
          </cell>
          <cell r="EB20">
            <v>11.799999999999955</v>
          </cell>
          <cell r="EC20">
            <v>812322</v>
          </cell>
          <cell r="ED20">
            <v>801</v>
          </cell>
          <cell r="EG20">
            <v>162739.9</v>
          </cell>
          <cell r="EH20">
            <v>151.19999999998254</v>
          </cell>
          <cell r="EJ20">
            <v>9914700</v>
          </cell>
          <cell r="EK20">
            <v>8300</v>
          </cell>
          <cell r="EL20">
            <v>794200</v>
          </cell>
          <cell r="EM20">
            <v>410</v>
          </cell>
          <cell r="EN20">
            <v>6173600</v>
          </cell>
          <cell r="EO20">
            <v>3500</v>
          </cell>
          <cell r="EP20">
            <v>2182500</v>
          </cell>
          <cell r="EQ20">
            <v>1300</v>
          </cell>
          <cell r="ER20">
            <v>924310</v>
          </cell>
          <cell r="ES20">
            <v>980</v>
          </cell>
          <cell r="ET20">
            <v>13723100</v>
          </cell>
          <cell r="EU20">
            <v>9200</v>
          </cell>
          <cell r="EW20">
            <v>36172</v>
          </cell>
          <cell r="EX20">
            <v>14</v>
          </cell>
          <cell r="EY20">
            <v>31280</v>
          </cell>
          <cell r="EZ20">
            <v>13</v>
          </cell>
          <cell r="FA20">
            <v>2389</v>
          </cell>
          <cell r="FB20">
            <v>15</v>
          </cell>
          <cell r="FC20">
            <v>52544</v>
          </cell>
          <cell r="FD20">
            <v>14</v>
          </cell>
          <cell r="FE20">
            <v>35001</v>
          </cell>
          <cell r="FF20">
            <v>25</v>
          </cell>
        </row>
        <row r="21">
          <cell r="B21">
            <v>0.57999999999999996</v>
          </cell>
          <cell r="E21">
            <v>857610</v>
          </cell>
          <cell r="F21">
            <v>801</v>
          </cell>
          <cell r="G21">
            <v>541</v>
          </cell>
          <cell r="H21">
            <v>55177</v>
          </cell>
          <cell r="I21">
            <v>261</v>
          </cell>
          <cell r="J21">
            <v>272</v>
          </cell>
          <cell r="K21">
            <v>164625</v>
          </cell>
          <cell r="L21">
            <v>0</v>
          </cell>
          <cell r="N21">
            <v>792970</v>
          </cell>
          <cell r="O21">
            <v>362</v>
          </cell>
          <cell r="Q21">
            <v>180278</v>
          </cell>
          <cell r="R21">
            <v>222</v>
          </cell>
          <cell r="S21">
            <v>37071.050000000003</v>
          </cell>
          <cell r="T21">
            <v>281.58000000000175</v>
          </cell>
          <cell r="U21">
            <v>172</v>
          </cell>
          <cell r="V21">
            <v>1430</v>
          </cell>
          <cell r="W21">
            <v>47</v>
          </cell>
          <cell r="AC21">
            <v>6915462.959999999</v>
          </cell>
          <cell r="AD21">
            <v>3069.359999999404</v>
          </cell>
          <cell r="AF21">
            <v>13334956.319999998</v>
          </cell>
          <cell r="AG21">
            <v>4677.1199999991804</v>
          </cell>
          <cell r="AI21">
            <v>13161805.439999999</v>
          </cell>
          <cell r="AJ21">
            <v>11303.039999999106</v>
          </cell>
          <cell r="AL21">
            <v>16135820.4</v>
          </cell>
          <cell r="AM21">
            <v>12910.800000000745</v>
          </cell>
          <cell r="AO21">
            <v>16568161.68</v>
          </cell>
          <cell r="AP21">
            <v>1412.8800000008196</v>
          </cell>
          <cell r="AR21">
            <v>14964981.359999999</v>
          </cell>
          <cell r="AS21">
            <v>5505.359999999404</v>
          </cell>
          <cell r="AU21">
            <v>12764104.08</v>
          </cell>
          <cell r="AV21">
            <v>4823.2800000011921</v>
          </cell>
          <cell r="AX21">
            <v>12295076.640000001</v>
          </cell>
          <cell r="AY21">
            <v>3995.0400000009686</v>
          </cell>
          <cell r="BA21">
            <v>9807384.7199999988</v>
          </cell>
          <cell r="BB21">
            <v>2971.9199999999255</v>
          </cell>
          <cell r="BD21">
            <v>15128826.719999999</v>
          </cell>
          <cell r="BE21">
            <v>6625.9199999999255</v>
          </cell>
          <cell r="BK21">
            <v>65385500</v>
          </cell>
          <cell r="BL21">
            <v>57100</v>
          </cell>
          <cell r="BN21">
            <v>67680300</v>
          </cell>
          <cell r="BO21">
            <v>65900</v>
          </cell>
          <cell r="BQ21">
            <v>62666400</v>
          </cell>
          <cell r="BR21">
            <v>0</v>
          </cell>
          <cell r="BT21">
            <v>7102460</v>
          </cell>
          <cell r="BU21">
            <v>5580</v>
          </cell>
          <cell r="BW21">
            <v>0.81</v>
          </cell>
          <cell r="BX21">
            <v>-0.16000000000000003</v>
          </cell>
          <cell r="BZ21">
            <v>55454</v>
          </cell>
          <cell r="CA21">
            <v>17</v>
          </cell>
          <cell r="CB21">
            <v>46954</v>
          </cell>
          <cell r="CC21">
            <v>17</v>
          </cell>
          <cell r="CD21">
            <v>16226</v>
          </cell>
          <cell r="CE21">
            <v>4</v>
          </cell>
          <cell r="CF21">
            <v>21152</v>
          </cell>
          <cell r="CG21">
            <v>12</v>
          </cell>
          <cell r="CH21">
            <v>22913</v>
          </cell>
          <cell r="CI21">
            <v>9</v>
          </cell>
          <cell r="CJ21">
            <v>51093</v>
          </cell>
          <cell r="CK21">
            <v>25</v>
          </cell>
          <cell r="CL21">
            <v>225675</v>
          </cell>
          <cell r="CM21">
            <v>89</v>
          </cell>
          <cell r="CO21">
            <v>171780</v>
          </cell>
          <cell r="CP21">
            <v>66</v>
          </cell>
          <cell r="CR21">
            <v>308195</v>
          </cell>
          <cell r="CS21">
            <v>0</v>
          </cell>
          <cell r="CU21">
            <v>600568</v>
          </cell>
          <cell r="CV21">
            <v>220</v>
          </cell>
          <cell r="CX21">
            <v>5671</v>
          </cell>
          <cell r="CY21">
            <v>4</v>
          </cell>
          <cell r="CZ21">
            <v>3231</v>
          </cell>
          <cell r="DA21">
            <v>4</v>
          </cell>
          <cell r="DB21">
            <v>25416</v>
          </cell>
          <cell r="DC21">
            <v>9</v>
          </cell>
          <cell r="DD21">
            <v>26106</v>
          </cell>
          <cell r="DE21">
            <v>8</v>
          </cell>
          <cell r="DF21">
            <v>17942</v>
          </cell>
          <cell r="DG21">
            <v>7</v>
          </cell>
          <cell r="DH21">
            <v>21029</v>
          </cell>
          <cell r="DI21">
            <v>8</v>
          </cell>
          <cell r="DJ21">
            <v>2479</v>
          </cell>
          <cell r="DK21">
            <v>6</v>
          </cell>
          <cell r="DL21">
            <v>5692</v>
          </cell>
          <cell r="DM21">
            <v>14</v>
          </cell>
          <cell r="DN21">
            <v>1356</v>
          </cell>
          <cell r="DO21">
            <v>6</v>
          </cell>
          <cell r="DP21">
            <v>2940</v>
          </cell>
          <cell r="DQ21">
            <v>2</v>
          </cell>
          <cell r="DR21">
            <v>25904</v>
          </cell>
          <cell r="DS21">
            <v>6</v>
          </cell>
          <cell r="DU21">
            <v>2277.9</v>
          </cell>
          <cell r="DV21">
            <v>11.700000000000273</v>
          </cell>
          <cell r="DW21">
            <v>7523.2</v>
          </cell>
          <cell r="DX21">
            <v>7.5</v>
          </cell>
          <cell r="DY21">
            <v>1715.4</v>
          </cell>
          <cell r="DZ21">
            <v>7.9000000000000909</v>
          </cell>
          <cell r="EA21">
            <v>1624.7</v>
          </cell>
          <cell r="EB21">
            <v>11.200000000000045</v>
          </cell>
          <cell r="EC21">
            <v>813108</v>
          </cell>
          <cell r="ED21">
            <v>786</v>
          </cell>
          <cell r="EG21">
            <v>162891.79999999999</v>
          </cell>
          <cell r="EH21">
            <v>151.89999999999418</v>
          </cell>
          <cell r="EJ21">
            <v>9923300</v>
          </cell>
          <cell r="EK21">
            <v>8600</v>
          </cell>
          <cell r="EL21">
            <v>794650</v>
          </cell>
          <cell r="EM21">
            <v>450</v>
          </cell>
          <cell r="EN21">
            <v>6177100</v>
          </cell>
          <cell r="EO21">
            <v>3500</v>
          </cell>
          <cell r="EP21">
            <v>2183600</v>
          </cell>
          <cell r="EQ21">
            <v>1100</v>
          </cell>
          <cell r="ER21">
            <v>925230</v>
          </cell>
          <cell r="ES21">
            <v>920</v>
          </cell>
          <cell r="ET21">
            <v>13731800</v>
          </cell>
          <cell r="EU21">
            <v>8700</v>
          </cell>
          <cell r="EW21">
            <v>36185</v>
          </cell>
          <cell r="EX21">
            <v>13</v>
          </cell>
          <cell r="EY21">
            <v>31291</v>
          </cell>
          <cell r="EZ21">
            <v>11</v>
          </cell>
          <cell r="FA21">
            <v>2399</v>
          </cell>
          <cell r="FB21">
            <v>10</v>
          </cell>
          <cell r="FC21">
            <v>52559</v>
          </cell>
          <cell r="FD21">
            <v>15</v>
          </cell>
          <cell r="FE21">
            <v>35025</v>
          </cell>
          <cell r="FF21">
            <v>24</v>
          </cell>
        </row>
        <row r="22">
          <cell r="B22">
            <v>0.61</v>
          </cell>
          <cell r="E22">
            <v>858369</v>
          </cell>
          <cell r="F22">
            <v>759</v>
          </cell>
          <cell r="G22">
            <v>502</v>
          </cell>
          <cell r="H22">
            <v>55440</v>
          </cell>
          <cell r="I22">
            <v>263</v>
          </cell>
          <cell r="J22">
            <v>296</v>
          </cell>
          <cell r="K22">
            <v>164625</v>
          </cell>
          <cell r="L22">
            <v>0</v>
          </cell>
          <cell r="N22">
            <v>793362</v>
          </cell>
          <cell r="O22">
            <v>392</v>
          </cell>
          <cell r="Q22">
            <v>180467</v>
          </cell>
          <cell r="R22">
            <v>189</v>
          </cell>
          <cell r="S22">
            <v>37349.71</v>
          </cell>
          <cell r="T22">
            <v>278.65999999999622</v>
          </cell>
          <cell r="U22">
            <v>165</v>
          </cell>
          <cell r="V22">
            <v>1473</v>
          </cell>
          <cell r="W22">
            <v>43</v>
          </cell>
          <cell r="AC22">
            <v>6918483.5999999996</v>
          </cell>
          <cell r="AD22">
            <v>3020.640000000596</v>
          </cell>
          <cell r="AF22">
            <v>13339730.880000001</v>
          </cell>
          <cell r="AG22">
            <v>4774.5600000023842</v>
          </cell>
          <cell r="AI22">
            <v>13174034.16</v>
          </cell>
          <cell r="AJ22">
            <v>12228.720000000671</v>
          </cell>
          <cell r="AL22">
            <v>16150241.52</v>
          </cell>
          <cell r="AM22">
            <v>14421.11999999918</v>
          </cell>
          <cell r="AO22">
            <v>16569720.719999999</v>
          </cell>
          <cell r="AP22">
            <v>1559.0399999991059</v>
          </cell>
          <cell r="AR22">
            <v>14970730.319999998</v>
          </cell>
          <cell r="AS22">
            <v>5748.9599999990314</v>
          </cell>
          <cell r="AU22">
            <v>12768927.359999999</v>
          </cell>
          <cell r="AV22">
            <v>4823.2799999993294</v>
          </cell>
          <cell r="AX22">
            <v>12299217.84</v>
          </cell>
          <cell r="AY22">
            <v>4141.1999999992549</v>
          </cell>
          <cell r="BA22">
            <v>9810307.9199999999</v>
          </cell>
          <cell r="BB22">
            <v>2923.2000000011176</v>
          </cell>
          <cell r="BD22">
            <v>15135160.319999998</v>
          </cell>
          <cell r="BE22">
            <v>6333.5999999996275</v>
          </cell>
          <cell r="BK22">
            <v>65446000</v>
          </cell>
          <cell r="BL22">
            <v>60500</v>
          </cell>
          <cell r="BN22">
            <v>67751800</v>
          </cell>
          <cell r="BO22">
            <v>71500</v>
          </cell>
          <cell r="BQ22">
            <v>62666400</v>
          </cell>
          <cell r="BR22">
            <v>0</v>
          </cell>
          <cell r="BT22">
            <v>7107630</v>
          </cell>
          <cell r="BU22">
            <v>5170</v>
          </cell>
          <cell r="BW22">
            <v>0.78</v>
          </cell>
          <cell r="BX22">
            <v>3.0000000000000027E-2</v>
          </cell>
          <cell r="BZ22">
            <v>55470</v>
          </cell>
          <cell r="CA22">
            <v>16</v>
          </cell>
          <cell r="CB22">
            <v>46972</v>
          </cell>
          <cell r="CC22">
            <v>18</v>
          </cell>
          <cell r="CD22">
            <v>16230</v>
          </cell>
          <cell r="CE22">
            <v>4</v>
          </cell>
          <cell r="CF22">
            <v>21162</v>
          </cell>
          <cell r="CG22">
            <v>10</v>
          </cell>
          <cell r="CH22">
            <v>22923</v>
          </cell>
          <cell r="CI22">
            <v>10</v>
          </cell>
          <cell r="CJ22">
            <v>51118</v>
          </cell>
          <cell r="CK22">
            <v>25</v>
          </cell>
          <cell r="CL22">
            <v>225767</v>
          </cell>
          <cell r="CM22">
            <v>92</v>
          </cell>
          <cell r="CO22">
            <v>171848</v>
          </cell>
          <cell r="CP22">
            <v>68</v>
          </cell>
          <cell r="CR22">
            <v>308195</v>
          </cell>
          <cell r="CS22">
            <v>0</v>
          </cell>
          <cell r="CU22">
            <v>600792</v>
          </cell>
          <cell r="CV22">
            <v>224</v>
          </cell>
          <cell r="CX22">
            <v>5674</v>
          </cell>
          <cell r="CY22">
            <v>3</v>
          </cell>
          <cell r="CZ22">
            <v>3233</v>
          </cell>
          <cell r="DA22">
            <v>2</v>
          </cell>
          <cell r="DB22">
            <v>25429</v>
          </cell>
          <cell r="DC22">
            <v>13</v>
          </cell>
          <cell r="DD22">
            <v>26116</v>
          </cell>
          <cell r="DE22">
            <v>10</v>
          </cell>
          <cell r="DF22">
            <v>17948</v>
          </cell>
          <cell r="DG22">
            <v>6</v>
          </cell>
          <cell r="DH22">
            <v>21041</v>
          </cell>
          <cell r="DI22">
            <v>12</v>
          </cell>
          <cell r="DJ22">
            <v>2487</v>
          </cell>
          <cell r="DK22">
            <v>8</v>
          </cell>
          <cell r="DL22">
            <v>5706</v>
          </cell>
          <cell r="DM22">
            <v>14</v>
          </cell>
          <cell r="DN22">
            <v>1363</v>
          </cell>
          <cell r="DO22">
            <v>7</v>
          </cell>
          <cell r="DP22">
            <v>2942</v>
          </cell>
          <cell r="DQ22">
            <v>2</v>
          </cell>
          <cell r="DR22">
            <v>25904</v>
          </cell>
          <cell r="DS22">
            <v>0</v>
          </cell>
          <cell r="DU22">
            <v>2287.3000000000002</v>
          </cell>
          <cell r="DV22">
            <v>9.4000000000000909</v>
          </cell>
          <cell r="DW22">
            <v>7530.7</v>
          </cell>
          <cell r="DX22">
            <v>7.5</v>
          </cell>
          <cell r="DY22">
            <v>1722.6</v>
          </cell>
          <cell r="DZ22">
            <v>7.1999999999998181</v>
          </cell>
          <cell r="EA22">
            <v>1636.1</v>
          </cell>
          <cell r="EB22">
            <v>11.399999999999864</v>
          </cell>
          <cell r="EC22">
            <v>813820</v>
          </cell>
          <cell r="ED22">
            <v>712</v>
          </cell>
          <cell r="EG22">
            <v>163040.9</v>
          </cell>
          <cell r="EH22">
            <v>149.10000000000582</v>
          </cell>
          <cell r="EJ22">
            <v>9932100</v>
          </cell>
          <cell r="EK22">
            <v>8800</v>
          </cell>
          <cell r="EL22">
            <v>795100</v>
          </cell>
          <cell r="EM22">
            <v>450</v>
          </cell>
          <cell r="EN22">
            <v>6181000</v>
          </cell>
          <cell r="EO22">
            <v>3900</v>
          </cell>
          <cell r="EP22">
            <v>2184600</v>
          </cell>
          <cell r="EQ22">
            <v>1000</v>
          </cell>
          <cell r="ER22">
            <v>926250</v>
          </cell>
          <cell r="ES22">
            <v>1020</v>
          </cell>
          <cell r="ET22">
            <v>13742600</v>
          </cell>
          <cell r="EU22">
            <v>10800</v>
          </cell>
          <cell r="EW22">
            <v>36199</v>
          </cell>
          <cell r="EX22">
            <v>14</v>
          </cell>
          <cell r="EY22">
            <v>31304</v>
          </cell>
          <cell r="EZ22">
            <v>13</v>
          </cell>
          <cell r="FA22">
            <v>2410</v>
          </cell>
          <cell r="FB22">
            <v>11</v>
          </cell>
          <cell r="FC22">
            <v>52573</v>
          </cell>
          <cell r="FD22">
            <v>14</v>
          </cell>
          <cell r="FE22">
            <v>35048</v>
          </cell>
          <cell r="FF22">
            <v>23</v>
          </cell>
        </row>
        <row r="23">
          <cell r="B23">
            <v>0.56999999999999995</v>
          </cell>
          <cell r="E23">
            <v>859007</v>
          </cell>
          <cell r="F23">
            <v>638</v>
          </cell>
          <cell r="G23">
            <v>581</v>
          </cell>
          <cell r="H23">
            <v>55706</v>
          </cell>
          <cell r="I23">
            <v>266</v>
          </cell>
          <cell r="J23">
            <v>241</v>
          </cell>
          <cell r="K23">
            <v>164625</v>
          </cell>
          <cell r="L23">
            <v>0</v>
          </cell>
          <cell r="N23">
            <v>793791</v>
          </cell>
          <cell r="O23">
            <v>429</v>
          </cell>
          <cell r="Q23">
            <v>180603</v>
          </cell>
          <cell r="R23">
            <v>136</v>
          </cell>
          <cell r="S23">
            <v>37635.65</v>
          </cell>
          <cell r="T23">
            <v>285.94000000000233</v>
          </cell>
          <cell r="U23">
            <v>145</v>
          </cell>
          <cell r="V23">
            <v>1518</v>
          </cell>
          <cell r="W23">
            <v>45</v>
          </cell>
          <cell r="AC23">
            <v>6921796.5599999996</v>
          </cell>
          <cell r="AD23">
            <v>3312.9599999999627</v>
          </cell>
          <cell r="AF23">
            <v>13344554.16</v>
          </cell>
          <cell r="AG23">
            <v>4823.2799999993294</v>
          </cell>
          <cell r="AI23">
            <v>13188406.559999999</v>
          </cell>
          <cell r="AJ23">
            <v>14372.39999999851</v>
          </cell>
          <cell r="AL23">
            <v>16164467.760000002</v>
          </cell>
          <cell r="AM23">
            <v>14226.240000002086</v>
          </cell>
          <cell r="AO23">
            <v>16571328.48</v>
          </cell>
          <cell r="AP23">
            <v>1607.7600000016391</v>
          </cell>
          <cell r="AR23">
            <v>14976381.84</v>
          </cell>
          <cell r="AS23">
            <v>5651.5200000014156</v>
          </cell>
          <cell r="AU23">
            <v>12773458.319999998</v>
          </cell>
          <cell r="AV23">
            <v>4530.9599999990314</v>
          </cell>
          <cell r="AX23">
            <v>12303310.319999998</v>
          </cell>
          <cell r="AY23">
            <v>4092.4799999985844</v>
          </cell>
          <cell r="BA23">
            <v>9813377.2800000012</v>
          </cell>
          <cell r="BB23">
            <v>3069.3600000012666</v>
          </cell>
          <cell r="BD23">
            <v>15141640.08</v>
          </cell>
          <cell r="BE23">
            <v>6479.7600000016391</v>
          </cell>
          <cell r="BK23">
            <v>65516900</v>
          </cell>
          <cell r="BL23">
            <v>70900</v>
          </cell>
          <cell r="BN23">
            <v>67820200</v>
          </cell>
          <cell r="BO23">
            <v>68400</v>
          </cell>
          <cell r="BQ23">
            <v>62666400</v>
          </cell>
          <cell r="BR23">
            <v>0</v>
          </cell>
          <cell r="BT23">
            <v>7113110</v>
          </cell>
          <cell r="BU23">
            <v>5480</v>
          </cell>
          <cell r="BW23">
            <v>0.73</v>
          </cell>
          <cell r="BX23">
            <v>5.0000000000000044E-2</v>
          </cell>
          <cell r="BZ23">
            <v>55488</v>
          </cell>
          <cell r="CA23">
            <v>18</v>
          </cell>
          <cell r="CB23">
            <v>46989</v>
          </cell>
          <cell r="CC23">
            <v>17</v>
          </cell>
          <cell r="CD23">
            <v>16235</v>
          </cell>
          <cell r="CE23">
            <v>5</v>
          </cell>
          <cell r="CF23">
            <v>21173</v>
          </cell>
          <cell r="CG23">
            <v>11</v>
          </cell>
          <cell r="CH23">
            <v>22938</v>
          </cell>
          <cell r="CI23">
            <v>15</v>
          </cell>
          <cell r="CJ23">
            <v>51143</v>
          </cell>
          <cell r="CK23">
            <v>25</v>
          </cell>
          <cell r="CL23">
            <v>225860</v>
          </cell>
          <cell r="CM23">
            <v>93</v>
          </cell>
          <cell r="CO23">
            <v>171916</v>
          </cell>
          <cell r="CP23">
            <v>68</v>
          </cell>
          <cell r="CR23">
            <v>308195</v>
          </cell>
          <cell r="CS23">
            <v>0</v>
          </cell>
          <cell r="CU23">
            <v>601031</v>
          </cell>
          <cell r="CV23">
            <v>239</v>
          </cell>
          <cell r="CX23">
            <v>5680</v>
          </cell>
          <cell r="CY23">
            <v>6</v>
          </cell>
          <cell r="CZ23">
            <v>3239</v>
          </cell>
          <cell r="DA23">
            <v>6</v>
          </cell>
          <cell r="DB23">
            <v>25440</v>
          </cell>
          <cell r="DC23">
            <v>11</v>
          </cell>
          <cell r="DD23">
            <v>26128</v>
          </cell>
          <cell r="DE23">
            <v>12</v>
          </cell>
          <cell r="DF23">
            <v>17955</v>
          </cell>
          <cell r="DG23">
            <v>7</v>
          </cell>
          <cell r="DH23">
            <v>21052</v>
          </cell>
          <cell r="DI23">
            <v>11</v>
          </cell>
          <cell r="DJ23">
            <v>2496</v>
          </cell>
          <cell r="DK23">
            <v>9</v>
          </cell>
          <cell r="DL23">
            <v>5717</v>
          </cell>
          <cell r="DM23">
            <v>11</v>
          </cell>
          <cell r="DN23">
            <v>1372</v>
          </cell>
          <cell r="DO23">
            <v>9</v>
          </cell>
          <cell r="DP23">
            <v>2944</v>
          </cell>
          <cell r="DQ23">
            <v>2</v>
          </cell>
          <cell r="DR23">
            <v>25904</v>
          </cell>
          <cell r="DS23">
            <v>0</v>
          </cell>
          <cell r="DU23">
            <v>2297</v>
          </cell>
          <cell r="DV23">
            <v>9.6999999999998181</v>
          </cell>
          <cell r="DW23">
            <v>7538.8</v>
          </cell>
          <cell r="DX23">
            <v>8.1000000000003638</v>
          </cell>
          <cell r="DY23">
            <v>1729.9</v>
          </cell>
          <cell r="DZ23">
            <v>7.3000000000001819</v>
          </cell>
          <cell r="EA23">
            <v>1647.6</v>
          </cell>
          <cell r="EB23">
            <v>11.5</v>
          </cell>
          <cell r="EC23">
            <v>814564</v>
          </cell>
          <cell r="ED23">
            <v>744</v>
          </cell>
          <cell r="EG23">
            <v>163195.29999999999</v>
          </cell>
          <cell r="EH23">
            <v>154.39999999999418</v>
          </cell>
          <cell r="EJ23">
            <v>9941400</v>
          </cell>
          <cell r="EK23">
            <v>9300</v>
          </cell>
          <cell r="EL23">
            <v>795570</v>
          </cell>
          <cell r="EM23">
            <v>470</v>
          </cell>
          <cell r="EN23">
            <v>6185000</v>
          </cell>
          <cell r="EO23">
            <v>4000</v>
          </cell>
          <cell r="EP23">
            <v>2185800</v>
          </cell>
          <cell r="EQ23">
            <v>1200</v>
          </cell>
          <cell r="ER23">
            <v>927270</v>
          </cell>
          <cell r="ES23">
            <v>1020</v>
          </cell>
          <cell r="ET23">
            <v>13754200</v>
          </cell>
          <cell r="EU23">
            <v>11600</v>
          </cell>
          <cell r="EW23">
            <v>36213</v>
          </cell>
          <cell r="EX23">
            <v>14</v>
          </cell>
          <cell r="EY23">
            <v>31316</v>
          </cell>
          <cell r="EZ23">
            <v>12</v>
          </cell>
          <cell r="FA23">
            <v>2420</v>
          </cell>
          <cell r="FB23">
            <v>10</v>
          </cell>
          <cell r="FC23">
            <v>52597</v>
          </cell>
          <cell r="FD23">
            <v>24</v>
          </cell>
          <cell r="FE23">
            <v>35073</v>
          </cell>
          <cell r="FF23">
            <v>25</v>
          </cell>
        </row>
        <row r="24">
          <cell r="B24">
            <v>0.6</v>
          </cell>
          <cell r="E24">
            <v>859805</v>
          </cell>
          <cell r="F24">
            <v>798</v>
          </cell>
          <cell r="G24">
            <v>516</v>
          </cell>
          <cell r="H24">
            <v>56001</v>
          </cell>
          <cell r="I24">
            <v>295</v>
          </cell>
          <cell r="J24">
            <v>237</v>
          </cell>
          <cell r="K24">
            <v>164625</v>
          </cell>
          <cell r="L24">
            <v>0</v>
          </cell>
          <cell r="N24">
            <v>794165</v>
          </cell>
          <cell r="O24">
            <v>374</v>
          </cell>
          <cell r="Q24">
            <v>180791</v>
          </cell>
          <cell r="R24">
            <v>188</v>
          </cell>
          <cell r="S24">
            <v>37913.660000000003</v>
          </cell>
          <cell r="T24">
            <v>278.01000000000204</v>
          </cell>
          <cell r="U24">
            <v>148</v>
          </cell>
          <cell r="V24">
            <v>1563</v>
          </cell>
          <cell r="W24">
            <v>45</v>
          </cell>
          <cell r="AC24">
            <v>6924865.9199999999</v>
          </cell>
          <cell r="AD24">
            <v>3069.3600000003353</v>
          </cell>
          <cell r="AF24">
            <v>13349572.319999998</v>
          </cell>
          <cell r="AG24">
            <v>5018.1599999982864</v>
          </cell>
          <cell r="AI24">
            <v>13199904.48</v>
          </cell>
          <cell r="AJ24">
            <v>11497.920000001788</v>
          </cell>
          <cell r="AL24">
            <v>16178645.280000001</v>
          </cell>
          <cell r="AM24">
            <v>14177.519999999553</v>
          </cell>
          <cell r="AO24">
            <v>16572838.799999999</v>
          </cell>
          <cell r="AP24">
            <v>1510.3199999984354</v>
          </cell>
          <cell r="AR24">
            <v>14982325.68</v>
          </cell>
          <cell r="AS24">
            <v>5943.839999999851</v>
          </cell>
          <cell r="AU24">
            <v>12778086.719999999</v>
          </cell>
          <cell r="AV24">
            <v>4628.4000000003725</v>
          </cell>
          <cell r="AX24">
            <v>12307256.640000001</v>
          </cell>
          <cell r="AY24">
            <v>3946.3200000021607</v>
          </cell>
          <cell r="BA24">
            <v>9816690.2400000002</v>
          </cell>
          <cell r="BB24">
            <v>3312.9599999990314</v>
          </cell>
          <cell r="BD24">
            <v>15148460.880000001</v>
          </cell>
          <cell r="BE24">
            <v>6820.8000000007451</v>
          </cell>
          <cell r="BK24">
            <v>65574000</v>
          </cell>
          <cell r="BL24">
            <v>57100</v>
          </cell>
          <cell r="BN24">
            <v>67890500</v>
          </cell>
          <cell r="BO24">
            <v>70300</v>
          </cell>
          <cell r="BQ24">
            <v>62666400</v>
          </cell>
          <cell r="BR24">
            <v>0</v>
          </cell>
          <cell r="BT24">
            <v>7118850</v>
          </cell>
          <cell r="BU24">
            <v>5740</v>
          </cell>
          <cell r="BW24">
            <v>0.69</v>
          </cell>
          <cell r="BX24">
            <v>4.0000000000000036E-2</v>
          </cell>
          <cell r="BZ24">
            <v>55502</v>
          </cell>
          <cell r="CA24">
            <v>14</v>
          </cell>
          <cell r="CB24">
            <v>47004</v>
          </cell>
          <cell r="CC24">
            <v>15</v>
          </cell>
          <cell r="CD24">
            <v>16241</v>
          </cell>
          <cell r="CE24">
            <v>6</v>
          </cell>
          <cell r="CF24">
            <v>21183</v>
          </cell>
          <cell r="CG24">
            <v>10</v>
          </cell>
          <cell r="CH24">
            <v>22948</v>
          </cell>
          <cell r="CI24">
            <v>10</v>
          </cell>
          <cell r="CJ24">
            <v>51171</v>
          </cell>
          <cell r="CK24">
            <v>28</v>
          </cell>
          <cell r="CL24">
            <v>225953</v>
          </cell>
          <cell r="CM24">
            <v>93</v>
          </cell>
          <cell r="CO24">
            <v>171985</v>
          </cell>
          <cell r="CP24">
            <v>69</v>
          </cell>
          <cell r="CR24">
            <v>308195</v>
          </cell>
          <cell r="CS24">
            <v>0</v>
          </cell>
          <cell r="CU24">
            <v>601270</v>
          </cell>
          <cell r="CV24">
            <v>239</v>
          </cell>
          <cell r="CX24">
            <v>5686</v>
          </cell>
          <cell r="CY24">
            <v>6</v>
          </cell>
          <cell r="CZ24">
            <v>3245</v>
          </cell>
          <cell r="DA24">
            <v>6</v>
          </cell>
          <cell r="DB24">
            <v>25454</v>
          </cell>
          <cell r="DC24">
            <v>14</v>
          </cell>
          <cell r="DD24">
            <v>26138</v>
          </cell>
          <cell r="DE24">
            <v>10</v>
          </cell>
          <cell r="DF24">
            <v>17962</v>
          </cell>
          <cell r="DG24">
            <v>7</v>
          </cell>
          <cell r="DH24">
            <v>21064</v>
          </cell>
          <cell r="DI24">
            <v>12</v>
          </cell>
          <cell r="DJ24">
            <v>2505</v>
          </cell>
          <cell r="DK24">
            <v>9</v>
          </cell>
          <cell r="DL24">
            <v>5732</v>
          </cell>
          <cell r="DM24">
            <v>15</v>
          </cell>
          <cell r="DN24">
            <v>1380</v>
          </cell>
          <cell r="DO24">
            <v>8</v>
          </cell>
          <cell r="DP24">
            <v>2947</v>
          </cell>
          <cell r="DQ24">
            <v>3</v>
          </cell>
          <cell r="DR24">
            <v>25904</v>
          </cell>
          <cell r="DS24">
            <v>0</v>
          </cell>
          <cell r="DU24">
            <v>2307.3000000000002</v>
          </cell>
          <cell r="DV24">
            <v>10.300000000000182</v>
          </cell>
          <cell r="DW24">
            <v>7547.1</v>
          </cell>
          <cell r="DX24">
            <v>8.3000000000001819</v>
          </cell>
          <cell r="DY24">
            <v>1737.4</v>
          </cell>
          <cell r="DZ24">
            <v>7.5</v>
          </cell>
          <cell r="EA24">
            <v>1659</v>
          </cell>
          <cell r="EB24">
            <v>11.400000000000091</v>
          </cell>
          <cell r="EC24">
            <v>815323</v>
          </cell>
          <cell r="ED24">
            <v>759</v>
          </cell>
          <cell r="EG24">
            <v>163352.79999999999</v>
          </cell>
          <cell r="EH24">
            <v>157.5</v>
          </cell>
          <cell r="EJ24">
            <v>9949900</v>
          </cell>
          <cell r="EK24">
            <v>8500</v>
          </cell>
          <cell r="EL24">
            <v>796020</v>
          </cell>
          <cell r="EM24">
            <v>450</v>
          </cell>
          <cell r="EN24">
            <v>6188700</v>
          </cell>
          <cell r="EO24">
            <v>3700</v>
          </cell>
          <cell r="EP24">
            <v>2187100</v>
          </cell>
          <cell r="EQ24">
            <v>1300</v>
          </cell>
          <cell r="ER24">
            <v>928250</v>
          </cell>
          <cell r="ES24">
            <v>980</v>
          </cell>
          <cell r="ET24">
            <v>13764800</v>
          </cell>
          <cell r="EU24">
            <v>10600</v>
          </cell>
          <cell r="EW24">
            <v>36228</v>
          </cell>
          <cell r="EX24">
            <v>15</v>
          </cell>
          <cell r="EY24">
            <v>31328</v>
          </cell>
          <cell r="EZ24">
            <v>12</v>
          </cell>
          <cell r="FA24">
            <v>2432</v>
          </cell>
          <cell r="FB24">
            <v>12</v>
          </cell>
          <cell r="FC24">
            <v>52612</v>
          </cell>
          <cell r="FD24">
            <v>15</v>
          </cell>
          <cell r="FE24">
            <v>35101</v>
          </cell>
          <cell r="FF24">
            <v>28</v>
          </cell>
        </row>
        <row r="25">
          <cell r="B25">
            <v>0.61</v>
          </cell>
          <cell r="E25">
            <v>860745</v>
          </cell>
          <cell r="F25">
            <v>940</v>
          </cell>
          <cell r="G25">
            <v>676</v>
          </cell>
          <cell r="H25">
            <v>56376</v>
          </cell>
          <cell r="I25">
            <v>375</v>
          </cell>
          <cell r="J25">
            <v>395</v>
          </cell>
          <cell r="K25">
            <v>164625</v>
          </cell>
          <cell r="L25">
            <v>0</v>
          </cell>
          <cell r="N25">
            <v>794559</v>
          </cell>
          <cell r="O25">
            <v>394</v>
          </cell>
          <cell r="Q25">
            <v>180956</v>
          </cell>
          <cell r="R25">
            <v>165</v>
          </cell>
          <cell r="S25">
            <v>38192.04</v>
          </cell>
          <cell r="T25">
            <v>278.37999999999738</v>
          </cell>
          <cell r="U25">
            <v>170</v>
          </cell>
          <cell r="V25">
            <v>1587</v>
          </cell>
          <cell r="W25">
            <v>24</v>
          </cell>
          <cell r="AC25">
            <v>6927886.5599999996</v>
          </cell>
          <cell r="AD25">
            <v>3020.6399999996647</v>
          </cell>
          <cell r="AF25">
            <v>13354346.880000001</v>
          </cell>
          <cell r="AG25">
            <v>4774.5600000023842</v>
          </cell>
          <cell r="AI25">
            <v>13211012.640000001</v>
          </cell>
          <cell r="AJ25">
            <v>11108.160000000149</v>
          </cell>
          <cell r="AL25">
            <v>16192238.16</v>
          </cell>
          <cell r="AM25">
            <v>13592.879999998957</v>
          </cell>
          <cell r="AO25">
            <v>16574397.839999998</v>
          </cell>
          <cell r="AP25">
            <v>1559.0399999991059</v>
          </cell>
          <cell r="AR25">
            <v>14988610.559999999</v>
          </cell>
          <cell r="AS25">
            <v>6284.8799999989569</v>
          </cell>
          <cell r="AU25">
            <v>12782666.4</v>
          </cell>
          <cell r="AV25">
            <v>4579.6800000015646</v>
          </cell>
          <cell r="AX25">
            <v>12311641.439999999</v>
          </cell>
          <cell r="AY25">
            <v>4384.7999999988824</v>
          </cell>
          <cell r="BA25">
            <v>9820539.1199999992</v>
          </cell>
          <cell r="BB25">
            <v>3848.8799999989569</v>
          </cell>
          <cell r="BD25">
            <v>15154794.48</v>
          </cell>
          <cell r="BE25">
            <v>6333.5999999996275</v>
          </cell>
          <cell r="BK25">
            <v>65628400</v>
          </cell>
          <cell r="BL25">
            <v>54400</v>
          </cell>
          <cell r="BN25">
            <v>67960100</v>
          </cell>
          <cell r="BO25">
            <v>69600</v>
          </cell>
          <cell r="BQ25">
            <v>62666400</v>
          </cell>
          <cell r="BR25">
            <v>0</v>
          </cell>
          <cell r="BT25">
            <v>7126490</v>
          </cell>
          <cell r="BU25">
            <v>7640</v>
          </cell>
          <cell r="BW25">
            <v>0.65</v>
          </cell>
          <cell r="BX25">
            <v>3.9999999999999925E-2</v>
          </cell>
          <cell r="BZ25">
            <v>55518</v>
          </cell>
          <cell r="CA25">
            <v>16</v>
          </cell>
          <cell r="CB25">
            <v>47021</v>
          </cell>
          <cell r="CC25">
            <v>17</v>
          </cell>
          <cell r="CD25">
            <v>16248</v>
          </cell>
          <cell r="CE25">
            <v>7</v>
          </cell>
          <cell r="CF25">
            <v>21193</v>
          </cell>
          <cell r="CG25">
            <v>10</v>
          </cell>
          <cell r="CH25">
            <v>22966</v>
          </cell>
          <cell r="CI25">
            <v>18</v>
          </cell>
          <cell r="CJ25">
            <v>51199</v>
          </cell>
          <cell r="CK25">
            <v>28</v>
          </cell>
          <cell r="CL25">
            <v>226047</v>
          </cell>
          <cell r="CM25">
            <v>94</v>
          </cell>
          <cell r="CO25">
            <v>172068</v>
          </cell>
          <cell r="CP25">
            <v>83</v>
          </cell>
          <cell r="CR25">
            <v>308195</v>
          </cell>
          <cell r="CS25">
            <v>0</v>
          </cell>
          <cell r="CU25">
            <v>601494</v>
          </cell>
          <cell r="CV25">
            <v>224</v>
          </cell>
          <cell r="CY25">
            <v>-5686</v>
          </cell>
          <cell r="DA25">
            <v>-3245</v>
          </cell>
          <cell r="DB25">
            <v>25469</v>
          </cell>
          <cell r="DC25">
            <v>15</v>
          </cell>
          <cell r="DD25">
            <v>26151</v>
          </cell>
          <cell r="DE25">
            <v>13</v>
          </cell>
          <cell r="DF25">
            <v>17969</v>
          </cell>
          <cell r="DG25">
            <v>7</v>
          </cell>
          <cell r="DH25">
            <v>21071</v>
          </cell>
          <cell r="DI25">
            <v>7</v>
          </cell>
          <cell r="DJ25">
            <v>2514</v>
          </cell>
          <cell r="DK25">
            <v>9</v>
          </cell>
          <cell r="DL25">
            <v>5749</v>
          </cell>
          <cell r="DM25">
            <v>17</v>
          </cell>
          <cell r="DN25">
            <v>1389</v>
          </cell>
          <cell r="DO25">
            <v>9</v>
          </cell>
          <cell r="DP25">
            <v>2952</v>
          </cell>
          <cell r="DQ25">
            <v>5</v>
          </cell>
          <cell r="DR25">
            <v>25911</v>
          </cell>
          <cell r="DS25">
            <v>7</v>
          </cell>
          <cell r="DU25">
            <v>2317.4</v>
          </cell>
          <cell r="DV25">
            <v>10.099999999999909</v>
          </cell>
          <cell r="DW25">
            <v>7555.8</v>
          </cell>
          <cell r="DX25">
            <v>8.6999999999998181</v>
          </cell>
          <cell r="DY25">
            <v>1745</v>
          </cell>
          <cell r="DZ25">
            <v>7.5999999999999091</v>
          </cell>
          <cell r="EA25">
            <v>1670</v>
          </cell>
          <cell r="EB25">
            <v>11</v>
          </cell>
          <cell r="EC25">
            <v>816094</v>
          </cell>
          <cell r="ED25">
            <v>771</v>
          </cell>
          <cell r="EG25">
            <v>163507.29999999999</v>
          </cell>
          <cell r="EH25">
            <v>154.5</v>
          </cell>
          <cell r="EJ25">
            <v>9958100</v>
          </cell>
          <cell r="EK25">
            <v>8200</v>
          </cell>
          <cell r="EL25">
            <v>796450</v>
          </cell>
          <cell r="EM25">
            <v>430</v>
          </cell>
          <cell r="EN25">
            <v>6192100</v>
          </cell>
          <cell r="EO25">
            <v>3400</v>
          </cell>
          <cell r="EP25">
            <v>2188300</v>
          </cell>
          <cell r="EQ25">
            <v>1200</v>
          </cell>
          <cell r="ER25">
            <v>929220</v>
          </cell>
          <cell r="ES25">
            <v>970</v>
          </cell>
          <cell r="ET25">
            <v>13774700</v>
          </cell>
          <cell r="EU25">
            <v>9900</v>
          </cell>
          <cell r="EW25">
            <v>36243</v>
          </cell>
          <cell r="EX25">
            <v>15</v>
          </cell>
          <cell r="EY25">
            <v>31343</v>
          </cell>
          <cell r="EZ25">
            <v>15</v>
          </cell>
          <cell r="FA25">
            <v>2445</v>
          </cell>
          <cell r="FB25">
            <v>13</v>
          </cell>
          <cell r="FD25">
            <v>-52612</v>
          </cell>
          <cell r="FE25">
            <v>35127</v>
          </cell>
          <cell r="FF25">
            <v>26</v>
          </cell>
        </row>
        <row r="26">
          <cell r="F26">
            <v>-860745</v>
          </cell>
          <cell r="G26">
            <v>590</v>
          </cell>
          <cell r="I26">
            <v>-56376</v>
          </cell>
          <cell r="J26">
            <v>384</v>
          </cell>
          <cell r="L26">
            <v>-164625</v>
          </cell>
          <cell r="O26">
            <v>-794559</v>
          </cell>
          <cell r="R26">
            <v>-180956</v>
          </cell>
          <cell r="T26">
            <v>-38192.04</v>
          </cell>
          <cell r="U26">
            <v>163</v>
          </cell>
          <cell r="W26">
            <v>-1587</v>
          </cell>
          <cell r="AD26">
            <v>-6927886.5599999996</v>
          </cell>
          <cell r="AG26">
            <v>-13354346.880000001</v>
          </cell>
          <cell r="AJ26">
            <v>-13211012.640000001</v>
          </cell>
          <cell r="AM26">
            <v>-16192238.16</v>
          </cell>
          <cell r="AP26">
            <v>-16574397.839999998</v>
          </cell>
          <cell r="AS26">
            <v>-14988610.559999999</v>
          </cell>
          <cell r="AV26">
            <v>-12782666.4</v>
          </cell>
          <cell r="AY26">
            <v>-12311641.439999999</v>
          </cell>
          <cell r="BB26">
            <v>-9820539.1199999992</v>
          </cell>
          <cell r="BE26">
            <v>-15154794.48</v>
          </cell>
          <cell r="BL26">
            <v>-65628400</v>
          </cell>
          <cell r="BO26">
            <v>-67960100</v>
          </cell>
          <cell r="BR26">
            <v>-62666400</v>
          </cell>
          <cell r="BU26">
            <v>-7126490</v>
          </cell>
          <cell r="BX26">
            <v>0.65</v>
          </cell>
          <cell r="CA26">
            <v>-55518</v>
          </cell>
          <cell r="CC26">
            <v>-47021</v>
          </cell>
          <cell r="CE26">
            <v>-16248</v>
          </cell>
          <cell r="CG26">
            <v>-21193</v>
          </cell>
          <cell r="CI26">
            <v>-22966</v>
          </cell>
          <cell r="CK26">
            <v>-51199</v>
          </cell>
          <cell r="CM26">
            <v>-226047</v>
          </cell>
          <cell r="CP26">
            <v>-172068</v>
          </cell>
          <cell r="CS26">
            <v>-308195</v>
          </cell>
          <cell r="CV26">
            <v>-601494</v>
          </cell>
          <cell r="CY26">
            <v>0</v>
          </cell>
          <cell r="DA26">
            <v>0</v>
          </cell>
          <cell r="DC26">
            <v>-25469</v>
          </cell>
          <cell r="DE26">
            <v>-26151</v>
          </cell>
          <cell r="DG26">
            <v>-17969</v>
          </cell>
          <cell r="DI26">
            <v>-21071</v>
          </cell>
          <cell r="DK26">
            <v>-2514</v>
          </cell>
          <cell r="DM26">
            <v>-5749</v>
          </cell>
          <cell r="DO26">
            <v>-1389</v>
          </cell>
          <cell r="DQ26">
            <v>-2952</v>
          </cell>
          <cell r="DS26">
            <v>-25911</v>
          </cell>
          <cell r="DV26">
            <v>-2317.4</v>
          </cell>
          <cell r="DX26">
            <v>-7555.8</v>
          </cell>
          <cell r="DZ26">
            <v>-1745</v>
          </cell>
          <cell r="EB26">
            <v>-1670</v>
          </cell>
          <cell r="ED26">
            <v>-816094</v>
          </cell>
          <cell r="EH26">
            <v>-163507.29999999999</v>
          </cell>
          <cell r="EK26">
            <v>-9958100</v>
          </cell>
          <cell r="EM26">
            <v>-796450</v>
          </cell>
          <cell r="EO26">
            <v>-6192100</v>
          </cell>
          <cell r="EQ26">
            <v>-2188300</v>
          </cell>
          <cell r="ES26">
            <v>-929220</v>
          </cell>
          <cell r="EU26">
            <v>-13774700</v>
          </cell>
          <cell r="EX26">
            <v>-36243</v>
          </cell>
          <cell r="EZ26">
            <v>-31343</v>
          </cell>
          <cell r="FA26">
            <v>0</v>
          </cell>
          <cell r="FB26">
            <v>-2445</v>
          </cell>
          <cell r="FD26">
            <v>0</v>
          </cell>
          <cell r="FF26">
            <v>-35127</v>
          </cell>
        </row>
        <row r="27">
          <cell r="F27">
            <v>0</v>
          </cell>
          <cell r="G27">
            <v>554</v>
          </cell>
          <cell r="I27">
            <v>0</v>
          </cell>
          <cell r="J27">
            <v>243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170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657</v>
          </cell>
          <cell r="I28">
            <v>0</v>
          </cell>
          <cell r="J28">
            <v>366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177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548</v>
          </cell>
          <cell r="I29">
            <v>0</v>
          </cell>
          <cell r="J29">
            <v>283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182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533</v>
          </cell>
          <cell r="I30">
            <v>0</v>
          </cell>
          <cell r="J30">
            <v>257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177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647</v>
          </cell>
          <cell r="I31">
            <v>0</v>
          </cell>
          <cell r="J31">
            <v>282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175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561</v>
          </cell>
          <cell r="I32">
            <v>0</v>
          </cell>
          <cell r="J32">
            <v>285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160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635</v>
          </cell>
          <cell r="I33">
            <v>0</v>
          </cell>
          <cell r="J33">
            <v>316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153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598</v>
          </cell>
          <cell r="I34">
            <v>0</v>
          </cell>
          <cell r="J34">
            <v>371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156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720</v>
          </cell>
          <cell r="I35">
            <v>0</v>
          </cell>
          <cell r="J35">
            <v>313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153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859</v>
          </cell>
          <cell r="I36">
            <v>0</v>
          </cell>
          <cell r="J36">
            <v>289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857</v>
          </cell>
          <cell r="I37">
            <v>0</v>
          </cell>
          <cell r="J37">
            <v>273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144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294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128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824</v>
          </cell>
          <cell r="I39">
            <v>0</v>
          </cell>
          <cell r="J39">
            <v>299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119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M11" sqref="M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2021</v>
      </c>
      <c r="E2" s="3">
        <f>Submetering!M2+Submetering!N2+Submetering!O2+Submetering!P2+Submetering!Q2+Submetering!R2+Submetering!S2+Submetering!T2+Submetering!U2+Submetering!V2</f>
        <v>50230.319999993779</v>
      </c>
      <c r="F2">
        <v>0.44447999999999999</v>
      </c>
      <c r="G2" s="3">
        <f>Submetering!Z2+Submetering!AA2+Submetering!AB2</f>
        <v>291.05999999999995</v>
      </c>
      <c r="H2" s="238">
        <f>1.69/0.52</f>
        <v>3.25</v>
      </c>
      <c r="I2" s="3">
        <f>Submetering!G2</f>
        <v>243</v>
      </c>
      <c r="J2">
        <v>13.83</v>
      </c>
      <c r="K2" s="3">
        <f>Submetering!I2</f>
        <v>274</v>
      </c>
      <c r="L2">
        <v>1.2</v>
      </c>
      <c r="M2" s="238">
        <f>Submetering!E2</f>
        <v>80.580000000000013</v>
      </c>
      <c r="N2">
        <f>Submetering!F2</f>
        <v>120</v>
      </c>
    </row>
    <row r="3" spans="1:14" x14ac:dyDescent="0.25">
      <c r="A3" t="s">
        <v>59</v>
      </c>
      <c r="B3">
        <f>B2+1</f>
        <v>2</v>
      </c>
      <c r="C3">
        <v>9</v>
      </c>
      <c r="D3">
        <v>2021</v>
      </c>
      <c r="E3" s="3">
        <f>Submetering!M3+Submetering!N3+Submetering!O3+Submetering!P3+Submetering!Q3+Submetering!R3+Submetering!S3+Submetering!T3+Submetering!U3+Submetering!V3</f>
        <v>54517.680000002496</v>
      </c>
      <c r="F3">
        <v>0.44447999999999999</v>
      </c>
      <c r="G3" s="3">
        <f>Submetering!Z3+Submetering!AA3+Submetering!AB3</f>
        <v>304.28999999999996</v>
      </c>
      <c r="H3" s="238">
        <f t="shared" ref="H3:H31" si="0">1.69/0.52</f>
        <v>3.25</v>
      </c>
      <c r="I3" s="3">
        <f>Submetering!G3</f>
        <v>1120</v>
      </c>
      <c r="J3">
        <v>13.83</v>
      </c>
      <c r="K3" s="3">
        <f>Submetering!I3</f>
        <v>176</v>
      </c>
      <c r="L3">
        <v>1.2</v>
      </c>
      <c r="M3" s="238">
        <f>Submetering!E3</f>
        <v>97.169999999999987</v>
      </c>
      <c r="N3">
        <f>Submetering!F3</f>
        <v>164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2021</v>
      </c>
      <c r="E4" s="3">
        <f>Submetering!M4+Submetering!N4+Submetering!O4+Submetering!P4+Submetering!Q4+Submetering!R4+Submetering!S4+Submetering!T4+Submetering!U4+Submetering!V4</f>
        <v>55248.479999998584</v>
      </c>
      <c r="F4">
        <v>0.44447999999999999</v>
      </c>
      <c r="G4" s="3">
        <f>Submetering!Z4+Submetering!AA4+Submetering!AB4</f>
        <v>300.51</v>
      </c>
      <c r="H4" s="238">
        <f t="shared" si="0"/>
        <v>3.25</v>
      </c>
      <c r="I4" s="3">
        <f>Submetering!G4</f>
        <v>788</v>
      </c>
      <c r="J4">
        <v>13.83</v>
      </c>
      <c r="K4" s="3">
        <f>Submetering!I4</f>
        <v>615</v>
      </c>
      <c r="L4">
        <v>1.2</v>
      </c>
      <c r="M4" s="238">
        <f>Submetering!E4</f>
        <v>111.39</v>
      </c>
      <c r="N4">
        <f>Submetering!F4</f>
        <v>182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2021</v>
      </c>
      <c r="E5" s="3">
        <f>Submetering!M5+Submetering!N5+Submetering!O5+Submetering!P5+Submetering!Q5+Submetering!R5+Submetering!S5+Submetering!T5+Submetering!U5+Submetering!V5</f>
        <v>53738.160000002012</v>
      </c>
      <c r="F5">
        <v>0.44447999999999999</v>
      </c>
      <c r="G5" s="3">
        <f>Submetering!Z5+Submetering!AA5+Submetering!AB5</f>
        <v>315.63</v>
      </c>
      <c r="H5" s="238">
        <f t="shared" si="0"/>
        <v>3.25</v>
      </c>
      <c r="I5" s="3">
        <f>Submetering!G5</f>
        <v>818</v>
      </c>
      <c r="J5">
        <v>13.83</v>
      </c>
      <c r="K5" s="3">
        <f>Submetering!I5</f>
        <v>447</v>
      </c>
      <c r="L5">
        <v>1.2</v>
      </c>
      <c r="M5" s="238">
        <f>Submetering!E5</f>
        <v>120.87</v>
      </c>
      <c r="N5">
        <f>Submetering!F5</f>
        <v>179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2021</v>
      </c>
      <c r="E6" s="3">
        <f>Submetering!M6+Submetering!N6+Submetering!O6+Submetering!P6+Submetering!Q6+Submetering!R6+Submetering!S6+Submetering!T6+Submetering!U6+Submetering!V6</f>
        <v>51253.439999998547</v>
      </c>
      <c r="F6">
        <v>0.44447999999999999</v>
      </c>
      <c r="G6" s="3">
        <f>Submetering!Z6+Submetering!AA6+Submetering!AB6</f>
        <v>283.5</v>
      </c>
      <c r="H6" s="238">
        <f t="shared" si="0"/>
        <v>3.25</v>
      </c>
      <c r="I6" s="3">
        <f>Submetering!G6</f>
        <v>652</v>
      </c>
      <c r="J6">
        <v>13.83</v>
      </c>
      <c r="K6" s="3">
        <f>Submetering!I6</f>
        <v>330</v>
      </c>
      <c r="L6">
        <v>1.2</v>
      </c>
      <c r="M6" s="238">
        <f>Submetering!E6</f>
        <v>123.24000000000001</v>
      </c>
      <c r="N6">
        <f>Submetering!F6</f>
        <v>180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2021</v>
      </c>
      <c r="E7" s="3">
        <f>Submetering!M7+Submetering!N7+Submetering!O7+Submetering!P7+Submetering!Q7+Submetering!R7+Submetering!S7+Submetering!T7+Submetering!U7+Submetering!V7</f>
        <v>56904.960000004619</v>
      </c>
      <c r="F7">
        <v>0.44447999999999999</v>
      </c>
      <c r="G7" s="3">
        <f>Submetering!Z7+Submetering!AA7+Submetering!AB7</f>
        <v>298.62</v>
      </c>
      <c r="H7" s="238">
        <f t="shared" si="0"/>
        <v>3.25</v>
      </c>
      <c r="I7" s="3">
        <f>Submetering!G7</f>
        <v>658</v>
      </c>
      <c r="J7">
        <v>13.83</v>
      </c>
      <c r="K7" s="3">
        <f>Submetering!I7</f>
        <v>315</v>
      </c>
      <c r="L7">
        <v>1.2</v>
      </c>
      <c r="M7" s="238">
        <f>Submetering!E7</f>
        <v>142.19999999999999</v>
      </c>
      <c r="N7">
        <f>Submetering!F7</f>
        <v>184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2021</v>
      </c>
      <c r="E8" s="275">
        <f>Submetering!M8+Submetering!N8+Submetering!O8+Submetering!P8+Submetering!Q8+Submetering!R8+Submetering!S8+Submetering!T8+Submetering!U8+Submetering!V8</f>
        <v>60753.839999995194</v>
      </c>
      <c r="F8" s="276">
        <v>0.44447999999999999</v>
      </c>
      <c r="G8" s="275">
        <f>Submetering!Z8+Submetering!AA8+Submetering!AB8</f>
        <v>300.51</v>
      </c>
      <c r="H8" s="238">
        <f t="shared" si="0"/>
        <v>3.25</v>
      </c>
      <c r="I8" s="275">
        <f>Submetering!G8</f>
        <v>972</v>
      </c>
      <c r="J8" s="276">
        <v>13.83</v>
      </c>
      <c r="K8" s="275">
        <f>Submetering!I8</f>
        <v>622</v>
      </c>
      <c r="L8" s="276">
        <v>1.2</v>
      </c>
      <c r="M8" s="277">
        <f>Submetering!E8</f>
        <v>139.82999999999998</v>
      </c>
      <c r="N8">
        <f>Submetering!F8</f>
        <v>182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2021</v>
      </c>
      <c r="E9" s="3">
        <f>Submetering!M9+Submetering!N9+Submetering!O9+Submetering!P9+Submetering!Q9+Submetering!R9+Submetering!S9+Submetering!T9+Submetering!U9+Submetering!V9</f>
        <v>58805.039999999106</v>
      </c>
      <c r="F9">
        <v>0.44447999999999999</v>
      </c>
      <c r="G9" s="3">
        <f>Submetering!Z9+Submetering!AA9+Submetering!AB9</f>
        <v>313.74</v>
      </c>
      <c r="H9" s="238">
        <f t="shared" si="0"/>
        <v>3.25</v>
      </c>
      <c r="I9" s="3">
        <f>Submetering!G9</f>
        <v>842</v>
      </c>
      <c r="J9">
        <v>13.83</v>
      </c>
      <c r="K9" s="3">
        <f>Submetering!I9</f>
        <v>464</v>
      </c>
      <c r="L9">
        <v>1.2</v>
      </c>
      <c r="M9" s="238">
        <f>Submetering!E9</f>
        <v>154.05000000000001</v>
      </c>
      <c r="N9">
        <f>Submetering!F9</f>
        <v>210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2021</v>
      </c>
      <c r="E10" s="3">
        <f>Submetering!M10+Submetering!N10+Submetering!O10+Submetering!P10+Submetering!Q10+Submetering!R10+Submetering!S10+Submetering!T10+Submetering!U10+Submetering!V10</f>
        <v>62410.320000000298</v>
      </c>
      <c r="F10">
        <v>0.44447999999999999</v>
      </c>
      <c r="G10" s="3">
        <f>Submetering!Z10+Submetering!AA10+Submetering!AB10</f>
        <v>294.83999999999997</v>
      </c>
      <c r="H10" s="238">
        <f t="shared" si="0"/>
        <v>3.25</v>
      </c>
      <c r="I10" s="3">
        <f>Submetering!G10</f>
        <v>792</v>
      </c>
      <c r="J10">
        <v>13.83</v>
      </c>
      <c r="K10" s="3">
        <f>Submetering!I10</f>
        <v>408</v>
      </c>
      <c r="L10">
        <v>1.2</v>
      </c>
      <c r="M10" s="238">
        <f>Submetering!E10</f>
        <v>161.16000000000003</v>
      </c>
      <c r="N10">
        <f>Submetering!F10</f>
        <v>232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2021</v>
      </c>
      <c r="E11" s="3">
        <f>Submetering!M11+Submetering!N11+Submetering!O11+Submetering!P11+Submetering!Q11+Submetering!R11+Submetering!S11+Submetering!T11+Submetering!U11+Submetering!V11</f>
        <v>62264.16000000108</v>
      </c>
      <c r="F11">
        <v>0.44447999999999999</v>
      </c>
      <c r="G11" s="3">
        <f>Submetering!Z11+Submetering!AA11+Submetering!AB11</f>
        <v>342.09</v>
      </c>
      <c r="H11" s="238">
        <f t="shared" si="0"/>
        <v>3.25</v>
      </c>
      <c r="I11" s="3">
        <f>Submetering!G11</f>
        <v>829</v>
      </c>
      <c r="J11">
        <v>13.83</v>
      </c>
      <c r="K11" s="3">
        <f>Submetering!I11</f>
        <v>389</v>
      </c>
      <c r="L11">
        <v>1.2</v>
      </c>
      <c r="M11" s="238">
        <f>Submetering!E11</f>
        <v>113.75999999999999</v>
      </c>
      <c r="N11">
        <f>Submetering!F11</f>
        <v>181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2021</v>
      </c>
      <c r="E12" s="3">
        <f>Submetering!M12+Submetering!N12+Submetering!O12+Submetering!P12+Submetering!Q12+Submetering!R12+Submetering!S12+Submetering!T12+Submetering!U12+Submetering!V12</f>
        <v>59974.319999998435</v>
      </c>
      <c r="F12">
        <v>0.44447999999999999</v>
      </c>
      <c r="G12" s="3">
        <f>Submetering!Z12+Submetering!AA12+Submetering!AB12</f>
        <v>355.32</v>
      </c>
      <c r="H12" s="238">
        <f t="shared" si="0"/>
        <v>3.25</v>
      </c>
      <c r="I12" s="3">
        <f>Submetering!G12</f>
        <v>749</v>
      </c>
      <c r="J12">
        <v>13.83</v>
      </c>
      <c r="K12" s="3">
        <f>Submetering!I12</f>
        <v>395</v>
      </c>
      <c r="L12">
        <v>1.2</v>
      </c>
      <c r="M12" s="238">
        <f>Submetering!E12</f>
        <v>137.45999999999998</v>
      </c>
      <c r="N12">
        <f>Submetering!F12</f>
        <v>198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2021</v>
      </c>
      <c r="E13" s="3">
        <f>Submetering!M13+Submetering!N13+Submetering!O13+Submetering!P13+Submetering!Q13+Submetering!R13+Submetering!S13+Submetering!T13+Submetering!U13+Submetering!V13</f>
        <v>57294.720000000671</v>
      </c>
      <c r="F13">
        <v>0.44447999999999999</v>
      </c>
      <c r="G13" s="3">
        <f>Submetering!Z13+Submetering!AA13+Submetering!AB13</f>
        <v>292.95</v>
      </c>
      <c r="H13" s="238">
        <f t="shared" si="0"/>
        <v>3.25</v>
      </c>
      <c r="I13" s="3">
        <f>Submetering!G13</f>
        <v>801</v>
      </c>
      <c r="J13">
        <v>13.83</v>
      </c>
      <c r="K13" s="3">
        <f>Submetering!I13</f>
        <v>362</v>
      </c>
      <c r="L13">
        <v>1.2</v>
      </c>
      <c r="M13" s="238">
        <f>Submetering!E13</f>
        <v>144.57</v>
      </c>
      <c r="N13">
        <f>Submetering!F13</f>
        <v>219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2021</v>
      </c>
      <c r="E14" s="3">
        <f>Submetering!M14+Submetering!N14+Submetering!O14+Submetering!P14+Submetering!Q14+Submetering!R14+Submetering!S14+Submetering!T14+Submetering!U14+Submetering!V14</f>
        <v>59974.320000000298</v>
      </c>
      <c r="F14">
        <v>0.44447999999999999</v>
      </c>
      <c r="G14" s="3">
        <f>Submetering!Z14+Submetering!AA14+Submetering!AB14</f>
        <v>302.39999999999998</v>
      </c>
      <c r="H14" s="238">
        <f t="shared" si="0"/>
        <v>3.25</v>
      </c>
      <c r="I14" s="3">
        <f>Submetering!G14</f>
        <v>759</v>
      </c>
      <c r="J14">
        <v>13.83</v>
      </c>
      <c r="K14" s="3">
        <f>Submetering!I14</f>
        <v>392</v>
      </c>
      <c r="L14">
        <v>1.2</v>
      </c>
      <c r="M14" s="238">
        <f>Submetering!E14</f>
        <v>135.08999999999997</v>
      </c>
      <c r="N14">
        <f>Submetering!F14</f>
        <v>203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2021</v>
      </c>
      <c r="E15" s="3">
        <f>Submetering!M15+Submetering!N15+Submetering!O15+Submetering!P15+Submetering!Q15+Submetering!R15+Submetering!S15+Submetering!T15+Submetering!U15+Submetering!V15</f>
        <v>62166.720000003465</v>
      </c>
      <c r="F15">
        <v>0.44447999999999999</v>
      </c>
      <c r="G15" s="3">
        <f>Submetering!Z15+Submetering!AA15+Submetering!AB15</f>
        <v>304.28999999999996</v>
      </c>
      <c r="H15" s="238">
        <f t="shared" si="0"/>
        <v>3.25</v>
      </c>
      <c r="I15" s="3">
        <f>Submetering!G15</f>
        <v>638</v>
      </c>
      <c r="J15">
        <v>13.83</v>
      </c>
      <c r="K15" s="3">
        <f>Submetering!I15</f>
        <v>429</v>
      </c>
      <c r="L15">
        <v>1.2</v>
      </c>
      <c r="M15" s="238">
        <f>Submetering!E15</f>
        <v>142.19999999999999</v>
      </c>
      <c r="N15">
        <f>Submetering!F15</f>
        <v>212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2021</v>
      </c>
      <c r="E16" s="3">
        <f>Submetering!M16+Submetering!N16+Submetering!O16+Submetering!P16+Submetering!Q16+Submetering!R16+Submetering!S16+Submetering!T16+Submetering!U16+Submetering!V16</f>
        <v>59925.600000000559</v>
      </c>
      <c r="F16">
        <v>0.44447999999999999</v>
      </c>
      <c r="G16" s="3">
        <f>Submetering!Z16+Submetering!AA16+Submetering!AB16</f>
        <v>306.17999999999995</v>
      </c>
      <c r="H16" s="238">
        <f t="shared" si="0"/>
        <v>3.25</v>
      </c>
      <c r="I16" s="3">
        <f>Submetering!G16</f>
        <v>798</v>
      </c>
      <c r="J16">
        <v>13.83</v>
      </c>
      <c r="K16" s="3">
        <f>Submetering!I16</f>
        <v>374</v>
      </c>
      <c r="L16">
        <v>1.2</v>
      </c>
      <c r="M16" s="238">
        <f>Submetering!E16</f>
        <v>144.57</v>
      </c>
      <c r="N16">
        <f>Submetering!F16</f>
        <v>230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2021</v>
      </c>
      <c r="E17" s="3">
        <f>Submetering!M17+Submetering!N17+Submetering!O17+Submetering!P17+Submetering!Q17+Submetering!R17+Submetering!S17+Submetering!T17+Submetering!U17+Submetering!V17</f>
        <v>59487.119999998249</v>
      </c>
      <c r="F17">
        <v>0.44447999999999999</v>
      </c>
      <c r="G17" s="3">
        <f>Submetering!Z17+Submetering!AA17+Submetering!AB17</f>
        <v>334.53</v>
      </c>
      <c r="H17" s="238">
        <f t="shared" si="0"/>
        <v>3.25</v>
      </c>
      <c r="I17" s="3">
        <f>Submetering!G17</f>
        <v>940</v>
      </c>
      <c r="J17">
        <v>13.83</v>
      </c>
      <c r="K17" s="3">
        <f>Submetering!I17</f>
        <v>394</v>
      </c>
      <c r="L17">
        <v>1.2</v>
      </c>
      <c r="M17" s="238">
        <f>Submetering!E17</f>
        <v>0</v>
      </c>
      <c r="N17">
        <f>Submetering!F17</f>
        <v>229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9</v>
      </c>
      <c r="D2">
        <v>2021</v>
      </c>
      <c r="E2" s="78">
        <f>237*0.34</f>
        <v>80.580000000000013</v>
      </c>
      <c r="F2" s="79">
        <f>99+21</f>
        <v>120</v>
      </c>
      <c r="G2" s="3">
        <f>'DJB Daily Readings'!C10-'DJB Daily Readings'!C9</f>
        <v>243</v>
      </c>
      <c r="H2" s="3">
        <f>'DJB Daily Readings'!F10-'DJB Daily Readings'!F9</f>
        <v>260</v>
      </c>
      <c r="I2" s="3">
        <f>'DJB Daily Readings'!K10-'DJB Daily Readings'!K9</f>
        <v>274</v>
      </c>
      <c r="J2" s="3">
        <f>'DJB Daily Readings'!K10-'DJB Daily Readings'!K9</f>
        <v>274</v>
      </c>
      <c r="K2" s="3">
        <f>'DJB Daily Readings'!O10-'DJB Daily Readings'!O9</f>
        <v>236.33000000000175</v>
      </c>
      <c r="L2" s="3">
        <f>'DJB Daily Readings'!R10-'DJB Daily Readings'!R9</f>
        <v>31</v>
      </c>
      <c r="M2" s="3">
        <f>'DJB Daily Readings'!U10-'DJB Daily Readings'!U9</f>
        <v>2241.1200000001118</v>
      </c>
      <c r="N2" s="3">
        <f>'DJB Daily Readings'!X10-'DJB Daily Readings'!X9</f>
        <v>4677.1200000010431</v>
      </c>
      <c r="O2" s="3">
        <f>'DJB Daily Readings'!AA10-'DJB Daily Readings'!AA9</f>
        <v>1315.4399999976158</v>
      </c>
      <c r="P2" s="3">
        <f>'DJB Daily Readings'!AD10-'DJB Daily Readings'!AD9</f>
        <v>8526</v>
      </c>
      <c r="Q2" s="3">
        <f>'DJB Daily Readings'!AG10-'DJB Daily Readings'!AG9</f>
        <v>13056.959999997169</v>
      </c>
      <c r="R2" s="3">
        <f>'DJB Daily Readings'!AJ10-'DJB Daily Readings'!AJ9</f>
        <v>4969.4399999994785</v>
      </c>
      <c r="S2" s="3">
        <f>'DJB Daily Readings'!AM10-'DJB Daily Readings'!AM9</f>
        <v>2679.5999999996275</v>
      </c>
      <c r="T2" s="3">
        <f>'DJB Daily Readings'!AP10-'DJB Daily Readings'!AP9</f>
        <v>3800.160000000149</v>
      </c>
      <c r="U2" s="3">
        <f>'DJB Daily Readings'!AS10-'DJB Daily Readings'!AS9</f>
        <v>2679.5999999996275</v>
      </c>
      <c r="V2" s="3">
        <f>'DJB Daily Readings'!AV10-'DJB Daily Readings'!AV9</f>
        <v>6284.8799999989569</v>
      </c>
      <c r="W2" s="3">
        <f>'DJB Daily Readings'!AZ10-'DJB Daily Readings'!AZ9</f>
        <v>-1800</v>
      </c>
      <c r="X2" s="3">
        <f>'DJB Daily Readings'!BC10-'DJB Daily Readings'!BC9</f>
        <v>38900</v>
      </c>
      <c r="Y2" s="3">
        <f>'DJB Daily Readings'!BF10-'DJB Daily Readings'!BF9</f>
        <v>62000</v>
      </c>
      <c r="Z2" s="3">
        <f>('DJB Daily Readings'!CK10-'DJB Daily Readings'!CK9)*1.89</f>
        <v>171.98999999999998</v>
      </c>
      <c r="AA2" s="3">
        <f>('DJB Daily Readings'!CN10-'DJB Daily Readings'!CN9)*1.89</f>
        <v>119.07</v>
      </c>
      <c r="AB2" s="3">
        <f>('DJB Daily Readings'!CQ10-'DJB Daily Readings'!CQ9)*1.89</f>
        <v>0</v>
      </c>
      <c r="AC2" s="3">
        <f>'DJB Daily Readings'!CT10-'DJB Daily Readings'!CT9</f>
        <v>234</v>
      </c>
      <c r="AD2" s="84">
        <f>('DJB Daily Readings'!BY10-'DJB Daily Readings'!BY9)*1.89</f>
        <v>30.24</v>
      </c>
      <c r="AE2" s="84">
        <f>('DJB Daily Readings'!CA10-'DJB Daily Readings'!CA9)*1.89</f>
        <v>30.24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11.34</v>
      </c>
      <c r="AI2" s="84">
        <f>('DJB Daily Readings'!CI10-'DJB Daily Readings'!CI9)*1.89</f>
        <v>13.229999999999999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14</v>
      </c>
      <c r="AM2" s="82">
        <f>'DJB Daily Readings'!DA10-'DJB Daily Readings'!DA9</f>
        <v>11</v>
      </c>
      <c r="AN2" s="82">
        <f>'DJB Daily Readings'!DG10-'DJB Daily Readings'!DG9</f>
        <v>7</v>
      </c>
      <c r="AO2" s="82">
        <f>'DJB Daily Readings'!DE10-'DJB Daily Readings'!DE9</f>
        <v>6</v>
      </c>
      <c r="AP2" s="82">
        <f>'DJB Daily Readings'!DK10-'DJB Daily Readings'!DK9</f>
        <v>13</v>
      </c>
      <c r="AQ2" s="82">
        <f>'DJB Daily Readings'!DI10-'DJB Daily Readings'!DI9</f>
        <v>10</v>
      </c>
      <c r="AR2" s="82">
        <f>'DJB Daily Readings'!DO10-'DJB Daily Readings'!DO9</f>
        <v>6</v>
      </c>
      <c r="AS2" s="82">
        <f>'DJB Daily Readings'!DM10-'DJB Daily Readings'!DM9</f>
        <v>4</v>
      </c>
      <c r="AT2" s="82">
        <f>'DJB Daily Readings'!DQ10-'DJB Daily Readings'!DQ9</f>
        <v>8</v>
      </c>
      <c r="AU2" s="82">
        <f>'DJB Daily Readings'!DT10-'DJB Daily Readings'!DT9</f>
        <v>10</v>
      </c>
      <c r="AW2" s="82">
        <f>'DJB Daily Readings'!DX10-'DJB Daily Readings'!DX9</f>
        <v>6.3999999999998636</v>
      </c>
      <c r="AX2" s="82">
        <f>'DJB Daily Readings'!DZ10-'DJB Daily Readings'!DZ9</f>
        <v>11.600000000000136</v>
      </c>
      <c r="AY2" s="82">
        <f>'DJB Daily Readings'!EB10-'DJB Daily Readings'!EB9</f>
        <v>790</v>
      </c>
      <c r="AZ2" s="82">
        <f>'DJB Daily Readings'!ED10-'DJB Daily Readings'!ED9</f>
        <v>153.10000000000582</v>
      </c>
      <c r="BA2" s="82">
        <f>'DJB Daily Readings'!EG10-'DJB Daily Readings'!EG9</f>
        <v>8200</v>
      </c>
      <c r="BB2" s="82">
        <f>'DJB Daily Readings'!EI10-'DJB Daily Readings'!EI9</f>
        <v>460</v>
      </c>
      <c r="BC2" s="82">
        <f>'DJB Daily Readings'!EQ10-'DJB Daily Readings'!EQ9</f>
        <v>7300</v>
      </c>
      <c r="BD2" s="82">
        <f>'DJB Daily Readings'!EK10-'DJB Daily Readings'!EK9</f>
        <v>3300</v>
      </c>
      <c r="BE2" s="82">
        <f>'DJB Daily Readings'!EM10-'DJB Daily Readings'!EM9</f>
        <v>1200</v>
      </c>
      <c r="BF2" s="82">
        <f>'DJB Daily Readings'!EO10-'DJB Daily Readings'!EO9</f>
        <v>990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45.36</v>
      </c>
    </row>
    <row r="3" spans="1:65" x14ac:dyDescent="0.25">
      <c r="A3" t="s">
        <v>59</v>
      </c>
      <c r="B3">
        <f>B2+1</f>
        <v>2</v>
      </c>
      <c r="C3">
        <v>9</v>
      </c>
      <c r="D3">
        <v>2021</v>
      </c>
      <c r="E3" s="78">
        <f>237*0.41</f>
        <v>97.169999999999987</v>
      </c>
      <c r="F3" s="79">
        <f>133+31</f>
        <v>164</v>
      </c>
      <c r="G3" s="3">
        <f>'DJB Daily Readings'!C11-'DJB Daily Readings'!C10</f>
        <v>1120</v>
      </c>
      <c r="H3" s="3">
        <f>'DJB Daily Readings'!F11-'DJB Daily Readings'!F10</f>
        <v>283</v>
      </c>
      <c r="I3" s="3">
        <f>'DJB Daily Readings'!K11-'DJB Daily Readings'!K10</f>
        <v>176</v>
      </c>
      <c r="J3" s="3">
        <f>'DJB Daily Readings'!K11-'DJB Daily Readings'!K10</f>
        <v>176</v>
      </c>
      <c r="K3" s="3">
        <f>'DJB Daily Readings'!O11-'DJB Daily Readings'!O10</f>
        <v>246.66999999999825</v>
      </c>
      <c r="L3" s="3">
        <f>'DJB Daily Readings'!R11-'DJB Daily Readings'!R10</f>
        <v>33</v>
      </c>
      <c r="M3" s="3">
        <f>'DJB Daily Readings'!U11-'DJB Daily Readings'!U10</f>
        <v>2241.1200000001118</v>
      </c>
      <c r="N3" s="3">
        <f>'DJB Daily Readings'!X11-'DJB Daily Readings'!X10</f>
        <v>4530.9599999990314</v>
      </c>
      <c r="O3" s="3">
        <f>'DJB Daily Readings'!AA11-'DJB Daily Readings'!AA10</f>
        <v>1218</v>
      </c>
      <c r="P3" s="3">
        <f>'DJB Daily Readings'!AD11-'DJB Daily Readings'!AD10</f>
        <v>9695.2800000011921</v>
      </c>
      <c r="Q3" s="3">
        <f>'DJB Daily Readings'!AG11-'DJB Daily Readings'!AG10</f>
        <v>13933.919999999925</v>
      </c>
      <c r="R3" s="3">
        <f>'DJB Daily Readings'!AJ11-'DJB Daily Readings'!AJ10</f>
        <v>5164.3200000021607</v>
      </c>
      <c r="S3" s="3">
        <f>'DJB Daily Readings'!AM11-'DJB Daily Readings'!AM10</f>
        <v>4384.8000000007451</v>
      </c>
      <c r="T3" s="3">
        <f>'DJB Daily Readings'!AP11-'DJB Daily Readings'!AP10</f>
        <v>4141.1999999992549</v>
      </c>
      <c r="U3" s="3">
        <f>'DJB Daily Readings'!AS11-'DJB Daily Readings'!AS10</f>
        <v>2825.7599999997765</v>
      </c>
      <c r="V3" s="3">
        <f>'DJB Daily Readings'!AV11-'DJB Daily Readings'!AV10</f>
        <v>6382.320000000298</v>
      </c>
      <c r="W3" s="3">
        <f>'DJB Daily Readings'!AZ11-'DJB Daily Readings'!AZ10</f>
        <v>0</v>
      </c>
      <c r="X3" s="3">
        <f>'DJB Daily Readings'!BC11-'DJB Daily Readings'!BC10</f>
        <v>45200</v>
      </c>
      <c r="Y3" s="3">
        <f>'DJB Daily Readings'!BF11-'DJB Daily Readings'!BF10</f>
        <v>64400</v>
      </c>
      <c r="Z3" s="3">
        <f>('DJB Daily Readings'!CK11-'DJB Daily Readings'!CK10)*1.89</f>
        <v>175.76999999999998</v>
      </c>
      <c r="AA3" s="3">
        <f>('DJB Daily Readings'!CN11-'DJB Daily Readings'!CN10)*1.89</f>
        <v>128.51999999999998</v>
      </c>
      <c r="AB3" s="3">
        <f>('DJB Daily Readings'!CQ11-'DJB Daily Readings'!CQ10)*1.89</f>
        <v>0</v>
      </c>
      <c r="AC3" s="3">
        <f>'DJB Daily Readings'!CT11-'DJB Daily Readings'!CT10</f>
        <v>236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43.47</v>
      </c>
      <c r="AJ3" s="81">
        <f>'DJB Daily Readings'!CY11-'DJB Daily Readings'!CY10</f>
        <v>6</v>
      </c>
      <c r="AK3" s="81">
        <f>'DJB Daily Readings'!CW11-'DJB Daily Readings'!CW10</f>
        <v>4</v>
      </c>
      <c r="AL3" s="82">
        <f>'DJB Daily Readings'!DC11-'DJB Daily Readings'!DC10</f>
        <v>16</v>
      </c>
      <c r="AM3" s="82">
        <f>'DJB Daily Readings'!DA11-'DJB Daily Readings'!DA10</f>
        <v>12</v>
      </c>
      <c r="AN3" s="82">
        <f>'DJB Daily Readings'!DG11-'DJB Daily Readings'!DG10</f>
        <v>11</v>
      </c>
      <c r="AO3" s="82">
        <f>'DJB Daily Readings'!DE11-'DJB Daily Readings'!DE10</f>
        <v>6</v>
      </c>
      <c r="AP3" s="82">
        <f>'DJB Daily Readings'!DK11-'DJB Daily Readings'!DK10</f>
        <v>14</v>
      </c>
      <c r="AQ3" s="82">
        <f>'DJB Daily Readings'!DI11-'DJB Daily Readings'!DI10</f>
        <v>12</v>
      </c>
      <c r="AR3" s="82">
        <f>'DJB Daily Readings'!DO11-'DJB Daily Readings'!DO10</f>
        <v>7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9.7999999999997272</v>
      </c>
      <c r="AW3" s="82">
        <f>'DJB Daily Readings'!DX11-'DJB Daily Readings'!DX10</f>
        <v>6.7999999999999545</v>
      </c>
      <c r="AX3" s="82">
        <f>'DJB Daily Readings'!DZ11-'DJB Daily Readings'!DZ10</f>
        <v>11.599999999999909</v>
      </c>
      <c r="AY3" s="82">
        <f>'DJB Daily Readings'!EB11-'DJB Daily Readings'!EB10</f>
        <v>710</v>
      </c>
      <c r="AZ3" s="82">
        <f>'DJB Daily Readings'!ED11-'DJB Daily Readings'!ED10</f>
        <v>166.29999999998836</v>
      </c>
      <c r="BA3" s="82">
        <f>'DJB Daily Readings'!EG11-'DJB Daily Readings'!EG10</f>
        <v>7500</v>
      </c>
      <c r="BB3" s="82">
        <f>'DJB Daily Readings'!EI11-'DJB Daily Readings'!EI10</f>
        <v>400</v>
      </c>
      <c r="BC3" s="82">
        <f>'DJB Daily Readings'!EQ11-'DJB Daily Readings'!EQ10</f>
        <v>7000</v>
      </c>
      <c r="BD3" s="82">
        <f>'DJB Daily Readings'!EK11-'DJB Daily Readings'!EK10</f>
        <v>3100</v>
      </c>
      <c r="BE3" s="82">
        <f>'DJB Daily Readings'!EM11-'DJB Daily Readings'!EM10</f>
        <v>1400</v>
      </c>
      <c r="BF3" s="82">
        <f>'DJB Daily Readings'!EO11-'DJB Daily Readings'!EO10</f>
        <v>850</v>
      </c>
      <c r="BG3" s="82">
        <f>('DJB Daily Readings'!ET11-'DJB Daily Readings'!ET10)*1.89</f>
        <v>28.349999999999998</v>
      </c>
      <c r="BH3" s="82">
        <f>('DJB Daily Readings'!EV11-'DJB Daily Readings'!EV10)*1.89</f>
        <v>22.68</v>
      </c>
      <c r="BI3" s="82">
        <f>('DJB Daily Readings'!EZ11-'DJB Daily Readings'!EZ10)*1.89</f>
        <v>39.69</v>
      </c>
      <c r="BJ3" s="82">
        <f>('DJB Daily Readings'!EX11-'DJB Daily Readings'!EX10)*1.89</f>
        <v>26.459999999999997</v>
      </c>
      <c r="BK3" s="82">
        <f>('DJB Daily Readings'!FB11-'DJB Daily Readings'!FB10)*1.89</f>
        <v>49.14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2021</v>
      </c>
      <c r="E4" s="78">
        <f>237*0.47</f>
        <v>111.39</v>
      </c>
      <c r="F4" s="79">
        <f>153+29</f>
        <v>182</v>
      </c>
      <c r="G4" s="3">
        <f>'DJB Daily Readings'!C12-'DJB Daily Readings'!C11</f>
        <v>788</v>
      </c>
      <c r="H4" s="3">
        <f>'DJB Daily Readings'!F12-'DJB Daily Readings'!F11</f>
        <v>287</v>
      </c>
      <c r="I4" s="3">
        <f>'DJB Daily Readings'!K12-'DJB Daily Readings'!K11</f>
        <v>615</v>
      </c>
      <c r="J4" s="3">
        <f>'DJB Daily Readings'!K12-'DJB Daily Readings'!K11</f>
        <v>615</v>
      </c>
      <c r="K4" s="3">
        <f>'DJB Daily Readings'!O12-'DJB Daily Readings'!O11</f>
        <v>253.47000000000116</v>
      </c>
      <c r="L4" s="3">
        <f>'DJB Daily Readings'!R12-'DJB Daily Readings'!R11</f>
        <v>36</v>
      </c>
      <c r="M4" s="3">
        <f>'DJB Daily Readings'!U12-'DJB Daily Readings'!U11</f>
        <v>2387.2799999993294</v>
      </c>
      <c r="N4" s="3">
        <f>'DJB Daily Readings'!X12-'DJB Daily Readings'!X11</f>
        <v>4433.519999999553</v>
      </c>
      <c r="O4" s="3">
        <f>'DJB Daily Readings'!AA12-'DJB Daily Readings'!AA11</f>
        <v>1510.3200000021607</v>
      </c>
      <c r="P4" s="3">
        <f>'DJB Daily Readings'!AD12-'DJB Daily Readings'!AD11</f>
        <v>9305.519999999553</v>
      </c>
      <c r="Q4" s="3">
        <f>'DJB Daily Readings'!AG12-'DJB Daily Readings'!AG11</f>
        <v>14128.800000000745</v>
      </c>
      <c r="R4" s="3">
        <f>'DJB Daily Readings'!AJ12-'DJB Daily Readings'!AJ11</f>
        <v>5554.0799999982119</v>
      </c>
      <c r="S4" s="3">
        <f>'DJB Daily Readings'!AM12-'DJB Daily Readings'!AM11</f>
        <v>4530.9599999990314</v>
      </c>
      <c r="T4" s="3">
        <f>'DJB Daily Readings'!AP12-'DJB Daily Readings'!AP11</f>
        <v>3848.8800000008196</v>
      </c>
      <c r="U4" s="3">
        <f>'DJB Daily Readings'!AS12-'DJB Daily Readings'!AS11</f>
        <v>2923.1999999992549</v>
      </c>
      <c r="V4" s="3">
        <f>'DJB Daily Readings'!AV12-'DJB Daily Readings'!AV11</f>
        <v>6625.9199999999255</v>
      </c>
      <c r="W4" s="3">
        <f>'DJB Daily Readings'!AZ12-'DJB Daily Readings'!AZ11</f>
        <v>1800</v>
      </c>
      <c r="X4" s="3">
        <f>'DJB Daily Readings'!BC12-'DJB Daily Readings'!BC11</f>
        <v>44100</v>
      </c>
      <c r="Y4" s="3">
        <f>'DJB Daily Readings'!BF12-'DJB Daily Readings'!BF11</f>
        <v>66100</v>
      </c>
      <c r="Z4" s="3">
        <f>('DJB Daily Readings'!CK12-'DJB Daily Readings'!CK11)*1.89</f>
        <v>173.88</v>
      </c>
      <c r="AA4" s="3">
        <f>('DJB Daily Readings'!CN12-'DJB Daily Readings'!CN11)*1.89</f>
        <v>126.63</v>
      </c>
      <c r="AB4" s="3">
        <f>('DJB Daily Readings'!CQ12-'DJB Daily Readings'!CQ11)*1.89</f>
        <v>0</v>
      </c>
      <c r="AC4" s="3">
        <f>'DJB Daily Readings'!CT12-'DJB Daily Readings'!CT11</f>
        <v>239</v>
      </c>
      <c r="AD4" s="84">
        <f>('DJB Daily Readings'!BY12-'DJB Daily Readings'!BY11)*1.89</f>
        <v>32.129999999999995</v>
      </c>
      <c r="AE4" s="84">
        <f>('DJB Daily Readings'!CA12-'DJB Daily Readings'!CA11)*1.89</f>
        <v>30.24</v>
      </c>
      <c r="AF4" s="84">
        <f>('DJB Daily Readings'!CC12-'DJB Daily Readings'!CC11)*1.89</f>
        <v>5.67</v>
      </c>
      <c r="AG4" s="84">
        <f>('DJB Daily Readings'!CE12-'DJB Daily Readings'!CE11)*1.89</f>
        <v>18.899999999999999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4</v>
      </c>
      <c r="AK4" s="81">
        <f>'DJB Daily Readings'!CW12-'DJB Daily Readings'!CW11</f>
        <v>8</v>
      </c>
      <c r="AL4" s="82">
        <f>'DJB Daily Readings'!DC12-'DJB Daily Readings'!DC11</f>
        <v>19</v>
      </c>
      <c r="AM4" s="82">
        <f>'DJB Daily Readings'!DA12-'DJB Daily Readings'!DA11</f>
        <v>16</v>
      </c>
      <c r="AN4" s="82">
        <f>'DJB Daily Readings'!DG12-'DJB Daily Readings'!DG11</f>
        <v>7</v>
      </c>
      <c r="AO4" s="82">
        <f>'DJB Daily Readings'!DE12-'DJB Daily Readings'!DE11</f>
        <v>6</v>
      </c>
      <c r="AP4" s="82">
        <f>'DJB Daily Readings'!DK12-'DJB Daily Readings'!DK11</f>
        <v>16</v>
      </c>
      <c r="AQ4" s="82">
        <f>'DJB Daily Readings'!DI12-'DJB Daily Readings'!DI11</f>
        <v>10</v>
      </c>
      <c r="AR4" s="82">
        <f>'DJB Daily Readings'!DO12-'DJB Daily Readings'!DO11</f>
        <v>6</v>
      </c>
      <c r="AS4" s="82">
        <f>'DJB Daily Readings'!DM12-'DJB Daily Readings'!DM11</f>
        <v>9</v>
      </c>
      <c r="AT4" s="82">
        <f>'DJB Daily Readings'!DQ12-'DJB Daily Readings'!DQ11</f>
        <v>0</v>
      </c>
      <c r="AU4" s="82">
        <f>'DJB Daily Readings'!DT12-'DJB Daily Readings'!DT11</f>
        <v>10.900000000000091</v>
      </c>
      <c r="AW4" s="82">
        <f>'DJB Daily Readings'!DX12-'DJB Daily Readings'!DX11</f>
        <v>6.4000000000000909</v>
      </c>
      <c r="AX4" s="82">
        <f>'DJB Daily Readings'!DZ12-'DJB Daily Readings'!DZ11</f>
        <v>12</v>
      </c>
      <c r="AY4" s="82">
        <f>'DJB Daily Readings'!EB12-'DJB Daily Readings'!EB11</f>
        <v>895</v>
      </c>
      <c r="AZ4" s="82">
        <f>'DJB Daily Readings'!ED12-'DJB Daily Readings'!ED11</f>
        <v>143.89999999999418</v>
      </c>
      <c r="BA4" s="82">
        <f>'DJB Daily Readings'!EG12-'DJB Daily Readings'!EG11</f>
        <v>7300</v>
      </c>
      <c r="BB4" s="82">
        <f>'DJB Daily Readings'!EI12-'DJB Daily Readings'!EI11</f>
        <v>390</v>
      </c>
      <c r="BC4" s="82">
        <f>'DJB Daily Readings'!EQ12-'DJB Daily Readings'!EQ11</f>
        <v>7800</v>
      </c>
      <c r="BD4" s="82">
        <f>'DJB Daily Readings'!EK12-'DJB Daily Readings'!EK11</f>
        <v>2900</v>
      </c>
      <c r="BE4" s="82">
        <f>'DJB Daily Readings'!EM12-'DJB Daily Readings'!EM11</f>
        <v>1400</v>
      </c>
      <c r="BF4" s="82">
        <f>'DJB Daily Readings'!EO12-'DJB Daily Readings'!EO11</f>
        <v>840</v>
      </c>
      <c r="BG4" s="82">
        <f>('DJB Daily Readings'!ET12-'DJB Daily Readings'!ET11)*1.89</f>
        <v>26.459999999999997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30.24</v>
      </c>
      <c r="BK4" s="82">
        <f>('DJB Daily Readings'!FB12-'DJB Daily Readings'!FB11)*1.89</f>
        <v>52.919999999999995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2021</v>
      </c>
      <c r="E5" s="78">
        <f>237*0.51</f>
        <v>120.87</v>
      </c>
      <c r="F5" s="79">
        <v>179</v>
      </c>
      <c r="G5" s="3">
        <f>'DJB Daily Readings'!C13-'DJB Daily Readings'!C12</f>
        <v>818</v>
      </c>
      <c r="H5" s="3">
        <f>'DJB Daily Readings'!F13-'DJB Daily Readings'!F12</f>
        <v>285</v>
      </c>
      <c r="I5" s="3">
        <f>'DJB Daily Readings'!K13-'DJB Daily Readings'!K12</f>
        <v>447</v>
      </c>
      <c r="J5" s="3">
        <f>'DJB Daily Readings'!K13-'DJB Daily Readings'!K12</f>
        <v>447</v>
      </c>
      <c r="K5" s="3">
        <f>'DJB Daily Readings'!O13-'DJB Daily Readings'!O12</f>
        <v>241.90000000000146</v>
      </c>
      <c r="L5" s="3">
        <f>'DJB Daily Readings'!R13-'DJB Daily Readings'!R12</f>
        <v>37</v>
      </c>
      <c r="M5" s="3">
        <f>'DJB Daily Readings'!U13-'DJB Daily Readings'!U12</f>
        <v>2143.679999999702</v>
      </c>
      <c r="N5" s="3">
        <f>'DJB Daily Readings'!X13-'DJB Daily Readings'!X12</f>
        <v>4579.6800000015646</v>
      </c>
      <c r="O5" s="3">
        <f>'DJB Daily Readings'!AA13-'DJB Daily Readings'!AA12</f>
        <v>13056.959999999031</v>
      </c>
      <c r="P5" s="3">
        <f>'DJB Daily Readings'!AD13-'DJB Daily Readings'!AD12</f>
        <v>1023.1199999991804</v>
      </c>
      <c r="Q5" s="3">
        <f>'DJB Daily Readings'!AG13-'DJB Daily Readings'!AG12</f>
        <v>9256.7999999988824</v>
      </c>
      <c r="R5" s="3">
        <f>'DJB Daily Readings'!AJ13-'DJB Daily Readings'!AJ12</f>
        <v>5943.839999999851</v>
      </c>
      <c r="S5" s="3">
        <f>'DJB Daily Readings'!AM13-'DJB Daily Readings'!AM12</f>
        <v>4141.2000000011176</v>
      </c>
      <c r="T5" s="3">
        <f>'DJB Daily Readings'!AP13-'DJB Daily Readings'!AP12</f>
        <v>4141.2000000011176</v>
      </c>
      <c r="U5" s="3">
        <f>'DJB Daily Readings'!AS13-'DJB Daily Readings'!AS12</f>
        <v>3020.640000000596</v>
      </c>
      <c r="V5" s="3">
        <f>'DJB Daily Readings'!AV13-'DJB Daily Readings'!AV12</f>
        <v>6431.0400000009686</v>
      </c>
      <c r="W5" s="3">
        <f>'DJB Daily Readings'!AZ13-'DJB Daily Readings'!AZ12</f>
        <v>58700</v>
      </c>
      <c r="X5" s="3">
        <f>'DJB Daily Readings'!BC13-'DJB Daily Readings'!BC12</f>
        <v>0</v>
      </c>
      <c r="Y5" s="3">
        <f>'DJB Daily Readings'!BF13-'DJB Daily Readings'!BF12</f>
        <v>42000</v>
      </c>
      <c r="Z5" s="3">
        <f>('DJB Daily Readings'!CK13-'DJB Daily Readings'!CK12)*1.89</f>
        <v>187.10999999999999</v>
      </c>
      <c r="AA5" s="3">
        <f>('DJB Daily Readings'!CN13-'DJB Daily Readings'!CN12)*1.89</f>
        <v>128.51999999999998</v>
      </c>
      <c r="AB5" s="3">
        <f>('DJB Daily Readings'!CQ13-'DJB Daily Readings'!CQ12)*1.89</f>
        <v>0</v>
      </c>
      <c r="AC5" s="3">
        <f>'DJB Daily Readings'!CT13-'DJB Daily Readings'!CT12</f>
        <v>251</v>
      </c>
      <c r="AD5" s="84">
        <f>('DJB Daily Readings'!BY13-'DJB Daily Readings'!BY12)*1.89</f>
        <v>32.129999999999995</v>
      </c>
      <c r="AE5" s="84">
        <f>('DJB Daily Readings'!CA13-'DJB Daily Readings'!CA12)*1.89</f>
        <v>30.24</v>
      </c>
      <c r="AF5" s="84">
        <f>('DJB Daily Readings'!CC13-'DJB Daily Readings'!CC12)*1.89</f>
        <v>13.229999999999999</v>
      </c>
      <c r="AG5" s="84">
        <f>('DJB Daily Readings'!CE13-'DJB Daily Readings'!CE12)*1.89</f>
        <v>18.899999999999999</v>
      </c>
      <c r="AH5" s="84">
        <f>('DJB Daily Readings'!CG13-'DJB Daily Readings'!CG12)*1.89</f>
        <v>22.68</v>
      </c>
      <c r="AI5" s="84">
        <f>('DJB Daily Readings'!CI13-'DJB Daily Readings'!CI12)*1.89</f>
        <v>43.47</v>
      </c>
      <c r="AJ5" s="81">
        <f>'DJB Daily Readings'!CY13-'DJB Daily Readings'!CY12</f>
        <v>5</v>
      </c>
      <c r="AK5" s="81">
        <f>'DJB Daily Readings'!CW13-'DJB Daily Readings'!CW12</f>
        <v>6</v>
      </c>
      <c r="AL5" s="82">
        <f>'DJB Daily Readings'!DC13-'DJB Daily Readings'!DC12</f>
        <v>13</v>
      </c>
      <c r="AM5" s="82">
        <f>'DJB Daily Readings'!DA13-'DJB Daily Readings'!DA12</f>
        <v>11</v>
      </c>
      <c r="AN5" s="82">
        <f>'DJB Daily Readings'!DG13-'DJB Daily Readings'!DG12</f>
        <v>6</v>
      </c>
      <c r="AO5" s="82">
        <f>'DJB Daily Readings'!DE13-'DJB Daily Readings'!DE12</f>
        <v>7</v>
      </c>
      <c r="AP5" s="82">
        <f>'DJB Daily Readings'!DK13-'DJB Daily Readings'!DK12</f>
        <v>14</v>
      </c>
      <c r="AQ5" s="82">
        <f>'DJB Daily Readings'!DI13-'DJB Daily Readings'!DI12</f>
        <v>9</v>
      </c>
      <c r="AR5" s="82">
        <f>'DJB Daily Readings'!DO13-'DJB Daily Readings'!DO12</f>
        <v>4</v>
      </c>
      <c r="AS5" s="82">
        <f>'DJB Daily Readings'!DM13-'DJB Daily Readings'!DM12</f>
        <v>7</v>
      </c>
      <c r="AT5" s="82">
        <f>'DJB Daily Readings'!DQ13-'DJB Daily Readings'!DQ12</f>
        <v>0</v>
      </c>
      <c r="AU5" s="82">
        <f>'DJB Daily Readings'!DT13-'DJB Daily Readings'!DT12</f>
        <v>10.200000000000273</v>
      </c>
      <c r="AW5" s="82">
        <f>'DJB Daily Readings'!DX13-'DJB Daily Readings'!DX12</f>
        <v>7.2000000000000455</v>
      </c>
      <c r="AX5" s="82">
        <f>'DJB Daily Readings'!DZ13-'DJB Daily Readings'!DZ12</f>
        <v>11.700000000000045</v>
      </c>
      <c r="AY5" s="82">
        <f>'DJB Daily Readings'!EB13-'DJB Daily Readings'!EB12</f>
        <v>777</v>
      </c>
      <c r="AZ5" s="82">
        <f>'DJB Daily Readings'!ED13-'DJB Daily Readings'!ED12</f>
        <v>95.100000000005821</v>
      </c>
      <c r="BA5" s="82">
        <f>'DJB Daily Readings'!EG13-'DJB Daily Readings'!EG12</f>
        <v>7400</v>
      </c>
      <c r="BB5" s="82">
        <f>'DJB Daily Readings'!EI13-'DJB Daily Readings'!EI12</f>
        <v>410</v>
      </c>
      <c r="BC5" s="82">
        <f>'DJB Daily Readings'!EQ13-'DJB Daily Readings'!EQ12</f>
        <v>7900</v>
      </c>
      <c r="BD5" s="82">
        <f>'DJB Daily Readings'!EK13-'DJB Daily Readings'!EK12</f>
        <v>3000</v>
      </c>
      <c r="BE5" s="82">
        <f>'DJB Daily Readings'!EM13-'DJB Daily Readings'!EM12</f>
        <v>1400</v>
      </c>
      <c r="BF5" s="82">
        <f>'DJB Daily Readings'!EO13-'DJB Daily Readings'!EO12</f>
        <v>880</v>
      </c>
      <c r="BG5" s="82">
        <f>('DJB Daily Readings'!ET13-'DJB Daily Readings'!ET12)*1.89</f>
        <v>26.459999999999997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26.459999999999997</v>
      </c>
      <c r="BK5" s="82">
        <f>('DJB Daily Readings'!FB13-'DJB Daily Readings'!FB12)*1.89</f>
        <v>45.36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2021</v>
      </c>
      <c r="E6" s="78">
        <f>237*0.52</f>
        <v>123.24000000000001</v>
      </c>
      <c r="F6" s="79">
        <f>156+24</f>
        <v>180</v>
      </c>
      <c r="G6" s="3">
        <f>'DJB Daily Readings'!C14-'DJB Daily Readings'!C13</f>
        <v>652</v>
      </c>
      <c r="H6" s="3">
        <f>'DJB Daily Readings'!F14-'DJB Daily Readings'!F13</f>
        <v>269</v>
      </c>
      <c r="I6" s="3">
        <f>'DJB Daily Readings'!K14-'DJB Daily Readings'!K13</f>
        <v>330</v>
      </c>
      <c r="J6" s="3">
        <f>'DJB Daily Readings'!K14-'DJB Daily Readings'!K13</f>
        <v>330</v>
      </c>
      <c r="K6" s="3">
        <f>'DJB Daily Readings'!O14-'DJB Daily Readings'!O13</f>
        <v>233.63999999999942</v>
      </c>
      <c r="L6" s="3">
        <f>'DJB Daily Readings'!R14-'DJB Daily Readings'!R13</f>
        <v>37</v>
      </c>
      <c r="M6" s="3">
        <f>'DJB Daily Readings'!U14-'DJB Daily Readings'!U13</f>
        <v>2387.2800000002608</v>
      </c>
      <c r="N6" s="3">
        <f>'DJB Daily Readings'!X14-'DJB Daily Readings'!X13</f>
        <v>4482.2400000002235</v>
      </c>
      <c r="O6" s="3">
        <f>'DJB Daily Readings'!AA14-'DJB Daily Readings'!AA13</f>
        <v>11108.160000000149</v>
      </c>
      <c r="P6" s="3">
        <f>'DJB Daily Readings'!AD14-'DJB Daily Readings'!AD13</f>
        <v>1753.9199999999255</v>
      </c>
      <c r="Q6" s="3">
        <f>'DJB Daily Readings'!AG14-'DJB Daily Readings'!AG13</f>
        <v>9013.2000000011176</v>
      </c>
      <c r="R6" s="3">
        <f>'DJB Daily Readings'!AJ14-'DJB Daily Readings'!AJ13</f>
        <v>5310.480000000447</v>
      </c>
      <c r="S6" s="3">
        <f>'DJB Daily Readings'!AM14-'DJB Daily Readings'!AM13</f>
        <v>4530.9599999990314</v>
      </c>
      <c r="T6" s="3">
        <f>'DJB Daily Readings'!AP14-'DJB Daily Readings'!AP13</f>
        <v>3556.5599999986589</v>
      </c>
      <c r="U6" s="3">
        <f>'DJB Daily Readings'!AS14-'DJB Daily Readings'!AS13</f>
        <v>2777.0399999991059</v>
      </c>
      <c r="V6" s="3">
        <f>'DJB Daily Readings'!AV14-'DJB Daily Readings'!AV13</f>
        <v>6333.5999999996275</v>
      </c>
      <c r="W6" s="3">
        <f>'DJB Daily Readings'!AZ14-'DJB Daily Readings'!AZ13</f>
        <v>58300</v>
      </c>
      <c r="X6" s="3">
        <f>'DJB Daily Readings'!BC14-'DJB Daily Readings'!BC13</f>
        <v>3700</v>
      </c>
      <c r="Y6" s="3">
        <f>'DJB Daily Readings'!BF14-'DJB Daily Readings'!BF13</f>
        <v>37100</v>
      </c>
      <c r="Z6" s="3">
        <f>('DJB Daily Readings'!CK14-'DJB Daily Readings'!CK13)*1.89</f>
        <v>166.32</v>
      </c>
      <c r="AA6" s="3">
        <f>('DJB Daily Readings'!CN14-'DJB Daily Readings'!CN13)*1.89</f>
        <v>117.17999999999999</v>
      </c>
      <c r="AB6" s="3">
        <f>('DJB Daily Readings'!CQ14-'DJB Daily Readings'!CQ13)*1.89</f>
        <v>0</v>
      </c>
      <c r="AC6" s="3">
        <f>'DJB Daily Readings'!CT14-'DJB Daily Readings'!CT13</f>
        <v>218</v>
      </c>
      <c r="AD6" s="84">
        <f>('DJB Daily Readings'!BY14-'DJB Daily Readings'!BY13)*1.89</f>
        <v>32.129999999999995</v>
      </c>
      <c r="AE6" s="84">
        <f>('DJB Daily Readings'!CA14-'DJB Daily Readings'!CA13)*1.89</f>
        <v>32.129999999999995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18.899999999999999</v>
      </c>
      <c r="AI6" s="84">
        <f>('DJB Daily Readings'!CI14-'DJB Daily Readings'!CI13)*1.89</f>
        <v>49.14</v>
      </c>
      <c r="AJ6" s="81">
        <f>'DJB Daily Readings'!CY14-'DJB Daily Readings'!CY13</f>
        <v>3</v>
      </c>
      <c r="AK6" s="81">
        <f>'DJB Daily Readings'!CW14-'DJB Daily Readings'!CW13</f>
        <v>2</v>
      </c>
      <c r="AL6" s="82">
        <f>'DJB Daily Readings'!DC14-'DJB Daily Readings'!DC13</f>
        <v>14</v>
      </c>
      <c r="AM6" s="82">
        <f>'DJB Daily Readings'!DA14-'DJB Daily Readings'!DA13</f>
        <v>10</v>
      </c>
      <c r="AN6" s="82">
        <f>'DJB Daily Readings'!DG14-'DJB Daily Readings'!DG13</f>
        <v>12</v>
      </c>
      <c r="AO6" s="82">
        <f>'DJB Daily Readings'!DE14-'DJB Daily Readings'!DE13</f>
        <v>6</v>
      </c>
      <c r="AP6" s="82">
        <f>'DJB Daily Readings'!DK14-'DJB Daily Readings'!DK13</f>
        <v>12</v>
      </c>
      <c r="AQ6" s="82">
        <f>'DJB Daily Readings'!DI14-'DJB Daily Readings'!DI13</f>
        <v>10</v>
      </c>
      <c r="AR6" s="82">
        <f>'DJB Daily Readings'!DO14-'DJB Daily Readings'!DO13</f>
        <v>3</v>
      </c>
      <c r="AS6" s="82">
        <f>'DJB Daily Readings'!DM14-'DJB Daily Readings'!DM13</f>
        <v>9</v>
      </c>
      <c r="AT6" s="82">
        <f>'DJB Daily Readings'!DQ14-'DJB Daily Readings'!DQ13</f>
        <v>0</v>
      </c>
      <c r="AU6" s="82">
        <f>'DJB Daily Readings'!DT14-'DJB Daily Readings'!DT13</f>
        <v>9.6999999999998181</v>
      </c>
      <c r="AW6" s="82">
        <f>'DJB Daily Readings'!DX14-'DJB Daily Readings'!DX13</f>
        <v>7.2999999999999545</v>
      </c>
      <c r="AX6" s="82">
        <f>'DJB Daily Readings'!DZ14-'DJB Daily Readings'!DZ13</f>
        <v>10.5</v>
      </c>
      <c r="AY6" s="82">
        <f>'DJB Daily Readings'!EB14-'DJB Daily Readings'!EB13</f>
        <v>786</v>
      </c>
      <c r="AZ6" s="82">
        <f>'DJB Daily Readings'!ED14-'DJB Daily Readings'!ED13</f>
        <v>210.20000000001164</v>
      </c>
      <c r="BA6" s="82">
        <f>'DJB Daily Readings'!EG14-'DJB Daily Readings'!EG13</f>
        <v>7300</v>
      </c>
      <c r="BB6" s="82">
        <f>'DJB Daily Readings'!EI14-'DJB Daily Readings'!EI13</f>
        <v>410</v>
      </c>
      <c r="BC6" s="82">
        <f>'DJB Daily Readings'!EQ14-'DJB Daily Readings'!EQ13</f>
        <v>7800</v>
      </c>
      <c r="BD6" s="82">
        <f>'DJB Daily Readings'!EK14-'DJB Daily Readings'!EK13</f>
        <v>3000</v>
      </c>
      <c r="BE6" s="82">
        <f>'DJB Daily Readings'!EM14-'DJB Daily Readings'!EM13</f>
        <v>1400</v>
      </c>
      <c r="BF6" s="82">
        <f>'DJB Daily Readings'!EO14-'DJB Daily Readings'!EO13</f>
        <v>920</v>
      </c>
      <c r="BG6" s="82">
        <f>('DJB Daily Readings'!ET14-'DJB Daily Readings'!ET13)*1.89</f>
        <v>24.57</v>
      </c>
      <c r="BH6" s="82">
        <f>('DJB Daily Readings'!EV14-'DJB Daily Readings'!EV13)*1.89</f>
        <v>26.459999999999997</v>
      </c>
      <c r="BI6" s="82">
        <f>('DJB Daily Readings'!EZ14-'DJB Daily Readings'!EZ13)*1.89</f>
        <v>28.349999999999998</v>
      </c>
      <c r="BJ6" s="82">
        <f>('DJB Daily Readings'!EX14-'DJB Daily Readings'!EX13)*1.89</f>
        <v>18.899999999999999</v>
      </c>
      <c r="BK6" s="82">
        <f>('DJB Daily Readings'!FB14-'DJB Daily Readings'!FB13)*1.89</f>
        <v>41.58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2021</v>
      </c>
      <c r="E7" s="78">
        <f>237*0.6</f>
        <v>142.19999999999999</v>
      </c>
      <c r="F7" s="79">
        <f>160+24</f>
        <v>184</v>
      </c>
      <c r="G7" s="3">
        <f>'DJB Daily Readings'!C15-'DJB Daily Readings'!C14</f>
        <v>658</v>
      </c>
      <c r="H7" s="3">
        <f>'DJB Daily Readings'!F15-'DJB Daily Readings'!F14</f>
        <v>262</v>
      </c>
      <c r="I7" s="3">
        <f>'DJB Daily Readings'!K15-'DJB Daily Readings'!K14</f>
        <v>315</v>
      </c>
      <c r="J7" s="3">
        <f>'DJB Daily Readings'!K15-'DJB Daily Readings'!K14</f>
        <v>315</v>
      </c>
      <c r="K7" s="3">
        <f>'DJB Daily Readings'!O15-'DJB Daily Readings'!O14</f>
        <v>256.34999999999854</v>
      </c>
      <c r="L7" s="3">
        <f>'DJB Daily Readings'!R15-'DJB Daily Readings'!R14</f>
        <v>36</v>
      </c>
      <c r="M7" s="3">
        <f>'DJB Daily Readings'!U15-'DJB Daily Readings'!U14</f>
        <v>2192.4000000003725</v>
      </c>
      <c r="N7" s="3">
        <f>'DJB Daily Readings'!X15-'DJB Daily Readings'!X14</f>
        <v>4530.9599999990314</v>
      </c>
      <c r="O7" s="3">
        <f>'DJB Daily Readings'!AA15-'DJB Daily Readings'!AA14</f>
        <v>13251.839999999851</v>
      </c>
      <c r="P7" s="3">
        <f>'DJB Daily Readings'!AD15-'DJB Daily Readings'!AD14</f>
        <v>1315.4400000013411</v>
      </c>
      <c r="Q7" s="3">
        <f>'DJB Daily Readings'!AG15-'DJB Daily Readings'!AG14</f>
        <v>12569.760000001639</v>
      </c>
      <c r="R7" s="3">
        <f>'DJB Daily Readings'!AJ15-'DJB Daily Readings'!AJ14</f>
        <v>5505.359999999404</v>
      </c>
      <c r="S7" s="3">
        <f>'DJB Daily Readings'!AM15-'DJB Daily Readings'!AM14</f>
        <v>4384.8000000007451</v>
      </c>
      <c r="T7" s="3">
        <f>'DJB Daily Readings'!AP15-'DJB Daily Readings'!AP14</f>
        <v>3946.3200000021607</v>
      </c>
      <c r="U7" s="3">
        <f>'DJB Daily Readings'!AS15-'DJB Daily Readings'!AS14</f>
        <v>2923.1999999992549</v>
      </c>
      <c r="V7" s="3">
        <f>'DJB Daily Readings'!AV15-'DJB Daily Readings'!AV14</f>
        <v>6284.8800000008196</v>
      </c>
      <c r="W7" s="3">
        <f>'DJB Daily Readings'!AZ15-'DJB Daily Readings'!AZ14</f>
        <v>67100</v>
      </c>
      <c r="X7" s="3">
        <f>'DJB Daily Readings'!BC15-'DJB Daily Readings'!BC14</f>
        <v>0</v>
      </c>
      <c r="Y7" s="3">
        <f>'DJB Daily Readings'!BF15-'DJB Daily Readings'!BF14</f>
        <v>52500</v>
      </c>
      <c r="Z7" s="3">
        <f>('DJB Daily Readings'!CK15-'DJB Daily Readings'!CK14)*1.89</f>
        <v>171.98999999999998</v>
      </c>
      <c r="AA7" s="3">
        <f>('DJB Daily Readings'!CN15-'DJB Daily Readings'!CN14)*1.89</f>
        <v>126.63</v>
      </c>
      <c r="AB7" s="3">
        <f>('DJB Daily Readings'!CQ15-'DJB Daily Readings'!CQ14)*1.89</f>
        <v>0</v>
      </c>
      <c r="AC7" s="3">
        <f>'DJB Daily Readings'!CT15-'DJB Daily Readings'!CT14</f>
        <v>235</v>
      </c>
      <c r="AD7" s="84">
        <f>('DJB Daily Readings'!BY15-'DJB Daily Readings'!BY14)*1.89</f>
        <v>32.129999999999995</v>
      </c>
      <c r="AE7" s="84">
        <f>('DJB Daily Readings'!CA15-'DJB Daily Readings'!CA14)*1.89</f>
        <v>24.57</v>
      </c>
      <c r="AF7" s="84">
        <f>('DJB Daily Readings'!CC15-'DJB Daily Readings'!CC14)*1.89</f>
        <v>11.34</v>
      </c>
      <c r="AG7" s="84">
        <f>('DJB Daily Readings'!CE15-'DJB Daily Readings'!CE14)*1.89</f>
        <v>18.899999999999999</v>
      </c>
      <c r="AH7" s="84">
        <f>('DJB Daily Readings'!CG15-'DJB Daily Readings'!CG14)*1.89</f>
        <v>20.79</v>
      </c>
      <c r="AI7" s="84">
        <f>('DJB Daily Readings'!CI15-'DJB Daily Readings'!CI14)*1.89</f>
        <v>45.36</v>
      </c>
      <c r="AJ7" s="81">
        <f>'DJB Daily Readings'!CY15-'DJB Daily Readings'!CY14</f>
        <v>3</v>
      </c>
      <c r="AK7" s="81">
        <f>'DJB Daily Readings'!CW15-'DJB Daily Readings'!CW14</f>
        <v>5</v>
      </c>
      <c r="AL7" s="82">
        <f>'DJB Daily Readings'!DC15-'DJB Daily Readings'!DC14</f>
        <v>13</v>
      </c>
      <c r="AM7" s="82">
        <f>'DJB Daily Readings'!DA15-'DJB Daily Readings'!DA14</f>
        <v>9</v>
      </c>
      <c r="AN7" s="82">
        <f>'DJB Daily Readings'!DG15-'DJB Daily Readings'!DG14</f>
        <v>12</v>
      </c>
      <c r="AO7" s="82">
        <f>'DJB Daily Readings'!DE15-'DJB Daily Readings'!DE14</f>
        <v>7</v>
      </c>
      <c r="AP7" s="82">
        <f>'DJB Daily Readings'!DK15-'DJB Daily Readings'!DK14</f>
        <v>13</v>
      </c>
      <c r="AQ7" s="82">
        <f>'DJB Daily Readings'!DI15-'DJB Daily Readings'!DI14</f>
        <v>9</v>
      </c>
      <c r="AR7" s="82">
        <f>'DJB Daily Readings'!DO15-'DJB Daily Readings'!DO14</f>
        <v>1</v>
      </c>
      <c r="AS7" s="82">
        <f>'DJB Daily Readings'!DM15-'DJB Daily Readings'!DM14</f>
        <v>8</v>
      </c>
      <c r="AT7" s="82">
        <f>'DJB Daily Readings'!DQ15-'DJB Daily Readings'!DQ14</f>
        <v>0</v>
      </c>
      <c r="AU7" s="82">
        <f>'DJB Daily Readings'!DT15-'DJB Daily Readings'!DT14</f>
        <v>9.1999999999998181</v>
      </c>
      <c r="AW7" s="82">
        <f>'DJB Daily Readings'!DX15-'DJB Daily Readings'!DX14</f>
        <v>7.2000000000000455</v>
      </c>
      <c r="AX7" s="82">
        <f>'DJB Daily Readings'!DZ15-'DJB Daily Readings'!DZ14</f>
        <v>10.599999999999909</v>
      </c>
      <c r="AY7" s="82">
        <f>'DJB Daily Readings'!EB15-'DJB Daily Readings'!EB14</f>
        <v>806</v>
      </c>
      <c r="AZ7" s="82">
        <f>'DJB Daily Readings'!ED15-'DJB Daily Readings'!ED14</f>
        <v>149.59999999997672</v>
      </c>
      <c r="BA7" s="82">
        <f>'DJB Daily Readings'!EG15-'DJB Daily Readings'!EG14</f>
        <v>8000</v>
      </c>
      <c r="BB7" s="82">
        <f>'DJB Daily Readings'!EI15-'DJB Daily Readings'!EI14</f>
        <v>450</v>
      </c>
      <c r="BC7" s="82">
        <f>'DJB Daily Readings'!EQ15-'DJB Daily Readings'!EQ14</f>
        <v>9600</v>
      </c>
      <c r="BD7" s="82">
        <f>'DJB Daily Readings'!EK15-'DJB Daily Readings'!EK14</f>
        <v>3400</v>
      </c>
      <c r="BE7" s="82">
        <f>'DJB Daily Readings'!EM15-'DJB Daily Readings'!EM14</f>
        <v>1400</v>
      </c>
      <c r="BF7" s="82">
        <f>'DJB Daily Readings'!EO15-'DJB Daily Readings'!EO14</f>
        <v>990</v>
      </c>
      <c r="BG7" s="82">
        <f>('DJB Daily Readings'!ET15-'DJB Daily Readings'!ET14)*1.89</f>
        <v>24.57</v>
      </c>
      <c r="BH7" s="82">
        <f>('DJB Daily Readings'!EV15-'DJB Daily Readings'!EV14)*1.89</f>
        <v>24.57</v>
      </c>
      <c r="BI7" s="82">
        <f>('DJB Daily Readings'!EZ15-'DJB Daily Readings'!EZ14)*1.89</f>
        <v>45.36</v>
      </c>
      <c r="BJ7" s="82">
        <f>('DJB Daily Readings'!EX15-'DJB Daily Readings'!EX14)*1.89</f>
        <v>22.68</v>
      </c>
      <c r="BK7" s="82">
        <f>('DJB Daily Readings'!FB15-'DJB Daily Readings'!FB14)*1.89</f>
        <v>39.69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2021</v>
      </c>
      <c r="E8" s="78">
        <f>237*0.59</f>
        <v>139.82999999999998</v>
      </c>
      <c r="F8" s="79">
        <f>160+22</f>
        <v>182</v>
      </c>
      <c r="G8" s="3">
        <f>'DJB Daily Readings'!C16-'DJB Daily Readings'!C15</f>
        <v>972</v>
      </c>
      <c r="H8" s="3">
        <f>'DJB Daily Readings'!F16-'DJB Daily Readings'!F15</f>
        <v>278</v>
      </c>
      <c r="I8" s="3">
        <f>'DJB Daily Readings'!K16-'DJB Daily Readings'!K15</f>
        <v>622</v>
      </c>
      <c r="J8" s="3">
        <f>'DJB Daily Readings'!K16-'DJB Daily Readings'!K15</f>
        <v>622</v>
      </c>
      <c r="K8" s="3">
        <f>'DJB Daily Readings'!O16-'DJB Daily Readings'!O15</f>
        <v>281.44999999999709</v>
      </c>
      <c r="L8" s="3">
        <f>'DJB Daily Readings'!R16-'DJB Daily Readings'!R15</f>
        <v>46</v>
      </c>
      <c r="M8" s="3">
        <f>'DJB Daily Readings'!U16-'DJB Daily Readings'!U15</f>
        <v>2484.7199999997392</v>
      </c>
      <c r="N8" s="3">
        <f>'DJB Daily Readings'!X16-'DJB Daily Readings'!X15</f>
        <v>4579.6800000015646</v>
      </c>
      <c r="O8" s="3">
        <f>'DJB Daily Readings'!AA16-'DJB Daily Readings'!AA15</f>
        <v>13933.919999998063</v>
      </c>
      <c r="P8" s="3">
        <f>'DJB Daily Readings'!AD16-'DJB Daily Readings'!AD15</f>
        <v>1607.7599999979138</v>
      </c>
      <c r="Q8" s="3">
        <f>'DJB Daily Readings'!AG16-'DJB Daily Readings'!AG15</f>
        <v>14372.39999999851</v>
      </c>
      <c r="R8" s="3">
        <f>'DJB Daily Readings'!AJ16-'DJB Daily Readings'!AJ15</f>
        <v>5554.0800000000745</v>
      </c>
      <c r="S8" s="3">
        <f>'DJB Daily Readings'!AM16-'DJB Daily Readings'!AM15</f>
        <v>4579.679999999702</v>
      </c>
      <c r="T8" s="3">
        <f>'DJB Daily Readings'!AP16-'DJB Daily Readings'!AP15</f>
        <v>4092.4799999985844</v>
      </c>
      <c r="U8" s="3">
        <f>'DJB Daily Readings'!AS16-'DJB Daily Readings'!AS15</f>
        <v>3118.0800000019372</v>
      </c>
      <c r="V8" s="3">
        <f>'DJB Daily Readings'!AV16-'DJB Daily Readings'!AV15</f>
        <v>6431.0399999991059</v>
      </c>
      <c r="W8" s="3">
        <f>'DJB Daily Readings'!AZ16-'DJB Daily Readings'!AZ15</f>
        <v>68900</v>
      </c>
      <c r="X8" s="3">
        <f>'DJB Daily Readings'!BC16-'DJB Daily Readings'!BC15</f>
        <v>0</v>
      </c>
      <c r="Y8" s="3">
        <f>'DJB Daily Readings'!BF16-'DJB Daily Readings'!BF15</f>
        <v>61100</v>
      </c>
      <c r="Z8" s="3">
        <f>('DJB Daily Readings'!CK16-'DJB Daily Readings'!CK15)*1.89</f>
        <v>173.88</v>
      </c>
      <c r="AA8" s="3">
        <f>('DJB Daily Readings'!CN16-'DJB Daily Readings'!CN15)*1.89</f>
        <v>126.63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32.129999999999995</v>
      </c>
      <c r="AE8" s="84">
        <f>('DJB Daily Readings'!CA16-'DJB Daily Readings'!CA15)*1.89</f>
        <v>26.459999999999997</v>
      </c>
      <c r="AF8" s="84">
        <f>('DJB Daily Readings'!CC16-'DJB Daily Readings'!CC15)*1.89</f>
        <v>11.34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41.58</v>
      </c>
      <c r="AJ8" s="81">
        <f>'DJB Daily Readings'!CY16-'DJB Daily Readings'!CY15</f>
        <v>3</v>
      </c>
      <c r="AK8" s="81">
        <f>'DJB Daily Readings'!CW16-'DJB Daily Readings'!CW15</f>
        <v>4</v>
      </c>
      <c r="AL8" s="82">
        <f>'DJB Daily Readings'!DC16-'DJB Daily Readings'!DC15</f>
        <v>15</v>
      </c>
      <c r="AM8" s="82">
        <f>'DJB Daily Readings'!DA16-'DJB Daily Readings'!DA15</f>
        <v>12</v>
      </c>
      <c r="AN8" s="82">
        <f>'DJB Daily Readings'!DG16-'DJB Daily Readings'!DG15</f>
        <v>12</v>
      </c>
      <c r="AO8" s="82">
        <f>'DJB Daily Readings'!DE16-'DJB Daily Readings'!DE15</f>
        <v>6</v>
      </c>
      <c r="AP8" s="82">
        <f>'DJB Daily Readings'!DK16-'DJB Daily Readings'!DK15</f>
        <v>11</v>
      </c>
      <c r="AQ8" s="82">
        <f>'DJB Daily Readings'!DI16-'DJB Daily Readings'!DI15</f>
        <v>10</v>
      </c>
      <c r="AR8" s="82">
        <f>'DJB Daily Readings'!DO16-'DJB Daily Readings'!DO15</f>
        <v>1</v>
      </c>
      <c r="AS8" s="82">
        <f>'DJB Daily Readings'!DM16-'DJB Daily Readings'!DM15</f>
        <v>7</v>
      </c>
      <c r="AT8" s="82">
        <f>'DJB Daily Readings'!DQ16-'DJB Daily Readings'!DQ15</f>
        <v>0</v>
      </c>
      <c r="AU8" s="82">
        <f>'DJB Daily Readings'!DT16-'DJB Daily Readings'!DT15</f>
        <v>10.200000000000273</v>
      </c>
      <c r="AW8" s="82">
        <f>'DJB Daily Readings'!DX16-'DJB Daily Readings'!DX15</f>
        <v>7.0999999999999091</v>
      </c>
      <c r="AX8" s="82">
        <f>'DJB Daily Readings'!DZ16-'DJB Daily Readings'!DZ15</f>
        <v>11.299999999999955</v>
      </c>
      <c r="AY8" s="82">
        <f>'DJB Daily Readings'!EB16-'DJB Daily Readings'!EB15</f>
        <v>819</v>
      </c>
      <c r="AZ8" s="82">
        <f>'DJB Daily Readings'!ED16-'DJB Daily Readings'!ED15</f>
        <v>154.30000000001746</v>
      </c>
      <c r="BA8" s="82">
        <f>'DJB Daily Readings'!EG16-'DJB Daily Readings'!EG15</f>
        <v>9200</v>
      </c>
      <c r="BB8" s="82">
        <f>'DJB Daily Readings'!EI16-'DJB Daily Readings'!EI15</f>
        <v>460</v>
      </c>
      <c r="BC8" s="82">
        <f>'DJB Daily Readings'!EQ16-'DJB Daily Readings'!EQ15</f>
        <v>10200</v>
      </c>
      <c r="BD8" s="82">
        <f>'DJB Daily Readings'!EK16-'DJB Daily Readings'!EK15</f>
        <v>3700</v>
      </c>
      <c r="BE8" s="82">
        <f>'DJB Daily Readings'!EM16-'DJB Daily Readings'!EM15</f>
        <v>1500</v>
      </c>
      <c r="BF8" s="82">
        <f>'DJB Daily Readings'!EO16-'DJB Daily Readings'!EO15</f>
        <v>960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45.36</v>
      </c>
      <c r="BJ8" s="82">
        <f>('DJB Daily Readings'!EX16-'DJB Daily Readings'!EX15)*1.89</f>
        <v>20.79</v>
      </c>
      <c r="BK8" s="82">
        <f>('DJB Daily Readings'!FB16-'DJB Daily Readings'!FB15)*1.89</f>
        <v>43.47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2021</v>
      </c>
      <c r="E9" s="78">
        <f>237*0.65</f>
        <v>154.05000000000001</v>
      </c>
      <c r="F9" s="79">
        <f>190+20</f>
        <v>210</v>
      </c>
      <c r="G9" s="3">
        <f>'DJB Daily Readings'!C17-'DJB Daily Readings'!C16</f>
        <v>842</v>
      </c>
      <c r="H9" s="3">
        <f>'DJB Daily Readings'!F17-'DJB Daily Readings'!F16</f>
        <v>277</v>
      </c>
      <c r="I9" s="3">
        <f>'DJB Daily Readings'!K17-'DJB Daily Readings'!K16</f>
        <v>464</v>
      </c>
      <c r="J9" s="3">
        <f>'DJB Daily Readings'!K17-'DJB Daily Readings'!K16</f>
        <v>464</v>
      </c>
      <c r="K9" s="3">
        <f>'DJB Daily Readings'!O17-'DJB Daily Readings'!O16</f>
        <v>279.95999999999913</v>
      </c>
      <c r="L9" s="3">
        <f>'DJB Daily Readings'!R17-'DJB Daily Readings'!R16</f>
        <v>50</v>
      </c>
      <c r="M9" s="3">
        <f>'DJB Daily Readings'!U17-'DJB Daily Readings'!U16</f>
        <v>2192.4000000003725</v>
      </c>
      <c r="N9" s="3">
        <f>'DJB Daily Readings'!X17-'DJB Daily Readings'!X16</f>
        <v>4433.519999999553</v>
      </c>
      <c r="O9" s="3">
        <f>'DJB Daily Readings'!AA17-'DJB Daily Readings'!AA16</f>
        <v>14810.88000000082</v>
      </c>
      <c r="P9" s="3">
        <f>'DJB Daily Readings'!AD17-'DJB Daily Readings'!AD16</f>
        <v>1169.2800000011921</v>
      </c>
      <c r="Q9" s="3">
        <f>'DJB Daily Readings'!AG17-'DJB Daily Readings'!AG16</f>
        <v>12180</v>
      </c>
      <c r="R9" s="3">
        <f>'DJB Daily Readings'!AJ17-'DJB Daily Readings'!AJ16</f>
        <v>5554.0800000000745</v>
      </c>
      <c r="S9" s="3">
        <f>'DJB Daily Readings'!AM17-'DJB Daily Readings'!AM16</f>
        <v>4530.9599999990314</v>
      </c>
      <c r="T9" s="3">
        <f>'DJB Daily Readings'!AP17-'DJB Daily Readings'!AP16</f>
        <v>3995.0399999991059</v>
      </c>
      <c r="U9" s="3">
        <f>'DJB Daily Readings'!AS17-'DJB Daily Readings'!AS16</f>
        <v>3166.7999999988824</v>
      </c>
      <c r="V9" s="3">
        <f>'DJB Daily Readings'!AV17-'DJB Daily Readings'!AV16</f>
        <v>6772.0800000000745</v>
      </c>
      <c r="W9" s="3">
        <f>'DJB Daily Readings'!AZ17-'DJB Daily Readings'!AZ16</f>
        <v>72700</v>
      </c>
      <c r="X9" s="3">
        <f>'DJB Daily Readings'!BC17-'DJB Daily Readings'!BC16</f>
        <v>0</v>
      </c>
      <c r="Y9" s="3">
        <f>'DJB Daily Readings'!BF17-'DJB Daily Readings'!BF16</f>
        <v>53100</v>
      </c>
      <c r="Z9" s="3">
        <f>('DJB Daily Readings'!CK17-'DJB Daily Readings'!CK16)*1.89</f>
        <v>185.22</v>
      </c>
      <c r="AA9" s="3">
        <f>('DJB Daily Readings'!CN17-'DJB Daily Readings'!CN16)*1.89</f>
        <v>128.51999999999998</v>
      </c>
      <c r="AB9" s="3">
        <f>('DJB Daily Readings'!CQ17-'DJB Daily Readings'!CQ16)*1.89</f>
        <v>0</v>
      </c>
      <c r="AC9" s="3">
        <f>'DJB Daily Readings'!CT17-'DJB Daily Readings'!CT16</f>
        <v>249</v>
      </c>
      <c r="AD9" s="84">
        <f>('DJB Daily Readings'!BY17-'DJB Daily Readings'!BY16)*1.89</f>
        <v>34.019999999999996</v>
      </c>
      <c r="AE9" s="84">
        <f>('DJB Daily Readings'!CA17-'DJB Daily Readings'!CA16)*1.89</f>
        <v>28.349999999999998</v>
      </c>
      <c r="AF9" s="84">
        <f>('DJB Daily Readings'!CC17-'DJB Daily Readings'!CC16)*1.89</f>
        <v>11.34</v>
      </c>
      <c r="AG9" s="84">
        <f>('DJB Daily Readings'!CE17-'DJB Daily Readings'!CE16)*1.89</f>
        <v>24.57</v>
      </c>
      <c r="AH9" s="84">
        <f>('DJB Daily Readings'!CG17-'DJB Daily Readings'!CG16)*1.89</f>
        <v>20.79</v>
      </c>
      <c r="AI9" s="84">
        <f>('DJB Daily Readings'!CI17-'DJB Daily Readings'!CI16)*1.89</f>
        <v>49.14</v>
      </c>
      <c r="AJ9" s="81">
        <f>'DJB Daily Readings'!CY17-'DJB Daily Readings'!CY16</f>
        <v>5</v>
      </c>
      <c r="AK9" s="81">
        <f>'DJB Daily Readings'!CW17-'DJB Daily Readings'!CW16</f>
        <v>7</v>
      </c>
      <c r="AL9" s="82">
        <f>'DJB Daily Readings'!DC17-'DJB Daily Readings'!DC16</f>
        <v>17</v>
      </c>
      <c r="AM9" s="82">
        <f>'DJB Daily Readings'!DA17-'DJB Daily Readings'!DA16</f>
        <v>12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11</v>
      </c>
      <c r="AQ9" s="82">
        <f>'DJB Daily Readings'!DI17-'DJB Daily Readings'!DI16</f>
        <v>11</v>
      </c>
      <c r="AR9" s="82">
        <f>'DJB Daily Readings'!DO17-'DJB Daily Readings'!DO16</f>
        <v>5</v>
      </c>
      <c r="AS9" s="82">
        <f>'DJB Daily Readings'!DM17-'DJB Daily Readings'!DM16</f>
        <v>7</v>
      </c>
      <c r="AT9" s="82">
        <f>'DJB Daily Readings'!DQ17-'DJB Daily Readings'!DQ16</f>
        <v>11</v>
      </c>
      <c r="AU9" s="82">
        <f>'DJB Daily Readings'!DT17-'DJB Daily Readings'!DT16</f>
        <v>10.5</v>
      </c>
      <c r="AW9" s="82">
        <f>'DJB Daily Readings'!DX17-'DJB Daily Readings'!DX16</f>
        <v>7.7000000000000455</v>
      </c>
      <c r="AX9" s="82">
        <f>'DJB Daily Readings'!DZ17-'DJB Daily Readings'!DZ16</f>
        <v>11.300000000000182</v>
      </c>
      <c r="AY9" s="82">
        <f>'DJB Daily Readings'!EB17-'DJB Daily Readings'!EB16</f>
        <v>834</v>
      </c>
      <c r="AZ9" s="82">
        <f>'DJB Daily Readings'!ED17-'DJB Daily Readings'!ED16</f>
        <v>155.69999999998254</v>
      </c>
      <c r="BA9" s="82">
        <f>'DJB Daily Readings'!EG17-'DJB Daily Readings'!EG16</f>
        <v>8400</v>
      </c>
      <c r="BB9" s="82">
        <f>'DJB Daily Readings'!EI17-'DJB Daily Readings'!EI16</f>
        <v>440</v>
      </c>
      <c r="BC9" s="82">
        <f>'DJB Daily Readings'!EQ17-'DJB Daily Readings'!EQ16</f>
        <v>8800</v>
      </c>
      <c r="BD9" s="82">
        <f>'DJB Daily Readings'!EK17-'DJB Daily Readings'!EK16</f>
        <v>3500</v>
      </c>
      <c r="BE9" s="82">
        <f>'DJB Daily Readings'!EM17-'DJB Daily Readings'!EM16</f>
        <v>1300</v>
      </c>
      <c r="BF9" s="82">
        <f>'DJB Daily Readings'!EO17-'DJB Daily Readings'!EO16</f>
        <v>940</v>
      </c>
      <c r="BG9" s="82">
        <f>('DJB Daily Readings'!ET17-'DJB Daily Readings'!ET16)*1.89</f>
        <v>30.24</v>
      </c>
      <c r="BH9" s="82">
        <f>('DJB Daily Readings'!EV17-'DJB Daily Readings'!EV16)*1.89</f>
        <v>22.68</v>
      </c>
      <c r="BI9" s="82">
        <f>('DJB Daily Readings'!EZ17-'DJB Daily Readings'!EZ16)*1.89</f>
        <v>30.24</v>
      </c>
      <c r="BJ9" s="82">
        <f>('DJB Daily Readings'!EX17-'DJB Daily Readings'!EX16)*1.89</f>
        <v>20.79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2021</v>
      </c>
      <c r="E10" s="78">
        <f>237*0.68</f>
        <v>161.16000000000003</v>
      </c>
      <c r="F10" s="79">
        <f>206+26</f>
        <v>232</v>
      </c>
      <c r="G10" s="3">
        <f>'DJB Daily Readings'!C18-'DJB Daily Readings'!C17</f>
        <v>792</v>
      </c>
      <c r="H10" s="3">
        <f>'DJB Daily Readings'!F18-'DJB Daily Readings'!F17</f>
        <v>294</v>
      </c>
      <c r="I10" s="3">
        <f>'DJB Daily Readings'!K18-'DJB Daily Readings'!K17</f>
        <v>408</v>
      </c>
      <c r="J10" s="3">
        <f>'DJB Daily Readings'!K18-'DJB Daily Readings'!K17</f>
        <v>408</v>
      </c>
      <c r="K10" s="3">
        <f>'DJB Daily Readings'!O18-'DJB Daily Readings'!O17</f>
        <v>294.39000000000669</v>
      </c>
      <c r="L10" s="3">
        <f>'DJB Daily Readings'!R18-'DJB Daily Readings'!R17</f>
        <v>46</v>
      </c>
      <c r="M10" s="3">
        <f>'DJB Daily Readings'!U18-'DJB Daily Readings'!U17</f>
        <v>2679.5999999996275</v>
      </c>
      <c r="N10" s="3">
        <f>'DJB Daily Readings'!X18-'DJB Daily Readings'!X17</f>
        <v>4774.5599999986589</v>
      </c>
      <c r="O10" s="3">
        <f>'DJB Daily Readings'!AA18-'DJB Daily Readings'!AA17</f>
        <v>14323.680000001565</v>
      </c>
      <c r="P10" s="3">
        <f>'DJB Daily Readings'!AD18-'DJB Daily Readings'!AD17</f>
        <v>1802.6399999987334</v>
      </c>
      <c r="Q10" s="3">
        <f>'DJB Daily Readings'!AG18-'DJB Daily Readings'!AG17</f>
        <v>14810.88000000082</v>
      </c>
      <c r="R10" s="3">
        <f>'DJB Daily Readings'!AJ18-'DJB Daily Readings'!AJ17</f>
        <v>5261.7599999997765</v>
      </c>
      <c r="S10" s="3">
        <f>'DJB Daily Readings'!AM18-'DJB Daily Readings'!AM17</f>
        <v>5066.8800000008196</v>
      </c>
      <c r="T10" s="3">
        <f>'DJB Daily Readings'!AP18-'DJB Daily Readings'!AP17</f>
        <v>4043.7599999997765</v>
      </c>
      <c r="U10" s="3">
        <f>'DJB Daily Readings'!AS18-'DJB Daily Readings'!AS17</f>
        <v>3020.640000000596</v>
      </c>
      <c r="V10" s="3">
        <f>'DJB Daily Readings'!AV18-'DJB Daily Readings'!AV17</f>
        <v>6625.9199999999255</v>
      </c>
      <c r="W10" s="3">
        <f>'DJB Daily Readings'!AZ18-'DJB Daily Readings'!AZ17</f>
        <v>70400</v>
      </c>
      <c r="X10" s="3">
        <f>'DJB Daily Readings'!BC18-'DJB Daily Readings'!BC17</f>
        <v>100</v>
      </c>
      <c r="Y10" s="3">
        <f>'DJB Daily Readings'!BF18-'DJB Daily Readings'!BF17</f>
        <v>60300</v>
      </c>
      <c r="Z10" s="3">
        <f>('DJB Daily Readings'!CK18-'DJB Daily Readings'!CK17)*1.89</f>
        <v>166.32</v>
      </c>
      <c r="AA10" s="3">
        <f>('DJB Daily Readings'!CN18-'DJB Daily Readings'!CN17)*1.89</f>
        <v>128.51999999999998</v>
      </c>
      <c r="AB10" s="3">
        <f>('DJB Daily Readings'!CQ18-'DJB Daily Readings'!CQ17)*1.89</f>
        <v>0</v>
      </c>
      <c r="AC10" s="3">
        <f>'DJB Daily Readings'!CT18-'DJB Daily Readings'!CT17</f>
        <v>221</v>
      </c>
      <c r="AD10" s="84">
        <f>('DJB Daily Readings'!BY18-'DJB Daily Readings'!BY17)*1.89</f>
        <v>32.129999999999995</v>
      </c>
      <c r="AE10" s="84">
        <f>('DJB Daily Readings'!CA18-'DJB Daily Readings'!CA17)*1.89</f>
        <v>30.24</v>
      </c>
      <c r="AF10" s="84">
        <f>('DJB Daily Readings'!CC18-'DJB Daily Readings'!CC17)*1.89</f>
        <v>11.34</v>
      </c>
      <c r="AG10" s="84">
        <f>('DJB Daily Readings'!CE18-'DJB Daily Readings'!CE17)*1.89</f>
        <v>17.009999999999998</v>
      </c>
      <c r="AH10" s="84">
        <f>('DJB Daily Readings'!CG18-'DJB Daily Readings'!CG17)*1.89</f>
        <v>20.79</v>
      </c>
      <c r="AI10" s="84">
        <f>('DJB Daily Readings'!CI18-'DJB Daily Readings'!CI17)*1.89</f>
        <v>47.25</v>
      </c>
      <c r="AJ10" s="81">
        <f>'DJB Daily Readings'!CY18-'DJB Daily Readings'!CY17</f>
        <v>5</v>
      </c>
      <c r="AK10" s="81">
        <f>'DJB Daily Readings'!CW18-'DJB Daily Readings'!CW17</f>
        <v>6</v>
      </c>
      <c r="AL10" s="82">
        <f>'DJB Daily Readings'!DC18-'DJB Daily Readings'!DC17</f>
        <v>18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5</v>
      </c>
      <c r="AS10" s="82">
        <f>'DJB Daily Readings'!DM18-'DJB Daily Readings'!DM17</f>
        <v>9</v>
      </c>
      <c r="AT10" s="82">
        <f>'DJB Daily Readings'!DQ18-'DJB Daily Readings'!DQ17</f>
        <v>12</v>
      </c>
      <c r="AU10" s="82">
        <f>'DJB Daily Readings'!DT18-'DJB Daily Readings'!DT17</f>
        <v>10.5</v>
      </c>
      <c r="AW10" s="82">
        <f>'DJB Daily Readings'!DX18-'DJB Daily Readings'!DX17</f>
        <v>8.2999999999999545</v>
      </c>
      <c r="AX10" s="82">
        <f>'DJB Daily Readings'!DZ18-'DJB Daily Readings'!DZ17</f>
        <v>10.899999999999864</v>
      </c>
      <c r="AY10" s="82">
        <f>'DJB Daily Readings'!EB18-'DJB Daily Readings'!EB17</f>
        <v>787</v>
      </c>
      <c r="AZ10" s="82">
        <f>'DJB Daily Readings'!ED18-'DJB Daily Readings'!ED17</f>
        <v>159.80000000001746</v>
      </c>
      <c r="BA10" s="82">
        <f>'DJB Daily Readings'!EG18-'DJB Daily Readings'!EG17</f>
        <v>9100</v>
      </c>
      <c r="BB10" s="82">
        <f>'DJB Daily Readings'!EI18-'DJB Daily Readings'!EI17</f>
        <v>440</v>
      </c>
      <c r="BC10" s="82">
        <f>'DJB Daily Readings'!EQ18-'DJB Daily Readings'!EQ17</f>
        <v>10700</v>
      </c>
      <c r="BD10" s="82">
        <f>'DJB Daily Readings'!EK18-'DJB Daily Readings'!EK17</f>
        <v>3700</v>
      </c>
      <c r="BE10" s="82">
        <f>'DJB Daily Readings'!EM18-'DJB Daily Readings'!EM17</f>
        <v>1500</v>
      </c>
      <c r="BF10" s="82">
        <f>'DJB Daily Readings'!EO18-'DJB Daily Readings'!EO17</f>
        <v>960</v>
      </c>
      <c r="BG10" s="82">
        <f>('DJB Daily Readings'!ET18-'DJB Daily Readings'!ET17)*1.89</f>
        <v>26.459999999999997</v>
      </c>
      <c r="BH10" s="82">
        <f>('DJB Daily Readings'!EV18-'DJB Daily Readings'!EV17)*1.89</f>
        <v>32.129999999999995</v>
      </c>
      <c r="BI10" s="82">
        <f>('DJB Daily Readings'!EZ18-'DJB Daily Readings'!EZ17)*1.89</f>
        <v>32.129999999999995</v>
      </c>
      <c r="BJ10" s="82">
        <f>('DJB Daily Readings'!EX18-'DJB Daily Readings'!EX17)*1.89</f>
        <v>18.899999999999999</v>
      </c>
      <c r="BK10" s="82">
        <f>('DJB Daily Readings'!FB18-'DJB Daily Readings'!FB17)*1.89</f>
        <v>52.919999999999995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2021</v>
      </c>
      <c r="E11" s="78">
        <f>237*0.48</f>
        <v>113.75999999999999</v>
      </c>
      <c r="F11" s="79">
        <f>165+16</f>
        <v>181</v>
      </c>
      <c r="G11" s="3">
        <f>'DJB Daily Readings'!C19-'DJB Daily Readings'!C18</f>
        <v>829</v>
      </c>
      <c r="H11" s="3">
        <f>'DJB Daily Readings'!F19-'DJB Daily Readings'!F18</f>
        <v>340</v>
      </c>
      <c r="I11" s="3">
        <f>'DJB Daily Readings'!K19-'DJB Daily Readings'!K18</f>
        <v>389</v>
      </c>
      <c r="J11" s="3">
        <f>'DJB Daily Readings'!K19-'DJB Daily Readings'!K18</f>
        <v>389</v>
      </c>
      <c r="K11" s="3">
        <f>'DJB Daily Readings'!O19-'DJB Daily Readings'!O18</f>
        <v>303.20999999999913</v>
      </c>
      <c r="L11" s="3">
        <f>'DJB Daily Readings'!R19-'DJB Daily Readings'!R18</f>
        <v>49</v>
      </c>
      <c r="M11" s="3">
        <f>'DJB Daily Readings'!U19-'DJB Daily Readings'!U18</f>
        <v>2338.5599999995902</v>
      </c>
      <c r="N11" s="3">
        <f>'DJB Daily Readings'!X19-'DJB Daily Readings'!X18</f>
        <v>4433.5200000014156</v>
      </c>
      <c r="O11" s="3">
        <f>'DJB Daily Readings'!AA19-'DJB Daily Readings'!AA18</f>
        <v>14616</v>
      </c>
      <c r="P11" s="3">
        <f>'DJB Daily Readings'!AD19-'DJB Daily Readings'!AD18</f>
        <v>1705.1999999992549</v>
      </c>
      <c r="Q11" s="3">
        <f>'DJB Daily Readings'!AG19-'DJB Daily Readings'!AG18</f>
        <v>15249.359999999404</v>
      </c>
      <c r="R11" s="3">
        <f>'DJB Daily Readings'!AJ19-'DJB Daily Readings'!AJ18</f>
        <v>5456.640000000596</v>
      </c>
      <c r="S11" s="3">
        <f>'DJB Daily Readings'!AM19-'DJB Daily Readings'!AM18</f>
        <v>4774.5600000005215</v>
      </c>
      <c r="T11" s="3">
        <f>'DJB Daily Readings'!AP19-'DJB Daily Readings'!AP18</f>
        <v>3946.3200000021607</v>
      </c>
      <c r="U11" s="3">
        <f>'DJB Daily Readings'!AS19-'DJB Daily Readings'!AS18</f>
        <v>2874.4799999985844</v>
      </c>
      <c r="V11" s="3">
        <f>'DJB Daily Readings'!AV19-'DJB Daily Readings'!AV18</f>
        <v>6869.519999999553</v>
      </c>
      <c r="W11" s="3">
        <f>'DJB Daily Readings'!AZ19-'DJB Daily Readings'!AZ18</f>
        <v>72700</v>
      </c>
      <c r="X11" s="3">
        <f>'DJB Daily Readings'!BC19-'DJB Daily Readings'!BC18</f>
        <v>0</v>
      </c>
      <c r="Y11" s="3">
        <f>'DJB Daily Readings'!BF19-'DJB Daily Readings'!BF18</f>
        <v>65800</v>
      </c>
      <c r="Z11" s="3">
        <f>('DJB Daily Readings'!CK19-'DJB Daily Readings'!CK18)*1.89</f>
        <v>171.98999999999998</v>
      </c>
      <c r="AA11" s="3">
        <f>('DJB Daily Readings'!CN19-'DJB Daily Readings'!CN18)*1.89</f>
        <v>170.1</v>
      </c>
      <c r="AB11" s="3">
        <f>('DJB Daily Readings'!CQ19-'DJB Daily Readings'!CQ18)*1.89</f>
        <v>0</v>
      </c>
      <c r="AC11" s="3">
        <f>'DJB Daily Readings'!CT19-'DJB Daily Readings'!CT18</f>
        <v>226</v>
      </c>
      <c r="AD11" s="84">
        <f>('DJB Daily Readings'!BY19-'DJB Daily Readings'!BY18)*1.89</f>
        <v>34.019999999999996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17.009999999999998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10</v>
      </c>
      <c r="AL11" s="82">
        <f>'DJB Daily Readings'!DC19-'DJB Daily Readings'!DC18</f>
        <v>21</v>
      </c>
      <c r="AM11" s="82">
        <f>'DJB Daily Readings'!DA19-'DJB Daily Readings'!DA18</f>
        <v>14</v>
      </c>
      <c r="AN11" s="82">
        <f>'DJB Daily Readings'!DG19-'DJB Daily Readings'!DG18</f>
        <v>13</v>
      </c>
      <c r="AO11" s="82">
        <f>'DJB Daily Readings'!DE19-'DJB Daily Readings'!DE18</f>
        <v>8</v>
      </c>
      <c r="AP11" s="82">
        <f>'DJB Daily Readings'!DK19-'DJB Daily Readings'!DK18</f>
        <v>16</v>
      </c>
      <c r="AQ11" s="82">
        <f>'DJB Daily Readings'!DI19-'DJB Daily Readings'!DI18</f>
        <v>11</v>
      </c>
      <c r="AR11" s="82">
        <f>'DJB Daily Readings'!DO19-'DJB Daily Readings'!DO18</f>
        <v>4</v>
      </c>
      <c r="AS11" s="82">
        <f>'DJB Daily Readings'!DM19-'DJB Daily Readings'!DM18</f>
        <v>9</v>
      </c>
      <c r="AT11" s="82">
        <f>'DJB Daily Readings'!DQ19-'DJB Daily Readings'!DQ18</f>
        <v>11</v>
      </c>
      <c r="AU11" s="82">
        <f>'DJB Daily Readings'!DT19-'DJB Daily Readings'!DT18</f>
        <v>10.799999999999727</v>
      </c>
      <c r="AW11" s="82">
        <f>'DJB Daily Readings'!DX19-'DJB Daily Readings'!DX18</f>
        <v>8.2000000000000455</v>
      </c>
      <c r="AX11" s="82">
        <f>'DJB Daily Readings'!DZ19-'DJB Daily Readings'!DZ18</f>
        <v>12.400000000000091</v>
      </c>
      <c r="AY11" s="82">
        <f>'DJB Daily Readings'!EB19-'DJB Daily Readings'!EB18</f>
        <v>844</v>
      </c>
      <c r="AZ11" s="82">
        <f>'DJB Daily Readings'!ED19-'DJB Daily Readings'!ED18</f>
        <v>158.10000000000582</v>
      </c>
      <c r="BA11" s="82">
        <f>'DJB Daily Readings'!EG19-'DJB Daily Readings'!EG18</f>
        <v>10000</v>
      </c>
      <c r="BB11" s="82">
        <f>'DJB Daily Readings'!EI19-'DJB Daily Readings'!EI18</f>
        <v>510</v>
      </c>
      <c r="BC11" s="82">
        <f>'DJB Daily Readings'!EQ19-'DJB Daily Readings'!EQ18</f>
        <v>11200</v>
      </c>
      <c r="BD11" s="82">
        <f>'DJB Daily Readings'!EK19-'DJB Daily Readings'!EK18</f>
        <v>4200</v>
      </c>
      <c r="BE11" s="82">
        <f>'DJB Daily Readings'!EM19-'DJB Daily Readings'!EM18</f>
        <v>1500</v>
      </c>
      <c r="BF11" s="82">
        <f>'DJB Daily Readings'!EO19-'DJB Daily Readings'!EO18</f>
        <v>1130</v>
      </c>
      <c r="BG11" s="82">
        <f>('DJB Daily Readings'!ET19-'DJB Daily Readings'!ET18)*1.89</f>
        <v>30.24</v>
      </c>
      <c r="BH11" s="82">
        <f>('DJB Daily Readings'!EV19-'DJB Daily Readings'!EV18)*1.89</f>
        <v>28.349999999999998</v>
      </c>
      <c r="BI11" s="82">
        <f>('DJB Daily Readings'!EZ19-'DJB Daily Readings'!EZ18)*1.89</f>
        <v>28.349999999999998</v>
      </c>
      <c r="BJ11" s="82">
        <f>('DJB Daily Readings'!EX19-'DJB Daily Readings'!EX18)*1.89</f>
        <v>30.24</v>
      </c>
      <c r="BK11" s="82">
        <f>('DJB Daily Readings'!FB19-'DJB Daily Readings'!FB18)*1.89</f>
        <v>52.919999999999995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2021</v>
      </c>
      <c r="E12" s="78">
        <f>237*0.58</f>
        <v>137.45999999999998</v>
      </c>
      <c r="F12" s="79">
        <f>192+6</f>
        <v>198</v>
      </c>
      <c r="G12" s="3">
        <f>'DJB Daily Readings'!C20-'DJB Daily Readings'!C19</f>
        <v>749</v>
      </c>
      <c r="H12" s="3">
        <f>'DJB Daily Readings'!F20-'DJB Daily Readings'!F19</f>
        <v>272</v>
      </c>
      <c r="I12" s="3">
        <f>'DJB Daily Readings'!K20-'DJB Daily Readings'!K19</f>
        <v>395</v>
      </c>
      <c r="J12" s="3">
        <f>'DJB Daily Readings'!K20-'DJB Daily Readings'!K19</f>
        <v>395</v>
      </c>
      <c r="K12" s="3">
        <f>'DJB Daily Readings'!O20-'DJB Daily Readings'!O19</f>
        <v>287.09999999999854</v>
      </c>
      <c r="L12" s="3">
        <f>'DJB Daily Readings'!R20-'DJB Daily Readings'!R19</f>
        <v>44</v>
      </c>
      <c r="M12" s="3">
        <f>'DJB Daily Readings'!U20-'DJB Daily Readings'!U19</f>
        <v>3264.2400000002235</v>
      </c>
      <c r="N12" s="3">
        <f>'DJB Daily Readings'!X20-'DJB Daily Readings'!X19</f>
        <v>4920.7199999988079</v>
      </c>
      <c r="O12" s="3">
        <f>'DJB Daily Readings'!AA20-'DJB Daily Readings'!AA19</f>
        <v>13933.919999999925</v>
      </c>
      <c r="P12" s="3">
        <f>'DJB Daily Readings'!AD20-'DJB Daily Readings'!AD19</f>
        <v>12569.760000001639</v>
      </c>
      <c r="Q12" s="3">
        <f>'DJB Daily Readings'!AG20-'DJB Daily Readings'!AG19</f>
        <v>1607.7599999997765</v>
      </c>
      <c r="R12" s="3">
        <f>'DJB Daily Readings'!AJ20-'DJB Daily Readings'!AJ19</f>
        <v>5846.4000000003725</v>
      </c>
      <c r="S12" s="3">
        <f>'DJB Daily Readings'!AM20-'DJB Daily Readings'!AM19</f>
        <v>4774.5599999986589</v>
      </c>
      <c r="T12" s="3">
        <f>'DJB Daily Readings'!AP20-'DJB Daily Readings'!AP19</f>
        <v>3702.7199999988079</v>
      </c>
      <c r="U12" s="3">
        <f>'DJB Daily Readings'!AS20-'DJB Daily Readings'!AS19</f>
        <v>2874.480000000447</v>
      </c>
      <c r="V12" s="3">
        <f>'DJB Daily Readings'!AV20-'DJB Daily Readings'!AV19</f>
        <v>6479.7599999997765</v>
      </c>
      <c r="W12" s="3">
        <f>'DJB Daily Readings'!AZ20-'DJB Daily Readings'!AZ19</f>
        <v>67600</v>
      </c>
      <c r="X12" s="3">
        <f>'DJB Daily Readings'!BC20-'DJB Daily Readings'!BC19</f>
        <v>60100</v>
      </c>
      <c r="Y12" s="3">
        <f>'DJB Daily Readings'!BF20-'DJB Daily Readings'!BF19</f>
        <v>2200</v>
      </c>
      <c r="Z12" s="3">
        <f>('DJB Daily Readings'!CK20-'DJB Daily Readings'!CK19)*1.89</f>
        <v>185.22</v>
      </c>
      <c r="AA12" s="3">
        <f>('DJB Daily Readings'!CN20-'DJB Daily Readings'!CN19)*1.89</f>
        <v>170.1</v>
      </c>
      <c r="AB12" s="3">
        <f>('DJB Daily Readings'!CQ20-'DJB Daily Readings'!CQ19)*1.89</f>
        <v>0</v>
      </c>
      <c r="AC12" s="3">
        <f>'DJB Daily Readings'!CT20-'DJB Daily Readings'!CT19</f>
        <v>253</v>
      </c>
      <c r="AD12" s="84">
        <f>('DJB Daily Readings'!BY20-'DJB Daily Readings'!BY19)*1.89</f>
        <v>32.129999999999995</v>
      </c>
      <c r="AE12" s="84">
        <f>('DJB Daily Readings'!CA20-'DJB Daily Readings'!CA19)*1.89</f>
        <v>26.459999999999997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20.79</v>
      </c>
      <c r="AI12" s="84">
        <f>('DJB Daily Readings'!CI20-'DJB Daily Readings'!CI19)*1.89</f>
        <v>49.14</v>
      </c>
      <c r="AJ12" s="81">
        <f>'DJB Daily Readings'!CY20-'DJB Daily Readings'!CY19</f>
        <v>5</v>
      </c>
      <c r="AK12" s="81">
        <f>'DJB Daily Readings'!CW20-'DJB Daily Readings'!CW19</f>
        <v>5</v>
      </c>
      <c r="AL12" s="82">
        <f>'DJB Daily Readings'!DC20-'DJB Daily Readings'!DC19</f>
        <v>15</v>
      </c>
      <c r="AM12" s="82">
        <f>'DJB Daily Readings'!DA20-'DJB Daily Readings'!DA19</f>
        <v>10</v>
      </c>
      <c r="AN12" s="82">
        <f>'DJB Daily Readings'!DG20-'DJB Daily Readings'!DG19</f>
        <v>7</v>
      </c>
      <c r="AO12" s="82">
        <f>'DJB Daily Readings'!DE20-'DJB Daily Readings'!DE19</f>
        <v>6</v>
      </c>
      <c r="AP12" s="82">
        <f>'DJB Daily Readings'!DK20-'DJB Daily Readings'!DK19</f>
        <v>15</v>
      </c>
      <c r="AQ12" s="82">
        <f>'DJB Daily Readings'!DI20-'DJB Daily Readings'!DI19</f>
        <v>8</v>
      </c>
      <c r="AR12" s="82">
        <f>'DJB Daily Readings'!DO20-'DJB Daily Readings'!DO19</f>
        <v>4</v>
      </c>
      <c r="AS12" s="82">
        <f>'DJB Daily Readings'!DM20-'DJB Daily Readings'!DM19</f>
        <v>8</v>
      </c>
      <c r="AT12" s="82">
        <f>'DJB Daily Readings'!DQ20-'DJB Daily Readings'!DQ19</f>
        <v>6</v>
      </c>
      <c r="AU12" s="82">
        <f>'DJB Daily Readings'!DT20-'DJB Daily Readings'!DT19</f>
        <v>8</v>
      </c>
      <c r="AW12" s="82">
        <f>'DJB Daily Readings'!DX20-'DJB Daily Readings'!DX19</f>
        <v>7.5</v>
      </c>
      <c r="AX12" s="82">
        <f>'DJB Daily Readings'!DZ20-'DJB Daily Readings'!DZ19</f>
        <v>11.799999999999955</v>
      </c>
      <c r="AY12" s="82">
        <f>'DJB Daily Readings'!EB20-'DJB Daily Readings'!EB19</f>
        <v>801</v>
      </c>
      <c r="AZ12" s="82">
        <f>'DJB Daily Readings'!ED20-'DJB Daily Readings'!ED19</f>
        <v>151.19999999998254</v>
      </c>
      <c r="BA12" s="82">
        <f>'DJB Daily Readings'!EG20-'DJB Daily Readings'!EG19</f>
        <v>8300</v>
      </c>
      <c r="BB12" s="82">
        <f>'DJB Daily Readings'!EI20-'DJB Daily Readings'!EI19</f>
        <v>410</v>
      </c>
      <c r="BC12" s="82">
        <f>'DJB Daily Readings'!EQ20-'DJB Daily Readings'!EQ19</f>
        <v>9200</v>
      </c>
      <c r="BD12" s="82">
        <f>'DJB Daily Readings'!EK20-'DJB Daily Readings'!EK19</f>
        <v>3500</v>
      </c>
      <c r="BE12" s="82">
        <f>'DJB Daily Readings'!EM20-'DJB Daily Readings'!EM19</f>
        <v>1300</v>
      </c>
      <c r="BF12" s="82">
        <f>'DJB Daily Readings'!EO20-'DJB Daily Readings'!EO19</f>
        <v>980</v>
      </c>
      <c r="BG12" s="82">
        <f>('DJB Daily Readings'!ET20-'DJB Daily Readings'!ET19)*1.89</f>
        <v>26.459999999999997</v>
      </c>
      <c r="BH12" s="82">
        <f>('DJB Daily Readings'!EV20-'DJB Daily Readings'!EV19)*1.89</f>
        <v>24.57</v>
      </c>
      <c r="BI12" s="82">
        <f>('DJB Daily Readings'!EZ20-'DJB Daily Readings'!EZ19)*1.89</f>
        <v>26.459999999999997</v>
      </c>
      <c r="BJ12" s="82">
        <f>('DJB Daily Readings'!EX20-'DJB Daily Readings'!EX19)*1.89</f>
        <v>28.349999999999998</v>
      </c>
      <c r="BK12" s="82">
        <f>('DJB Daily Readings'!FB20-'DJB Daily Readings'!FB19)*1.89</f>
        <v>47.25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2021</v>
      </c>
      <c r="E13" s="78">
        <f>237*0.61</f>
        <v>144.57</v>
      </c>
      <c r="F13" s="79">
        <f>207+12</f>
        <v>219</v>
      </c>
      <c r="G13" s="3">
        <f>'DJB Daily Readings'!C21-'DJB Daily Readings'!C20</f>
        <v>801</v>
      </c>
      <c r="H13" s="3">
        <f>'DJB Daily Readings'!F21-'DJB Daily Readings'!F20</f>
        <v>261</v>
      </c>
      <c r="I13" s="3">
        <f>'DJB Daily Readings'!K21-'DJB Daily Readings'!K20</f>
        <v>362</v>
      </c>
      <c r="J13" s="3">
        <f>'DJB Daily Readings'!K21-'DJB Daily Readings'!K20</f>
        <v>362</v>
      </c>
      <c r="K13" s="3">
        <f>'DJB Daily Readings'!O21-'DJB Daily Readings'!O20</f>
        <v>281.58000000000175</v>
      </c>
      <c r="L13" s="3">
        <f>'DJB Daily Readings'!R21-'DJB Daily Readings'!R20</f>
        <v>47</v>
      </c>
      <c r="M13" s="3">
        <f>'DJB Daily Readings'!U21-'DJB Daily Readings'!U20</f>
        <v>3069.359999999404</v>
      </c>
      <c r="N13" s="3">
        <f>'DJB Daily Readings'!X21-'DJB Daily Readings'!X20</f>
        <v>4677.1199999991804</v>
      </c>
      <c r="O13" s="3">
        <f>'DJB Daily Readings'!AA21-'DJB Daily Readings'!AA20</f>
        <v>11303.039999999106</v>
      </c>
      <c r="P13" s="3">
        <f>'DJB Daily Readings'!AD21-'DJB Daily Readings'!AD20</f>
        <v>12910.800000000745</v>
      </c>
      <c r="Q13" s="3">
        <f>'DJB Daily Readings'!AG21-'DJB Daily Readings'!AG20</f>
        <v>1412.8800000008196</v>
      </c>
      <c r="R13" s="3">
        <f>'DJB Daily Readings'!AJ21-'DJB Daily Readings'!AJ20</f>
        <v>5505.359999999404</v>
      </c>
      <c r="S13" s="3">
        <f>'DJB Daily Readings'!AM21-'DJB Daily Readings'!AM20</f>
        <v>4823.2800000011921</v>
      </c>
      <c r="T13" s="3">
        <f>'DJB Daily Readings'!AP21-'DJB Daily Readings'!AP20</f>
        <v>3995.0400000009686</v>
      </c>
      <c r="U13" s="3">
        <f>'DJB Daily Readings'!AS21-'DJB Daily Readings'!AS20</f>
        <v>2971.9199999999255</v>
      </c>
      <c r="V13" s="3">
        <f>'DJB Daily Readings'!AV21-'DJB Daily Readings'!AV20</f>
        <v>6625.9199999999255</v>
      </c>
      <c r="W13" s="3">
        <f>'DJB Daily Readings'!AZ21-'DJB Daily Readings'!AZ20</f>
        <v>57100</v>
      </c>
      <c r="X13" s="3">
        <f>'DJB Daily Readings'!BC21-'DJB Daily Readings'!BC20</f>
        <v>65900</v>
      </c>
      <c r="Y13" s="3">
        <f>'DJB Daily Readings'!BF21-'DJB Daily Readings'!BF20</f>
        <v>0</v>
      </c>
      <c r="Z13" s="3">
        <f>('DJB Daily Readings'!CK21-'DJB Daily Readings'!CK20)*1.89</f>
        <v>168.20999999999998</v>
      </c>
      <c r="AA13" s="3">
        <f>('DJB Daily Readings'!CN21-'DJB Daily Readings'!CN20)*1.89</f>
        <v>124.74</v>
      </c>
      <c r="AB13" s="3">
        <f>('DJB Daily Readings'!CQ21-'DJB Daily Readings'!CQ20)*1.89</f>
        <v>0</v>
      </c>
      <c r="AC13" s="3">
        <f>'DJB Daily Readings'!CT21-'DJB Daily Readings'!CT20</f>
        <v>220</v>
      </c>
      <c r="AD13" s="84">
        <f>('DJB Daily Readings'!BY21-'DJB Daily Readings'!BY20)*1.89</f>
        <v>32.129999999999995</v>
      </c>
      <c r="AE13" s="84">
        <f>('DJB Daily Readings'!CA21-'DJB Daily Readings'!CA20)*1.89</f>
        <v>32.129999999999995</v>
      </c>
      <c r="AF13" s="84">
        <f>('DJB Daily Readings'!CC21-'DJB Daily Readings'!CC20)*1.89</f>
        <v>7.56</v>
      </c>
      <c r="AG13" s="84">
        <f>('DJB Daily Readings'!CE21-'DJB Daily Readings'!CE20)*1.89</f>
        <v>22.68</v>
      </c>
      <c r="AH13" s="84">
        <f>('DJB Daily Readings'!CG21-'DJB Daily Readings'!CG20)*1.89</f>
        <v>17.009999999999998</v>
      </c>
      <c r="AI13" s="84">
        <f>('DJB Daily Readings'!CI21-'DJB Daily Readings'!CI20)*1.89</f>
        <v>47.25</v>
      </c>
      <c r="AJ13" s="81">
        <f>'DJB Daily Readings'!CY21-'DJB Daily Readings'!CY20</f>
        <v>4</v>
      </c>
      <c r="AK13" s="81">
        <f>'DJB Daily Readings'!CW21-'DJB Daily Readings'!CW20</f>
        <v>4</v>
      </c>
      <c r="AL13" s="82">
        <f>'DJB Daily Readings'!DC21-'DJB Daily Readings'!DC20</f>
        <v>8</v>
      </c>
      <c r="AM13" s="82">
        <f>'DJB Daily Readings'!DA21-'DJB Daily Readings'!DA20</f>
        <v>9</v>
      </c>
      <c r="AN13" s="82">
        <f>'DJB Daily Readings'!DG21-'DJB Daily Readings'!DG20</f>
        <v>8</v>
      </c>
      <c r="AO13" s="82">
        <f>'DJB Daily Readings'!DE21-'DJB Daily Readings'!DE20</f>
        <v>7</v>
      </c>
      <c r="AP13" s="82">
        <f>'DJB Daily Readings'!DK21-'DJB Daily Readings'!DK20</f>
        <v>14</v>
      </c>
      <c r="AQ13" s="82">
        <f>'DJB Daily Readings'!DI21-'DJB Daily Readings'!DI20</f>
        <v>6</v>
      </c>
      <c r="AR13" s="82">
        <f>'DJB Daily Readings'!DO21-'DJB Daily Readings'!DO20</f>
        <v>2</v>
      </c>
      <c r="AS13" s="82">
        <f>'DJB Daily Readings'!DM21-'DJB Daily Readings'!DM20</f>
        <v>6</v>
      </c>
      <c r="AT13" s="82">
        <f>'DJB Daily Readings'!DQ21-'DJB Daily Readings'!DQ20</f>
        <v>6</v>
      </c>
      <c r="AU13" s="82">
        <f>'DJB Daily Readings'!DT21-'DJB Daily Readings'!DT20</f>
        <v>11.700000000000273</v>
      </c>
      <c r="AW13" s="82">
        <f>'DJB Daily Readings'!DX21-'DJB Daily Readings'!DX20</f>
        <v>7.9000000000000909</v>
      </c>
      <c r="AX13" s="82">
        <f>'DJB Daily Readings'!DZ21-'DJB Daily Readings'!DZ20</f>
        <v>11.200000000000045</v>
      </c>
      <c r="AY13" s="82">
        <f>'DJB Daily Readings'!EB21-'DJB Daily Readings'!EB20</f>
        <v>786</v>
      </c>
      <c r="AZ13" s="82">
        <f>'DJB Daily Readings'!ED21-'DJB Daily Readings'!ED20</f>
        <v>151.89999999999418</v>
      </c>
      <c r="BA13" s="82">
        <f>'DJB Daily Readings'!EG21-'DJB Daily Readings'!EG20</f>
        <v>8600</v>
      </c>
      <c r="BB13" s="82">
        <f>'DJB Daily Readings'!EI21-'DJB Daily Readings'!EI20</f>
        <v>450</v>
      </c>
      <c r="BC13" s="82">
        <f>'DJB Daily Readings'!EQ21-'DJB Daily Readings'!EQ20</f>
        <v>8700</v>
      </c>
      <c r="BD13" s="82">
        <f>'DJB Daily Readings'!EK21-'DJB Daily Readings'!EK20</f>
        <v>3500</v>
      </c>
      <c r="BE13" s="82">
        <f>'DJB Daily Readings'!EM21-'DJB Daily Readings'!EM20</f>
        <v>1100</v>
      </c>
      <c r="BF13" s="82">
        <f>'DJB Daily Readings'!EO21-'DJB Daily Readings'!EO20</f>
        <v>920</v>
      </c>
      <c r="BG13" s="82">
        <f>('DJB Daily Readings'!ET21-'DJB Daily Readings'!ET20)*1.89</f>
        <v>24.57</v>
      </c>
      <c r="BH13" s="82">
        <f>('DJB Daily Readings'!EV21-'DJB Daily Readings'!EV20)*1.89</f>
        <v>20.79</v>
      </c>
      <c r="BI13" s="82">
        <f>('DJB Daily Readings'!EZ21-'DJB Daily Readings'!EZ20)*1.89</f>
        <v>28.349999999999998</v>
      </c>
      <c r="BJ13" s="82">
        <f>('DJB Daily Readings'!EX21-'DJB Daily Readings'!EX20)*1.89</f>
        <v>18.899999999999999</v>
      </c>
      <c r="BK13" s="82">
        <f>('DJB Daily Readings'!FB21-'DJB Daily Readings'!FB20)*1.89</f>
        <v>45.36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2021</v>
      </c>
      <c r="E14" s="78">
        <f>237*0.57</f>
        <v>135.08999999999997</v>
      </c>
      <c r="F14" s="79">
        <f>190+13</f>
        <v>203</v>
      </c>
      <c r="G14" s="3">
        <f>'DJB Daily Readings'!C22-'DJB Daily Readings'!C21</f>
        <v>759</v>
      </c>
      <c r="H14" s="3">
        <f>'DJB Daily Readings'!F22-'DJB Daily Readings'!F21</f>
        <v>263</v>
      </c>
      <c r="I14" s="3">
        <f>'DJB Daily Readings'!K22-'DJB Daily Readings'!K21</f>
        <v>392</v>
      </c>
      <c r="J14" s="3">
        <f>'DJB Daily Readings'!K22-'DJB Daily Readings'!K21</f>
        <v>392</v>
      </c>
      <c r="K14" s="3">
        <f>'DJB Daily Readings'!O22-'DJB Daily Readings'!O21</f>
        <v>278.65999999999622</v>
      </c>
      <c r="L14" s="3">
        <f>'DJB Daily Readings'!R22-'DJB Daily Readings'!R21</f>
        <v>43</v>
      </c>
      <c r="M14" s="3">
        <f>'DJB Daily Readings'!U22-'DJB Daily Readings'!U21</f>
        <v>3020.640000000596</v>
      </c>
      <c r="N14" s="3">
        <f>'DJB Daily Readings'!X22-'DJB Daily Readings'!X21</f>
        <v>4774.5600000023842</v>
      </c>
      <c r="O14" s="3">
        <f>'DJB Daily Readings'!AA22-'DJB Daily Readings'!AA21</f>
        <v>12228.720000000671</v>
      </c>
      <c r="P14" s="3">
        <f>'DJB Daily Readings'!AD22-'DJB Daily Readings'!AD21</f>
        <v>14421.11999999918</v>
      </c>
      <c r="Q14" s="3">
        <f>'DJB Daily Readings'!AG22-'DJB Daily Readings'!AG21</f>
        <v>1559.0399999991059</v>
      </c>
      <c r="R14" s="3">
        <f>'DJB Daily Readings'!AJ22-'DJB Daily Readings'!AJ21</f>
        <v>5748.9599999990314</v>
      </c>
      <c r="S14" s="3">
        <f>'DJB Daily Readings'!AM22-'DJB Daily Readings'!AM21</f>
        <v>4823.2799999993294</v>
      </c>
      <c r="T14" s="3">
        <f>'DJB Daily Readings'!AP22-'DJB Daily Readings'!AP21</f>
        <v>4141.1999999992549</v>
      </c>
      <c r="U14" s="3">
        <f>'DJB Daily Readings'!AS22-'DJB Daily Readings'!AS21</f>
        <v>2923.2000000011176</v>
      </c>
      <c r="V14" s="3">
        <f>'DJB Daily Readings'!AV22-'DJB Daily Readings'!AV21</f>
        <v>6333.5999999996275</v>
      </c>
      <c r="W14" s="3">
        <f>'DJB Daily Readings'!AZ22-'DJB Daily Readings'!AZ21</f>
        <v>60500</v>
      </c>
      <c r="X14" s="3">
        <f>'DJB Daily Readings'!BC22-'DJB Daily Readings'!BC21</f>
        <v>71500</v>
      </c>
      <c r="Y14" s="3">
        <f>'DJB Daily Readings'!BF22-'DJB Daily Readings'!BF21</f>
        <v>0</v>
      </c>
      <c r="Z14" s="3">
        <f>('DJB Daily Readings'!CK22-'DJB Daily Readings'!CK21)*1.89</f>
        <v>173.88</v>
      </c>
      <c r="AA14" s="3">
        <f>('DJB Daily Readings'!CN22-'DJB Daily Readings'!CN21)*1.89</f>
        <v>128.51999999999998</v>
      </c>
      <c r="AB14" s="3">
        <f>('DJB Daily Readings'!CQ22-'DJB Daily Readings'!CQ21)*1.89</f>
        <v>0</v>
      </c>
      <c r="AC14" s="3">
        <f>'DJB Daily Readings'!CT22-'DJB Daily Readings'!CT21</f>
        <v>224</v>
      </c>
      <c r="AD14" s="84">
        <f>('DJB Daily Readings'!BY22-'DJB Daily Readings'!BY21)*1.89</f>
        <v>30.24</v>
      </c>
      <c r="AE14" s="84">
        <f>('DJB Daily Readings'!CA22-'DJB Daily Readings'!CA21)*1.89</f>
        <v>34.019999999999996</v>
      </c>
      <c r="AF14" s="84">
        <f>('DJB Daily Readings'!CC22-'DJB Daily Readings'!CC21)*1.89</f>
        <v>7.56</v>
      </c>
      <c r="AG14" s="84">
        <f>('DJB Daily Readings'!CE22-'DJB Daily Readings'!CE21)*1.89</f>
        <v>18.899999999999999</v>
      </c>
      <c r="AH14" s="84">
        <f>('DJB Daily Readings'!CG22-'DJB Daily Readings'!CG21)*1.89</f>
        <v>18.899999999999999</v>
      </c>
      <c r="AI14" s="84">
        <f>('DJB Daily Readings'!CI22-'DJB Daily Readings'!CI21)*1.89</f>
        <v>47.25</v>
      </c>
      <c r="AJ14" s="81">
        <f>'DJB Daily Readings'!CY22-'DJB Daily Readings'!CY21</f>
        <v>2</v>
      </c>
      <c r="AK14" s="81">
        <f>'DJB Daily Readings'!CW22-'DJB Daily Readings'!CW21</f>
        <v>3</v>
      </c>
      <c r="AL14" s="82">
        <f>'DJB Daily Readings'!DC22-'DJB Daily Readings'!DC21</f>
        <v>10</v>
      </c>
      <c r="AM14" s="82">
        <f>'DJB Daily Readings'!DA22-'DJB Daily Readings'!DA21</f>
        <v>13</v>
      </c>
      <c r="AN14" s="82">
        <f>'DJB Daily Readings'!DG22-'DJB Daily Readings'!DG21</f>
        <v>12</v>
      </c>
      <c r="AO14" s="82">
        <f>'DJB Daily Readings'!DE22-'DJB Daily Readings'!DE21</f>
        <v>6</v>
      </c>
      <c r="AP14" s="82">
        <f>'DJB Daily Readings'!DK22-'DJB Daily Readings'!DK21</f>
        <v>14</v>
      </c>
      <c r="AQ14" s="82">
        <f>'DJB Daily Readings'!DI22-'DJB Daily Readings'!DI21</f>
        <v>8</v>
      </c>
      <c r="AR14" s="82">
        <f>'DJB Daily Readings'!DO22-'DJB Daily Readings'!DO21</f>
        <v>2</v>
      </c>
      <c r="AS14" s="82">
        <f>'DJB Daily Readings'!DM22-'DJB Daily Readings'!DM21</f>
        <v>7</v>
      </c>
      <c r="AT14" s="82">
        <f>'DJB Daily Readings'!DQ22-'DJB Daily Readings'!DQ21</f>
        <v>0</v>
      </c>
      <c r="AU14" s="82">
        <f>'DJB Daily Readings'!DT22-'DJB Daily Readings'!DT21</f>
        <v>9.4000000000000909</v>
      </c>
      <c r="AW14" s="82">
        <f>'DJB Daily Readings'!DX22-'DJB Daily Readings'!DX21</f>
        <v>7.1999999999998181</v>
      </c>
      <c r="AX14" s="82">
        <f>'DJB Daily Readings'!DZ22-'DJB Daily Readings'!DZ21</f>
        <v>11.399999999999864</v>
      </c>
      <c r="AY14" s="82">
        <f>'DJB Daily Readings'!EB22-'DJB Daily Readings'!EB21</f>
        <v>712</v>
      </c>
      <c r="AZ14" s="82">
        <f>'DJB Daily Readings'!ED22-'DJB Daily Readings'!ED21</f>
        <v>149.10000000000582</v>
      </c>
      <c r="BA14" s="82">
        <f>'DJB Daily Readings'!EG22-'DJB Daily Readings'!EG21</f>
        <v>8800</v>
      </c>
      <c r="BB14" s="82">
        <f>'DJB Daily Readings'!EI22-'DJB Daily Readings'!EI21</f>
        <v>450</v>
      </c>
      <c r="BC14" s="82">
        <f>'DJB Daily Readings'!EQ22-'DJB Daily Readings'!EQ21</f>
        <v>10800</v>
      </c>
      <c r="BD14" s="82">
        <f>'DJB Daily Readings'!EK22-'DJB Daily Readings'!EK21</f>
        <v>3900</v>
      </c>
      <c r="BE14" s="82">
        <f>'DJB Daily Readings'!EM22-'DJB Daily Readings'!EM21</f>
        <v>1000</v>
      </c>
      <c r="BF14" s="82">
        <f>'DJB Daily Readings'!EO22-'DJB Daily Readings'!EO21</f>
        <v>1020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26.459999999999997</v>
      </c>
      <c r="BJ14" s="82">
        <f>('DJB Daily Readings'!EX22-'DJB Daily Readings'!EX21)*1.89</f>
        <v>20.79</v>
      </c>
      <c r="BK14" s="82">
        <f>('DJB Daily Readings'!FB22-'DJB Daily Readings'!FB21)*1.89</f>
        <v>43.47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2021</v>
      </c>
      <c r="E15" s="78">
        <f>237*0.6</f>
        <v>142.19999999999999</v>
      </c>
      <c r="F15" s="79">
        <f>198+14</f>
        <v>212</v>
      </c>
      <c r="G15" s="3">
        <f>'DJB Daily Readings'!C23-'DJB Daily Readings'!C22</f>
        <v>638</v>
      </c>
      <c r="H15" s="3">
        <f>'DJB Daily Readings'!F23-'DJB Daily Readings'!F22</f>
        <v>266</v>
      </c>
      <c r="I15" s="3">
        <f>'DJB Daily Readings'!K23-'DJB Daily Readings'!K22</f>
        <v>429</v>
      </c>
      <c r="J15" s="3">
        <f>'DJB Daily Readings'!K23-'DJB Daily Readings'!K22</f>
        <v>429</v>
      </c>
      <c r="K15" s="3">
        <f>'DJB Daily Readings'!O23-'DJB Daily Readings'!O22</f>
        <v>285.94000000000233</v>
      </c>
      <c r="L15" s="3">
        <f>'DJB Daily Readings'!R23-'DJB Daily Readings'!R22</f>
        <v>45</v>
      </c>
      <c r="M15" s="3">
        <f>'DJB Daily Readings'!U23-'DJB Daily Readings'!U22</f>
        <v>3312.9599999999627</v>
      </c>
      <c r="N15" s="3">
        <f>'DJB Daily Readings'!X23-'DJB Daily Readings'!X22</f>
        <v>4823.2799999993294</v>
      </c>
      <c r="O15" s="3">
        <f>'DJB Daily Readings'!AA23-'DJB Daily Readings'!AA22</f>
        <v>14372.39999999851</v>
      </c>
      <c r="P15" s="3">
        <f>'DJB Daily Readings'!AD23-'DJB Daily Readings'!AD22</f>
        <v>14226.240000002086</v>
      </c>
      <c r="Q15" s="3">
        <f>'DJB Daily Readings'!AG23-'DJB Daily Readings'!AG22</f>
        <v>1607.7600000016391</v>
      </c>
      <c r="R15" s="3">
        <f>'DJB Daily Readings'!AJ23-'DJB Daily Readings'!AJ22</f>
        <v>5651.5200000014156</v>
      </c>
      <c r="S15" s="3">
        <f>'DJB Daily Readings'!AM23-'DJB Daily Readings'!AM22</f>
        <v>4530.9599999990314</v>
      </c>
      <c r="T15" s="3">
        <f>'DJB Daily Readings'!AP23-'DJB Daily Readings'!AP22</f>
        <v>4092.4799999985844</v>
      </c>
      <c r="U15" s="3">
        <f>'DJB Daily Readings'!AS23-'DJB Daily Readings'!AS22</f>
        <v>3069.3600000012666</v>
      </c>
      <c r="V15" s="3">
        <f>'DJB Daily Readings'!AV23-'DJB Daily Readings'!AV22</f>
        <v>6479.7600000016391</v>
      </c>
      <c r="W15" s="3">
        <f>'DJB Daily Readings'!AZ23-'DJB Daily Readings'!AZ22</f>
        <v>70900</v>
      </c>
      <c r="X15" s="3">
        <f>'DJB Daily Readings'!BC23-'DJB Daily Readings'!BC22</f>
        <v>68400</v>
      </c>
      <c r="Y15" s="3">
        <f>'DJB Daily Readings'!BF23-'DJB Daily Readings'!BF22</f>
        <v>0</v>
      </c>
      <c r="Z15" s="3">
        <f>('DJB Daily Readings'!CK23-'DJB Daily Readings'!CK22)*1.89</f>
        <v>175.76999999999998</v>
      </c>
      <c r="AA15" s="3">
        <f>('DJB Daily Readings'!CN23-'DJB Daily Readings'!CN22)*1.89</f>
        <v>128.51999999999998</v>
      </c>
      <c r="AB15" s="3">
        <f>('DJB Daily Readings'!CQ23-'DJB Daily Readings'!CQ22)*1.89</f>
        <v>0</v>
      </c>
      <c r="AC15" s="3">
        <f>'DJB Daily Readings'!CT23-'DJB Daily Readings'!CT22</f>
        <v>239</v>
      </c>
      <c r="AD15" s="84">
        <f>('DJB Daily Readings'!BY23-'DJB Daily Readings'!BY22)*1.89</f>
        <v>34.019999999999996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20.79</v>
      </c>
      <c r="AH15" s="84">
        <f>('DJB Daily Readings'!CG23-'DJB Daily Readings'!CG22)*1.89</f>
        <v>28.349999999999998</v>
      </c>
      <c r="AI15" s="84">
        <f>('DJB Daily Readings'!CI23-'DJB Daily Readings'!CI22)*1.89</f>
        <v>47.25</v>
      </c>
      <c r="AJ15" s="81">
        <f>'DJB Daily Readings'!CY23-'DJB Daily Readings'!CY22</f>
        <v>6</v>
      </c>
      <c r="AK15" s="81">
        <f>'DJB Daily Readings'!CW23-'DJB Daily Readings'!CW22</f>
        <v>6</v>
      </c>
      <c r="AL15" s="82">
        <f>'DJB Daily Readings'!DC23-'DJB Daily Readings'!DC22</f>
        <v>12</v>
      </c>
      <c r="AM15" s="82">
        <f>'DJB Daily Readings'!DA23-'DJB Daily Readings'!DA22</f>
        <v>11</v>
      </c>
      <c r="AN15" s="82">
        <f>'DJB Daily Readings'!DG23-'DJB Daily Readings'!DG22</f>
        <v>11</v>
      </c>
      <c r="AO15" s="82">
        <f>'DJB Daily Readings'!DE23-'DJB Daily Readings'!DE22</f>
        <v>7</v>
      </c>
      <c r="AP15" s="82">
        <f>'DJB Daily Readings'!DK23-'DJB Daily Readings'!DK22</f>
        <v>11</v>
      </c>
      <c r="AQ15" s="82">
        <f>'DJB Daily Readings'!DI23-'DJB Daily Readings'!DI22</f>
        <v>9</v>
      </c>
      <c r="AR15" s="82">
        <f>'DJB Daily Readings'!DO23-'DJB Daily Readings'!DO22</f>
        <v>2</v>
      </c>
      <c r="AS15" s="82">
        <f>'DJB Daily Readings'!DM23-'DJB Daily Readings'!DM22</f>
        <v>9</v>
      </c>
      <c r="AT15" s="82">
        <f>'DJB Daily Readings'!DQ23-'DJB Daily Readings'!DQ22</f>
        <v>0</v>
      </c>
      <c r="AU15" s="82">
        <f>'DJB Daily Readings'!DT23-'DJB Daily Readings'!DT22</f>
        <v>9.6999999999998181</v>
      </c>
      <c r="AW15" s="82">
        <f>'DJB Daily Readings'!DX23-'DJB Daily Readings'!DX22</f>
        <v>7.3000000000001819</v>
      </c>
      <c r="AX15" s="82">
        <f>'DJB Daily Readings'!DZ23-'DJB Daily Readings'!DZ22</f>
        <v>11.5</v>
      </c>
      <c r="AY15" s="82">
        <f>'DJB Daily Readings'!EB23-'DJB Daily Readings'!EB22</f>
        <v>744</v>
      </c>
      <c r="AZ15" s="82">
        <f>'DJB Daily Readings'!ED23-'DJB Daily Readings'!ED22</f>
        <v>154.39999999999418</v>
      </c>
      <c r="BA15" s="82">
        <f>'DJB Daily Readings'!EG23-'DJB Daily Readings'!EG22</f>
        <v>9300</v>
      </c>
      <c r="BB15" s="82">
        <f>'DJB Daily Readings'!EI23-'DJB Daily Readings'!EI22</f>
        <v>470</v>
      </c>
      <c r="BC15" s="82">
        <f>'DJB Daily Readings'!EQ23-'DJB Daily Readings'!EQ22</f>
        <v>11600</v>
      </c>
      <c r="BD15" s="82">
        <f>'DJB Daily Readings'!EK23-'DJB Daily Readings'!EK22</f>
        <v>4000</v>
      </c>
      <c r="BE15" s="82">
        <f>'DJB Daily Readings'!EM23-'DJB Daily Readings'!EM22</f>
        <v>1200</v>
      </c>
      <c r="BF15" s="82">
        <f>'DJB Daily Readings'!EO23-'DJB Daily Readings'!EO22</f>
        <v>1020</v>
      </c>
      <c r="BG15" s="82">
        <f>('DJB Daily Readings'!ET23-'DJB Daily Readings'!ET22)*1.89</f>
        <v>26.459999999999997</v>
      </c>
      <c r="BH15" s="82">
        <f>('DJB Daily Readings'!EV23-'DJB Daily Readings'!EV22)*1.89</f>
        <v>22.68</v>
      </c>
      <c r="BI15" s="82">
        <f>('DJB Daily Readings'!EZ23-'DJB Daily Readings'!EZ22)*1.89</f>
        <v>45.36</v>
      </c>
      <c r="BJ15" s="82">
        <f>('DJB Daily Readings'!EX23-'DJB Daily Readings'!EX22)*1.89</f>
        <v>18.899999999999999</v>
      </c>
      <c r="BK15" s="82">
        <f>('DJB Daily Readings'!FB23-'DJB Daily Readings'!FB22)*1.89</f>
        <v>47.25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2021</v>
      </c>
      <c r="E16" s="78">
        <f>237*0.61</f>
        <v>144.57</v>
      </c>
      <c r="F16" s="79">
        <f>211+19</f>
        <v>230</v>
      </c>
      <c r="G16" s="3">
        <f>'DJB Daily Readings'!C24-'DJB Daily Readings'!C23</f>
        <v>798</v>
      </c>
      <c r="H16" s="3">
        <f>'DJB Daily Readings'!F24-'DJB Daily Readings'!F23</f>
        <v>295</v>
      </c>
      <c r="I16" s="3">
        <f>'DJB Daily Readings'!K24-'DJB Daily Readings'!K23</f>
        <v>374</v>
      </c>
      <c r="J16" s="3">
        <f>'DJB Daily Readings'!K24-'DJB Daily Readings'!K23</f>
        <v>374</v>
      </c>
      <c r="K16" s="3">
        <f>'DJB Daily Readings'!O24-'DJB Daily Readings'!O23</f>
        <v>278.01000000000204</v>
      </c>
      <c r="L16" s="3">
        <f>'DJB Daily Readings'!R24-'DJB Daily Readings'!R23</f>
        <v>45</v>
      </c>
      <c r="M16" s="3">
        <f>'DJB Daily Readings'!U24-'DJB Daily Readings'!U23</f>
        <v>3069.3600000003353</v>
      </c>
      <c r="N16" s="3">
        <f>'DJB Daily Readings'!X24-'DJB Daily Readings'!X23</f>
        <v>5018.1599999982864</v>
      </c>
      <c r="O16" s="3">
        <f>'DJB Daily Readings'!AA24-'DJB Daily Readings'!AA23</f>
        <v>11497.920000001788</v>
      </c>
      <c r="P16" s="3">
        <f>'DJB Daily Readings'!AD24-'DJB Daily Readings'!AD23</f>
        <v>14177.519999999553</v>
      </c>
      <c r="Q16" s="3">
        <f>'DJB Daily Readings'!AG24-'DJB Daily Readings'!AG23</f>
        <v>1510.3199999984354</v>
      </c>
      <c r="R16" s="3">
        <f>'DJB Daily Readings'!AJ24-'DJB Daily Readings'!AJ23</f>
        <v>5943.839999999851</v>
      </c>
      <c r="S16" s="3">
        <f>'DJB Daily Readings'!AM24-'DJB Daily Readings'!AM23</f>
        <v>4628.4000000003725</v>
      </c>
      <c r="T16" s="3">
        <f>'DJB Daily Readings'!AP24-'DJB Daily Readings'!AP23</f>
        <v>3946.3200000021607</v>
      </c>
      <c r="U16" s="3">
        <f>'DJB Daily Readings'!AS24-'DJB Daily Readings'!AS23</f>
        <v>3312.9599999990314</v>
      </c>
      <c r="V16" s="3">
        <f>'DJB Daily Readings'!AV24-'DJB Daily Readings'!AV23</f>
        <v>6820.8000000007451</v>
      </c>
      <c r="W16" s="3">
        <f>'DJB Daily Readings'!AZ24-'DJB Daily Readings'!AZ23</f>
        <v>57100</v>
      </c>
      <c r="X16" s="3">
        <f>'DJB Daily Readings'!BC24-'DJB Daily Readings'!BC23</f>
        <v>70300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130.41</v>
      </c>
      <c r="AB16" s="3">
        <f>('DJB Daily Readings'!CQ24-'DJB Daily Readings'!CQ23)*1.89</f>
        <v>0</v>
      </c>
      <c r="AC16" s="3">
        <f>'DJB Daily Readings'!CT24-'DJB Daily Readings'!CT23</f>
        <v>239</v>
      </c>
      <c r="AD16" s="84">
        <f>('DJB Daily Readings'!BY24-'DJB Daily Readings'!BY23)*1.89</f>
        <v>26.459999999999997</v>
      </c>
      <c r="AE16" s="84">
        <f>('DJB Daily Readings'!CA24-'DJB Daily Readings'!CA23)*1.89</f>
        <v>28.349999999999998</v>
      </c>
      <c r="AF16" s="84">
        <f>('DJB Daily Readings'!CC24-'DJB Daily Readings'!CC23)*1.89</f>
        <v>11.34</v>
      </c>
      <c r="AG16" s="84">
        <f>('DJB Daily Readings'!CE24-'DJB Daily Readings'!CE23)*1.89</f>
        <v>18.899999999999999</v>
      </c>
      <c r="AH16" s="84">
        <f>('DJB Daily Readings'!CG24-'DJB Daily Readings'!CG23)*1.89</f>
        <v>18.899999999999999</v>
      </c>
      <c r="AI16" s="84">
        <f>('DJB Daily Readings'!CI24-'DJB Daily Readings'!CI23)*1.89</f>
        <v>52.919999999999995</v>
      </c>
      <c r="AJ16" s="81">
        <f>'DJB Daily Readings'!CY24-'DJB Daily Readings'!CY23</f>
        <v>6</v>
      </c>
      <c r="AK16" s="81">
        <f>'DJB Daily Readings'!CW24-'DJB Daily Readings'!CW23</f>
        <v>6</v>
      </c>
      <c r="AL16" s="82">
        <f>'DJB Daily Readings'!DC24-'DJB Daily Readings'!DC23</f>
        <v>10</v>
      </c>
      <c r="AM16" s="82">
        <f>'DJB Daily Readings'!DA24-'DJB Daily Readings'!DA23</f>
        <v>14</v>
      </c>
      <c r="AN16" s="82">
        <f>'DJB Daily Readings'!DG24-'DJB Daily Readings'!DG23</f>
        <v>12</v>
      </c>
      <c r="AO16" s="82">
        <f>'DJB Daily Readings'!DE24-'DJB Daily Readings'!DE23</f>
        <v>7</v>
      </c>
      <c r="AP16" s="82">
        <f>'DJB Daily Readings'!DK24-'DJB Daily Readings'!DK23</f>
        <v>15</v>
      </c>
      <c r="AQ16" s="82">
        <f>'DJB Daily Readings'!DI24-'DJB Daily Readings'!DI23</f>
        <v>9</v>
      </c>
      <c r="AR16" s="82">
        <f>'DJB Daily Readings'!DO24-'DJB Daily Readings'!DO23</f>
        <v>3</v>
      </c>
      <c r="AS16" s="82">
        <f>'DJB Daily Readings'!DM24-'DJB Daily Readings'!DM23</f>
        <v>8</v>
      </c>
      <c r="AT16" s="82">
        <f>'DJB Daily Readings'!DQ24-'DJB Daily Readings'!DQ23</f>
        <v>0</v>
      </c>
      <c r="AU16" s="82">
        <f>'DJB Daily Readings'!DT24-'DJB Daily Readings'!DT23</f>
        <v>10.300000000000182</v>
      </c>
      <c r="AW16" s="82">
        <f>'DJB Daily Readings'!DX24-'DJB Daily Readings'!DX23</f>
        <v>7.5</v>
      </c>
      <c r="AX16" s="82">
        <f>'DJB Daily Readings'!DZ24-'DJB Daily Readings'!DZ23</f>
        <v>11.400000000000091</v>
      </c>
      <c r="AY16" s="82">
        <f>'DJB Daily Readings'!EB24-'DJB Daily Readings'!EB23</f>
        <v>759</v>
      </c>
      <c r="AZ16" s="82">
        <f>'DJB Daily Readings'!ED24-'DJB Daily Readings'!ED23</f>
        <v>157.5</v>
      </c>
      <c r="BA16" s="82">
        <f>'DJB Daily Readings'!EG24-'DJB Daily Readings'!EG23</f>
        <v>8500</v>
      </c>
      <c r="BB16" s="82">
        <f>'DJB Daily Readings'!EI24-'DJB Daily Readings'!EI23</f>
        <v>450</v>
      </c>
      <c r="BC16" s="82">
        <f>'DJB Daily Readings'!EQ24-'DJB Daily Readings'!EQ23</f>
        <v>10600</v>
      </c>
      <c r="BD16" s="82">
        <f>'DJB Daily Readings'!EK24-'DJB Daily Readings'!EK23</f>
        <v>3700</v>
      </c>
      <c r="BE16" s="82">
        <f>'DJB Daily Readings'!EM24-'DJB Daily Readings'!EM23</f>
        <v>1300</v>
      </c>
      <c r="BF16" s="82">
        <f>'DJB Daily Readings'!EO24-'DJB Daily Readings'!EO23</f>
        <v>980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28.349999999999998</v>
      </c>
      <c r="BJ16" s="82">
        <f>('DJB Daily Readings'!EX24-'DJB Daily Readings'!EX23)*1.89</f>
        <v>22.68</v>
      </c>
      <c r="BK16" s="82">
        <f>('DJB Daily Readings'!FB24-'DJB Daily Readings'!FB23)*1.89</f>
        <v>52.919999999999995</v>
      </c>
    </row>
    <row r="17" spans="1:63" x14ac:dyDescent="0.25">
      <c r="A17" t="s">
        <v>59</v>
      </c>
      <c r="B17">
        <f t="shared" si="0"/>
        <v>16</v>
      </c>
      <c r="C17">
        <v>9</v>
      </c>
      <c r="D17">
        <v>2021</v>
      </c>
      <c r="E17" s="78"/>
      <c r="F17" s="79">
        <f>209+20</f>
        <v>229</v>
      </c>
      <c r="G17" s="3">
        <f>'DJB Daily Readings'!C25-'DJB Daily Readings'!C24</f>
        <v>940</v>
      </c>
      <c r="H17" s="3">
        <f>'DJB Daily Readings'!F25-'DJB Daily Readings'!F24</f>
        <v>375</v>
      </c>
      <c r="I17" s="3">
        <f>'DJB Daily Readings'!K25-'DJB Daily Readings'!K24</f>
        <v>394</v>
      </c>
      <c r="J17" s="3">
        <f>'DJB Daily Readings'!K25-'DJB Daily Readings'!K24</f>
        <v>394</v>
      </c>
      <c r="K17" s="3">
        <f>'DJB Daily Readings'!O25-'DJB Daily Readings'!O24</f>
        <v>278.37999999999738</v>
      </c>
      <c r="L17" s="3">
        <f>'DJB Daily Readings'!R25-'DJB Daily Readings'!R24</f>
        <v>24</v>
      </c>
      <c r="M17" s="3">
        <f>'DJB Daily Readings'!U25-'DJB Daily Readings'!U24</f>
        <v>3020.6399999996647</v>
      </c>
      <c r="N17" s="3">
        <f>'DJB Daily Readings'!X25-'DJB Daily Readings'!X24</f>
        <v>4774.5600000023842</v>
      </c>
      <c r="O17" s="3">
        <f>'DJB Daily Readings'!AA25-'DJB Daily Readings'!AA24</f>
        <v>11108.160000000149</v>
      </c>
      <c r="P17" s="3">
        <f>'DJB Daily Readings'!AD25-'DJB Daily Readings'!AD24</f>
        <v>13592.879999998957</v>
      </c>
      <c r="Q17" s="3">
        <f>'DJB Daily Readings'!AG25-'DJB Daily Readings'!AG24</f>
        <v>1559.0399999991059</v>
      </c>
      <c r="R17" s="3">
        <f>'DJB Daily Readings'!AJ25-'DJB Daily Readings'!AJ24</f>
        <v>6284.8799999989569</v>
      </c>
      <c r="S17" s="3">
        <f>'DJB Daily Readings'!AM25-'DJB Daily Readings'!AM24</f>
        <v>4579.6800000015646</v>
      </c>
      <c r="T17" s="3">
        <f>'DJB Daily Readings'!AP25-'DJB Daily Readings'!AP24</f>
        <v>4384.7999999988824</v>
      </c>
      <c r="U17" s="3">
        <f>'DJB Daily Readings'!AS25-'DJB Daily Readings'!AS24</f>
        <v>3848.8799999989569</v>
      </c>
      <c r="V17" s="3">
        <f>'DJB Daily Readings'!AV25-'DJB Daily Readings'!AV24</f>
        <v>6333.5999999996275</v>
      </c>
      <c r="W17" s="3">
        <f>'DJB Daily Readings'!AZ25-'DJB Daily Readings'!AZ24</f>
        <v>54400</v>
      </c>
      <c r="X17" s="3">
        <f>'DJB Daily Readings'!BC25-'DJB Daily Readings'!BC24</f>
        <v>69600</v>
      </c>
      <c r="Y17" s="3">
        <f>'DJB Daily Readings'!BF25-'DJB Daily Readings'!BF24</f>
        <v>0</v>
      </c>
      <c r="Z17" s="3">
        <f>('DJB Daily Readings'!CK25-'DJB Daily Readings'!CK24)*1.89</f>
        <v>177.66</v>
      </c>
      <c r="AA17" s="3">
        <f>('DJB Daily Readings'!CN25-'DJB Daily Readings'!CN24)*1.89</f>
        <v>156.87</v>
      </c>
      <c r="AB17" s="3">
        <f>('DJB Daily Readings'!CQ25-'DJB Daily Readings'!CQ24)*1.89</f>
        <v>0</v>
      </c>
      <c r="AC17" s="3">
        <f>'DJB Daily Readings'!CT25-'DJB Daily Readings'!CT24</f>
        <v>224</v>
      </c>
      <c r="AD17" s="84">
        <f>('DJB Daily Readings'!BY25-'DJB Daily Readings'!BY24)*1.89</f>
        <v>30.24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34.019999999999996</v>
      </c>
      <c r="AI17" s="84">
        <f>('DJB Daily Readings'!CI25-'DJB Daily Readings'!CI24)*1.89</f>
        <v>52.919999999999995</v>
      </c>
      <c r="AJ17" s="81">
        <f>'DJB Daily Readings'!CY25-'DJB Daily Readings'!CY24</f>
        <v>-3245</v>
      </c>
      <c r="AK17" s="81">
        <f>'DJB Daily Readings'!CW25-'DJB Daily Readings'!CW24</f>
        <v>-5686</v>
      </c>
      <c r="AL17" s="82">
        <f>'DJB Daily Readings'!DC25-'DJB Daily Readings'!DC24</f>
        <v>13</v>
      </c>
      <c r="AM17" s="82">
        <f>'DJB Daily Readings'!DA25-'DJB Daily Readings'!DA24</f>
        <v>15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17</v>
      </c>
      <c r="AQ17" s="82">
        <f>'DJB Daily Readings'!DI25-'DJB Daily Readings'!DI24</f>
        <v>9</v>
      </c>
      <c r="AR17" s="82">
        <f>'DJB Daily Readings'!DO25-'DJB Daily Readings'!DO24</f>
        <v>5</v>
      </c>
      <c r="AS17" s="82">
        <f>'DJB Daily Readings'!DM25-'DJB Daily Readings'!DM24</f>
        <v>9</v>
      </c>
      <c r="AT17" s="82">
        <f>'DJB Daily Readings'!DQ25-'DJB Daily Readings'!DQ24</f>
        <v>7</v>
      </c>
      <c r="AU17" s="82">
        <f>'DJB Daily Readings'!DT25-'DJB Daily Readings'!DT24</f>
        <v>10.099999999999909</v>
      </c>
      <c r="AW17" s="82">
        <f>'DJB Daily Readings'!DX25-'DJB Daily Readings'!DX24</f>
        <v>7.5999999999999091</v>
      </c>
      <c r="AX17" s="82">
        <f>'DJB Daily Readings'!DZ25-'DJB Daily Readings'!DZ24</f>
        <v>11</v>
      </c>
      <c r="AY17" s="82">
        <f>'DJB Daily Readings'!EB25-'DJB Daily Readings'!EB24</f>
        <v>771</v>
      </c>
      <c r="AZ17" s="82">
        <f>'DJB Daily Readings'!ED25-'DJB Daily Readings'!ED24</f>
        <v>154.5</v>
      </c>
      <c r="BA17" s="82">
        <f>'DJB Daily Readings'!EG25-'DJB Daily Readings'!EG24</f>
        <v>8200</v>
      </c>
      <c r="BB17" s="82">
        <f>'DJB Daily Readings'!EI25-'DJB Daily Readings'!EI24</f>
        <v>430</v>
      </c>
      <c r="BC17" s="82">
        <f>'DJB Daily Readings'!EQ25-'DJB Daily Readings'!EQ24</f>
        <v>9900</v>
      </c>
      <c r="BD17" s="82">
        <f>'DJB Daily Readings'!EK25-'DJB Daily Readings'!EK24</f>
        <v>3400</v>
      </c>
      <c r="BE17" s="82">
        <f>'DJB Daily Readings'!EM25-'DJB Daily Readings'!EM24</f>
        <v>1200</v>
      </c>
      <c r="BF17" s="82">
        <f>'DJB Daily Readings'!EO25-'DJB Daily Readings'!EO24</f>
        <v>970</v>
      </c>
      <c r="BG17" s="82">
        <f>('DJB Daily Readings'!ET25-'DJB Daily Readings'!ET24)*1.89</f>
        <v>28.349999999999998</v>
      </c>
      <c r="BH17" s="82">
        <f>('DJB Daily Readings'!EV25-'DJB Daily Readings'!EV24)*1.89</f>
        <v>28.349999999999998</v>
      </c>
      <c r="BI17" s="82">
        <f>('DJB Daily Readings'!EZ25-'DJB Daily Readings'!EZ24)*1.89</f>
        <v>-99436.68</v>
      </c>
      <c r="BJ17" s="82">
        <f>('DJB Daily Readings'!EX25-'DJB Daily Readings'!EX24)*1.89</f>
        <v>24.57</v>
      </c>
      <c r="BK17" s="82">
        <f>('DJB Daily Readings'!FB25-'DJB Daily Readings'!FB24)*1.89</f>
        <v>49.14</v>
      </c>
    </row>
    <row r="18" spans="1:63" x14ac:dyDescent="0.25">
      <c r="A18" t="s">
        <v>59</v>
      </c>
      <c r="B18">
        <f t="shared" si="0"/>
        <v>17</v>
      </c>
      <c r="C18">
        <v>9</v>
      </c>
      <c r="D18">
        <v>2021</v>
      </c>
      <c r="E18" s="78"/>
      <c r="AJ18" s="81"/>
      <c r="AK18" s="81"/>
    </row>
    <row r="19" spans="1:63" x14ac:dyDescent="0.25">
      <c r="A19" t="s">
        <v>59</v>
      </c>
      <c r="B19">
        <f t="shared" si="0"/>
        <v>18</v>
      </c>
      <c r="C19">
        <v>9</v>
      </c>
      <c r="D19">
        <v>2021</v>
      </c>
      <c r="E19" s="78"/>
      <c r="AJ19" s="81"/>
      <c r="AK19" s="81"/>
    </row>
    <row r="20" spans="1:63" x14ac:dyDescent="0.25">
      <c r="A20" t="s">
        <v>59</v>
      </c>
      <c r="B20">
        <f t="shared" si="0"/>
        <v>19</v>
      </c>
      <c r="C20">
        <v>9</v>
      </c>
      <c r="D20">
        <v>2021</v>
      </c>
      <c r="E20" s="78"/>
      <c r="AJ20" s="81"/>
      <c r="AK20" s="81"/>
    </row>
    <row r="21" spans="1:63" x14ac:dyDescent="0.25">
      <c r="A21" t="s">
        <v>59</v>
      </c>
      <c r="B21">
        <f t="shared" si="0"/>
        <v>20</v>
      </c>
      <c r="C21">
        <v>9</v>
      </c>
      <c r="D21">
        <v>2021</v>
      </c>
      <c r="E21" s="78"/>
      <c r="AJ21" s="81"/>
      <c r="AK21" s="81"/>
    </row>
    <row r="22" spans="1:63" x14ac:dyDescent="0.25">
      <c r="A22" t="s">
        <v>59</v>
      </c>
      <c r="B22">
        <f t="shared" si="0"/>
        <v>21</v>
      </c>
      <c r="C22">
        <v>9</v>
      </c>
      <c r="D22">
        <v>2021</v>
      </c>
      <c r="E22" s="78"/>
      <c r="AJ22" s="81"/>
      <c r="AK22" s="81"/>
    </row>
    <row r="23" spans="1:63" x14ac:dyDescent="0.25">
      <c r="A23" t="s">
        <v>59</v>
      </c>
      <c r="B23">
        <f t="shared" si="0"/>
        <v>22</v>
      </c>
      <c r="C23">
        <v>9</v>
      </c>
      <c r="D23">
        <v>2021</v>
      </c>
      <c r="E23" s="78"/>
      <c r="AJ23" s="81"/>
      <c r="AK23" s="81"/>
    </row>
    <row r="24" spans="1:63" x14ac:dyDescent="0.25">
      <c r="A24" t="s">
        <v>59</v>
      </c>
      <c r="B24">
        <f t="shared" si="0"/>
        <v>23</v>
      </c>
      <c r="C24">
        <v>9</v>
      </c>
      <c r="D24">
        <v>2021</v>
      </c>
      <c r="E24" s="78"/>
      <c r="AJ24" s="81"/>
      <c r="AK24" s="81"/>
    </row>
    <row r="25" spans="1:63" x14ac:dyDescent="0.25">
      <c r="A25" t="s">
        <v>59</v>
      </c>
      <c r="B25">
        <f t="shared" si="0"/>
        <v>24</v>
      </c>
      <c r="C25">
        <v>9</v>
      </c>
      <c r="D25">
        <v>2021</v>
      </c>
      <c r="E25" s="78"/>
      <c r="AJ25" s="81"/>
      <c r="AK25" s="81"/>
    </row>
    <row r="26" spans="1:63" x14ac:dyDescent="0.25">
      <c r="A26" t="s">
        <v>59</v>
      </c>
      <c r="B26">
        <f>B25+1</f>
        <v>25</v>
      </c>
      <c r="C26">
        <v>9</v>
      </c>
      <c r="D26">
        <v>2021</v>
      </c>
      <c r="E26" s="78"/>
      <c r="AJ26" s="81"/>
      <c r="AK26" s="81"/>
    </row>
    <row r="27" spans="1:63" x14ac:dyDescent="0.25">
      <c r="A27" t="s">
        <v>59</v>
      </c>
      <c r="B27">
        <f t="shared" si="0"/>
        <v>26</v>
      </c>
      <c r="C27">
        <v>9</v>
      </c>
      <c r="D27">
        <v>2021</v>
      </c>
      <c r="E27" s="78"/>
      <c r="AJ27" s="81"/>
      <c r="AK27" s="81"/>
    </row>
    <row r="28" spans="1:63" x14ac:dyDescent="0.25">
      <c r="A28" t="s">
        <v>59</v>
      </c>
      <c r="B28">
        <f t="shared" si="0"/>
        <v>27</v>
      </c>
      <c r="C28">
        <v>9</v>
      </c>
      <c r="D28">
        <v>2021</v>
      </c>
      <c r="E28" s="78"/>
      <c r="AJ28" s="81"/>
      <c r="AK28" s="81"/>
    </row>
    <row r="29" spans="1:63" x14ac:dyDescent="0.25">
      <c r="A29" t="s">
        <v>59</v>
      </c>
      <c r="B29">
        <f t="shared" si="0"/>
        <v>28</v>
      </c>
      <c r="C29">
        <v>9</v>
      </c>
      <c r="D29">
        <v>2021</v>
      </c>
      <c r="E29" s="78"/>
      <c r="AJ29" s="81"/>
      <c r="AK29" s="81"/>
    </row>
    <row r="30" spans="1:63" x14ac:dyDescent="0.25">
      <c r="A30" t="s">
        <v>59</v>
      </c>
      <c r="B30">
        <f t="shared" si="0"/>
        <v>29</v>
      </c>
      <c r="C30">
        <v>9</v>
      </c>
      <c r="D30">
        <v>2021</v>
      </c>
      <c r="E30" s="78"/>
      <c r="AJ30" s="81"/>
      <c r="AK30" s="81"/>
    </row>
    <row r="31" spans="1:63" x14ac:dyDescent="0.25">
      <c r="A31" t="s">
        <v>59</v>
      </c>
      <c r="B31">
        <f t="shared" si="0"/>
        <v>30</v>
      </c>
      <c r="C31">
        <v>9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S12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7" t="s">
        <v>105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</row>
    <row r="2" spans="1:159" ht="16.5" customHeight="1" x14ac:dyDescent="0.25">
      <c r="A2" s="447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7"/>
      <c r="BL2" s="447"/>
      <c r="BM2" s="447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447"/>
      <c r="DB2" s="447"/>
      <c r="DC2" s="447"/>
      <c r="DD2" s="447"/>
      <c r="DE2" s="447"/>
      <c r="DF2" s="447"/>
      <c r="DG2" s="447"/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  <c r="DZ2" s="447"/>
      <c r="EA2" s="447"/>
      <c r="EB2" s="447"/>
      <c r="EC2" s="447"/>
      <c r="ED2" s="447"/>
      <c r="EE2" s="447"/>
      <c r="EF2" s="447"/>
      <c r="EG2" s="447"/>
      <c r="EH2" s="447"/>
      <c r="EI2" s="447"/>
      <c r="EJ2" s="447"/>
      <c r="EK2" s="447"/>
      <c r="EL2" s="447"/>
      <c r="EM2" s="447"/>
      <c r="EN2" s="447"/>
      <c r="EO2" s="447"/>
      <c r="EP2" s="447"/>
      <c r="EQ2" s="447"/>
      <c r="ER2" s="447"/>
      <c r="ES2" s="447"/>
      <c r="ET2" s="447"/>
      <c r="EU2" s="447"/>
      <c r="EV2" s="447"/>
      <c r="EW2" s="447"/>
      <c r="EX2" s="447"/>
      <c r="EY2" s="447"/>
      <c r="EZ2" s="447"/>
      <c r="FA2" s="447"/>
      <c r="FB2" s="447"/>
      <c r="FC2" s="447"/>
    </row>
    <row r="3" spans="1:159" ht="45" customHeight="1" x14ac:dyDescent="0.2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  <c r="AY3" s="447"/>
      <c r="AZ3" s="447"/>
      <c r="BA3" s="447"/>
      <c r="BB3" s="447"/>
      <c r="BC3" s="447"/>
      <c r="BD3" s="447"/>
      <c r="BE3" s="447"/>
      <c r="BF3" s="447"/>
      <c r="BG3" s="447"/>
      <c r="BH3" s="447"/>
      <c r="BI3" s="447"/>
      <c r="BJ3" s="447"/>
      <c r="BK3" s="447"/>
      <c r="BL3" s="447"/>
      <c r="BM3" s="447"/>
      <c r="BN3" s="447"/>
      <c r="BO3" s="447"/>
      <c r="BP3" s="447"/>
      <c r="BQ3" s="447"/>
      <c r="BR3" s="447"/>
      <c r="BS3" s="447"/>
      <c r="BT3" s="447"/>
      <c r="BU3" s="447"/>
      <c r="BV3" s="447"/>
      <c r="BW3" s="447"/>
      <c r="BX3" s="447"/>
      <c r="BY3" s="447"/>
      <c r="BZ3" s="447"/>
      <c r="CA3" s="447"/>
      <c r="CB3" s="447"/>
      <c r="CC3" s="447"/>
      <c r="CD3" s="447"/>
      <c r="CE3" s="447"/>
      <c r="CF3" s="447"/>
      <c r="CG3" s="447"/>
      <c r="CH3" s="447"/>
      <c r="CI3" s="447"/>
      <c r="CJ3" s="447"/>
      <c r="CK3" s="447"/>
      <c r="CL3" s="447"/>
      <c r="CM3" s="447"/>
      <c r="CN3" s="447"/>
      <c r="CO3" s="447"/>
      <c r="CP3" s="447"/>
      <c r="CQ3" s="447"/>
      <c r="CR3" s="447"/>
      <c r="CS3" s="447"/>
      <c r="CT3" s="447"/>
      <c r="CU3" s="447"/>
      <c r="CV3" s="447"/>
      <c r="CW3" s="447"/>
      <c r="CX3" s="447"/>
      <c r="CY3" s="447"/>
      <c r="CZ3" s="447"/>
      <c r="DA3" s="447"/>
      <c r="DB3" s="447"/>
      <c r="DC3" s="447"/>
      <c r="DD3" s="447"/>
      <c r="DE3" s="447"/>
      <c r="DF3" s="447"/>
      <c r="DG3" s="447"/>
      <c r="DH3" s="447"/>
      <c r="DI3" s="447"/>
      <c r="DJ3" s="447"/>
      <c r="DK3" s="447"/>
      <c r="DL3" s="447"/>
      <c r="DM3" s="447"/>
      <c r="DN3" s="447"/>
      <c r="DO3" s="447"/>
      <c r="DP3" s="447"/>
      <c r="DQ3" s="447"/>
      <c r="DR3" s="447"/>
      <c r="DS3" s="447"/>
      <c r="DT3" s="447"/>
      <c r="DU3" s="447"/>
      <c r="DV3" s="447"/>
      <c r="DW3" s="447"/>
      <c r="DX3" s="447"/>
      <c r="DY3" s="447"/>
      <c r="DZ3" s="447"/>
      <c r="EA3" s="447"/>
      <c r="EB3" s="447"/>
      <c r="EC3" s="447"/>
      <c r="ED3" s="447"/>
      <c r="EE3" s="447"/>
      <c r="EF3" s="447"/>
      <c r="EG3" s="447"/>
      <c r="EH3" s="447"/>
      <c r="EI3" s="447"/>
      <c r="EJ3" s="447"/>
      <c r="EK3" s="447"/>
      <c r="EL3" s="447"/>
      <c r="EM3" s="447"/>
      <c r="EN3" s="447"/>
      <c r="EO3" s="447"/>
      <c r="EP3" s="447"/>
      <c r="EQ3" s="447"/>
      <c r="ER3" s="447"/>
      <c r="ES3" s="447"/>
      <c r="ET3" s="447"/>
      <c r="EU3" s="447"/>
      <c r="EV3" s="447"/>
      <c r="EW3" s="447"/>
      <c r="EX3" s="447"/>
      <c r="EY3" s="447"/>
      <c r="EZ3" s="447"/>
      <c r="FA3" s="447"/>
      <c r="FB3" s="447"/>
      <c r="FC3" s="447"/>
    </row>
    <row r="4" spans="1:159" ht="16.5" customHeight="1" x14ac:dyDescent="0.2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  <c r="BJ4" s="447"/>
      <c r="BK4" s="447"/>
      <c r="BL4" s="447"/>
      <c r="BM4" s="447"/>
      <c r="BN4" s="447"/>
      <c r="BO4" s="447"/>
      <c r="BP4" s="447"/>
      <c r="BQ4" s="447"/>
      <c r="BR4" s="447"/>
      <c r="BS4" s="447"/>
      <c r="BT4" s="447"/>
      <c r="BU4" s="447"/>
      <c r="BV4" s="447"/>
      <c r="BW4" s="447"/>
      <c r="BX4" s="447"/>
      <c r="BY4" s="447"/>
      <c r="BZ4" s="447"/>
      <c r="CA4" s="447"/>
      <c r="CB4" s="447"/>
      <c r="CC4" s="447"/>
      <c r="CD4" s="447"/>
      <c r="CE4" s="447"/>
      <c r="CF4" s="447"/>
      <c r="CG4" s="447"/>
      <c r="CH4" s="447"/>
      <c r="CI4" s="447"/>
      <c r="CJ4" s="447"/>
      <c r="CK4" s="447"/>
      <c r="CL4" s="447"/>
      <c r="CM4" s="447"/>
      <c r="CN4" s="447"/>
      <c r="CO4" s="447"/>
      <c r="CP4" s="447"/>
      <c r="CQ4" s="447"/>
      <c r="CR4" s="447"/>
      <c r="CS4" s="447"/>
      <c r="CT4" s="447"/>
      <c r="CU4" s="447"/>
      <c r="CV4" s="447"/>
      <c r="CW4" s="447"/>
      <c r="CX4" s="447"/>
      <c r="CY4" s="447"/>
      <c r="CZ4" s="447"/>
      <c r="DA4" s="447"/>
      <c r="DB4" s="447"/>
      <c r="DC4" s="447"/>
      <c r="DD4" s="447"/>
      <c r="DE4" s="447"/>
      <c r="DF4" s="447"/>
      <c r="DG4" s="447"/>
      <c r="DH4" s="447"/>
      <c r="DI4" s="447"/>
      <c r="DJ4" s="447"/>
      <c r="DK4" s="447"/>
      <c r="DL4" s="447"/>
      <c r="DM4" s="447"/>
      <c r="DN4" s="447"/>
      <c r="DO4" s="447"/>
      <c r="DP4" s="447"/>
      <c r="DQ4" s="447"/>
      <c r="DR4" s="447"/>
      <c r="DS4" s="447"/>
      <c r="DT4" s="447"/>
      <c r="DU4" s="447"/>
      <c r="DV4" s="447"/>
      <c r="DW4" s="447"/>
      <c r="DX4" s="447"/>
      <c r="DY4" s="447"/>
      <c r="DZ4" s="447"/>
      <c r="EA4" s="447"/>
      <c r="EB4" s="447"/>
      <c r="EC4" s="447"/>
      <c r="ED4" s="447"/>
      <c r="EE4" s="447"/>
      <c r="EF4" s="447"/>
      <c r="EG4" s="447"/>
      <c r="EH4" s="447"/>
      <c r="EI4" s="447"/>
      <c r="EJ4" s="447"/>
      <c r="EK4" s="447"/>
      <c r="EL4" s="447"/>
      <c r="EM4" s="447"/>
      <c r="EN4" s="447"/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</row>
    <row r="5" spans="1:159" ht="10.5" customHeight="1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7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447"/>
      <c r="AZ5" s="448"/>
      <c r="BA5" s="448"/>
      <c r="BB5" s="448"/>
      <c r="BC5" s="448"/>
      <c r="BD5" s="448"/>
      <c r="BE5" s="448"/>
      <c r="BF5" s="448"/>
      <c r="BG5" s="448"/>
      <c r="BH5" s="448"/>
      <c r="BI5" s="448"/>
      <c r="BJ5" s="448"/>
      <c r="BK5" s="448"/>
      <c r="BL5" s="448"/>
      <c r="BM5" s="448"/>
      <c r="BN5" s="448"/>
      <c r="BO5" s="448"/>
      <c r="BP5" s="448"/>
      <c r="BQ5" s="448"/>
      <c r="BR5" s="448"/>
      <c r="BS5" s="448"/>
      <c r="BT5" s="448"/>
      <c r="BU5" s="447"/>
      <c r="BV5" s="448"/>
      <c r="BW5" s="448"/>
      <c r="BX5" s="448"/>
      <c r="BY5" s="448"/>
      <c r="BZ5" s="448"/>
      <c r="CA5" s="448"/>
      <c r="CB5" s="448"/>
      <c r="CC5" s="448"/>
      <c r="CD5" s="448"/>
      <c r="CE5" s="448"/>
      <c r="CF5" s="448"/>
      <c r="CG5" s="448"/>
      <c r="CH5" s="448"/>
      <c r="CI5" s="448"/>
      <c r="CJ5" s="448"/>
      <c r="CK5" s="448"/>
      <c r="CL5" s="448"/>
      <c r="CM5" s="448"/>
      <c r="CN5" s="448"/>
      <c r="CO5" s="448"/>
      <c r="CP5" s="448"/>
      <c r="CQ5" s="448"/>
      <c r="CR5" s="448"/>
      <c r="CS5" s="448"/>
      <c r="CT5" s="448"/>
      <c r="CU5" s="448"/>
      <c r="CV5" s="448"/>
      <c r="CW5" s="448"/>
      <c r="CX5" s="448"/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8"/>
      <c r="DJ5" s="448"/>
      <c r="DK5" s="448"/>
      <c r="DL5" s="448"/>
      <c r="DM5" s="448"/>
      <c r="DN5" s="448"/>
      <c r="DO5" s="448"/>
      <c r="DP5" s="448"/>
      <c r="DQ5" s="448"/>
      <c r="DR5" s="448"/>
      <c r="DS5" s="447"/>
      <c r="DT5" s="448"/>
      <c r="DU5" s="448"/>
      <c r="DV5" s="448"/>
      <c r="DW5" s="448"/>
      <c r="DX5" s="448"/>
      <c r="DY5" s="448"/>
      <c r="DZ5" s="448"/>
      <c r="EA5" s="448"/>
      <c r="EB5" s="448"/>
      <c r="EC5" s="448"/>
      <c r="ED5" s="448"/>
      <c r="EE5" s="448"/>
      <c r="EF5" s="447"/>
      <c r="EG5" s="448"/>
      <c r="EH5" s="448"/>
      <c r="EI5" s="448"/>
      <c r="EJ5" s="448"/>
      <c r="EK5" s="448"/>
      <c r="EL5" s="448"/>
      <c r="EM5" s="448"/>
      <c r="EN5" s="448"/>
      <c r="EO5" s="448"/>
      <c r="EP5" s="448"/>
      <c r="EQ5" s="448"/>
      <c r="ER5" s="448"/>
      <c r="ES5" s="447"/>
      <c r="ET5" s="448"/>
      <c r="EU5" s="448"/>
      <c r="EV5" s="448"/>
      <c r="EW5" s="448"/>
      <c r="EX5" s="448"/>
      <c r="EY5" s="448"/>
      <c r="EZ5" s="448"/>
      <c r="FA5" s="448"/>
      <c r="FB5" s="448"/>
      <c r="FC5" s="448"/>
    </row>
    <row r="6" spans="1:159" ht="24.75" customHeight="1" thickBot="1" x14ac:dyDescent="0.3">
      <c r="A6" s="449" t="s">
        <v>191</v>
      </c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1"/>
      <c r="T6" s="478"/>
      <c r="U6" s="452" t="s">
        <v>192</v>
      </c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4"/>
      <c r="AY6" s="495"/>
      <c r="AZ6" s="452" t="s">
        <v>193</v>
      </c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4"/>
      <c r="BU6" s="591"/>
      <c r="BV6" s="455" t="s">
        <v>194</v>
      </c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7"/>
      <c r="CV6" s="519"/>
      <c r="CW6" s="468" t="s">
        <v>195</v>
      </c>
      <c r="CX6" s="468"/>
      <c r="CY6" s="468"/>
      <c r="CZ6" s="468"/>
      <c r="DA6" s="468"/>
      <c r="DB6" s="468"/>
      <c r="DC6" s="468"/>
      <c r="DD6" s="468"/>
      <c r="DE6" s="468"/>
      <c r="DF6" s="468"/>
      <c r="DG6" s="468"/>
      <c r="DH6" s="468"/>
      <c r="DI6" s="468"/>
      <c r="DJ6" s="468"/>
      <c r="DK6" s="468"/>
      <c r="DL6" s="468"/>
      <c r="DM6" s="468"/>
      <c r="DN6" s="468"/>
      <c r="DO6" s="468"/>
      <c r="DP6" s="468"/>
      <c r="DQ6" s="468"/>
      <c r="DR6" s="469"/>
      <c r="DS6" s="535"/>
      <c r="DT6" s="543" t="s">
        <v>196</v>
      </c>
      <c r="DU6" s="544"/>
      <c r="DV6" s="544"/>
      <c r="DW6" s="544"/>
      <c r="DX6" s="544"/>
      <c r="DY6" s="544"/>
      <c r="DZ6" s="544"/>
      <c r="EA6" s="544"/>
      <c r="EB6" s="544"/>
      <c r="EC6" s="544"/>
      <c r="ED6" s="544"/>
      <c r="EE6" s="545"/>
      <c r="EF6" s="582"/>
      <c r="EG6" s="543" t="s">
        <v>197</v>
      </c>
      <c r="EH6" s="544"/>
      <c r="EI6" s="544"/>
      <c r="EJ6" s="544"/>
      <c r="EK6" s="544"/>
      <c r="EL6" s="544"/>
      <c r="EM6" s="544"/>
      <c r="EN6" s="544"/>
      <c r="EO6" s="544"/>
      <c r="EP6" s="544"/>
      <c r="EQ6" s="544"/>
      <c r="ER6" s="545"/>
      <c r="ES6" s="558"/>
      <c r="ET6" s="555" t="s">
        <v>198</v>
      </c>
      <c r="EU6" s="556"/>
      <c r="EV6" s="556"/>
      <c r="EW6" s="556"/>
      <c r="EX6" s="556"/>
      <c r="EY6" s="556"/>
      <c r="EZ6" s="556"/>
      <c r="FA6" s="556"/>
      <c r="FB6" s="556"/>
      <c r="FC6" s="557"/>
    </row>
    <row r="7" spans="1:159" ht="45" customHeight="1" thickBot="1" x14ac:dyDescent="0.3">
      <c r="A7" s="458" t="s">
        <v>18</v>
      </c>
      <c r="B7" s="460" t="s">
        <v>108</v>
      </c>
      <c r="C7" s="462" t="s">
        <v>109</v>
      </c>
      <c r="D7" s="463"/>
      <c r="E7" s="464"/>
      <c r="F7" s="465" t="s">
        <v>0</v>
      </c>
      <c r="G7" s="466"/>
      <c r="H7" s="467"/>
      <c r="I7" s="470" t="s">
        <v>1</v>
      </c>
      <c r="J7" s="470"/>
      <c r="K7" s="471" t="s">
        <v>110</v>
      </c>
      <c r="L7" s="472"/>
      <c r="M7" s="473" t="s">
        <v>111</v>
      </c>
      <c r="N7" s="467"/>
      <c r="O7" s="473" t="s">
        <v>2</v>
      </c>
      <c r="P7" s="466"/>
      <c r="Q7" s="467"/>
      <c r="R7" s="471" t="s">
        <v>112</v>
      </c>
      <c r="S7" s="474"/>
      <c r="T7" s="478"/>
      <c r="U7" s="475" t="s">
        <v>3</v>
      </c>
      <c r="V7" s="476"/>
      <c r="W7" s="477"/>
      <c r="X7" s="485" t="s">
        <v>4</v>
      </c>
      <c r="Y7" s="476"/>
      <c r="Z7" s="477"/>
      <c r="AA7" s="485" t="s">
        <v>5</v>
      </c>
      <c r="AB7" s="476"/>
      <c r="AC7" s="477"/>
      <c r="AD7" s="485" t="s">
        <v>6</v>
      </c>
      <c r="AE7" s="476"/>
      <c r="AF7" s="477"/>
      <c r="AG7" s="485" t="s">
        <v>7</v>
      </c>
      <c r="AH7" s="476"/>
      <c r="AI7" s="477"/>
      <c r="AJ7" s="486" t="s">
        <v>113</v>
      </c>
      <c r="AK7" s="487"/>
      <c r="AL7" s="488"/>
      <c r="AM7" s="486" t="s">
        <v>114</v>
      </c>
      <c r="AN7" s="487"/>
      <c r="AO7" s="488"/>
      <c r="AP7" s="485" t="s">
        <v>8</v>
      </c>
      <c r="AQ7" s="476"/>
      <c r="AR7" s="477"/>
      <c r="AS7" s="486" t="s">
        <v>115</v>
      </c>
      <c r="AT7" s="487"/>
      <c r="AU7" s="488"/>
      <c r="AV7" s="489" t="s">
        <v>9</v>
      </c>
      <c r="AW7" s="490"/>
      <c r="AX7" s="491"/>
      <c r="AY7" s="495"/>
      <c r="AZ7" s="492" t="s">
        <v>10</v>
      </c>
      <c r="BA7" s="490"/>
      <c r="BB7" s="493"/>
      <c r="BC7" s="494" t="s">
        <v>11</v>
      </c>
      <c r="BD7" s="494"/>
      <c r="BE7" s="494"/>
      <c r="BF7" s="494" t="s">
        <v>12</v>
      </c>
      <c r="BG7" s="494"/>
      <c r="BH7" s="494"/>
      <c r="BI7" s="507" t="s">
        <v>116</v>
      </c>
      <c r="BJ7" s="507"/>
      <c r="BK7" s="507" t="s">
        <v>117</v>
      </c>
      <c r="BL7" s="507"/>
      <c r="BM7" s="507" t="s">
        <v>118</v>
      </c>
      <c r="BN7" s="507"/>
      <c r="BO7" s="507" t="s">
        <v>119</v>
      </c>
      <c r="BP7" s="507"/>
      <c r="BQ7" s="508" t="s">
        <v>120</v>
      </c>
      <c r="BR7" s="509"/>
      <c r="BS7" s="510" t="s">
        <v>121</v>
      </c>
      <c r="BT7" s="511"/>
      <c r="BU7" s="592"/>
      <c r="BV7" s="594" t="s">
        <v>13</v>
      </c>
      <c r="BW7" s="513"/>
      <c r="BX7" s="514"/>
      <c r="BY7" s="595" t="s">
        <v>122</v>
      </c>
      <c r="BZ7" s="595"/>
      <c r="CA7" s="505" t="s">
        <v>123</v>
      </c>
      <c r="CB7" s="506"/>
      <c r="CC7" s="505" t="s">
        <v>124</v>
      </c>
      <c r="CD7" s="506"/>
      <c r="CE7" s="505" t="s">
        <v>125</v>
      </c>
      <c r="CF7" s="506"/>
      <c r="CG7" s="505" t="s">
        <v>126</v>
      </c>
      <c r="CH7" s="506"/>
      <c r="CI7" s="505" t="s">
        <v>127</v>
      </c>
      <c r="CJ7" s="506"/>
      <c r="CK7" s="512" t="s">
        <v>14</v>
      </c>
      <c r="CL7" s="513"/>
      <c r="CM7" s="514"/>
      <c r="CN7" s="512" t="s">
        <v>15</v>
      </c>
      <c r="CO7" s="513"/>
      <c r="CP7" s="514"/>
      <c r="CQ7" s="512" t="s">
        <v>16</v>
      </c>
      <c r="CR7" s="513"/>
      <c r="CS7" s="514"/>
      <c r="CT7" s="515" t="s">
        <v>17</v>
      </c>
      <c r="CU7" s="516"/>
      <c r="CV7" s="520"/>
      <c r="CW7" s="517" t="s">
        <v>199</v>
      </c>
      <c r="CX7" s="518"/>
      <c r="CY7" s="518"/>
      <c r="CZ7" s="518"/>
      <c r="DA7" s="524" t="s">
        <v>187</v>
      </c>
      <c r="DB7" s="463"/>
      <c r="DC7" s="463"/>
      <c r="DD7" s="525"/>
      <c r="DE7" s="524" t="s">
        <v>82</v>
      </c>
      <c r="DF7" s="463"/>
      <c r="DG7" s="463"/>
      <c r="DH7" s="463"/>
      <c r="DI7" s="517" t="s">
        <v>83</v>
      </c>
      <c r="DJ7" s="524"/>
      <c r="DK7" s="524"/>
      <c r="DL7" s="526"/>
      <c r="DM7" s="462" t="s">
        <v>84</v>
      </c>
      <c r="DN7" s="463"/>
      <c r="DO7" s="463"/>
      <c r="DP7" s="464"/>
      <c r="DQ7" s="462" t="s">
        <v>85</v>
      </c>
      <c r="DR7" s="464"/>
      <c r="DS7" s="536"/>
      <c r="DT7" s="533" t="s">
        <v>86</v>
      </c>
      <c r="DU7" s="534"/>
      <c r="DV7" s="541" t="s">
        <v>202</v>
      </c>
      <c r="DW7" s="534"/>
      <c r="DX7" s="542" t="s">
        <v>87</v>
      </c>
      <c r="DY7" s="541"/>
      <c r="DZ7" s="541" t="s">
        <v>88</v>
      </c>
      <c r="EA7" s="534"/>
      <c r="EB7" s="541" t="s">
        <v>89</v>
      </c>
      <c r="EC7" s="534"/>
      <c r="ED7" s="541" t="s">
        <v>90</v>
      </c>
      <c r="EE7" s="546"/>
      <c r="EF7" s="583"/>
      <c r="EG7" s="553" t="s">
        <v>91</v>
      </c>
      <c r="EH7" s="542"/>
      <c r="EI7" s="542" t="s">
        <v>92</v>
      </c>
      <c r="EJ7" s="542"/>
      <c r="EK7" s="542" t="s">
        <v>93</v>
      </c>
      <c r="EL7" s="542"/>
      <c r="EM7" s="542" t="s">
        <v>94</v>
      </c>
      <c r="EN7" s="542"/>
      <c r="EO7" s="542" t="s">
        <v>95</v>
      </c>
      <c r="EP7" s="542"/>
      <c r="EQ7" s="542" t="s">
        <v>201</v>
      </c>
      <c r="ER7" s="554"/>
      <c r="ES7" s="558"/>
      <c r="ET7" s="517" t="s">
        <v>96</v>
      </c>
      <c r="EU7" s="518"/>
      <c r="EV7" s="518" t="s">
        <v>97</v>
      </c>
      <c r="EW7" s="518"/>
      <c r="EX7" s="518" t="s">
        <v>98</v>
      </c>
      <c r="EY7" s="518"/>
      <c r="EZ7" s="518" t="s">
        <v>200</v>
      </c>
      <c r="FA7" s="518"/>
      <c r="FB7" s="518" t="s">
        <v>99</v>
      </c>
      <c r="FC7" s="526"/>
    </row>
    <row r="8" spans="1:159" s="4" customFormat="1" ht="44.25" customHeight="1" thickBot="1" x14ac:dyDescent="0.3">
      <c r="A8" s="459"/>
      <c r="B8" s="461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2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20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'[1]September - 2021'!B9</f>
        <v>0.35</v>
      </c>
      <c r="C9" s="263">
        <f>'[1]September - 2021'!E9</f>
        <v>848346</v>
      </c>
      <c r="D9" s="569">
        <f>C10-C9</f>
        <v>243</v>
      </c>
      <c r="E9" s="483">
        <f>'[1]September - 2021'!G9</f>
        <v>555</v>
      </c>
      <c r="F9" s="168">
        <f>'[1]September - 2021'!H9</f>
        <v>51809</v>
      </c>
      <c r="G9" s="481">
        <f>F10-F9</f>
        <v>260</v>
      </c>
      <c r="H9" s="483">
        <f>'[1]September - 2021'!J9</f>
        <v>287</v>
      </c>
      <c r="I9" s="264">
        <f>'[1]September - 2021'!K9</f>
        <v>164625</v>
      </c>
      <c r="J9" s="481">
        <f>I10-I9</f>
        <v>0</v>
      </c>
      <c r="K9" s="264">
        <f>'[1]September - 2021'!N9</f>
        <v>788173</v>
      </c>
      <c r="L9" s="480">
        <f>K10-K9</f>
        <v>274</v>
      </c>
      <c r="M9" s="264">
        <f>'[1]September - 2021'!Q9</f>
        <v>177923</v>
      </c>
      <c r="N9" s="480">
        <f>M10-M9</f>
        <v>141</v>
      </c>
      <c r="O9" s="264">
        <f>'[1]September - 2021'!S9</f>
        <v>33875</v>
      </c>
      <c r="P9" s="481">
        <f>O10-O9</f>
        <v>236.33000000000175</v>
      </c>
      <c r="Q9" s="483">
        <f>'[1]September - 2021'!U9</f>
        <v>194</v>
      </c>
      <c r="R9" s="264">
        <f>'[1]September - 2021'!V9</f>
        <v>938</v>
      </c>
      <c r="S9" s="571">
        <f>R10-R9</f>
        <v>31</v>
      </c>
      <c r="T9" s="479"/>
      <c r="U9" s="269">
        <f>'[1]September - 2021'!AC9</f>
        <v>6885841.2000000002</v>
      </c>
      <c r="V9" s="573">
        <f>U10-U9</f>
        <v>2241.1200000001118</v>
      </c>
      <c r="W9" s="499">
        <f>'[1]September - 2021'!AD9</f>
        <v>2241.1200000001118</v>
      </c>
      <c r="X9" s="255">
        <f>'[1]September - 2021'!AF9</f>
        <v>13279902.719999999</v>
      </c>
      <c r="Y9" s="481">
        <f>X10-X9</f>
        <v>4677.1200000010431</v>
      </c>
      <c r="Z9" s="499">
        <f>'[1]September - 2021'!AG9</f>
        <v>4677.1200000010431</v>
      </c>
      <c r="AA9" s="255">
        <f>'[1]September - 2021'!AI9</f>
        <v>13037423.280000001</v>
      </c>
      <c r="AB9" s="481">
        <f>AA10-AA9</f>
        <v>1315.4399999976158</v>
      </c>
      <c r="AC9" s="499">
        <f>'[1]September - 2021'!AJ9</f>
        <v>1315.4399999976158</v>
      </c>
      <c r="AD9" s="255">
        <f>'[1]September - 2021'!AL9</f>
        <v>16072435.68</v>
      </c>
      <c r="AE9" s="481">
        <f>AD10-AD9</f>
        <v>8526</v>
      </c>
      <c r="AF9" s="499">
        <f>'[1]September - 2021'!AM9</f>
        <v>8526</v>
      </c>
      <c r="AG9" s="255">
        <f>'[1]September - 2021'!AO9</f>
        <v>16436568.960000001</v>
      </c>
      <c r="AH9" s="481">
        <f>AG10-AG9</f>
        <v>13056.959999997169</v>
      </c>
      <c r="AI9" s="499">
        <f>'[1]September - 2021'!AP9</f>
        <v>13056.959999997169</v>
      </c>
      <c r="AJ9" s="255">
        <f>'[1]September - 2021'!AR9</f>
        <v>14899355.52</v>
      </c>
      <c r="AK9" s="481">
        <f>AJ10-AJ9</f>
        <v>4969.4399999994785</v>
      </c>
      <c r="AL9" s="499">
        <f>'[1]September - 2021'!AS9</f>
        <v>4969.4399999994785</v>
      </c>
      <c r="AM9" s="255">
        <f>'[1]September - 2021'!AU9</f>
        <v>12710901.84</v>
      </c>
      <c r="AN9" s="481">
        <f>AM10-AM9</f>
        <v>2679.5999999996275</v>
      </c>
      <c r="AO9" s="499">
        <f>'[1]September - 2021'!AV9</f>
        <v>2679.5999999996275</v>
      </c>
      <c r="AP9" s="255">
        <f>'[1]September - 2021'!AX9</f>
        <v>12247866.959999999</v>
      </c>
      <c r="AQ9" s="481">
        <f>AP10-AP9</f>
        <v>3800.160000000149</v>
      </c>
      <c r="AR9" s="499">
        <f>'[1]September - 2021'!AY9</f>
        <v>3800.160000000149</v>
      </c>
      <c r="AS9" s="255">
        <f>'[1]September - 2021'!BA9</f>
        <v>9772208.8800000008</v>
      </c>
      <c r="AT9" s="481">
        <f>AS10-AS9</f>
        <v>2679.5999999996275</v>
      </c>
      <c r="AU9" s="499">
        <f>'[1]September - 2021'!BB9</f>
        <v>2679.5999999996275</v>
      </c>
      <c r="AV9" s="255">
        <f>'[1]September - 2021'!BD9</f>
        <v>15050679.84</v>
      </c>
      <c r="AW9" s="481">
        <f>AV10-AV9</f>
        <v>6284.8799999989569</v>
      </c>
      <c r="AX9" s="501">
        <f>'[1]September - 2021'!BE9</f>
        <v>6284.8799999989569</v>
      </c>
      <c r="AY9" s="496"/>
      <c r="AZ9" s="272">
        <f>'[1]September - 2021'!BK9</f>
        <v>64792000</v>
      </c>
      <c r="BA9" s="503">
        <f>AZ10-AZ9</f>
        <v>-1800</v>
      </c>
      <c r="BB9" s="497">
        <f>'[1]September - 2021'!BL9</f>
        <v>-1800</v>
      </c>
      <c r="BC9" s="272">
        <f>'[1]September - 2021'!BN9</f>
        <v>67422300</v>
      </c>
      <c r="BD9" s="503">
        <f>BC10-BC9</f>
        <v>38900</v>
      </c>
      <c r="BE9" s="497">
        <f>'[1]September - 2021'!BO9</f>
        <v>38900</v>
      </c>
      <c r="BF9" s="272">
        <f>'[1]September - 2021'!BQ9</f>
        <v>62099800</v>
      </c>
      <c r="BG9" s="503">
        <f>BF10-BF9</f>
        <v>62000</v>
      </c>
      <c r="BH9" s="497">
        <f>'[1]September - 2021'!BR9</f>
        <v>62000</v>
      </c>
      <c r="BI9" s="26"/>
      <c r="BJ9" s="480"/>
      <c r="BK9" s="26"/>
      <c r="BL9" s="26"/>
      <c r="BM9" s="26"/>
      <c r="BN9" s="26"/>
      <c r="BO9" s="26"/>
      <c r="BP9" s="26"/>
      <c r="BQ9" s="26"/>
      <c r="BR9" s="26"/>
      <c r="BS9" s="273">
        <f>'[1]September - 2021'!BT9</f>
        <v>7032340</v>
      </c>
      <c r="BT9" s="576">
        <f>BS10-BS9</f>
        <v>5290</v>
      </c>
      <c r="BU9" s="592"/>
      <c r="BV9" s="300">
        <f>'[1]September - 2021'!BW9</f>
        <v>0.69</v>
      </c>
      <c r="BW9" s="587">
        <f>BV10-BV9</f>
        <v>0.10000000000000009</v>
      </c>
      <c r="BX9" s="589">
        <f>'[1]September - 2021'!$BX$9:$BX$10</f>
        <v>-0.10000000000000009</v>
      </c>
      <c r="BY9" s="89">
        <f>'[1]September - 2021'!BZ9</f>
        <v>55249</v>
      </c>
      <c r="BZ9" s="575">
        <f>BY10-BY9</f>
        <v>16</v>
      </c>
      <c r="CA9" s="89">
        <f>'[1]September - 2021'!CB9</f>
        <v>46769</v>
      </c>
      <c r="CB9" s="575">
        <f>CA10-CA9</f>
        <v>16</v>
      </c>
      <c r="CC9" s="89">
        <f>'[1]September - 2021'!CD9</f>
        <v>16161</v>
      </c>
      <c r="CD9" s="575">
        <f>CC10-CC9</f>
        <v>4</v>
      </c>
      <c r="CE9" s="89">
        <f>'[1]September - 2021'!CF9</f>
        <v>21026</v>
      </c>
      <c r="CF9" s="575">
        <f>CE10-CE9</f>
        <v>10</v>
      </c>
      <c r="CG9" s="89">
        <f>'[1]September - 2021'!CH9</f>
        <v>22787</v>
      </c>
      <c r="CH9" s="575">
        <f>CG10-CG9</f>
        <v>6</v>
      </c>
      <c r="CI9" s="89">
        <f>'[1]September - 2021'!CJ9</f>
        <v>50815</v>
      </c>
      <c r="CJ9" s="575">
        <f>CI10-CI9</f>
        <v>7</v>
      </c>
      <c r="CK9" s="89">
        <f>'[1]September - 2021'!CL9</f>
        <v>224565</v>
      </c>
      <c r="CL9" s="575">
        <f>CK10-CK9</f>
        <v>91</v>
      </c>
      <c r="CM9" s="527">
        <f>'[1]September - 2021'!CM9</f>
        <v>91</v>
      </c>
      <c r="CN9" s="89">
        <f>'[1]September - 2021'!CO9</f>
        <v>170936</v>
      </c>
      <c r="CO9" s="575">
        <f>CN10-CN9</f>
        <v>63</v>
      </c>
      <c r="CP9" s="527">
        <f>'[1]September - 2021'!CP9</f>
        <v>63</v>
      </c>
      <c r="CQ9" s="89">
        <f>'[1]September - 2021'!CR9</f>
        <v>308195</v>
      </c>
      <c r="CR9" s="575">
        <f>CQ10-CQ9</f>
        <v>0</v>
      </c>
      <c r="CS9" s="527">
        <f>'[1]September - 2021'!CS9</f>
        <v>0</v>
      </c>
      <c r="CT9" s="89">
        <f>'[1]September - 2021'!CU9</f>
        <v>597754</v>
      </c>
      <c r="CU9" s="529">
        <f>CT10-CT9</f>
        <v>234</v>
      </c>
      <c r="CV9" s="520"/>
      <c r="CW9" s="256">
        <f>'[1]September - 2021'!CX9</f>
        <v>5602</v>
      </c>
      <c r="CX9" s="531">
        <f>CW10-CW9</f>
        <v>8</v>
      </c>
      <c r="CY9" s="257">
        <f>'[1]September - 2021'!CZ9</f>
        <v>3177</v>
      </c>
      <c r="CZ9" s="531">
        <f>CY10-CY9</f>
        <v>5</v>
      </c>
      <c r="DA9" s="257">
        <f>'[1]September - 2021'!DB9</f>
        <v>25277</v>
      </c>
      <c r="DB9" s="531">
        <f>DA10-DA9</f>
        <v>11</v>
      </c>
      <c r="DC9" s="257">
        <f>'[1]September - 2021'!DD9</f>
        <v>25923</v>
      </c>
      <c r="DD9" s="531">
        <f>DC10-DC9</f>
        <v>14</v>
      </c>
      <c r="DE9" s="257">
        <f>'[1]September - 2021'!DF9</f>
        <v>17864</v>
      </c>
      <c r="DF9" s="531">
        <f>DE10-DE9</f>
        <v>6</v>
      </c>
      <c r="DG9" s="257">
        <f>'[1]September - 2021'!DH9</f>
        <v>20921</v>
      </c>
      <c r="DH9" s="531">
        <f>DG10-DG9</f>
        <v>7</v>
      </c>
      <c r="DI9" s="257">
        <f>'[1]September - 2021'!DJ9</f>
        <v>2364</v>
      </c>
      <c r="DJ9" s="531">
        <f>DI10-DI9</f>
        <v>10</v>
      </c>
      <c r="DK9" s="257">
        <f>'[1]September - 2021'!DL9</f>
        <v>5528</v>
      </c>
      <c r="DL9" s="531">
        <f>DK10-DK9</f>
        <v>13</v>
      </c>
      <c r="DM9" s="257">
        <f>'[1]September - 2021'!DN9</f>
        <v>1268</v>
      </c>
      <c r="DN9" s="531">
        <f>DM10-DM9</f>
        <v>4</v>
      </c>
      <c r="DO9" s="257">
        <f>'[1]September - 2021'!DP9</f>
        <v>2892</v>
      </c>
      <c r="DP9" s="531">
        <f>DO10-DO9</f>
        <v>6</v>
      </c>
      <c r="DQ9" s="257">
        <f>'[1]September - 2021'!DR9</f>
        <v>25850</v>
      </c>
      <c r="DR9" s="585">
        <f>DQ10-DQ9</f>
        <v>8</v>
      </c>
      <c r="DS9" s="536"/>
      <c r="DT9" s="210">
        <f>'[1]September - 2021'!DU9</f>
        <v>2156.4</v>
      </c>
      <c r="DU9" s="549">
        <f>DT10-DT9</f>
        <v>10</v>
      </c>
      <c r="DV9" s="91">
        <f>'[1]September - 2021'!DW9</f>
        <v>7426.5</v>
      </c>
      <c r="DW9" s="547">
        <f>DV10-DV9</f>
        <v>8</v>
      </c>
      <c r="DX9" s="91">
        <f>'[1]September - 2021'!DY9</f>
        <v>1627.4</v>
      </c>
      <c r="DY9" s="549">
        <f>DX10-DX9</f>
        <v>6.3999999999998636</v>
      </c>
      <c r="DZ9" s="91">
        <f>'[1]September - 2021'!EA9</f>
        <v>1487.8</v>
      </c>
      <c r="EA9" s="549">
        <f>DZ10-DZ9</f>
        <v>11.600000000000136</v>
      </c>
      <c r="EB9" s="91">
        <f>'[1]September - 2021'!EC9</f>
        <v>803473</v>
      </c>
      <c r="EC9" s="549">
        <f>EB10-EB9</f>
        <v>790</v>
      </c>
      <c r="ED9" s="91">
        <f>'[1]September - 2021'!EG9</f>
        <v>161042.6</v>
      </c>
      <c r="EE9" s="551">
        <f>ED10-ED9</f>
        <v>153.10000000000582</v>
      </c>
      <c r="EF9" s="583"/>
      <c r="EG9" s="235">
        <f>'[1]September - 2021'!EJ9</f>
        <v>9824000</v>
      </c>
      <c r="EH9" s="560">
        <f>EG10-EG9</f>
        <v>8200</v>
      </c>
      <c r="EI9" s="90">
        <f>'[1]September - 2021'!EL9</f>
        <v>789420</v>
      </c>
      <c r="EJ9" s="560">
        <f>EI10-EI9</f>
        <v>460</v>
      </c>
      <c r="EK9" s="90">
        <f>'[1]September - 2021'!EN9</f>
        <v>6136300</v>
      </c>
      <c r="EL9" s="560">
        <f>EK10-EK9</f>
        <v>3300</v>
      </c>
      <c r="EM9" s="90">
        <f>'[1]September - 2021'!EP9</f>
        <v>2167200</v>
      </c>
      <c r="EN9" s="560">
        <f>EM10-EM9</f>
        <v>1200</v>
      </c>
      <c r="EO9" s="90">
        <f>'[1]September - 2021'!ER9</f>
        <v>913870</v>
      </c>
      <c r="EP9" s="560">
        <f>EO10-EO9</f>
        <v>990</v>
      </c>
      <c r="EQ9" s="90">
        <f>'[1]September - 2021'!ET9</f>
        <v>13625600</v>
      </c>
      <c r="ER9" s="567">
        <f>EQ10-EQ9</f>
        <v>7300</v>
      </c>
      <c r="ES9" s="558"/>
      <c r="ET9" s="284">
        <f>'[1]September - 2021'!EW9</f>
        <v>36015</v>
      </c>
      <c r="EU9" s="532">
        <f>ET10-ET9</f>
        <v>14</v>
      </c>
      <c r="EV9" s="285">
        <f>'[1]September - 2021'!EY9</f>
        <v>31132</v>
      </c>
      <c r="EW9" s="532">
        <f>EV10-EV9</f>
        <v>12</v>
      </c>
      <c r="EX9" s="285">
        <f>'[1]September - 2021'!FA9</f>
        <v>2247</v>
      </c>
      <c r="EY9" s="532">
        <v>0</v>
      </c>
      <c r="EZ9" s="285">
        <f>'[1]September - 2021'!FC9</f>
        <v>52350</v>
      </c>
      <c r="FA9" s="532">
        <f>EZ10-EZ9</f>
        <v>17</v>
      </c>
      <c r="FB9" s="285">
        <f>'[1]September - 2021'!FE9</f>
        <v>34727</v>
      </c>
      <c r="FC9" s="563">
        <f>FB10-FB9</f>
        <v>24</v>
      </c>
    </row>
    <row r="10" spans="1:159" ht="30" customHeight="1" x14ac:dyDescent="0.25">
      <c r="A10" s="207">
        <v>43831</v>
      </c>
      <c r="B10" s="209">
        <f>'[1]September - 2021'!B10</f>
        <v>0.34</v>
      </c>
      <c r="C10" s="250">
        <f>'[1]September - 2021'!E10</f>
        <v>848589</v>
      </c>
      <c r="D10" s="570"/>
      <c r="E10" s="484"/>
      <c r="F10" s="168">
        <f>'[1]September - 2021'!H10</f>
        <v>52069</v>
      </c>
      <c r="G10" s="482"/>
      <c r="H10" s="484"/>
      <c r="I10" s="168">
        <f>'[1]September - 2021'!K10</f>
        <v>164625</v>
      </c>
      <c r="J10" s="482"/>
      <c r="K10" s="168">
        <f>'[1]September - 2021'!N10</f>
        <v>788447</v>
      </c>
      <c r="L10" s="481"/>
      <c r="M10" s="168">
        <f>'[1]September - 2021'!Q10</f>
        <v>178064</v>
      </c>
      <c r="N10" s="481"/>
      <c r="O10" s="168">
        <f>'[1]September - 2021'!S10</f>
        <v>34111.33</v>
      </c>
      <c r="P10" s="482"/>
      <c r="Q10" s="484"/>
      <c r="R10" s="168">
        <f>'[1]September - 2021'!V10</f>
        <v>969</v>
      </c>
      <c r="S10" s="572"/>
      <c r="T10" s="479"/>
      <c r="U10" s="269">
        <f>'[1]September - 2021'!AC10</f>
        <v>6888082.3200000003</v>
      </c>
      <c r="V10" s="574"/>
      <c r="W10" s="500"/>
      <c r="X10" s="290">
        <f>'[1]September - 2021'!AF10</f>
        <v>13284579.84</v>
      </c>
      <c r="Y10" s="482"/>
      <c r="Z10" s="500"/>
      <c r="AA10" s="290">
        <f>'[1]September - 2021'!AI10</f>
        <v>13038738.719999999</v>
      </c>
      <c r="AB10" s="482"/>
      <c r="AC10" s="500"/>
      <c r="AD10" s="290">
        <f>'[1]September - 2021'!AL10</f>
        <v>16080961.68</v>
      </c>
      <c r="AE10" s="482"/>
      <c r="AF10" s="500"/>
      <c r="AG10" s="290">
        <f>'[1]September - 2021'!AO10</f>
        <v>16449625.919999998</v>
      </c>
      <c r="AH10" s="482"/>
      <c r="AI10" s="500"/>
      <c r="AJ10" s="290">
        <f>'[1]September - 2021'!AR10</f>
        <v>14904324.959999999</v>
      </c>
      <c r="AK10" s="482"/>
      <c r="AL10" s="500"/>
      <c r="AM10" s="290">
        <f>'[1]September - 2021'!AU10</f>
        <v>12713581.439999999</v>
      </c>
      <c r="AN10" s="482"/>
      <c r="AO10" s="500"/>
      <c r="AP10" s="290">
        <f>'[1]September - 2021'!AX10</f>
        <v>12251667.119999999</v>
      </c>
      <c r="AQ10" s="482"/>
      <c r="AR10" s="500"/>
      <c r="AS10" s="290">
        <f>'[1]September - 2021'!BA10</f>
        <v>9774888.4800000004</v>
      </c>
      <c r="AT10" s="482"/>
      <c r="AU10" s="500"/>
      <c r="AV10" s="290">
        <f>'[1]September - 2021'!BD10</f>
        <v>15056964.719999999</v>
      </c>
      <c r="AW10" s="482"/>
      <c r="AX10" s="502"/>
      <c r="AY10" s="496"/>
      <c r="AZ10" s="272">
        <f>'[1]September - 2021'!BK10</f>
        <v>64790200</v>
      </c>
      <c r="BA10" s="504"/>
      <c r="BB10" s="498"/>
      <c r="BC10" s="272">
        <f>'[1]September - 2021'!BN10</f>
        <v>67461200</v>
      </c>
      <c r="BD10" s="504"/>
      <c r="BE10" s="498"/>
      <c r="BF10" s="272">
        <f>'[1]September - 2021'!BQ10</f>
        <v>62161800</v>
      </c>
      <c r="BG10" s="504"/>
      <c r="BH10" s="498"/>
      <c r="BI10" s="25"/>
      <c r="BJ10" s="481"/>
      <c r="BK10" s="25"/>
      <c r="BL10" s="25"/>
      <c r="BM10" s="25"/>
      <c r="BN10" s="25"/>
      <c r="BO10" s="25"/>
      <c r="BP10" s="25"/>
      <c r="BQ10" s="25"/>
      <c r="BR10" s="25"/>
      <c r="BS10" s="273">
        <f>'[1]September - 2021'!BT10</f>
        <v>7037630</v>
      </c>
      <c r="BT10" s="586"/>
      <c r="BU10" s="592"/>
      <c r="BV10" s="88">
        <f>'[1]September - 2021'!BW10</f>
        <v>0.79</v>
      </c>
      <c r="BW10" s="588"/>
      <c r="BX10" s="590"/>
      <c r="BY10" s="89">
        <f>'[1]September - 2021'!BZ10</f>
        <v>55265</v>
      </c>
      <c r="BZ10" s="576"/>
      <c r="CA10" s="89">
        <f>'[1]September - 2021'!CB10</f>
        <v>46785</v>
      </c>
      <c r="CB10" s="576"/>
      <c r="CC10" s="89">
        <f>'[1]September - 2021'!CD10</f>
        <v>16165</v>
      </c>
      <c r="CD10" s="576"/>
      <c r="CE10" s="89">
        <f>'[1]September - 2021'!CF10</f>
        <v>21036</v>
      </c>
      <c r="CF10" s="576"/>
      <c r="CG10" s="89">
        <f>'[1]September - 2021'!CH10</f>
        <v>22793</v>
      </c>
      <c r="CH10" s="576"/>
      <c r="CI10" s="89">
        <f>'[1]September - 2021'!CJ10</f>
        <v>50822</v>
      </c>
      <c r="CJ10" s="576"/>
      <c r="CK10" s="89">
        <f>'[1]September - 2021'!CL10</f>
        <v>224656</v>
      </c>
      <c r="CL10" s="576"/>
      <c r="CM10" s="528"/>
      <c r="CN10" s="89">
        <f>'[1]September - 2021'!CO10</f>
        <v>170999</v>
      </c>
      <c r="CO10" s="576"/>
      <c r="CP10" s="528"/>
      <c r="CQ10" s="89">
        <f>'[1]September - 2021'!CR10</f>
        <v>308195</v>
      </c>
      <c r="CR10" s="576"/>
      <c r="CS10" s="528"/>
      <c r="CT10" s="89">
        <f>'[1]September - 2021'!CU10</f>
        <v>597988</v>
      </c>
      <c r="CU10" s="530"/>
      <c r="CV10" s="520"/>
      <c r="CW10" s="256">
        <f>'[1]September - 2021'!CX10</f>
        <v>5610</v>
      </c>
      <c r="CX10" s="532"/>
      <c r="CY10" s="257">
        <f>'[1]September - 2021'!CZ10</f>
        <v>3182</v>
      </c>
      <c r="CZ10" s="532"/>
      <c r="DA10" s="257">
        <f>'[1]September - 2021'!DB10</f>
        <v>25288</v>
      </c>
      <c r="DB10" s="532"/>
      <c r="DC10" s="257">
        <f>'[1]September - 2021'!DD10</f>
        <v>25937</v>
      </c>
      <c r="DD10" s="532"/>
      <c r="DE10" s="257">
        <f>'[1]September - 2021'!DF10</f>
        <v>17870</v>
      </c>
      <c r="DF10" s="532"/>
      <c r="DG10" s="257">
        <f>'[1]September - 2021'!DH10</f>
        <v>20928</v>
      </c>
      <c r="DH10" s="532"/>
      <c r="DI10" s="257">
        <f>'[1]September - 2021'!DJ10</f>
        <v>2374</v>
      </c>
      <c r="DJ10" s="532"/>
      <c r="DK10" s="257">
        <f>'[1]September - 2021'!DL10</f>
        <v>5541</v>
      </c>
      <c r="DL10" s="532"/>
      <c r="DM10" s="257">
        <f>'[1]September - 2021'!DN10</f>
        <v>1272</v>
      </c>
      <c r="DN10" s="532"/>
      <c r="DO10" s="257">
        <f>'[1]September - 2021'!DP10</f>
        <v>2898</v>
      </c>
      <c r="DP10" s="532"/>
      <c r="DQ10" s="257">
        <f>'[1]September - 2021'!DR10</f>
        <v>25858</v>
      </c>
      <c r="DR10" s="563"/>
      <c r="DS10" s="536"/>
      <c r="DT10" s="210">
        <f>'[1]September - 2021'!DU10</f>
        <v>2166.4</v>
      </c>
      <c r="DU10" s="550"/>
      <c r="DV10" s="91">
        <f>'[1]September - 2021'!DW10</f>
        <v>7434.5</v>
      </c>
      <c r="DW10" s="548"/>
      <c r="DX10" s="91">
        <f>'[1]September - 2021'!DY10</f>
        <v>1633.8</v>
      </c>
      <c r="DY10" s="550"/>
      <c r="DZ10" s="91">
        <f>'[1]September - 2021'!EA10</f>
        <v>1499.4</v>
      </c>
      <c r="EA10" s="550"/>
      <c r="EB10" s="91">
        <f>'[1]September - 2021'!EC10</f>
        <v>804263</v>
      </c>
      <c r="EC10" s="550"/>
      <c r="ED10" s="91">
        <f>'[1]September - 2021'!EG10</f>
        <v>161195.70000000001</v>
      </c>
      <c r="EE10" s="552"/>
      <c r="EF10" s="583"/>
      <c r="EG10" s="235">
        <f>'[1]September - 2021'!EJ10</f>
        <v>9832200</v>
      </c>
      <c r="EH10" s="561"/>
      <c r="EI10" s="90">
        <f>'[1]September - 2021'!EL10</f>
        <v>789880</v>
      </c>
      <c r="EJ10" s="561"/>
      <c r="EK10" s="90">
        <f>'[1]September - 2021'!EN10</f>
        <v>6139600</v>
      </c>
      <c r="EL10" s="561"/>
      <c r="EM10" s="90">
        <f>'[1]September - 2021'!EP10</f>
        <v>2168400</v>
      </c>
      <c r="EN10" s="561"/>
      <c r="EO10" s="90">
        <f>'[1]September - 2021'!ER10</f>
        <v>914860</v>
      </c>
      <c r="EP10" s="561"/>
      <c r="EQ10" s="90">
        <f>'[1]September - 2021'!ET10</f>
        <v>13632900</v>
      </c>
      <c r="ER10" s="568"/>
      <c r="ES10" s="558"/>
      <c r="ET10" s="284">
        <f>'[1]September - 2021'!EW10</f>
        <v>36029</v>
      </c>
      <c r="EU10" s="562"/>
      <c r="EV10" s="285">
        <f>'[1]September - 2021'!EY10</f>
        <v>31144</v>
      </c>
      <c r="EW10" s="562"/>
      <c r="EX10" s="285">
        <f>'[1]September - 2021'!FA10</f>
        <v>2260</v>
      </c>
      <c r="EY10" s="562"/>
      <c r="EZ10" s="285">
        <f>'[1]September - 2021'!FC10</f>
        <v>52367</v>
      </c>
      <c r="FA10" s="562"/>
      <c r="FB10" s="285">
        <f>'[1]September - 2021'!FE10</f>
        <v>34751</v>
      </c>
      <c r="FC10" s="564"/>
    </row>
    <row r="11" spans="1:159" ht="30" customHeight="1" x14ac:dyDescent="0.25">
      <c r="A11" s="207">
        <v>43832</v>
      </c>
      <c r="B11" s="209">
        <f>'[1]September - 2021'!B11</f>
        <v>0.41</v>
      </c>
      <c r="C11" s="250">
        <f>'[1]September - 2021'!E11</f>
        <v>849709</v>
      </c>
      <c r="D11" s="170">
        <f>'[1]September - 2021'!F11</f>
        <v>1120</v>
      </c>
      <c r="E11" s="168">
        <f>'[1]September - 2021'!G11</f>
        <v>502</v>
      </c>
      <c r="F11" s="168">
        <f>'[1]September - 2021'!H11</f>
        <v>52352</v>
      </c>
      <c r="G11" s="170">
        <f>'[1]September - 2021'!I11</f>
        <v>283</v>
      </c>
      <c r="H11" s="168">
        <f>'[1]September - 2021'!J11</f>
        <v>266</v>
      </c>
      <c r="I11" s="168">
        <f>'[1]September - 2021'!K11</f>
        <v>164625</v>
      </c>
      <c r="J11" s="170">
        <f>'[1]September - 2021'!L11</f>
        <v>0</v>
      </c>
      <c r="K11" s="168">
        <f>'[1]September - 2021'!N11</f>
        <v>788623</v>
      </c>
      <c r="L11" s="170">
        <f>'[1]September - 2021'!O11</f>
        <v>176</v>
      </c>
      <c r="M11" s="168">
        <f>'[1]September - 2021'!Q11</f>
        <v>178199</v>
      </c>
      <c r="N11" s="170">
        <f>'[1]September - 2021'!R11</f>
        <v>135</v>
      </c>
      <c r="O11" s="168">
        <f>'[1]September - 2021'!S11</f>
        <v>34358</v>
      </c>
      <c r="P11" s="170">
        <f>'[1]September - 2021'!T11</f>
        <v>246.66999999999825</v>
      </c>
      <c r="Q11" s="168">
        <f>'[1]September - 2021'!U11</f>
        <v>190</v>
      </c>
      <c r="R11" s="168">
        <f>'[1]September - 2021'!V11</f>
        <v>1002</v>
      </c>
      <c r="S11" s="208">
        <f>'[1]September - 2021'!W11</f>
        <v>33</v>
      </c>
      <c r="T11" s="479"/>
      <c r="U11" s="269">
        <f>'[1]September - 2021'!AC11</f>
        <v>6890323.4400000004</v>
      </c>
      <c r="V11" s="239">
        <f>'[1]September - 2021'!AD11</f>
        <v>2241.1200000001118</v>
      </c>
      <c r="W11" s="92">
        <f>'[1]September - 2021'!AD11</f>
        <v>2241.1200000001118</v>
      </c>
      <c r="X11" s="290">
        <f>'[1]September - 2021'!AF11</f>
        <v>13289110.799999999</v>
      </c>
      <c r="Y11" s="239">
        <f>'[1]September - 2021'!AG11</f>
        <v>4530.9599999990314</v>
      </c>
      <c r="Z11" s="92">
        <f>'[1]September - 2021'!AG11</f>
        <v>4530.9599999990314</v>
      </c>
      <c r="AA11" s="290">
        <f>'[1]September - 2021'!AI11</f>
        <v>13039956.719999999</v>
      </c>
      <c r="AB11" s="251">
        <f>'[1]September - 2021'!AJ11</f>
        <v>1218</v>
      </c>
      <c r="AC11" s="92">
        <f>'[1]September - 2021'!AJ11</f>
        <v>1218</v>
      </c>
      <c r="AD11" s="290">
        <f>'[1]September - 2021'!AL11</f>
        <v>16090656.960000001</v>
      </c>
      <c r="AE11" s="251">
        <f>'[1]September - 2021'!AM11</f>
        <v>9695.2800000011921</v>
      </c>
      <c r="AF11" s="92">
        <f>'[1]September - 2021'!AM11</f>
        <v>9695.2800000011921</v>
      </c>
      <c r="AG11" s="290">
        <f>'[1]September - 2021'!AO11</f>
        <v>16463559.839999998</v>
      </c>
      <c r="AH11" s="251">
        <f>'[1]September - 2021'!AP11</f>
        <v>13933.919999999925</v>
      </c>
      <c r="AI11" s="92">
        <f>'[1]September - 2021'!AP11</f>
        <v>13933.919999999925</v>
      </c>
      <c r="AJ11" s="290">
        <f>'[1]September - 2021'!AR11</f>
        <v>14909489.280000001</v>
      </c>
      <c r="AK11" s="251">
        <f>'[1]September - 2021'!AS11</f>
        <v>5164.3200000021607</v>
      </c>
      <c r="AL11" s="92">
        <f>'[1]September - 2021'!AS11</f>
        <v>5164.3200000021607</v>
      </c>
      <c r="AM11" s="290">
        <f>'[1]September - 2021'!AU11</f>
        <v>12717966.24</v>
      </c>
      <c r="AN11" s="251">
        <f>'[1]September - 2021'!AV11</f>
        <v>4384.8000000007451</v>
      </c>
      <c r="AO11" s="92">
        <f>'[1]September - 2021'!AV11</f>
        <v>4384.8000000007451</v>
      </c>
      <c r="AP11" s="290">
        <f>'[1]September - 2021'!AX11</f>
        <v>12255808.319999998</v>
      </c>
      <c r="AQ11" s="251">
        <f>'[1]September - 2021'!AY11</f>
        <v>4141.1999999992549</v>
      </c>
      <c r="AR11" s="92">
        <f>'[1]September - 2021'!AY11</f>
        <v>4141.1999999992549</v>
      </c>
      <c r="AS11" s="290">
        <f>'[1]September - 2021'!BA11</f>
        <v>9777714.2400000002</v>
      </c>
      <c r="AT11" s="251">
        <f>'[1]September - 2021'!BB11</f>
        <v>2825.7599999997765</v>
      </c>
      <c r="AU11" s="92">
        <f>'[1]September - 2021'!BB11</f>
        <v>2825.7599999997765</v>
      </c>
      <c r="AV11" s="290">
        <f>'[1]September - 2021'!BD11</f>
        <v>15063347.039999999</v>
      </c>
      <c r="AW11" s="252">
        <f>'[1]September - 2021'!BE11</f>
        <v>6382.320000000298</v>
      </c>
      <c r="AX11" s="253">
        <f>'[1]September - 2021'!BE11</f>
        <v>6382.320000000298</v>
      </c>
      <c r="AY11" s="496"/>
      <c r="AZ11" s="272">
        <f>'[1]September - 2021'!BK11</f>
        <v>64790200</v>
      </c>
      <c r="BA11" s="179">
        <f>'[1]September - 2021'!BL11</f>
        <v>0</v>
      </c>
      <c r="BB11" s="93">
        <f>'[1]September - 2021'!BL11</f>
        <v>0</v>
      </c>
      <c r="BC11" s="272">
        <f>'[1]September - 2021'!BN11</f>
        <v>67506400</v>
      </c>
      <c r="BD11" s="245">
        <f>'[1]September - 2021'!BO11</f>
        <v>45200</v>
      </c>
      <c r="BE11" s="93">
        <f>'[1]September - 2021'!BO11</f>
        <v>45200</v>
      </c>
      <c r="BF11" s="272">
        <f>'[1]September - 2021'!BQ11</f>
        <v>62226200</v>
      </c>
      <c r="BG11" s="245">
        <f>'[1]September - 2021'!BR11</f>
        <v>64400</v>
      </c>
      <c r="BH11" s="93">
        <f>'[1]September - 2021'!BR11</f>
        <v>64400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- 2021'!BT11</f>
        <v>7043860</v>
      </c>
      <c r="BT11" s="185">
        <f>'[1]September - 2021'!BU11</f>
        <v>6230</v>
      </c>
      <c r="BU11" s="592"/>
      <c r="BV11" s="88">
        <f>'[1]September - 2021'!BW11</f>
        <v>0.78</v>
      </c>
      <c r="BW11" s="241">
        <f>'[1]September - 2021'!BX11</f>
        <v>1.0000000000000009E-2</v>
      </c>
      <c r="BX11" s="88">
        <f>'[1]September - 2021'!BX11</f>
        <v>1.0000000000000009E-2</v>
      </c>
      <c r="BY11" s="89">
        <f>'[1]September - 2021'!BZ11</f>
        <v>55282</v>
      </c>
      <c r="BZ11" s="191">
        <f>'[1]September - 2021'!CA11</f>
        <v>17</v>
      </c>
      <c r="CA11" s="89">
        <f>'[1]September - 2021'!CB11</f>
        <v>46801</v>
      </c>
      <c r="CB11" s="191">
        <f>'[1]September - 2021'!CC11</f>
        <v>16</v>
      </c>
      <c r="CC11" s="89">
        <f>'[1]September - 2021'!CD11</f>
        <v>16171</v>
      </c>
      <c r="CD11" s="191">
        <f>'[1]September - 2021'!CE11</f>
        <v>6</v>
      </c>
      <c r="CE11" s="89">
        <f>'[1]September - 2021'!CF11</f>
        <v>21047</v>
      </c>
      <c r="CF11" s="191">
        <f>'[1]September - 2021'!CG11</f>
        <v>11</v>
      </c>
      <c r="CG11" s="89">
        <f>'[1]September - 2021'!CH11</f>
        <v>22804</v>
      </c>
      <c r="CH11" s="191">
        <f>'[1]September - 2021'!CI11</f>
        <v>11</v>
      </c>
      <c r="CI11" s="89">
        <f>'[1]September - 2021'!CJ11</f>
        <v>50845</v>
      </c>
      <c r="CJ11" s="191">
        <f>'[1]September - 2021'!CK11</f>
        <v>23</v>
      </c>
      <c r="CK11" s="89">
        <f>'[1]September - 2021'!CL11</f>
        <v>224749</v>
      </c>
      <c r="CL11" s="246">
        <f>'[1]September - 2021'!CM11</f>
        <v>93</v>
      </c>
      <c r="CM11" s="89">
        <f>'[1]September - 2021'!CM11</f>
        <v>93</v>
      </c>
      <c r="CN11" s="89">
        <f>'[1]September - 2021'!CO11</f>
        <v>171067</v>
      </c>
      <c r="CO11" s="246">
        <f>'[1]September - 2021'!CP11</f>
        <v>68</v>
      </c>
      <c r="CP11" s="89">
        <f>'[1]September - 2021'!CP11</f>
        <v>68</v>
      </c>
      <c r="CQ11" s="89">
        <f>'[1]September - 2021'!CR11</f>
        <v>308195</v>
      </c>
      <c r="CR11" s="246">
        <f>'[1]September - 2021'!CS11</f>
        <v>0</v>
      </c>
      <c r="CS11" s="89">
        <f>'[1]September - 2021'!CS11</f>
        <v>0</v>
      </c>
      <c r="CT11" s="89">
        <f>'[1]September - 2021'!CU11</f>
        <v>598224</v>
      </c>
      <c r="CU11" s="191">
        <f>'[1]September - 2021'!CV11</f>
        <v>236</v>
      </c>
      <c r="CV11" s="520"/>
      <c r="CW11" s="256">
        <f>'[1]September - 2021'!CX11</f>
        <v>5614</v>
      </c>
      <c r="CX11" s="198">
        <f>'[1]September - 2021'!CY11</f>
        <v>4</v>
      </c>
      <c r="CY11" s="257">
        <f>'[1]September - 2021'!CZ11</f>
        <v>3188</v>
      </c>
      <c r="CZ11" s="198">
        <f>'[1]September - 2021'!DA11</f>
        <v>6</v>
      </c>
      <c r="DA11" s="257">
        <f>'[1]September - 2021'!DB11</f>
        <v>25300</v>
      </c>
      <c r="DB11" s="198">
        <f>'[1]September - 2021'!DC11</f>
        <v>12</v>
      </c>
      <c r="DC11" s="257">
        <f>'[1]September - 2021'!DD11</f>
        <v>25953</v>
      </c>
      <c r="DD11" s="198">
        <f>'[1]September - 2021'!DE11</f>
        <v>16</v>
      </c>
      <c r="DE11" s="257">
        <f>'[1]September - 2021'!DF11</f>
        <v>17876</v>
      </c>
      <c r="DF11" s="198">
        <f>'[1]September - 2021'!DG11</f>
        <v>6</v>
      </c>
      <c r="DG11" s="257">
        <f>'[1]September - 2021'!DH11</f>
        <v>20939</v>
      </c>
      <c r="DH11" s="198">
        <f>'[1]September - 2021'!DI11</f>
        <v>11</v>
      </c>
      <c r="DI11" s="257">
        <f>'[1]September - 2021'!DJ11</f>
        <v>2386</v>
      </c>
      <c r="DJ11" s="198">
        <f>'[1]September - 2021'!DK11</f>
        <v>12</v>
      </c>
      <c r="DK11" s="257">
        <f>'[1]September - 2021'!DL11</f>
        <v>5555</v>
      </c>
      <c r="DL11" s="198">
        <f>'[1]September - 2021'!DM11</f>
        <v>14</v>
      </c>
      <c r="DM11" s="257">
        <f>'[1]September - 2021'!DN11</f>
        <v>1277</v>
      </c>
      <c r="DN11" s="198">
        <f>'[1]September - 2021'!DO11</f>
        <v>5</v>
      </c>
      <c r="DO11" s="257">
        <f>'[1]September - 2021'!DP11</f>
        <v>2905</v>
      </c>
      <c r="DP11" s="198">
        <f>'[1]September - 2021'!DQ11</f>
        <v>7</v>
      </c>
      <c r="DQ11" s="257">
        <f>'[1]September - 2021'!DR11</f>
        <v>25858</v>
      </c>
      <c r="DR11" s="206">
        <f>'[1]September - 2021'!DS11</f>
        <v>0</v>
      </c>
      <c r="DS11" s="536"/>
      <c r="DT11" s="210">
        <f>'[1]September - 2021'!DU11</f>
        <v>2176.1999999999998</v>
      </c>
      <c r="DU11" s="221">
        <f>'[1]September - 2021'!DV11</f>
        <v>9.7999999999997272</v>
      </c>
      <c r="DV11" s="91">
        <f>'[1]September - 2021'!DW11</f>
        <v>7443</v>
      </c>
      <c r="DW11" s="215">
        <f>'[1]September - 2021'!DX11</f>
        <v>8.5</v>
      </c>
      <c r="DX11" s="91">
        <f>'[1]September - 2021'!DY11</f>
        <v>1640.6</v>
      </c>
      <c r="DY11" s="215">
        <f>'[1]September - 2021'!DZ11</f>
        <v>6.7999999999999545</v>
      </c>
      <c r="DZ11" s="91">
        <f>'[1]September - 2021'!EA11</f>
        <v>1511</v>
      </c>
      <c r="EA11" s="215">
        <f>'[1]September - 2021'!EB11</f>
        <v>11.599999999999909</v>
      </c>
      <c r="EB11" s="91">
        <f>'[1]September - 2021'!EC11</f>
        <v>804973</v>
      </c>
      <c r="EC11" s="215">
        <f>'[1]September - 2021'!ED11</f>
        <v>710</v>
      </c>
      <c r="ED11" s="91">
        <f>'[1]September - 2021'!EG11</f>
        <v>161362</v>
      </c>
      <c r="EE11" s="229">
        <f>'[1]September - 2021'!EH11</f>
        <v>166.29999999998836</v>
      </c>
      <c r="EF11" s="583"/>
      <c r="EG11" s="235">
        <f>'[1]September - 2021'!EJ11</f>
        <v>9839700</v>
      </c>
      <c r="EH11" s="230">
        <f>'[1]September - 2021'!EK11</f>
        <v>7500</v>
      </c>
      <c r="EI11" s="90">
        <f>'[1]September - 2021'!EL11</f>
        <v>790280</v>
      </c>
      <c r="EJ11" s="230">
        <f>'[1]September - 2021'!EM11</f>
        <v>400</v>
      </c>
      <c r="EK11" s="90">
        <f>'[1]September - 2021'!EN11</f>
        <v>6142700</v>
      </c>
      <c r="EL11" s="230">
        <f>'[1]September - 2021'!EO11</f>
        <v>3100</v>
      </c>
      <c r="EM11" s="90">
        <f>'[1]September - 2021'!EP11</f>
        <v>2169800</v>
      </c>
      <c r="EN11" s="230">
        <f>'[1]September - 2021'!EQ11</f>
        <v>1400</v>
      </c>
      <c r="EO11" s="90">
        <f>'[1]September - 2021'!ER11</f>
        <v>915710</v>
      </c>
      <c r="EP11" s="230">
        <f>'[1]September - 2021'!ES11</f>
        <v>850</v>
      </c>
      <c r="EQ11" s="90">
        <f>'[1]September - 2021'!ET11</f>
        <v>13639900</v>
      </c>
      <c r="ER11" s="230">
        <f>'[1]September - 2021'!EU11</f>
        <v>7000</v>
      </c>
      <c r="ES11" s="558"/>
      <c r="ET11" s="284">
        <f>'[1]September - 2021'!EW11</f>
        <v>36044</v>
      </c>
      <c r="EU11" s="278">
        <f>'[1]September - 2021'!EX11</f>
        <v>15</v>
      </c>
      <c r="EV11" s="285">
        <f>'[1]September - 2021'!EY11</f>
        <v>31156</v>
      </c>
      <c r="EW11" s="278">
        <f>'[1]September - 2021'!EZ11</f>
        <v>12</v>
      </c>
      <c r="EX11" s="285">
        <f>'[1]September - 2021'!FA11</f>
        <v>2274</v>
      </c>
      <c r="EY11" s="278">
        <f>'[1]September - 2021'!FB11</f>
        <v>14</v>
      </c>
      <c r="EZ11" s="285">
        <f>'[1]September - 2021'!FC11</f>
        <v>52388</v>
      </c>
      <c r="FA11" s="278">
        <f>'[1]September - 2021'!FD11</f>
        <v>21</v>
      </c>
      <c r="FB11" s="285">
        <f>'[1]September - 2021'!FE11</f>
        <v>34777</v>
      </c>
      <c r="FC11" s="279">
        <f>'[1]September - 2021'!FF11</f>
        <v>26</v>
      </c>
    </row>
    <row r="12" spans="1:159" ht="30" customHeight="1" x14ac:dyDescent="0.25">
      <c r="A12" s="207">
        <v>43833</v>
      </c>
      <c r="B12" s="209">
        <f>'[1]September - 2021'!B12</f>
        <v>0.47</v>
      </c>
      <c r="C12" s="250">
        <f>'[1]September - 2021'!E12</f>
        <v>850497</v>
      </c>
      <c r="D12" s="170">
        <f>'[1]September - 2021'!F12</f>
        <v>788</v>
      </c>
      <c r="E12" s="168">
        <f>'[1]September - 2021'!G12</f>
        <v>773</v>
      </c>
      <c r="F12" s="168">
        <f>'[1]September - 2021'!H12</f>
        <v>52639</v>
      </c>
      <c r="G12" s="170">
        <f>'[1]September - 2021'!I12</f>
        <v>287</v>
      </c>
      <c r="H12" s="168">
        <f>'[1]September - 2021'!J12</f>
        <v>304</v>
      </c>
      <c r="I12" s="168">
        <f>'[1]September - 2021'!K12</f>
        <v>164625</v>
      </c>
      <c r="J12" s="170">
        <f>'[1]September - 2021'!L12</f>
        <v>0</v>
      </c>
      <c r="K12" s="168">
        <f>'[1]September - 2021'!N12</f>
        <v>789238</v>
      </c>
      <c r="L12" s="170">
        <f>'[1]September - 2021'!O12</f>
        <v>615</v>
      </c>
      <c r="M12" s="168">
        <f>'[1]September - 2021'!Q12</f>
        <v>178421</v>
      </c>
      <c r="N12" s="170">
        <f>'[1]September - 2021'!R12</f>
        <v>222</v>
      </c>
      <c r="O12" s="168">
        <f>'[1]September - 2021'!S12</f>
        <v>34611.47</v>
      </c>
      <c r="P12" s="170">
        <f>'[1]September - 2021'!T12</f>
        <v>253.47000000000116</v>
      </c>
      <c r="Q12" s="168">
        <f>'[1]September - 2021'!U12</f>
        <v>191</v>
      </c>
      <c r="R12" s="168">
        <f>'[1]September - 2021'!V12</f>
        <v>1038</v>
      </c>
      <c r="S12" s="208">
        <f>'[1]September - 2021'!W12</f>
        <v>36</v>
      </c>
      <c r="T12" s="479"/>
      <c r="U12" s="269">
        <f>'[1]September - 2021'!AC12</f>
        <v>6892710.7199999997</v>
      </c>
      <c r="V12" s="291">
        <f>'[1]September - 2021'!AD12</f>
        <v>2387.2799999993294</v>
      </c>
      <c r="W12" s="92">
        <f>'[1]September - 2021'!AD12</f>
        <v>2387.2799999993294</v>
      </c>
      <c r="X12" s="290">
        <f>'[1]September - 2021'!AF12</f>
        <v>13293544.319999998</v>
      </c>
      <c r="Y12" s="291">
        <f>'[1]September - 2021'!AG12</f>
        <v>4433.519999999553</v>
      </c>
      <c r="Z12" s="92">
        <f>'[1]September - 2021'!AG12</f>
        <v>4433.519999999553</v>
      </c>
      <c r="AA12" s="290">
        <f>'[1]September - 2021'!AI12</f>
        <v>13041467.040000001</v>
      </c>
      <c r="AB12" s="291">
        <f>'[1]September - 2021'!AJ12</f>
        <v>1510.3200000021607</v>
      </c>
      <c r="AC12" s="92">
        <f>'[1]September - 2021'!AJ12</f>
        <v>1510.3200000021607</v>
      </c>
      <c r="AD12" s="290">
        <f>'[1]September - 2021'!AL12</f>
        <v>16099962.48</v>
      </c>
      <c r="AE12" s="291">
        <f>'[1]September - 2021'!AM12</f>
        <v>9305.519999999553</v>
      </c>
      <c r="AF12" s="92">
        <f>'[1]September - 2021'!AM12</f>
        <v>9305.519999999553</v>
      </c>
      <c r="AG12" s="290">
        <f>'[1]September - 2021'!AO12</f>
        <v>16477688.639999999</v>
      </c>
      <c r="AH12" s="291">
        <f>'[1]September - 2021'!AP12</f>
        <v>14128.800000000745</v>
      </c>
      <c r="AI12" s="92">
        <f>'[1]September - 2021'!AP12</f>
        <v>14128.800000000745</v>
      </c>
      <c r="AJ12" s="290">
        <f>'[1]September - 2021'!AR12</f>
        <v>14915043.359999999</v>
      </c>
      <c r="AK12" s="291">
        <f>'[1]September - 2021'!AS12</f>
        <v>5554.0799999982119</v>
      </c>
      <c r="AL12" s="92">
        <f>'[1]September - 2021'!AS12</f>
        <v>5554.0799999982119</v>
      </c>
      <c r="AM12" s="290">
        <f>'[1]September - 2021'!AU12</f>
        <v>12722497.199999999</v>
      </c>
      <c r="AN12" s="291">
        <f>'[1]September - 2021'!AV12</f>
        <v>4530.9599999990314</v>
      </c>
      <c r="AO12" s="92">
        <f>'[1]September - 2021'!AV12</f>
        <v>4530.9599999990314</v>
      </c>
      <c r="AP12" s="290">
        <f>'[1]September - 2021'!AX12</f>
        <v>12259657.199999999</v>
      </c>
      <c r="AQ12" s="291">
        <f>'[1]September - 2021'!AY12</f>
        <v>3848.8800000008196</v>
      </c>
      <c r="AR12" s="92">
        <f>'[1]September - 2021'!AY12</f>
        <v>3848.8800000008196</v>
      </c>
      <c r="AS12" s="290">
        <f>'[1]September - 2021'!BA12</f>
        <v>9780637.4399999995</v>
      </c>
      <c r="AT12" s="291">
        <f>'[1]September - 2021'!BB12</f>
        <v>2923.1999999992549</v>
      </c>
      <c r="AU12" s="92">
        <f>'[1]September - 2021'!BB12</f>
        <v>2923.1999999992549</v>
      </c>
      <c r="AV12" s="290">
        <f>'[1]September - 2021'!BD12</f>
        <v>15069972.959999999</v>
      </c>
      <c r="AW12" s="252">
        <f>'[1]September - 2021'!BE12</f>
        <v>6625.9199999999255</v>
      </c>
      <c r="AX12" s="253">
        <f>'[1]September - 2021'!BE12</f>
        <v>6625.9199999999255</v>
      </c>
      <c r="AY12" s="496"/>
      <c r="AZ12" s="272">
        <f>'[1]September - 2021'!BK12</f>
        <v>64792000</v>
      </c>
      <c r="BA12" s="179">
        <f>'[1]September - 2021'!BL12</f>
        <v>1800</v>
      </c>
      <c r="BB12" s="93">
        <f>'[1]September - 2021'!BL12</f>
        <v>1800</v>
      </c>
      <c r="BC12" s="272">
        <f>'[1]September - 2021'!BN12</f>
        <v>67550500</v>
      </c>
      <c r="BD12" s="245">
        <f>'[1]September - 2021'!BO12</f>
        <v>44100</v>
      </c>
      <c r="BE12" s="93">
        <f>'[1]September - 2021'!BO12</f>
        <v>44100</v>
      </c>
      <c r="BF12" s="272">
        <f>'[1]September - 2021'!BQ12</f>
        <v>62292300</v>
      </c>
      <c r="BG12" s="245">
        <f>'[1]September - 2021'!BR12</f>
        <v>66100</v>
      </c>
      <c r="BH12" s="93">
        <f>'[1]September - 2021'!BR12</f>
        <v>66100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- 2021'!BT12</f>
        <v>7049910</v>
      </c>
      <c r="BT12" s="185">
        <f>'[1]September - 2021'!BU12</f>
        <v>6050</v>
      </c>
      <c r="BU12" s="592"/>
      <c r="BV12" s="88">
        <f>'[1]September - 2021'!BW12</f>
        <v>0.72</v>
      </c>
      <c r="BW12" s="241">
        <f>'[1]September - 2021'!BX12</f>
        <v>6.0000000000000053E-2</v>
      </c>
      <c r="BX12" s="88">
        <f>'[1]September - 2021'!BX12</f>
        <v>6.0000000000000053E-2</v>
      </c>
      <c r="BY12" s="89">
        <f>'[1]September - 2021'!BZ12</f>
        <v>55299</v>
      </c>
      <c r="BZ12" s="191">
        <f>'[1]September - 2021'!CA12</f>
        <v>17</v>
      </c>
      <c r="CA12" s="89">
        <f>'[1]September - 2021'!CB12</f>
        <v>46817</v>
      </c>
      <c r="CB12" s="191">
        <f>'[1]September - 2021'!CC12</f>
        <v>16</v>
      </c>
      <c r="CC12" s="89">
        <f>'[1]September - 2021'!CD12</f>
        <v>16174</v>
      </c>
      <c r="CD12" s="191">
        <f>'[1]September - 2021'!CE12</f>
        <v>3</v>
      </c>
      <c r="CE12" s="89">
        <f>'[1]September - 2021'!CF12</f>
        <v>21057</v>
      </c>
      <c r="CF12" s="191">
        <f>'[1]September - 2021'!CG12</f>
        <v>10</v>
      </c>
      <c r="CG12" s="89">
        <f>'[1]September - 2021'!CH12</f>
        <v>22816</v>
      </c>
      <c r="CH12" s="191">
        <f>'[1]September - 2021'!CI12</f>
        <v>12</v>
      </c>
      <c r="CI12" s="89">
        <f>'[1]September - 2021'!CJ12</f>
        <v>50871</v>
      </c>
      <c r="CJ12" s="191">
        <f>'[1]September - 2021'!CK12</f>
        <v>26</v>
      </c>
      <c r="CK12" s="89">
        <f>'[1]September - 2021'!CL12</f>
        <v>224841</v>
      </c>
      <c r="CL12" s="246">
        <f>'[1]September - 2021'!CM12</f>
        <v>92</v>
      </c>
      <c r="CM12" s="89">
        <f>'[1]September - 2021'!CM12</f>
        <v>92</v>
      </c>
      <c r="CN12" s="89">
        <f>'[1]September - 2021'!CO12</f>
        <v>171134</v>
      </c>
      <c r="CO12" s="246">
        <f>'[1]September - 2021'!CP12</f>
        <v>67</v>
      </c>
      <c r="CP12" s="89">
        <f>'[1]September - 2021'!CP12</f>
        <v>67</v>
      </c>
      <c r="CQ12" s="89">
        <f>'[1]September - 2021'!CR12</f>
        <v>308195</v>
      </c>
      <c r="CR12" s="246">
        <f>'[1]September - 2021'!CS12</f>
        <v>0</v>
      </c>
      <c r="CS12" s="89">
        <f>'[1]September - 2021'!CS12</f>
        <v>0</v>
      </c>
      <c r="CT12" s="89">
        <f>'[1]September - 2021'!CU12</f>
        <v>598463</v>
      </c>
      <c r="CU12" s="191">
        <f>'[1]September - 2021'!CV12</f>
        <v>239</v>
      </c>
      <c r="CV12" s="520"/>
      <c r="CW12" s="256">
        <f>'[1]September - 2021'!CX12</f>
        <v>5622</v>
      </c>
      <c r="CX12" s="198">
        <f>'[1]September - 2021'!CY12</f>
        <v>8</v>
      </c>
      <c r="CY12" s="257">
        <f>'[1]September - 2021'!CZ12</f>
        <v>3192</v>
      </c>
      <c r="CZ12" s="198">
        <f>'[1]September - 2021'!DA12</f>
        <v>4</v>
      </c>
      <c r="DA12" s="257">
        <f>'[1]September - 2021'!DB12</f>
        <v>25316</v>
      </c>
      <c r="DB12" s="198">
        <f>'[1]September - 2021'!DC12</f>
        <v>16</v>
      </c>
      <c r="DC12" s="257">
        <f>'[1]September - 2021'!DD12</f>
        <v>25972</v>
      </c>
      <c r="DD12" s="198">
        <f>'[1]September - 2021'!DE12</f>
        <v>19</v>
      </c>
      <c r="DE12" s="257">
        <f>'[1]September - 2021'!DF12</f>
        <v>17882</v>
      </c>
      <c r="DF12" s="198">
        <f>'[1]September - 2021'!DG12</f>
        <v>6</v>
      </c>
      <c r="DG12" s="257">
        <f>'[1]September - 2021'!DH12</f>
        <v>20946</v>
      </c>
      <c r="DH12" s="198">
        <f>'[1]September - 2021'!DI12</f>
        <v>7</v>
      </c>
      <c r="DI12" s="257">
        <f>'[1]September - 2021'!DJ12</f>
        <v>2396</v>
      </c>
      <c r="DJ12" s="198">
        <f>'[1]September - 2021'!DK12</f>
        <v>10</v>
      </c>
      <c r="DK12" s="257">
        <f>'[1]September - 2021'!DL12</f>
        <v>5571</v>
      </c>
      <c r="DL12" s="198">
        <f>'[1]September - 2021'!DM12</f>
        <v>16</v>
      </c>
      <c r="DM12" s="257">
        <f>'[1]September - 2021'!DN12</f>
        <v>1286</v>
      </c>
      <c r="DN12" s="198">
        <f>'[1]September - 2021'!DO12</f>
        <v>9</v>
      </c>
      <c r="DO12" s="257">
        <f>'[1]September - 2021'!DP12</f>
        <v>2911</v>
      </c>
      <c r="DP12" s="198">
        <f>'[1]September - 2021'!DQ12</f>
        <v>6</v>
      </c>
      <c r="DQ12" s="257">
        <f>'[1]September - 2021'!DR12</f>
        <v>25858</v>
      </c>
      <c r="DR12" s="206">
        <f>'[1]September - 2021'!DS12</f>
        <v>0</v>
      </c>
      <c r="DS12" s="536"/>
      <c r="DT12" s="210">
        <f>'[1]September - 2021'!DU12</f>
        <v>2187.1</v>
      </c>
      <c r="DU12" s="221">
        <f>'[1]September - 2021'!DV12</f>
        <v>10.900000000000091</v>
      </c>
      <c r="DV12" s="91">
        <f>'[1]September - 2021'!DW12</f>
        <v>7451.2</v>
      </c>
      <c r="DW12" s="215">
        <f>'[1]September - 2021'!DX12</f>
        <v>8.1999999999998181</v>
      </c>
      <c r="DX12" s="91">
        <f>'[1]September - 2021'!DY12</f>
        <v>1647</v>
      </c>
      <c r="DY12" s="215">
        <f>'[1]September - 2021'!DZ12</f>
        <v>6.4000000000000909</v>
      </c>
      <c r="DZ12" s="91">
        <f>'[1]September - 2021'!EA12</f>
        <v>1523</v>
      </c>
      <c r="EA12" s="215">
        <f>'[1]September - 2021'!EB12</f>
        <v>12</v>
      </c>
      <c r="EB12" s="91">
        <f>'[1]September - 2021'!EC12</f>
        <v>805868</v>
      </c>
      <c r="EC12" s="215">
        <f>'[1]September - 2021'!ED12</f>
        <v>895</v>
      </c>
      <c r="ED12" s="91">
        <f>'[1]September - 2021'!EG12</f>
        <v>161505.9</v>
      </c>
      <c r="EE12" s="229">
        <f>'[1]September - 2021'!EH12</f>
        <v>143.89999999999418</v>
      </c>
      <c r="EF12" s="583"/>
      <c r="EG12" s="235">
        <f>'[1]September - 2021'!EJ12</f>
        <v>9847000</v>
      </c>
      <c r="EH12" s="230">
        <f>'[1]September - 2021'!EK12</f>
        <v>7300</v>
      </c>
      <c r="EI12" s="90">
        <f>'[1]September - 2021'!EL12</f>
        <v>790670</v>
      </c>
      <c r="EJ12" s="230">
        <f>'[1]September - 2021'!EM12</f>
        <v>390</v>
      </c>
      <c r="EK12" s="90">
        <f>'[1]September - 2021'!EN12</f>
        <v>6145600</v>
      </c>
      <c r="EL12" s="230">
        <f>'[1]September - 2021'!EO12</f>
        <v>2900</v>
      </c>
      <c r="EM12" s="90">
        <f>'[1]September - 2021'!EP12</f>
        <v>2171200</v>
      </c>
      <c r="EN12" s="230">
        <f>'[1]September - 2021'!EQ12</f>
        <v>1400</v>
      </c>
      <c r="EO12" s="90">
        <f>'[1]September - 2021'!ER12</f>
        <v>916550</v>
      </c>
      <c r="EP12" s="230">
        <f>'[1]September - 2021'!ES12</f>
        <v>840</v>
      </c>
      <c r="EQ12" s="90">
        <f>'[1]September - 2021'!ET12</f>
        <v>13647700</v>
      </c>
      <c r="ER12" s="230">
        <f>'[1]September - 2021'!EU12</f>
        <v>7800</v>
      </c>
      <c r="ES12" s="558"/>
      <c r="ET12" s="284">
        <f>'[1]September - 2021'!EW12</f>
        <v>36058</v>
      </c>
      <c r="EU12" s="278">
        <f>'[1]September - 2021'!EX12</f>
        <v>14</v>
      </c>
      <c r="EV12" s="285">
        <f>'[1]September - 2021'!EY12</f>
        <v>31170</v>
      </c>
      <c r="EW12" s="278">
        <f>'[1]September - 2021'!EZ12</f>
        <v>14</v>
      </c>
      <c r="EX12" s="285">
        <f>'[1]September - 2021'!FA12</f>
        <v>2290</v>
      </c>
      <c r="EY12" s="278">
        <f>'[1]September - 2021'!FB12</f>
        <v>16</v>
      </c>
      <c r="EZ12" s="285">
        <f>'[1]September - 2021'!FC12</f>
        <v>52403</v>
      </c>
      <c r="FA12" s="278">
        <f>'[1]September - 2021'!FD12</f>
        <v>15</v>
      </c>
      <c r="FB12" s="285">
        <f>'[1]September - 2021'!FE12</f>
        <v>34805</v>
      </c>
      <c r="FC12" s="279">
        <f>'[1]September - 2021'!FF12</f>
        <v>28</v>
      </c>
    </row>
    <row r="13" spans="1:159" ht="30" customHeight="1" x14ac:dyDescent="0.25">
      <c r="A13" s="207">
        <v>43834</v>
      </c>
      <c r="B13" s="209">
        <f>'[1]September - 2021'!B13</f>
        <v>0.51</v>
      </c>
      <c r="C13" s="250">
        <f>'[1]September - 2021'!E13</f>
        <v>851315</v>
      </c>
      <c r="D13" s="170">
        <f>'[1]September - 2021'!F13</f>
        <v>818</v>
      </c>
      <c r="E13" s="168">
        <f>'[1]September - 2021'!G13</f>
        <v>860</v>
      </c>
      <c r="F13" s="168">
        <f>'[1]September - 2021'!H13</f>
        <v>52924</v>
      </c>
      <c r="G13" s="170">
        <f>'[1]September - 2021'!I13</f>
        <v>285</v>
      </c>
      <c r="H13" s="168">
        <f>'[1]September - 2021'!J13</f>
        <v>319</v>
      </c>
      <c r="I13" s="168">
        <f>'[1]September - 2021'!K13</f>
        <v>164625</v>
      </c>
      <c r="J13" s="170">
        <f>'[1]September - 2021'!L13</f>
        <v>0</v>
      </c>
      <c r="K13" s="168">
        <f>'[1]September - 2021'!N13</f>
        <v>789685</v>
      </c>
      <c r="L13" s="170">
        <f>'[1]September - 2021'!O13</f>
        <v>447</v>
      </c>
      <c r="M13" s="168">
        <f>'[1]September - 2021'!Q13</f>
        <v>178692</v>
      </c>
      <c r="N13" s="170">
        <f>'[1]September - 2021'!R13</f>
        <v>271</v>
      </c>
      <c r="O13" s="168">
        <f>'[1]September - 2021'!S13</f>
        <v>34853.370000000003</v>
      </c>
      <c r="P13" s="170">
        <f>'[1]September - 2021'!T13</f>
        <v>241.90000000000146</v>
      </c>
      <c r="Q13" s="168">
        <f>'[1]September - 2021'!U13</f>
        <v>186</v>
      </c>
      <c r="R13" s="168">
        <f>'[1]September - 2021'!V13</f>
        <v>1075</v>
      </c>
      <c r="S13" s="208">
        <f>'[1]September - 2021'!W13</f>
        <v>37</v>
      </c>
      <c r="T13" s="479"/>
      <c r="U13" s="269">
        <f>'[1]September - 2021'!AC13</f>
        <v>6894854.3999999994</v>
      </c>
      <c r="V13" s="291">
        <f>'[1]September - 2021'!AD13</f>
        <v>2143.679999999702</v>
      </c>
      <c r="W13" s="92">
        <f>'[1]September - 2021'!AD13</f>
        <v>2143.679999999702</v>
      </c>
      <c r="X13" s="290">
        <f>'[1]September - 2021'!AF13</f>
        <v>13298124</v>
      </c>
      <c r="Y13" s="291">
        <f>'[1]September - 2021'!AG13</f>
        <v>4579.6800000015646</v>
      </c>
      <c r="Z13" s="92">
        <f>'[1]September - 2021'!AG13</f>
        <v>4579.6800000015646</v>
      </c>
      <c r="AA13" s="290">
        <f>'[1]September - 2021'!AI13</f>
        <v>13054524</v>
      </c>
      <c r="AB13" s="291">
        <f>'[1]September - 2021'!AJ13</f>
        <v>13056.959999999031</v>
      </c>
      <c r="AC13" s="92">
        <f>'[1]September - 2021'!AJ13</f>
        <v>13056.959999999031</v>
      </c>
      <c r="AD13" s="290">
        <f>'[1]September - 2021'!AL13</f>
        <v>16100985.6</v>
      </c>
      <c r="AE13" s="291">
        <f>'[1]September - 2021'!AM13</f>
        <v>1023.1199999991804</v>
      </c>
      <c r="AF13" s="92">
        <f>'[1]September - 2021'!AM13</f>
        <v>1023.1199999991804</v>
      </c>
      <c r="AG13" s="290">
        <f>'[1]September - 2021'!AO13</f>
        <v>16486945.439999998</v>
      </c>
      <c r="AH13" s="291">
        <f>'[1]September - 2021'!AP13</f>
        <v>9256.7999999988824</v>
      </c>
      <c r="AI13" s="92">
        <f>'[1]September - 2021'!AP13</f>
        <v>9256.7999999988824</v>
      </c>
      <c r="AJ13" s="290">
        <f>'[1]September - 2021'!AR13</f>
        <v>14920987.199999999</v>
      </c>
      <c r="AK13" s="291">
        <f>'[1]September - 2021'!AS13</f>
        <v>5943.839999999851</v>
      </c>
      <c r="AL13" s="92">
        <f>'[1]September - 2021'!AS13</f>
        <v>5943.839999999851</v>
      </c>
      <c r="AM13" s="290">
        <f>'[1]September - 2021'!AU13</f>
        <v>12726638.4</v>
      </c>
      <c r="AN13" s="291">
        <f>'[1]September - 2021'!AV13</f>
        <v>4141.2000000011176</v>
      </c>
      <c r="AO13" s="92">
        <f>'[1]September - 2021'!AV13</f>
        <v>4141.2000000011176</v>
      </c>
      <c r="AP13" s="290">
        <f>'[1]September - 2021'!AX13</f>
        <v>12263798.4</v>
      </c>
      <c r="AQ13" s="291">
        <f>'[1]September - 2021'!AY13</f>
        <v>4141.2000000011176</v>
      </c>
      <c r="AR13" s="92">
        <f>'[1]September - 2021'!AY13</f>
        <v>4141.2000000011176</v>
      </c>
      <c r="AS13" s="290">
        <f>'[1]September - 2021'!BA13</f>
        <v>9783658.0800000001</v>
      </c>
      <c r="AT13" s="291">
        <f>'[1]September - 2021'!BB13</f>
        <v>3020.640000000596</v>
      </c>
      <c r="AU13" s="92">
        <f>'[1]September - 2021'!BB13</f>
        <v>3020.640000000596</v>
      </c>
      <c r="AV13" s="290">
        <f>'[1]September - 2021'!BD13</f>
        <v>15076404</v>
      </c>
      <c r="AW13" s="252">
        <f>'[1]September - 2021'!BE13</f>
        <v>6431.0400000009686</v>
      </c>
      <c r="AX13" s="253">
        <f>'[1]September - 2021'!BE13</f>
        <v>6431.0400000009686</v>
      </c>
      <c r="AY13" s="496"/>
      <c r="AZ13" s="272">
        <f>'[1]September - 2021'!BK13</f>
        <v>64850700</v>
      </c>
      <c r="BA13" s="179">
        <f>'[1]September - 2021'!BL13</f>
        <v>58700</v>
      </c>
      <c r="BB13" s="93">
        <f>'[1]September - 2021'!BL13</f>
        <v>58700</v>
      </c>
      <c r="BC13" s="272">
        <f>'[1]September - 2021'!BN13</f>
        <v>67550500</v>
      </c>
      <c r="BD13" s="245">
        <f>'[1]September - 2021'!BO13</f>
        <v>0</v>
      </c>
      <c r="BE13" s="93">
        <f>'[1]September - 2021'!BO13</f>
        <v>0</v>
      </c>
      <c r="BF13" s="272">
        <f>'[1]September - 2021'!BQ13</f>
        <v>62334300</v>
      </c>
      <c r="BG13" s="245">
        <f>'[1]September - 2021'!BR13</f>
        <v>42000</v>
      </c>
      <c r="BH13" s="93">
        <f>'[1]September - 2021'!BR13</f>
        <v>42000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- 2021'!BT13</f>
        <v>7055670</v>
      </c>
      <c r="BT13" s="185">
        <f>'[1]September - 2021'!BU13</f>
        <v>5760</v>
      </c>
      <c r="BU13" s="592"/>
      <c r="BV13" s="88">
        <f>'[1]September - 2021'!BW13</f>
        <v>0.7</v>
      </c>
      <c r="BW13" s="241">
        <f>'[1]September - 2021'!BX13</f>
        <v>2.0000000000000018E-2</v>
      </c>
      <c r="BX13" s="88">
        <f>'[1]September - 2021'!BX13</f>
        <v>2.0000000000000018E-2</v>
      </c>
      <c r="BY13" s="89">
        <f>'[1]September - 2021'!BZ13</f>
        <v>55316</v>
      </c>
      <c r="BZ13" s="191">
        <f>'[1]September - 2021'!CA13</f>
        <v>17</v>
      </c>
      <c r="CA13" s="89">
        <f>'[1]September - 2021'!CB13</f>
        <v>46833</v>
      </c>
      <c r="CB13" s="191">
        <f>'[1]September - 2021'!CC13</f>
        <v>16</v>
      </c>
      <c r="CC13" s="89">
        <f>'[1]September - 2021'!CD13</f>
        <v>16181</v>
      </c>
      <c r="CD13" s="191">
        <f>'[1]September - 2021'!CE13</f>
        <v>7</v>
      </c>
      <c r="CE13" s="89">
        <f>'[1]September - 2021'!CF13</f>
        <v>21067</v>
      </c>
      <c r="CF13" s="191">
        <f>'[1]September - 2021'!CG13</f>
        <v>10</v>
      </c>
      <c r="CG13" s="89">
        <f>'[1]September - 2021'!CH13</f>
        <v>22828</v>
      </c>
      <c r="CH13" s="191">
        <f>'[1]September - 2021'!CI13</f>
        <v>12</v>
      </c>
      <c r="CI13" s="89">
        <f>'[1]September - 2021'!CJ13</f>
        <v>50894</v>
      </c>
      <c r="CJ13" s="191">
        <f>'[1]September - 2021'!CK13</f>
        <v>23</v>
      </c>
      <c r="CK13" s="89">
        <f>'[1]September - 2021'!CL13</f>
        <v>224940</v>
      </c>
      <c r="CL13" s="246">
        <f>'[1]September - 2021'!CM13</f>
        <v>99</v>
      </c>
      <c r="CM13" s="89">
        <f>'[1]September - 2021'!CM13</f>
        <v>99</v>
      </c>
      <c r="CN13" s="89">
        <f>'[1]September - 2021'!CO13</f>
        <v>171202</v>
      </c>
      <c r="CO13" s="246">
        <f>'[1]September - 2021'!CP13</f>
        <v>68</v>
      </c>
      <c r="CP13" s="89">
        <f>'[1]September - 2021'!CP13</f>
        <v>68</v>
      </c>
      <c r="CQ13" s="89">
        <f>'[1]September - 2021'!CR13</f>
        <v>308195</v>
      </c>
      <c r="CR13" s="246">
        <f>'[1]September - 2021'!CS13</f>
        <v>0</v>
      </c>
      <c r="CS13" s="89">
        <f>'[1]September - 2021'!CS13</f>
        <v>0</v>
      </c>
      <c r="CT13" s="89">
        <f>'[1]September - 2021'!CU13</f>
        <v>598714</v>
      </c>
      <c r="CU13" s="191">
        <f>'[1]September - 2021'!CV13</f>
        <v>251</v>
      </c>
      <c r="CV13" s="520"/>
      <c r="CW13" s="256">
        <f>'[1]September - 2021'!CX13</f>
        <v>5628</v>
      </c>
      <c r="CX13" s="198">
        <f>'[1]September - 2021'!CY13</f>
        <v>6</v>
      </c>
      <c r="CY13" s="257">
        <f>'[1]September - 2021'!CZ13</f>
        <v>3197</v>
      </c>
      <c r="CZ13" s="198">
        <f>'[1]September - 2021'!DA13</f>
        <v>5</v>
      </c>
      <c r="DA13" s="257">
        <f>'[1]September - 2021'!DB13</f>
        <v>25327</v>
      </c>
      <c r="DB13" s="198">
        <f>'[1]September - 2021'!DC13</f>
        <v>11</v>
      </c>
      <c r="DC13" s="257">
        <f>'[1]September - 2021'!DD13</f>
        <v>25985</v>
      </c>
      <c r="DD13" s="198">
        <f>'[1]September - 2021'!DE13</f>
        <v>13</v>
      </c>
      <c r="DE13" s="257">
        <f>'[1]September - 2021'!DF13</f>
        <v>17889</v>
      </c>
      <c r="DF13" s="198">
        <f>'[1]September - 2021'!DG13</f>
        <v>7</v>
      </c>
      <c r="DG13" s="257">
        <f>'[1]September - 2021'!DH13</f>
        <v>20952</v>
      </c>
      <c r="DH13" s="198">
        <f>'[1]September - 2021'!DI13</f>
        <v>6</v>
      </c>
      <c r="DI13" s="257">
        <f>'[1]September - 2021'!DJ13</f>
        <v>2405</v>
      </c>
      <c r="DJ13" s="198">
        <f>'[1]September - 2021'!DK13</f>
        <v>9</v>
      </c>
      <c r="DK13" s="257">
        <f>'[1]September - 2021'!DL13</f>
        <v>5585</v>
      </c>
      <c r="DL13" s="198">
        <f>'[1]September - 2021'!DM13</f>
        <v>14</v>
      </c>
      <c r="DM13" s="257">
        <f>'[1]September - 2021'!DN13</f>
        <v>1293</v>
      </c>
      <c r="DN13" s="198">
        <f>'[1]September - 2021'!DO13</f>
        <v>7</v>
      </c>
      <c r="DO13" s="257">
        <f>'[1]September - 2021'!DP13</f>
        <v>2915</v>
      </c>
      <c r="DP13" s="198">
        <f>'[1]September - 2021'!DQ13</f>
        <v>4</v>
      </c>
      <c r="DQ13" s="257">
        <f>'[1]September - 2021'!DR13</f>
        <v>25858</v>
      </c>
      <c r="DR13" s="206">
        <f>'[1]September - 2021'!DS13</f>
        <v>0</v>
      </c>
      <c r="DS13" s="536"/>
      <c r="DT13" s="210">
        <f>'[1]September - 2021'!DU13</f>
        <v>2197.3000000000002</v>
      </c>
      <c r="DU13" s="221">
        <f>'[1]September - 2021'!DV13</f>
        <v>10.200000000000273</v>
      </c>
      <c r="DV13" s="91">
        <f>'[1]September - 2021'!DW13</f>
        <v>7459.7</v>
      </c>
      <c r="DW13" s="215">
        <f>'[1]September - 2021'!DX13</f>
        <v>8.5</v>
      </c>
      <c r="DX13" s="91">
        <f>'[1]September - 2021'!DY13</f>
        <v>1654.2</v>
      </c>
      <c r="DY13" s="215">
        <f>'[1]September - 2021'!DZ13</f>
        <v>7.2000000000000455</v>
      </c>
      <c r="DZ13" s="91">
        <f>'[1]September - 2021'!EA13</f>
        <v>1534.7</v>
      </c>
      <c r="EA13" s="215">
        <f>'[1]September - 2021'!EB13</f>
        <v>11.700000000000045</v>
      </c>
      <c r="EB13" s="91">
        <f>'[1]September - 2021'!EC13</f>
        <v>806645</v>
      </c>
      <c r="EC13" s="215">
        <f>'[1]September - 2021'!ED13</f>
        <v>777</v>
      </c>
      <c r="ED13" s="91">
        <f>'[1]September - 2021'!EG13</f>
        <v>161601</v>
      </c>
      <c r="EE13" s="229">
        <f>'[1]September - 2021'!EH13</f>
        <v>95.100000000005821</v>
      </c>
      <c r="EF13" s="583"/>
      <c r="EG13" s="235">
        <f>'[1]September - 2021'!EJ13</f>
        <v>9854400</v>
      </c>
      <c r="EH13" s="230">
        <f>'[1]September - 2021'!EK13</f>
        <v>7400</v>
      </c>
      <c r="EI13" s="90">
        <f>'[1]September - 2021'!EL13</f>
        <v>791080</v>
      </c>
      <c r="EJ13" s="230">
        <f>'[1]September - 2021'!EM13</f>
        <v>410</v>
      </c>
      <c r="EK13" s="90">
        <f>'[1]September - 2021'!EN13</f>
        <v>6148600</v>
      </c>
      <c r="EL13" s="230">
        <f>'[1]September - 2021'!EO13</f>
        <v>3000</v>
      </c>
      <c r="EM13" s="90">
        <f>'[1]September - 2021'!EP13</f>
        <v>2172600</v>
      </c>
      <c r="EN13" s="230">
        <f>'[1]September - 2021'!EQ13</f>
        <v>1400</v>
      </c>
      <c r="EO13" s="90">
        <f>'[1]September - 2021'!ER13</f>
        <v>917430</v>
      </c>
      <c r="EP13" s="230">
        <f>'[1]September - 2021'!ES13</f>
        <v>880</v>
      </c>
      <c r="EQ13" s="90">
        <f>'[1]September - 2021'!ET13</f>
        <v>13655600</v>
      </c>
      <c r="ER13" s="230">
        <f>'[1]September - 2021'!EU13</f>
        <v>7900</v>
      </c>
      <c r="ES13" s="558"/>
      <c r="ET13" s="284">
        <f>'[1]September - 2021'!EW13</f>
        <v>36072</v>
      </c>
      <c r="EU13" s="278">
        <f>'[1]September - 2021'!EX13</f>
        <v>14</v>
      </c>
      <c r="EV13" s="285">
        <f>'[1]September - 2021'!EY13</f>
        <v>31183</v>
      </c>
      <c r="EW13" s="278">
        <f>'[1]September - 2021'!EZ13</f>
        <v>13</v>
      </c>
      <c r="EX13" s="285">
        <f>'[1]September - 2021'!FA13</f>
        <v>2304</v>
      </c>
      <c r="EY13" s="278">
        <f>'[1]September - 2021'!FB13</f>
        <v>10</v>
      </c>
      <c r="EZ13" s="285">
        <f>'[1]September - 2021'!FC13</f>
        <v>52419</v>
      </c>
      <c r="FA13" s="278">
        <f>'[1]September - 2021'!FD13</f>
        <v>16</v>
      </c>
      <c r="FB13" s="285">
        <f>'[1]September - 2021'!FE13</f>
        <v>34829</v>
      </c>
      <c r="FC13" s="279">
        <f>'[1]September - 2021'!FF13</f>
        <v>24</v>
      </c>
    </row>
    <row r="14" spans="1:159" ht="30" customHeight="1" x14ac:dyDescent="0.25">
      <c r="A14" s="207">
        <v>43835</v>
      </c>
      <c r="B14" s="209">
        <f>'[1]September - 2021'!B14</f>
        <v>0.51</v>
      </c>
      <c r="C14" s="250">
        <f>'[1]September - 2021'!E14</f>
        <v>851967</v>
      </c>
      <c r="D14" s="170">
        <f>'[1]September - 2021'!F14</f>
        <v>652</v>
      </c>
      <c r="E14" s="168">
        <f>'[1]September - 2021'!G14</f>
        <v>594</v>
      </c>
      <c r="F14" s="168">
        <f>'[1]September - 2021'!H14</f>
        <v>53193</v>
      </c>
      <c r="G14" s="170">
        <f>'[1]September - 2021'!I14</f>
        <v>269</v>
      </c>
      <c r="H14" s="168">
        <f>'[1]September - 2021'!J14</f>
        <v>311</v>
      </c>
      <c r="I14" s="168">
        <f>'[1]September - 2021'!K14</f>
        <v>164625</v>
      </c>
      <c r="J14" s="170">
        <f>'[1]September - 2021'!L14</f>
        <v>0</v>
      </c>
      <c r="K14" s="168">
        <f>'[1]September - 2021'!N14</f>
        <v>790015</v>
      </c>
      <c r="L14" s="170">
        <f>'[1]September - 2021'!O14</f>
        <v>330</v>
      </c>
      <c r="M14" s="168">
        <f>'[1]September - 2021'!Q14</f>
        <v>178802</v>
      </c>
      <c r="N14" s="170">
        <f>'[1]September - 2021'!R14</f>
        <v>110</v>
      </c>
      <c r="O14" s="168">
        <f>'[1]September - 2021'!S14</f>
        <v>35087.01</v>
      </c>
      <c r="P14" s="170">
        <f>'[1]September - 2021'!T14</f>
        <v>233.63999999999942</v>
      </c>
      <c r="Q14" s="168">
        <f>'[1]September - 2021'!U14</f>
        <v>175</v>
      </c>
      <c r="R14" s="168">
        <f>'[1]September - 2021'!V14</f>
        <v>1112</v>
      </c>
      <c r="S14" s="208">
        <f>'[1]September - 2021'!W14</f>
        <v>37</v>
      </c>
      <c r="T14" s="479"/>
      <c r="U14" s="269">
        <f>'[1]September - 2021'!AC14</f>
        <v>6897241.6799999997</v>
      </c>
      <c r="V14" s="291">
        <f>'[1]September - 2021'!AD14</f>
        <v>2387.2800000002608</v>
      </c>
      <c r="W14" s="92">
        <f>'[1]September - 2021'!AD14</f>
        <v>2387.2800000002608</v>
      </c>
      <c r="X14" s="290">
        <f>'[1]September - 2021'!AF14</f>
        <v>13302606.24</v>
      </c>
      <c r="Y14" s="291">
        <f>'[1]September - 2021'!AG14</f>
        <v>4482.2400000002235</v>
      </c>
      <c r="Z14" s="92">
        <f>'[1]September - 2021'!AG14</f>
        <v>4482.2400000002235</v>
      </c>
      <c r="AA14" s="290">
        <f>'[1]September - 2021'!AI14</f>
        <v>13065632.16</v>
      </c>
      <c r="AB14" s="291">
        <f>'[1]September - 2021'!AJ14</f>
        <v>11108.160000000149</v>
      </c>
      <c r="AC14" s="92">
        <f>'[1]September - 2021'!AJ14</f>
        <v>11108.160000000149</v>
      </c>
      <c r="AD14" s="290">
        <f>'[1]September - 2021'!AL14</f>
        <v>16102739.52</v>
      </c>
      <c r="AE14" s="291">
        <f>'[1]September - 2021'!AM14</f>
        <v>1753.9199999999255</v>
      </c>
      <c r="AF14" s="92">
        <f>'[1]September - 2021'!AM14</f>
        <v>1753.9199999999255</v>
      </c>
      <c r="AG14" s="290">
        <f>'[1]September - 2021'!AO14</f>
        <v>16495958.639999999</v>
      </c>
      <c r="AH14" s="291">
        <f>'[1]September - 2021'!AP14</f>
        <v>9013.2000000011176</v>
      </c>
      <c r="AI14" s="92">
        <f>'[1]September - 2021'!AP14</f>
        <v>9013.2000000011176</v>
      </c>
      <c r="AJ14" s="290">
        <f>'[1]September - 2021'!AR14</f>
        <v>14926297.68</v>
      </c>
      <c r="AK14" s="291">
        <f>'[1]September - 2021'!AS14</f>
        <v>5310.480000000447</v>
      </c>
      <c r="AL14" s="92">
        <f>'[1]September - 2021'!AS14</f>
        <v>5310.480000000447</v>
      </c>
      <c r="AM14" s="290">
        <f>'[1]September - 2021'!AU14</f>
        <v>12731169.359999999</v>
      </c>
      <c r="AN14" s="291">
        <f>'[1]September - 2021'!AV14</f>
        <v>4530.9599999990314</v>
      </c>
      <c r="AO14" s="92">
        <f>'[1]September - 2021'!AV14</f>
        <v>4530.9599999990314</v>
      </c>
      <c r="AP14" s="290">
        <f>'[1]September - 2021'!AX14</f>
        <v>12267354.959999999</v>
      </c>
      <c r="AQ14" s="291">
        <f>'[1]September - 2021'!AY14</f>
        <v>3556.5599999986589</v>
      </c>
      <c r="AR14" s="92">
        <f>'[1]September - 2021'!AY14</f>
        <v>3556.5599999986589</v>
      </c>
      <c r="AS14" s="290">
        <f>'[1]September - 2021'!BA14</f>
        <v>9786435.1199999992</v>
      </c>
      <c r="AT14" s="291">
        <f>'[1]September - 2021'!BB14</f>
        <v>2777.0399999991059</v>
      </c>
      <c r="AU14" s="92">
        <f>'[1]September - 2021'!BB14</f>
        <v>2777.0399999991059</v>
      </c>
      <c r="AV14" s="290">
        <f>'[1]September - 2021'!BD14</f>
        <v>15082737.6</v>
      </c>
      <c r="AW14" s="252">
        <f>'[1]September - 2021'!BE14</f>
        <v>6333.5999999996275</v>
      </c>
      <c r="AX14" s="253">
        <f>'[1]September - 2021'!BE14</f>
        <v>6333.5999999996275</v>
      </c>
      <c r="AY14" s="496"/>
      <c r="AZ14" s="272">
        <f>'[1]September - 2021'!BK14</f>
        <v>64909000</v>
      </c>
      <c r="BA14" s="179">
        <f>'[1]September - 2021'!BL14</f>
        <v>58300</v>
      </c>
      <c r="BB14" s="93">
        <f>'[1]September - 2021'!BL14</f>
        <v>58300</v>
      </c>
      <c r="BC14" s="272">
        <f>'[1]September - 2021'!BN14</f>
        <v>67554200</v>
      </c>
      <c r="BD14" s="245">
        <f>'[1]September - 2021'!BO14</f>
        <v>3700</v>
      </c>
      <c r="BE14" s="93">
        <f>'[1]September - 2021'!BO14</f>
        <v>3700</v>
      </c>
      <c r="BF14" s="272">
        <f>'[1]September - 2021'!BQ14</f>
        <v>62371400</v>
      </c>
      <c r="BG14" s="245">
        <f>'[1]September - 2021'!BR14</f>
        <v>37100</v>
      </c>
      <c r="BH14" s="93">
        <f>'[1]September - 2021'!BR14</f>
        <v>37100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- 2021'!BT14</f>
        <v>7061590</v>
      </c>
      <c r="BT14" s="185">
        <f>'[1]September - 2021'!BU14</f>
        <v>5920</v>
      </c>
      <c r="BU14" s="592"/>
      <c r="BV14" s="88">
        <f>'[1]September - 2021'!BW14</f>
        <v>0.65</v>
      </c>
      <c r="BW14" s="241">
        <f>'[1]September - 2021'!BX14</f>
        <v>4.9999999999999933E-2</v>
      </c>
      <c r="BX14" s="88">
        <f>'[1]September - 2021'!BX14</f>
        <v>4.9999999999999933E-2</v>
      </c>
      <c r="BY14" s="89">
        <f>'[1]September - 2021'!BZ14</f>
        <v>55333</v>
      </c>
      <c r="BZ14" s="191">
        <f>'[1]September - 2021'!CA14</f>
        <v>17</v>
      </c>
      <c r="CA14" s="89">
        <f>'[1]September - 2021'!CB14</f>
        <v>46850</v>
      </c>
      <c r="CB14" s="191">
        <f>'[1]September - 2021'!CC14</f>
        <v>17</v>
      </c>
      <c r="CC14" s="89">
        <f>'[1]September - 2021'!CD14</f>
        <v>16186</v>
      </c>
      <c r="CD14" s="191">
        <f>'[1]September - 2021'!CE14</f>
        <v>5</v>
      </c>
      <c r="CE14" s="89">
        <f>'[1]September - 2021'!CF14</f>
        <v>21077</v>
      </c>
      <c r="CF14" s="191">
        <f>'[1]September - 2021'!CG14</f>
        <v>10</v>
      </c>
      <c r="CG14" s="89">
        <f>'[1]September - 2021'!CH14</f>
        <v>22838</v>
      </c>
      <c r="CH14" s="191">
        <f>'[1]September - 2021'!CI14</f>
        <v>10</v>
      </c>
      <c r="CI14" s="89">
        <f>'[1]September - 2021'!CJ14</f>
        <v>50920</v>
      </c>
      <c r="CJ14" s="191">
        <f>'[1]September - 2021'!CK14</f>
        <v>26</v>
      </c>
      <c r="CK14" s="89">
        <f>'[1]September - 2021'!CL14</f>
        <v>225028</v>
      </c>
      <c r="CL14" s="246">
        <f>'[1]September - 2021'!CM14</f>
        <v>88</v>
      </c>
      <c r="CM14" s="89">
        <f>'[1]September - 2021'!CM14</f>
        <v>88</v>
      </c>
      <c r="CN14" s="89">
        <f>'[1]September - 2021'!CO14</f>
        <v>171264</v>
      </c>
      <c r="CO14" s="246">
        <f>'[1]September - 2021'!CP14</f>
        <v>62</v>
      </c>
      <c r="CP14" s="89">
        <f>'[1]September - 2021'!CP14</f>
        <v>62</v>
      </c>
      <c r="CQ14" s="89">
        <f>'[1]September - 2021'!CR14</f>
        <v>308195</v>
      </c>
      <c r="CR14" s="246">
        <f>'[1]September - 2021'!CS14</f>
        <v>0</v>
      </c>
      <c r="CS14" s="89">
        <f>'[1]September - 2021'!CS14</f>
        <v>0</v>
      </c>
      <c r="CT14" s="89">
        <f>'[1]September - 2021'!CU14</f>
        <v>598932</v>
      </c>
      <c r="CU14" s="191">
        <f>'[1]September - 2021'!CV14</f>
        <v>218</v>
      </c>
      <c r="CV14" s="520"/>
      <c r="CW14" s="256">
        <f>'[1]September - 2021'!CX14</f>
        <v>5630</v>
      </c>
      <c r="CX14" s="198">
        <f>'[1]September - 2021'!CY14</f>
        <v>2</v>
      </c>
      <c r="CY14" s="257">
        <f>'[1]September - 2021'!CZ14</f>
        <v>3200</v>
      </c>
      <c r="CZ14" s="198">
        <f>'[1]September - 2021'!DA14</f>
        <v>3</v>
      </c>
      <c r="DA14" s="257">
        <f>'[1]September - 2021'!DB14</f>
        <v>25337</v>
      </c>
      <c r="DB14" s="198">
        <f>'[1]September - 2021'!DC14</f>
        <v>10</v>
      </c>
      <c r="DC14" s="257">
        <f>'[1]September - 2021'!DD14</f>
        <v>25999</v>
      </c>
      <c r="DD14" s="198">
        <f>'[1]September - 2021'!DE14</f>
        <v>14</v>
      </c>
      <c r="DE14" s="257">
        <f>'[1]September - 2021'!DF14</f>
        <v>17895</v>
      </c>
      <c r="DF14" s="198">
        <f>'[1]September - 2021'!DG14</f>
        <v>6</v>
      </c>
      <c r="DG14" s="257">
        <f>'[1]September - 2021'!DH14</f>
        <v>20964</v>
      </c>
      <c r="DH14" s="198">
        <f>'[1]September - 2021'!DI14</f>
        <v>12</v>
      </c>
      <c r="DI14" s="257">
        <f>'[1]September - 2021'!DJ14</f>
        <v>2415</v>
      </c>
      <c r="DJ14" s="198">
        <f>'[1]September - 2021'!DK14</f>
        <v>10</v>
      </c>
      <c r="DK14" s="257">
        <f>'[1]September - 2021'!DL14</f>
        <v>5597</v>
      </c>
      <c r="DL14" s="198">
        <f>'[1]September - 2021'!DM14</f>
        <v>12</v>
      </c>
      <c r="DM14" s="257">
        <f>'[1]September - 2021'!DN14</f>
        <v>1302</v>
      </c>
      <c r="DN14" s="198">
        <f>'[1]September - 2021'!DO14</f>
        <v>9</v>
      </c>
      <c r="DO14" s="257">
        <f>'[1]September - 2021'!DP14</f>
        <v>2918</v>
      </c>
      <c r="DP14" s="198">
        <f>'[1]September - 2021'!DQ14</f>
        <v>3</v>
      </c>
      <c r="DQ14" s="257">
        <f>'[1]September - 2021'!DR14</f>
        <v>25858</v>
      </c>
      <c r="DR14" s="206">
        <f>'[1]September - 2021'!DS14</f>
        <v>0</v>
      </c>
      <c r="DS14" s="536"/>
      <c r="DT14" s="210">
        <f>'[1]September - 2021'!DU14</f>
        <v>2207</v>
      </c>
      <c r="DU14" s="221">
        <f>'[1]September - 2021'!DV14</f>
        <v>9.6999999999998181</v>
      </c>
      <c r="DV14" s="91">
        <f>'[1]September - 2021'!DW14</f>
        <v>7467</v>
      </c>
      <c r="DW14" s="215">
        <f>'[1]September - 2021'!DX14</f>
        <v>7.3000000000001819</v>
      </c>
      <c r="DX14" s="91">
        <f>'[1]September - 2021'!DY14</f>
        <v>1661.5</v>
      </c>
      <c r="DY14" s="215">
        <f>'[1]September - 2021'!DZ14</f>
        <v>7.2999999999999545</v>
      </c>
      <c r="DZ14" s="91">
        <f>'[1]September - 2021'!EA14</f>
        <v>1545.2</v>
      </c>
      <c r="EA14" s="215">
        <f>'[1]September - 2021'!EB14</f>
        <v>10.5</v>
      </c>
      <c r="EB14" s="91">
        <f>'[1]September - 2021'!EC14</f>
        <v>807431</v>
      </c>
      <c r="EC14" s="215">
        <f>'[1]September - 2021'!ED14</f>
        <v>786</v>
      </c>
      <c r="ED14" s="91">
        <f>'[1]September - 2021'!EG14</f>
        <v>161811.20000000001</v>
      </c>
      <c r="EE14" s="229">
        <f>'[1]September - 2021'!EH14</f>
        <v>210.20000000001164</v>
      </c>
      <c r="EF14" s="583"/>
      <c r="EG14" s="235">
        <f>'[1]September - 2021'!EJ14</f>
        <v>9861700</v>
      </c>
      <c r="EH14" s="230">
        <f>'[1]September - 2021'!EK14</f>
        <v>7300</v>
      </c>
      <c r="EI14" s="90">
        <f>'[1]September - 2021'!EL14</f>
        <v>791490</v>
      </c>
      <c r="EJ14" s="230">
        <f>'[1]September - 2021'!EM14</f>
        <v>410</v>
      </c>
      <c r="EK14" s="90">
        <f>'[1]September - 2021'!EN14</f>
        <v>6151600</v>
      </c>
      <c r="EL14" s="230">
        <f>'[1]September - 2021'!EO14</f>
        <v>3000</v>
      </c>
      <c r="EM14" s="90">
        <f>'[1]September - 2021'!EP14</f>
        <v>2174000</v>
      </c>
      <c r="EN14" s="230">
        <f>'[1]September - 2021'!EQ14</f>
        <v>1400</v>
      </c>
      <c r="EO14" s="90">
        <f>'[1]September - 2021'!ER14</f>
        <v>918350</v>
      </c>
      <c r="EP14" s="230">
        <f>'[1]September - 2021'!ES14</f>
        <v>920</v>
      </c>
      <c r="EQ14" s="90">
        <f>'[1]September - 2021'!ET14</f>
        <v>13663400</v>
      </c>
      <c r="ER14" s="230">
        <f>'[1]September - 2021'!EU14</f>
        <v>7800</v>
      </c>
      <c r="ES14" s="558"/>
      <c r="ET14" s="284">
        <f>'[1]September - 2021'!EW14</f>
        <v>36085</v>
      </c>
      <c r="EU14" s="278">
        <f>'[1]September - 2021'!EX14</f>
        <v>13</v>
      </c>
      <c r="EV14" s="285">
        <f>'[1]September - 2021'!EY14</f>
        <v>31197</v>
      </c>
      <c r="EW14" s="278">
        <f>'[1]September - 2021'!EZ14</f>
        <v>14</v>
      </c>
      <c r="EX14" s="285">
        <f>'[1]September - 2021'!FA14</f>
        <v>2314</v>
      </c>
      <c r="EY14" s="278">
        <f>'[1]September - 2021'!FB14</f>
        <v>10</v>
      </c>
      <c r="EZ14" s="285">
        <f>'[1]September - 2021'!FC14</f>
        <v>52434</v>
      </c>
      <c r="FA14" s="278">
        <f>'[1]September - 2021'!FD14</f>
        <v>15</v>
      </c>
      <c r="FB14" s="285">
        <f>'[1]September - 2021'!FE14</f>
        <v>34851</v>
      </c>
      <c r="FC14" s="279">
        <f>'[1]September - 2021'!FF14</f>
        <v>22</v>
      </c>
    </row>
    <row r="15" spans="1:159" ht="30" customHeight="1" x14ac:dyDescent="0.25">
      <c r="A15" s="207">
        <v>43836</v>
      </c>
      <c r="B15" s="209">
        <f>'[1]September - 2021'!B15</f>
        <v>0.52</v>
      </c>
      <c r="C15" s="250">
        <f>'[1]September - 2021'!E15</f>
        <v>852625</v>
      </c>
      <c r="D15" s="170">
        <f>'[1]September - 2021'!F15</f>
        <v>658</v>
      </c>
      <c r="E15" s="168">
        <f>'[1]September - 2021'!G15</f>
        <v>505</v>
      </c>
      <c r="F15" s="168">
        <f>'[1]September - 2021'!H15</f>
        <v>53455</v>
      </c>
      <c r="G15" s="170">
        <f>'[1]September - 2021'!I15</f>
        <v>262</v>
      </c>
      <c r="H15" s="168">
        <f>'[1]September - 2021'!J15</f>
        <v>270</v>
      </c>
      <c r="I15" s="168">
        <f>'[1]September - 2021'!K15</f>
        <v>164625</v>
      </c>
      <c r="J15" s="170">
        <f>'[1]September - 2021'!L15</f>
        <v>0</v>
      </c>
      <c r="K15" s="168">
        <f>'[1]September - 2021'!N15</f>
        <v>790330</v>
      </c>
      <c r="L15" s="170">
        <f>'[1]September - 2021'!O15</f>
        <v>315</v>
      </c>
      <c r="M15" s="168">
        <f>'[1]September - 2021'!Q15</f>
        <v>178925</v>
      </c>
      <c r="N15" s="170">
        <f>'[1]September - 2021'!R15</f>
        <v>123</v>
      </c>
      <c r="O15" s="168">
        <f>'[1]September - 2021'!S15</f>
        <v>35343.360000000001</v>
      </c>
      <c r="P15" s="170">
        <f>'[1]September - 2021'!T15</f>
        <v>256.34999999999854</v>
      </c>
      <c r="Q15" s="168">
        <f>'[1]September - 2021'!U15</f>
        <v>176</v>
      </c>
      <c r="R15" s="168">
        <f>'[1]September - 2021'!V15</f>
        <v>1148</v>
      </c>
      <c r="S15" s="208">
        <f>'[1]September - 2021'!W15</f>
        <v>36</v>
      </c>
      <c r="T15" s="479"/>
      <c r="U15" s="269">
        <f>'[1]September - 2021'!AC15</f>
        <v>6899434.0800000001</v>
      </c>
      <c r="V15" s="291">
        <f>'[1]September - 2021'!AD15</f>
        <v>2192.4000000003725</v>
      </c>
      <c r="W15" s="92">
        <f>'[1]September - 2021'!AD15</f>
        <v>2192.4000000003725</v>
      </c>
      <c r="X15" s="290">
        <f>'[1]September - 2021'!AF15</f>
        <v>13307137.199999999</v>
      </c>
      <c r="Y15" s="291">
        <f>'[1]September - 2021'!AG15</f>
        <v>4530.9599999990314</v>
      </c>
      <c r="Z15" s="92">
        <f>'[1]September - 2021'!AG15</f>
        <v>4530.9599999990314</v>
      </c>
      <c r="AA15" s="290">
        <f>'[1]September - 2021'!AI15</f>
        <v>13078884</v>
      </c>
      <c r="AB15" s="291">
        <f>'[1]September - 2021'!AJ15</f>
        <v>13251.839999999851</v>
      </c>
      <c r="AC15" s="92">
        <f>'[1]September - 2021'!AJ15</f>
        <v>13251.839999999851</v>
      </c>
      <c r="AD15" s="290">
        <f>'[1]September - 2021'!AL15</f>
        <v>16104054.960000001</v>
      </c>
      <c r="AE15" s="291">
        <f>'[1]September - 2021'!AM15</f>
        <v>1315.4400000013411</v>
      </c>
      <c r="AF15" s="92">
        <f>'[1]September - 2021'!AM15</f>
        <v>1315.4400000013411</v>
      </c>
      <c r="AG15" s="290">
        <f>'[1]September - 2021'!AO15</f>
        <v>16508528.4</v>
      </c>
      <c r="AH15" s="291">
        <f>'[1]September - 2021'!AP15</f>
        <v>12569.760000001639</v>
      </c>
      <c r="AI15" s="92">
        <f>'[1]September - 2021'!AP15</f>
        <v>12569.760000001639</v>
      </c>
      <c r="AJ15" s="290">
        <f>'[1]September - 2021'!AR15</f>
        <v>14931803.039999999</v>
      </c>
      <c r="AK15" s="291">
        <f>'[1]September - 2021'!AS15</f>
        <v>5505.359999999404</v>
      </c>
      <c r="AL15" s="92">
        <f>'[1]September - 2021'!AS15</f>
        <v>5505.359999999404</v>
      </c>
      <c r="AM15" s="290">
        <f>'[1]September - 2021'!AU15</f>
        <v>12735554.16</v>
      </c>
      <c r="AN15" s="291">
        <f>'[1]September - 2021'!AV15</f>
        <v>4384.8000000007451</v>
      </c>
      <c r="AO15" s="92">
        <f>'[1]September - 2021'!AV15</f>
        <v>4384.8000000007451</v>
      </c>
      <c r="AP15" s="290">
        <f>'[1]September - 2021'!AX15</f>
        <v>12271301.280000001</v>
      </c>
      <c r="AQ15" s="291">
        <f>'[1]September - 2021'!AY15</f>
        <v>3946.3200000021607</v>
      </c>
      <c r="AR15" s="92">
        <f>'[1]September - 2021'!AY15</f>
        <v>3946.3200000021607</v>
      </c>
      <c r="AS15" s="290">
        <f>'[1]September - 2021'!BA15</f>
        <v>9789358.3199999984</v>
      </c>
      <c r="AT15" s="291">
        <f>'[1]September - 2021'!BB15</f>
        <v>2923.1999999992549</v>
      </c>
      <c r="AU15" s="92">
        <f>'[1]September - 2021'!BB15</f>
        <v>2923.1999999992549</v>
      </c>
      <c r="AV15" s="290">
        <f>'[1]September - 2021'!BD15</f>
        <v>15089022.48</v>
      </c>
      <c r="AW15" s="252">
        <f>'[1]September - 2021'!BE15</f>
        <v>6284.8800000008196</v>
      </c>
      <c r="AX15" s="253">
        <f>'[1]September - 2021'!BE15</f>
        <v>6284.8800000008196</v>
      </c>
      <c r="AY15" s="496"/>
      <c r="AZ15" s="272">
        <f>'[1]September - 2021'!BK15</f>
        <v>64976100</v>
      </c>
      <c r="BA15" s="179">
        <f>'[1]September - 2021'!BL15</f>
        <v>67100</v>
      </c>
      <c r="BB15" s="93">
        <f>'[1]September - 2021'!BL15</f>
        <v>67100</v>
      </c>
      <c r="BC15" s="272">
        <f>'[1]September - 2021'!BN15</f>
        <v>67554200</v>
      </c>
      <c r="BD15" s="245">
        <f>'[1]September - 2021'!BO15</f>
        <v>0</v>
      </c>
      <c r="BE15" s="93">
        <f>'[1]September - 2021'!BO15</f>
        <v>0</v>
      </c>
      <c r="BF15" s="272">
        <f>'[1]September - 2021'!BQ15</f>
        <v>62423900</v>
      </c>
      <c r="BG15" s="245">
        <f>'[1]September - 2021'!BR15</f>
        <v>52500</v>
      </c>
      <c r="BH15" s="93">
        <f>'[1]September - 2021'!BR15</f>
        <v>52500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- 2021'!BT15</f>
        <v>7067160</v>
      </c>
      <c r="BT15" s="185">
        <f>'[1]September - 2021'!BU15</f>
        <v>5570</v>
      </c>
      <c r="BU15" s="592"/>
      <c r="BV15" s="88">
        <f>'[1]September - 2021'!BW15</f>
        <v>0.61</v>
      </c>
      <c r="BW15" s="241">
        <f>'[1]September - 2021'!BX15</f>
        <v>4.0000000000000036E-2</v>
      </c>
      <c r="BX15" s="88">
        <f>'[1]September - 2021'!BX15</f>
        <v>4.0000000000000036E-2</v>
      </c>
      <c r="BY15" s="89">
        <f>'[1]September - 2021'!BZ15</f>
        <v>55350</v>
      </c>
      <c r="BZ15" s="191">
        <f>'[1]September - 2021'!CA15</f>
        <v>17</v>
      </c>
      <c r="CA15" s="89">
        <f>'[1]September - 2021'!CB15</f>
        <v>46863</v>
      </c>
      <c r="CB15" s="191">
        <f>'[1]September - 2021'!CC15</f>
        <v>13</v>
      </c>
      <c r="CC15" s="89">
        <f>'[1]September - 2021'!CD15</f>
        <v>16192</v>
      </c>
      <c r="CD15" s="191">
        <f>'[1]September - 2021'!CE15</f>
        <v>6</v>
      </c>
      <c r="CE15" s="89">
        <f>'[1]September - 2021'!CF15</f>
        <v>21087</v>
      </c>
      <c r="CF15" s="191">
        <f>'[1]September - 2021'!CG15</f>
        <v>10</v>
      </c>
      <c r="CG15" s="89">
        <f>'[1]September - 2021'!CH15</f>
        <v>22849</v>
      </c>
      <c r="CH15" s="191">
        <f>'[1]September - 2021'!CI15</f>
        <v>11</v>
      </c>
      <c r="CI15" s="89">
        <f>'[1]September - 2021'!CJ15</f>
        <v>50944</v>
      </c>
      <c r="CJ15" s="191">
        <f>'[1]September - 2021'!CK15</f>
        <v>24</v>
      </c>
      <c r="CK15" s="89">
        <f>'[1]September - 2021'!CL15</f>
        <v>225119</v>
      </c>
      <c r="CL15" s="246">
        <f>'[1]September - 2021'!CM15</f>
        <v>91</v>
      </c>
      <c r="CM15" s="89">
        <f>'[1]September - 2021'!CM15</f>
        <v>91</v>
      </c>
      <c r="CN15" s="89">
        <f>'[1]September - 2021'!CO15</f>
        <v>171331</v>
      </c>
      <c r="CO15" s="246">
        <f>'[1]September - 2021'!CP15</f>
        <v>67</v>
      </c>
      <c r="CP15" s="89">
        <f>'[1]September - 2021'!CP15</f>
        <v>67</v>
      </c>
      <c r="CQ15" s="89">
        <f>'[1]September - 2021'!CR15</f>
        <v>308195</v>
      </c>
      <c r="CR15" s="246">
        <f>'[1]September - 2021'!CS15</f>
        <v>0</v>
      </c>
      <c r="CS15" s="89">
        <f>'[1]September - 2021'!CS15</f>
        <v>0</v>
      </c>
      <c r="CT15" s="89">
        <f>'[1]September - 2021'!CU15</f>
        <v>599167</v>
      </c>
      <c r="CU15" s="191">
        <f>'[1]September - 2021'!CV15</f>
        <v>235</v>
      </c>
      <c r="CV15" s="520"/>
      <c r="CW15" s="256">
        <f>'[1]September - 2021'!CX15</f>
        <v>5635</v>
      </c>
      <c r="CX15" s="198">
        <f>'[1]September - 2021'!CY15</f>
        <v>5</v>
      </c>
      <c r="CY15" s="257">
        <f>'[1]September - 2021'!CZ15</f>
        <v>3203</v>
      </c>
      <c r="CZ15" s="198">
        <f>'[1]September - 2021'!DA15</f>
        <v>3</v>
      </c>
      <c r="DA15" s="257">
        <f>'[1]September - 2021'!DB15</f>
        <v>25346</v>
      </c>
      <c r="DB15" s="198">
        <f>'[1]September - 2021'!DC15</f>
        <v>9</v>
      </c>
      <c r="DC15" s="257">
        <f>'[1]September - 2021'!DD15</f>
        <v>26012</v>
      </c>
      <c r="DD15" s="198">
        <f>'[1]September - 2021'!DE15</f>
        <v>13</v>
      </c>
      <c r="DE15" s="257">
        <f>'[1]September - 2021'!DF15</f>
        <v>17902</v>
      </c>
      <c r="DF15" s="198">
        <f>'[1]September - 2021'!DG15</f>
        <v>7</v>
      </c>
      <c r="DG15" s="257">
        <f>'[1]September - 2021'!DH15</f>
        <v>20976</v>
      </c>
      <c r="DH15" s="198">
        <f>'[1]September - 2021'!DI15</f>
        <v>12</v>
      </c>
      <c r="DI15" s="257">
        <f>'[1]September - 2021'!DJ15</f>
        <v>2424</v>
      </c>
      <c r="DJ15" s="198">
        <f>'[1]September - 2021'!DK15</f>
        <v>9</v>
      </c>
      <c r="DK15" s="257">
        <f>'[1]September - 2021'!DL15</f>
        <v>5610</v>
      </c>
      <c r="DL15" s="198">
        <f>'[1]September - 2021'!DM15</f>
        <v>13</v>
      </c>
      <c r="DM15" s="257">
        <f>'[1]September - 2021'!DN15</f>
        <v>1310</v>
      </c>
      <c r="DN15" s="198">
        <f>'[1]September - 2021'!DO15</f>
        <v>8</v>
      </c>
      <c r="DO15" s="257">
        <f>'[1]September - 2021'!DP15</f>
        <v>2919</v>
      </c>
      <c r="DP15" s="198">
        <f>'[1]September - 2021'!DQ15</f>
        <v>1</v>
      </c>
      <c r="DQ15" s="257">
        <f>'[1]September - 2021'!DR15</f>
        <v>25858</v>
      </c>
      <c r="DR15" s="206">
        <f>'[1]September - 2021'!DS15</f>
        <v>0</v>
      </c>
      <c r="DS15" s="536"/>
      <c r="DT15" s="210">
        <f>'[1]September - 2021'!DU15</f>
        <v>2216.1999999999998</v>
      </c>
      <c r="DU15" s="221">
        <f>'[1]September - 2021'!DV15</f>
        <v>9.1999999999998181</v>
      </c>
      <c r="DV15" s="91">
        <f>'[1]September - 2021'!DW15</f>
        <v>7474.9</v>
      </c>
      <c r="DW15" s="215">
        <f>'[1]September - 2021'!DX15</f>
        <v>7.8999999999996362</v>
      </c>
      <c r="DX15" s="91">
        <f>'[1]September - 2021'!DY15</f>
        <v>1668.7</v>
      </c>
      <c r="DY15" s="215">
        <f>'[1]September - 2021'!DZ15</f>
        <v>7.2000000000000455</v>
      </c>
      <c r="DZ15" s="91">
        <f>'[1]September - 2021'!EA15</f>
        <v>1555.8</v>
      </c>
      <c r="EA15" s="215">
        <f>'[1]September - 2021'!EB15</f>
        <v>10.599999999999909</v>
      </c>
      <c r="EB15" s="91">
        <f>'[1]September - 2021'!EC15</f>
        <v>808237</v>
      </c>
      <c r="EC15" s="215">
        <f>'[1]September - 2021'!ED15</f>
        <v>806</v>
      </c>
      <c r="ED15" s="91">
        <f>'[1]September - 2021'!EG15</f>
        <v>161960.79999999999</v>
      </c>
      <c r="EE15" s="229">
        <f>'[1]September - 2021'!EH15</f>
        <v>149.59999999997672</v>
      </c>
      <c r="EF15" s="583"/>
      <c r="EG15" s="235">
        <f>'[1]September - 2021'!EJ15</f>
        <v>9869700</v>
      </c>
      <c r="EH15" s="230">
        <f>'[1]September - 2021'!EK15</f>
        <v>8000</v>
      </c>
      <c r="EI15" s="90">
        <f>'[1]September - 2021'!EL15</f>
        <v>791940</v>
      </c>
      <c r="EJ15" s="230">
        <f>'[1]September - 2021'!EM15</f>
        <v>450</v>
      </c>
      <c r="EK15" s="90">
        <f>'[1]September - 2021'!EN15</f>
        <v>6155000</v>
      </c>
      <c r="EL15" s="230">
        <f>'[1]September - 2021'!EO15</f>
        <v>3400</v>
      </c>
      <c r="EM15" s="90">
        <f>'[1]September - 2021'!EP15</f>
        <v>2175400</v>
      </c>
      <c r="EN15" s="230">
        <f>'[1]September - 2021'!EQ15</f>
        <v>1400</v>
      </c>
      <c r="EO15" s="90">
        <f>'[1]September - 2021'!ER15</f>
        <v>919340</v>
      </c>
      <c r="EP15" s="230">
        <f>'[1]September - 2021'!ES15</f>
        <v>990</v>
      </c>
      <c r="EQ15" s="90">
        <f>'[1]September - 2021'!ET15</f>
        <v>13673000</v>
      </c>
      <c r="ER15" s="230">
        <f>'[1]September - 2021'!EU15</f>
        <v>9600</v>
      </c>
      <c r="ES15" s="558"/>
      <c r="ET15" s="284">
        <f>'[1]September - 2021'!EW15</f>
        <v>36098</v>
      </c>
      <c r="EU15" s="278">
        <f>'[1]September - 2021'!EX15</f>
        <v>13</v>
      </c>
      <c r="EV15" s="285">
        <f>'[1]September - 2021'!EY15</f>
        <v>31210</v>
      </c>
      <c r="EW15" s="278">
        <f>'[1]September - 2021'!EZ15</f>
        <v>13</v>
      </c>
      <c r="EX15" s="285">
        <f>'[1]September - 2021'!FA15</f>
        <v>2326</v>
      </c>
      <c r="EY15" s="278">
        <f>'[1]September - 2021'!FB15</f>
        <v>12</v>
      </c>
      <c r="EZ15" s="285">
        <f>'[1]September - 2021'!FC15</f>
        <v>52458</v>
      </c>
      <c r="FA15" s="278">
        <f>'[1]September - 2021'!FD15</f>
        <v>24</v>
      </c>
      <c r="FB15" s="285">
        <f>'[1]September - 2021'!FE15</f>
        <v>34872</v>
      </c>
      <c r="FC15" s="279">
        <f>'[1]September - 2021'!FF15</f>
        <v>21</v>
      </c>
    </row>
    <row r="16" spans="1:159" ht="30" customHeight="1" x14ac:dyDescent="0.25">
      <c r="A16" s="207">
        <v>43837</v>
      </c>
      <c r="B16" s="209">
        <f>'[1]September - 2021'!B16</f>
        <v>0.6</v>
      </c>
      <c r="C16" s="250">
        <f>'[1]September - 2021'!E16</f>
        <v>853597</v>
      </c>
      <c r="D16" s="170">
        <f>'[1]September - 2021'!F16</f>
        <v>972</v>
      </c>
      <c r="E16" s="168">
        <f>'[1]September - 2021'!G16</f>
        <v>499</v>
      </c>
      <c r="F16" s="168">
        <f>'[1]September - 2021'!H16</f>
        <v>53733</v>
      </c>
      <c r="G16" s="170">
        <f>'[1]September - 2021'!I16</f>
        <v>278</v>
      </c>
      <c r="H16" s="168">
        <f>'[1]September - 2021'!J16</f>
        <v>253</v>
      </c>
      <c r="I16" s="168">
        <f>'[1]September - 2021'!K16</f>
        <v>164625</v>
      </c>
      <c r="J16" s="170">
        <f>'[1]September - 2021'!L16</f>
        <v>0</v>
      </c>
      <c r="K16" s="168">
        <f>'[1]September - 2021'!N16</f>
        <v>790952</v>
      </c>
      <c r="L16" s="170">
        <f>'[1]September - 2021'!O16</f>
        <v>622</v>
      </c>
      <c r="M16" s="168">
        <f>'[1]September - 2021'!Q16</f>
        <v>179314</v>
      </c>
      <c r="N16" s="170">
        <f>'[1]September - 2021'!R16</f>
        <v>389</v>
      </c>
      <c r="O16" s="168">
        <f>'[1]September - 2021'!S16</f>
        <v>35624.81</v>
      </c>
      <c r="P16" s="170">
        <f>'[1]September - 2021'!T16</f>
        <v>281.44999999999709</v>
      </c>
      <c r="Q16" s="168">
        <f>'[1]September - 2021'!U16</f>
        <v>177</v>
      </c>
      <c r="R16" s="168">
        <f>'[1]September - 2021'!V16</f>
        <v>1194</v>
      </c>
      <c r="S16" s="208">
        <f>'[1]September - 2021'!W16</f>
        <v>46</v>
      </c>
      <c r="T16" s="479"/>
      <c r="U16" s="269">
        <f>'[1]September - 2021'!AC16</f>
        <v>6901918.7999999998</v>
      </c>
      <c r="V16" s="291">
        <f>'[1]September - 2021'!AD16</f>
        <v>2484.7199999997392</v>
      </c>
      <c r="W16" s="92">
        <f>'[1]September - 2021'!AD16</f>
        <v>2484.7199999997392</v>
      </c>
      <c r="X16" s="290">
        <f>'[1]September - 2021'!AF16</f>
        <v>13311716.880000001</v>
      </c>
      <c r="Y16" s="291">
        <f>'[1]September - 2021'!AG16</f>
        <v>4579.6800000015646</v>
      </c>
      <c r="Z16" s="92">
        <f>'[1]September - 2021'!AG16</f>
        <v>4579.6800000015646</v>
      </c>
      <c r="AA16" s="290">
        <f>'[1]September - 2021'!AI16</f>
        <v>13092817.919999998</v>
      </c>
      <c r="AB16" s="291">
        <f>'[1]September - 2021'!AJ16</f>
        <v>13933.919999998063</v>
      </c>
      <c r="AC16" s="92">
        <f>'[1]September - 2021'!AJ16</f>
        <v>13933.919999998063</v>
      </c>
      <c r="AD16" s="290">
        <f>'[1]September - 2021'!AL16</f>
        <v>16105662.719999999</v>
      </c>
      <c r="AE16" s="291">
        <f>'[1]September - 2021'!AM16</f>
        <v>1607.7599999979138</v>
      </c>
      <c r="AF16" s="92">
        <f>'[1]September - 2021'!AM16</f>
        <v>1607.7599999979138</v>
      </c>
      <c r="AG16" s="290">
        <f>'[1]September - 2021'!AO16</f>
        <v>16522900.799999999</v>
      </c>
      <c r="AH16" s="291">
        <f>'[1]September - 2021'!AP16</f>
        <v>14372.39999999851</v>
      </c>
      <c r="AI16" s="92">
        <f>'[1]September - 2021'!AP16</f>
        <v>14372.39999999851</v>
      </c>
      <c r="AJ16" s="290">
        <f>'[1]September - 2021'!AR16</f>
        <v>14937357.119999999</v>
      </c>
      <c r="AK16" s="291">
        <f>'[1]September - 2021'!AS16</f>
        <v>5554.0800000000745</v>
      </c>
      <c r="AL16" s="92">
        <f>'[1]September - 2021'!AS16</f>
        <v>5554.0800000000745</v>
      </c>
      <c r="AM16" s="290">
        <f>'[1]September - 2021'!AU16</f>
        <v>12740133.84</v>
      </c>
      <c r="AN16" s="291">
        <f>'[1]September - 2021'!AV16</f>
        <v>4579.679999999702</v>
      </c>
      <c r="AO16" s="92">
        <f>'[1]September - 2021'!AV16</f>
        <v>4579.679999999702</v>
      </c>
      <c r="AP16" s="290">
        <f>'[1]September - 2021'!AX16</f>
        <v>12275393.76</v>
      </c>
      <c r="AQ16" s="291">
        <f>'[1]September - 2021'!AY16</f>
        <v>4092.4799999985844</v>
      </c>
      <c r="AR16" s="92">
        <f>'[1]September - 2021'!AY16</f>
        <v>4092.4799999985844</v>
      </c>
      <c r="AS16" s="290">
        <f>'[1]September - 2021'!BA16</f>
        <v>9792476.4000000004</v>
      </c>
      <c r="AT16" s="291">
        <f>'[1]September - 2021'!BB16</f>
        <v>3118.0800000019372</v>
      </c>
      <c r="AU16" s="92">
        <f>'[1]September - 2021'!BB16</f>
        <v>3118.0800000019372</v>
      </c>
      <c r="AV16" s="290">
        <f>'[1]September - 2021'!BD16</f>
        <v>15095453.52</v>
      </c>
      <c r="AW16" s="252">
        <f>'[1]September - 2021'!BE16</f>
        <v>6431.0399999991059</v>
      </c>
      <c r="AX16" s="253">
        <f>'[1]September - 2021'!BE16</f>
        <v>6431.0399999991059</v>
      </c>
      <c r="AY16" s="496"/>
      <c r="AZ16" s="272">
        <f>'[1]September - 2021'!BK16</f>
        <v>65045000</v>
      </c>
      <c r="BA16" s="179">
        <f>'[1]September - 2021'!BL16</f>
        <v>68900</v>
      </c>
      <c r="BB16" s="93">
        <f>'[1]September - 2021'!BL16</f>
        <v>68900</v>
      </c>
      <c r="BC16" s="272">
        <f>'[1]September - 2021'!BN16</f>
        <v>67554200</v>
      </c>
      <c r="BD16" s="245">
        <f>'[1]September - 2021'!BO16</f>
        <v>0</v>
      </c>
      <c r="BE16" s="93">
        <f>'[1]September - 2021'!BO16</f>
        <v>0</v>
      </c>
      <c r="BF16" s="272">
        <f>'[1]September - 2021'!BQ16</f>
        <v>62485000</v>
      </c>
      <c r="BG16" s="245">
        <f>'[1]September - 2021'!BR16</f>
        <v>61100</v>
      </c>
      <c r="BH16" s="93">
        <f>'[1]September - 2021'!BR16</f>
        <v>61100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- 2021'!BT16</f>
        <v>7072810</v>
      </c>
      <c r="BT16" s="185">
        <f>'[1]September - 2021'!BU16</f>
        <v>5650</v>
      </c>
      <c r="BU16" s="592"/>
      <c r="BV16" s="88">
        <f>'[1]September - 2021'!BW16</f>
        <v>0.8</v>
      </c>
      <c r="BW16" s="241">
        <f>'[1]September - 2021'!BX16</f>
        <v>-0.19000000000000006</v>
      </c>
      <c r="BX16" s="88">
        <f>'[1]September - 2021'!BX16</f>
        <v>-0.19000000000000006</v>
      </c>
      <c r="BY16" s="89">
        <f>'[1]September - 2021'!BZ16</f>
        <v>55367</v>
      </c>
      <c r="BZ16" s="191">
        <f>'[1]September - 2021'!CA16</f>
        <v>17</v>
      </c>
      <c r="CA16" s="89">
        <f>'[1]September - 2021'!CB16</f>
        <v>46877</v>
      </c>
      <c r="CB16" s="191">
        <f>'[1]September - 2021'!CC16</f>
        <v>14</v>
      </c>
      <c r="CC16" s="89">
        <f>'[1]September - 2021'!CD16</f>
        <v>16198</v>
      </c>
      <c r="CD16" s="191">
        <f>'[1]September - 2021'!CE16</f>
        <v>6</v>
      </c>
      <c r="CE16" s="89">
        <f>'[1]September - 2021'!CF16</f>
        <v>21099</v>
      </c>
      <c r="CF16" s="191">
        <f>'[1]September - 2021'!CG16</f>
        <v>12</v>
      </c>
      <c r="CG16" s="89">
        <f>'[1]September - 2021'!CH16</f>
        <v>22862</v>
      </c>
      <c r="CH16" s="191">
        <f>'[1]September - 2021'!CI16</f>
        <v>13</v>
      </c>
      <c r="CI16" s="89">
        <f>'[1]September - 2021'!CJ16</f>
        <v>50966</v>
      </c>
      <c r="CJ16" s="191">
        <f>'[1]September - 2021'!CK16</f>
        <v>22</v>
      </c>
      <c r="CK16" s="89">
        <f>'[1]September - 2021'!CL16</f>
        <v>225211</v>
      </c>
      <c r="CL16" s="246">
        <f>'[1]September - 2021'!CM16</f>
        <v>92</v>
      </c>
      <c r="CM16" s="89">
        <f>'[1]September - 2021'!CM16</f>
        <v>92</v>
      </c>
      <c r="CN16" s="89">
        <f>'[1]September - 2021'!CO16</f>
        <v>171398</v>
      </c>
      <c r="CO16" s="246">
        <f>'[1]September - 2021'!CP16</f>
        <v>67</v>
      </c>
      <c r="CP16" s="89">
        <f>'[1]September - 2021'!CP16</f>
        <v>67</v>
      </c>
      <c r="CQ16" s="89">
        <f>'[1]September - 2021'!CR16</f>
        <v>308195</v>
      </c>
      <c r="CR16" s="246">
        <f>'[1]September - 2021'!CS16</f>
        <v>0</v>
      </c>
      <c r="CS16" s="89">
        <f>'[1]September - 2021'!CS16</f>
        <v>0</v>
      </c>
      <c r="CT16" s="89">
        <f>'[1]September - 2021'!CU16</f>
        <v>599399</v>
      </c>
      <c r="CU16" s="191">
        <f>'[1]September - 2021'!CV16</f>
        <v>232</v>
      </c>
      <c r="CV16" s="520"/>
      <c r="CW16" s="256">
        <f>'[1]September - 2021'!CX16</f>
        <v>5639</v>
      </c>
      <c r="CX16" s="198">
        <f>'[1]September - 2021'!CY16</f>
        <v>4</v>
      </c>
      <c r="CY16" s="257">
        <f>'[1]September - 2021'!CZ16</f>
        <v>3206</v>
      </c>
      <c r="CZ16" s="198">
        <f>'[1]September - 2021'!DA16</f>
        <v>3</v>
      </c>
      <c r="DA16" s="257">
        <f>'[1]September - 2021'!DB16</f>
        <v>25358</v>
      </c>
      <c r="DB16" s="198">
        <f>'[1]September - 2021'!DC16</f>
        <v>12</v>
      </c>
      <c r="DC16" s="257">
        <f>'[1]September - 2021'!DD16</f>
        <v>26027</v>
      </c>
      <c r="DD16" s="198">
        <f>'[1]September - 2021'!DE16</f>
        <v>15</v>
      </c>
      <c r="DE16" s="257">
        <f>'[1]September - 2021'!DF16</f>
        <v>17908</v>
      </c>
      <c r="DF16" s="198">
        <f>'[1]September - 2021'!DG16</f>
        <v>6</v>
      </c>
      <c r="DG16" s="257">
        <f>'[1]September - 2021'!DH16</f>
        <v>20988</v>
      </c>
      <c r="DH16" s="198">
        <f>'[1]September - 2021'!DI16</f>
        <v>12</v>
      </c>
      <c r="DI16" s="257">
        <f>'[1]September - 2021'!DJ16</f>
        <v>2434</v>
      </c>
      <c r="DJ16" s="198">
        <f>'[1]September - 2021'!DK16</f>
        <v>10</v>
      </c>
      <c r="DK16" s="257">
        <f>'[1]September - 2021'!DL16</f>
        <v>5621</v>
      </c>
      <c r="DL16" s="198">
        <f>'[1]September - 2021'!DM16</f>
        <v>11</v>
      </c>
      <c r="DM16" s="257">
        <f>'[1]September - 2021'!DN16</f>
        <v>1317</v>
      </c>
      <c r="DN16" s="198">
        <f>'[1]September - 2021'!DO16</f>
        <v>7</v>
      </c>
      <c r="DO16" s="257">
        <f>'[1]September - 2021'!DP16</f>
        <v>2920</v>
      </c>
      <c r="DP16" s="198">
        <f>'[1]September - 2021'!DQ16</f>
        <v>1</v>
      </c>
      <c r="DQ16" s="257">
        <f>'[1]September - 2021'!DR16</f>
        <v>25858</v>
      </c>
      <c r="DR16" s="206">
        <f>'[1]September - 2021'!DS16</f>
        <v>0</v>
      </c>
      <c r="DS16" s="536"/>
      <c r="DT16" s="210">
        <f>'[1]September - 2021'!DU16</f>
        <v>2226.4</v>
      </c>
      <c r="DU16" s="221">
        <f>'[1]September - 2021'!DV16</f>
        <v>10.200000000000273</v>
      </c>
      <c r="DV16" s="91">
        <f>'[1]September - 2021'!DW16</f>
        <v>7482.5</v>
      </c>
      <c r="DW16" s="215">
        <f>'[1]September - 2021'!DX16</f>
        <v>7.6000000000003638</v>
      </c>
      <c r="DX16" s="91">
        <f>'[1]September - 2021'!DY16</f>
        <v>1675.8</v>
      </c>
      <c r="DY16" s="215">
        <f>'[1]September - 2021'!DZ16</f>
        <v>7.0999999999999091</v>
      </c>
      <c r="DZ16" s="91">
        <f>'[1]September - 2021'!EA16</f>
        <v>1567.1</v>
      </c>
      <c r="EA16" s="215">
        <f>'[1]September - 2021'!EB16</f>
        <v>11.299999999999955</v>
      </c>
      <c r="EB16" s="91">
        <f>'[1]September - 2021'!EC16</f>
        <v>809056</v>
      </c>
      <c r="EC16" s="215">
        <f>'[1]September - 2021'!ED16</f>
        <v>819</v>
      </c>
      <c r="ED16" s="91">
        <f>'[1]September - 2021'!EG16</f>
        <v>162115.1</v>
      </c>
      <c r="EE16" s="229">
        <f>'[1]September - 2021'!EH16</f>
        <v>154.30000000001746</v>
      </c>
      <c r="EF16" s="583"/>
      <c r="EG16" s="235">
        <f>'[1]September - 2021'!EJ16</f>
        <v>9878900</v>
      </c>
      <c r="EH16" s="230">
        <f>'[1]September - 2021'!EK16</f>
        <v>9200</v>
      </c>
      <c r="EI16" s="90">
        <f>'[1]September - 2021'!EL16</f>
        <v>792400</v>
      </c>
      <c r="EJ16" s="230">
        <f>'[1]September - 2021'!EM16</f>
        <v>460</v>
      </c>
      <c r="EK16" s="90">
        <f>'[1]September - 2021'!EN16</f>
        <v>6158700</v>
      </c>
      <c r="EL16" s="230">
        <f>'[1]September - 2021'!EO16</f>
        <v>3700</v>
      </c>
      <c r="EM16" s="90">
        <f>'[1]September - 2021'!EP16</f>
        <v>2176900</v>
      </c>
      <c r="EN16" s="230">
        <f>'[1]September - 2021'!EQ16</f>
        <v>1500</v>
      </c>
      <c r="EO16" s="90">
        <f>'[1]September - 2021'!ER16</f>
        <v>920300</v>
      </c>
      <c r="EP16" s="230">
        <f>'[1]September - 2021'!ES16</f>
        <v>960</v>
      </c>
      <c r="EQ16" s="90">
        <f>'[1]September - 2021'!ET16</f>
        <v>13683200</v>
      </c>
      <c r="ER16" s="230">
        <f>'[1]September - 2021'!EU16</f>
        <v>10200</v>
      </c>
      <c r="ES16" s="558"/>
      <c r="ET16" s="284">
        <f>'[1]September - 2021'!EW16</f>
        <v>36112</v>
      </c>
      <c r="EU16" s="278">
        <f>'[1]September - 2021'!EX16</f>
        <v>14</v>
      </c>
      <c r="EV16" s="285">
        <f>'[1]September - 2021'!EY16</f>
        <v>31223</v>
      </c>
      <c r="EW16" s="278">
        <f>'[1]September - 2021'!EZ16</f>
        <v>13</v>
      </c>
      <c r="EX16" s="285">
        <f>'[1]September - 2021'!FA16</f>
        <v>2337</v>
      </c>
      <c r="EY16" s="278">
        <f>'[1]September - 2021'!FB16</f>
        <v>11</v>
      </c>
      <c r="EZ16" s="285">
        <f>'[1]September - 2021'!FC16</f>
        <v>52482</v>
      </c>
      <c r="FA16" s="278">
        <f>'[1]September - 2021'!FD16</f>
        <v>24</v>
      </c>
      <c r="FB16" s="285">
        <f>'[1]September - 2021'!FE16</f>
        <v>34895</v>
      </c>
      <c r="FC16" s="279">
        <f>'[1]September - 2021'!FF16</f>
        <v>23</v>
      </c>
    </row>
    <row r="17" spans="1:159" ht="30" customHeight="1" x14ac:dyDescent="0.25">
      <c r="A17" s="207">
        <v>43838</v>
      </c>
      <c r="B17" s="209">
        <f>'[1]September - 2021'!B17</f>
        <v>0.59</v>
      </c>
      <c r="C17" s="250">
        <f>'[1]September - 2021'!E17</f>
        <v>854439</v>
      </c>
      <c r="D17" s="170">
        <f>'[1]September - 2021'!F17</f>
        <v>842</v>
      </c>
      <c r="E17" s="168">
        <f>'[1]September - 2021'!G17</f>
        <v>584</v>
      </c>
      <c r="F17" s="168">
        <f>'[1]September - 2021'!H17</f>
        <v>54010</v>
      </c>
      <c r="G17" s="170">
        <f>'[1]September - 2021'!I17</f>
        <v>277</v>
      </c>
      <c r="H17" s="168">
        <f>'[1]September - 2021'!J17</f>
        <v>278</v>
      </c>
      <c r="I17" s="168">
        <f>'[1]September - 2021'!K17</f>
        <v>164625</v>
      </c>
      <c r="J17" s="170">
        <f>'[1]September - 2021'!L17</f>
        <v>0</v>
      </c>
      <c r="K17" s="168">
        <f>'[1]September - 2021'!N17</f>
        <v>791416</v>
      </c>
      <c r="L17" s="170">
        <f>'[1]September - 2021'!O17</f>
        <v>464</v>
      </c>
      <c r="M17" s="168">
        <f>'[1]September - 2021'!Q17</f>
        <v>179571</v>
      </c>
      <c r="N17" s="170">
        <f>'[1]September - 2021'!R17</f>
        <v>257</v>
      </c>
      <c r="O17" s="168">
        <f>'[1]September - 2021'!S17</f>
        <v>35904.769999999997</v>
      </c>
      <c r="P17" s="170">
        <f>'[1]September - 2021'!T17</f>
        <v>279.95999999999913</v>
      </c>
      <c r="Q17" s="168">
        <f>'[1]September - 2021'!U17</f>
        <v>179</v>
      </c>
      <c r="R17" s="168">
        <f>'[1]September - 2021'!V17</f>
        <v>1244</v>
      </c>
      <c r="S17" s="208">
        <f>'[1]September - 2021'!W17</f>
        <v>50</v>
      </c>
      <c r="T17" s="479"/>
      <c r="U17" s="269">
        <f>'[1]September - 2021'!AC17</f>
        <v>6904111.2000000002</v>
      </c>
      <c r="V17" s="291">
        <f>'[1]September - 2021'!AD17</f>
        <v>2192.4000000003725</v>
      </c>
      <c r="W17" s="92">
        <f>'[1]September - 2021'!AD17</f>
        <v>2192.4000000003725</v>
      </c>
      <c r="X17" s="290">
        <f>'[1]September - 2021'!AF17</f>
        <v>13316150.4</v>
      </c>
      <c r="Y17" s="291">
        <f>'[1]September - 2021'!AG17</f>
        <v>4433.519999999553</v>
      </c>
      <c r="Z17" s="92">
        <f>'[1]September - 2021'!AG17</f>
        <v>4433.519999999553</v>
      </c>
      <c r="AA17" s="290">
        <f>'[1]September - 2021'!AI17</f>
        <v>13107628.799999999</v>
      </c>
      <c r="AB17" s="291">
        <f>'[1]September - 2021'!AJ17</f>
        <v>14810.88000000082</v>
      </c>
      <c r="AC17" s="92">
        <f>'[1]September - 2021'!AJ17</f>
        <v>14810.88000000082</v>
      </c>
      <c r="AD17" s="290">
        <f>'[1]September - 2021'!AL17</f>
        <v>16106832</v>
      </c>
      <c r="AE17" s="291">
        <f>'[1]September - 2021'!AM17</f>
        <v>1169.2800000011921</v>
      </c>
      <c r="AF17" s="92">
        <f>'[1]September - 2021'!AM17</f>
        <v>1169.2800000011921</v>
      </c>
      <c r="AG17" s="290">
        <f>'[1]September - 2021'!AO17</f>
        <v>16535080.799999999</v>
      </c>
      <c r="AH17" s="291">
        <f>'[1]September - 2021'!AP17</f>
        <v>12180</v>
      </c>
      <c r="AI17" s="92">
        <f>'[1]September - 2021'!AP17</f>
        <v>12180</v>
      </c>
      <c r="AJ17" s="290">
        <f>'[1]September - 2021'!AR17</f>
        <v>14942911.199999999</v>
      </c>
      <c r="AK17" s="291">
        <f>'[1]September - 2021'!AS17</f>
        <v>5554.0800000000745</v>
      </c>
      <c r="AL17" s="92">
        <f>'[1]September - 2021'!AS17</f>
        <v>5554.0800000000745</v>
      </c>
      <c r="AM17" s="290">
        <f>'[1]September - 2021'!AU17</f>
        <v>12744664.799999999</v>
      </c>
      <c r="AN17" s="291">
        <f>'[1]September - 2021'!AV17</f>
        <v>4530.9599999990314</v>
      </c>
      <c r="AO17" s="92">
        <f>'[1]September - 2021'!AV17</f>
        <v>4530.9599999990314</v>
      </c>
      <c r="AP17" s="290">
        <f>'[1]September - 2021'!AX17</f>
        <v>12279388.799999999</v>
      </c>
      <c r="AQ17" s="291">
        <f>'[1]September - 2021'!AY17</f>
        <v>3995.0399999991059</v>
      </c>
      <c r="AR17" s="92">
        <f>'[1]September - 2021'!AY17</f>
        <v>3995.0399999991059</v>
      </c>
      <c r="AS17" s="290">
        <f>'[1]September - 2021'!BA17</f>
        <v>9795643.1999999993</v>
      </c>
      <c r="AT17" s="291">
        <f>'[1]September - 2021'!BB17</f>
        <v>3166.7999999988824</v>
      </c>
      <c r="AU17" s="92">
        <f>'[1]September - 2021'!BB17</f>
        <v>3166.7999999988824</v>
      </c>
      <c r="AV17" s="290">
        <f>'[1]September - 2021'!BD17</f>
        <v>15102225.6</v>
      </c>
      <c r="AW17" s="252">
        <f>'[1]September - 2021'!BE17</f>
        <v>6772.0800000000745</v>
      </c>
      <c r="AX17" s="253">
        <f>'[1]September - 2021'!BE17</f>
        <v>6772.0800000000745</v>
      </c>
      <c r="AY17" s="496"/>
      <c r="AZ17" s="272">
        <f>'[1]September - 2021'!BK17</f>
        <v>65117700</v>
      </c>
      <c r="BA17" s="179">
        <f>'[1]September - 2021'!BL17</f>
        <v>72700</v>
      </c>
      <c r="BB17" s="93">
        <f>'[1]September - 2021'!BL17</f>
        <v>72700</v>
      </c>
      <c r="BC17" s="272">
        <f>'[1]September - 2021'!BN17</f>
        <v>67554200</v>
      </c>
      <c r="BD17" s="245">
        <f>'[1]September - 2021'!BO17</f>
        <v>0</v>
      </c>
      <c r="BE17" s="93">
        <f>'[1]September - 2021'!BO17</f>
        <v>0</v>
      </c>
      <c r="BF17" s="272">
        <f>'[1]September - 2021'!BQ17</f>
        <v>62538100</v>
      </c>
      <c r="BG17" s="245">
        <f>'[1]September - 2021'!BR17</f>
        <v>53100</v>
      </c>
      <c r="BH17" s="93">
        <f>'[1]September - 2021'!BR17</f>
        <v>53100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- 2021'!BT17</f>
        <v>7078880</v>
      </c>
      <c r="BT17" s="185">
        <f>'[1]September - 2021'!BU17</f>
        <v>6070</v>
      </c>
      <c r="BU17" s="592"/>
      <c r="BV17" s="88">
        <f>'[1]September - 2021'!BW17</f>
        <v>0.76</v>
      </c>
      <c r="BW17" s="241">
        <f>'[1]September - 2021'!BX17</f>
        <v>4.0000000000000036E-2</v>
      </c>
      <c r="BX17" s="88">
        <f>'[1]September - 2021'!BX17</f>
        <v>4.0000000000000036E-2</v>
      </c>
      <c r="BY17" s="89">
        <f>'[1]September - 2021'!BZ17</f>
        <v>55385</v>
      </c>
      <c r="BZ17" s="191">
        <f>'[1]September - 2021'!CA17</f>
        <v>18</v>
      </c>
      <c r="CA17" s="89">
        <f>'[1]September - 2021'!CB17</f>
        <v>46892</v>
      </c>
      <c r="CB17" s="191">
        <f>'[1]September - 2021'!CC17</f>
        <v>15</v>
      </c>
      <c r="CC17" s="89">
        <f>'[1]September - 2021'!CD17</f>
        <v>16204</v>
      </c>
      <c r="CD17" s="191">
        <f>'[1]September - 2021'!CE17</f>
        <v>6</v>
      </c>
      <c r="CE17" s="89">
        <f>'[1]September - 2021'!CF17</f>
        <v>21112</v>
      </c>
      <c r="CF17" s="191">
        <f>'[1]September - 2021'!CG17</f>
        <v>13</v>
      </c>
      <c r="CG17" s="89">
        <f>'[1]September - 2021'!CH17</f>
        <v>22873</v>
      </c>
      <c r="CH17" s="191">
        <f>'[1]September - 2021'!CI17</f>
        <v>11</v>
      </c>
      <c r="CI17" s="89">
        <f>'[1]September - 2021'!CJ17</f>
        <v>50992</v>
      </c>
      <c r="CJ17" s="191">
        <f>'[1]September - 2021'!CK17</f>
        <v>26</v>
      </c>
      <c r="CK17" s="89">
        <f>'[1]September - 2021'!CL17</f>
        <v>225309</v>
      </c>
      <c r="CL17" s="246">
        <f>'[1]September - 2021'!CM17</f>
        <v>98</v>
      </c>
      <c r="CM17" s="89">
        <f>'[1]September - 2021'!CM17</f>
        <v>98</v>
      </c>
      <c r="CN17" s="89">
        <f>'[1]September - 2021'!CO17</f>
        <v>171466</v>
      </c>
      <c r="CO17" s="246">
        <f>'[1]September - 2021'!CP17</f>
        <v>68</v>
      </c>
      <c r="CP17" s="89">
        <f>'[1]September - 2021'!CP17</f>
        <v>68</v>
      </c>
      <c r="CQ17" s="89">
        <f>'[1]September - 2021'!CR17</f>
        <v>308195</v>
      </c>
      <c r="CR17" s="246">
        <f>'[1]September - 2021'!CS17</f>
        <v>0</v>
      </c>
      <c r="CS17" s="89">
        <f>'[1]September - 2021'!CS17</f>
        <v>0</v>
      </c>
      <c r="CT17" s="89">
        <f>'[1]September - 2021'!CU17</f>
        <v>599648</v>
      </c>
      <c r="CU17" s="191">
        <f>'[1]September - 2021'!CV17</f>
        <v>249</v>
      </c>
      <c r="CV17" s="520"/>
      <c r="CW17" s="256">
        <f>'[1]September - 2021'!CX17</f>
        <v>5646</v>
      </c>
      <c r="CX17" s="198">
        <f>'[1]September - 2021'!CY17</f>
        <v>7</v>
      </c>
      <c r="CY17" s="257">
        <f>'[1]September - 2021'!CZ17</f>
        <v>3211</v>
      </c>
      <c r="CZ17" s="198">
        <f>'[1]September - 2021'!DA17</f>
        <v>5</v>
      </c>
      <c r="DA17" s="257">
        <f>'[1]September - 2021'!DB17</f>
        <v>25370</v>
      </c>
      <c r="DB17" s="198">
        <f>'[1]September - 2021'!DC17</f>
        <v>12</v>
      </c>
      <c r="DC17" s="257">
        <f>'[1]September - 2021'!DD17</f>
        <v>26044</v>
      </c>
      <c r="DD17" s="198">
        <f>'[1]September - 2021'!DE17</f>
        <v>17</v>
      </c>
      <c r="DE17" s="257">
        <f>'[1]September - 2021'!DF17</f>
        <v>17914</v>
      </c>
      <c r="DF17" s="198">
        <f>'[1]September - 2021'!DG17</f>
        <v>6</v>
      </c>
      <c r="DG17" s="257">
        <f>'[1]September - 2021'!DH17</f>
        <v>20994</v>
      </c>
      <c r="DH17" s="198">
        <f>'[1]September - 2021'!DI17</f>
        <v>6</v>
      </c>
      <c r="DI17" s="257">
        <f>'[1]September - 2021'!DJ17</f>
        <v>2445</v>
      </c>
      <c r="DJ17" s="198">
        <f>'[1]September - 2021'!DK17</f>
        <v>11</v>
      </c>
      <c r="DK17" s="257">
        <f>'[1]September - 2021'!DL17</f>
        <v>5632</v>
      </c>
      <c r="DL17" s="198">
        <f>'[1]September - 2021'!DM17</f>
        <v>11</v>
      </c>
      <c r="DM17" s="257">
        <f>'[1]September - 2021'!DN17</f>
        <v>1324</v>
      </c>
      <c r="DN17" s="198">
        <f>'[1]September - 2021'!DO17</f>
        <v>7</v>
      </c>
      <c r="DO17" s="257">
        <f>'[1]September - 2021'!DP17</f>
        <v>2925</v>
      </c>
      <c r="DP17" s="198">
        <f>'[1]September - 2021'!DQ17</f>
        <v>5</v>
      </c>
      <c r="DQ17" s="257">
        <f>'[1]September - 2021'!DR17</f>
        <v>25869</v>
      </c>
      <c r="DR17" s="206">
        <f>'[1]September - 2021'!DS17</f>
        <v>11</v>
      </c>
      <c r="DS17" s="536"/>
      <c r="DT17" s="210">
        <f>'[1]September - 2021'!DU17</f>
        <v>2236.9</v>
      </c>
      <c r="DU17" s="221">
        <f>'[1]September - 2021'!DV17</f>
        <v>10.5</v>
      </c>
      <c r="DV17" s="91">
        <f>'[1]September - 2021'!DW17</f>
        <v>7490.8</v>
      </c>
      <c r="DW17" s="215">
        <f>'[1]September - 2021'!DX17</f>
        <v>8.3000000000001819</v>
      </c>
      <c r="DX17" s="91">
        <f>'[1]September - 2021'!DY17</f>
        <v>1683.5</v>
      </c>
      <c r="DY17" s="215">
        <f>'[1]September - 2021'!DZ17</f>
        <v>7.7000000000000455</v>
      </c>
      <c r="DZ17" s="91">
        <f>'[1]September - 2021'!EA17</f>
        <v>1578.4</v>
      </c>
      <c r="EA17" s="215">
        <f>'[1]September - 2021'!EB17</f>
        <v>11.300000000000182</v>
      </c>
      <c r="EB17" s="91">
        <f>'[1]September - 2021'!EC17</f>
        <v>809890</v>
      </c>
      <c r="EC17" s="215">
        <f>'[1]September - 2021'!ED17</f>
        <v>834</v>
      </c>
      <c r="ED17" s="91">
        <f>'[1]September - 2021'!EG17</f>
        <v>162270.79999999999</v>
      </c>
      <c r="EE17" s="229">
        <f>'[1]September - 2021'!EH17</f>
        <v>155.69999999998254</v>
      </c>
      <c r="EF17" s="583"/>
      <c r="EG17" s="235">
        <f>'[1]September - 2021'!EJ17</f>
        <v>9887300</v>
      </c>
      <c r="EH17" s="230">
        <f>'[1]September - 2021'!EK17</f>
        <v>8400</v>
      </c>
      <c r="EI17" s="90">
        <f>'[1]September - 2021'!EL17</f>
        <v>792840</v>
      </c>
      <c r="EJ17" s="230">
        <f>'[1]September - 2021'!EM17</f>
        <v>440</v>
      </c>
      <c r="EK17" s="90">
        <f>'[1]September - 2021'!EN17</f>
        <v>6162200</v>
      </c>
      <c r="EL17" s="230">
        <f>'[1]September - 2021'!EO17</f>
        <v>3500</v>
      </c>
      <c r="EM17" s="90">
        <f>'[1]September - 2021'!EP17</f>
        <v>2178200</v>
      </c>
      <c r="EN17" s="230">
        <f>'[1]September - 2021'!EQ17</f>
        <v>1300</v>
      </c>
      <c r="EO17" s="90">
        <f>'[1]September - 2021'!ER17</f>
        <v>921240</v>
      </c>
      <c r="EP17" s="230">
        <f>'[1]September - 2021'!ES17</f>
        <v>940</v>
      </c>
      <c r="EQ17" s="90">
        <f>'[1]September - 2021'!ET17</f>
        <v>13692000</v>
      </c>
      <c r="ER17" s="230">
        <f>'[1]September - 2021'!EU17</f>
        <v>8800</v>
      </c>
      <c r="ES17" s="558"/>
      <c r="ET17" s="284">
        <f>'[1]September - 2021'!EW17</f>
        <v>36128</v>
      </c>
      <c r="EU17" s="278">
        <f>'[1]September - 2021'!EX17</f>
        <v>16</v>
      </c>
      <c r="EV17" s="285">
        <f>'[1]September - 2021'!EY17</f>
        <v>31235</v>
      </c>
      <c r="EW17" s="278">
        <f>'[1]September - 2021'!EZ17</f>
        <v>12</v>
      </c>
      <c r="EX17" s="285">
        <f>'[1]September - 2021'!FA17</f>
        <v>2348</v>
      </c>
      <c r="EY17" s="278">
        <f>'[1]September - 2021'!FB17</f>
        <v>11</v>
      </c>
      <c r="EZ17" s="285">
        <f>'[1]September - 2021'!FC17</f>
        <v>52498</v>
      </c>
      <c r="FA17" s="278">
        <f>'[1]September - 2021'!FD17</f>
        <v>16</v>
      </c>
      <c r="FB17" s="285">
        <f>'[1]September - 2021'!FE17</f>
        <v>34920</v>
      </c>
      <c r="FC17" s="279">
        <f>'[1]September - 2021'!FF17</f>
        <v>25</v>
      </c>
    </row>
    <row r="18" spans="1:159" ht="30" customHeight="1" x14ac:dyDescent="0.25">
      <c r="A18" s="207">
        <v>43839</v>
      </c>
      <c r="B18" s="209">
        <f>'[1]September - 2021'!B18</f>
        <v>0.65</v>
      </c>
      <c r="C18" s="250">
        <f>'[1]September - 2021'!E18</f>
        <v>855231</v>
      </c>
      <c r="D18" s="170">
        <f>'[1]September - 2021'!F18</f>
        <v>792</v>
      </c>
      <c r="E18" s="168">
        <f>'[1]September - 2021'!G18</f>
        <v>607</v>
      </c>
      <c r="F18" s="168">
        <f>'[1]September - 2021'!H18</f>
        <v>54304</v>
      </c>
      <c r="G18" s="170">
        <f>'[1]September - 2021'!I18</f>
        <v>294</v>
      </c>
      <c r="H18" s="168">
        <f>'[1]September - 2021'!J18</f>
        <v>274</v>
      </c>
      <c r="I18" s="168">
        <f>'[1]September - 2021'!K18</f>
        <v>164625</v>
      </c>
      <c r="J18" s="170">
        <f>'[1]September - 2021'!L18</f>
        <v>0</v>
      </c>
      <c r="K18" s="168">
        <f>'[1]September - 2021'!N18</f>
        <v>791824</v>
      </c>
      <c r="L18" s="170">
        <f>'[1]September - 2021'!O18</f>
        <v>408</v>
      </c>
      <c r="M18" s="168">
        <f>'[1]September - 2021'!Q18</f>
        <v>179732</v>
      </c>
      <c r="N18" s="170">
        <f>'[1]September - 2021'!R18</f>
        <v>161</v>
      </c>
      <c r="O18" s="168">
        <f>'[1]September - 2021'!S18</f>
        <v>36199.160000000003</v>
      </c>
      <c r="P18" s="170">
        <f>'[1]September - 2021'!T18</f>
        <v>294.39000000000669</v>
      </c>
      <c r="Q18" s="168">
        <f>'[1]September - 2021'!U18</f>
        <v>177</v>
      </c>
      <c r="R18" s="168">
        <f>'[1]September - 2021'!V18</f>
        <v>1290</v>
      </c>
      <c r="S18" s="208">
        <f>'[1]September - 2021'!W18</f>
        <v>46</v>
      </c>
      <c r="T18" s="479"/>
      <c r="U18" s="269">
        <f>'[1]September - 2021'!AC18</f>
        <v>6906790.7999999998</v>
      </c>
      <c r="V18" s="291">
        <f>'[1]September - 2021'!AD18</f>
        <v>2679.5999999996275</v>
      </c>
      <c r="W18" s="92">
        <f>'[1]September - 2021'!AD18</f>
        <v>2679.5999999996275</v>
      </c>
      <c r="X18" s="290">
        <f>'[1]September - 2021'!AF18</f>
        <v>13320924.959999999</v>
      </c>
      <c r="Y18" s="291">
        <f>'[1]September - 2021'!AG18</f>
        <v>4774.5599999986589</v>
      </c>
      <c r="Z18" s="92">
        <f>'[1]September - 2021'!AG18</f>
        <v>4774.5599999986589</v>
      </c>
      <c r="AA18" s="290">
        <f>'[1]September - 2021'!AI18</f>
        <v>13121952.48</v>
      </c>
      <c r="AB18" s="291">
        <f>'[1]September - 2021'!AJ18</f>
        <v>14323.680000001565</v>
      </c>
      <c r="AC18" s="92">
        <f>'[1]September - 2021'!AJ18</f>
        <v>14323.680000001565</v>
      </c>
      <c r="AD18" s="290">
        <f>'[1]September - 2021'!AL18</f>
        <v>16108634.639999999</v>
      </c>
      <c r="AE18" s="291">
        <f>'[1]September - 2021'!AM18</f>
        <v>1802.6399999987334</v>
      </c>
      <c r="AF18" s="92">
        <f>'[1]September - 2021'!AM18</f>
        <v>1802.6399999987334</v>
      </c>
      <c r="AG18" s="290">
        <f>'[1]September - 2021'!AO18</f>
        <v>16549891.68</v>
      </c>
      <c r="AH18" s="291">
        <f>'[1]September - 2021'!AP18</f>
        <v>14810.88000000082</v>
      </c>
      <c r="AI18" s="92">
        <f>'[1]September - 2021'!AP18</f>
        <v>14810.88000000082</v>
      </c>
      <c r="AJ18" s="290">
        <f>'[1]September - 2021'!AR18</f>
        <v>14948172.959999999</v>
      </c>
      <c r="AK18" s="291">
        <f>'[1]September - 2021'!AS18</f>
        <v>5261.7599999997765</v>
      </c>
      <c r="AL18" s="92">
        <f>'[1]September - 2021'!AS18</f>
        <v>5261.7599999997765</v>
      </c>
      <c r="AM18" s="290">
        <f>'[1]September - 2021'!AU18</f>
        <v>12749731.68</v>
      </c>
      <c r="AN18" s="291">
        <f>'[1]September - 2021'!AV18</f>
        <v>5066.8800000008196</v>
      </c>
      <c r="AO18" s="92">
        <f>'[1]September - 2021'!AV18</f>
        <v>5066.8800000008196</v>
      </c>
      <c r="AP18" s="290">
        <f>'[1]September - 2021'!AX18</f>
        <v>12283432.559999999</v>
      </c>
      <c r="AQ18" s="291">
        <f>'[1]September - 2021'!AY18</f>
        <v>4043.7599999997765</v>
      </c>
      <c r="AR18" s="92">
        <f>'[1]September - 2021'!AY18</f>
        <v>4043.7599999997765</v>
      </c>
      <c r="AS18" s="290">
        <f>'[1]September - 2021'!BA18</f>
        <v>9798663.8399999999</v>
      </c>
      <c r="AT18" s="291">
        <f>'[1]September - 2021'!BB18</f>
        <v>3020.640000000596</v>
      </c>
      <c r="AU18" s="92">
        <f>'[1]September - 2021'!BB18</f>
        <v>3020.640000000596</v>
      </c>
      <c r="AV18" s="290">
        <f>'[1]September - 2021'!BD18</f>
        <v>15108851.52</v>
      </c>
      <c r="AW18" s="252">
        <f>'[1]September - 2021'!BE18</f>
        <v>6625.9199999999255</v>
      </c>
      <c r="AX18" s="253">
        <f>'[1]September - 2021'!BE18</f>
        <v>6625.9199999999255</v>
      </c>
      <c r="AY18" s="496"/>
      <c r="AZ18" s="272">
        <f>'[1]September - 2021'!BK18</f>
        <v>65188100</v>
      </c>
      <c r="BA18" s="179">
        <f>'[1]September - 2021'!BL18</f>
        <v>70400</v>
      </c>
      <c r="BB18" s="93">
        <f>'[1]September - 2021'!BL18</f>
        <v>70400</v>
      </c>
      <c r="BC18" s="272">
        <f>'[1]September - 2021'!BN18</f>
        <v>67554300</v>
      </c>
      <c r="BD18" s="245">
        <f>'[1]September - 2021'!BO18</f>
        <v>100</v>
      </c>
      <c r="BE18" s="93">
        <f>'[1]September - 2021'!BO18</f>
        <v>100</v>
      </c>
      <c r="BF18" s="272">
        <f>'[1]September - 2021'!BQ18</f>
        <v>62598400</v>
      </c>
      <c r="BG18" s="245">
        <f>'[1]September - 2021'!BR18</f>
        <v>60300</v>
      </c>
      <c r="BH18" s="93">
        <f>'[1]September - 2021'!BR18</f>
        <v>60300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- 2021'!BT18</f>
        <v>7084540</v>
      </c>
      <c r="BT18" s="185">
        <f>'[1]September - 2021'!BU18</f>
        <v>5660</v>
      </c>
      <c r="BU18" s="592"/>
      <c r="BV18" s="88">
        <f>'[1]September - 2021'!BW18</f>
        <v>0.72</v>
      </c>
      <c r="BW18" s="241">
        <f>'[1]September - 2021'!BX18</f>
        <v>4.0000000000000036E-2</v>
      </c>
      <c r="BX18" s="88">
        <f>'[1]September - 2021'!BX18</f>
        <v>4.0000000000000036E-2</v>
      </c>
      <c r="BY18" s="89">
        <f>'[1]September - 2021'!BZ18</f>
        <v>55402</v>
      </c>
      <c r="BZ18" s="191">
        <f>'[1]September - 2021'!CA18</f>
        <v>17</v>
      </c>
      <c r="CA18" s="89">
        <f>'[1]September - 2021'!CB18</f>
        <v>46908</v>
      </c>
      <c r="CB18" s="191">
        <f>'[1]September - 2021'!CC18</f>
        <v>16</v>
      </c>
      <c r="CC18" s="89">
        <f>'[1]September - 2021'!CD18</f>
        <v>16210</v>
      </c>
      <c r="CD18" s="191">
        <f>'[1]September - 2021'!CE18</f>
        <v>6</v>
      </c>
      <c r="CE18" s="89">
        <f>'[1]September - 2021'!CF18</f>
        <v>21121</v>
      </c>
      <c r="CF18" s="191">
        <f>'[1]September - 2021'!CG18</f>
        <v>9</v>
      </c>
      <c r="CG18" s="89">
        <f>'[1]September - 2021'!CH18</f>
        <v>22884</v>
      </c>
      <c r="CH18" s="191">
        <f>'[1]September - 2021'!CI18</f>
        <v>11</v>
      </c>
      <c r="CI18" s="89">
        <f>'[1]September - 2021'!CJ18</f>
        <v>51017</v>
      </c>
      <c r="CJ18" s="191">
        <f>'[1]September - 2021'!CK18</f>
        <v>25</v>
      </c>
      <c r="CK18" s="89">
        <f>'[1]September - 2021'!CL18</f>
        <v>225397</v>
      </c>
      <c r="CL18" s="246">
        <f>'[1]September - 2021'!CM18</f>
        <v>88</v>
      </c>
      <c r="CM18" s="89">
        <f>'[1]September - 2021'!CM18</f>
        <v>88</v>
      </c>
      <c r="CN18" s="89">
        <f>'[1]September - 2021'!CO18</f>
        <v>171534</v>
      </c>
      <c r="CO18" s="246">
        <f>'[1]September - 2021'!CP18</f>
        <v>68</v>
      </c>
      <c r="CP18" s="89">
        <f>'[1]September - 2021'!CP18</f>
        <v>68</v>
      </c>
      <c r="CQ18" s="89">
        <f>'[1]September - 2021'!CR18</f>
        <v>308195</v>
      </c>
      <c r="CR18" s="246">
        <f>'[1]September - 2021'!CS18</f>
        <v>0</v>
      </c>
      <c r="CS18" s="89">
        <f>'[1]September - 2021'!CS18</f>
        <v>0</v>
      </c>
      <c r="CT18" s="89">
        <f>'[1]September - 2021'!CU18</f>
        <v>599869</v>
      </c>
      <c r="CU18" s="191">
        <f>'[1]September - 2021'!CV18</f>
        <v>221</v>
      </c>
      <c r="CV18" s="520"/>
      <c r="CW18" s="256">
        <f>'[1]September - 2021'!CX18</f>
        <v>5652</v>
      </c>
      <c r="CX18" s="198">
        <f>'[1]September - 2021'!CY18</f>
        <v>6</v>
      </c>
      <c r="CY18" s="257">
        <f>'[1]September - 2021'!CZ18</f>
        <v>3216</v>
      </c>
      <c r="CZ18" s="198">
        <f>'[1]September - 2021'!DA18</f>
        <v>5</v>
      </c>
      <c r="DA18" s="257">
        <f>'[1]September - 2021'!DB18</f>
        <v>25383</v>
      </c>
      <c r="DB18" s="198">
        <f>'[1]September - 2021'!DC18</f>
        <v>13</v>
      </c>
      <c r="DC18" s="257">
        <f>'[1]September - 2021'!DD18</f>
        <v>26062</v>
      </c>
      <c r="DD18" s="198">
        <f>'[1]September - 2021'!DE18</f>
        <v>18</v>
      </c>
      <c r="DE18" s="257">
        <f>'[1]September - 2021'!DF18</f>
        <v>17921</v>
      </c>
      <c r="DF18" s="198">
        <f>'[1]September - 2021'!DG18</f>
        <v>7</v>
      </c>
      <c r="DG18" s="257">
        <f>'[1]September - 2021'!DH18</f>
        <v>21001</v>
      </c>
      <c r="DH18" s="198">
        <f>'[1]September - 2021'!DI18</f>
        <v>7</v>
      </c>
      <c r="DI18" s="257">
        <f>'[1]September - 2021'!DJ18</f>
        <v>2454</v>
      </c>
      <c r="DJ18" s="198">
        <f>'[1]September - 2021'!DK18</f>
        <v>9</v>
      </c>
      <c r="DK18" s="257">
        <f>'[1]September - 2021'!DL18</f>
        <v>5647</v>
      </c>
      <c r="DL18" s="198">
        <f>'[1]September - 2021'!DM18</f>
        <v>15</v>
      </c>
      <c r="DM18" s="257">
        <f>'[1]September - 2021'!DN18</f>
        <v>1333</v>
      </c>
      <c r="DN18" s="198">
        <f>'[1]September - 2021'!DO18</f>
        <v>9</v>
      </c>
      <c r="DO18" s="257">
        <f>'[1]September - 2021'!DP18</f>
        <v>2930</v>
      </c>
      <c r="DP18" s="198">
        <f>'[1]September - 2021'!DQ18</f>
        <v>5</v>
      </c>
      <c r="DQ18" s="257">
        <f>'[1]September - 2021'!DR18</f>
        <v>25881</v>
      </c>
      <c r="DR18" s="206">
        <f>'[1]September - 2021'!DS18</f>
        <v>12</v>
      </c>
      <c r="DS18" s="536"/>
      <c r="DT18" s="210">
        <f>'[1]September - 2021'!DU18</f>
        <v>2247.4</v>
      </c>
      <c r="DU18" s="221">
        <f>'[1]September - 2021'!DV18</f>
        <v>10.5</v>
      </c>
      <c r="DV18" s="91">
        <f>'[1]September - 2021'!DW18</f>
        <v>7498.9</v>
      </c>
      <c r="DW18" s="215">
        <f>'[1]September - 2021'!DX18</f>
        <v>8.0999999999994543</v>
      </c>
      <c r="DX18" s="91">
        <f>'[1]September - 2021'!DY18</f>
        <v>1691.8</v>
      </c>
      <c r="DY18" s="215">
        <f>'[1]September - 2021'!DZ18</f>
        <v>8.2999999999999545</v>
      </c>
      <c r="DZ18" s="91">
        <f>'[1]September - 2021'!EA18</f>
        <v>1589.3</v>
      </c>
      <c r="EA18" s="215">
        <f>'[1]September - 2021'!EB18</f>
        <v>10.899999999999864</v>
      </c>
      <c r="EB18" s="91">
        <f>'[1]September - 2021'!EC18</f>
        <v>810677</v>
      </c>
      <c r="EC18" s="215">
        <f>'[1]September - 2021'!ED18</f>
        <v>787</v>
      </c>
      <c r="ED18" s="91">
        <f>'[1]September - 2021'!EG18</f>
        <v>162430.6</v>
      </c>
      <c r="EE18" s="229">
        <f>'[1]September - 2021'!EH18</f>
        <v>159.80000000001746</v>
      </c>
      <c r="EF18" s="583"/>
      <c r="EG18" s="235">
        <f>'[1]September - 2021'!EJ18</f>
        <v>9896400</v>
      </c>
      <c r="EH18" s="230">
        <f>'[1]September - 2021'!EK18</f>
        <v>9100</v>
      </c>
      <c r="EI18" s="90">
        <f>'[1]September - 2021'!EL18</f>
        <v>793280</v>
      </c>
      <c r="EJ18" s="230">
        <f>'[1]September - 2021'!EM18</f>
        <v>440</v>
      </c>
      <c r="EK18" s="90">
        <f>'[1]September - 2021'!EN18</f>
        <v>6165900</v>
      </c>
      <c r="EL18" s="230">
        <f>'[1]September - 2021'!EO18</f>
        <v>3700</v>
      </c>
      <c r="EM18" s="90">
        <f>'[1]September - 2021'!EP18</f>
        <v>2179700</v>
      </c>
      <c r="EN18" s="230">
        <f>'[1]September - 2021'!EQ18</f>
        <v>1500</v>
      </c>
      <c r="EO18" s="90">
        <f>'[1]September - 2021'!ER18</f>
        <v>922200</v>
      </c>
      <c r="EP18" s="230">
        <f>'[1]September - 2021'!ES18</f>
        <v>960</v>
      </c>
      <c r="EQ18" s="90">
        <f>'[1]September - 2021'!ET18</f>
        <v>13702700</v>
      </c>
      <c r="ER18" s="230">
        <f>'[1]September - 2021'!EU18</f>
        <v>10700</v>
      </c>
      <c r="ES18" s="558"/>
      <c r="ET18" s="284">
        <f>'[1]September - 2021'!EW18</f>
        <v>36142</v>
      </c>
      <c r="EU18" s="278">
        <f>'[1]September - 2021'!EX18</f>
        <v>14</v>
      </c>
      <c r="EV18" s="285">
        <f>'[1]September - 2021'!EY18</f>
        <v>31252</v>
      </c>
      <c r="EW18" s="278">
        <f>'[1]September - 2021'!EZ18</f>
        <v>17</v>
      </c>
      <c r="EX18" s="285">
        <f>'[1]September - 2021'!FA18</f>
        <v>2358</v>
      </c>
      <c r="EY18" s="278">
        <f>'[1]September - 2021'!FB18</f>
        <v>10</v>
      </c>
      <c r="EZ18" s="285">
        <f>'[1]September - 2021'!FC18</f>
        <v>52515</v>
      </c>
      <c r="FA18" s="278">
        <f>'[1]September - 2021'!FD18</f>
        <v>17</v>
      </c>
      <c r="FB18" s="285">
        <f>'[1]September - 2021'!FE18</f>
        <v>34948</v>
      </c>
      <c r="FC18" s="279">
        <f>'[1]September - 2021'!FF18</f>
        <v>28</v>
      </c>
    </row>
    <row r="19" spans="1:159" ht="30" customHeight="1" x14ac:dyDescent="0.25">
      <c r="A19" s="207">
        <v>43840</v>
      </c>
      <c r="B19" s="209">
        <f>'[1]September - 2021'!B19</f>
        <v>0.68</v>
      </c>
      <c r="C19" s="250">
        <f>'[1]September - 2021'!E19</f>
        <v>856060</v>
      </c>
      <c r="D19" s="170">
        <f>'[1]September - 2021'!F19</f>
        <v>829</v>
      </c>
      <c r="E19" s="168">
        <f>'[1]September - 2021'!G19</f>
        <v>561</v>
      </c>
      <c r="F19" s="168">
        <f>'[1]September - 2021'!H19</f>
        <v>54644</v>
      </c>
      <c r="G19" s="170">
        <f>'[1]September - 2021'!I19</f>
        <v>340</v>
      </c>
      <c r="H19" s="168">
        <f>'[1]September - 2021'!J19</f>
        <v>276</v>
      </c>
      <c r="I19" s="168">
        <f>'[1]September - 2021'!K19</f>
        <v>164625</v>
      </c>
      <c r="J19" s="170">
        <f>'[1]September - 2021'!L19</f>
        <v>0</v>
      </c>
      <c r="K19" s="168">
        <f>'[1]September - 2021'!N19</f>
        <v>792213</v>
      </c>
      <c r="L19" s="170">
        <f>'[1]September - 2021'!O19</f>
        <v>389</v>
      </c>
      <c r="M19" s="168">
        <f>'[1]September - 2021'!Q19</f>
        <v>179901</v>
      </c>
      <c r="N19" s="170">
        <f>'[1]September - 2021'!R19</f>
        <v>169</v>
      </c>
      <c r="O19" s="168">
        <f>'[1]September - 2021'!S19</f>
        <v>36502.370000000003</v>
      </c>
      <c r="P19" s="170">
        <f>'[1]September - 2021'!T19</f>
        <v>303.20999999999913</v>
      </c>
      <c r="Q19" s="168">
        <f>'[1]September - 2021'!U19</f>
        <v>189</v>
      </c>
      <c r="R19" s="168">
        <f>'[1]September - 2021'!V19</f>
        <v>1339</v>
      </c>
      <c r="S19" s="208">
        <f>'[1]September - 2021'!W19</f>
        <v>49</v>
      </c>
      <c r="T19" s="479"/>
      <c r="U19" s="169">
        <f>'[1]September - 2021'!AC19</f>
        <v>6909129.3599999994</v>
      </c>
      <c r="V19" s="291">
        <f>'[1]September - 2021'!AD19</f>
        <v>2338.5599999995902</v>
      </c>
      <c r="W19" s="92">
        <f>'[1]September - 2021'!AD19</f>
        <v>2338.5599999995902</v>
      </c>
      <c r="X19" s="290">
        <f>'[1]September - 2021'!AF19</f>
        <v>13325358.48</v>
      </c>
      <c r="Y19" s="291">
        <f>'[1]September - 2021'!AG19</f>
        <v>4433.5200000014156</v>
      </c>
      <c r="Z19" s="92">
        <f>'[1]September - 2021'!AG19</f>
        <v>4433.5200000014156</v>
      </c>
      <c r="AA19" s="290">
        <f>'[1]September - 2021'!AI19</f>
        <v>13136568.48</v>
      </c>
      <c r="AB19" s="291">
        <f>'[1]September - 2021'!AJ19</f>
        <v>14616</v>
      </c>
      <c r="AC19" s="92">
        <f>'[1]September - 2021'!AJ19</f>
        <v>14616</v>
      </c>
      <c r="AD19" s="290">
        <f>'[1]September - 2021'!AL19</f>
        <v>16110339.839999998</v>
      </c>
      <c r="AE19" s="291">
        <f>'[1]September - 2021'!AM19</f>
        <v>1705.1999999992549</v>
      </c>
      <c r="AF19" s="92">
        <f>'[1]September - 2021'!AM19</f>
        <v>1705.1999999992549</v>
      </c>
      <c r="AG19" s="290">
        <f>'[1]September - 2021'!AO19</f>
        <v>16565141.039999999</v>
      </c>
      <c r="AH19" s="291">
        <f>'[1]September - 2021'!AP19</f>
        <v>15249.359999999404</v>
      </c>
      <c r="AI19" s="92">
        <f>'[1]September - 2021'!AP19</f>
        <v>15249.359999999404</v>
      </c>
      <c r="AJ19" s="290">
        <f>'[1]September - 2021'!AR19</f>
        <v>14953629.6</v>
      </c>
      <c r="AK19" s="291">
        <f>'[1]September - 2021'!AS19</f>
        <v>5456.640000000596</v>
      </c>
      <c r="AL19" s="92">
        <f>'[1]September - 2021'!AS19</f>
        <v>5456.640000000596</v>
      </c>
      <c r="AM19" s="290">
        <f>'[1]September - 2021'!AU19</f>
        <v>12754506.24</v>
      </c>
      <c r="AN19" s="291">
        <f>'[1]September - 2021'!AV19</f>
        <v>4774.5600000005215</v>
      </c>
      <c r="AO19" s="92">
        <f>'[1]September - 2021'!AV19</f>
        <v>4774.5600000005215</v>
      </c>
      <c r="AP19" s="290">
        <f>'[1]September - 2021'!AX19</f>
        <v>12287378.880000001</v>
      </c>
      <c r="AQ19" s="291">
        <f>'[1]September - 2021'!AY19</f>
        <v>3946.3200000021607</v>
      </c>
      <c r="AR19" s="92">
        <f>'[1]September - 2021'!AY19</f>
        <v>3946.3200000021607</v>
      </c>
      <c r="AS19" s="290">
        <f>'[1]September - 2021'!BA19</f>
        <v>9801538.3199999984</v>
      </c>
      <c r="AT19" s="291">
        <f>'[1]September - 2021'!BB19</f>
        <v>2874.4799999985844</v>
      </c>
      <c r="AU19" s="92">
        <f>'[1]September - 2021'!BB19</f>
        <v>2874.4799999985844</v>
      </c>
      <c r="AV19" s="290">
        <f>'[1]September - 2021'!BD19</f>
        <v>15115721.039999999</v>
      </c>
      <c r="AW19" s="252">
        <f>'[1]September - 2021'!BE19</f>
        <v>6869.519999999553</v>
      </c>
      <c r="AX19" s="253">
        <f>'[1]September - 2021'!BE19</f>
        <v>6869.519999999553</v>
      </c>
      <c r="AY19" s="496"/>
      <c r="AZ19" s="272">
        <f>'[1]September - 2021'!BK19</f>
        <v>65260800</v>
      </c>
      <c r="BA19" s="179">
        <f>'[1]September - 2021'!BL19</f>
        <v>72700</v>
      </c>
      <c r="BB19" s="93">
        <f>'[1]September - 2021'!BL19</f>
        <v>72700</v>
      </c>
      <c r="BC19" s="272">
        <f>'[1]September - 2021'!BN19</f>
        <v>67554300</v>
      </c>
      <c r="BD19" s="245">
        <f>'[1]September - 2021'!BO19</f>
        <v>0</v>
      </c>
      <c r="BE19" s="93">
        <f>'[1]September - 2021'!BO19</f>
        <v>0</v>
      </c>
      <c r="BF19" s="272">
        <f>'[1]September - 2021'!BQ19</f>
        <v>62664200</v>
      </c>
      <c r="BG19" s="245">
        <f>'[1]September - 2021'!BR19</f>
        <v>65800</v>
      </c>
      <c r="BH19" s="93">
        <f>'[1]September - 2021'!BR19</f>
        <v>65800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- 2021'!BT19</f>
        <v>7091010</v>
      </c>
      <c r="BT19" s="185">
        <f>'[1]September - 2021'!BU19</f>
        <v>6470</v>
      </c>
      <c r="BU19" s="592"/>
      <c r="BV19" s="88">
        <f>'[1]September - 2021'!BW19</f>
        <v>0.69</v>
      </c>
      <c r="BW19" s="241">
        <f>'[1]September - 2021'!BX19</f>
        <v>3.0000000000000027E-2</v>
      </c>
      <c r="BX19" s="88">
        <f>'[1]September - 2021'!BX19</f>
        <v>3.0000000000000027E-2</v>
      </c>
      <c r="BY19" s="89">
        <f>'[1]September - 2021'!BZ19</f>
        <v>55420</v>
      </c>
      <c r="BZ19" s="191">
        <f>'[1]September - 2021'!CA19</f>
        <v>18</v>
      </c>
      <c r="CA19" s="89">
        <f>'[1]September - 2021'!CB19</f>
        <v>46923</v>
      </c>
      <c r="CB19" s="191">
        <f>'[1]September - 2021'!CC19</f>
        <v>15</v>
      </c>
      <c r="CC19" s="89">
        <f>'[1]September - 2021'!CD19</f>
        <v>16216</v>
      </c>
      <c r="CD19" s="191">
        <f>'[1]September - 2021'!CE19</f>
        <v>6</v>
      </c>
      <c r="CE19" s="89">
        <f>'[1]September - 2021'!CF19</f>
        <v>21131</v>
      </c>
      <c r="CF19" s="191">
        <f>'[1]September - 2021'!CG19</f>
        <v>10</v>
      </c>
      <c r="CG19" s="89">
        <f>'[1]September - 2021'!CH19</f>
        <v>22893</v>
      </c>
      <c r="CH19" s="191">
        <f>'[1]September - 2021'!CI19</f>
        <v>9</v>
      </c>
      <c r="CI19" s="89">
        <f>'[1]September - 2021'!CJ19</f>
        <v>51042</v>
      </c>
      <c r="CJ19" s="191">
        <f>'[1]September - 2021'!CK19</f>
        <v>25</v>
      </c>
      <c r="CK19" s="89">
        <f>'[1]September - 2021'!CL19</f>
        <v>225488</v>
      </c>
      <c r="CL19" s="246">
        <f>'[1]September - 2021'!CM19</f>
        <v>91</v>
      </c>
      <c r="CM19" s="89">
        <f>'[1]September - 2021'!CM19</f>
        <v>91</v>
      </c>
      <c r="CN19" s="89">
        <f>'[1]September - 2021'!CO19</f>
        <v>171624</v>
      </c>
      <c r="CO19" s="246">
        <f>'[1]September - 2021'!CP19</f>
        <v>90</v>
      </c>
      <c r="CP19" s="89">
        <f>'[1]September - 2021'!CP19</f>
        <v>90</v>
      </c>
      <c r="CQ19" s="89">
        <f>'[1]September - 2021'!CR19</f>
        <v>308195</v>
      </c>
      <c r="CR19" s="246">
        <f>'[1]September - 2021'!CS19</f>
        <v>0</v>
      </c>
      <c r="CS19" s="89">
        <f>'[1]September - 2021'!CS19</f>
        <v>0</v>
      </c>
      <c r="CT19" s="89">
        <f>'[1]September - 2021'!CU19</f>
        <v>600095</v>
      </c>
      <c r="CU19" s="191">
        <f>'[1]September - 2021'!CV19</f>
        <v>226</v>
      </c>
      <c r="CV19" s="520"/>
      <c r="CW19" s="256">
        <f>'[1]September - 2021'!CX19</f>
        <v>5662</v>
      </c>
      <c r="CX19" s="198">
        <f>'[1]September - 2021'!CY19</f>
        <v>10</v>
      </c>
      <c r="CY19" s="257">
        <f>'[1]September - 2021'!CZ19</f>
        <v>3222</v>
      </c>
      <c r="CZ19" s="198">
        <f>'[1]September - 2021'!DA19</f>
        <v>6</v>
      </c>
      <c r="DA19" s="257">
        <f>'[1]September - 2021'!DB19</f>
        <v>25397</v>
      </c>
      <c r="DB19" s="198">
        <f>'[1]September - 2021'!DC19</f>
        <v>14</v>
      </c>
      <c r="DC19" s="257">
        <f>'[1]September - 2021'!DD19</f>
        <v>26083</v>
      </c>
      <c r="DD19" s="198">
        <f>'[1]September - 2021'!DE19</f>
        <v>21</v>
      </c>
      <c r="DE19" s="257">
        <f>'[1]September - 2021'!DF19</f>
        <v>17929</v>
      </c>
      <c r="DF19" s="198">
        <f>'[1]September - 2021'!DG19</f>
        <v>8</v>
      </c>
      <c r="DG19" s="257">
        <f>'[1]September - 2021'!DH19</f>
        <v>21014</v>
      </c>
      <c r="DH19" s="198">
        <f>'[1]September - 2021'!DI19</f>
        <v>13</v>
      </c>
      <c r="DI19" s="257">
        <f>'[1]September - 2021'!DJ19</f>
        <v>2465</v>
      </c>
      <c r="DJ19" s="198">
        <f>'[1]September - 2021'!DK19</f>
        <v>11</v>
      </c>
      <c r="DK19" s="257">
        <f>'[1]September - 2021'!DL19</f>
        <v>5663</v>
      </c>
      <c r="DL19" s="198">
        <f>'[1]September - 2021'!DM19</f>
        <v>16</v>
      </c>
      <c r="DM19" s="257">
        <f>'[1]September - 2021'!DN19</f>
        <v>1342</v>
      </c>
      <c r="DN19" s="198">
        <f>'[1]September - 2021'!DO19</f>
        <v>9</v>
      </c>
      <c r="DO19" s="257">
        <f>'[1]September - 2021'!DP19</f>
        <v>2934</v>
      </c>
      <c r="DP19" s="198">
        <f>'[1]September - 2021'!DQ19</f>
        <v>4</v>
      </c>
      <c r="DQ19" s="257">
        <f>'[1]September - 2021'!DR19</f>
        <v>25892</v>
      </c>
      <c r="DR19" s="206">
        <f>'[1]September - 2021'!DS19</f>
        <v>11</v>
      </c>
      <c r="DS19" s="536"/>
      <c r="DT19" s="210">
        <f>'[1]September - 2021'!DU19</f>
        <v>2258.1999999999998</v>
      </c>
      <c r="DU19" s="221">
        <f>'[1]September - 2021'!DV19</f>
        <v>10.799999999999727</v>
      </c>
      <c r="DV19" s="91">
        <f>'[1]September - 2021'!DW19</f>
        <v>7507.2</v>
      </c>
      <c r="DW19" s="215">
        <f>'[1]September - 2021'!DX19</f>
        <v>8.3000000000001819</v>
      </c>
      <c r="DX19" s="91">
        <f>'[1]September - 2021'!DY19</f>
        <v>1700</v>
      </c>
      <c r="DY19" s="215">
        <f>'[1]September - 2021'!DZ19</f>
        <v>8.2000000000000455</v>
      </c>
      <c r="DZ19" s="91">
        <f>'[1]September - 2021'!EA19</f>
        <v>1601.7</v>
      </c>
      <c r="EA19" s="215">
        <f>'[1]September - 2021'!EB19</f>
        <v>12.400000000000091</v>
      </c>
      <c r="EB19" s="91">
        <f>'[1]September - 2021'!EC19</f>
        <v>811521</v>
      </c>
      <c r="EC19" s="215">
        <f>'[1]September - 2021'!ED19</f>
        <v>844</v>
      </c>
      <c r="ED19" s="91">
        <f>'[1]September - 2021'!EG19</f>
        <v>162588.70000000001</v>
      </c>
      <c r="EE19" s="229">
        <f>'[1]September - 2021'!EH19</f>
        <v>158.10000000000582</v>
      </c>
      <c r="EF19" s="583"/>
      <c r="EG19" s="235">
        <f>'[1]September - 2021'!EJ19</f>
        <v>9906400</v>
      </c>
      <c r="EH19" s="230">
        <f>'[1]September - 2021'!EK19</f>
        <v>10000</v>
      </c>
      <c r="EI19" s="90">
        <f>'[1]September - 2021'!EL19</f>
        <v>793790</v>
      </c>
      <c r="EJ19" s="230">
        <f>'[1]September - 2021'!EM19</f>
        <v>510</v>
      </c>
      <c r="EK19" s="90">
        <f>'[1]September - 2021'!EN19</f>
        <v>6170100</v>
      </c>
      <c r="EL19" s="230">
        <f>'[1]September - 2021'!EO19</f>
        <v>4200</v>
      </c>
      <c r="EM19" s="90">
        <f>'[1]September - 2021'!EP19</f>
        <v>2181200</v>
      </c>
      <c r="EN19" s="230">
        <f>'[1]September - 2021'!EQ19</f>
        <v>1500</v>
      </c>
      <c r="EO19" s="90">
        <f>'[1]September - 2021'!ER19</f>
        <v>923330</v>
      </c>
      <c r="EP19" s="230">
        <f>'[1]September - 2021'!ES19</f>
        <v>1130</v>
      </c>
      <c r="EQ19" s="90">
        <f>'[1]September - 2021'!ET19</f>
        <v>13713900</v>
      </c>
      <c r="ER19" s="230">
        <f>'[1]September - 2021'!EU19</f>
        <v>11200</v>
      </c>
      <c r="ES19" s="558"/>
      <c r="ET19" s="284">
        <f>'[1]September - 2021'!EW19</f>
        <v>36158</v>
      </c>
      <c r="EU19" s="278">
        <f>'[1]September - 2021'!EX19</f>
        <v>16</v>
      </c>
      <c r="EV19" s="285">
        <f>'[1]September - 2021'!EY19</f>
        <v>31267</v>
      </c>
      <c r="EW19" s="278">
        <f>'[1]September - 2021'!EZ19</f>
        <v>15</v>
      </c>
      <c r="EX19" s="285">
        <f>'[1]September - 2021'!FA19</f>
        <v>2374</v>
      </c>
      <c r="EY19" s="278">
        <f>'[1]September - 2021'!FB19</f>
        <v>16</v>
      </c>
      <c r="EZ19" s="285">
        <f>'[1]September - 2021'!FC19</f>
        <v>52530</v>
      </c>
      <c r="FA19" s="278">
        <f>'[1]September - 2021'!FD19</f>
        <v>15</v>
      </c>
      <c r="FB19" s="285">
        <f>'[1]September - 2021'!FE19</f>
        <v>34976</v>
      </c>
      <c r="FC19" s="279">
        <f>'[1]September - 2021'!FF19</f>
        <v>28</v>
      </c>
    </row>
    <row r="20" spans="1:159" ht="30" customHeight="1" x14ac:dyDescent="0.25">
      <c r="A20" s="207">
        <v>43841</v>
      </c>
      <c r="B20" s="209">
        <f>'[1]September - 2021'!B20</f>
        <v>0.48</v>
      </c>
      <c r="C20" s="250">
        <f>'[1]September - 2021'!E20</f>
        <v>856809</v>
      </c>
      <c r="D20" s="170">
        <f>'[1]September - 2021'!F20</f>
        <v>749</v>
      </c>
      <c r="E20" s="168">
        <f>'[1]September - 2021'!G20</f>
        <v>580</v>
      </c>
      <c r="F20" s="168">
        <f>'[1]September - 2021'!H20</f>
        <v>54916</v>
      </c>
      <c r="G20" s="170">
        <f>'[1]September - 2021'!I20</f>
        <v>272</v>
      </c>
      <c r="H20" s="168">
        <f>'[1]September - 2021'!J20</f>
        <v>326</v>
      </c>
      <c r="I20" s="168">
        <f>'[1]September - 2021'!K20</f>
        <v>164625</v>
      </c>
      <c r="J20" s="170">
        <f>'[1]September - 2021'!L20</f>
        <v>0</v>
      </c>
      <c r="K20" s="168">
        <f>'[1]September - 2021'!N20</f>
        <v>792608</v>
      </c>
      <c r="L20" s="170">
        <f>'[1]September - 2021'!O20</f>
        <v>395</v>
      </c>
      <c r="M20" s="168">
        <f>'[1]September - 2021'!Q20</f>
        <v>180056</v>
      </c>
      <c r="N20" s="170">
        <f>'[1]September - 2021'!R20</f>
        <v>155</v>
      </c>
      <c r="O20" s="168">
        <f>'[1]September - 2021'!S20</f>
        <v>36789.47</v>
      </c>
      <c r="P20" s="170">
        <f>'[1]September - 2021'!T20</f>
        <v>287.09999999999854</v>
      </c>
      <c r="Q20" s="168">
        <f>'[1]September - 2021'!U20</f>
        <v>185</v>
      </c>
      <c r="R20" s="168">
        <f>'[1]September - 2021'!V20</f>
        <v>1383</v>
      </c>
      <c r="S20" s="208">
        <f>'[1]September - 2021'!W20</f>
        <v>44</v>
      </c>
      <c r="T20" s="479"/>
      <c r="U20" s="169">
        <f>'[1]September - 2021'!AC20</f>
        <v>6912393.5999999996</v>
      </c>
      <c r="V20" s="291">
        <f>'[1]September - 2021'!AD20</f>
        <v>3264.2400000002235</v>
      </c>
      <c r="W20" s="92">
        <f>'[1]September - 2021'!AD20</f>
        <v>3264.2400000002235</v>
      </c>
      <c r="X20" s="290">
        <f>'[1]September - 2021'!AF20</f>
        <v>13330279.199999999</v>
      </c>
      <c r="Y20" s="291">
        <f>'[1]September - 2021'!AG20</f>
        <v>4920.7199999988079</v>
      </c>
      <c r="Z20" s="92">
        <f>'[1]September - 2021'!AG20</f>
        <v>4920.7199999988079</v>
      </c>
      <c r="AA20" s="290">
        <f>'[1]September - 2021'!AI20</f>
        <v>13150502.4</v>
      </c>
      <c r="AB20" s="291">
        <f>'[1]September - 2021'!AJ20</f>
        <v>13933.919999999925</v>
      </c>
      <c r="AC20" s="92">
        <f>'[1]September - 2021'!AJ20</f>
        <v>13933.919999999925</v>
      </c>
      <c r="AD20" s="290">
        <f>'[1]September - 2021'!AL20</f>
        <v>16122909.6</v>
      </c>
      <c r="AE20" s="291">
        <f>'[1]September - 2021'!AM20</f>
        <v>12569.760000001639</v>
      </c>
      <c r="AF20" s="92">
        <f>'[1]September - 2021'!AM20</f>
        <v>12569.760000001639</v>
      </c>
      <c r="AG20" s="290">
        <f>'[1]September - 2021'!AO20</f>
        <v>16566748.799999999</v>
      </c>
      <c r="AH20" s="291">
        <f>'[1]September - 2021'!AP20</f>
        <v>1607.7599999997765</v>
      </c>
      <c r="AI20" s="92">
        <f>'[1]September - 2021'!AP20</f>
        <v>1607.7599999997765</v>
      </c>
      <c r="AJ20" s="290">
        <f>'[1]September - 2021'!AR20</f>
        <v>14959476</v>
      </c>
      <c r="AK20" s="291">
        <f>'[1]September - 2021'!AS20</f>
        <v>5846.4000000003725</v>
      </c>
      <c r="AL20" s="92">
        <f>'[1]September - 2021'!AS20</f>
        <v>5846.4000000003725</v>
      </c>
      <c r="AM20" s="290">
        <f>'[1]September - 2021'!AU20</f>
        <v>12759280.799999999</v>
      </c>
      <c r="AN20" s="291">
        <f>'[1]September - 2021'!AV20</f>
        <v>4774.5599999986589</v>
      </c>
      <c r="AO20" s="92">
        <f>'[1]September - 2021'!AV20</f>
        <v>4774.5599999986589</v>
      </c>
      <c r="AP20" s="290">
        <f>'[1]September - 2021'!AX20</f>
        <v>12291081.6</v>
      </c>
      <c r="AQ20" s="291">
        <f>'[1]September - 2021'!AY20</f>
        <v>3702.7199999988079</v>
      </c>
      <c r="AR20" s="92">
        <f>'[1]September - 2021'!AY20</f>
        <v>3702.7199999988079</v>
      </c>
      <c r="AS20" s="290">
        <f>'[1]September - 2021'!BA20</f>
        <v>9804412.7999999989</v>
      </c>
      <c r="AT20" s="292">
        <f>'[1]September - 2021'!BB20</f>
        <v>2874.480000000447</v>
      </c>
      <c r="AU20" s="92">
        <f>'[1]September - 2021'!BB20</f>
        <v>2874.480000000447</v>
      </c>
      <c r="AV20" s="290">
        <f>'[1]September - 2021'!BD20</f>
        <v>15122200.799999999</v>
      </c>
      <c r="AW20" s="252">
        <f>'[1]September - 2021'!BE20</f>
        <v>6479.7599999997765</v>
      </c>
      <c r="AX20" s="253">
        <f>'[1]September - 2021'!BE20</f>
        <v>6479.7599999997765</v>
      </c>
      <c r="AY20" s="496"/>
      <c r="AZ20" s="272">
        <f>'[1]September - 2021'!BK20</f>
        <v>65328400</v>
      </c>
      <c r="BA20" s="179">
        <f>'[1]September - 2021'!BL20</f>
        <v>67600</v>
      </c>
      <c r="BB20" s="93">
        <f>'[1]September - 2021'!BL20</f>
        <v>67600</v>
      </c>
      <c r="BC20" s="272">
        <f>'[1]September - 2021'!BN20</f>
        <v>67614400</v>
      </c>
      <c r="BD20" s="245">
        <f>'[1]September - 2021'!BO20</f>
        <v>60100</v>
      </c>
      <c r="BE20" s="93">
        <f>'[1]September - 2021'!BO20</f>
        <v>60100</v>
      </c>
      <c r="BF20" s="272">
        <f>'[1]September - 2021'!BQ20</f>
        <v>62666400</v>
      </c>
      <c r="BG20" s="245">
        <f>'[1]September - 2021'!BR20</f>
        <v>2200</v>
      </c>
      <c r="BH20" s="93">
        <f>'[1]September - 2021'!BR20</f>
        <v>2200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- 2021'!BT20</f>
        <v>7096880</v>
      </c>
      <c r="BT20" s="185">
        <f>'[1]September - 2021'!BU20</f>
        <v>5870</v>
      </c>
      <c r="BU20" s="592"/>
      <c r="BV20" s="88">
        <f>'[1]September - 2021'!BW20</f>
        <v>0.65</v>
      </c>
      <c r="BW20" s="241">
        <f>'[1]September - 2021'!BX20</f>
        <v>3.9999999999999925E-2</v>
      </c>
      <c r="BX20" s="88">
        <f>'[1]September - 2021'!BX20</f>
        <v>3.9999999999999925E-2</v>
      </c>
      <c r="BY20" s="89">
        <f>'[1]September - 2021'!BZ20</f>
        <v>55437</v>
      </c>
      <c r="BZ20" s="191">
        <f>'[1]September - 2021'!CA20</f>
        <v>17</v>
      </c>
      <c r="CA20" s="89">
        <f>'[1]September - 2021'!CB20</f>
        <v>46937</v>
      </c>
      <c r="CB20" s="191">
        <f>'[1]September - 2021'!CC20</f>
        <v>14</v>
      </c>
      <c r="CC20" s="89">
        <f>'[1]September - 2021'!CD20</f>
        <v>16222</v>
      </c>
      <c r="CD20" s="191">
        <f>'[1]September - 2021'!CE20</f>
        <v>6</v>
      </c>
      <c r="CE20" s="89">
        <f>'[1]September - 2021'!CF20</f>
        <v>21140</v>
      </c>
      <c r="CF20" s="191">
        <f>'[1]September - 2021'!CG20</f>
        <v>9</v>
      </c>
      <c r="CG20" s="89">
        <f>'[1]September - 2021'!CH20</f>
        <v>22904</v>
      </c>
      <c r="CH20" s="191">
        <f>'[1]September - 2021'!CI20</f>
        <v>11</v>
      </c>
      <c r="CI20" s="89">
        <f>'[1]September - 2021'!CJ20</f>
        <v>51068</v>
      </c>
      <c r="CJ20" s="191">
        <f>'[1]September - 2021'!CK20</f>
        <v>26</v>
      </c>
      <c r="CK20" s="89">
        <f>'[1]September - 2021'!CL20</f>
        <v>225586</v>
      </c>
      <c r="CL20" s="246">
        <f>'[1]September - 2021'!CM20</f>
        <v>98</v>
      </c>
      <c r="CM20" s="89">
        <f>'[1]September - 2021'!CM20</f>
        <v>98</v>
      </c>
      <c r="CN20" s="89">
        <f>'[1]September - 2021'!CO20</f>
        <v>171714</v>
      </c>
      <c r="CO20" s="246">
        <f>'[1]September - 2021'!CP20</f>
        <v>90</v>
      </c>
      <c r="CP20" s="89">
        <f>'[1]September - 2021'!CP20</f>
        <v>90</v>
      </c>
      <c r="CQ20" s="89">
        <f>'[1]September - 2021'!CR20</f>
        <v>308195</v>
      </c>
      <c r="CR20" s="246">
        <f>'[1]September - 2021'!CS20</f>
        <v>0</v>
      </c>
      <c r="CS20" s="89">
        <f>'[1]September - 2021'!CS20</f>
        <v>0</v>
      </c>
      <c r="CT20" s="89">
        <f>'[1]September - 2021'!CU20</f>
        <v>600348</v>
      </c>
      <c r="CU20" s="191">
        <f>'[1]September - 2021'!CV20</f>
        <v>253</v>
      </c>
      <c r="CV20" s="520"/>
      <c r="CW20" s="256">
        <f>'[1]September - 2021'!CX20</f>
        <v>5667</v>
      </c>
      <c r="CX20" s="198">
        <f>'[1]September - 2021'!CY20</f>
        <v>5</v>
      </c>
      <c r="CY20" s="257">
        <f>'[1]September - 2021'!CZ20</f>
        <v>3227</v>
      </c>
      <c r="CZ20" s="198">
        <f>'[1]September - 2021'!DA20</f>
        <v>5</v>
      </c>
      <c r="DA20" s="257">
        <f>'[1]September - 2021'!DB20</f>
        <v>25407</v>
      </c>
      <c r="DB20" s="198">
        <f>'[1]September - 2021'!DC20</f>
        <v>10</v>
      </c>
      <c r="DC20" s="257">
        <f>'[1]September - 2021'!DD20</f>
        <v>26098</v>
      </c>
      <c r="DD20" s="198">
        <f>'[1]September - 2021'!DE20</f>
        <v>15</v>
      </c>
      <c r="DE20" s="257">
        <f>'[1]September - 2021'!DF20</f>
        <v>17935</v>
      </c>
      <c r="DF20" s="198">
        <f>'[1]September - 2021'!DG20</f>
        <v>6</v>
      </c>
      <c r="DG20" s="257">
        <f>'[1]September - 2021'!DH20</f>
        <v>21021</v>
      </c>
      <c r="DH20" s="198">
        <f>'[1]September - 2021'!DI20</f>
        <v>7</v>
      </c>
      <c r="DI20" s="257">
        <f>'[1]September - 2021'!DJ20</f>
        <v>2473</v>
      </c>
      <c r="DJ20" s="198">
        <f>'[1]September - 2021'!DK20</f>
        <v>8</v>
      </c>
      <c r="DK20" s="257">
        <f>'[1]September - 2021'!DL20</f>
        <v>5678</v>
      </c>
      <c r="DL20" s="198">
        <f>'[1]September - 2021'!DM20</f>
        <v>15</v>
      </c>
      <c r="DM20" s="257">
        <f>'[1]September - 2021'!DN20</f>
        <v>1350</v>
      </c>
      <c r="DN20" s="198">
        <f>'[1]September - 2021'!DO20</f>
        <v>8</v>
      </c>
      <c r="DO20" s="257">
        <f>'[1]September - 2021'!DP20</f>
        <v>2938</v>
      </c>
      <c r="DP20" s="198">
        <f>'[1]September - 2021'!DQ20</f>
        <v>4</v>
      </c>
      <c r="DQ20" s="257">
        <f>'[1]September - 2021'!DR20</f>
        <v>25898</v>
      </c>
      <c r="DR20" s="206">
        <f>'[1]September - 2021'!DS20</f>
        <v>6</v>
      </c>
      <c r="DS20" s="536"/>
      <c r="DT20" s="210">
        <f>'[1]September - 2021'!DU20</f>
        <v>2266.1999999999998</v>
      </c>
      <c r="DU20" s="221">
        <f>'[1]September - 2021'!DV20</f>
        <v>8</v>
      </c>
      <c r="DV20" s="91">
        <f>'[1]September - 2021'!DW20</f>
        <v>7515.7</v>
      </c>
      <c r="DW20" s="215">
        <f>'[1]September - 2021'!DX20</f>
        <v>8.5</v>
      </c>
      <c r="DX20" s="91">
        <f>'[1]September - 2021'!DY20</f>
        <v>1707.5</v>
      </c>
      <c r="DY20" s="215">
        <f>'[1]September - 2021'!DZ20</f>
        <v>7.5</v>
      </c>
      <c r="DZ20" s="91">
        <f>'[1]September - 2021'!EA20</f>
        <v>1613.5</v>
      </c>
      <c r="EA20" s="215">
        <f>'[1]September - 2021'!EB20</f>
        <v>11.799999999999955</v>
      </c>
      <c r="EB20" s="91">
        <f>'[1]September - 2021'!EC20</f>
        <v>812322</v>
      </c>
      <c r="EC20" s="215">
        <f>'[1]September - 2021'!ED20</f>
        <v>801</v>
      </c>
      <c r="ED20" s="91">
        <f>'[1]September - 2021'!EG20</f>
        <v>162739.9</v>
      </c>
      <c r="EE20" s="229">
        <f>'[1]September - 2021'!EH20</f>
        <v>151.19999999998254</v>
      </c>
      <c r="EF20" s="583"/>
      <c r="EG20" s="235">
        <f>'[1]September - 2021'!EJ20</f>
        <v>9914700</v>
      </c>
      <c r="EH20" s="230">
        <f>'[1]September - 2021'!EK20</f>
        <v>8300</v>
      </c>
      <c r="EI20" s="90">
        <f>'[1]September - 2021'!EL20</f>
        <v>794200</v>
      </c>
      <c r="EJ20" s="230">
        <f>'[1]September - 2021'!EM20</f>
        <v>410</v>
      </c>
      <c r="EK20" s="90">
        <f>'[1]September - 2021'!EN20</f>
        <v>6173600</v>
      </c>
      <c r="EL20" s="230">
        <f>'[1]September - 2021'!EO20</f>
        <v>3500</v>
      </c>
      <c r="EM20" s="90">
        <f>'[1]September - 2021'!EP20</f>
        <v>2182500</v>
      </c>
      <c r="EN20" s="230">
        <f>'[1]September - 2021'!EQ20</f>
        <v>1300</v>
      </c>
      <c r="EO20" s="90">
        <f>'[1]September - 2021'!ER20</f>
        <v>924310</v>
      </c>
      <c r="EP20" s="230">
        <f>'[1]September - 2021'!ES20</f>
        <v>980</v>
      </c>
      <c r="EQ20" s="90">
        <f>'[1]September - 2021'!ET20</f>
        <v>13723100</v>
      </c>
      <c r="ER20" s="230">
        <f>'[1]September - 2021'!EU20</f>
        <v>9200</v>
      </c>
      <c r="ES20" s="558"/>
      <c r="ET20" s="284">
        <f>'[1]September - 2021'!EW20</f>
        <v>36172</v>
      </c>
      <c r="EU20" s="278">
        <f>'[1]September - 2021'!EX20</f>
        <v>14</v>
      </c>
      <c r="EV20" s="285">
        <f>'[1]September - 2021'!EY20</f>
        <v>31280</v>
      </c>
      <c r="EW20" s="278">
        <f>'[1]September - 2021'!EZ20</f>
        <v>13</v>
      </c>
      <c r="EX20" s="285">
        <f>'[1]September - 2021'!FA20</f>
        <v>2389</v>
      </c>
      <c r="EY20" s="278">
        <f>'[1]September - 2021'!FB20</f>
        <v>15</v>
      </c>
      <c r="EZ20" s="285">
        <f>'[1]September - 2021'!FC20</f>
        <v>52544</v>
      </c>
      <c r="FA20" s="278">
        <f>'[1]September - 2021'!FD20</f>
        <v>14</v>
      </c>
      <c r="FB20" s="285">
        <f>'[1]September - 2021'!FE20</f>
        <v>35001</v>
      </c>
      <c r="FC20" s="279">
        <f>'[1]September - 2021'!FF20</f>
        <v>25</v>
      </c>
    </row>
    <row r="21" spans="1:159" ht="30" customHeight="1" x14ac:dyDescent="0.25">
      <c r="A21" s="207">
        <v>43842</v>
      </c>
      <c r="B21" s="209">
        <f>'[1]September - 2021'!B21</f>
        <v>0.57999999999999996</v>
      </c>
      <c r="C21" s="250">
        <f>'[1]September - 2021'!E21</f>
        <v>857610</v>
      </c>
      <c r="D21" s="170">
        <f>'[1]September - 2021'!F21</f>
        <v>801</v>
      </c>
      <c r="E21" s="168">
        <f>'[1]September - 2021'!G21</f>
        <v>541</v>
      </c>
      <c r="F21" s="168">
        <f>'[1]September - 2021'!H21</f>
        <v>55177</v>
      </c>
      <c r="G21" s="170">
        <f>'[1]September - 2021'!I21</f>
        <v>261</v>
      </c>
      <c r="H21" s="168">
        <f>'[1]September - 2021'!J21</f>
        <v>272</v>
      </c>
      <c r="I21" s="168">
        <f>'[1]September - 2021'!K21</f>
        <v>164625</v>
      </c>
      <c r="J21" s="170">
        <f>'[1]September - 2021'!L21</f>
        <v>0</v>
      </c>
      <c r="K21" s="168">
        <f>'[1]September - 2021'!N21</f>
        <v>792970</v>
      </c>
      <c r="L21" s="170">
        <f>'[1]September - 2021'!O21</f>
        <v>362</v>
      </c>
      <c r="M21" s="168">
        <f>'[1]September - 2021'!Q21</f>
        <v>180278</v>
      </c>
      <c r="N21" s="170">
        <f>'[1]September - 2021'!R21</f>
        <v>222</v>
      </c>
      <c r="O21" s="168">
        <f>'[1]September - 2021'!S21</f>
        <v>37071.050000000003</v>
      </c>
      <c r="P21" s="170">
        <f>'[1]September - 2021'!T21</f>
        <v>281.58000000000175</v>
      </c>
      <c r="Q21" s="168">
        <f>'[1]September - 2021'!U21</f>
        <v>172</v>
      </c>
      <c r="R21" s="168">
        <f>'[1]September - 2021'!V21</f>
        <v>1430</v>
      </c>
      <c r="S21" s="208">
        <f>'[1]September - 2021'!W21</f>
        <v>47</v>
      </c>
      <c r="T21" s="479"/>
      <c r="U21" s="169">
        <f>'[1]September - 2021'!AC21</f>
        <v>6915462.959999999</v>
      </c>
      <c r="V21" s="291">
        <f>'[1]September - 2021'!AD21</f>
        <v>3069.359999999404</v>
      </c>
      <c r="W21" s="92">
        <f>'[1]September - 2021'!AD21</f>
        <v>3069.359999999404</v>
      </c>
      <c r="X21" s="290">
        <f>'[1]September - 2021'!AF21</f>
        <v>13334956.319999998</v>
      </c>
      <c r="Y21" s="291">
        <f>'[1]September - 2021'!AG21</f>
        <v>4677.1199999991804</v>
      </c>
      <c r="Z21" s="92">
        <f>'[1]September - 2021'!AG21</f>
        <v>4677.1199999991804</v>
      </c>
      <c r="AA21" s="290">
        <f>'[1]September - 2021'!AI21</f>
        <v>13161805.439999999</v>
      </c>
      <c r="AB21" s="291">
        <f>'[1]September - 2021'!AJ21</f>
        <v>11303.039999999106</v>
      </c>
      <c r="AC21" s="92">
        <f>'[1]September - 2021'!AJ21</f>
        <v>11303.039999999106</v>
      </c>
      <c r="AD21" s="290">
        <f>'[1]September - 2021'!AL21</f>
        <v>16135820.4</v>
      </c>
      <c r="AE21" s="291">
        <f>'[1]September - 2021'!AM21</f>
        <v>12910.800000000745</v>
      </c>
      <c r="AF21" s="92">
        <f>'[1]September - 2021'!AM21</f>
        <v>12910.800000000745</v>
      </c>
      <c r="AG21" s="290">
        <f>'[1]September - 2021'!AO21</f>
        <v>16568161.68</v>
      </c>
      <c r="AH21" s="291">
        <f>'[1]September - 2021'!AP21</f>
        <v>1412.8800000008196</v>
      </c>
      <c r="AI21" s="92">
        <f>'[1]September - 2021'!AP21</f>
        <v>1412.8800000008196</v>
      </c>
      <c r="AJ21" s="290">
        <f>'[1]September - 2021'!AR21</f>
        <v>14964981.359999999</v>
      </c>
      <c r="AK21" s="291">
        <f>'[1]September - 2021'!AS21</f>
        <v>5505.359999999404</v>
      </c>
      <c r="AL21" s="92">
        <f>'[1]September - 2021'!AS21</f>
        <v>5505.359999999404</v>
      </c>
      <c r="AM21" s="290">
        <f>'[1]September - 2021'!AU21</f>
        <v>12764104.08</v>
      </c>
      <c r="AN21" s="291">
        <f>'[1]September - 2021'!AV21</f>
        <v>4823.2800000011921</v>
      </c>
      <c r="AO21" s="286">
        <f>'[1]September - 2021'!AV21</f>
        <v>4823.2800000011921</v>
      </c>
      <c r="AP21" s="290">
        <f>'[1]September - 2021'!AX21</f>
        <v>12295076.640000001</v>
      </c>
      <c r="AQ21" s="291">
        <f>'[1]September - 2021'!AY21</f>
        <v>3995.0400000009686</v>
      </c>
      <c r="AR21" s="92">
        <f>'[1]September - 2021'!AY21</f>
        <v>3995.0400000009686</v>
      </c>
      <c r="AS21" s="293">
        <f>'[1]September - 2021'!BA21</f>
        <v>9807384.7199999988</v>
      </c>
      <c r="AT21" s="292">
        <f>'[1]September - 2021'!BB21</f>
        <v>2971.9199999999255</v>
      </c>
      <c r="AU21" s="92">
        <f>'[1]September - 2021'!BB21</f>
        <v>2971.9199999999255</v>
      </c>
      <c r="AV21" s="290">
        <f>'[1]September - 2021'!BD21</f>
        <v>15128826.719999999</v>
      </c>
      <c r="AW21" s="252">
        <f>'[1]September - 2021'!BE21</f>
        <v>6625.9199999999255</v>
      </c>
      <c r="AX21" s="253">
        <f>'[1]September - 2021'!BE21</f>
        <v>6625.9199999999255</v>
      </c>
      <c r="AY21" s="496"/>
      <c r="AZ21" s="272">
        <f>'[1]September - 2021'!BK21</f>
        <v>65385500</v>
      </c>
      <c r="BA21" s="179">
        <f>'[1]September - 2021'!BL21</f>
        <v>57100</v>
      </c>
      <c r="BB21" s="93">
        <f>'[1]September - 2021'!BL21</f>
        <v>57100</v>
      </c>
      <c r="BC21" s="272">
        <f>'[1]September - 2021'!BN21</f>
        <v>67680300</v>
      </c>
      <c r="BD21" s="245">
        <f>'[1]September - 2021'!BO21</f>
        <v>65900</v>
      </c>
      <c r="BE21" s="93">
        <f>'[1]September - 2021'!BO21</f>
        <v>65900</v>
      </c>
      <c r="BF21" s="272">
        <f>'[1]September - 2021'!BQ21</f>
        <v>62666400</v>
      </c>
      <c r="BG21" s="245">
        <f>'[1]September - 2021'!BR21</f>
        <v>0</v>
      </c>
      <c r="BH21" s="93">
        <f>'[1]September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- 2021'!BT21</f>
        <v>7102460</v>
      </c>
      <c r="BT21" s="185">
        <f>'[1]September - 2021'!BU21</f>
        <v>5580</v>
      </c>
      <c r="BU21" s="592"/>
      <c r="BV21" s="88">
        <f>'[1]September - 2021'!BW21</f>
        <v>0.81</v>
      </c>
      <c r="BW21" s="241">
        <f>'[1]September - 2021'!BX21</f>
        <v>-0.16000000000000003</v>
      </c>
      <c r="BX21" s="88">
        <f>'[1]September - 2021'!BX21</f>
        <v>-0.16000000000000003</v>
      </c>
      <c r="BY21" s="89">
        <f>'[1]September - 2021'!BZ21</f>
        <v>55454</v>
      </c>
      <c r="BZ21" s="191">
        <f>'[1]September - 2021'!CA21</f>
        <v>17</v>
      </c>
      <c r="CA21" s="89">
        <f>'[1]September - 2021'!CB21</f>
        <v>46954</v>
      </c>
      <c r="CB21" s="191">
        <f>'[1]September - 2021'!CC21</f>
        <v>17</v>
      </c>
      <c r="CC21" s="89">
        <f>'[1]September - 2021'!CD21</f>
        <v>16226</v>
      </c>
      <c r="CD21" s="191">
        <f>'[1]September - 2021'!CE21</f>
        <v>4</v>
      </c>
      <c r="CE21" s="89">
        <f>'[1]September - 2021'!CF21</f>
        <v>21152</v>
      </c>
      <c r="CF21" s="191">
        <f>'[1]September - 2021'!CG21</f>
        <v>12</v>
      </c>
      <c r="CG21" s="89">
        <f>'[1]September - 2021'!CH21</f>
        <v>22913</v>
      </c>
      <c r="CH21" s="191">
        <f>'[1]September - 2021'!CI21</f>
        <v>9</v>
      </c>
      <c r="CI21" s="89">
        <f>'[1]September - 2021'!CJ21</f>
        <v>51093</v>
      </c>
      <c r="CJ21" s="191">
        <f>'[1]September - 2021'!CK21</f>
        <v>25</v>
      </c>
      <c r="CK21" s="89">
        <f>'[1]September - 2021'!CL21</f>
        <v>225675</v>
      </c>
      <c r="CL21" s="246">
        <f>'[1]September - 2021'!CM21</f>
        <v>89</v>
      </c>
      <c r="CM21" s="89">
        <f>'[1]September - 2021'!CM21</f>
        <v>89</v>
      </c>
      <c r="CN21" s="89">
        <f>'[1]September - 2021'!CO21</f>
        <v>171780</v>
      </c>
      <c r="CO21" s="246">
        <f>'[1]September - 2021'!CP21</f>
        <v>66</v>
      </c>
      <c r="CP21" s="89">
        <f>'[1]September - 2021'!CP21</f>
        <v>66</v>
      </c>
      <c r="CQ21" s="89">
        <f>'[1]September - 2021'!CR21</f>
        <v>308195</v>
      </c>
      <c r="CR21" s="246">
        <f>'[1]September - 2021'!CS21</f>
        <v>0</v>
      </c>
      <c r="CS21" s="89">
        <f>'[1]September - 2021'!CS21</f>
        <v>0</v>
      </c>
      <c r="CT21" s="89">
        <f>'[1]September - 2021'!CU21</f>
        <v>600568</v>
      </c>
      <c r="CU21" s="191">
        <f>'[1]September - 2021'!CV21</f>
        <v>220</v>
      </c>
      <c r="CV21" s="520"/>
      <c r="CW21" s="256">
        <f>'[1]September - 2021'!CX21</f>
        <v>5671</v>
      </c>
      <c r="CX21" s="198">
        <f>'[1]September - 2021'!CY21</f>
        <v>4</v>
      </c>
      <c r="CY21" s="257">
        <f>'[1]September - 2021'!CZ21</f>
        <v>3231</v>
      </c>
      <c r="CZ21" s="198">
        <f>'[1]September - 2021'!DA21</f>
        <v>4</v>
      </c>
      <c r="DA21" s="257">
        <f>'[1]September - 2021'!DB21</f>
        <v>25416</v>
      </c>
      <c r="DB21" s="198">
        <f>'[1]September - 2021'!DC21</f>
        <v>9</v>
      </c>
      <c r="DC21" s="257">
        <f>'[1]September - 2021'!DD21</f>
        <v>26106</v>
      </c>
      <c r="DD21" s="198">
        <f>'[1]September - 2021'!DE21</f>
        <v>8</v>
      </c>
      <c r="DE21" s="257">
        <f>'[1]September - 2021'!DF21</f>
        <v>17942</v>
      </c>
      <c r="DF21" s="198">
        <f>'[1]September - 2021'!DG21</f>
        <v>7</v>
      </c>
      <c r="DG21" s="257">
        <f>'[1]September - 2021'!DH21</f>
        <v>21029</v>
      </c>
      <c r="DH21" s="198">
        <f>'[1]September - 2021'!DI21</f>
        <v>8</v>
      </c>
      <c r="DI21" s="257">
        <f>'[1]September - 2021'!DJ21</f>
        <v>2479</v>
      </c>
      <c r="DJ21" s="198">
        <f>'[1]September - 2021'!DK21</f>
        <v>6</v>
      </c>
      <c r="DK21" s="257">
        <f>'[1]September - 2021'!DL21</f>
        <v>5692</v>
      </c>
      <c r="DL21" s="198">
        <f>'[1]September - 2021'!DM21</f>
        <v>14</v>
      </c>
      <c r="DM21" s="257">
        <f>'[1]September - 2021'!DN21</f>
        <v>1356</v>
      </c>
      <c r="DN21" s="198">
        <f>'[1]September - 2021'!DO21</f>
        <v>6</v>
      </c>
      <c r="DO21" s="257">
        <f>'[1]September - 2021'!DP21</f>
        <v>2940</v>
      </c>
      <c r="DP21" s="198">
        <f>'[1]September - 2021'!DQ21</f>
        <v>2</v>
      </c>
      <c r="DQ21" s="257">
        <f>'[1]September - 2021'!DR21</f>
        <v>25904</v>
      </c>
      <c r="DR21" s="206">
        <f>'[1]September - 2021'!DS21</f>
        <v>6</v>
      </c>
      <c r="DS21" s="536"/>
      <c r="DT21" s="210">
        <f>'[1]September - 2021'!DU21</f>
        <v>2277.9</v>
      </c>
      <c r="DU21" s="221">
        <f>'[1]September - 2021'!DV21</f>
        <v>11.700000000000273</v>
      </c>
      <c r="DV21" s="91">
        <f>'[1]September - 2021'!DW21</f>
        <v>7523.2</v>
      </c>
      <c r="DW21" s="215">
        <f>'[1]September - 2021'!DX21</f>
        <v>7.5</v>
      </c>
      <c r="DX21" s="91">
        <f>'[1]September - 2021'!DY21</f>
        <v>1715.4</v>
      </c>
      <c r="DY21" s="215">
        <f>'[1]September - 2021'!DZ21</f>
        <v>7.9000000000000909</v>
      </c>
      <c r="DZ21" s="91">
        <f>'[1]September - 2021'!EA21</f>
        <v>1624.7</v>
      </c>
      <c r="EA21" s="215">
        <f>'[1]September - 2021'!EB21</f>
        <v>11.200000000000045</v>
      </c>
      <c r="EB21" s="91">
        <f>'[1]September - 2021'!EC21</f>
        <v>813108</v>
      </c>
      <c r="EC21" s="215">
        <f>'[1]September - 2021'!ED21</f>
        <v>786</v>
      </c>
      <c r="ED21" s="91">
        <f>'[1]September - 2021'!EG21</f>
        <v>162891.79999999999</v>
      </c>
      <c r="EE21" s="229">
        <f>'[1]September - 2021'!EH21</f>
        <v>151.89999999999418</v>
      </c>
      <c r="EF21" s="583"/>
      <c r="EG21" s="235">
        <f>'[1]September - 2021'!EJ21</f>
        <v>9923300</v>
      </c>
      <c r="EH21" s="230">
        <f>'[1]September - 2021'!EK21</f>
        <v>8600</v>
      </c>
      <c r="EI21" s="90">
        <f>'[1]September - 2021'!EL21</f>
        <v>794650</v>
      </c>
      <c r="EJ21" s="230">
        <f>'[1]September - 2021'!EM21</f>
        <v>450</v>
      </c>
      <c r="EK21" s="90">
        <f>'[1]September - 2021'!EN21</f>
        <v>6177100</v>
      </c>
      <c r="EL21" s="230">
        <f>'[1]September - 2021'!EO21</f>
        <v>3500</v>
      </c>
      <c r="EM21" s="90">
        <f>'[1]September - 2021'!EP21</f>
        <v>2183600</v>
      </c>
      <c r="EN21" s="230">
        <f>'[1]September - 2021'!EQ21</f>
        <v>1100</v>
      </c>
      <c r="EO21" s="90">
        <f>'[1]September - 2021'!ER21</f>
        <v>925230</v>
      </c>
      <c r="EP21" s="230">
        <f>'[1]September - 2021'!ES21</f>
        <v>920</v>
      </c>
      <c r="EQ21" s="90">
        <f>'[1]September - 2021'!ET21</f>
        <v>13731800</v>
      </c>
      <c r="ER21" s="230">
        <f>'[1]September - 2021'!EU21</f>
        <v>8700</v>
      </c>
      <c r="ES21" s="558"/>
      <c r="ET21" s="284">
        <f>'[1]September - 2021'!EW21</f>
        <v>36185</v>
      </c>
      <c r="EU21" s="278">
        <f>'[1]September - 2021'!EX21</f>
        <v>13</v>
      </c>
      <c r="EV21" s="285">
        <f>'[1]September - 2021'!EY21</f>
        <v>31291</v>
      </c>
      <c r="EW21" s="278">
        <f>'[1]September - 2021'!EZ21</f>
        <v>11</v>
      </c>
      <c r="EX21" s="285">
        <f>'[1]September - 2021'!FA21</f>
        <v>2399</v>
      </c>
      <c r="EY21" s="278">
        <f>'[1]September - 2021'!FB21</f>
        <v>10</v>
      </c>
      <c r="EZ21" s="285">
        <f>'[1]September - 2021'!FC21</f>
        <v>52559</v>
      </c>
      <c r="FA21" s="278">
        <f>'[1]September - 2021'!FD21</f>
        <v>15</v>
      </c>
      <c r="FB21" s="285">
        <f>'[1]September - 2021'!FE21</f>
        <v>35025</v>
      </c>
      <c r="FC21" s="279">
        <f>'[1]September - 2021'!FF21</f>
        <v>24</v>
      </c>
    </row>
    <row r="22" spans="1:159" ht="30" customHeight="1" x14ac:dyDescent="0.25">
      <c r="A22" s="207">
        <v>43843</v>
      </c>
      <c r="B22" s="209">
        <f>'[1]September - 2021'!B22</f>
        <v>0.61</v>
      </c>
      <c r="C22" s="250">
        <f>'[1]September - 2021'!E22</f>
        <v>858369</v>
      </c>
      <c r="D22" s="170">
        <f>'[1]September - 2021'!F22</f>
        <v>759</v>
      </c>
      <c r="E22" s="168">
        <f>'[1]September - 2021'!G22</f>
        <v>502</v>
      </c>
      <c r="F22" s="168">
        <f>'[1]September - 2021'!H22</f>
        <v>55440</v>
      </c>
      <c r="G22" s="170">
        <f>'[1]September - 2021'!I22</f>
        <v>263</v>
      </c>
      <c r="H22" s="168">
        <f>'[1]September - 2021'!J22</f>
        <v>296</v>
      </c>
      <c r="I22" s="168">
        <f>'[1]September - 2021'!K22</f>
        <v>164625</v>
      </c>
      <c r="J22" s="170">
        <f>'[1]September - 2021'!L22</f>
        <v>0</v>
      </c>
      <c r="K22" s="168">
        <f>'[1]September - 2021'!N22</f>
        <v>793362</v>
      </c>
      <c r="L22" s="170">
        <f>'[1]September - 2021'!O22</f>
        <v>392</v>
      </c>
      <c r="M22" s="168">
        <f>'[1]September - 2021'!Q22</f>
        <v>180467</v>
      </c>
      <c r="N22" s="170">
        <f>'[1]September - 2021'!R22</f>
        <v>189</v>
      </c>
      <c r="O22" s="168">
        <f>'[1]September - 2021'!S22</f>
        <v>37349.71</v>
      </c>
      <c r="P22" s="170">
        <f>'[1]September - 2021'!T22</f>
        <v>278.65999999999622</v>
      </c>
      <c r="Q22" s="168">
        <f>'[1]September - 2021'!U22</f>
        <v>165</v>
      </c>
      <c r="R22" s="168">
        <f>'[1]September - 2021'!V22</f>
        <v>1473</v>
      </c>
      <c r="S22" s="208">
        <f>'[1]September - 2021'!W22</f>
        <v>43</v>
      </c>
      <c r="T22" s="479"/>
      <c r="U22" s="169">
        <f>'[1]September - 2021'!AC22</f>
        <v>6918483.5999999996</v>
      </c>
      <c r="V22" s="291">
        <f>'[1]September - 2021'!AD22</f>
        <v>3020.640000000596</v>
      </c>
      <c r="W22" s="92">
        <f>'[1]September - 2021'!AD22</f>
        <v>3020.640000000596</v>
      </c>
      <c r="X22" s="290">
        <f>'[1]September - 2021'!AF22</f>
        <v>13339730.880000001</v>
      </c>
      <c r="Y22" s="291">
        <f>'[1]September - 2021'!AG22</f>
        <v>4774.5600000023842</v>
      </c>
      <c r="Z22" s="92">
        <f>'[1]September - 2021'!AG22</f>
        <v>4774.5600000023842</v>
      </c>
      <c r="AA22" s="290">
        <f>'[1]September - 2021'!AI22</f>
        <v>13174034.16</v>
      </c>
      <c r="AB22" s="291">
        <f>'[1]September - 2021'!AJ22</f>
        <v>12228.720000000671</v>
      </c>
      <c r="AC22" s="92">
        <f>'[1]September - 2021'!AJ22</f>
        <v>12228.720000000671</v>
      </c>
      <c r="AD22" s="290">
        <f>'[1]September - 2021'!AL22</f>
        <v>16150241.52</v>
      </c>
      <c r="AE22" s="291">
        <f>'[1]September - 2021'!AM22</f>
        <v>14421.11999999918</v>
      </c>
      <c r="AF22" s="92">
        <f>'[1]September - 2021'!AM22</f>
        <v>14421.11999999918</v>
      </c>
      <c r="AG22" s="290">
        <f>'[1]September - 2021'!AO22</f>
        <v>16569720.719999999</v>
      </c>
      <c r="AH22" s="291">
        <f>'[1]September - 2021'!AP22</f>
        <v>1559.0399999991059</v>
      </c>
      <c r="AI22" s="92">
        <f>'[1]September - 2021'!AP22</f>
        <v>1559.0399999991059</v>
      </c>
      <c r="AJ22" s="290">
        <f>'[1]September - 2021'!AR22</f>
        <v>14970730.319999998</v>
      </c>
      <c r="AK22" s="291">
        <f>'[1]September - 2021'!AS22</f>
        <v>5748.9599999990314</v>
      </c>
      <c r="AL22" s="92">
        <f>'[1]September - 2021'!AS22</f>
        <v>5748.9599999990314</v>
      </c>
      <c r="AM22" s="290">
        <f>'[1]September - 2021'!AU22</f>
        <v>12768927.359999999</v>
      </c>
      <c r="AN22" s="291">
        <f>'[1]September - 2021'!AV22</f>
        <v>4823.2799999993294</v>
      </c>
      <c r="AO22" s="286">
        <f>'[1]September - 2021'!AV22</f>
        <v>4823.2799999993294</v>
      </c>
      <c r="AP22" s="290">
        <f>'[1]September - 2021'!AX22</f>
        <v>12299217.84</v>
      </c>
      <c r="AQ22" s="291">
        <f>'[1]September - 2021'!AY22</f>
        <v>4141.1999999992549</v>
      </c>
      <c r="AR22" s="92">
        <f>'[1]September - 2021'!AY22</f>
        <v>4141.1999999992549</v>
      </c>
      <c r="AS22" s="290">
        <f>'[1]September - 2021'!BA22</f>
        <v>9810307.9199999999</v>
      </c>
      <c r="AT22" s="292">
        <f>'[1]September - 2021'!BB22</f>
        <v>2923.2000000011176</v>
      </c>
      <c r="AU22" s="92">
        <f>'[1]September - 2021'!BB22</f>
        <v>2923.2000000011176</v>
      </c>
      <c r="AV22" s="290">
        <f>'[1]September - 2021'!BD22</f>
        <v>15135160.319999998</v>
      </c>
      <c r="AW22" s="252">
        <f>'[1]September - 2021'!BE22</f>
        <v>6333.5999999996275</v>
      </c>
      <c r="AX22" s="253">
        <f>'[1]September - 2021'!BE22</f>
        <v>6333.5999999996275</v>
      </c>
      <c r="AY22" s="496"/>
      <c r="AZ22" s="272">
        <f>'[1]September - 2021'!BK22</f>
        <v>65446000</v>
      </c>
      <c r="BA22" s="179">
        <f>'[1]September - 2021'!BL22</f>
        <v>60500</v>
      </c>
      <c r="BB22" s="93">
        <f>'[1]September - 2021'!BL22</f>
        <v>60500</v>
      </c>
      <c r="BC22" s="272">
        <f>'[1]September - 2021'!BN22</f>
        <v>67751800</v>
      </c>
      <c r="BD22" s="245">
        <f>'[1]September - 2021'!BO22</f>
        <v>71500</v>
      </c>
      <c r="BE22" s="93">
        <f>'[1]September - 2021'!BO22</f>
        <v>71500</v>
      </c>
      <c r="BF22" s="272">
        <f>'[1]September - 2021'!BQ22</f>
        <v>62666400</v>
      </c>
      <c r="BG22" s="245">
        <f>'[1]September - 2021'!BR22</f>
        <v>0</v>
      </c>
      <c r="BH22" s="93">
        <f>'[1]September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- 2021'!BT22</f>
        <v>7107630</v>
      </c>
      <c r="BT22" s="185">
        <f>'[1]September - 2021'!BU22</f>
        <v>5170</v>
      </c>
      <c r="BU22" s="592"/>
      <c r="BV22" s="88">
        <f>'[1]September - 2021'!BW22</f>
        <v>0.78</v>
      </c>
      <c r="BW22" s="241">
        <f>'[1]September - 2021'!BX22</f>
        <v>3.0000000000000027E-2</v>
      </c>
      <c r="BX22" s="88">
        <f>'[1]September - 2021'!BX22</f>
        <v>3.0000000000000027E-2</v>
      </c>
      <c r="BY22" s="89">
        <f>'[1]September - 2021'!BZ22</f>
        <v>55470</v>
      </c>
      <c r="BZ22" s="191">
        <f>'[1]September - 2021'!CA22</f>
        <v>16</v>
      </c>
      <c r="CA22" s="89">
        <f>'[1]September - 2021'!CB22</f>
        <v>46972</v>
      </c>
      <c r="CB22" s="191">
        <f>'[1]September - 2021'!CC22</f>
        <v>18</v>
      </c>
      <c r="CC22" s="89">
        <f>'[1]September - 2021'!CD22</f>
        <v>16230</v>
      </c>
      <c r="CD22" s="191">
        <f>'[1]September - 2021'!CE22</f>
        <v>4</v>
      </c>
      <c r="CE22" s="89">
        <f>'[1]September - 2021'!CF22</f>
        <v>21162</v>
      </c>
      <c r="CF22" s="191">
        <f>'[1]September - 2021'!CG22</f>
        <v>10</v>
      </c>
      <c r="CG22" s="89">
        <f>'[1]September - 2021'!CH22</f>
        <v>22923</v>
      </c>
      <c r="CH22" s="191">
        <f>'[1]September - 2021'!CI22</f>
        <v>10</v>
      </c>
      <c r="CI22" s="89">
        <f>'[1]September - 2021'!CJ22</f>
        <v>51118</v>
      </c>
      <c r="CJ22" s="191">
        <f>'[1]September - 2021'!CK22</f>
        <v>25</v>
      </c>
      <c r="CK22" s="89">
        <f>'[1]September - 2021'!CL22</f>
        <v>225767</v>
      </c>
      <c r="CL22" s="246">
        <f>'[1]September - 2021'!CM22</f>
        <v>92</v>
      </c>
      <c r="CM22" s="89">
        <f>'[1]September - 2021'!CM22</f>
        <v>92</v>
      </c>
      <c r="CN22" s="89">
        <f>'[1]September - 2021'!CO22</f>
        <v>171848</v>
      </c>
      <c r="CO22" s="246">
        <f>'[1]September - 2021'!CP22</f>
        <v>68</v>
      </c>
      <c r="CP22" s="89">
        <f>'[1]September - 2021'!CP22</f>
        <v>68</v>
      </c>
      <c r="CQ22" s="89">
        <f>'[1]September - 2021'!CR22</f>
        <v>308195</v>
      </c>
      <c r="CR22" s="246">
        <f>'[1]September - 2021'!CS22</f>
        <v>0</v>
      </c>
      <c r="CS22" s="89">
        <f>'[1]September - 2021'!CS22</f>
        <v>0</v>
      </c>
      <c r="CT22" s="89">
        <f>'[1]September - 2021'!CU22</f>
        <v>600792</v>
      </c>
      <c r="CU22" s="191">
        <f>'[1]September - 2021'!CV22</f>
        <v>224</v>
      </c>
      <c r="CV22" s="520"/>
      <c r="CW22" s="256">
        <f>'[1]September - 2021'!CX22</f>
        <v>5674</v>
      </c>
      <c r="CX22" s="198">
        <f>'[1]September - 2021'!CY22</f>
        <v>3</v>
      </c>
      <c r="CY22" s="257">
        <f>'[1]September - 2021'!CZ22</f>
        <v>3233</v>
      </c>
      <c r="CZ22" s="198">
        <f>'[1]September - 2021'!DA22</f>
        <v>2</v>
      </c>
      <c r="DA22" s="257">
        <f>'[1]September - 2021'!DB22</f>
        <v>25429</v>
      </c>
      <c r="DB22" s="198">
        <f>'[1]September - 2021'!DC22</f>
        <v>13</v>
      </c>
      <c r="DC22" s="257">
        <f>'[1]September - 2021'!DD22</f>
        <v>26116</v>
      </c>
      <c r="DD22" s="198">
        <f>'[1]September - 2021'!DE22</f>
        <v>10</v>
      </c>
      <c r="DE22" s="257">
        <f>'[1]September - 2021'!DF22</f>
        <v>17948</v>
      </c>
      <c r="DF22" s="198">
        <f>'[1]September - 2021'!DG22</f>
        <v>6</v>
      </c>
      <c r="DG22" s="257">
        <f>'[1]September - 2021'!DH22</f>
        <v>21041</v>
      </c>
      <c r="DH22" s="198">
        <f>'[1]September - 2021'!DI22</f>
        <v>12</v>
      </c>
      <c r="DI22" s="257">
        <f>'[1]September - 2021'!DJ22</f>
        <v>2487</v>
      </c>
      <c r="DJ22" s="198">
        <f>'[1]September - 2021'!DK22</f>
        <v>8</v>
      </c>
      <c r="DK22" s="257">
        <f>'[1]September - 2021'!DL22</f>
        <v>5706</v>
      </c>
      <c r="DL22" s="198">
        <f>'[1]September - 2021'!DM22</f>
        <v>14</v>
      </c>
      <c r="DM22" s="257">
        <f>'[1]September - 2021'!DN22</f>
        <v>1363</v>
      </c>
      <c r="DN22" s="198">
        <f>'[1]September - 2021'!DO22</f>
        <v>7</v>
      </c>
      <c r="DO22" s="257">
        <f>'[1]September - 2021'!DP22</f>
        <v>2942</v>
      </c>
      <c r="DP22" s="198">
        <f>'[1]September - 2021'!DQ22</f>
        <v>2</v>
      </c>
      <c r="DQ22" s="257">
        <f>'[1]September - 2021'!DR22</f>
        <v>25904</v>
      </c>
      <c r="DR22" s="206">
        <f>'[1]September - 2021'!DS22</f>
        <v>0</v>
      </c>
      <c r="DS22" s="536"/>
      <c r="DT22" s="210">
        <f>'[1]September - 2021'!DU22</f>
        <v>2287.3000000000002</v>
      </c>
      <c r="DU22" s="221">
        <f>'[1]September - 2021'!DV22</f>
        <v>9.4000000000000909</v>
      </c>
      <c r="DV22" s="91">
        <f>'[1]September - 2021'!DW22</f>
        <v>7530.7</v>
      </c>
      <c r="DW22" s="215">
        <f>'[1]September - 2021'!DX22</f>
        <v>7.5</v>
      </c>
      <c r="DX22" s="91">
        <f>'[1]September - 2021'!DY22</f>
        <v>1722.6</v>
      </c>
      <c r="DY22" s="215">
        <f>'[1]September - 2021'!DZ22</f>
        <v>7.1999999999998181</v>
      </c>
      <c r="DZ22" s="91">
        <f>'[1]September - 2021'!EA22</f>
        <v>1636.1</v>
      </c>
      <c r="EA22" s="215">
        <f>'[1]September - 2021'!EB22</f>
        <v>11.399999999999864</v>
      </c>
      <c r="EB22" s="91">
        <f>'[1]September - 2021'!EC22</f>
        <v>813820</v>
      </c>
      <c r="EC22" s="215">
        <f>'[1]September - 2021'!ED22</f>
        <v>712</v>
      </c>
      <c r="ED22" s="91">
        <f>'[1]September - 2021'!EG22</f>
        <v>163040.9</v>
      </c>
      <c r="EE22" s="229">
        <f>'[1]September - 2021'!EH22</f>
        <v>149.10000000000582</v>
      </c>
      <c r="EF22" s="583"/>
      <c r="EG22" s="235">
        <f>'[1]September - 2021'!EJ22</f>
        <v>9932100</v>
      </c>
      <c r="EH22" s="230">
        <f>'[1]September - 2021'!EK22</f>
        <v>8800</v>
      </c>
      <c r="EI22" s="90">
        <f>'[1]September - 2021'!EL22</f>
        <v>795100</v>
      </c>
      <c r="EJ22" s="230">
        <f>'[1]September - 2021'!EM22</f>
        <v>450</v>
      </c>
      <c r="EK22" s="90">
        <f>'[1]September - 2021'!EN22</f>
        <v>6181000</v>
      </c>
      <c r="EL22" s="230">
        <f>'[1]September - 2021'!EO22</f>
        <v>3900</v>
      </c>
      <c r="EM22" s="90">
        <f>'[1]September - 2021'!EP22</f>
        <v>2184600</v>
      </c>
      <c r="EN22" s="230">
        <f>'[1]September - 2021'!EQ22</f>
        <v>1000</v>
      </c>
      <c r="EO22" s="90">
        <f>'[1]September - 2021'!ER22</f>
        <v>926250</v>
      </c>
      <c r="EP22" s="230">
        <f>'[1]September - 2021'!ES22</f>
        <v>1020</v>
      </c>
      <c r="EQ22" s="90">
        <f>'[1]September - 2021'!ET22</f>
        <v>13742600</v>
      </c>
      <c r="ER22" s="230">
        <f>'[1]September - 2021'!EU22</f>
        <v>10800</v>
      </c>
      <c r="ES22" s="558"/>
      <c r="ET22" s="284">
        <f>'[1]September - 2021'!EW22</f>
        <v>36199</v>
      </c>
      <c r="EU22" s="278">
        <f>'[1]September - 2021'!EX22</f>
        <v>14</v>
      </c>
      <c r="EV22" s="285">
        <f>'[1]September - 2021'!EY22</f>
        <v>31304</v>
      </c>
      <c r="EW22" s="278">
        <f>'[1]September - 2021'!EZ22</f>
        <v>13</v>
      </c>
      <c r="EX22" s="285">
        <f>'[1]September - 2021'!FA22</f>
        <v>2410</v>
      </c>
      <c r="EY22" s="278">
        <f>'[1]September - 2021'!FB22</f>
        <v>11</v>
      </c>
      <c r="EZ22" s="285">
        <f>'[1]September - 2021'!FC22</f>
        <v>52573</v>
      </c>
      <c r="FA22" s="278">
        <f>'[1]September - 2021'!FD22</f>
        <v>14</v>
      </c>
      <c r="FB22" s="285">
        <f>'[1]September - 2021'!FE22</f>
        <v>35048</v>
      </c>
      <c r="FC22" s="279">
        <f>'[1]September - 2021'!FF22</f>
        <v>23</v>
      </c>
    </row>
    <row r="23" spans="1:159" ht="30" customHeight="1" x14ac:dyDescent="0.25">
      <c r="A23" s="207">
        <v>43844</v>
      </c>
      <c r="B23" s="209">
        <f>'[1]September - 2021'!B23</f>
        <v>0.56999999999999995</v>
      </c>
      <c r="C23" s="250">
        <f>'[1]September - 2021'!E23</f>
        <v>859007</v>
      </c>
      <c r="D23" s="170">
        <f>'[1]September - 2021'!F23</f>
        <v>638</v>
      </c>
      <c r="E23" s="168">
        <f>'[1]September - 2021'!G23</f>
        <v>581</v>
      </c>
      <c r="F23" s="168">
        <f>'[1]September - 2021'!H23</f>
        <v>55706</v>
      </c>
      <c r="G23" s="170">
        <f>'[1]September - 2021'!I23</f>
        <v>266</v>
      </c>
      <c r="H23" s="168">
        <f>'[1]September - 2021'!J23</f>
        <v>241</v>
      </c>
      <c r="I23" s="168">
        <f>'[1]September - 2021'!K23</f>
        <v>164625</v>
      </c>
      <c r="J23" s="170">
        <f>'[1]September - 2021'!L23</f>
        <v>0</v>
      </c>
      <c r="K23" s="168">
        <f>'[1]September - 2021'!N23</f>
        <v>793791</v>
      </c>
      <c r="L23" s="170">
        <f>'[1]September - 2021'!O23</f>
        <v>429</v>
      </c>
      <c r="M23" s="168">
        <f>'[1]September - 2021'!Q23</f>
        <v>180603</v>
      </c>
      <c r="N23" s="170">
        <f>'[1]September - 2021'!R23</f>
        <v>136</v>
      </c>
      <c r="O23" s="168">
        <f>'[1]September - 2021'!S23</f>
        <v>37635.65</v>
      </c>
      <c r="P23" s="170">
        <f>'[1]September - 2021'!T23</f>
        <v>285.94000000000233</v>
      </c>
      <c r="Q23" s="168">
        <f>'[1]September - 2021'!U23</f>
        <v>145</v>
      </c>
      <c r="R23" s="168">
        <f>'[1]September - 2021'!V23</f>
        <v>1518</v>
      </c>
      <c r="S23" s="208">
        <f>'[1]September - 2021'!W23</f>
        <v>45</v>
      </c>
      <c r="T23" s="479"/>
      <c r="U23" s="169">
        <f>'[1]September - 2021'!AC23</f>
        <v>6921796.5599999996</v>
      </c>
      <c r="V23" s="291">
        <f>'[1]September - 2021'!AD23</f>
        <v>3312.9599999999627</v>
      </c>
      <c r="W23" s="92">
        <f>'[1]September - 2021'!AD23</f>
        <v>3312.9599999999627</v>
      </c>
      <c r="X23" s="290">
        <f>'[1]September - 2021'!AF23</f>
        <v>13344554.16</v>
      </c>
      <c r="Y23" s="291">
        <f>'[1]September - 2021'!AG23</f>
        <v>4823.2799999993294</v>
      </c>
      <c r="Z23" s="92">
        <f>'[1]September - 2021'!AG23</f>
        <v>4823.2799999993294</v>
      </c>
      <c r="AA23" s="290">
        <f>'[1]September - 2021'!AI23</f>
        <v>13188406.559999999</v>
      </c>
      <c r="AB23" s="291">
        <f>'[1]September - 2021'!AJ23</f>
        <v>14372.39999999851</v>
      </c>
      <c r="AC23" s="92">
        <f>'[1]September - 2021'!AJ23</f>
        <v>14372.39999999851</v>
      </c>
      <c r="AD23" s="290">
        <f>'[1]September - 2021'!AL23</f>
        <v>16164467.760000002</v>
      </c>
      <c r="AE23" s="291">
        <f>'[1]September - 2021'!AM23</f>
        <v>14226.240000002086</v>
      </c>
      <c r="AF23" s="92">
        <f>'[1]September - 2021'!AM23</f>
        <v>14226.240000002086</v>
      </c>
      <c r="AG23" s="290">
        <f>'[1]September - 2021'!AO23</f>
        <v>16571328.48</v>
      </c>
      <c r="AH23" s="291">
        <f>'[1]September - 2021'!AP23</f>
        <v>1607.7600000016391</v>
      </c>
      <c r="AI23" s="92">
        <f>'[1]September - 2021'!AP23</f>
        <v>1607.7600000016391</v>
      </c>
      <c r="AJ23" s="290">
        <f>'[1]September - 2021'!AR23</f>
        <v>14976381.84</v>
      </c>
      <c r="AK23" s="291">
        <f>'[1]September - 2021'!AS23</f>
        <v>5651.5200000014156</v>
      </c>
      <c r="AL23" s="92">
        <f>'[1]September - 2021'!AS23</f>
        <v>5651.5200000014156</v>
      </c>
      <c r="AM23" s="290">
        <f>'[1]September - 2021'!AU23</f>
        <v>12773458.319999998</v>
      </c>
      <c r="AN23" s="291">
        <f>'[1]September - 2021'!AV23</f>
        <v>4530.9599999990314</v>
      </c>
      <c r="AO23" s="92">
        <f>'[1]September - 2021'!AV23</f>
        <v>4530.9599999990314</v>
      </c>
      <c r="AP23" s="290">
        <f>'[1]September - 2021'!AX23</f>
        <v>12303310.319999998</v>
      </c>
      <c r="AQ23" s="291">
        <f>'[1]September - 2021'!AY23</f>
        <v>4092.4799999985844</v>
      </c>
      <c r="AR23" s="92">
        <f>'[1]September - 2021'!AY23</f>
        <v>4092.4799999985844</v>
      </c>
      <c r="AS23" s="290">
        <f>'[1]September - 2021'!BA23</f>
        <v>9813377.2800000012</v>
      </c>
      <c r="AT23" s="291">
        <f>'[1]September - 2021'!BB23</f>
        <v>3069.3600000012666</v>
      </c>
      <c r="AU23" s="92">
        <f>'[1]September - 2021'!BB23</f>
        <v>3069.3600000012666</v>
      </c>
      <c r="AV23" s="290">
        <f>'[1]September - 2021'!BD23</f>
        <v>15141640.08</v>
      </c>
      <c r="AW23" s="252">
        <f>'[1]September - 2021'!BE23</f>
        <v>6479.7600000016391</v>
      </c>
      <c r="AX23" s="253">
        <f>'[1]September - 2021'!BE23</f>
        <v>6479.7600000016391</v>
      </c>
      <c r="AY23" s="496"/>
      <c r="AZ23" s="272">
        <f>'[1]September - 2021'!BK23</f>
        <v>65516900</v>
      </c>
      <c r="BA23" s="179">
        <f>'[1]September - 2021'!BL23</f>
        <v>70900</v>
      </c>
      <c r="BB23" s="93">
        <f>'[1]September - 2021'!BL23</f>
        <v>70900</v>
      </c>
      <c r="BC23" s="272">
        <f>'[1]September - 2021'!BN23</f>
        <v>67820200</v>
      </c>
      <c r="BD23" s="245">
        <f>'[1]September - 2021'!BO23</f>
        <v>68400</v>
      </c>
      <c r="BE23" s="93">
        <f>'[1]September - 2021'!BO23</f>
        <v>68400</v>
      </c>
      <c r="BF23" s="272">
        <f>'[1]September - 2021'!BQ23</f>
        <v>62666400</v>
      </c>
      <c r="BG23" s="245">
        <f>'[1]September - 2021'!BR23</f>
        <v>0</v>
      </c>
      <c r="BH23" s="93">
        <f>'[1]September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- 2021'!BT23</f>
        <v>7113110</v>
      </c>
      <c r="BT23" s="185">
        <f>'[1]September - 2021'!BU23</f>
        <v>5480</v>
      </c>
      <c r="BU23" s="592"/>
      <c r="BV23" s="88">
        <f>'[1]September - 2021'!BW23</f>
        <v>0.73</v>
      </c>
      <c r="BW23" s="241">
        <f>'[1]September - 2021'!BX23</f>
        <v>5.0000000000000044E-2</v>
      </c>
      <c r="BX23" s="88">
        <f>'[1]September - 2021'!BX23</f>
        <v>5.0000000000000044E-2</v>
      </c>
      <c r="BY23" s="89">
        <f>'[1]September - 2021'!BZ23</f>
        <v>55488</v>
      </c>
      <c r="BZ23" s="191">
        <f>'[1]September - 2021'!CA23</f>
        <v>18</v>
      </c>
      <c r="CA23" s="89">
        <f>'[1]September - 2021'!CB23</f>
        <v>46989</v>
      </c>
      <c r="CB23" s="191">
        <f>'[1]September - 2021'!CC23</f>
        <v>17</v>
      </c>
      <c r="CC23" s="89">
        <f>'[1]September - 2021'!CD23</f>
        <v>16235</v>
      </c>
      <c r="CD23" s="191">
        <f>'[1]September - 2021'!CE23</f>
        <v>5</v>
      </c>
      <c r="CE23" s="89">
        <f>'[1]September - 2021'!CF23</f>
        <v>21173</v>
      </c>
      <c r="CF23" s="191">
        <f>'[1]September - 2021'!CG23</f>
        <v>11</v>
      </c>
      <c r="CG23" s="89">
        <f>'[1]September - 2021'!CH23</f>
        <v>22938</v>
      </c>
      <c r="CH23" s="191">
        <f>'[1]September - 2021'!CI23</f>
        <v>15</v>
      </c>
      <c r="CI23" s="89">
        <f>'[1]September - 2021'!CJ23</f>
        <v>51143</v>
      </c>
      <c r="CJ23" s="191">
        <f>'[1]September - 2021'!CK23</f>
        <v>25</v>
      </c>
      <c r="CK23" s="89">
        <f>'[1]September - 2021'!CL23</f>
        <v>225860</v>
      </c>
      <c r="CL23" s="246">
        <f>'[1]September - 2021'!CM23</f>
        <v>93</v>
      </c>
      <c r="CM23" s="89">
        <f>'[1]September - 2021'!CM23</f>
        <v>93</v>
      </c>
      <c r="CN23" s="89">
        <f>'[1]September - 2021'!CO23</f>
        <v>171916</v>
      </c>
      <c r="CO23" s="246">
        <f>'[1]September - 2021'!CP23</f>
        <v>68</v>
      </c>
      <c r="CP23" s="89">
        <f>'[1]September - 2021'!CP23</f>
        <v>68</v>
      </c>
      <c r="CQ23" s="89">
        <f>'[1]September - 2021'!CR23</f>
        <v>308195</v>
      </c>
      <c r="CR23" s="246">
        <f>'[1]September - 2021'!CS23</f>
        <v>0</v>
      </c>
      <c r="CS23" s="89">
        <f>'[1]September - 2021'!CS23</f>
        <v>0</v>
      </c>
      <c r="CT23" s="89">
        <f>'[1]September - 2021'!CU23</f>
        <v>601031</v>
      </c>
      <c r="CU23" s="191">
        <f>'[1]September - 2021'!CV23</f>
        <v>239</v>
      </c>
      <c r="CV23" s="520"/>
      <c r="CW23" s="256">
        <f>'[1]September - 2021'!CX23</f>
        <v>5680</v>
      </c>
      <c r="CX23" s="198">
        <f>'[1]September - 2021'!CY23</f>
        <v>6</v>
      </c>
      <c r="CY23" s="257">
        <f>'[1]September - 2021'!CZ23</f>
        <v>3239</v>
      </c>
      <c r="CZ23" s="198">
        <f>'[1]September - 2021'!DA23</f>
        <v>6</v>
      </c>
      <c r="DA23" s="257">
        <f>'[1]September - 2021'!DB23</f>
        <v>25440</v>
      </c>
      <c r="DB23" s="198">
        <f>'[1]September - 2021'!DC23</f>
        <v>11</v>
      </c>
      <c r="DC23" s="257">
        <f>'[1]September - 2021'!DD23</f>
        <v>26128</v>
      </c>
      <c r="DD23" s="198">
        <f>'[1]September - 2021'!DE23</f>
        <v>12</v>
      </c>
      <c r="DE23" s="257">
        <f>'[1]September - 2021'!DF23</f>
        <v>17955</v>
      </c>
      <c r="DF23" s="198">
        <f>'[1]September - 2021'!DG23</f>
        <v>7</v>
      </c>
      <c r="DG23" s="257">
        <f>'[1]September - 2021'!DH23</f>
        <v>21052</v>
      </c>
      <c r="DH23" s="198">
        <f>'[1]September - 2021'!DI23</f>
        <v>11</v>
      </c>
      <c r="DI23" s="257">
        <f>'[1]September - 2021'!DJ23</f>
        <v>2496</v>
      </c>
      <c r="DJ23" s="198">
        <f>'[1]September - 2021'!DK23</f>
        <v>9</v>
      </c>
      <c r="DK23" s="257">
        <f>'[1]September - 2021'!DL23</f>
        <v>5717</v>
      </c>
      <c r="DL23" s="198">
        <f>'[1]September - 2021'!DM23</f>
        <v>11</v>
      </c>
      <c r="DM23" s="257">
        <f>'[1]September - 2021'!DN23</f>
        <v>1372</v>
      </c>
      <c r="DN23" s="198">
        <f>'[1]September - 2021'!DO23</f>
        <v>9</v>
      </c>
      <c r="DO23" s="257">
        <f>'[1]September - 2021'!DP23</f>
        <v>2944</v>
      </c>
      <c r="DP23" s="198">
        <f>'[1]September - 2021'!DQ23</f>
        <v>2</v>
      </c>
      <c r="DQ23" s="257">
        <f>'[1]September - 2021'!DR23</f>
        <v>25904</v>
      </c>
      <c r="DR23" s="206">
        <f>'[1]September - 2021'!DS23</f>
        <v>0</v>
      </c>
      <c r="DS23" s="536"/>
      <c r="DT23" s="210">
        <f>'[1]September - 2021'!DU23</f>
        <v>2297</v>
      </c>
      <c r="DU23" s="221">
        <f>'[1]September - 2021'!DV23</f>
        <v>9.6999999999998181</v>
      </c>
      <c r="DV23" s="91">
        <f>'[1]September - 2021'!DW23</f>
        <v>7538.8</v>
      </c>
      <c r="DW23" s="215">
        <f>'[1]September - 2021'!DX23</f>
        <v>8.1000000000003638</v>
      </c>
      <c r="DX23" s="91">
        <f>'[1]September - 2021'!DY23</f>
        <v>1729.9</v>
      </c>
      <c r="DY23" s="215">
        <f>'[1]September - 2021'!DZ23</f>
        <v>7.3000000000001819</v>
      </c>
      <c r="DZ23" s="91">
        <f>'[1]September - 2021'!EA23</f>
        <v>1647.6</v>
      </c>
      <c r="EA23" s="215">
        <f>'[1]September - 2021'!EB23</f>
        <v>11.5</v>
      </c>
      <c r="EB23" s="91">
        <f>'[1]September - 2021'!EC23</f>
        <v>814564</v>
      </c>
      <c r="EC23" s="215">
        <f>'[1]September - 2021'!ED23</f>
        <v>744</v>
      </c>
      <c r="ED23" s="91">
        <f>'[1]September - 2021'!EG23</f>
        <v>163195.29999999999</v>
      </c>
      <c r="EE23" s="229">
        <f>'[1]September - 2021'!EH23</f>
        <v>154.39999999999418</v>
      </c>
      <c r="EF23" s="583"/>
      <c r="EG23" s="235">
        <f>'[1]September - 2021'!EJ23</f>
        <v>9941400</v>
      </c>
      <c r="EH23" s="230">
        <f>'[1]September - 2021'!EK23</f>
        <v>9300</v>
      </c>
      <c r="EI23" s="90">
        <f>'[1]September - 2021'!EL23</f>
        <v>795570</v>
      </c>
      <c r="EJ23" s="230">
        <f>'[1]September - 2021'!EM23</f>
        <v>470</v>
      </c>
      <c r="EK23" s="90">
        <f>'[1]September - 2021'!EN23</f>
        <v>6185000</v>
      </c>
      <c r="EL23" s="230">
        <f>'[1]September - 2021'!EO23</f>
        <v>4000</v>
      </c>
      <c r="EM23" s="90">
        <f>'[1]September - 2021'!EP23</f>
        <v>2185800</v>
      </c>
      <c r="EN23" s="230">
        <f>'[1]September - 2021'!EQ23</f>
        <v>1200</v>
      </c>
      <c r="EO23" s="90">
        <f>'[1]September - 2021'!ER23</f>
        <v>927270</v>
      </c>
      <c r="EP23" s="230">
        <f>'[1]September - 2021'!ES23</f>
        <v>1020</v>
      </c>
      <c r="EQ23" s="90">
        <f>'[1]September - 2021'!ET23</f>
        <v>13754200</v>
      </c>
      <c r="ER23" s="230">
        <f>'[1]September - 2021'!EU23</f>
        <v>11600</v>
      </c>
      <c r="ES23" s="558"/>
      <c r="ET23" s="284">
        <f>'[1]September - 2021'!EW23</f>
        <v>36213</v>
      </c>
      <c r="EU23" s="278">
        <f>'[1]September - 2021'!EX23</f>
        <v>14</v>
      </c>
      <c r="EV23" s="285">
        <f>'[1]September - 2021'!EY23</f>
        <v>31316</v>
      </c>
      <c r="EW23" s="278">
        <f>'[1]September - 2021'!EZ23</f>
        <v>12</v>
      </c>
      <c r="EX23" s="285">
        <f>'[1]September - 2021'!FA23</f>
        <v>2420</v>
      </c>
      <c r="EY23" s="278">
        <f>'[1]September - 2021'!FB23</f>
        <v>10</v>
      </c>
      <c r="EZ23" s="285">
        <f>'[1]September - 2021'!FC23</f>
        <v>52597</v>
      </c>
      <c r="FA23" s="278">
        <f>'[1]September - 2021'!FD23</f>
        <v>24</v>
      </c>
      <c r="FB23" s="285">
        <f>'[1]September - 2021'!FE23</f>
        <v>35073</v>
      </c>
      <c r="FC23" s="279">
        <f>'[1]September - 2021'!FF23</f>
        <v>25</v>
      </c>
    </row>
    <row r="24" spans="1:159" ht="30" customHeight="1" x14ac:dyDescent="0.25">
      <c r="A24" s="207">
        <v>43845</v>
      </c>
      <c r="B24" s="209">
        <f>'[1]September - 2021'!B24</f>
        <v>0.6</v>
      </c>
      <c r="C24" s="250">
        <f>'[1]September - 2021'!E24</f>
        <v>859805</v>
      </c>
      <c r="D24" s="170">
        <f>'[1]September - 2021'!F24</f>
        <v>798</v>
      </c>
      <c r="E24" s="168">
        <f>'[1]September - 2021'!G24</f>
        <v>516</v>
      </c>
      <c r="F24" s="168">
        <f>'[1]September - 2021'!H24</f>
        <v>56001</v>
      </c>
      <c r="G24" s="170">
        <f>'[1]September - 2021'!I24</f>
        <v>295</v>
      </c>
      <c r="H24" s="168">
        <f>'[1]September - 2021'!J24</f>
        <v>237</v>
      </c>
      <c r="I24" s="168">
        <f>'[1]September - 2021'!K24</f>
        <v>164625</v>
      </c>
      <c r="J24" s="170">
        <f>'[1]September - 2021'!L24</f>
        <v>0</v>
      </c>
      <c r="K24" s="168">
        <f>'[1]September - 2021'!N24</f>
        <v>794165</v>
      </c>
      <c r="L24" s="170">
        <f>'[1]September - 2021'!O24</f>
        <v>374</v>
      </c>
      <c r="M24" s="168">
        <f>'[1]September - 2021'!Q24</f>
        <v>180791</v>
      </c>
      <c r="N24" s="170">
        <f>'[1]September - 2021'!R24</f>
        <v>188</v>
      </c>
      <c r="O24" s="168">
        <f>'[1]September - 2021'!S24</f>
        <v>37913.660000000003</v>
      </c>
      <c r="P24" s="170">
        <f>'[1]September - 2021'!T24</f>
        <v>278.01000000000204</v>
      </c>
      <c r="Q24" s="168">
        <f>'[1]September - 2021'!U24</f>
        <v>148</v>
      </c>
      <c r="R24" s="168">
        <f>'[1]September - 2021'!V24</f>
        <v>1563</v>
      </c>
      <c r="S24" s="208">
        <f>'[1]September - 2021'!W24</f>
        <v>45</v>
      </c>
      <c r="T24" s="479"/>
      <c r="U24" s="169">
        <f>'[1]September - 2021'!AC24</f>
        <v>6924865.9199999999</v>
      </c>
      <c r="V24" s="291">
        <f>'[1]September - 2021'!AD24</f>
        <v>3069.3600000003353</v>
      </c>
      <c r="W24" s="92">
        <f>'[1]September - 2021'!AD24</f>
        <v>3069.3600000003353</v>
      </c>
      <c r="X24" s="290">
        <f>'[1]September - 2021'!AF24</f>
        <v>13349572.319999998</v>
      </c>
      <c r="Y24" s="291">
        <f>'[1]September - 2021'!AG24</f>
        <v>5018.1599999982864</v>
      </c>
      <c r="Z24" s="92">
        <f>'[1]September - 2021'!AG24</f>
        <v>5018.1599999982864</v>
      </c>
      <c r="AA24" s="290">
        <f>'[1]September - 2021'!AI24</f>
        <v>13199904.48</v>
      </c>
      <c r="AB24" s="291">
        <f>'[1]September - 2021'!AJ24</f>
        <v>11497.920000001788</v>
      </c>
      <c r="AC24" s="92">
        <f>'[1]September - 2021'!AJ24</f>
        <v>11497.920000001788</v>
      </c>
      <c r="AD24" s="290">
        <f>'[1]September - 2021'!AL24</f>
        <v>16178645.280000001</v>
      </c>
      <c r="AE24" s="291">
        <f>'[1]September - 2021'!AM24</f>
        <v>14177.519999999553</v>
      </c>
      <c r="AF24" s="92">
        <f>'[1]September - 2021'!AM24</f>
        <v>14177.519999999553</v>
      </c>
      <c r="AG24" s="290">
        <f>'[1]September - 2021'!AO24</f>
        <v>16572838.799999999</v>
      </c>
      <c r="AH24" s="291">
        <f>'[1]September - 2021'!AP24</f>
        <v>1510.3199999984354</v>
      </c>
      <c r="AI24" s="92">
        <f>'[1]September - 2021'!AP24</f>
        <v>1510.3199999984354</v>
      </c>
      <c r="AJ24" s="290">
        <f>'[1]September - 2021'!AR24</f>
        <v>14982325.68</v>
      </c>
      <c r="AK24" s="291">
        <f>'[1]September - 2021'!AS24</f>
        <v>5943.839999999851</v>
      </c>
      <c r="AL24" s="92">
        <f>'[1]September - 2021'!AS24</f>
        <v>5943.839999999851</v>
      </c>
      <c r="AM24" s="290">
        <f>'[1]September - 2021'!AU24</f>
        <v>12778086.719999999</v>
      </c>
      <c r="AN24" s="291">
        <f>'[1]September - 2021'!AV24</f>
        <v>4628.4000000003725</v>
      </c>
      <c r="AO24" s="92">
        <f>'[1]September - 2021'!AV24</f>
        <v>4628.4000000003725</v>
      </c>
      <c r="AP24" s="290">
        <f>'[1]September - 2021'!AX24</f>
        <v>12307256.640000001</v>
      </c>
      <c r="AQ24" s="291">
        <f>'[1]September - 2021'!AY24</f>
        <v>3946.3200000021607</v>
      </c>
      <c r="AR24" s="92">
        <f>'[1]September - 2021'!AY24</f>
        <v>3946.3200000021607</v>
      </c>
      <c r="AS24" s="290">
        <f>'[1]September - 2021'!BA24</f>
        <v>9816690.2400000002</v>
      </c>
      <c r="AT24" s="291">
        <f>'[1]September - 2021'!BB24</f>
        <v>3312.9599999990314</v>
      </c>
      <c r="AU24" s="92">
        <f>'[1]September - 2021'!BB24</f>
        <v>3312.9599999990314</v>
      </c>
      <c r="AV24" s="290">
        <f>'[1]September - 2021'!BD24</f>
        <v>15148460.880000001</v>
      </c>
      <c r="AW24" s="252">
        <f>'[1]September - 2021'!BE24</f>
        <v>6820.8000000007451</v>
      </c>
      <c r="AX24" s="253">
        <f>'[1]September - 2021'!BE24</f>
        <v>6820.8000000007451</v>
      </c>
      <c r="AY24" s="496"/>
      <c r="AZ24" s="272">
        <f>'[1]September - 2021'!BK24</f>
        <v>65574000</v>
      </c>
      <c r="BA24" s="179">
        <f>'[1]September - 2021'!BL24</f>
        <v>57100</v>
      </c>
      <c r="BB24" s="93">
        <f>'[1]September - 2021'!BL24</f>
        <v>57100</v>
      </c>
      <c r="BC24" s="272">
        <f>'[1]September - 2021'!BN24</f>
        <v>67890500</v>
      </c>
      <c r="BD24" s="245">
        <f>'[1]September - 2021'!BO24</f>
        <v>70300</v>
      </c>
      <c r="BE24" s="93">
        <f>'[1]September - 2021'!BO24</f>
        <v>70300</v>
      </c>
      <c r="BF24" s="272">
        <f>'[1]September - 2021'!BQ24</f>
        <v>62666400</v>
      </c>
      <c r="BG24" s="245">
        <f>'[1]September - 2021'!BR24</f>
        <v>0</v>
      </c>
      <c r="BH24" s="93">
        <f>'[1]September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- 2021'!BT24</f>
        <v>7118850</v>
      </c>
      <c r="BT24" s="185">
        <f>'[1]September - 2021'!BU24</f>
        <v>5740</v>
      </c>
      <c r="BU24" s="592"/>
      <c r="BV24" s="88">
        <f>'[1]September - 2021'!BW24</f>
        <v>0.69</v>
      </c>
      <c r="BW24" s="241">
        <f>'[1]September - 2021'!BX24</f>
        <v>4.0000000000000036E-2</v>
      </c>
      <c r="BX24" s="88">
        <f>'[1]September - 2021'!BX24</f>
        <v>4.0000000000000036E-2</v>
      </c>
      <c r="BY24" s="89">
        <f>'[1]September - 2021'!BZ24</f>
        <v>55502</v>
      </c>
      <c r="BZ24" s="191">
        <f>'[1]September - 2021'!CA24</f>
        <v>14</v>
      </c>
      <c r="CA24" s="89">
        <f>'[1]September - 2021'!CB24</f>
        <v>47004</v>
      </c>
      <c r="CB24" s="191">
        <f>'[1]September - 2021'!CC24</f>
        <v>15</v>
      </c>
      <c r="CC24" s="89">
        <f>'[1]September - 2021'!CD24</f>
        <v>16241</v>
      </c>
      <c r="CD24" s="191">
        <f>'[1]September - 2021'!CE24</f>
        <v>6</v>
      </c>
      <c r="CE24" s="89">
        <f>'[1]September - 2021'!CF24</f>
        <v>21183</v>
      </c>
      <c r="CF24" s="191">
        <f>'[1]September - 2021'!CG24</f>
        <v>10</v>
      </c>
      <c r="CG24" s="89">
        <f>'[1]September - 2021'!CH24</f>
        <v>22948</v>
      </c>
      <c r="CH24" s="191">
        <f>'[1]September - 2021'!CI24</f>
        <v>10</v>
      </c>
      <c r="CI24" s="89">
        <f>'[1]September - 2021'!CJ24</f>
        <v>51171</v>
      </c>
      <c r="CJ24" s="191">
        <f>'[1]September - 2021'!CK24</f>
        <v>28</v>
      </c>
      <c r="CK24" s="89">
        <f>'[1]September - 2021'!CL24</f>
        <v>225953</v>
      </c>
      <c r="CL24" s="246">
        <f>'[1]September - 2021'!CM24</f>
        <v>93</v>
      </c>
      <c r="CM24" s="89">
        <f>'[1]September - 2021'!CM24</f>
        <v>93</v>
      </c>
      <c r="CN24" s="89">
        <f>'[1]September - 2021'!CO24</f>
        <v>171985</v>
      </c>
      <c r="CO24" s="246">
        <f>'[1]September - 2021'!CP24</f>
        <v>69</v>
      </c>
      <c r="CP24" s="89">
        <f>'[1]September - 2021'!CP24</f>
        <v>69</v>
      </c>
      <c r="CQ24" s="89">
        <f>'[1]September - 2021'!CR24</f>
        <v>308195</v>
      </c>
      <c r="CR24" s="246">
        <f>'[1]September - 2021'!CS24</f>
        <v>0</v>
      </c>
      <c r="CS24" s="89">
        <f>'[1]September - 2021'!CS24</f>
        <v>0</v>
      </c>
      <c r="CT24" s="89">
        <f>'[1]September - 2021'!CU24</f>
        <v>601270</v>
      </c>
      <c r="CU24" s="191">
        <f>'[1]September - 2021'!CV24</f>
        <v>239</v>
      </c>
      <c r="CV24" s="520"/>
      <c r="CW24" s="256">
        <f>'[1]September - 2021'!CX24</f>
        <v>5686</v>
      </c>
      <c r="CX24" s="198">
        <f>'[1]September - 2021'!CY24</f>
        <v>6</v>
      </c>
      <c r="CY24" s="257">
        <f>'[1]September - 2021'!CZ24</f>
        <v>3245</v>
      </c>
      <c r="CZ24" s="198">
        <f>'[1]September - 2021'!DA24</f>
        <v>6</v>
      </c>
      <c r="DA24" s="257">
        <f>'[1]September - 2021'!DB24</f>
        <v>25454</v>
      </c>
      <c r="DB24" s="198">
        <f>'[1]September - 2021'!DC24</f>
        <v>14</v>
      </c>
      <c r="DC24" s="257">
        <f>'[1]September - 2021'!DD24</f>
        <v>26138</v>
      </c>
      <c r="DD24" s="198">
        <f>'[1]September - 2021'!DE24</f>
        <v>10</v>
      </c>
      <c r="DE24" s="257">
        <f>'[1]September - 2021'!DF24</f>
        <v>17962</v>
      </c>
      <c r="DF24" s="198">
        <f>'[1]September - 2021'!DG24</f>
        <v>7</v>
      </c>
      <c r="DG24" s="257">
        <f>'[1]September - 2021'!DH24</f>
        <v>21064</v>
      </c>
      <c r="DH24" s="198">
        <f>'[1]September - 2021'!DI24</f>
        <v>12</v>
      </c>
      <c r="DI24" s="257">
        <f>'[1]September - 2021'!DJ24</f>
        <v>2505</v>
      </c>
      <c r="DJ24" s="198">
        <f>'[1]September - 2021'!DK24</f>
        <v>9</v>
      </c>
      <c r="DK24" s="257">
        <f>'[1]September - 2021'!DL24</f>
        <v>5732</v>
      </c>
      <c r="DL24" s="198">
        <f>'[1]September - 2021'!DM24</f>
        <v>15</v>
      </c>
      <c r="DM24" s="257">
        <f>'[1]September - 2021'!DN24</f>
        <v>1380</v>
      </c>
      <c r="DN24" s="198">
        <f>'[1]September - 2021'!DO24</f>
        <v>8</v>
      </c>
      <c r="DO24" s="257">
        <f>'[1]September - 2021'!DP24</f>
        <v>2947</v>
      </c>
      <c r="DP24" s="198">
        <f>'[1]September - 2021'!DQ24</f>
        <v>3</v>
      </c>
      <c r="DQ24" s="257">
        <f>'[1]September - 2021'!DR24</f>
        <v>25904</v>
      </c>
      <c r="DR24" s="206">
        <f>'[1]September - 2021'!DS24</f>
        <v>0</v>
      </c>
      <c r="DS24" s="536"/>
      <c r="DT24" s="210">
        <f>'[1]September - 2021'!DU24</f>
        <v>2307.3000000000002</v>
      </c>
      <c r="DU24" s="221">
        <f>'[1]September - 2021'!DV24</f>
        <v>10.300000000000182</v>
      </c>
      <c r="DV24" s="91">
        <f>'[1]September - 2021'!DW24</f>
        <v>7547.1</v>
      </c>
      <c r="DW24" s="215">
        <f>'[1]September - 2021'!DX24</f>
        <v>8.3000000000001819</v>
      </c>
      <c r="DX24" s="91">
        <f>'[1]September - 2021'!DY24</f>
        <v>1737.4</v>
      </c>
      <c r="DY24" s="215">
        <f>'[1]September - 2021'!DZ24</f>
        <v>7.5</v>
      </c>
      <c r="DZ24" s="91">
        <f>'[1]September - 2021'!EA24</f>
        <v>1659</v>
      </c>
      <c r="EA24" s="215">
        <f>'[1]September - 2021'!EB24</f>
        <v>11.400000000000091</v>
      </c>
      <c r="EB24" s="91">
        <f>'[1]September - 2021'!EC24</f>
        <v>815323</v>
      </c>
      <c r="EC24" s="215">
        <f>'[1]September - 2021'!ED24</f>
        <v>759</v>
      </c>
      <c r="ED24" s="91">
        <f>'[1]September - 2021'!EG24</f>
        <v>163352.79999999999</v>
      </c>
      <c r="EE24" s="229">
        <f>'[1]September - 2021'!EH24</f>
        <v>157.5</v>
      </c>
      <c r="EF24" s="583"/>
      <c r="EG24" s="235">
        <f>'[1]September - 2021'!EJ24</f>
        <v>9949900</v>
      </c>
      <c r="EH24" s="230">
        <f>'[1]September - 2021'!EK24</f>
        <v>8500</v>
      </c>
      <c r="EI24" s="90">
        <f>'[1]September - 2021'!EL24</f>
        <v>796020</v>
      </c>
      <c r="EJ24" s="230">
        <f>'[1]September - 2021'!EM24</f>
        <v>450</v>
      </c>
      <c r="EK24" s="90">
        <f>'[1]September - 2021'!EN24</f>
        <v>6188700</v>
      </c>
      <c r="EL24" s="230">
        <f>'[1]September - 2021'!EO24</f>
        <v>3700</v>
      </c>
      <c r="EM24" s="90">
        <f>'[1]September - 2021'!EP24</f>
        <v>2187100</v>
      </c>
      <c r="EN24" s="230">
        <f>'[1]September - 2021'!EQ24</f>
        <v>1300</v>
      </c>
      <c r="EO24" s="90">
        <f>'[1]September - 2021'!ER24</f>
        <v>928250</v>
      </c>
      <c r="EP24" s="230">
        <f>'[1]September - 2021'!ES24</f>
        <v>980</v>
      </c>
      <c r="EQ24" s="90">
        <f>'[1]September - 2021'!ET24</f>
        <v>13764800</v>
      </c>
      <c r="ER24" s="230">
        <f>'[1]September - 2021'!EU24</f>
        <v>10600</v>
      </c>
      <c r="ES24" s="558"/>
      <c r="ET24" s="284">
        <f>'[1]September - 2021'!EW24</f>
        <v>36228</v>
      </c>
      <c r="EU24" s="278">
        <f>'[1]September - 2021'!EX24</f>
        <v>15</v>
      </c>
      <c r="EV24" s="285">
        <f>'[1]September - 2021'!EY24</f>
        <v>31328</v>
      </c>
      <c r="EW24" s="278">
        <f>'[1]September - 2021'!EZ24</f>
        <v>12</v>
      </c>
      <c r="EX24" s="285">
        <f>'[1]September - 2021'!FA24</f>
        <v>2432</v>
      </c>
      <c r="EY24" s="278">
        <f>'[1]September - 2021'!FB24</f>
        <v>12</v>
      </c>
      <c r="EZ24" s="285">
        <f>'[1]September - 2021'!FC24</f>
        <v>52612</v>
      </c>
      <c r="FA24" s="278">
        <f>'[1]September - 2021'!FD24</f>
        <v>15</v>
      </c>
      <c r="FB24" s="285">
        <f>'[1]September - 2021'!FE24</f>
        <v>35101</v>
      </c>
      <c r="FC24" s="279">
        <f>'[1]September - 2021'!FF24</f>
        <v>28</v>
      </c>
    </row>
    <row r="25" spans="1:159" ht="30" customHeight="1" x14ac:dyDescent="0.25">
      <c r="A25" s="207">
        <v>43846</v>
      </c>
      <c r="B25" s="209">
        <f>'[1]September - 2021'!B25</f>
        <v>0.61</v>
      </c>
      <c r="C25" s="250">
        <f>'[1]September - 2021'!E25</f>
        <v>860745</v>
      </c>
      <c r="D25" s="170">
        <f>'[1]September - 2021'!F25</f>
        <v>940</v>
      </c>
      <c r="E25" s="168">
        <f>'[1]September - 2021'!G25</f>
        <v>676</v>
      </c>
      <c r="F25" s="168">
        <f>'[1]September - 2021'!H25</f>
        <v>56376</v>
      </c>
      <c r="G25" s="170">
        <f>'[1]September - 2021'!I25</f>
        <v>375</v>
      </c>
      <c r="H25" s="168">
        <f>'[1]September - 2021'!J25</f>
        <v>395</v>
      </c>
      <c r="I25" s="168">
        <f>'[1]September - 2021'!K25</f>
        <v>164625</v>
      </c>
      <c r="J25" s="170">
        <f>'[1]September - 2021'!L25</f>
        <v>0</v>
      </c>
      <c r="K25" s="168">
        <f>'[1]September - 2021'!N25</f>
        <v>794559</v>
      </c>
      <c r="L25" s="170">
        <f>'[1]September - 2021'!O25</f>
        <v>394</v>
      </c>
      <c r="M25" s="168">
        <f>'[1]September - 2021'!Q25</f>
        <v>180956</v>
      </c>
      <c r="N25" s="170">
        <f>'[1]September - 2021'!R25</f>
        <v>165</v>
      </c>
      <c r="O25" s="168">
        <f>'[1]September - 2021'!S25</f>
        <v>38192.04</v>
      </c>
      <c r="P25" s="170">
        <f>'[1]September - 2021'!T25</f>
        <v>278.37999999999738</v>
      </c>
      <c r="Q25" s="168">
        <f>'[1]September - 2021'!U25</f>
        <v>170</v>
      </c>
      <c r="R25" s="168">
        <f>'[1]September - 2021'!V25</f>
        <v>1587</v>
      </c>
      <c r="S25" s="208">
        <f>'[1]September - 2021'!W25</f>
        <v>24</v>
      </c>
      <c r="T25" s="479"/>
      <c r="U25" s="169">
        <f>'[1]September - 2021'!AC25</f>
        <v>6927886.5599999996</v>
      </c>
      <c r="V25" s="291">
        <f>'[1]September - 2021'!AD25</f>
        <v>3020.6399999996647</v>
      </c>
      <c r="W25" s="92">
        <f>'[1]September - 2021'!AD25</f>
        <v>3020.6399999996647</v>
      </c>
      <c r="X25" s="290">
        <f>'[1]September - 2021'!AF25</f>
        <v>13354346.880000001</v>
      </c>
      <c r="Y25" s="291">
        <f>'[1]September - 2021'!AG25</f>
        <v>4774.5600000023842</v>
      </c>
      <c r="Z25" s="92">
        <f>'[1]September - 2021'!AG25</f>
        <v>4774.5600000023842</v>
      </c>
      <c r="AA25" s="290">
        <f>'[1]September - 2021'!AI25</f>
        <v>13211012.640000001</v>
      </c>
      <c r="AB25" s="291">
        <f>'[1]September - 2021'!AJ25</f>
        <v>11108.160000000149</v>
      </c>
      <c r="AC25" s="92">
        <f>'[1]September - 2021'!AJ25</f>
        <v>11108.160000000149</v>
      </c>
      <c r="AD25" s="290">
        <f>'[1]September - 2021'!AL25</f>
        <v>16192238.16</v>
      </c>
      <c r="AE25" s="291">
        <f>'[1]September - 2021'!AM25</f>
        <v>13592.879999998957</v>
      </c>
      <c r="AF25" s="92">
        <f>'[1]September - 2021'!AM25</f>
        <v>13592.879999998957</v>
      </c>
      <c r="AG25" s="290">
        <f>'[1]September - 2021'!AO25</f>
        <v>16574397.839999998</v>
      </c>
      <c r="AH25" s="291">
        <f>'[1]September - 2021'!AP25</f>
        <v>1559.0399999991059</v>
      </c>
      <c r="AI25" s="92">
        <f>'[1]September - 2021'!AP25</f>
        <v>1559.0399999991059</v>
      </c>
      <c r="AJ25" s="290">
        <f>'[1]September - 2021'!AR25</f>
        <v>14988610.559999999</v>
      </c>
      <c r="AK25" s="291">
        <f>'[1]September - 2021'!AS25</f>
        <v>6284.8799999989569</v>
      </c>
      <c r="AL25" s="92">
        <f>'[1]September - 2021'!AS25</f>
        <v>6284.8799999989569</v>
      </c>
      <c r="AM25" s="290">
        <f>'[1]September - 2021'!AU25</f>
        <v>12782666.4</v>
      </c>
      <c r="AN25" s="291">
        <f>'[1]September - 2021'!AV25</f>
        <v>4579.6800000015646</v>
      </c>
      <c r="AO25" s="92">
        <f>'[1]September - 2021'!AV25</f>
        <v>4579.6800000015646</v>
      </c>
      <c r="AP25" s="290">
        <f>'[1]September - 2021'!AX25</f>
        <v>12311641.439999999</v>
      </c>
      <c r="AQ25" s="291">
        <f>'[1]September - 2021'!AY25</f>
        <v>4384.7999999988824</v>
      </c>
      <c r="AR25" s="92">
        <f>'[1]September - 2021'!AY25</f>
        <v>4384.7999999988824</v>
      </c>
      <c r="AS25" s="290">
        <f>'[1]September - 2021'!BA25</f>
        <v>9820539.1199999992</v>
      </c>
      <c r="AT25" s="291">
        <f>'[1]September - 2021'!BB25</f>
        <v>3848.8799999989569</v>
      </c>
      <c r="AU25" s="92">
        <f>'[1]September - 2021'!BB25</f>
        <v>3848.8799999989569</v>
      </c>
      <c r="AV25" s="290">
        <f>'[1]September - 2021'!BD25</f>
        <v>15154794.48</v>
      </c>
      <c r="AW25" s="252">
        <f>'[1]September - 2021'!BE25</f>
        <v>6333.5999999996275</v>
      </c>
      <c r="AX25" s="253">
        <f>'[1]September - 2021'!BE25</f>
        <v>6333.5999999996275</v>
      </c>
      <c r="AY25" s="496"/>
      <c r="AZ25" s="272">
        <f>'[1]September - 2021'!BK25</f>
        <v>65628400</v>
      </c>
      <c r="BA25" s="179">
        <f>'[1]September - 2021'!BL25</f>
        <v>54400</v>
      </c>
      <c r="BB25" s="93">
        <f>'[1]September - 2021'!BL25</f>
        <v>54400</v>
      </c>
      <c r="BC25" s="272">
        <f>'[1]September - 2021'!BN25</f>
        <v>67960100</v>
      </c>
      <c r="BD25" s="245">
        <f>'[1]September - 2021'!BO25</f>
        <v>69600</v>
      </c>
      <c r="BE25" s="93">
        <f>'[1]September - 2021'!BO25</f>
        <v>69600</v>
      </c>
      <c r="BF25" s="272">
        <f>'[1]September - 2021'!BQ25</f>
        <v>62666400</v>
      </c>
      <c r="BG25" s="245">
        <f>'[1]September - 2021'!BR25</f>
        <v>0</v>
      </c>
      <c r="BH25" s="93">
        <f>'[1]September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- 2021'!BT25</f>
        <v>7126490</v>
      </c>
      <c r="BT25" s="185">
        <f>'[1]September - 2021'!BU25</f>
        <v>7640</v>
      </c>
      <c r="BU25" s="592"/>
      <c r="BV25" s="88">
        <f>'[1]September - 2021'!BW25</f>
        <v>0.65</v>
      </c>
      <c r="BW25" s="241">
        <f>'[1]September - 2021'!BX25</f>
        <v>3.9999999999999925E-2</v>
      </c>
      <c r="BX25" s="88">
        <f>'[1]September - 2021'!BX25</f>
        <v>3.9999999999999925E-2</v>
      </c>
      <c r="BY25" s="89">
        <f>'[1]September - 2021'!BZ25</f>
        <v>55518</v>
      </c>
      <c r="BZ25" s="191">
        <f>'[1]September - 2021'!CA25</f>
        <v>16</v>
      </c>
      <c r="CA25" s="89">
        <f>'[1]September - 2021'!CB25</f>
        <v>47021</v>
      </c>
      <c r="CB25" s="191">
        <f>'[1]September - 2021'!CC25</f>
        <v>17</v>
      </c>
      <c r="CC25" s="89">
        <f>'[1]September - 2021'!CD25</f>
        <v>16248</v>
      </c>
      <c r="CD25" s="191">
        <f>'[1]September - 2021'!CE25</f>
        <v>7</v>
      </c>
      <c r="CE25" s="89">
        <f>'[1]September - 2021'!CF25</f>
        <v>21193</v>
      </c>
      <c r="CF25" s="191">
        <f>'[1]September - 2021'!CG25</f>
        <v>10</v>
      </c>
      <c r="CG25" s="89">
        <f>'[1]September - 2021'!CH25</f>
        <v>22966</v>
      </c>
      <c r="CH25" s="191">
        <f>'[1]September - 2021'!CI25</f>
        <v>18</v>
      </c>
      <c r="CI25" s="89">
        <f>'[1]September - 2021'!CJ25</f>
        <v>51199</v>
      </c>
      <c r="CJ25" s="191">
        <f>'[1]September - 2021'!CK25</f>
        <v>28</v>
      </c>
      <c r="CK25" s="89">
        <f>'[1]September - 2021'!CL25</f>
        <v>226047</v>
      </c>
      <c r="CL25" s="246">
        <f>'[1]September - 2021'!CM25</f>
        <v>94</v>
      </c>
      <c r="CM25" s="89">
        <f>'[1]September - 2021'!CM25</f>
        <v>94</v>
      </c>
      <c r="CN25" s="89">
        <f>'[1]September - 2021'!CO25</f>
        <v>172068</v>
      </c>
      <c r="CO25" s="246">
        <f>'[1]September - 2021'!CP25</f>
        <v>83</v>
      </c>
      <c r="CP25" s="89">
        <f>'[1]September - 2021'!CP25</f>
        <v>83</v>
      </c>
      <c r="CQ25" s="89">
        <f>'[1]September - 2021'!CR25</f>
        <v>308195</v>
      </c>
      <c r="CR25" s="246">
        <f>'[1]September - 2021'!CS25</f>
        <v>0</v>
      </c>
      <c r="CS25" s="89">
        <f>'[1]September - 2021'!CS25</f>
        <v>0</v>
      </c>
      <c r="CT25" s="89">
        <f>'[1]September - 2021'!CU25</f>
        <v>601494</v>
      </c>
      <c r="CU25" s="191">
        <f>'[1]September - 2021'!CV25</f>
        <v>224</v>
      </c>
      <c r="CV25" s="520"/>
      <c r="CW25" s="256">
        <f>'[1]September - 2021'!CX25</f>
        <v>0</v>
      </c>
      <c r="CX25" s="198">
        <f>'[1]September - 2021'!CY25</f>
        <v>-5686</v>
      </c>
      <c r="CY25" s="257">
        <f>'[1]September - 2021'!CZ25</f>
        <v>0</v>
      </c>
      <c r="CZ25" s="198">
        <f>'[1]September - 2021'!DA25</f>
        <v>-3245</v>
      </c>
      <c r="DA25" s="257">
        <f>'[1]September - 2021'!DB25</f>
        <v>25469</v>
      </c>
      <c r="DB25" s="198">
        <f>'[1]September - 2021'!DC25</f>
        <v>15</v>
      </c>
      <c r="DC25" s="257">
        <f>'[1]September - 2021'!DD25</f>
        <v>26151</v>
      </c>
      <c r="DD25" s="198">
        <f>'[1]September - 2021'!DE25</f>
        <v>13</v>
      </c>
      <c r="DE25" s="257">
        <f>'[1]September - 2021'!DF25</f>
        <v>17969</v>
      </c>
      <c r="DF25" s="198">
        <f>'[1]September - 2021'!DG25</f>
        <v>7</v>
      </c>
      <c r="DG25" s="257">
        <f>'[1]September - 2021'!DH25</f>
        <v>21071</v>
      </c>
      <c r="DH25" s="198">
        <f>'[1]September - 2021'!DI25</f>
        <v>7</v>
      </c>
      <c r="DI25" s="257">
        <f>'[1]September - 2021'!DJ25</f>
        <v>2514</v>
      </c>
      <c r="DJ25" s="198">
        <f>'[1]September - 2021'!DK25</f>
        <v>9</v>
      </c>
      <c r="DK25" s="257">
        <f>'[1]September - 2021'!DL25</f>
        <v>5749</v>
      </c>
      <c r="DL25" s="198">
        <f>'[1]September - 2021'!DM25</f>
        <v>17</v>
      </c>
      <c r="DM25" s="257">
        <f>'[1]September - 2021'!DN25</f>
        <v>1389</v>
      </c>
      <c r="DN25" s="198">
        <f>'[1]September - 2021'!DO25</f>
        <v>9</v>
      </c>
      <c r="DO25" s="257">
        <f>'[1]September - 2021'!DP25</f>
        <v>2952</v>
      </c>
      <c r="DP25" s="198">
        <f>'[1]September - 2021'!DQ25</f>
        <v>5</v>
      </c>
      <c r="DQ25" s="257">
        <f>'[1]September - 2021'!DR25</f>
        <v>25911</v>
      </c>
      <c r="DR25" s="206">
        <f>'[1]September - 2021'!DS25</f>
        <v>7</v>
      </c>
      <c r="DS25" s="536"/>
      <c r="DT25" s="210">
        <f>'[1]September - 2021'!DU25</f>
        <v>2317.4</v>
      </c>
      <c r="DU25" s="221">
        <f>'[1]September - 2021'!DV25</f>
        <v>10.099999999999909</v>
      </c>
      <c r="DV25" s="91">
        <f>'[1]September - 2021'!DW25</f>
        <v>7555.8</v>
      </c>
      <c r="DW25" s="215">
        <f>'[1]September - 2021'!DX25</f>
        <v>8.6999999999998181</v>
      </c>
      <c r="DX25" s="91">
        <f>'[1]September - 2021'!DY25</f>
        <v>1745</v>
      </c>
      <c r="DY25" s="215">
        <f>'[1]September - 2021'!DZ25</f>
        <v>7.5999999999999091</v>
      </c>
      <c r="DZ25" s="91">
        <f>'[1]September - 2021'!EA25</f>
        <v>1670</v>
      </c>
      <c r="EA25" s="215">
        <f>'[1]September - 2021'!EB25</f>
        <v>11</v>
      </c>
      <c r="EB25" s="91">
        <f>'[1]September - 2021'!EC25</f>
        <v>816094</v>
      </c>
      <c r="EC25" s="215">
        <f>'[1]September - 2021'!ED25</f>
        <v>771</v>
      </c>
      <c r="ED25" s="91">
        <f>'[1]September - 2021'!EG25</f>
        <v>163507.29999999999</v>
      </c>
      <c r="EE25" s="229">
        <f>'[1]September - 2021'!EH25</f>
        <v>154.5</v>
      </c>
      <c r="EF25" s="583"/>
      <c r="EG25" s="235">
        <f>'[1]September - 2021'!EJ25</f>
        <v>9958100</v>
      </c>
      <c r="EH25" s="230">
        <f>'[1]September - 2021'!EK25</f>
        <v>8200</v>
      </c>
      <c r="EI25" s="90">
        <f>'[1]September - 2021'!EL25</f>
        <v>796450</v>
      </c>
      <c r="EJ25" s="230">
        <f>'[1]September - 2021'!EM25</f>
        <v>430</v>
      </c>
      <c r="EK25" s="90">
        <f>'[1]September - 2021'!EN25</f>
        <v>6192100</v>
      </c>
      <c r="EL25" s="230">
        <f>'[1]September - 2021'!EO25</f>
        <v>3400</v>
      </c>
      <c r="EM25" s="90">
        <f>'[1]September - 2021'!EP25</f>
        <v>2188300</v>
      </c>
      <c r="EN25" s="230">
        <f>'[1]September - 2021'!EQ25</f>
        <v>1200</v>
      </c>
      <c r="EO25" s="90">
        <f>'[1]September - 2021'!ER25</f>
        <v>929220</v>
      </c>
      <c r="EP25" s="230">
        <f>'[1]September - 2021'!ES25</f>
        <v>970</v>
      </c>
      <c r="EQ25" s="90">
        <f>'[1]September - 2021'!ET25</f>
        <v>13774700</v>
      </c>
      <c r="ER25" s="230">
        <f>'[1]September - 2021'!EU25</f>
        <v>9900</v>
      </c>
      <c r="ES25" s="558"/>
      <c r="ET25" s="284">
        <f>'[1]September - 2021'!EW25</f>
        <v>36243</v>
      </c>
      <c r="EU25" s="278">
        <f>'[1]September - 2021'!EX25</f>
        <v>15</v>
      </c>
      <c r="EV25" s="285">
        <f>'[1]September - 2021'!EY25</f>
        <v>31343</v>
      </c>
      <c r="EW25" s="278">
        <f>'[1]September - 2021'!EZ25</f>
        <v>15</v>
      </c>
      <c r="EX25" s="285">
        <f>'[1]September - 2021'!FA25</f>
        <v>2445</v>
      </c>
      <c r="EY25" s="278">
        <f>'[1]September - 2021'!FB25</f>
        <v>13</v>
      </c>
      <c r="EZ25" s="285">
        <f>'[1]September - 2021'!FC25</f>
        <v>0</v>
      </c>
      <c r="FA25" s="278">
        <f>'[1]September - 2021'!FD25</f>
        <v>-52612</v>
      </c>
      <c r="FB25" s="285">
        <f>'[1]September - 2021'!FE25</f>
        <v>35127</v>
      </c>
      <c r="FC25" s="279">
        <f>'[1]September - 2021'!FF25</f>
        <v>26</v>
      </c>
    </row>
    <row r="26" spans="1:159" ht="30" customHeight="1" x14ac:dyDescent="0.25">
      <c r="A26" s="207">
        <v>43847</v>
      </c>
      <c r="B26" s="209">
        <f>'[1]September - 2021'!B26</f>
        <v>0</v>
      </c>
      <c r="C26" s="250">
        <f>'[1]September - 2021'!E26</f>
        <v>0</v>
      </c>
      <c r="D26" s="170">
        <f>'[1]September - 2021'!F26</f>
        <v>-860745</v>
      </c>
      <c r="E26" s="168">
        <f>'[1]September - 2021'!G26</f>
        <v>590</v>
      </c>
      <c r="F26" s="168">
        <f>'[1]September - 2021'!H26</f>
        <v>0</v>
      </c>
      <c r="G26" s="170">
        <f>'[1]September - 2021'!I26</f>
        <v>-56376</v>
      </c>
      <c r="H26" s="168">
        <f>'[1]September - 2021'!J26</f>
        <v>384</v>
      </c>
      <c r="I26" s="168">
        <f>'[1]September - 2021'!K26</f>
        <v>0</v>
      </c>
      <c r="J26" s="170">
        <f>'[1]September - 2021'!L26</f>
        <v>-164625</v>
      </c>
      <c r="K26" s="168">
        <f>'[1]September - 2021'!N26</f>
        <v>0</v>
      </c>
      <c r="L26" s="170">
        <f>'[1]September - 2021'!O26</f>
        <v>-794559</v>
      </c>
      <c r="M26" s="168">
        <f>'[1]September - 2021'!Q26</f>
        <v>0</v>
      </c>
      <c r="N26" s="170">
        <f>'[1]September - 2021'!R26</f>
        <v>-180956</v>
      </c>
      <c r="O26" s="168">
        <f>'[1]September - 2021'!S26</f>
        <v>0</v>
      </c>
      <c r="P26" s="170">
        <f>'[1]September - 2021'!T26</f>
        <v>-38192.04</v>
      </c>
      <c r="Q26" s="168">
        <f>'[1]September - 2021'!U26</f>
        <v>163</v>
      </c>
      <c r="R26" s="168">
        <f>'[1]September - 2021'!V26</f>
        <v>0</v>
      </c>
      <c r="S26" s="208">
        <f>'[1]September - 2021'!W26</f>
        <v>-1587</v>
      </c>
      <c r="T26" s="479"/>
      <c r="U26" s="169">
        <f>'[1]September - 2021'!AC26</f>
        <v>0</v>
      </c>
      <c r="V26" s="291">
        <f>'[1]September - 2021'!AD26</f>
        <v>-6927886.5599999996</v>
      </c>
      <c r="W26" s="92">
        <f>'[1]September - 2021'!AD26</f>
        <v>-6927886.5599999996</v>
      </c>
      <c r="X26" s="290">
        <f>'[1]September - 2021'!AF26</f>
        <v>0</v>
      </c>
      <c r="Y26" s="291">
        <f>'[1]September - 2021'!AG26</f>
        <v>-13354346.880000001</v>
      </c>
      <c r="Z26" s="92">
        <f>'[1]September - 2021'!AG26</f>
        <v>-13354346.880000001</v>
      </c>
      <c r="AA26" s="290">
        <f>'[1]September - 2021'!AI26</f>
        <v>0</v>
      </c>
      <c r="AB26" s="291">
        <f>'[1]September - 2021'!AJ26</f>
        <v>-13211012.640000001</v>
      </c>
      <c r="AC26" s="92">
        <f>'[1]September - 2021'!AJ26</f>
        <v>-13211012.640000001</v>
      </c>
      <c r="AD26" s="290">
        <f>'[1]September - 2021'!AL26</f>
        <v>0</v>
      </c>
      <c r="AE26" s="291">
        <f>'[1]September - 2021'!AM26</f>
        <v>-16192238.16</v>
      </c>
      <c r="AF26" s="92">
        <f>'[1]September - 2021'!AM26</f>
        <v>-16192238.16</v>
      </c>
      <c r="AG26" s="290">
        <f>'[1]September - 2021'!AO26</f>
        <v>0</v>
      </c>
      <c r="AH26" s="291">
        <f>'[1]September - 2021'!AP26</f>
        <v>-16574397.839999998</v>
      </c>
      <c r="AI26" s="92">
        <f>'[1]September - 2021'!AP26</f>
        <v>-16574397.839999998</v>
      </c>
      <c r="AJ26" s="290">
        <f>'[1]September - 2021'!AR26</f>
        <v>0</v>
      </c>
      <c r="AK26" s="291">
        <f>'[1]September - 2021'!AS26</f>
        <v>-14988610.559999999</v>
      </c>
      <c r="AL26" s="92">
        <f>'[1]September - 2021'!AS26</f>
        <v>-14988610.559999999</v>
      </c>
      <c r="AM26" s="290">
        <f>'[1]September - 2021'!AU26</f>
        <v>0</v>
      </c>
      <c r="AN26" s="291">
        <f>'[1]September - 2021'!AV26</f>
        <v>-12782666.4</v>
      </c>
      <c r="AO26" s="92">
        <f>'[1]September - 2021'!AV26</f>
        <v>-12782666.4</v>
      </c>
      <c r="AP26" s="290">
        <f>'[1]September - 2021'!AX26</f>
        <v>0</v>
      </c>
      <c r="AQ26" s="291">
        <f>'[1]September - 2021'!AY26</f>
        <v>-12311641.439999999</v>
      </c>
      <c r="AR26" s="92">
        <f>'[1]September - 2021'!AY26</f>
        <v>-12311641.439999999</v>
      </c>
      <c r="AS26" s="290">
        <f>'[1]September - 2021'!BA26</f>
        <v>0</v>
      </c>
      <c r="AT26" s="291">
        <f>'[1]September - 2021'!BB26</f>
        <v>-9820539.1199999992</v>
      </c>
      <c r="AU26" s="92">
        <f>'[1]September - 2021'!BB26</f>
        <v>-9820539.1199999992</v>
      </c>
      <c r="AV26" s="290">
        <f>'[1]September - 2021'!BD26</f>
        <v>0</v>
      </c>
      <c r="AW26" s="252">
        <f>'[1]September - 2021'!BE26</f>
        <v>-15154794.48</v>
      </c>
      <c r="AX26" s="253">
        <f>'[1]September - 2021'!BE26</f>
        <v>-15154794.48</v>
      </c>
      <c r="AY26" s="496"/>
      <c r="AZ26" s="272">
        <f>'[1]September - 2021'!BK26</f>
        <v>0</v>
      </c>
      <c r="BA26" s="179">
        <f>'[1]September - 2021'!BL26</f>
        <v>-65628400</v>
      </c>
      <c r="BB26" s="93">
        <f>'[1]September - 2021'!BL26</f>
        <v>-65628400</v>
      </c>
      <c r="BC26" s="272">
        <f>'[1]September - 2021'!BN26</f>
        <v>0</v>
      </c>
      <c r="BD26" s="245">
        <f>'[1]September - 2021'!BO26</f>
        <v>-67960100</v>
      </c>
      <c r="BE26" s="93">
        <f>'[1]September - 2021'!BO26</f>
        <v>-67960100</v>
      </c>
      <c r="BF26" s="272">
        <f>'[1]September - 2021'!BQ26</f>
        <v>0</v>
      </c>
      <c r="BG26" s="245">
        <f>'[1]September - 2021'!BR26</f>
        <v>-62666400</v>
      </c>
      <c r="BH26" s="93">
        <f>'[1]September - 2021'!BR26</f>
        <v>-62666400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- 2021'!BT26</f>
        <v>0</v>
      </c>
      <c r="BT26" s="185">
        <f>'[1]September - 2021'!BU26</f>
        <v>-7126490</v>
      </c>
      <c r="BU26" s="592"/>
      <c r="BV26" s="88">
        <f>'[1]September - 2021'!BW26</f>
        <v>0</v>
      </c>
      <c r="BW26" s="241">
        <f>'[1]September - 2021'!BX26</f>
        <v>0.65</v>
      </c>
      <c r="BX26" s="88">
        <f>'[1]September - 2021'!BX26</f>
        <v>0.65</v>
      </c>
      <c r="BY26" s="89">
        <f>'[1]September - 2021'!BZ26</f>
        <v>0</v>
      </c>
      <c r="BZ26" s="191">
        <f>'[1]September - 2021'!CA26</f>
        <v>-55518</v>
      </c>
      <c r="CA26" s="89">
        <f>'[1]September - 2021'!CB26</f>
        <v>0</v>
      </c>
      <c r="CB26" s="191">
        <f>'[1]September - 2021'!CC26</f>
        <v>-47021</v>
      </c>
      <c r="CC26" s="89">
        <f>'[1]September - 2021'!CD26</f>
        <v>0</v>
      </c>
      <c r="CD26" s="191">
        <f>'[1]September - 2021'!CE26</f>
        <v>-16248</v>
      </c>
      <c r="CE26" s="89">
        <f>'[1]September - 2021'!CF26</f>
        <v>0</v>
      </c>
      <c r="CF26" s="191">
        <f>'[1]September - 2021'!CG26</f>
        <v>-21193</v>
      </c>
      <c r="CG26" s="89">
        <f>'[1]September - 2021'!CH26</f>
        <v>0</v>
      </c>
      <c r="CH26" s="191">
        <f>'[1]September - 2021'!CI26</f>
        <v>-22966</v>
      </c>
      <c r="CI26" s="89">
        <f>'[1]September - 2021'!CJ26</f>
        <v>0</v>
      </c>
      <c r="CJ26" s="191">
        <f>'[1]September - 2021'!CK26</f>
        <v>-51199</v>
      </c>
      <c r="CK26" s="89">
        <f>'[1]September - 2021'!CL26</f>
        <v>0</v>
      </c>
      <c r="CL26" s="246">
        <f>'[1]September - 2021'!CM26</f>
        <v>-226047</v>
      </c>
      <c r="CM26" s="89">
        <f>'[1]September - 2021'!CM26</f>
        <v>-226047</v>
      </c>
      <c r="CN26" s="89">
        <f>'[1]September - 2021'!CO26</f>
        <v>0</v>
      </c>
      <c r="CO26" s="246">
        <f>'[1]September - 2021'!CP26</f>
        <v>-172068</v>
      </c>
      <c r="CP26" s="89">
        <f>'[1]September - 2021'!CP26</f>
        <v>-172068</v>
      </c>
      <c r="CQ26" s="89">
        <f>'[1]September - 2021'!CR26</f>
        <v>0</v>
      </c>
      <c r="CR26" s="246">
        <f>'[1]September - 2021'!CS26</f>
        <v>-308195</v>
      </c>
      <c r="CS26" s="89">
        <f>'[1]September - 2021'!CS26</f>
        <v>-308195</v>
      </c>
      <c r="CT26" s="89">
        <f>'[1]September - 2021'!CU26</f>
        <v>0</v>
      </c>
      <c r="CU26" s="191">
        <f>'[1]September - 2021'!CV26</f>
        <v>-601494</v>
      </c>
      <c r="CV26" s="520"/>
      <c r="CW26" s="256">
        <f>'[1]September - 2021'!CX26</f>
        <v>0</v>
      </c>
      <c r="CX26" s="198">
        <f>'[1]September - 2021'!CY26</f>
        <v>0</v>
      </c>
      <c r="CY26" s="257">
        <f>'[1]September - 2021'!CZ26</f>
        <v>0</v>
      </c>
      <c r="CZ26" s="198">
        <f>'[1]September - 2021'!DA26</f>
        <v>0</v>
      </c>
      <c r="DA26" s="257">
        <f>'[1]September - 2021'!DB26</f>
        <v>0</v>
      </c>
      <c r="DB26" s="198">
        <f>'[1]September - 2021'!DC26</f>
        <v>-25469</v>
      </c>
      <c r="DC26" s="257">
        <f>'[1]September - 2021'!DD26</f>
        <v>0</v>
      </c>
      <c r="DD26" s="198">
        <f>'[1]September - 2021'!DE26</f>
        <v>-26151</v>
      </c>
      <c r="DE26" s="257">
        <f>'[1]September - 2021'!DF26</f>
        <v>0</v>
      </c>
      <c r="DF26" s="198">
        <f>'[1]September - 2021'!DG26</f>
        <v>-17969</v>
      </c>
      <c r="DG26" s="257">
        <f>'[1]September - 2021'!DH26</f>
        <v>0</v>
      </c>
      <c r="DH26" s="198">
        <f>'[1]September - 2021'!DI26</f>
        <v>-21071</v>
      </c>
      <c r="DI26" s="257">
        <f>'[1]September - 2021'!DJ26</f>
        <v>0</v>
      </c>
      <c r="DJ26" s="198">
        <f>'[1]September - 2021'!DK26</f>
        <v>-2514</v>
      </c>
      <c r="DK26" s="257">
        <f>'[1]September - 2021'!DL26</f>
        <v>0</v>
      </c>
      <c r="DL26" s="198">
        <f>'[1]September - 2021'!DM26</f>
        <v>-5749</v>
      </c>
      <c r="DM26" s="257">
        <f>'[1]September - 2021'!DN26</f>
        <v>0</v>
      </c>
      <c r="DN26" s="198">
        <f>'[1]September - 2021'!DO26</f>
        <v>-1389</v>
      </c>
      <c r="DO26" s="257">
        <f>'[1]September - 2021'!DP26</f>
        <v>0</v>
      </c>
      <c r="DP26" s="198">
        <f>'[1]September - 2021'!DQ26</f>
        <v>-2952</v>
      </c>
      <c r="DQ26" s="257">
        <f>'[1]September - 2021'!DR26</f>
        <v>0</v>
      </c>
      <c r="DR26" s="206">
        <f>'[1]September - 2021'!DS26</f>
        <v>-25911</v>
      </c>
      <c r="DS26" s="536"/>
      <c r="DT26" s="210">
        <f>'[1]September - 2021'!DU26</f>
        <v>0</v>
      </c>
      <c r="DU26" s="221">
        <f>'[1]September - 2021'!DV26</f>
        <v>-2317.4</v>
      </c>
      <c r="DV26" s="91">
        <f>'[1]September - 2021'!DW26</f>
        <v>0</v>
      </c>
      <c r="DW26" s="215">
        <f>'[1]September - 2021'!DX26</f>
        <v>-7555.8</v>
      </c>
      <c r="DX26" s="91">
        <f>'[1]September - 2021'!DY26</f>
        <v>0</v>
      </c>
      <c r="DY26" s="215">
        <f>'[1]September - 2021'!DZ26</f>
        <v>-1745</v>
      </c>
      <c r="DZ26" s="91">
        <f>'[1]September - 2021'!EA26</f>
        <v>0</v>
      </c>
      <c r="EA26" s="215">
        <f>'[1]September - 2021'!EB26</f>
        <v>-1670</v>
      </c>
      <c r="EB26" s="91">
        <f>'[1]September - 2021'!EC26</f>
        <v>0</v>
      </c>
      <c r="EC26" s="215">
        <f>'[1]September - 2021'!ED26</f>
        <v>-816094</v>
      </c>
      <c r="ED26" s="91">
        <f>'[1]September - 2021'!EG26</f>
        <v>0</v>
      </c>
      <c r="EE26" s="229">
        <f>'[1]September - 2021'!EH26</f>
        <v>-163507.29999999999</v>
      </c>
      <c r="EF26" s="583"/>
      <c r="EG26" s="235">
        <f>'[1]September - 2021'!EJ26</f>
        <v>0</v>
      </c>
      <c r="EH26" s="230">
        <f>'[1]September - 2021'!EK26</f>
        <v>-9958100</v>
      </c>
      <c r="EI26" s="90">
        <f>'[1]September - 2021'!EL26</f>
        <v>0</v>
      </c>
      <c r="EJ26" s="230">
        <f>'[1]September - 2021'!EM26</f>
        <v>-796450</v>
      </c>
      <c r="EK26" s="90">
        <f>'[1]September - 2021'!EN26</f>
        <v>0</v>
      </c>
      <c r="EL26" s="230">
        <f>'[1]September - 2021'!EO26</f>
        <v>-6192100</v>
      </c>
      <c r="EM26" s="90">
        <f>'[1]September - 2021'!EP26</f>
        <v>0</v>
      </c>
      <c r="EN26" s="230">
        <f>'[1]September - 2021'!EQ26</f>
        <v>-2188300</v>
      </c>
      <c r="EO26" s="90">
        <f>'[1]September - 2021'!ER26</f>
        <v>0</v>
      </c>
      <c r="EP26" s="230">
        <f>'[1]September - 2021'!ES26</f>
        <v>-929220</v>
      </c>
      <c r="EQ26" s="90">
        <f>'[1]September - 2021'!ET26</f>
        <v>0</v>
      </c>
      <c r="ER26" s="230">
        <f>'[1]September - 2021'!EU26</f>
        <v>-13774700</v>
      </c>
      <c r="ES26" s="558"/>
      <c r="ET26" s="284">
        <f>'[1]September - 2021'!EW26</f>
        <v>0</v>
      </c>
      <c r="EU26" s="278">
        <f>'[1]September - 2021'!EX26</f>
        <v>-36243</v>
      </c>
      <c r="EV26" s="285">
        <f>'[1]September - 2021'!EY26</f>
        <v>0</v>
      </c>
      <c r="EW26" s="278">
        <f>'[1]September - 2021'!EZ26</f>
        <v>-31343</v>
      </c>
      <c r="EX26" s="285">
        <f>'[1]September - 2021'!FA26</f>
        <v>0</v>
      </c>
      <c r="EY26" s="278">
        <f>'[1]September - 2021'!FB26</f>
        <v>-2445</v>
      </c>
      <c r="EZ26" s="285">
        <f>'[1]September - 2021'!FC26</f>
        <v>0</v>
      </c>
      <c r="FA26" s="278">
        <f>'[1]September - 2021'!FD26</f>
        <v>0</v>
      </c>
      <c r="FB26" s="285">
        <f>'[1]September - 2021'!FE26</f>
        <v>0</v>
      </c>
      <c r="FC26" s="279">
        <f>'[1]September - 2021'!FF26</f>
        <v>-35127</v>
      </c>
    </row>
    <row r="27" spans="1:159" ht="30" customHeight="1" x14ac:dyDescent="0.25">
      <c r="A27" s="207">
        <v>43848</v>
      </c>
      <c r="B27" s="209">
        <f>'[1]September - 2021'!B27</f>
        <v>0</v>
      </c>
      <c r="C27" s="250">
        <f>'[1]September - 2021'!E27</f>
        <v>0</v>
      </c>
      <c r="D27" s="170">
        <f>'[1]September - 2021'!F27</f>
        <v>0</v>
      </c>
      <c r="E27" s="168">
        <f>'[1]September - 2021'!G27</f>
        <v>554</v>
      </c>
      <c r="F27" s="168">
        <f>'[1]September - 2021'!H27</f>
        <v>0</v>
      </c>
      <c r="G27" s="170">
        <f>'[1]September - 2021'!I27</f>
        <v>0</v>
      </c>
      <c r="H27" s="168">
        <f>'[1]September - 2021'!J27</f>
        <v>243</v>
      </c>
      <c r="I27" s="168">
        <f>'[1]September - 2021'!K27</f>
        <v>0</v>
      </c>
      <c r="J27" s="170">
        <f>'[1]September - 2021'!L27</f>
        <v>0</v>
      </c>
      <c r="K27" s="168">
        <f>'[1]September - 2021'!N27</f>
        <v>0</v>
      </c>
      <c r="L27" s="170">
        <f>'[1]September - 2021'!O27</f>
        <v>0</v>
      </c>
      <c r="M27" s="168">
        <f>'[1]September - 2021'!Q27</f>
        <v>0</v>
      </c>
      <c r="N27" s="170">
        <f>'[1]September - 2021'!R27</f>
        <v>0</v>
      </c>
      <c r="O27" s="168">
        <f>'[1]September - 2021'!S27</f>
        <v>0</v>
      </c>
      <c r="P27" s="170">
        <f>'[1]September - 2021'!T27</f>
        <v>0</v>
      </c>
      <c r="Q27" s="168">
        <f>'[1]September - 2021'!U27</f>
        <v>170</v>
      </c>
      <c r="R27" s="168">
        <f>'[1]September - 2021'!V27</f>
        <v>0</v>
      </c>
      <c r="S27" s="208">
        <f>'[1]September - 2021'!W27</f>
        <v>0</v>
      </c>
      <c r="T27" s="479"/>
      <c r="U27" s="169">
        <f>'[1]September - 2021'!AC27</f>
        <v>0</v>
      </c>
      <c r="V27" s="291">
        <f>'[1]September - 2021'!AD27</f>
        <v>0</v>
      </c>
      <c r="W27" s="92">
        <f>'[1]September - 2021'!AD27</f>
        <v>0</v>
      </c>
      <c r="X27" s="290">
        <f>'[1]September - 2021'!AF27</f>
        <v>0</v>
      </c>
      <c r="Y27" s="291">
        <f>'[1]September - 2021'!AG27</f>
        <v>0</v>
      </c>
      <c r="Z27" s="92">
        <f>'[1]September - 2021'!AG27</f>
        <v>0</v>
      </c>
      <c r="AA27" s="290">
        <f>'[1]September - 2021'!AI27</f>
        <v>0</v>
      </c>
      <c r="AB27" s="291">
        <f>'[1]September - 2021'!AJ27</f>
        <v>0</v>
      </c>
      <c r="AC27" s="92">
        <f>'[1]September - 2021'!AJ27</f>
        <v>0</v>
      </c>
      <c r="AD27" s="290">
        <f>'[1]September - 2021'!AL27</f>
        <v>0</v>
      </c>
      <c r="AE27" s="291">
        <f>'[1]September - 2021'!AM27</f>
        <v>0</v>
      </c>
      <c r="AF27" s="92">
        <f>'[1]September - 2021'!AM27</f>
        <v>0</v>
      </c>
      <c r="AG27" s="290">
        <f>'[1]September - 2021'!AO27</f>
        <v>0</v>
      </c>
      <c r="AH27" s="291">
        <f>'[1]September - 2021'!AP27</f>
        <v>0</v>
      </c>
      <c r="AI27" s="92">
        <f>'[1]September - 2021'!AP27</f>
        <v>0</v>
      </c>
      <c r="AJ27" s="290">
        <f>'[1]September - 2021'!AR27</f>
        <v>0</v>
      </c>
      <c r="AK27" s="291">
        <f>'[1]September - 2021'!AS27</f>
        <v>0</v>
      </c>
      <c r="AL27" s="92">
        <f>'[1]September - 2021'!AS27</f>
        <v>0</v>
      </c>
      <c r="AM27" s="290">
        <f>'[1]September - 2021'!AU27</f>
        <v>0</v>
      </c>
      <c r="AN27" s="291">
        <f>'[1]September - 2021'!AV27</f>
        <v>0</v>
      </c>
      <c r="AO27" s="92">
        <f>'[1]September - 2021'!AV27</f>
        <v>0</v>
      </c>
      <c r="AP27" s="290">
        <f>'[1]September - 2021'!AX27</f>
        <v>0</v>
      </c>
      <c r="AQ27" s="291">
        <f>'[1]September - 2021'!AY27</f>
        <v>0</v>
      </c>
      <c r="AR27" s="92">
        <f>'[1]September - 2021'!AY27</f>
        <v>0</v>
      </c>
      <c r="AS27" s="290">
        <f>'[1]September - 2021'!BA27</f>
        <v>0</v>
      </c>
      <c r="AT27" s="291">
        <f>'[1]September - 2021'!BB27</f>
        <v>0</v>
      </c>
      <c r="AU27" s="92">
        <f>'[1]September - 2021'!BB27</f>
        <v>0</v>
      </c>
      <c r="AV27" s="290">
        <f>'[1]September - 2021'!BD27</f>
        <v>0</v>
      </c>
      <c r="AW27" s="252">
        <f>'[1]September - 2021'!BE27</f>
        <v>0</v>
      </c>
      <c r="AX27" s="253">
        <f>'[1]September - 2021'!BE27</f>
        <v>0</v>
      </c>
      <c r="AY27" s="496"/>
      <c r="AZ27" s="272">
        <f>'[1]September - 2021'!BK27</f>
        <v>0</v>
      </c>
      <c r="BA27" s="179">
        <f>'[1]September - 2021'!BL27</f>
        <v>0</v>
      </c>
      <c r="BB27" s="93">
        <f>'[1]September - 2021'!BL27</f>
        <v>0</v>
      </c>
      <c r="BC27" s="272">
        <f>'[1]September - 2021'!BN27</f>
        <v>0</v>
      </c>
      <c r="BD27" s="245">
        <f>'[1]September - 2021'!BO27</f>
        <v>0</v>
      </c>
      <c r="BE27" s="93">
        <f>'[1]September - 2021'!BO27</f>
        <v>0</v>
      </c>
      <c r="BF27" s="272">
        <f>'[1]September - 2021'!BQ27</f>
        <v>0</v>
      </c>
      <c r="BG27" s="245">
        <f>'[1]September - 2021'!BR27</f>
        <v>0</v>
      </c>
      <c r="BH27" s="93">
        <f>'[1]September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- 2021'!BT27</f>
        <v>0</v>
      </c>
      <c r="BT27" s="185">
        <f>'[1]September - 2021'!BU27</f>
        <v>0</v>
      </c>
      <c r="BU27" s="592"/>
      <c r="BV27" s="88">
        <f>'[1]September - 2021'!BW27</f>
        <v>0</v>
      </c>
      <c r="BW27" s="241">
        <f>'[1]September - 2021'!BX27</f>
        <v>0</v>
      </c>
      <c r="BX27" s="88">
        <f>'[1]September - 2021'!BX27</f>
        <v>0</v>
      </c>
      <c r="BY27" s="89">
        <f>'[1]September - 2021'!BZ27</f>
        <v>0</v>
      </c>
      <c r="BZ27" s="191">
        <f>'[1]September - 2021'!CA27</f>
        <v>0</v>
      </c>
      <c r="CA27" s="89">
        <f>'[1]September - 2021'!CB27</f>
        <v>0</v>
      </c>
      <c r="CB27" s="191">
        <f>'[1]September - 2021'!CC27</f>
        <v>0</v>
      </c>
      <c r="CC27" s="89">
        <f>'[1]September - 2021'!CD27</f>
        <v>0</v>
      </c>
      <c r="CD27" s="191">
        <f>'[1]September - 2021'!CE27</f>
        <v>0</v>
      </c>
      <c r="CE27" s="89">
        <f>'[1]September - 2021'!CF27</f>
        <v>0</v>
      </c>
      <c r="CF27" s="191">
        <f>'[1]September - 2021'!CG27</f>
        <v>0</v>
      </c>
      <c r="CG27" s="89">
        <f>'[1]September - 2021'!CH27</f>
        <v>0</v>
      </c>
      <c r="CH27" s="191">
        <f>'[1]September - 2021'!CI27</f>
        <v>0</v>
      </c>
      <c r="CI27" s="89">
        <f>'[1]September - 2021'!CJ27</f>
        <v>0</v>
      </c>
      <c r="CJ27" s="191">
        <f>'[1]September - 2021'!CK27</f>
        <v>0</v>
      </c>
      <c r="CK27" s="89">
        <f>'[1]September - 2021'!CL27</f>
        <v>0</v>
      </c>
      <c r="CL27" s="246">
        <f>'[1]September - 2021'!CM27</f>
        <v>0</v>
      </c>
      <c r="CM27" s="89">
        <f>'[1]September - 2021'!CM27</f>
        <v>0</v>
      </c>
      <c r="CN27" s="89">
        <f>'[1]September - 2021'!CO27</f>
        <v>0</v>
      </c>
      <c r="CO27" s="246">
        <f>'[1]September - 2021'!CP27</f>
        <v>0</v>
      </c>
      <c r="CP27" s="89">
        <f>'[1]September - 2021'!CP27</f>
        <v>0</v>
      </c>
      <c r="CQ27" s="89">
        <f>'[1]September - 2021'!CR27</f>
        <v>0</v>
      </c>
      <c r="CR27" s="246">
        <f>'[1]September - 2021'!CS27</f>
        <v>0</v>
      </c>
      <c r="CS27" s="89">
        <f>'[1]September - 2021'!CS27</f>
        <v>0</v>
      </c>
      <c r="CT27" s="89">
        <f>'[1]September - 2021'!CU27</f>
        <v>0</v>
      </c>
      <c r="CU27" s="191">
        <f>'[1]September - 2021'!CV27</f>
        <v>0</v>
      </c>
      <c r="CV27" s="520"/>
      <c r="CW27" s="256">
        <f>'[1]September - 2021'!CX27</f>
        <v>0</v>
      </c>
      <c r="CX27" s="198">
        <f>'[1]September - 2021'!CY27</f>
        <v>0</v>
      </c>
      <c r="CY27" s="257">
        <f>'[1]September - 2021'!CZ27</f>
        <v>0</v>
      </c>
      <c r="CZ27" s="198">
        <f>'[1]September - 2021'!DA27</f>
        <v>0</v>
      </c>
      <c r="DA27" s="257">
        <f>'[1]September - 2021'!DB27</f>
        <v>0</v>
      </c>
      <c r="DB27" s="198">
        <f>'[1]September - 2021'!DC27</f>
        <v>0</v>
      </c>
      <c r="DC27" s="257">
        <f>'[1]September - 2021'!DD27</f>
        <v>0</v>
      </c>
      <c r="DD27" s="198">
        <f>'[1]September - 2021'!DE27</f>
        <v>0</v>
      </c>
      <c r="DE27" s="257">
        <f>'[1]September - 2021'!DF27</f>
        <v>0</v>
      </c>
      <c r="DF27" s="198">
        <f>'[1]September - 2021'!DG27</f>
        <v>0</v>
      </c>
      <c r="DG27" s="257">
        <f>'[1]September - 2021'!DH27</f>
        <v>0</v>
      </c>
      <c r="DH27" s="198">
        <f>'[1]September - 2021'!DI27</f>
        <v>0</v>
      </c>
      <c r="DI27" s="257">
        <f>'[1]September - 2021'!DJ27</f>
        <v>0</v>
      </c>
      <c r="DJ27" s="198">
        <f>'[1]September - 2021'!DK27</f>
        <v>0</v>
      </c>
      <c r="DK27" s="257">
        <f>'[1]September - 2021'!DL27</f>
        <v>0</v>
      </c>
      <c r="DL27" s="198">
        <f>'[1]September - 2021'!DM27</f>
        <v>0</v>
      </c>
      <c r="DM27" s="257">
        <f>'[1]September - 2021'!DN27</f>
        <v>0</v>
      </c>
      <c r="DN27" s="198">
        <f>'[1]September - 2021'!DO27</f>
        <v>0</v>
      </c>
      <c r="DO27" s="257">
        <f>'[1]September - 2021'!DP27</f>
        <v>0</v>
      </c>
      <c r="DP27" s="198">
        <f>'[1]September - 2021'!DQ27</f>
        <v>0</v>
      </c>
      <c r="DQ27" s="257">
        <f>'[1]September - 2021'!DR27</f>
        <v>0</v>
      </c>
      <c r="DR27" s="206">
        <f>'[1]September - 2021'!DS27</f>
        <v>0</v>
      </c>
      <c r="DS27" s="536"/>
      <c r="DT27" s="210">
        <f>'[1]September - 2021'!DU27</f>
        <v>0</v>
      </c>
      <c r="DU27" s="221">
        <f>'[1]September - 2021'!DV27</f>
        <v>0</v>
      </c>
      <c r="DV27" s="91">
        <f>'[1]September - 2021'!DW27</f>
        <v>0</v>
      </c>
      <c r="DW27" s="215">
        <f>'[1]September - 2021'!DX27</f>
        <v>0</v>
      </c>
      <c r="DX27" s="91">
        <f>'[1]September - 2021'!DY27</f>
        <v>0</v>
      </c>
      <c r="DY27" s="215">
        <f>'[1]September - 2021'!DZ27</f>
        <v>0</v>
      </c>
      <c r="DZ27" s="91">
        <f>'[1]September - 2021'!EA27</f>
        <v>0</v>
      </c>
      <c r="EA27" s="215">
        <f>'[1]September - 2021'!EB27</f>
        <v>0</v>
      </c>
      <c r="EB27" s="91">
        <f>'[1]September - 2021'!EC27</f>
        <v>0</v>
      </c>
      <c r="EC27" s="215">
        <f>'[1]September - 2021'!ED27</f>
        <v>0</v>
      </c>
      <c r="ED27" s="91">
        <f>'[1]September - 2021'!EG27</f>
        <v>0</v>
      </c>
      <c r="EE27" s="229">
        <f>'[1]September - 2021'!EH27</f>
        <v>0</v>
      </c>
      <c r="EF27" s="583"/>
      <c r="EG27" s="235">
        <f>'[1]September - 2021'!EJ27</f>
        <v>0</v>
      </c>
      <c r="EH27" s="230">
        <f>'[1]September - 2021'!EK27</f>
        <v>0</v>
      </c>
      <c r="EI27" s="90">
        <f>'[1]September - 2021'!EL27</f>
        <v>0</v>
      </c>
      <c r="EJ27" s="230">
        <f>'[1]September - 2021'!EM27</f>
        <v>0</v>
      </c>
      <c r="EK27" s="90">
        <f>'[1]September - 2021'!EN27</f>
        <v>0</v>
      </c>
      <c r="EL27" s="230">
        <f>'[1]September - 2021'!EO27</f>
        <v>0</v>
      </c>
      <c r="EM27" s="90">
        <f>'[1]September - 2021'!EP27</f>
        <v>0</v>
      </c>
      <c r="EN27" s="230">
        <f>'[1]September - 2021'!EQ27</f>
        <v>0</v>
      </c>
      <c r="EO27" s="90">
        <f>'[1]September - 2021'!ER27</f>
        <v>0</v>
      </c>
      <c r="EP27" s="230">
        <f>'[1]September - 2021'!ES27</f>
        <v>0</v>
      </c>
      <c r="EQ27" s="90">
        <f>'[1]September - 2021'!ET27</f>
        <v>0</v>
      </c>
      <c r="ER27" s="230">
        <f>'[1]September - 2021'!EU27</f>
        <v>0</v>
      </c>
      <c r="ES27" s="558"/>
      <c r="ET27" s="284">
        <f>'[1]September - 2021'!EW27</f>
        <v>0</v>
      </c>
      <c r="EU27" s="278">
        <f>'[1]September - 2021'!EX27</f>
        <v>0</v>
      </c>
      <c r="EV27" s="285">
        <f>'[1]September - 2021'!EY27</f>
        <v>0</v>
      </c>
      <c r="EW27" s="278">
        <f>'[1]September - 2021'!EZ27</f>
        <v>0</v>
      </c>
      <c r="EX27" s="285">
        <f>'[1]September - 2021'!FA27</f>
        <v>0</v>
      </c>
      <c r="EY27" s="278">
        <f>'[1]September - 2021'!FB27</f>
        <v>0</v>
      </c>
      <c r="EZ27" s="285">
        <f>'[1]September - 2021'!FC27</f>
        <v>0</v>
      </c>
      <c r="FA27" s="278">
        <f>'[1]September - 2021'!FD27</f>
        <v>0</v>
      </c>
      <c r="FB27" s="285">
        <f>'[1]September - 2021'!FE27</f>
        <v>0</v>
      </c>
      <c r="FC27" s="279">
        <f>'[1]September - 2021'!FF27</f>
        <v>0</v>
      </c>
    </row>
    <row r="28" spans="1:159" ht="30" customHeight="1" x14ac:dyDescent="0.25">
      <c r="A28" s="207">
        <v>43849</v>
      </c>
      <c r="B28" s="209">
        <f>'[1]September - 2021'!B28</f>
        <v>0</v>
      </c>
      <c r="C28" s="250">
        <f>'[1]September - 2021'!E28</f>
        <v>0</v>
      </c>
      <c r="D28" s="170">
        <f>'[1]September - 2021'!F28</f>
        <v>0</v>
      </c>
      <c r="E28" s="168">
        <f>'[1]September - 2021'!G28</f>
        <v>657</v>
      </c>
      <c r="F28" s="168">
        <f>'[1]September - 2021'!H28</f>
        <v>0</v>
      </c>
      <c r="G28" s="170">
        <f>'[1]September - 2021'!I28</f>
        <v>0</v>
      </c>
      <c r="H28" s="168">
        <f>'[1]September - 2021'!J28</f>
        <v>366</v>
      </c>
      <c r="I28" s="168">
        <f>'[1]September - 2021'!K28</f>
        <v>0</v>
      </c>
      <c r="J28" s="170">
        <f>'[1]September - 2021'!L28</f>
        <v>0</v>
      </c>
      <c r="K28" s="168">
        <f>'[1]September - 2021'!N28</f>
        <v>0</v>
      </c>
      <c r="L28" s="170">
        <f>'[1]September - 2021'!O28</f>
        <v>0</v>
      </c>
      <c r="M28" s="168">
        <f>'[1]September - 2021'!Q28</f>
        <v>0</v>
      </c>
      <c r="N28" s="170">
        <f>'[1]September - 2021'!R28</f>
        <v>0</v>
      </c>
      <c r="O28" s="168">
        <f>'[1]September - 2021'!S28</f>
        <v>0</v>
      </c>
      <c r="P28" s="170">
        <f>'[1]September - 2021'!T28</f>
        <v>0</v>
      </c>
      <c r="Q28" s="168">
        <f>'[1]September - 2021'!U28</f>
        <v>177</v>
      </c>
      <c r="R28" s="168">
        <f>'[1]September - 2021'!V28</f>
        <v>0</v>
      </c>
      <c r="S28" s="208">
        <f>'[1]September - 2021'!W28</f>
        <v>0</v>
      </c>
      <c r="T28" s="479"/>
      <c r="U28" s="169">
        <f>'[1]September - 2021'!AC28</f>
        <v>0</v>
      </c>
      <c r="V28" s="291">
        <f>'[1]September - 2021'!AD28</f>
        <v>0</v>
      </c>
      <c r="W28" s="92">
        <f>'[1]September - 2021'!AD28</f>
        <v>0</v>
      </c>
      <c r="X28" s="290">
        <f>'[1]September - 2021'!AF28</f>
        <v>0</v>
      </c>
      <c r="Y28" s="291">
        <f>'[1]September - 2021'!AG28</f>
        <v>0</v>
      </c>
      <c r="Z28" s="92">
        <f>'[1]September - 2021'!AG28</f>
        <v>0</v>
      </c>
      <c r="AA28" s="290">
        <f>'[1]September - 2021'!AI28</f>
        <v>0</v>
      </c>
      <c r="AB28" s="291">
        <f>'[1]September - 2021'!AJ28</f>
        <v>0</v>
      </c>
      <c r="AC28" s="92">
        <f>'[1]September - 2021'!AJ28</f>
        <v>0</v>
      </c>
      <c r="AD28" s="290">
        <f>'[1]September - 2021'!AL28</f>
        <v>0</v>
      </c>
      <c r="AE28" s="291">
        <f>'[1]September - 2021'!AM28</f>
        <v>0</v>
      </c>
      <c r="AF28" s="92">
        <f>'[1]September - 2021'!AM28</f>
        <v>0</v>
      </c>
      <c r="AG28" s="290">
        <f>'[1]September - 2021'!AO28</f>
        <v>0</v>
      </c>
      <c r="AH28" s="291">
        <f>'[1]September - 2021'!AP28</f>
        <v>0</v>
      </c>
      <c r="AI28" s="92">
        <f>'[1]September - 2021'!AP28</f>
        <v>0</v>
      </c>
      <c r="AJ28" s="290">
        <f>'[1]September - 2021'!AR28</f>
        <v>0</v>
      </c>
      <c r="AK28" s="291">
        <f>'[1]September - 2021'!AS28</f>
        <v>0</v>
      </c>
      <c r="AL28" s="92">
        <f>'[1]September - 2021'!AS28</f>
        <v>0</v>
      </c>
      <c r="AM28" s="290">
        <f>'[1]September - 2021'!AU28</f>
        <v>0</v>
      </c>
      <c r="AN28" s="291">
        <f>'[1]September - 2021'!AV28</f>
        <v>0</v>
      </c>
      <c r="AO28" s="92">
        <f>'[1]September - 2021'!AV28</f>
        <v>0</v>
      </c>
      <c r="AP28" s="298">
        <f>'[1]September - 2021'!AX28</f>
        <v>0</v>
      </c>
      <c r="AQ28" s="291">
        <f>'[1]September - 2021'!AY28</f>
        <v>0</v>
      </c>
      <c r="AR28" s="92">
        <f>'[1]September - 2021'!AY28</f>
        <v>0</v>
      </c>
      <c r="AS28" s="290">
        <f>'[1]September - 2021'!BA28</f>
        <v>0</v>
      </c>
      <c r="AT28" s="291">
        <f>'[1]September - 2021'!BB28</f>
        <v>0</v>
      </c>
      <c r="AU28" s="92">
        <f>'[1]September - 2021'!BB28</f>
        <v>0</v>
      </c>
      <c r="AV28" s="290">
        <f>'[1]September - 2021'!BD28</f>
        <v>0</v>
      </c>
      <c r="AW28" s="252">
        <f>'[1]September - 2021'!BE28</f>
        <v>0</v>
      </c>
      <c r="AX28" s="253">
        <f>'[1]September - 2021'!BE28</f>
        <v>0</v>
      </c>
      <c r="AY28" s="496"/>
      <c r="AZ28" s="272">
        <f>'[1]September - 2021'!BK28</f>
        <v>0</v>
      </c>
      <c r="BA28" s="179">
        <f>'[1]September - 2021'!BL28</f>
        <v>0</v>
      </c>
      <c r="BB28" s="93">
        <f>'[1]September - 2021'!BL28</f>
        <v>0</v>
      </c>
      <c r="BC28" s="272">
        <f>'[1]September - 2021'!BN28</f>
        <v>0</v>
      </c>
      <c r="BD28" s="245">
        <f>'[1]September - 2021'!BO28</f>
        <v>0</v>
      </c>
      <c r="BE28" s="93">
        <f>'[1]September - 2021'!BO28</f>
        <v>0</v>
      </c>
      <c r="BF28" s="272">
        <f>'[1]September - 2021'!BQ28</f>
        <v>0</v>
      </c>
      <c r="BG28" s="245">
        <f>'[1]September - 2021'!BR28</f>
        <v>0</v>
      </c>
      <c r="BH28" s="93">
        <f>'[1]September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- 2021'!BT28</f>
        <v>0</v>
      </c>
      <c r="BT28" s="185">
        <f>'[1]September - 2021'!BU28</f>
        <v>0</v>
      </c>
      <c r="BU28" s="592"/>
      <c r="BV28" s="88">
        <f>'[1]September - 2021'!BW28</f>
        <v>0</v>
      </c>
      <c r="BW28" s="241">
        <f>'[1]September - 2021'!BX28</f>
        <v>0</v>
      </c>
      <c r="BX28" s="88">
        <f>'[1]September - 2021'!BX28</f>
        <v>0</v>
      </c>
      <c r="BY28" s="89">
        <f>'[1]September - 2021'!BZ28</f>
        <v>0</v>
      </c>
      <c r="BZ28" s="191">
        <f>'[1]September - 2021'!CA28</f>
        <v>0</v>
      </c>
      <c r="CA28" s="89">
        <f>'[1]September - 2021'!CB28</f>
        <v>0</v>
      </c>
      <c r="CB28" s="191">
        <f>'[1]September - 2021'!CC28</f>
        <v>0</v>
      </c>
      <c r="CC28" s="89">
        <f>'[1]September - 2021'!CD28</f>
        <v>0</v>
      </c>
      <c r="CD28" s="191">
        <f>'[1]September - 2021'!CE28</f>
        <v>0</v>
      </c>
      <c r="CE28" s="89">
        <f>'[1]September - 2021'!CF28</f>
        <v>0</v>
      </c>
      <c r="CF28" s="191">
        <f>'[1]September - 2021'!CG28</f>
        <v>0</v>
      </c>
      <c r="CG28" s="89">
        <f>'[1]September - 2021'!CH28</f>
        <v>0</v>
      </c>
      <c r="CH28" s="191">
        <f>'[1]September - 2021'!CI28</f>
        <v>0</v>
      </c>
      <c r="CI28" s="89">
        <f>'[1]September - 2021'!CJ28</f>
        <v>0</v>
      </c>
      <c r="CJ28" s="191">
        <f>'[1]September - 2021'!CK28</f>
        <v>0</v>
      </c>
      <c r="CK28" s="89">
        <f>'[1]September - 2021'!CL28</f>
        <v>0</v>
      </c>
      <c r="CL28" s="246">
        <f>'[1]September - 2021'!CM28</f>
        <v>0</v>
      </c>
      <c r="CM28" s="89">
        <f>'[1]September - 2021'!CM28</f>
        <v>0</v>
      </c>
      <c r="CN28" s="89">
        <f>'[1]September - 2021'!CO28</f>
        <v>0</v>
      </c>
      <c r="CO28" s="246">
        <f>'[1]September - 2021'!CP28</f>
        <v>0</v>
      </c>
      <c r="CP28" s="89">
        <f>'[1]September - 2021'!CP28</f>
        <v>0</v>
      </c>
      <c r="CQ28" s="89">
        <f>'[1]September - 2021'!CR28</f>
        <v>0</v>
      </c>
      <c r="CR28" s="246">
        <f>'[1]September - 2021'!CS28</f>
        <v>0</v>
      </c>
      <c r="CS28" s="89">
        <f>'[1]September - 2021'!CS28</f>
        <v>0</v>
      </c>
      <c r="CT28" s="89">
        <f>'[1]September - 2021'!CU28</f>
        <v>0</v>
      </c>
      <c r="CU28" s="191">
        <f>'[1]September - 2021'!CV28</f>
        <v>0</v>
      </c>
      <c r="CV28" s="520"/>
      <c r="CW28" s="256">
        <f>'[1]September - 2021'!CX28</f>
        <v>0</v>
      </c>
      <c r="CX28" s="198">
        <f>'[1]September - 2021'!CY28</f>
        <v>0</v>
      </c>
      <c r="CY28" s="257">
        <f>'[1]September - 2021'!CZ28</f>
        <v>0</v>
      </c>
      <c r="CZ28" s="198">
        <f>'[1]September - 2021'!DA28</f>
        <v>0</v>
      </c>
      <c r="DA28" s="257">
        <f>'[1]September - 2021'!DB28</f>
        <v>0</v>
      </c>
      <c r="DB28" s="198">
        <f>'[1]September - 2021'!DC28</f>
        <v>0</v>
      </c>
      <c r="DC28" s="257">
        <f>'[1]September - 2021'!DD28</f>
        <v>0</v>
      </c>
      <c r="DD28" s="198">
        <f>'[1]September - 2021'!DE28</f>
        <v>0</v>
      </c>
      <c r="DE28" s="257">
        <f>'[1]September - 2021'!DF28</f>
        <v>0</v>
      </c>
      <c r="DF28" s="198">
        <f>'[1]September - 2021'!DG28</f>
        <v>0</v>
      </c>
      <c r="DG28" s="257">
        <f>'[1]September - 2021'!DH28</f>
        <v>0</v>
      </c>
      <c r="DH28" s="198">
        <f>'[1]September - 2021'!DI28</f>
        <v>0</v>
      </c>
      <c r="DI28" s="257">
        <f>'[1]September - 2021'!DJ28</f>
        <v>0</v>
      </c>
      <c r="DJ28" s="198">
        <f>'[1]September - 2021'!DK28</f>
        <v>0</v>
      </c>
      <c r="DK28" s="257">
        <f>'[1]September - 2021'!DL28</f>
        <v>0</v>
      </c>
      <c r="DL28" s="198">
        <f>'[1]September - 2021'!DM28</f>
        <v>0</v>
      </c>
      <c r="DM28" s="257">
        <f>'[1]September - 2021'!DN28</f>
        <v>0</v>
      </c>
      <c r="DN28" s="198">
        <f>'[1]September - 2021'!DO28</f>
        <v>0</v>
      </c>
      <c r="DO28" s="257">
        <f>'[1]September - 2021'!DP28</f>
        <v>0</v>
      </c>
      <c r="DP28" s="198">
        <f>'[1]September - 2021'!DQ28</f>
        <v>0</v>
      </c>
      <c r="DQ28" s="257">
        <f>'[1]September - 2021'!DR28</f>
        <v>0</v>
      </c>
      <c r="DR28" s="206">
        <f>'[1]September - 2021'!DS28</f>
        <v>0</v>
      </c>
      <c r="DS28" s="536"/>
      <c r="DT28" s="210">
        <f>'[1]September - 2021'!DU28</f>
        <v>0</v>
      </c>
      <c r="DU28" s="221">
        <f>'[1]September - 2021'!DV28</f>
        <v>0</v>
      </c>
      <c r="DV28" s="91">
        <f>'[1]September - 2021'!DW28</f>
        <v>0</v>
      </c>
      <c r="DW28" s="215">
        <f>'[1]September - 2021'!DX28</f>
        <v>0</v>
      </c>
      <c r="DX28" s="91">
        <f>'[1]September - 2021'!DY28</f>
        <v>0</v>
      </c>
      <c r="DY28" s="215">
        <f>'[1]September - 2021'!DZ28</f>
        <v>0</v>
      </c>
      <c r="DZ28" s="91">
        <f>'[1]September - 2021'!EA28</f>
        <v>0</v>
      </c>
      <c r="EA28" s="215">
        <f>'[1]September - 2021'!EB28</f>
        <v>0</v>
      </c>
      <c r="EB28" s="91">
        <f>'[1]September - 2021'!EC28</f>
        <v>0</v>
      </c>
      <c r="EC28" s="215">
        <f>'[1]September - 2021'!ED28</f>
        <v>0</v>
      </c>
      <c r="ED28" s="91">
        <f>'[1]September - 2021'!EG28</f>
        <v>0</v>
      </c>
      <c r="EE28" s="229">
        <f>'[1]September - 2021'!EH28</f>
        <v>0</v>
      </c>
      <c r="EF28" s="583"/>
      <c r="EG28" s="235">
        <f>'[1]September - 2021'!EJ28</f>
        <v>0</v>
      </c>
      <c r="EH28" s="230">
        <f>'[1]September - 2021'!EK28</f>
        <v>0</v>
      </c>
      <c r="EI28" s="90">
        <f>'[1]September - 2021'!EL28</f>
        <v>0</v>
      </c>
      <c r="EJ28" s="230">
        <f>'[1]September - 2021'!EM28</f>
        <v>0</v>
      </c>
      <c r="EK28" s="90">
        <f>'[1]September - 2021'!EN28</f>
        <v>0</v>
      </c>
      <c r="EL28" s="230">
        <f>'[1]September - 2021'!EO28</f>
        <v>0</v>
      </c>
      <c r="EM28" s="90">
        <f>'[1]September - 2021'!EP28</f>
        <v>0</v>
      </c>
      <c r="EN28" s="230">
        <f>'[1]September - 2021'!EQ28</f>
        <v>0</v>
      </c>
      <c r="EO28" s="90">
        <f>'[1]September - 2021'!ER28</f>
        <v>0</v>
      </c>
      <c r="EP28" s="230">
        <f>'[1]September - 2021'!ES28</f>
        <v>0</v>
      </c>
      <c r="EQ28" s="90">
        <f>'[1]September - 2021'!ET28</f>
        <v>0</v>
      </c>
      <c r="ER28" s="230">
        <f>'[1]September - 2021'!EU28</f>
        <v>0</v>
      </c>
      <c r="ES28" s="558"/>
      <c r="ET28" s="284">
        <f>'[1]September - 2021'!EW28</f>
        <v>0</v>
      </c>
      <c r="EU28" s="278">
        <f>'[1]September - 2021'!EX28</f>
        <v>0</v>
      </c>
      <c r="EV28" s="285">
        <f>'[1]September - 2021'!EY28</f>
        <v>0</v>
      </c>
      <c r="EW28" s="278">
        <f>'[1]September - 2021'!EZ28</f>
        <v>0</v>
      </c>
      <c r="EX28" s="285">
        <f>'[1]September - 2021'!FA28</f>
        <v>0</v>
      </c>
      <c r="EY28" s="278">
        <f>'[1]September - 2021'!FB28</f>
        <v>0</v>
      </c>
      <c r="EZ28" s="285">
        <f>'[1]September - 2021'!FC28</f>
        <v>0</v>
      </c>
      <c r="FA28" s="278">
        <f>'[1]September - 2021'!FD28</f>
        <v>0</v>
      </c>
      <c r="FB28" s="285">
        <f>'[1]September - 2021'!FE28</f>
        <v>0</v>
      </c>
      <c r="FC28" s="279">
        <f>'[1]September - 2021'!FF28</f>
        <v>0</v>
      </c>
    </row>
    <row r="29" spans="1:159" ht="30" customHeight="1" x14ac:dyDescent="0.25">
      <c r="A29" s="207">
        <v>43850</v>
      </c>
      <c r="B29" s="209">
        <f>'[1]September - 2021'!B29</f>
        <v>0</v>
      </c>
      <c r="C29" s="250">
        <f>'[1]September - 2021'!E29</f>
        <v>0</v>
      </c>
      <c r="D29" s="170">
        <f>'[1]September - 2021'!F29</f>
        <v>0</v>
      </c>
      <c r="E29" s="168">
        <f>'[1]September - 2021'!G29</f>
        <v>548</v>
      </c>
      <c r="F29" s="168">
        <f>'[1]September - 2021'!H29</f>
        <v>0</v>
      </c>
      <c r="G29" s="170">
        <f>'[1]September - 2021'!I29</f>
        <v>0</v>
      </c>
      <c r="H29" s="168">
        <f>'[1]September - 2021'!J29</f>
        <v>283</v>
      </c>
      <c r="I29" s="168">
        <f>'[1]September - 2021'!K29</f>
        <v>0</v>
      </c>
      <c r="J29" s="170">
        <f>'[1]September - 2021'!L29</f>
        <v>0</v>
      </c>
      <c r="K29" s="168">
        <f>'[1]September - 2021'!N29</f>
        <v>0</v>
      </c>
      <c r="L29" s="170">
        <f>'[1]September - 2021'!O29</f>
        <v>0</v>
      </c>
      <c r="M29" s="168">
        <f>'[1]September - 2021'!Q29</f>
        <v>0</v>
      </c>
      <c r="N29" s="170">
        <f>'[1]September - 2021'!R29</f>
        <v>0</v>
      </c>
      <c r="O29" s="168">
        <f>'[1]September - 2021'!S29</f>
        <v>0</v>
      </c>
      <c r="P29" s="170">
        <f>'[1]September - 2021'!T29</f>
        <v>0</v>
      </c>
      <c r="Q29" s="168">
        <f>'[1]September - 2021'!U29</f>
        <v>182</v>
      </c>
      <c r="R29" s="168">
        <f>'[1]September - 2021'!V29</f>
        <v>0</v>
      </c>
      <c r="S29" s="208">
        <f>'[1]September - 2021'!W29</f>
        <v>0</v>
      </c>
      <c r="T29" s="479"/>
      <c r="U29" s="169">
        <f>'[1]September - 2021'!AC29</f>
        <v>0</v>
      </c>
      <c r="V29" s="291">
        <f>'[1]September - 2021'!AD29</f>
        <v>0</v>
      </c>
      <c r="W29" s="92">
        <f>'[1]September - 2021'!AD29</f>
        <v>0</v>
      </c>
      <c r="X29" s="290">
        <f>'[1]September - 2021'!AF29</f>
        <v>0</v>
      </c>
      <c r="Y29" s="291">
        <f>'[1]September - 2021'!AG29</f>
        <v>0</v>
      </c>
      <c r="Z29" s="92">
        <f>'[1]September - 2021'!AG29</f>
        <v>0</v>
      </c>
      <c r="AA29" s="290">
        <f>'[1]September - 2021'!AI29</f>
        <v>0</v>
      </c>
      <c r="AB29" s="291">
        <f>'[1]September - 2021'!AJ29</f>
        <v>0</v>
      </c>
      <c r="AC29" s="92">
        <f>'[1]September - 2021'!AJ29</f>
        <v>0</v>
      </c>
      <c r="AD29" s="290">
        <f>'[1]September - 2021'!AL29</f>
        <v>0</v>
      </c>
      <c r="AE29" s="291">
        <f>'[1]September - 2021'!AM29</f>
        <v>0</v>
      </c>
      <c r="AF29" s="92">
        <f>'[1]September - 2021'!AM29</f>
        <v>0</v>
      </c>
      <c r="AG29" s="290">
        <f>'[1]September - 2021'!AO29</f>
        <v>0</v>
      </c>
      <c r="AH29" s="291">
        <f>'[1]September - 2021'!AP29</f>
        <v>0</v>
      </c>
      <c r="AI29" s="92">
        <f>'[1]September - 2021'!AP29</f>
        <v>0</v>
      </c>
      <c r="AJ29" s="290">
        <f>'[1]September - 2021'!AR29</f>
        <v>0</v>
      </c>
      <c r="AK29" s="291">
        <f>'[1]September - 2021'!AS29</f>
        <v>0</v>
      </c>
      <c r="AL29" s="92">
        <f>'[1]September - 2021'!AS29</f>
        <v>0</v>
      </c>
      <c r="AM29" s="290">
        <f>'[1]September - 2021'!AU29</f>
        <v>0</v>
      </c>
      <c r="AN29" s="291">
        <f>'[1]September - 2021'!AV29</f>
        <v>0</v>
      </c>
      <c r="AO29" s="92">
        <f>'[1]September - 2021'!AV29</f>
        <v>0</v>
      </c>
      <c r="AP29" s="290">
        <f>'[1]September - 2021'!AX29</f>
        <v>0</v>
      </c>
      <c r="AQ29" s="291">
        <f>'[1]September - 2021'!AY29</f>
        <v>0</v>
      </c>
      <c r="AR29" s="92">
        <f>'[1]September - 2021'!AY29</f>
        <v>0</v>
      </c>
      <c r="AS29" s="290">
        <f>'[1]September - 2021'!BA29</f>
        <v>0</v>
      </c>
      <c r="AT29" s="291">
        <f>'[1]September - 2021'!BB29</f>
        <v>0</v>
      </c>
      <c r="AU29" s="92">
        <f>'[1]September - 2021'!BB29</f>
        <v>0</v>
      </c>
      <c r="AV29" s="290">
        <f>'[1]September - 2021'!BD29</f>
        <v>0</v>
      </c>
      <c r="AW29" s="252">
        <f>'[1]September - 2021'!BE29</f>
        <v>0</v>
      </c>
      <c r="AX29" s="253">
        <f>'[1]September - 2021'!BE29</f>
        <v>0</v>
      </c>
      <c r="AY29" s="496"/>
      <c r="AZ29" s="272">
        <f>'[1]September - 2021'!BK29</f>
        <v>0</v>
      </c>
      <c r="BA29" s="179">
        <f>'[1]September - 2021'!BL29</f>
        <v>0</v>
      </c>
      <c r="BB29" s="93">
        <f>'[1]September - 2021'!BL29</f>
        <v>0</v>
      </c>
      <c r="BC29" s="272">
        <f>'[1]September - 2021'!BN29</f>
        <v>0</v>
      </c>
      <c r="BD29" s="245">
        <f>'[1]September - 2021'!BO29</f>
        <v>0</v>
      </c>
      <c r="BE29" s="93">
        <f>'[1]September - 2021'!BO29</f>
        <v>0</v>
      </c>
      <c r="BF29" s="272">
        <f>'[1]September - 2021'!BQ29</f>
        <v>0</v>
      </c>
      <c r="BG29" s="245">
        <f>'[1]September - 2021'!BR29</f>
        <v>0</v>
      </c>
      <c r="BH29" s="93">
        <f>'[1]September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- 2021'!BT29</f>
        <v>0</v>
      </c>
      <c r="BT29" s="185">
        <f>'[1]September - 2021'!BU29</f>
        <v>0</v>
      </c>
      <c r="BU29" s="592"/>
      <c r="BV29" s="88">
        <f>'[1]September - 2021'!BW29</f>
        <v>0</v>
      </c>
      <c r="BW29" s="241">
        <f>'[1]September - 2021'!BX29</f>
        <v>0</v>
      </c>
      <c r="BX29" s="88">
        <f>'[1]September - 2021'!BX29</f>
        <v>0</v>
      </c>
      <c r="BY29" s="89">
        <f>'[1]September - 2021'!BZ29</f>
        <v>0</v>
      </c>
      <c r="BZ29" s="191">
        <f>'[1]September - 2021'!CA29</f>
        <v>0</v>
      </c>
      <c r="CA29" s="89">
        <f>'[1]September - 2021'!CB29</f>
        <v>0</v>
      </c>
      <c r="CB29" s="191">
        <f>'[1]September - 2021'!CC29</f>
        <v>0</v>
      </c>
      <c r="CC29" s="89">
        <f>'[1]September - 2021'!CD29</f>
        <v>0</v>
      </c>
      <c r="CD29" s="191">
        <f>'[1]September - 2021'!CE29</f>
        <v>0</v>
      </c>
      <c r="CE29" s="89">
        <f>'[1]September - 2021'!CF29</f>
        <v>0</v>
      </c>
      <c r="CF29" s="191">
        <f>'[1]September - 2021'!CG29</f>
        <v>0</v>
      </c>
      <c r="CG29" s="89">
        <f>'[1]September - 2021'!CH29</f>
        <v>0</v>
      </c>
      <c r="CH29" s="191">
        <f>'[1]September - 2021'!CI29</f>
        <v>0</v>
      </c>
      <c r="CI29" s="89">
        <f>'[1]September - 2021'!CJ29</f>
        <v>0</v>
      </c>
      <c r="CJ29" s="191">
        <f>'[1]September - 2021'!CK29</f>
        <v>0</v>
      </c>
      <c r="CK29" s="89">
        <f>'[1]September - 2021'!CL29</f>
        <v>0</v>
      </c>
      <c r="CL29" s="246">
        <f>'[1]September - 2021'!CM29</f>
        <v>0</v>
      </c>
      <c r="CM29" s="89">
        <f>'[1]September - 2021'!CM29</f>
        <v>0</v>
      </c>
      <c r="CN29" s="89">
        <f>'[1]September - 2021'!CO29</f>
        <v>0</v>
      </c>
      <c r="CO29" s="246">
        <f>'[1]September - 2021'!CP29</f>
        <v>0</v>
      </c>
      <c r="CP29" s="89">
        <f>'[1]September - 2021'!CP29</f>
        <v>0</v>
      </c>
      <c r="CQ29" s="89">
        <f>'[1]September - 2021'!CR29</f>
        <v>0</v>
      </c>
      <c r="CR29" s="246">
        <f>'[1]September - 2021'!CS29</f>
        <v>0</v>
      </c>
      <c r="CS29" s="89">
        <f>'[1]September - 2021'!CS29</f>
        <v>0</v>
      </c>
      <c r="CT29" s="89">
        <f>'[1]September - 2021'!CU29</f>
        <v>0</v>
      </c>
      <c r="CU29" s="191">
        <f>'[1]September - 2021'!CV29</f>
        <v>0</v>
      </c>
      <c r="CV29" s="520"/>
      <c r="CW29" s="256">
        <f>'[1]September - 2021'!CX29</f>
        <v>0</v>
      </c>
      <c r="CX29" s="198">
        <f>'[1]September - 2021'!CY29</f>
        <v>0</v>
      </c>
      <c r="CY29" s="257">
        <f>'[1]September - 2021'!CZ29</f>
        <v>0</v>
      </c>
      <c r="CZ29" s="198">
        <f>'[1]September - 2021'!DA29</f>
        <v>0</v>
      </c>
      <c r="DA29" s="257">
        <f>'[1]September - 2021'!DB29</f>
        <v>0</v>
      </c>
      <c r="DB29" s="198">
        <f>'[1]September - 2021'!DC29</f>
        <v>0</v>
      </c>
      <c r="DC29" s="257">
        <f>'[1]September - 2021'!DD29</f>
        <v>0</v>
      </c>
      <c r="DD29" s="198">
        <f>'[1]September - 2021'!DE29</f>
        <v>0</v>
      </c>
      <c r="DE29" s="257">
        <f>'[1]September - 2021'!DF29</f>
        <v>0</v>
      </c>
      <c r="DF29" s="198">
        <f>'[1]September - 2021'!DG29</f>
        <v>0</v>
      </c>
      <c r="DG29" s="257">
        <f>'[1]September - 2021'!DH29</f>
        <v>0</v>
      </c>
      <c r="DH29" s="198">
        <f>'[1]September - 2021'!DI29</f>
        <v>0</v>
      </c>
      <c r="DI29" s="257">
        <f>'[1]September - 2021'!DJ29</f>
        <v>0</v>
      </c>
      <c r="DJ29" s="198">
        <f>'[1]September - 2021'!DK29</f>
        <v>0</v>
      </c>
      <c r="DK29" s="257">
        <f>'[1]September - 2021'!DL29</f>
        <v>0</v>
      </c>
      <c r="DL29" s="198">
        <f>'[1]September - 2021'!DM29</f>
        <v>0</v>
      </c>
      <c r="DM29" s="257">
        <f>'[1]September - 2021'!DN29</f>
        <v>0</v>
      </c>
      <c r="DN29" s="198">
        <f>'[1]September - 2021'!DO29</f>
        <v>0</v>
      </c>
      <c r="DO29" s="257">
        <f>'[1]September - 2021'!DP29</f>
        <v>0</v>
      </c>
      <c r="DP29" s="198">
        <f>'[1]September - 2021'!DQ29</f>
        <v>0</v>
      </c>
      <c r="DQ29" s="257">
        <f>'[1]September - 2021'!DR29</f>
        <v>0</v>
      </c>
      <c r="DR29" s="206">
        <f>'[1]September - 2021'!DS29</f>
        <v>0</v>
      </c>
      <c r="DS29" s="536"/>
      <c r="DT29" s="210">
        <f>'[1]September - 2021'!DU29</f>
        <v>0</v>
      </c>
      <c r="DU29" s="221">
        <f>'[1]September - 2021'!DV29</f>
        <v>0</v>
      </c>
      <c r="DV29" s="91">
        <f>'[1]September - 2021'!DW29</f>
        <v>0</v>
      </c>
      <c r="DW29" s="215">
        <f>'[1]September - 2021'!DX29</f>
        <v>0</v>
      </c>
      <c r="DX29" s="91">
        <f>'[1]September - 2021'!DY29</f>
        <v>0</v>
      </c>
      <c r="DY29" s="215">
        <f>'[1]September - 2021'!DZ29</f>
        <v>0</v>
      </c>
      <c r="DZ29" s="91">
        <f>'[1]September - 2021'!EA29</f>
        <v>0</v>
      </c>
      <c r="EA29" s="215">
        <f>'[1]September - 2021'!EB29</f>
        <v>0</v>
      </c>
      <c r="EB29" s="91">
        <f>'[1]September - 2021'!EC29</f>
        <v>0</v>
      </c>
      <c r="EC29" s="215">
        <f>'[1]September - 2021'!ED29</f>
        <v>0</v>
      </c>
      <c r="ED29" s="91">
        <f>'[1]September - 2021'!EG29</f>
        <v>0</v>
      </c>
      <c r="EE29" s="229">
        <f>'[1]September - 2021'!EH29</f>
        <v>0</v>
      </c>
      <c r="EF29" s="583"/>
      <c r="EG29" s="235">
        <f>'[1]September - 2021'!EJ29</f>
        <v>0</v>
      </c>
      <c r="EH29" s="230">
        <f>'[1]September - 2021'!EK29</f>
        <v>0</v>
      </c>
      <c r="EI29" s="90">
        <f>'[1]September - 2021'!EL29</f>
        <v>0</v>
      </c>
      <c r="EJ29" s="230">
        <f>'[1]September - 2021'!EM29</f>
        <v>0</v>
      </c>
      <c r="EK29" s="90">
        <f>'[1]September - 2021'!EN29</f>
        <v>0</v>
      </c>
      <c r="EL29" s="230">
        <f>'[1]September - 2021'!EO29</f>
        <v>0</v>
      </c>
      <c r="EM29" s="90">
        <f>'[1]September - 2021'!EP29</f>
        <v>0</v>
      </c>
      <c r="EN29" s="230">
        <f>'[1]September - 2021'!EQ29</f>
        <v>0</v>
      </c>
      <c r="EO29" s="90">
        <f>'[1]September - 2021'!ER29</f>
        <v>0</v>
      </c>
      <c r="EP29" s="230">
        <f>'[1]September - 2021'!ES29</f>
        <v>0</v>
      </c>
      <c r="EQ29" s="90">
        <f>'[1]September - 2021'!ET29</f>
        <v>0</v>
      </c>
      <c r="ER29" s="230">
        <f>'[1]September - 2021'!EU29</f>
        <v>0</v>
      </c>
      <c r="ES29" s="558"/>
      <c r="ET29" s="284">
        <f>'[1]September - 2021'!EW29</f>
        <v>0</v>
      </c>
      <c r="EU29" s="278">
        <f>'[1]September - 2021'!EX29</f>
        <v>0</v>
      </c>
      <c r="EV29" s="285">
        <f>'[1]September - 2021'!EY29</f>
        <v>0</v>
      </c>
      <c r="EW29" s="278">
        <f>'[1]September - 2021'!EZ29</f>
        <v>0</v>
      </c>
      <c r="EX29" s="285">
        <f>'[1]September - 2021'!FA29</f>
        <v>0</v>
      </c>
      <c r="EY29" s="278">
        <f>'[1]September - 2021'!FB29</f>
        <v>0</v>
      </c>
      <c r="EZ29" s="285">
        <f>'[1]September - 2021'!FC29</f>
        <v>0</v>
      </c>
      <c r="FA29" s="278">
        <f>'[1]September - 2021'!FD29</f>
        <v>0</v>
      </c>
      <c r="FB29" s="285">
        <f>'[1]September - 2021'!FE29</f>
        <v>0</v>
      </c>
      <c r="FC29" s="279">
        <f>'[1]September - 2021'!FF29</f>
        <v>0</v>
      </c>
    </row>
    <row r="30" spans="1:159" ht="30" customHeight="1" x14ac:dyDescent="0.25">
      <c r="A30" s="207">
        <v>43851</v>
      </c>
      <c r="B30" s="209">
        <f>'[1]September - 2021'!B30</f>
        <v>0</v>
      </c>
      <c r="C30" s="250">
        <f>'[1]September - 2021'!E30</f>
        <v>0</v>
      </c>
      <c r="D30" s="170">
        <f>'[1]September - 2021'!F30</f>
        <v>0</v>
      </c>
      <c r="E30" s="168">
        <f>'[1]September - 2021'!G30</f>
        <v>533</v>
      </c>
      <c r="F30" s="168">
        <f>'[1]September - 2021'!H30</f>
        <v>0</v>
      </c>
      <c r="G30" s="170">
        <f>'[1]September - 2021'!I30</f>
        <v>0</v>
      </c>
      <c r="H30" s="168">
        <f>'[1]September - 2021'!J30</f>
        <v>257</v>
      </c>
      <c r="I30" s="168">
        <f>'[1]September - 2021'!K30</f>
        <v>0</v>
      </c>
      <c r="J30" s="170">
        <f>'[1]September - 2021'!L30</f>
        <v>0</v>
      </c>
      <c r="K30" s="168">
        <f>'[1]September - 2021'!N30</f>
        <v>0</v>
      </c>
      <c r="L30" s="170">
        <f>'[1]September - 2021'!O30</f>
        <v>0</v>
      </c>
      <c r="M30" s="168">
        <f>'[1]September - 2021'!Q30</f>
        <v>0</v>
      </c>
      <c r="N30" s="170">
        <f>'[1]September - 2021'!R30</f>
        <v>0</v>
      </c>
      <c r="O30" s="168">
        <f>'[1]September - 2021'!S30</f>
        <v>0</v>
      </c>
      <c r="P30" s="170">
        <f>'[1]September - 2021'!T30</f>
        <v>0</v>
      </c>
      <c r="Q30" s="168">
        <f>'[1]September - 2021'!U30</f>
        <v>177</v>
      </c>
      <c r="R30" s="168">
        <f>'[1]September - 2021'!V30</f>
        <v>0</v>
      </c>
      <c r="S30" s="208">
        <f>'[1]September - 2021'!W30</f>
        <v>0</v>
      </c>
      <c r="T30" s="479"/>
      <c r="U30" s="169">
        <f>'[1]September - 2021'!AC30</f>
        <v>0</v>
      </c>
      <c r="V30" s="291">
        <f>'[1]September - 2021'!AD30</f>
        <v>0</v>
      </c>
      <c r="W30" s="92">
        <f>'[1]September - 2021'!AD30</f>
        <v>0</v>
      </c>
      <c r="X30" s="290">
        <f>'[1]September - 2021'!AF30</f>
        <v>0</v>
      </c>
      <c r="Y30" s="291">
        <f>'[1]September - 2021'!AG30</f>
        <v>0</v>
      </c>
      <c r="Z30" s="92">
        <f>'[1]September - 2021'!AG30</f>
        <v>0</v>
      </c>
      <c r="AA30" s="290">
        <f>'[1]September - 2021'!AI30</f>
        <v>0</v>
      </c>
      <c r="AB30" s="291">
        <f>'[1]September - 2021'!AJ30</f>
        <v>0</v>
      </c>
      <c r="AC30" s="92">
        <f>'[1]September - 2021'!AJ30</f>
        <v>0</v>
      </c>
      <c r="AD30" s="290">
        <f>'[1]September - 2021'!AL30</f>
        <v>0</v>
      </c>
      <c r="AE30" s="291">
        <f>'[1]September - 2021'!AM30</f>
        <v>0</v>
      </c>
      <c r="AF30" s="92">
        <f>'[1]September - 2021'!AM30</f>
        <v>0</v>
      </c>
      <c r="AG30" s="290">
        <f>'[1]September - 2021'!AO30</f>
        <v>0</v>
      </c>
      <c r="AH30" s="291">
        <f>'[1]September - 2021'!AP30</f>
        <v>0</v>
      </c>
      <c r="AI30" s="92">
        <f>'[1]September - 2021'!AP30</f>
        <v>0</v>
      </c>
      <c r="AJ30" s="290">
        <f>'[1]September - 2021'!AR30</f>
        <v>0</v>
      </c>
      <c r="AK30" s="291">
        <f>'[1]September - 2021'!AS30</f>
        <v>0</v>
      </c>
      <c r="AL30" s="92">
        <f>'[1]September - 2021'!AS30</f>
        <v>0</v>
      </c>
      <c r="AM30" s="290">
        <f>'[1]September - 2021'!AU30</f>
        <v>0</v>
      </c>
      <c r="AN30" s="291">
        <f>'[1]September - 2021'!AV30</f>
        <v>0</v>
      </c>
      <c r="AO30" s="92">
        <f>'[1]September - 2021'!AV30</f>
        <v>0</v>
      </c>
      <c r="AP30" s="290">
        <f>'[1]September - 2021'!AX30</f>
        <v>0</v>
      </c>
      <c r="AQ30" s="291">
        <f>'[1]September - 2021'!AY30</f>
        <v>0</v>
      </c>
      <c r="AR30" s="92">
        <f>'[1]September - 2021'!AY30</f>
        <v>0</v>
      </c>
      <c r="AS30" s="290">
        <f>'[1]September - 2021'!BA30</f>
        <v>0</v>
      </c>
      <c r="AT30" s="291">
        <f>'[1]September - 2021'!BB30</f>
        <v>0</v>
      </c>
      <c r="AU30" s="92">
        <f>'[1]September - 2021'!BB30</f>
        <v>0</v>
      </c>
      <c r="AV30" s="290">
        <f>'[1]September - 2021'!BD30</f>
        <v>0</v>
      </c>
      <c r="AW30" s="252">
        <f>'[1]September - 2021'!BE30</f>
        <v>0</v>
      </c>
      <c r="AX30" s="253">
        <f>'[1]September - 2021'!BE30</f>
        <v>0</v>
      </c>
      <c r="AY30" s="496"/>
      <c r="AZ30" s="272">
        <f>'[1]September - 2021'!BK30</f>
        <v>0</v>
      </c>
      <c r="BA30" s="179">
        <f>'[1]September - 2021'!BL30</f>
        <v>0</v>
      </c>
      <c r="BB30" s="93">
        <f>'[1]September - 2021'!BL30</f>
        <v>0</v>
      </c>
      <c r="BC30" s="272">
        <f>'[1]September - 2021'!BN30</f>
        <v>0</v>
      </c>
      <c r="BD30" s="245">
        <f>'[1]September - 2021'!BO30</f>
        <v>0</v>
      </c>
      <c r="BE30" s="93">
        <f>'[1]September - 2021'!BO30</f>
        <v>0</v>
      </c>
      <c r="BF30" s="272">
        <f>'[1]September - 2021'!BQ30</f>
        <v>0</v>
      </c>
      <c r="BG30" s="245">
        <f>'[1]September - 2021'!BR30</f>
        <v>0</v>
      </c>
      <c r="BH30" s="93">
        <f>'[1]September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- 2021'!BT30</f>
        <v>0</v>
      </c>
      <c r="BT30" s="185">
        <f>'[1]September - 2021'!BU30</f>
        <v>0</v>
      </c>
      <c r="BU30" s="592"/>
      <c r="BV30" s="88">
        <f>'[1]September - 2021'!BW30</f>
        <v>0</v>
      </c>
      <c r="BW30" s="241">
        <f>'[1]September - 2021'!BX30</f>
        <v>0</v>
      </c>
      <c r="BX30" s="88">
        <f>'[1]September - 2021'!BX30</f>
        <v>0</v>
      </c>
      <c r="BY30" s="89">
        <f>'[1]September - 2021'!BZ30</f>
        <v>0</v>
      </c>
      <c r="BZ30" s="191">
        <f>'[1]September - 2021'!CA30</f>
        <v>0</v>
      </c>
      <c r="CA30" s="89">
        <f>'[1]September - 2021'!CB30</f>
        <v>0</v>
      </c>
      <c r="CB30" s="191">
        <f>'[1]September - 2021'!CC30</f>
        <v>0</v>
      </c>
      <c r="CC30" s="89">
        <f>'[1]September - 2021'!CD30</f>
        <v>0</v>
      </c>
      <c r="CD30" s="191">
        <f>'[1]September - 2021'!CE30</f>
        <v>0</v>
      </c>
      <c r="CE30" s="89">
        <f>'[1]September - 2021'!CF30</f>
        <v>0</v>
      </c>
      <c r="CF30" s="191">
        <f>'[1]September - 2021'!CG30</f>
        <v>0</v>
      </c>
      <c r="CG30" s="89">
        <f>'[1]September - 2021'!CH30</f>
        <v>0</v>
      </c>
      <c r="CH30" s="191">
        <f>'[1]September - 2021'!CI30</f>
        <v>0</v>
      </c>
      <c r="CI30" s="89">
        <f>'[1]September - 2021'!CJ30</f>
        <v>0</v>
      </c>
      <c r="CJ30" s="191">
        <f>'[1]September - 2021'!CK30</f>
        <v>0</v>
      </c>
      <c r="CK30" s="89">
        <f>'[1]September - 2021'!CL30</f>
        <v>0</v>
      </c>
      <c r="CL30" s="246">
        <f>'[1]September - 2021'!CM30</f>
        <v>0</v>
      </c>
      <c r="CM30" s="89">
        <f>'[1]September - 2021'!CM30</f>
        <v>0</v>
      </c>
      <c r="CN30" s="89">
        <f>'[1]September - 2021'!CO30</f>
        <v>0</v>
      </c>
      <c r="CO30" s="246">
        <f>'[1]September - 2021'!CP30</f>
        <v>0</v>
      </c>
      <c r="CP30" s="89">
        <f>'[1]September - 2021'!CP30</f>
        <v>0</v>
      </c>
      <c r="CQ30" s="89">
        <f>'[1]September - 2021'!CR30</f>
        <v>0</v>
      </c>
      <c r="CR30" s="246">
        <f>'[1]September - 2021'!CS30</f>
        <v>0</v>
      </c>
      <c r="CS30" s="89">
        <f>'[1]September - 2021'!CS30</f>
        <v>0</v>
      </c>
      <c r="CT30" s="89">
        <f>'[1]September - 2021'!CU30</f>
        <v>0</v>
      </c>
      <c r="CU30" s="191">
        <f>'[1]September - 2021'!CV30</f>
        <v>0</v>
      </c>
      <c r="CV30" s="520"/>
      <c r="CW30" s="256">
        <f>'[1]September - 2021'!CX30</f>
        <v>0</v>
      </c>
      <c r="CX30" s="198">
        <f>'[1]September - 2021'!CY30</f>
        <v>0</v>
      </c>
      <c r="CY30" s="257">
        <f>'[1]September - 2021'!CZ30</f>
        <v>0</v>
      </c>
      <c r="CZ30" s="198">
        <f>'[1]September - 2021'!DA30</f>
        <v>0</v>
      </c>
      <c r="DA30" s="257">
        <f>'[1]September - 2021'!DB30</f>
        <v>0</v>
      </c>
      <c r="DB30" s="198">
        <f>'[1]September - 2021'!DC30</f>
        <v>0</v>
      </c>
      <c r="DC30" s="257">
        <f>'[1]September - 2021'!DD30</f>
        <v>0</v>
      </c>
      <c r="DD30" s="198">
        <f>'[1]September - 2021'!DE30</f>
        <v>0</v>
      </c>
      <c r="DE30" s="257">
        <f>'[1]September - 2021'!DF30</f>
        <v>0</v>
      </c>
      <c r="DF30" s="198">
        <f>'[1]September - 2021'!DG30</f>
        <v>0</v>
      </c>
      <c r="DG30" s="257">
        <f>'[1]September - 2021'!DH30</f>
        <v>0</v>
      </c>
      <c r="DH30" s="198">
        <f>'[1]September - 2021'!DI30</f>
        <v>0</v>
      </c>
      <c r="DI30" s="257">
        <f>'[1]September - 2021'!DJ30</f>
        <v>0</v>
      </c>
      <c r="DJ30" s="198">
        <f>'[1]September - 2021'!DK30</f>
        <v>0</v>
      </c>
      <c r="DK30" s="257">
        <f>'[1]September - 2021'!DL30</f>
        <v>0</v>
      </c>
      <c r="DL30" s="198">
        <f>'[1]September - 2021'!DM30</f>
        <v>0</v>
      </c>
      <c r="DM30" s="257">
        <f>'[1]September - 2021'!DN30</f>
        <v>0</v>
      </c>
      <c r="DN30" s="198">
        <f>'[1]September - 2021'!DO30</f>
        <v>0</v>
      </c>
      <c r="DO30" s="257">
        <f>'[1]September - 2021'!DP30</f>
        <v>0</v>
      </c>
      <c r="DP30" s="198">
        <f>'[1]September - 2021'!DQ30</f>
        <v>0</v>
      </c>
      <c r="DQ30" s="257">
        <f>'[1]September - 2021'!DR30</f>
        <v>0</v>
      </c>
      <c r="DR30" s="206">
        <f>'[1]September - 2021'!DS30</f>
        <v>0</v>
      </c>
      <c r="DS30" s="536"/>
      <c r="DT30" s="210">
        <f>'[1]September - 2021'!DU30</f>
        <v>0</v>
      </c>
      <c r="DU30" s="221">
        <f>'[1]September - 2021'!DV30</f>
        <v>0</v>
      </c>
      <c r="DV30" s="91">
        <f>'[1]September - 2021'!DW30</f>
        <v>0</v>
      </c>
      <c r="DW30" s="215">
        <f>'[1]September - 2021'!DX30</f>
        <v>0</v>
      </c>
      <c r="DX30" s="91">
        <f>'[1]September - 2021'!DY30</f>
        <v>0</v>
      </c>
      <c r="DY30" s="215">
        <f>'[1]September - 2021'!DZ30</f>
        <v>0</v>
      </c>
      <c r="DZ30" s="91">
        <f>'[1]September - 2021'!EA30</f>
        <v>0</v>
      </c>
      <c r="EA30" s="215">
        <f>'[1]September - 2021'!EB30</f>
        <v>0</v>
      </c>
      <c r="EB30" s="91">
        <f>'[1]September - 2021'!EC30</f>
        <v>0</v>
      </c>
      <c r="EC30" s="215">
        <f>'[1]September - 2021'!ED30</f>
        <v>0</v>
      </c>
      <c r="ED30" s="91">
        <f>'[1]September - 2021'!EG30</f>
        <v>0</v>
      </c>
      <c r="EE30" s="229">
        <f>'[1]September - 2021'!EH30</f>
        <v>0</v>
      </c>
      <c r="EF30" s="583"/>
      <c r="EG30" s="235">
        <f>'[1]September - 2021'!EJ30</f>
        <v>0</v>
      </c>
      <c r="EH30" s="230">
        <f>'[1]September - 2021'!EK30</f>
        <v>0</v>
      </c>
      <c r="EI30" s="90">
        <f>'[1]September - 2021'!EL30</f>
        <v>0</v>
      </c>
      <c r="EJ30" s="230">
        <f>'[1]September - 2021'!EM30</f>
        <v>0</v>
      </c>
      <c r="EK30" s="90">
        <f>'[1]September - 2021'!EN30</f>
        <v>0</v>
      </c>
      <c r="EL30" s="230">
        <f>'[1]September - 2021'!EO30</f>
        <v>0</v>
      </c>
      <c r="EM30" s="90">
        <f>'[1]September - 2021'!EP30</f>
        <v>0</v>
      </c>
      <c r="EN30" s="230">
        <f>'[1]September - 2021'!EQ30</f>
        <v>0</v>
      </c>
      <c r="EO30" s="90">
        <f>'[1]September - 2021'!ER30</f>
        <v>0</v>
      </c>
      <c r="EP30" s="230">
        <f>'[1]September - 2021'!ES30</f>
        <v>0</v>
      </c>
      <c r="EQ30" s="90">
        <f>'[1]September - 2021'!ET30</f>
        <v>0</v>
      </c>
      <c r="ER30" s="230">
        <f>'[1]September - 2021'!EU30</f>
        <v>0</v>
      </c>
      <c r="ES30" s="558"/>
      <c r="ET30" s="284">
        <f>'[1]September - 2021'!EW30</f>
        <v>0</v>
      </c>
      <c r="EU30" s="278">
        <f>'[1]September - 2021'!EX30</f>
        <v>0</v>
      </c>
      <c r="EV30" s="285">
        <f>'[1]September - 2021'!EY30</f>
        <v>0</v>
      </c>
      <c r="EW30" s="278">
        <f>'[1]September - 2021'!EZ30</f>
        <v>0</v>
      </c>
      <c r="EX30" s="285">
        <f>'[1]September - 2021'!FA30</f>
        <v>0</v>
      </c>
      <c r="EY30" s="278">
        <f>'[1]September - 2021'!FB30</f>
        <v>0</v>
      </c>
      <c r="EZ30" s="285">
        <f>'[1]September - 2021'!FC30</f>
        <v>0</v>
      </c>
      <c r="FA30" s="278">
        <f>'[1]September - 2021'!FD30</f>
        <v>0</v>
      </c>
      <c r="FB30" s="285">
        <f>'[1]September - 2021'!FE30</f>
        <v>0</v>
      </c>
      <c r="FC30" s="279">
        <f>'[1]September - 2021'!FF30</f>
        <v>0</v>
      </c>
    </row>
    <row r="31" spans="1:159" ht="30" customHeight="1" x14ac:dyDescent="0.25">
      <c r="A31" s="207">
        <v>43852</v>
      </c>
      <c r="B31" s="209">
        <f>'[1]September - 2021'!B31</f>
        <v>0</v>
      </c>
      <c r="C31" s="250">
        <f>'[1]September - 2021'!E31</f>
        <v>0</v>
      </c>
      <c r="D31" s="170">
        <f>'[1]September - 2021'!F31</f>
        <v>0</v>
      </c>
      <c r="E31" s="168">
        <f>'[1]September - 2021'!G31</f>
        <v>647</v>
      </c>
      <c r="F31" s="168">
        <f>'[1]September - 2021'!H31</f>
        <v>0</v>
      </c>
      <c r="G31" s="170">
        <f>'[1]September - 2021'!I31</f>
        <v>0</v>
      </c>
      <c r="H31" s="168">
        <f>'[1]September - 2021'!J31</f>
        <v>282</v>
      </c>
      <c r="I31" s="168">
        <f>'[1]September - 2021'!K31</f>
        <v>0</v>
      </c>
      <c r="J31" s="170">
        <f>'[1]September - 2021'!L31</f>
        <v>0</v>
      </c>
      <c r="K31" s="168">
        <f>'[1]September - 2021'!N31</f>
        <v>0</v>
      </c>
      <c r="L31" s="170">
        <f>'[1]September - 2021'!O31</f>
        <v>0</v>
      </c>
      <c r="M31" s="168">
        <f>'[1]September - 2021'!Q31</f>
        <v>0</v>
      </c>
      <c r="N31" s="170">
        <f>'[1]September - 2021'!R31</f>
        <v>0</v>
      </c>
      <c r="O31" s="168">
        <f>'[1]September - 2021'!S31</f>
        <v>0</v>
      </c>
      <c r="P31" s="170">
        <f>'[1]September - 2021'!T31</f>
        <v>0</v>
      </c>
      <c r="Q31" s="168">
        <f>'[1]September - 2021'!U31</f>
        <v>175</v>
      </c>
      <c r="R31" s="168">
        <f>'[1]September - 2021'!V31</f>
        <v>0</v>
      </c>
      <c r="S31" s="208">
        <f>'[1]September - 2021'!W31</f>
        <v>0</v>
      </c>
      <c r="T31" s="479"/>
      <c r="U31" s="169">
        <f>'[1]September - 2021'!AC31</f>
        <v>0</v>
      </c>
      <c r="V31" s="291">
        <f>'[1]September - 2021'!AD31</f>
        <v>0</v>
      </c>
      <c r="W31" s="92">
        <f>'[1]September - 2021'!AD31</f>
        <v>0</v>
      </c>
      <c r="X31" s="290">
        <f>'[1]September - 2021'!AF31</f>
        <v>0</v>
      </c>
      <c r="Y31" s="291">
        <f>'[1]September - 2021'!AG31</f>
        <v>0</v>
      </c>
      <c r="Z31" s="92">
        <f>'[1]September - 2021'!AG31</f>
        <v>0</v>
      </c>
      <c r="AA31" s="290">
        <f>'[1]September - 2021'!AI31</f>
        <v>0</v>
      </c>
      <c r="AB31" s="291">
        <f>'[1]September - 2021'!AJ31</f>
        <v>0</v>
      </c>
      <c r="AC31" s="92">
        <f>'[1]September - 2021'!AJ31</f>
        <v>0</v>
      </c>
      <c r="AD31" s="290">
        <f>'[1]September - 2021'!AL31</f>
        <v>0</v>
      </c>
      <c r="AE31" s="291">
        <f>'[1]September - 2021'!AM31</f>
        <v>0</v>
      </c>
      <c r="AF31" s="92">
        <f>'[1]September - 2021'!AM31</f>
        <v>0</v>
      </c>
      <c r="AG31" s="290">
        <f>'[1]September - 2021'!AO31</f>
        <v>0</v>
      </c>
      <c r="AH31" s="291">
        <f>'[1]September - 2021'!AP31</f>
        <v>0</v>
      </c>
      <c r="AI31" s="92">
        <f>'[1]September - 2021'!AP31</f>
        <v>0</v>
      </c>
      <c r="AJ31" s="290">
        <f>'[1]September - 2021'!AR31</f>
        <v>0</v>
      </c>
      <c r="AK31" s="291">
        <f>'[1]September - 2021'!AS31</f>
        <v>0</v>
      </c>
      <c r="AL31" s="92">
        <f>'[1]September - 2021'!AS31</f>
        <v>0</v>
      </c>
      <c r="AM31" s="290">
        <f>'[1]September - 2021'!AU31</f>
        <v>0</v>
      </c>
      <c r="AN31" s="291">
        <f>'[1]September - 2021'!AV31</f>
        <v>0</v>
      </c>
      <c r="AO31" s="92">
        <f>'[1]September - 2021'!AV31</f>
        <v>0</v>
      </c>
      <c r="AP31" s="290">
        <f>'[1]September - 2021'!AX31</f>
        <v>0</v>
      </c>
      <c r="AQ31" s="291">
        <f>'[1]September - 2021'!AY31</f>
        <v>0</v>
      </c>
      <c r="AR31" s="92">
        <f>'[1]September - 2021'!AY31</f>
        <v>0</v>
      </c>
      <c r="AS31" s="290">
        <f>'[1]September - 2021'!BA31</f>
        <v>0</v>
      </c>
      <c r="AT31" s="291">
        <f>'[1]September - 2021'!BB31</f>
        <v>0</v>
      </c>
      <c r="AU31" s="92">
        <f>'[1]September - 2021'!BB31</f>
        <v>0</v>
      </c>
      <c r="AV31" s="290">
        <f>'[1]September - 2021'!BD31</f>
        <v>0</v>
      </c>
      <c r="AW31" s="252">
        <f>'[1]September - 2021'!BE31</f>
        <v>0</v>
      </c>
      <c r="AX31" s="253">
        <f>'[1]September - 2021'!BE31</f>
        <v>0</v>
      </c>
      <c r="AY31" s="496"/>
      <c r="AZ31" s="272">
        <f>'[1]September - 2021'!BK31</f>
        <v>0</v>
      </c>
      <c r="BA31" s="179">
        <f>'[1]September - 2021'!BL31</f>
        <v>0</v>
      </c>
      <c r="BB31" s="93">
        <f>'[1]September - 2021'!BL31</f>
        <v>0</v>
      </c>
      <c r="BC31" s="272">
        <f>'[1]September - 2021'!BN31</f>
        <v>0</v>
      </c>
      <c r="BD31" s="245">
        <f>'[1]September - 2021'!BO31</f>
        <v>0</v>
      </c>
      <c r="BE31" s="93">
        <f>'[1]September - 2021'!BO31</f>
        <v>0</v>
      </c>
      <c r="BF31" s="272">
        <f>'[1]September - 2021'!BQ31</f>
        <v>0</v>
      </c>
      <c r="BG31" s="245">
        <f>'[1]September - 2021'!BR31</f>
        <v>0</v>
      </c>
      <c r="BH31" s="93">
        <f>'[1]September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- 2021'!BT31</f>
        <v>0</v>
      </c>
      <c r="BT31" s="185">
        <f>'[1]September - 2021'!BU31</f>
        <v>0</v>
      </c>
      <c r="BU31" s="592"/>
      <c r="BV31" s="88">
        <f>'[1]September - 2021'!BW31</f>
        <v>0</v>
      </c>
      <c r="BW31" s="241">
        <f>'[1]September - 2021'!BX31</f>
        <v>0</v>
      </c>
      <c r="BX31" s="88">
        <f>'[1]September - 2021'!BX31</f>
        <v>0</v>
      </c>
      <c r="BY31" s="89">
        <f>'[1]September - 2021'!BZ31</f>
        <v>0</v>
      </c>
      <c r="BZ31" s="191">
        <f>'[1]September - 2021'!CA31</f>
        <v>0</v>
      </c>
      <c r="CA31" s="89">
        <f>'[1]September - 2021'!CB31</f>
        <v>0</v>
      </c>
      <c r="CB31" s="191">
        <f>'[1]September - 2021'!CC31</f>
        <v>0</v>
      </c>
      <c r="CC31" s="89">
        <f>'[1]September - 2021'!CD31</f>
        <v>0</v>
      </c>
      <c r="CD31" s="191">
        <f>'[1]September - 2021'!CE31</f>
        <v>0</v>
      </c>
      <c r="CE31" s="89">
        <f>'[1]September - 2021'!CF31</f>
        <v>0</v>
      </c>
      <c r="CF31" s="191">
        <f>'[1]September - 2021'!CG31</f>
        <v>0</v>
      </c>
      <c r="CG31" s="89">
        <f>'[1]September - 2021'!CH31</f>
        <v>0</v>
      </c>
      <c r="CH31" s="191">
        <f>'[1]September - 2021'!CI31</f>
        <v>0</v>
      </c>
      <c r="CI31" s="89">
        <f>'[1]September - 2021'!CJ31</f>
        <v>0</v>
      </c>
      <c r="CJ31" s="191">
        <f>'[1]September - 2021'!CK31</f>
        <v>0</v>
      </c>
      <c r="CK31" s="89">
        <f>'[1]September - 2021'!CL31</f>
        <v>0</v>
      </c>
      <c r="CL31" s="246">
        <f>'[1]September - 2021'!CM31</f>
        <v>0</v>
      </c>
      <c r="CM31" s="89">
        <f>'[1]September - 2021'!CM31</f>
        <v>0</v>
      </c>
      <c r="CN31" s="89">
        <f>'[1]September - 2021'!CO31</f>
        <v>0</v>
      </c>
      <c r="CO31" s="246">
        <f>'[1]September - 2021'!CP31</f>
        <v>0</v>
      </c>
      <c r="CP31" s="89">
        <f>'[1]September - 2021'!CP31</f>
        <v>0</v>
      </c>
      <c r="CQ31" s="89">
        <f>'[1]September - 2021'!CR31</f>
        <v>0</v>
      </c>
      <c r="CR31" s="246">
        <f>'[1]September - 2021'!CS31</f>
        <v>0</v>
      </c>
      <c r="CS31" s="89">
        <f>'[1]September - 2021'!CS31</f>
        <v>0</v>
      </c>
      <c r="CT31" s="89">
        <f>'[1]September - 2021'!CU31</f>
        <v>0</v>
      </c>
      <c r="CU31" s="191">
        <f>'[1]September - 2021'!CV31</f>
        <v>0</v>
      </c>
      <c r="CV31" s="520"/>
      <c r="CW31" s="256">
        <f>'[1]September - 2021'!CX31</f>
        <v>0</v>
      </c>
      <c r="CX31" s="198">
        <f>'[1]September - 2021'!CY31</f>
        <v>0</v>
      </c>
      <c r="CY31" s="257">
        <f>'[1]September - 2021'!CZ31</f>
        <v>0</v>
      </c>
      <c r="CZ31" s="198">
        <f>'[1]September - 2021'!DA31</f>
        <v>0</v>
      </c>
      <c r="DA31" s="257">
        <f>'[1]September - 2021'!DB31</f>
        <v>0</v>
      </c>
      <c r="DB31" s="198">
        <f>'[1]September - 2021'!DC31</f>
        <v>0</v>
      </c>
      <c r="DC31" s="257">
        <f>'[1]September - 2021'!DD31</f>
        <v>0</v>
      </c>
      <c r="DD31" s="198">
        <f>'[1]September - 2021'!DE31</f>
        <v>0</v>
      </c>
      <c r="DE31" s="257">
        <f>'[1]September - 2021'!DF31</f>
        <v>0</v>
      </c>
      <c r="DF31" s="198">
        <f>'[1]September - 2021'!DG31</f>
        <v>0</v>
      </c>
      <c r="DG31" s="257">
        <f>'[1]September - 2021'!DH31</f>
        <v>0</v>
      </c>
      <c r="DH31" s="198">
        <f>'[1]September - 2021'!DI31</f>
        <v>0</v>
      </c>
      <c r="DI31" s="257">
        <f>'[1]September - 2021'!DJ31</f>
        <v>0</v>
      </c>
      <c r="DJ31" s="198">
        <f>'[1]September - 2021'!DK31</f>
        <v>0</v>
      </c>
      <c r="DK31" s="257">
        <f>'[1]September - 2021'!DL31</f>
        <v>0</v>
      </c>
      <c r="DL31" s="198">
        <f>'[1]September - 2021'!DM31</f>
        <v>0</v>
      </c>
      <c r="DM31" s="257">
        <f>'[1]September - 2021'!DN31</f>
        <v>0</v>
      </c>
      <c r="DN31" s="198">
        <f>'[1]September - 2021'!DO31</f>
        <v>0</v>
      </c>
      <c r="DO31" s="257">
        <f>'[1]September - 2021'!DP31</f>
        <v>0</v>
      </c>
      <c r="DP31" s="198">
        <f>'[1]September - 2021'!DQ31</f>
        <v>0</v>
      </c>
      <c r="DQ31" s="257">
        <f>'[1]September - 2021'!DR31</f>
        <v>0</v>
      </c>
      <c r="DR31" s="206">
        <f>'[1]September - 2021'!DS31</f>
        <v>0</v>
      </c>
      <c r="DS31" s="536"/>
      <c r="DT31" s="210">
        <f>'[1]September - 2021'!DU31</f>
        <v>0</v>
      </c>
      <c r="DU31" s="221">
        <f>'[1]September - 2021'!DV31</f>
        <v>0</v>
      </c>
      <c r="DV31" s="91">
        <f>'[1]September - 2021'!DW31</f>
        <v>0</v>
      </c>
      <c r="DW31" s="215">
        <f>'[1]September - 2021'!DX31</f>
        <v>0</v>
      </c>
      <c r="DX31" s="91">
        <f>'[1]September - 2021'!DY31</f>
        <v>0</v>
      </c>
      <c r="DY31" s="215">
        <f>'[1]September - 2021'!DZ31</f>
        <v>0</v>
      </c>
      <c r="DZ31" s="91">
        <f>'[1]September - 2021'!EA31</f>
        <v>0</v>
      </c>
      <c r="EA31" s="215">
        <f>'[1]September - 2021'!EB31</f>
        <v>0</v>
      </c>
      <c r="EB31" s="91">
        <f>'[1]September - 2021'!EC31</f>
        <v>0</v>
      </c>
      <c r="EC31" s="215">
        <f>'[1]September - 2021'!ED31</f>
        <v>0</v>
      </c>
      <c r="ED31" s="91">
        <f>'[1]September - 2021'!EG31</f>
        <v>0</v>
      </c>
      <c r="EE31" s="229">
        <f>'[1]September - 2021'!EH31</f>
        <v>0</v>
      </c>
      <c r="EF31" s="583"/>
      <c r="EG31" s="235">
        <f>'[1]September - 2021'!EJ31</f>
        <v>0</v>
      </c>
      <c r="EH31" s="230">
        <f>'[1]September - 2021'!EK31</f>
        <v>0</v>
      </c>
      <c r="EI31" s="90">
        <f>'[1]September - 2021'!EL31</f>
        <v>0</v>
      </c>
      <c r="EJ31" s="230">
        <f>'[1]September - 2021'!EM31</f>
        <v>0</v>
      </c>
      <c r="EK31" s="90">
        <f>'[1]September - 2021'!EN31</f>
        <v>0</v>
      </c>
      <c r="EL31" s="230">
        <f>'[1]September - 2021'!EO31</f>
        <v>0</v>
      </c>
      <c r="EM31" s="90">
        <f>'[1]September - 2021'!EP31</f>
        <v>0</v>
      </c>
      <c r="EN31" s="230">
        <f>'[1]September - 2021'!EQ31</f>
        <v>0</v>
      </c>
      <c r="EO31" s="90">
        <f>'[1]September - 2021'!ER31</f>
        <v>0</v>
      </c>
      <c r="EP31" s="230">
        <f>'[1]September - 2021'!ES31</f>
        <v>0</v>
      </c>
      <c r="EQ31" s="90">
        <f>'[1]September - 2021'!ET31</f>
        <v>0</v>
      </c>
      <c r="ER31" s="230">
        <f>'[1]September - 2021'!EU31</f>
        <v>0</v>
      </c>
      <c r="ES31" s="558"/>
      <c r="ET31" s="284">
        <f>'[1]September - 2021'!EW31</f>
        <v>0</v>
      </c>
      <c r="EU31" s="278">
        <f>'[1]September - 2021'!EX31</f>
        <v>0</v>
      </c>
      <c r="EV31" s="285">
        <f>'[1]September - 2021'!EY31</f>
        <v>0</v>
      </c>
      <c r="EW31" s="278">
        <f>'[1]September - 2021'!EZ31</f>
        <v>0</v>
      </c>
      <c r="EX31" s="285">
        <f>'[1]September - 2021'!FA31</f>
        <v>0</v>
      </c>
      <c r="EY31" s="278">
        <f>'[1]September - 2021'!FB31</f>
        <v>0</v>
      </c>
      <c r="EZ31" s="285">
        <f>'[1]September - 2021'!FC31</f>
        <v>0</v>
      </c>
      <c r="FA31" s="278">
        <f>'[1]September - 2021'!FD31</f>
        <v>0</v>
      </c>
      <c r="FB31" s="285">
        <f>'[1]September - 2021'!FE31</f>
        <v>0</v>
      </c>
      <c r="FC31" s="279">
        <f>'[1]September - 2021'!FF31</f>
        <v>0</v>
      </c>
    </row>
    <row r="32" spans="1:159" ht="30" customHeight="1" x14ac:dyDescent="0.25">
      <c r="A32" s="207">
        <v>43853</v>
      </c>
      <c r="B32" s="209">
        <f>'[1]September - 2021'!B32</f>
        <v>0</v>
      </c>
      <c r="C32" s="250">
        <f>'[1]September - 2021'!E32</f>
        <v>0</v>
      </c>
      <c r="D32" s="170">
        <f>'[1]September - 2021'!F32</f>
        <v>0</v>
      </c>
      <c r="E32" s="168">
        <f>'[1]September - 2021'!G32</f>
        <v>561</v>
      </c>
      <c r="F32" s="168">
        <f>'[1]September - 2021'!H32</f>
        <v>0</v>
      </c>
      <c r="G32" s="170">
        <f>'[1]September - 2021'!I32</f>
        <v>0</v>
      </c>
      <c r="H32" s="168">
        <f>'[1]September - 2021'!J32</f>
        <v>285</v>
      </c>
      <c r="I32" s="168">
        <f>'[1]September - 2021'!K32</f>
        <v>0</v>
      </c>
      <c r="J32" s="170">
        <f>'[1]September - 2021'!L32</f>
        <v>0</v>
      </c>
      <c r="K32" s="168">
        <f>'[1]September - 2021'!N32</f>
        <v>0</v>
      </c>
      <c r="L32" s="170">
        <f>'[1]September - 2021'!O32</f>
        <v>0</v>
      </c>
      <c r="M32" s="168">
        <f>'[1]September - 2021'!Q32</f>
        <v>0</v>
      </c>
      <c r="N32" s="170">
        <f>'[1]September - 2021'!R32</f>
        <v>0</v>
      </c>
      <c r="O32" s="168">
        <f>'[1]September - 2021'!S32</f>
        <v>0</v>
      </c>
      <c r="P32" s="170">
        <f>'[1]September - 2021'!T32</f>
        <v>0</v>
      </c>
      <c r="Q32" s="168">
        <f>'[1]September - 2021'!U32</f>
        <v>160</v>
      </c>
      <c r="R32" s="168">
        <f>'[1]September - 2021'!V32</f>
        <v>0</v>
      </c>
      <c r="S32" s="208">
        <f>'[1]September - 2021'!W32</f>
        <v>0</v>
      </c>
      <c r="T32" s="479"/>
      <c r="U32" s="169">
        <f>'[1]September - 2021'!AC32</f>
        <v>0</v>
      </c>
      <c r="V32" s="291">
        <f>'[1]September - 2021'!AD32</f>
        <v>0</v>
      </c>
      <c r="W32" s="92">
        <f>'[1]September - 2021'!AD32</f>
        <v>0</v>
      </c>
      <c r="X32" s="290">
        <f>'[1]September - 2021'!AF32</f>
        <v>0</v>
      </c>
      <c r="Y32" s="291">
        <f>'[1]September - 2021'!AG32</f>
        <v>0</v>
      </c>
      <c r="Z32" s="92">
        <f>'[1]September - 2021'!AG32</f>
        <v>0</v>
      </c>
      <c r="AA32" s="290">
        <f>'[1]September - 2021'!AI32</f>
        <v>0</v>
      </c>
      <c r="AB32" s="291">
        <f>'[1]September - 2021'!AJ32</f>
        <v>0</v>
      </c>
      <c r="AC32" s="92">
        <f>'[1]September - 2021'!AJ32</f>
        <v>0</v>
      </c>
      <c r="AD32" s="290">
        <f>'[1]September - 2021'!AL32</f>
        <v>0</v>
      </c>
      <c r="AE32" s="291">
        <f>'[1]September - 2021'!AM32</f>
        <v>0</v>
      </c>
      <c r="AF32" s="92">
        <f>'[1]September - 2021'!AM32</f>
        <v>0</v>
      </c>
      <c r="AG32" s="290">
        <f>'[1]September - 2021'!AO32</f>
        <v>0</v>
      </c>
      <c r="AH32" s="291">
        <f>'[1]September - 2021'!AP32</f>
        <v>0</v>
      </c>
      <c r="AI32" s="92">
        <f>'[1]September - 2021'!AP32</f>
        <v>0</v>
      </c>
      <c r="AJ32" s="290">
        <f>'[1]September - 2021'!AR32</f>
        <v>0</v>
      </c>
      <c r="AK32" s="291">
        <f>'[1]September - 2021'!AS32</f>
        <v>0</v>
      </c>
      <c r="AL32" s="92">
        <f>'[1]September - 2021'!AS32</f>
        <v>0</v>
      </c>
      <c r="AM32" s="290">
        <f>'[1]September - 2021'!AU32</f>
        <v>0</v>
      </c>
      <c r="AN32" s="291">
        <f>'[1]September - 2021'!AV32</f>
        <v>0</v>
      </c>
      <c r="AO32" s="92">
        <f>'[1]September - 2021'!AV32</f>
        <v>0</v>
      </c>
      <c r="AP32" s="290">
        <f>'[1]September - 2021'!AX32</f>
        <v>0</v>
      </c>
      <c r="AQ32" s="291">
        <f>'[1]September - 2021'!AY32</f>
        <v>0</v>
      </c>
      <c r="AR32" s="92">
        <f>'[1]September - 2021'!AY32</f>
        <v>0</v>
      </c>
      <c r="AS32" s="290">
        <f>'[1]September - 2021'!BA32</f>
        <v>0</v>
      </c>
      <c r="AT32" s="291">
        <f>'[1]September - 2021'!BB32</f>
        <v>0</v>
      </c>
      <c r="AU32" s="92">
        <f>'[1]September - 2021'!BB32</f>
        <v>0</v>
      </c>
      <c r="AV32" s="290">
        <f>'[1]September - 2021'!BD32</f>
        <v>0</v>
      </c>
      <c r="AW32" s="252">
        <f>'[1]September - 2021'!BE32</f>
        <v>0</v>
      </c>
      <c r="AX32" s="253">
        <f>'[1]September - 2021'!BE32</f>
        <v>0</v>
      </c>
      <c r="AY32" s="496"/>
      <c r="AZ32" s="272">
        <f>'[1]September - 2021'!BK32</f>
        <v>0</v>
      </c>
      <c r="BA32" s="179">
        <f>'[1]September - 2021'!BL32</f>
        <v>0</v>
      </c>
      <c r="BB32" s="93">
        <f>'[1]September - 2021'!BL32</f>
        <v>0</v>
      </c>
      <c r="BC32" s="272">
        <f>'[1]September - 2021'!BN32</f>
        <v>0</v>
      </c>
      <c r="BD32" s="245">
        <f>'[1]September - 2021'!BO32</f>
        <v>0</v>
      </c>
      <c r="BE32" s="93">
        <f>'[1]September - 2021'!BO32</f>
        <v>0</v>
      </c>
      <c r="BF32" s="272">
        <f>'[1]September - 2021'!BQ32</f>
        <v>0</v>
      </c>
      <c r="BG32" s="245">
        <f>'[1]September - 2021'!BR32</f>
        <v>0</v>
      </c>
      <c r="BH32" s="93">
        <f>'[1]September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- 2021'!BT32</f>
        <v>0</v>
      </c>
      <c r="BT32" s="185">
        <f>'[1]September - 2021'!BU32</f>
        <v>0</v>
      </c>
      <c r="BU32" s="592"/>
      <c r="BV32" s="88">
        <f>'[1]September - 2021'!BW32</f>
        <v>0</v>
      </c>
      <c r="BW32" s="241">
        <f>'[1]September - 2021'!BX32</f>
        <v>0</v>
      </c>
      <c r="BX32" s="88">
        <f>'[1]September - 2021'!BX32</f>
        <v>0</v>
      </c>
      <c r="BY32" s="89">
        <f>'[1]September - 2021'!BZ32</f>
        <v>0</v>
      </c>
      <c r="BZ32" s="191">
        <f>'[1]September - 2021'!CA32</f>
        <v>0</v>
      </c>
      <c r="CA32" s="89">
        <f>'[1]September - 2021'!CB32</f>
        <v>0</v>
      </c>
      <c r="CB32" s="191">
        <f>'[1]September - 2021'!CC32</f>
        <v>0</v>
      </c>
      <c r="CC32" s="89">
        <f>'[1]September - 2021'!CD32</f>
        <v>0</v>
      </c>
      <c r="CD32" s="191">
        <f>'[1]September - 2021'!CE32</f>
        <v>0</v>
      </c>
      <c r="CE32" s="89">
        <f>'[1]September - 2021'!CF32</f>
        <v>0</v>
      </c>
      <c r="CF32" s="191">
        <f>'[1]September - 2021'!CG32</f>
        <v>0</v>
      </c>
      <c r="CG32" s="89">
        <f>'[1]September - 2021'!CH32</f>
        <v>0</v>
      </c>
      <c r="CH32" s="191">
        <f>'[1]September - 2021'!CI32</f>
        <v>0</v>
      </c>
      <c r="CI32" s="89">
        <f>'[1]September - 2021'!CJ32</f>
        <v>0</v>
      </c>
      <c r="CJ32" s="191">
        <f>'[1]September - 2021'!CK32</f>
        <v>0</v>
      </c>
      <c r="CK32" s="89">
        <f>'[1]September - 2021'!CL32</f>
        <v>0</v>
      </c>
      <c r="CL32" s="246">
        <f>'[1]September - 2021'!CM32</f>
        <v>0</v>
      </c>
      <c r="CM32" s="89">
        <f>'[1]September - 2021'!CM32</f>
        <v>0</v>
      </c>
      <c r="CN32" s="89">
        <f>'[1]September - 2021'!CO32</f>
        <v>0</v>
      </c>
      <c r="CO32" s="246">
        <f>'[1]September - 2021'!CP32</f>
        <v>0</v>
      </c>
      <c r="CP32" s="89">
        <f>'[1]September - 2021'!CP32</f>
        <v>0</v>
      </c>
      <c r="CQ32" s="89">
        <f>'[1]September - 2021'!CR32</f>
        <v>0</v>
      </c>
      <c r="CR32" s="246">
        <f>'[1]September - 2021'!CS32</f>
        <v>0</v>
      </c>
      <c r="CS32" s="89">
        <f>'[1]September - 2021'!CS32</f>
        <v>0</v>
      </c>
      <c r="CT32" s="89">
        <f>'[1]September - 2021'!CU32</f>
        <v>0</v>
      </c>
      <c r="CU32" s="191">
        <f>'[1]September - 2021'!CV32</f>
        <v>0</v>
      </c>
      <c r="CV32" s="520"/>
      <c r="CW32" s="256">
        <f>'[1]September - 2021'!CX32</f>
        <v>0</v>
      </c>
      <c r="CX32" s="198">
        <f>'[1]September - 2021'!CY32</f>
        <v>0</v>
      </c>
      <c r="CY32" s="257">
        <f>'[1]September - 2021'!CZ32</f>
        <v>0</v>
      </c>
      <c r="CZ32" s="198">
        <f>'[1]September - 2021'!DA32</f>
        <v>0</v>
      </c>
      <c r="DA32" s="257">
        <f>'[1]September - 2021'!DB32</f>
        <v>0</v>
      </c>
      <c r="DB32" s="198">
        <f>'[1]September - 2021'!DC32</f>
        <v>0</v>
      </c>
      <c r="DC32" s="257">
        <f>'[1]September - 2021'!DD32</f>
        <v>0</v>
      </c>
      <c r="DD32" s="198">
        <f>'[1]September - 2021'!DE32</f>
        <v>0</v>
      </c>
      <c r="DE32" s="257">
        <f>'[1]September - 2021'!DF32</f>
        <v>0</v>
      </c>
      <c r="DF32" s="198">
        <f>'[1]September - 2021'!DG32</f>
        <v>0</v>
      </c>
      <c r="DG32" s="257">
        <f>'[1]September - 2021'!DH32</f>
        <v>0</v>
      </c>
      <c r="DH32" s="198">
        <f>'[1]September - 2021'!DI32</f>
        <v>0</v>
      </c>
      <c r="DI32" s="257">
        <f>'[1]September - 2021'!DJ32</f>
        <v>0</v>
      </c>
      <c r="DJ32" s="198">
        <f>'[1]September - 2021'!DK32</f>
        <v>0</v>
      </c>
      <c r="DK32" s="257">
        <f>'[1]September - 2021'!DL32</f>
        <v>0</v>
      </c>
      <c r="DL32" s="198">
        <f>'[1]September - 2021'!DM32</f>
        <v>0</v>
      </c>
      <c r="DM32" s="257">
        <f>'[1]September - 2021'!DN32</f>
        <v>0</v>
      </c>
      <c r="DN32" s="198">
        <f>'[1]September - 2021'!DO32</f>
        <v>0</v>
      </c>
      <c r="DO32" s="257">
        <f>'[1]September - 2021'!DP32</f>
        <v>0</v>
      </c>
      <c r="DP32" s="198">
        <f>'[1]September - 2021'!DQ32</f>
        <v>0</v>
      </c>
      <c r="DQ32" s="257">
        <f>'[1]September - 2021'!DR32</f>
        <v>0</v>
      </c>
      <c r="DR32" s="206">
        <f>'[1]September - 2021'!DS32</f>
        <v>0</v>
      </c>
      <c r="DS32" s="536"/>
      <c r="DT32" s="210">
        <f>'[1]September - 2021'!DU32</f>
        <v>0</v>
      </c>
      <c r="DU32" s="221">
        <f>'[1]September - 2021'!DV32</f>
        <v>0</v>
      </c>
      <c r="DV32" s="91">
        <f>'[1]September - 2021'!DW32</f>
        <v>0</v>
      </c>
      <c r="DW32" s="215">
        <f>'[1]September - 2021'!DX32</f>
        <v>0</v>
      </c>
      <c r="DX32" s="91">
        <f>'[1]September - 2021'!DY32</f>
        <v>0</v>
      </c>
      <c r="DY32" s="215">
        <f>'[1]September - 2021'!DZ32</f>
        <v>0</v>
      </c>
      <c r="DZ32" s="91">
        <f>'[1]September - 2021'!EA32</f>
        <v>0</v>
      </c>
      <c r="EA32" s="215">
        <f>'[1]September - 2021'!EB32</f>
        <v>0</v>
      </c>
      <c r="EB32" s="91">
        <f>'[1]September - 2021'!EC32</f>
        <v>0</v>
      </c>
      <c r="EC32" s="215">
        <f>'[1]September - 2021'!ED32</f>
        <v>0</v>
      </c>
      <c r="ED32" s="91">
        <f>'[1]September - 2021'!EG32</f>
        <v>0</v>
      </c>
      <c r="EE32" s="229">
        <f>'[1]September - 2021'!EH32</f>
        <v>0</v>
      </c>
      <c r="EF32" s="583"/>
      <c r="EG32" s="235">
        <f>'[1]September - 2021'!EJ32</f>
        <v>0</v>
      </c>
      <c r="EH32" s="230">
        <f>'[1]September - 2021'!EK32</f>
        <v>0</v>
      </c>
      <c r="EI32" s="90">
        <f>'[1]September - 2021'!EL32</f>
        <v>0</v>
      </c>
      <c r="EJ32" s="230">
        <f>'[1]September - 2021'!EM32</f>
        <v>0</v>
      </c>
      <c r="EK32" s="90">
        <f>'[1]September - 2021'!EN32</f>
        <v>0</v>
      </c>
      <c r="EL32" s="230">
        <f>'[1]September - 2021'!EO32</f>
        <v>0</v>
      </c>
      <c r="EM32" s="90">
        <f>'[1]September - 2021'!EP32</f>
        <v>0</v>
      </c>
      <c r="EN32" s="230">
        <f>'[1]September - 2021'!EQ32</f>
        <v>0</v>
      </c>
      <c r="EO32" s="90">
        <f>'[1]September - 2021'!ER32</f>
        <v>0</v>
      </c>
      <c r="EP32" s="230">
        <f>'[1]September - 2021'!ES32</f>
        <v>0</v>
      </c>
      <c r="EQ32" s="90">
        <f>'[1]September - 2021'!ET32</f>
        <v>0</v>
      </c>
      <c r="ER32" s="230">
        <f>'[1]September - 2021'!EU32</f>
        <v>0</v>
      </c>
      <c r="ES32" s="558"/>
      <c r="ET32" s="284">
        <f>'[1]September - 2021'!EW32</f>
        <v>0</v>
      </c>
      <c r="EU32" s="278">
        <f>'[1]September - 2021'!EX32</f>
        <v>0</v>
      </c>
      <c r="EV32" s="285">
        <f>'[1]September - 2021'!EY32</f>
        <v>0</v>
      </c>
      <c r="EW32" s="278">
        <f>'[1]September - 2021'!EZ32</f>
        <v>0</v>
      </c>
      <c r="EX32" s="285">
        <f>'[1]September - 2021'!FA32</f>
        <v>0</v>
      </c>
      <c r="EY32" s="278">
        <f>'[1]September - 2021'!FB32</f>
        <v>0</v>
      </c>
      <c r="EZ32" s="285">
        <f>'[1]September - 2021'!FC32</f>
        <v>0</v>
      </c>
      <c r="FA32" s="278">
        <f>'[1]September - 2021'!FD32</f>
        <v>0</v>
      </c>
      <c r="FB32" s="285">
        <f>'[1]September - 2021'!FE32</f>
        <v>0</v>
      </c>
      <c r="FC32" s="279">
        <f>'[1]September - 2021'!FF32</f>
        <v>0</v>
      </c>
    </row>
    <row r="33" spans="1:160" ht="30" customHeight="1" x14ac:dyDescent="0.25">
      <c r="A33" s="207">
        <v>43854</v>
      </c>
      <c r="B33" s="209">
        <f>'[1]September - 2021'!B33</f>
        <v>0</v>
      </c>
      <c r="C33" s="250">
        <f>'[1]September - 2021'!E33</f>
        <v>0</v>
      </c>
      <c r="D33" s="170">
        <f>'[1]September - 2021'!F33</f>
        <v>0</v>
      </c>
      <c r="E33" s="168">
        <f>'[1]September - 2021'!G33</f>
        <v>635</v>
      </c>
      <c r="F33" s="168">
        <f>'[1]September - 2021'!H33</f>
        <v>0</v>
      </c>
      <c r="G33" s="170">
        <f>'[1]September - 2021'!I33</f>
        <v>0</v>
      </c>
      <c r="H33" s="168">
        <f>'[1]September - 2021'!J33</f>
        <v>316</v>
      </c>
      <c r="I33" s="168">
        <f>'[1]September - 2021'!K33</f>
        <v>0</v>
      </c>
      <c r="J33" s="170">
        <f>'[1]September - 2021'!L33</f>
        <v>0</v>
      </c>
      <c r="K33" s="168">
        <f>'[1]September - 2021'!N33</f>
        <v>0</v>
      </c>
      <c r="L33" s="170">
        <f>'[1]September - 2021'!O33</f>
        <v>0</v>
      </c>
      <c r="M33" s="168">
        <f>'[1]September - 2021'!Q33</f>
        <v>0</v>
      </c>
      <c r="N33" s="170">
        <f>'[1]September - 2021'!R33</f>
        <v>0</v>
      </c>
      <c r="O33" s="168">
        <f>'[1]September - 2021'!S33</f>
        <v>0</v>
      </c>
      <c r="P33" s="170">
        <f>'[1]September - 2021'!T33</f>
        <v>0</v>
      </c>
      <c r="Q33" s="168">
        <f>'[1]September - 2021'!U33</f>
        <v>153</v>
      </c>
      <c r="R33" s="168">
        <f>'[1]September - 2021'!V33</f>
        <v>0</v>
      </c>
      <c r="S33" s="208">
        <f>'[1]September - 2021'!W33</f>
        <v>0</v>
      </c>
      <c r="T33" s="479"/>
      <c r="U33" s="169">
        <f>'[1]September - 2021'!AC33</f>
        <v>0</v>
      </c>
      <c r="V33" s="291">
        <f>'[1]September - 2021'!AD33</f>
        <v>0</v>
      </c>
      <c r="W33" s="92">
        <f>'[1]September - 2021'!AD33</f>
        <v>0</v>
      </c>
      <c r="X33" s="290">
        <f>'[1]September - 2021'!AF33</f>
        <v>0</v>
      </c>
      <c r="Y33" s="291">
        <f>'[1]September - 2021'!AG33</f>
        <v>0</v>
      </c>
      <c r="Z33" s="92">
        <f>'[1]September - 2021'!AG33</f>
        <v>0</v>
      </c>
      <c r="AA33" s="290">
        <f>'[1]September - 2021'!AI33</f>
        <v>0</v>
      </c>
      <c r="AB33" s="291">
        <f>'[1]September - 2021'!AJ33</f>
        <v>0</v>
      </c>
      <c r="AC33" s="92">
        <f>'[1]September - 2021'!AJ33</f>
        <v>0</v>
      </c>
      <c r="AD33" s="290">
        <f>'[1]September - 2021'!AL33</f>
        <v>0</v>
      </c>
      <c r="AE33" s="291">
        <f>'[1]September - 2021'!AM33</f>
        <v>0</v>
      </c>
      <c r="AF33" s="92">
        <f>'[1]September - 2021'!AM33</f>
        <v>0</v>
      </c>
      <c r="AG33" s="290">
        <f>'[1]September - 2021'!AO33</f>
        <v>0</v>
      </c>
      <c r="AH33" s="291">
        <f>'[1]September - 2021'!AP33</f>
        <v>0</v>
      </c>
      <c r="AI33" s="92">
        <f>'[1]September - 2021'!AP33</f>
        <v>0</v>
      </c>
      <c r="AJ33" s="290">
        <f>'[1]September - 2021'!AR33</f>
        <v>0</v>
      </c>
      <c r="AK33" s="291">
        <f>'[1]September - 2021'!AS33</f>
        <v>0</v>
      </c>
      <c r="AL33" s="92">
        <f>'[1]September - 2021'!AS33</f>
        <v>0</v>
      </c>
      <c r="AM33" s="290">
        <f>'[1]September - 2021'!AU33</f>
        <v>0</v>
      </c>
      <c r="AN33" s="291">
        <f>'[1]September - 2021'!AV33</f>
        <v>0</v>
      </c>
      <c r="AO33" s="92">
        <f>'[1]September - 2021'!AV33</f>
        <v>0</v>
      </c>
      <c r="AP33" s="290">
        <f>'[1]September - 2021'!AX33</f>
        <v>0</v>
      </c>
      <c r="AQ33" s="291">
        <f>'[1]September - 2021'!AY33</f>
        <v>0</v>
      </c>
      <c r="AR33" s="92">
        <f>'[1]September - 2021'!AY33</f>
        <v>0</v>
      </c>
      <c r="AS33" s="290">
        <f>'[1]September - 2021'!BA33</f>
        <v>0</v>
      </c>
      <c r="AT33" s="291">
        <f>'[1]September - 2021'!BB33</f>
        <v>0</v>
      </c>
      <c r="AU33" s="92">
        <f>'[1]September - 2021'!BB33</f>
        <v>0</v>
      </c>
      <c r="AV33" s="290">
        <f>'[1]September - 2021'!BD33</f>
        <v>0</v>
      </c>
      <c r="AW33" s="252">
        <f>'[1]September - 2021'!BE33</f>
        <v>0</v>
      </c>
      <c r="AX33" s="253">
        <f>'[1]September - 2021'!BE33</f>
        <v>0</v>
      </c>
      <c r="AY33" s="496"/>
      <c r="AZ33" s="272">
        <f>'[1]September - 2021'!BK33</f>
        <v>0</v>
      </c>
      <c r="BA33" s="179">
        <f>'[1]September - 2021'!BL33</f>
        <v>0</v>
      </c>
      <c r="BB33" s="93">
        <f>'[1]September - 2021'!BL33</f>
        <v>0</v>
      </c>
      <c r="BC33" s="272">
        <f>'[1]September - 2021'!BN33</f>
        <v>0</v>
      </c>
      <c r="BD33" s="245">
        <f>'[1]September - 2021'!BO33</f>
        <v>0</v>
      </c>
      <c r="BE33" s="93">
        <f>'[1]September - 2021'!BO33</f>
        <v>0</v>
      </c>
      <c r="BF33" s="272">
        <f>'[1]September - 2021'!BQ33</f>
        <v>0</v>
      </c>
      <c r="BG33" s="245">
        <f>'[1]September - 2021'!BR33</f>
        <v>0</v>
      </c>
      <c r="BH33" s="93">
        <f>'[1]September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- 2021'!BT33</f>
        <v>0</v>
      </c>
      <c r="BT33" s="185">
        <f>'[1]September - 2021'!BU33</f>
        <v>0</v>
      </c>
      <c r="BU33" s="592"/>
      <c r="BV33" s="88">
        <f>'[1]September - 2021'!BW33</f>
        <v>0</v>
      </c>
      <c r="BW33" s="241">
        <f>'[1]September - 2021'!BX33</f>
        <v>0</v>
      </c>
      <c r="BX33" s="88">
        <f>'[1]September - 2021'!BX33</f>
        <v>0</v>
      </c>
      <c r="BY33" s="89">
        <f>'[1]September - 2021'!BZ33</f>
        <v>0</v>
      </c>
      <c r="BZ33" s="191">
        <f>'[1]September - 2021'!CA33</f>
        <v>0</v>
      </c>
      <c r="CA33" s="89">
        <f>'[1]September - 2021'!CB33</f>
        <v>0</v>
      </c>
      <c r="CB33" s="191">
        <f>'[1]September - 2021'!CC33</f>
        <v>0</v>
      </c>
      <c r="CC33" s="89">
        <f>'[1]September - 2021'!CD33</f>
        <v>0</v>
      </c>
      <c r="CD33" s="191">
        <f>'[1]September - 2021'!CE33</f>
        <v>0</v>
      </c>
      <c r="CE33" s="89">
        <f>'[1]September - 2021'!CF33</f>
        <v>0</v>
      </c>
      <c r="CF33" s="191">
        <f>'[1]September - 2021'!CG33</f>
        <v>0</v>
      </c>
      <c r="CG33" s="89">
        <f>'[1]September - 2021'!CH33</f>
        <v>0</v>
      </c>
      <c r="CH33" s="191">
        <f>'[1]September - 2021'!CI33</f>
        <v>0</v>
      </c>
      <c r="CI33" s="89">
        <f>'[1]September - 2021'!CJ33</f>
        <v>0</v>
      </c>
      <c r="CJ33" s="191">
        <f>'[1]September - 2021'!CK33</f>
        <v>0</v>
      </c>
      <c r="CK33" s="89">
        <f>'[1]September - 2021'!CL33</f>
        <v>0</v>
      </c>
      <c r="CL33" s="246">
        <f>'[1]September - 2021'!CM33</f>
        <v>0</v>
      </c>
      <c r="CM33" s="89">
        <f>'[1]September - 2021'!CM33</f>
        <v>0</v>
      </c>
      <c r="CN33" s="89">
        <f>'[1]September - 2021'!CO33</f>
        <v>0</v>
      </c>
      <c r="CO33" s="246">
        <f>'[1]September - 2021'!CP33</f>
        <v>0</v>
      </c>
      <c r="CP33" s="89">
        <f>'[1]September - 2021'!CP33</f>
        <v>0</v>
      </c>
      <c r="CQ33" s="89">
        <f>'[1]September - 2021'!CR33</f>
        <v>0</v>
      </c>
      <c r="CR33" s="246">
        <f>'[1]September - 2021'!CS33</f>
        <v>0</v>
      </c>
      <c r="CS33" s="89">
        <f>'[1]September - 2021'!CS33</f>
        <v>0</v>
      </c>
      <c r="CT33" s="89">
        <f>'[1]September - 2021'!CU33</f>
        <v>0</v>
      </c>
      <c r="CU33" s="191">
        <f>'[1]September - 2021'!CV33</f>
        <v>0</v>
      </c>
      <c r="CV33" s="520"/>
      <c r="CW33" s="256">
        <f>'[1]September - 2021'!CX33</f>
        <v>0</v>
      </c>
      <c r="CX33" s="198">
        <f>'[1]September - 2021'!CY33</f>
        <v>0</v>
      </c>
      <c r="CY33" s="257">
        <f>'[1]September - 2021'!CZ33</f>
        <v>0</v>
      </c>
      <c r="CZ33" s="198">
        <f>'[1]September - 2021'!DA33</f>
        <v>0</v>
      </c>
      <c r="DA33" s="257">
        <f>'[1]September - 2021'!DB33</f>
        <v>0</v>
      </c>
      <c r="DB33" s="198">
        <f>'[1]September - 2021'!DC33</f>
        <v>0</v>
      </c>
      <c r="DC33" s="257">
        <f>'[1]September - 2021'!DD33</f>
        <v>0</v>
      </c>
      <c r="DD33" s="198">
        <f>'[1]September - 2021'!DE33</f>
        <v>0</v>
      </c>
      <c r="DE33" s="257">
        <f>'[1]September - 2021'!DF33</f>
        <v>0</v>
      </c>
      <c r="DF33" s="198">
        <f>'[1]September - 2021'!DG33</f>
        <v>0</v>
      </c>
      <c r="DG33" s="257">
        <f>'[1]September - 2021'!DH33</f>
        <v>0</v>
      </c>
      <c r="DH33" s="198">
        <f>'[1]September - 2021'!DI33</f>
        <v>0</v>
      </c>
      <c r="DI33" s="257">
        <f>'[1]September - 2021'!DJ33</f>
        <v>0</v>
      </c>
      <c r="DJ33" s="198">
        <f>'[1]September - 2021'!DK33</f>
        <v>0</v>
      </c>
      <c r="DK33" s="257">
        <f>'[1]September - 2021'!DL33</f>
        <v>0</v>
      </c>
      <c r="DL33" s="198">
        <f>'[1]September - 2021'!DM33</f>
        <v>0</v>
      </c>
      <c r="DM33" s="257">
        <f>'[1]September - 2021'!DN33</f>
        <v>0</v>
      </c>
      <c r="DN33" s="198">
        <f>'[1]September - 2021'!DO33</f>
        <v>0</v>
      </c>
      <c r="DO33" s="257">
        <f>'[1]September - 2021'!DP33</f>
        <v>0</v>
      </c>
      <c r="DP33" s="198">
        <f>'[1]September - 2021'!DQ33</f>
        <v>0</v>
      </c>
      <c r="DQ33" s="257">
        <f>'[1]September - 2021'!DR33</f>
        <v>0</v>
      </c>
      <c r="DR33" s="206">
        <f>'[1]September - 2021'!DS33</f>
        <v>0</v>
      </c>
      <c r="DS33" s="536"/>
      <c r="DT33" s="210">
        <f>'[1]September - 2021'!DU33</f>
        <v>0</v>
      </c>
      <c r="DU33" s="221">
        <f>'[1]September - 2021'!DV33</f>
        <v>0</v>
      </c>
      <c r="DV33" s="91">
        <f>'[1]September - 2021'!DW33</f>
        <v>0</v>
      </c>
      <c r="DW33" s="215">
        <f>'[1]September - 2021'!DX33</f>
        <v>0</v>
      </c>
      <c r="DX33" s="91">
        <f>'[1]September - 2021'!DY33</f>
        <v>0</v>
      </c>
      <c r="DY33" s="215">
        <f>'[1]September - 2021'!DZ33</f>
        <v>0</v>
      </c>
      <c r="DZ33" s="91">
        <f>'[1]September - 2021'!EA33</f>
        <v>0</v>
      </c>
      <c r="EA33" s="215">
        <f>'[1]September - 2021'!EB33</f>
        <v>0</v>
      </c>
      <c r="EB33" s="91">
        <f>'[1]September - 2021'!EC33</f>
        <v>0</v>
      </c>
      <c r="EC33" s="215">
        <f>'[1]September - 2021'!ED33</f>
        <v>0</v>
      </c>
      <c r="ED33" s="91">
        <f>'[1]September - 2021'!EG33</f>
        <v>0</v>
      </c>
      <c r="EE33" s="229">
        <f>'[1]September - 2021'!EH33</f>
        <v>0</v>
      </c>
      <c r="EF33" s="583"/>
      <c r="EG33" s="235">
        <f>'[1]September - 2021'!EJ33</f>
        <v>0</v>
      </c>
      <c r="EH33" s="230">
        <f>'[1]September - 2021'!EK33</f>
        <v>0</v>
      </c>
      <c r="EI33" s="90">
        <f>'[1]September - 2021'!EL33</f>
        <v>0</v>
      </c>
      <c r="EJ33" s="230">
        <f>'[1]September - 2021'!EM33</f>
        <v>0</v>
      </c>
      <c r="EK33" s="90">
        <f>'[1]September - 2021'!EN33</f>
        <v>0</v>
      </c>
      <c r="EL33" s="230">
        <f>'[1]September - 2021'!EO33</f>
        <v>0</v>
      </c>
      <c r="EM33" s="90">
        <f>'[1]September - 2021'!EP33</f>
        <v>0</v>
      </c>
      <c r="EN33" s="230">
        <f>'[1]September - 2021'!EQ33</f>
        <v>0</v>
      </c>
      <c r="EO33" s="90">
        <f>'[1]September - 2021'!ER33</f>
        <v>0</v>
      </c>
      <c r="EP33" s="230">
        <f>'[1]September - 2021'!ES33</f>
        <v>0</v>
      </c>
      <c r="EQ33" s="90">
        <f>'[1]September - 2021'!ET33</f>
        <v>0</v>
      </c>
      <c r="ER33" s="230">
        <f>'[1]September - 2021'!EU33</f>
        <v>0</v>
      </c>
      <c r="ES33" s="558"/>
      <c r="ET33" s="284">
        <f>'[1]September - 2021'!EW33</f>
        <v>0</v>
      </c>
      <c r="EU33" s="278">
        <f>'[1]September - 2021'!EX33</f>
        <v>0</v>
      </c>
      <c r="EV33" s="285">
        <f>'[1]September - 2021'!EY33</f>
        <v>0</v>
      </c>
      <c r="EW33" s="278">
        <f>'[1]September - 2021'!EZ33</f>
        <v>0</v>
      </c>
      <c r="EX33" s="285">
        <f>'[1]September - 2021'!FA33</f>
        <v>0</v>
      </c>
      <c r="EY33" s="278">
        <f>'[1]September - 2021'!FB33</f>
        <v>0</v>
      </c>
      <c r="EZ33" s="285">
        <f>'[1]September - 2021'!FC33</f>
        <v>0</v>
      </c>
      <c r="FA33" s="278">
        <f>'[1]September - 2021'!FD33</f>
        <v>0</v>
      </c>
      <c r="FB33" s="285">
        <f>'[1]September - 2021'!FE33</f>
        <v>0</v>
      </c>
      <c r="FC33" s="279">
        <f>'[1]September - 2021'!FF33</f>
        <v>0</v>
      </c>
    </row>
    <row r="34" spans="1:160" ht="30" customHeight="1" x14ac:dyDescent="0.25">
      <c r="A34" s="207">
        <v>43855</v>
      </c>
      <c r="B34" s="209">
        <f>'[1]September - 2021'!B34</f>
        <v>0</v>
      </c>
      <c r="C34" s="250">
        <f>'[1]September - 2021'!E34</f>
        <v>0</v>
      </c>
      <c r="D34" s="170">
        <f>'[1]September - 2021'!F34</f>
        <v>0</v>
      </c>
      <c r="E34" s="168">
        <f>'[1]September - 2021'!G34</f>
        <v>598</v>
      </c>
      <c r="F34" s="168">
        <f>'[1]September - 2021'!H34</f>
        <v>0</v>
      </c>
      <c r="G34" s="170">
        <f>'[1]September - 2021'!I34</f>
        <v>0</v>
      </c>
      <c r="H34" s="168">
        <f>'[1]September - 2021'!J34</f>
        <v>371</v>
      </c>
      <c r="I34" s="168">
        <f>'[1]September - 2021'!K34</f>
        <v>0</v>
      </c>
      <c r="J34" s="170">
        <f>'[1]September - 2021'!L34</f>
        <v>0</v>
      </c>
      <c r="K34" s="168">
        <f>'[1]September - 2021'!N34</f>
        <v>0</v>
      </c>
      <c r="L34" s="170">
        <f>'[1]September - 2021'!O34</f>
        <v>0</v>
      </c>
      <c r="M34" s="168">
        <f>'[1]September - 2021'!Q34</f>
        <v>0</v>
      </c>
      <c r="N34" s="170">
        <f>'[1]September - 2021'!R34</f>
        <v>0</v>
      </c>
      <c r="O34" s="168">
        <f>'[1]September - 2021'!S34</f>
        <v>0</v>
      </c>
      <c r="P34" s="170">
        <f>'[1]September - 2021'!T34</f>
        <v>0</v>
      </c>
      <c r="Q34" s="168">
        <f>'[1]September - 2021'!U34</f>
        <v>156</v>
      </c>
      <c r="R34" s="168">
        <f>'[1]September - 2021'!V34</f>
        <v>0</v>
      </c>
      <c r="S34" s="208">
        <f>'[1]September - 2021'!W34</f>
        <v>0</v>
      </c>
      <c r="T34" s="479"/>
      <c r="U34" s="169">
        <f>'[1]September - 2021'!AC34</f>
        <v>0</v>
      </c>
      <c r="V34" s="291">
        <f>'[1]September - 2021'!AD34</f>
        <v>0</v>
      </c>
      <c r="W34" s="92">
        <f>'[1]September - 2021'!AD34</f>
        <v>0</v>
      </c>
      <c r="X34" s="290">
        <f>'[1]September - 2021'!AF34</f>
        <v>0</v>
      </c>
      <c r="Y34" s="291">
        <f>'[1]September - 2021'!AG34</f>
        <v>0</v>
      </c>
      <c r="Z34" s="92">
        <f>'[1]September - 2021'!AG34</f>
        <v>0</v>
      </c>
      <c r="AA34" s="290">
        <f>'[1]September - 2021'!AI34</f>
        <v>0</v>
      </c>
      <c r="AB34" s="291">
        <f>'[1]September - 2021'!AJ34</f>
        <v>0</v>
      </c>
      <c r="AC34" s="92">
        <f>'[1]September - 2021'!AJ34</f>
        <v>0</v>
      </c>
      <c r="AD34" s="290">
        <f>'[1]September - 2021'!AL34</f>
        <v>0</v>
      </c>
      <c r="AE34" s="291">
        <f>'[1]September - 2021'!AM34</f>
        <v>0</v>
      </c>
      <c r="AF34" s="92">
        <f>'[1]September - 2021'!AM34</f>
        <v>0</v>
      </c>
      <c r="AG34" s="290">
        <f>'[1]September - 2021'!AO34</f>
        <v>0</v>
      </c>
      <c r="AH34" s="291">
        <f>'[1]September - 2021'!AP34</f>
        <v>0</v>
      </c>
      <c r="AI34" s="92">
        <f>'[1]September - 2021'!AP34</f>
        <v>0</v>
      </c>
      <c r="AJ34" s="290">
        <f>'[1]September - 2021'!AR34</f>
        <v>0</v>
      </c>
      <c r="AK34" s="291">
        <f>'[1]September - 2021'!AS34</f>
        <v>0</v>
      </c>
      <c r="AL34" s="92">
        <f>'[1]September - 2021'!AS34</f>
        <v>0</v>
      </c>
      <c r="AM34" s="290">
        <f>'[1]September - 2021'!AU34</f>
        <v>0</v>
      </c>
      <c r="AN34" s="291">
        <f>'[1]September - 2021'!AV34</f>
        <v>0</v>
      </c>
      <c r="AO34" s="92">
        <f>'[1]September - 2021'!AV34</f>
        <v>0</v>
      </c>
      <c r="AP34" s="290">
        <f>'[1]September - 2021'!AX34</f>
        <v>0</v>
      </c>
      <c r="AQ34" s="291">
        <f>'[1]September - 2021'!AY34</f>
        <v>0</v>
      </c>
      <c r="AR34" s="92">
        <f>'[1]September - 2021'!AY34</f>
        <v>0</v>
      </c>
      <c r="AS34" s="290">
        <f>'[1]September - 2021'!BA34</f>
        <v>0</v>
      </c>
      <c r="AT34" s="291">
        <f>'[1]September - 2021'!BB34</f>
        <v>0</v>
      </c>
      <c r="AU34" s="92">
        <f>'[1]September - 2021'!BB34</f>
        <v>0</v>
      </c>
      <c r="AV34" s="290">
        <f>'[1]September - 2021'!BD34</f>
        <v>0</v>
      </c>
      <c r="AW34" s="252">
        <f>'[1]September - 2021'!BE34</f>
        <v>0</v>
      </c>
      <c r="AX34" s="253">
        <f>'[1]September - 2021'!BE34</f>
        <v>0</v>
      </c>
      <c r="AY34" s="496"/>
      <c r="AZ34" s="272">
        <f>'[1]September - 2021'!BK34</f>
        <v>0</v>
      </c>
      <c r="BA34" s="179">
        <f>'[1]September - 2021'!BL34</f>
        <v>0</v>
      </c>
      <c r="BB34" s="93">
        <f>'[1]September - 2021'!BL34</f>
        <v>0</v>
      </c>
      <c r="BC34" s="272">
        <f>'[1]September - 2021'!BN34</f>
        <v>0</v>
      </c>
      <c r="BD34" s="245">
        <f>'[1]September - 2021'!BO34</f>
        <v>0</v>
      </c>
      <c r="BE34" s="93">
        <f>'[1]September - 2021'!BO34</f>
        <v>0</v>
      </c>
      <c r="BF34" s="272">
        <f>'[1]September - 2021'!BQ34</f>
        <v>0</v>
      </c>
      <c r="BG34" s="245">
        <f>'[1]September - 2021'!BR34</f>
        <v>0</v>
      </c>
      <c r="BH34" s="93">
        <f>'[1]September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- 2021'!BT34</f>
        <v>0</v>
      </c>
      <c r="BT34" s="185">
        <f>'[1]September - 2021'!BU34</f>
        <v>0</v>
      </c>
      <c r="BU34" s="592"/>
      <c r="BV34" s="88">
        <f>'[1]September - 2021'!BW34</f>
        <v>0</v>
      </c>
      <c r="BW34" s="241">
        <f>'[1]September - 2021'!BX34</f>
        <v>0</v>
      </c>
      <c r="BX34" s="88">
        <f>'[1]September - 2021'!BX34</f>
        <v>0</v>
      </c>
      <c r="BY34" s="89">
        <f>'[1]September - 2021'!BZ34</f>
        <v>0</v>
      </c>
      <c r="BZ34" s="191">
        <f>'[1]September - 2021'!CA34</f>
        <v>0</v>
      </c>
      <c r="CA34" s="89">
        <f>'[1]September - 2021'!CB34</f>
        <v>0</v>
      </c>
      <c r="CB34" s="191">
        <f>'[1]September - 2021'!CC34</f>
        <v>0</v>
      </c>
      <c r="CC34" s="89">
        <f>'[1]September - 2021'!CD34</f>
        <v>0</v>
      </c>
      <c r="CD34" s="191">
        <f>'[1]September - 2021'!CE34</f>
        <v>0</v>
      </c>
      <c r="CE34" s="89">
        <f>'[1]September - 2021'!CF34</f>
        <v>0</v>
      </c>
      <c r="CF34" s="191">
        <f>'[1]September - 2021'!CG34</f>
        <v>0</v>
      </c>
      <c r="CG34" s="89">
        <f>'[1]September - 2021'!CH34</f>
        <v>0</v>
      </c>
      <c r="CH34" s="191">
        <f>'[1]September - 2021'!CI34</f>
        <v>0</v>
      </c>
      <c r="CI34" s="89">
        <f>'[1]September - 2021'!CJ34</f>
        <v>0</v>
      </c>
      <c r="CJ34" s="191">
        <f>'[1]September - 2021'!CK34</f>
        <v>0</v>
      </c>
      <c r="CK34" s="89">
        <f>'[1]September - 2021'!CL34</f>
        <v>0</v>
      </c>
      <c r="CL34" s="246">
        <f>'[1]September - 2021'!CM34</f>
        <v>0</v>
      </c>
      <c r="CM34" s="89">
        <f>'[1]September - 2021'!CM34</f>
        <v>0</v>
      </c>
      <c r="CN34" s="89">
        <f>'[1]September - 2021'!CO34</f>
        <v>0</v>
      </c>
      <c r="CO34" s="246">
        <f>'[1]September - 2021'!CP34</f>
        <v>0</v>
      </c>
      <c r="CP34" s="89">
        <f>'[1]September - 2021'!CP34</f>
        <v>0</v>
      </c>
      <c r="CQ34" s="89">
        <f>'[1]September - 2021'!CR34</f>
        <v>0</v>
      </c>
      <c r="CR34" s="246">
        <f>'[1]September - 2021'!CS34</f>
        <v>0</v>
      </c>
      <c r="CS34" s="89">
        <f>'[1]September - 2021'!CS34</f>
        <v>0</v>
      </c>
      <c r="CT34" s="89">
        <f>'[1]September - 2021'!CU34</f>
        <v>0</v>
      </c>
      <c r="CU34" s="191">
        <f>'[1]September - 2021'!CV34</f>
        <v>0</v>
      </c>
      <c r="CV34" s="520"/>
      <c r="CW34" s="256">
        <f>'[1]September - 2021'!CX34</f>
        <v>0</v>
      </c>
      <c r="CX34" s="198">
        <f>'[1]September - 2021'!CY34</f>
        <v>0</v>
      </c>
      <c r="CY34" s="257">
        <f>'[1]September - 2021'!CZ34</f>
        <v>0</v>
      </c>
      <c r="CZ34" s="198">
        <f>'[1]September - 2021'!DA34</f>
        <v>0</v>
      </c>
      <c r="DA34" s="257">
        <f>'[1]September - 2021'!DB34</f>
        <v>0</v>
      </c>
      <c r="DB34" s="198">
        <f>'[1]September - 2021'!DC34</f>
        <v>0</v>
      </c>
      <c r="DC34" s="257">
        <f>'[1]September - 2021'!DD34</f>
        <v>0</v>
      </c>
      <c r="DD34" s="198">
        <f>'[1]September - 2021'!DE34</f>
        <v>0</v>
      </c>
      <c r="DE34" s="257">
        <f>'[1]September - 2021'!DF34</f>
        <v>0</v>
      </c>
      <c r="DF34" s="198">
        <f>'[1]September - 2021'!DG34</f>
        <v>0</v>
      </c>
      <c r="DG34" s="257">
        <f>'[1]September - 2021'!DH34</f>
        <v>0</v>
      </c>
      <c r="DH34" s="198">
        <f>'[1]September - 2021'!DI34</f>
        <v>0</v>
      </c>
      <c r="DI34" s="257">
        <f>'[1]September - 2021'!DJ34</f>
        <v>0</v>
      </c>
      <c r="DJ34" s="198">
        <f>'[1]September - 2021'!DK34</f>
        <v>0</v>
      </c>
      <c r="DK34" s="257">
        <f>'[1]September - 2021'!DL34</f>
        <v>0</v>
      </c>
      <c r="DL34" s="198">
        <f>'[1]September - 2021'!DM34</f>
        <v>0</v>
      </c>
      <c r="DM34" s="257">
        <f>'[1]September - 2021'!DN34</f>
        <v>0</v>
      </c>
      <c r="DN34" s="198">
        <f>'[1]September - 2021'!DO34</f>
        <v>0</v>
      </c>
      <c r="DO34" s="257">
        <f>'[1]September - 2021'!DP34</f>
        <v>0</v>
      </c>
      <c r="DP34" s="198">
        <f>'[1]September - 2021'!DQ34</f>
        <v>0</v>
      </c>
      <c r="DQ34" s="257">
        <f>'[1]September - 2021'!DR34</f>
        <v>0</v>
      </c>
      <c r="DR34" s="206">
        <f>'[1]September - 2021'!DS34</f>
        <v>0</v>
      </c>
      <c r="DS34" s="536"/>
      <c r="DT34" s="210">
        <f>'[1]September - 2021'!DU34</f>
        <v>0</v>
      </c>
      <c r="DU34" s="221">
        <f>'[1]September - 2021'!DV34</f>
        <v>0</v>
      </c>
      <c r="DV34" s="91">
        <f>'[1]September - 2021'!DW34</f>
        <v>0</v>
      </c>
      <c r="DW34" s="215">
        <f>'[1]September - 2021'!DX34</f>
        <v>0</v>
      </c>
      <c r="DX34" s="91">
        <f>'[1]September - 2021'!DY34</f>
        <v>0</v>
      </c>
      <c r="DY34" s="215">
        <f>'[1]September - 2021'!DZ34</f>
        <v>0</v>
      </c>
      <c r="DZ34" s="91">
        <f>'[1]September - 2021'!EA34</f>
        <v>0</v>
      </c>
      <c r="EA34" s="215">
        <f>'[1]September - 2021'!EB34</f>
        <v>0</v>
      </c>
      <c r="EB34" s="91">
        <f>'[1]September - 2021'!EC34</f>
        <v>0</v>
      </c>
      <c r="EC34" s="215">
        <f>'[1]September - 2021'!ED34</f>
        <v>0</v>
      </c>
      <c r="ED34" s="91">
        <f>'[1]September - 2021'!EG34</f>
        <v>0</v>
      </c>
      <c r="EE34" s="229">
        <f>'[1]September - 2021'!EH34</f>
        <v>0</v>
      </c>
      <c r="EF34" s="583"/>
      <c r="EG34" s="235">
        <f>'[1]September - 2021'!EJ34</f>
        <v>0</v>
      </c>
      <c r="EH34" s="230">
        <f>'[1]September - 2021'!EK34</f>
        <v>0</v>
      </c>
      <c r="EI34" s="90">
        <f>'[1]September - 2021'!EL34</f>
        <v>0</v>
      </c>
      <c r="EJ34" s="230">
        <f>'[1]September - 2021'!EM34</f>
        <v>0</v>
      </c>
      <c r="EK34" s="90">
        <f>'[1]September - 2021'!EN34</f>
        <v>0</v>
      </c>
      <c r="EL34" s="230">
        <f>'[1]September - 2021'!EO34</f>
        <v>0</v>
      </c>
      <c r="EM34" s="90">
        <f>'[1]September - 2021'!EP34</f>
        <v>0</v>
      </c>
      <c r="EN34" s="230">
        <f>'[1]September - 2021'!EQ34</f>
        <v>0</v>
      </c>
      <c r="EO34" s="90">
        <f>'[1]September - 2021'!ER34</f>
        <v>0</v>
      </c>
      <c r="EP34" s="230">
        <f>'[1]September - 2021'!ES34</f>
        <v>0</v>
      </c>
      <c r="EQ34" s="90">
        <f>'[1]September - 2021'!ET34</f>
        <v>0</v>
      </c>
      <c r="ER34" s="230">
        <f>'[1]September - 2021'!EU34</f>
        <v>0</v>
      </c>
      <c r="ES34" s="558"/>
      <c r="ET34" s="284">
        <f>'[1]September - 2021'!EW34</f>
        <v>0</v>
      </c>
      <c r="EU34" s="278">
        <f>'[1]September - 2021'!EX34</f>
        <v>0</v>
      </c>
      <c r="EV34" s="285">
        <f>'[1]September - 2021'!EY34</f>
        <v>0</v>
      </c>
      <c r="EW34" s="278">
        <f>'[1]September - 2021'!EZ34</f>
        <v>0</v>
      </c>
      <c r="EX34" s="285">
        <f>'[1]September - 2021'!FA34</f>
        <v>0</v>
      </c>
      <c r="EY34" s="278">
        <f>'[1]September - 2021'!FB34</f>
        <v>0</v>
      </c>
      <c r="EZ34" s="285">
        <f>'[1]September - 2021'!FC34</f>
        <v>0</v>
      </c>
      <c r="FA34" s="278">
        <f>'[1]September - 2021'!FD34</f>
        <v>0</v>
      </c>
      <c r="FB34" s="285">
        <f>'[1]September - 2021'!FE34</f>
        <v>0</v>
      </c>
      <c r="FC34" s="279">
        <f>'[1]September - 2021'!FF34</f>
        <v>0</v>
      </c>
    </row>
    <row r="35" spans="1:160" ht="30" customHeight="1" x14ac:dyDescent="0.25">
      <c r="A35" s="207">
        <v>43856</v>
      </c>
      <c r="B35" s="209">
        <f>'[1]September - 2021'!B35</f>
        <v>0</v>
      </c>
      <c r="C35" s="250">
        <f>'[1]September - 2021'!E35</f>
        <v>0</v>
      </c>
      <c r="D35" s="170">
        <f>'[1]September - 2021'!F35</f>
        <v>0</v>
      </c>
      <c r="E35" s="168">
        <f>'[1]September - 2021'!G35</f>
        <v>720</v>
      </c>
      <c r="F35" s="168">
        <f>'[1]September - 2021'!H35</f>
        <v>0</v>
      </c>
      <c r="G35" s="170">
        <f>'[1]September - 2021'!I35</f>
        <v>0</v>
      </c>
      <c r="H35" s="168">
        <f>'[1]September - 2021'!J35</f>
        <v>313</v>
      </c>
      <c r="I35" s="168">
        <f>'[1]September - 2021'!K35</f>
        <v>0</v>
      </c>
      <c r="J35" s="170">
        <f>'[1]September - 2021'!L35</f>
        <v>0</v>
      </c>
      <c r="K35" s="168">
        <f>'[1]September - 2021'!N35</f>
        <v>0</v>
      </c>
      <c r="L35" s="170">
        <f>'[1]September - 2021'!O35</f>
        <v>0</v>
      </c>
      <c r="M35" s="168">
        <f>'[1]September - 2021'!Q35</f>
        <v>0</v>
      </c>
      <c r="N35" s="170">
        <f>'[1]September - 2021'!R35</f>
        <v>0</v>
      </c>
      <c r="O35" s="168">
        <f>'[1]September - 2021'!S35</f>
        <v>0</v>
      </c>
      <c r="P35" s="170">
        <f>'[1]September - 2021'!T35</f>
        <v>0</v>
      </c>
      <c r="Q35" s="168">
        <f>'[1]September - 2021'!U35</f>
        <v>153</v>
      </c>
      <c r="R35" s="168">
        <f>'[1]September - 2021'!V35</f>
        <v>0</v>
      </c>
      <c r="S35" s="208">
        <f>'[1]September - 2021'!W35</f>
        <v>0</v>
      </c>
      <c r="T35" s="479"/>
      <c r="U35" s="169">
        <f>'[1]September - 2021'!AC35</f>
        <v>0</v>
      </c>
      <c r="V35" s="291">
        <f>'[1]September - 2021'!AD35</f>
        <v>0</v>
      </c>
      <c r="W35" s="92">
        <f>'[1]September - 2021'!AD35</f>
        <v>0</v>
      </c>
      <c r="X35" s="290">
        <f>'[1]September - 2021'!AF35</f>
        <v>0</v>
      </c>
      <c r="Y35" s="291">
        <f>'[1]September - 2021'!AG35</f>
        <v>0</v>
      </c>
      <c r="Z35" s="92">
        <f>'[1]September - 2021'!AG35</f>
        <v>0</v>
      </c>
      <c r="AA35" s="290">
        <f>'[1]September - 2021'!AI35</f>
        <v>0</v>
      </c>
      <c r="AB35" s="291">
        <f>'[1]September - 2021'!AJ35</f>
        <v>0</v>
      </c>
      <c r="AC35" s="92">
        <f>'[1]September - 2021'!AJ35</f>
        <v>0</v>
      </c>
      <c r="AD35" s="290">
        <f>'[1]September - 2021'!AL35</f>
        <v>0</v>
      </c>
      <c r="AE35" s="291">
        <f>'[1]September - 2021'!AM35</f>
        <v>0</v>
      </c>
      <c r="AF35" s="92">
        <f>'[1]September - 2021'!AM35</f>
        <v>0</v>
      </c>
      <c r="AG35" s="290">
        <f>'[1]September - 2021'!AO35</f>
        <v>0</v>
      </c>
      <c r="AH35" s="291">
        <f>'[1]September - 2021'!AP35</f>
        <v>0</v>
      </c>
      <c r="AI35" s="92">
        <f>'[1]September - 2021'!AP35</f>
        <v>0</v>
      </c>
      <c r="AJ35" s="290">
        <f>'[1]September - 2021'!AR35</f>
        <v>0</v>
      </c>
      <c r="AK35" s="291">
        <f>'[1]September - 2021'!AS35</f>
        <v>0</v>
      </c>
      <c r="AL35" s="92">
        <f>'[1]September - 2021'!AS35</f>
        <v>0</v>
      </c>
      <c r="AM35" s="290">
        <f>'[1]September - 2021'!AU35</f>
        <v>0</v>
      </c>
      <c r="AN35" s="291">
        <f>'[1]September - 2021'!AV35</f>
        <v>0</v>
      </c>
      <c r="AO35" s="92">
        <f>'[1]September - 2021'!AV35</f>
        <v>0</v>
      </c>
      <c r="AP35" s="290">
        <f>'[1]September - 2021'!AX35</f>
        <v>0</v>
      </c>
      <c r="AQ35" s="291">
        <f>'[1]September - 2021'!AY35</f>
        <v>0</v>
      </c>
      <c r="AR35" s="92">
        <f>'[1]September - 2021'!AY35</f>
        <v>0</v>
      </c>
      <c r="AS35" s="290">
        <f>'[1]September - 2021'!BA35</f>
        <v>0</v>
      </c>
      <c r="AT35" s="291">
        <f>'[1]September - 2021'!BB35</f>
        <v>0</v>
      </c>
      <c r="AU35" s="92">
        <f>'[1]September - 2021'!BB35</f>
        <v>0</v>
      </c>
      <c r="AV35" s="290">
        <f>'[1]September - 2021'!BD35</f>
        <v>0</v>
      </c>
      <c r="AW35" s="252">
        <f>'[1]September - 2021'!BE35</f>
        <v>0</v>
      </c>
      <c r="AX35" s="253">
        <f>'[1]September - 2021'!BE35</f>
        <v>0</v>
      </c>
      <c r="AY35" s="496"/>
      <c r="AZ35" s="272">
        <f>'[1]September - 2021'!BK35</f>
        <v>0</v>
      </c>
      <c r="BA35" s="179">
        <f>'[1]September - 2021'!BL35</f>
        <v>0</v>
      </c>
      <c r="BB35" s="93">
        <f>'[1]September - 2021'!BL35</f>
        <v>0</v>
      </c>
      <c r="BC35" s="272">
        <f>'[1]September - 2021'!BN35</f>
        <v>0</v>
      </c>
      <c r="BD35" s="245">
        <f>'[1]September - 2021'!BO35</f>
        <v>0</v>
      </c>
      <c r="BE35" s="93">
        <f>'[1]September - 2021'!BO35</f>
        <v>0</v>
      </c>
      <c r="BF35" s="272">
        <f>'[1]September - 2021'!BQ35</f>
        <v>0</v>
      </c>
      <c r="BG35" s="245">
        <f>'[1]September - 2021'!BR35</f>
        <v>0</v>
      </c>
      <c r="BH35" s="93">
        <f>'[1]September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- 2021'!BT35</f>
        <v>0</v>
      </c>
      <c r="BT35" s="185">
        <f>'[1]September - 2021'!BU35</f>
        <v>0</v>
      </c>
      <c r="BU35" s="592"/>
      <c r="BV35" s="88">
        <f>'[1]September - 2021'!BW35</f>
        <v>0</v>
      </c>
      <c r="BW35" s="241">
        <f>'[1]September - 2021'!BX35</f>
        <v>0</v>
      </c>
      <c r="BX35" s="88">
        <f>'[1]September - 2021'!BX35</f>
        <v>0</v>
      </c>
      <c r="BY35" s="89">
        <f>'[1]September - 2021'!BZ35</f>
        <v>0</v>
      </c>
      <c r="BZ35" s="191">
        <f>'[1]September - 2021'!CA35</f>
        <v>0</v>
      </c>
      <c r="CA35" s="89">
        <f>'[1]September - 2021'!CB35</f>
        <v>0</v>
      </c>
      <c r="CB35" s="191">
        <f>'[1]September - 2021'!CC35</f>
        <v>0</v>
      </c>
      <c r="CC35" s="89">
        <f>'[1]September - 2021'!CD35</f>
        <v>0</v>
      </c>
      <c r="CD35" s="191">
        <f>'[1]September - 2021'!CE35</f>
        <v>0</v>
      </c>
      <c r="CE35" s="89">
        <f>'[1]September - 2021'!CF35</f>
        <v>0</v>
      </c>
      <c r="CF35" s="191">
        <f>'[1]September - 2021'!CG35</f>
        <v>0</v>
      </c>
      <c r="CG35" s="89">
        <f>'[1]September - 2021'!CH35</f>
        <v>0</v>
      </c>
      <c r="CH35" s="191">
        <f>'[1]September - 2021'!CI35</f>
        <v>0</v>
      </c>
      <c r="CI35" s="89">
        <f>'[1]September - 2021'!CJ35</f>
        <v>0</v>
      </c>
      <c r="CJ35" s="191">
        <f>'[1]September - 2021'!CK35</f>
        <v>0</v>
      </c>
      <c r="CK35" s="89">
        <f>'[1]September - 2021'!CL35</f>
        <v>0</v>
      </c>
      <c r="CL35" s="246">
        <f>'[1]September - 2021'!CM35</f>
        <v>0</v>
      </c>
      <c r="CM35" s="89">
        <f>'[1]September - 2021'!CM35</f>
        <v>0</v>
      </c>
      <c r="CN35" s="89">
        <f>'[1]September - 2021'!CO35</f>
        <v>0</v>
      </c>
      <c r="CO35" s="246">
        <f>'[1]September - 2021'!CP35</f>
        <v>0</v>
      </c>
      <c r="CP35" s="89">
        <f>'[1]September - 2021'!CP35</f>
        <v>0</v>
      </c>
      <c r="CQ35" s="89">
        <f>'[1]September - 2021'!CR35</f>
        <v>0</v>
      </c>
      <c r="CR35" s="246">
        <f>'[1]September - 2021'!CS35</f>
        <v>0</v>
      </c>
      <c r="CS35" s="89">
        <f>'[1]September - 2021'!CS35</f>
        <v>0</v>
      </c>
      <c r="CT35" s="89">
        <f>'[1]September - 2021'!CU35</f>
        <v>0</v>
      </c>
      <c r="CU35" s="191">
        <f>'[1]September - 2021'!CV35</f>
        <v>0</v>
      </c>
      <c r="CV35" s="520"/>
      <c r="CW35" s="256">
        <f>'[1]September - 2021'!CX35</f>
        <v>0</v>
      </c>
      <c r="CX35" s="198">
        <f>'[1]September - 2021'!CY35</f>
        <v>0</v>
      </c>
      <c r="CY35" s="257">
        <f>'[1]September - 2021'!CZ35</f>
        <v>0</v>
      </c>
      <c r="CZ35" s="198">
        <f>'[1]September - 2021'!DA35</f>
        <v>0</v>
      </c>
      <c r="DA35" s="257">
        <f>'[1]September - 2021'!DB35</f>
        <v>0</v>
      </c>
      <c r="DB35" s="198">
        <f>'[1]September - 2021'!DC35</f>
        <v>0</v>
      </c>
      <c r="DC35" s="257">
        <f>'[1]September - 2021'!DD35</f>
        <v>0</v>
      </c>
      <c r="DD35" s="198">
        <f>'[1]September - 2021'!DE35</f>
        <v>0</v>
      </c>
      <c r="DE35" s="257">
        <f>'[1]September - 2021'!DF35</f>
        <v>0</v>
      </c>
      <c r="DF35" s="198">
        <f>'[1]September - 2021'!DG35</f>
        <v>0</v>
      </c>
      <c r="DG35" s="257">
        <f>'[1]September - 2021'!DH35</f>
        <v>0</v>
      </c>
      <c r="DH35" s="198">
        <f>'[1]September - 2021'!DI35</f>
        <v>0</v>
      </c>
      <c r="DI35" s="257">
        <f>'[1]September - 2021'!DJ35</f>
        <v>0</v>
      </c>
      <c r="DJ35" s="198">
        <f>'[1]September - 2021'!DK35</f>
        <v>0</v>
      </c>
      <c r="DK35" s="257">
        <f>'[1]September - 2021'!DL35</f>
        <v>0</v>
      </c>
      <c r="DL35" s="198">
        <f>'[1]September - 2021'!DM35</f>
        <v>0</v>
      </c>
      <c r="DM35" s="257">
        <f>'[1]September - 2021'!DN35</f>
        <v>0</v>
      </c>
      <c r="DN35" s="198">
        <f>'[1]September - 2021'!DO35</f>
        <v>0</v>
      </c>
      <c r="DO35" s="257">
        <f>'[1]September - 2021'!DP35</f>
        <v>0</v>
      </c>
      <c r="DP35" s="198">
        <f>'[1]September - 2021'!DQ35</f>
        <v>0</v>
      </c>
      <c r="DQ35" s="257">
        <f>'[1]September - 2021'!DR35</f>
        <v>0</v>
      </c>
      <c r="DR35" s="206">
        <f>'[1]September - 2021'!DS35</f>
        <v>0</v>
      </c>
      <c r="DS35" s="536"/>
      <c r="DT35" s="210">
        <f>'[1]September - 2021'!DU35</f>
        <v>0</v>
      </c>
      <c r="DU35" s="221">
        <f>'[1]September - 2021'!DV35</f>
        <v>0</v>
      </c>
      <c r="DV35" s="91">
        <f>'[1]September - 2021'!DW35</f>
        <v>0</v>
      </c>
      <c r="DW35" s="215">
        <f>'[1]September - 2021'!DX35</f>
        <v>0</v>
      </c>
      <c r="DX35" s="91">
        <f>'[1]September - 2021'!DY35</f>
        <v>0</v>
      </c>
      <c r="DY35" s="215">
        <f>'[1]September - 2021'!DZ35</f>
        <v>0</v>
      </c>
      <c r="DZ35" s="91">
        <f>'[1]September - 2021'!EA35</f>
        <v>0</v>
      </c>
      <c r="EA35" s="215">
        <f>'[1]September - 2021'!EB35</f>
        <v>0</v>
      </c>
      <c r="EB35" s="91">
        <f>'[1]September - 2021'!EC35</f>
        <v>0</v>
      </c>
      <c r="EC35" s="215">
        <f>'[1]September - 2021'!ED35</f>
        <v>0</v>
      </c>
      <c r="ED35" s="91">
        <f>'[1]September - 2021'!EG35</f>
        <v>0</v>
      </c>
      <c r="EE35" s="229">
        <f>'[1]September - 2021'!EH35</f>
        <v>0</v>
      </c>
      <c r="EF35" s="583"/>
      <c r="EG35" s="235">
        <f>'[1]September - 2021'!EJ35</f>
        <v>0</v>
      </c>
      <c r="EH35" s="230">
        <f>'[1]September - 2021'!EK35</f>
        <v>0</v>
      </c>
      <c r="EI35" s="90">
        <f>'[1]September - 2021'!EL35</f>
        <v>0</v>
      </c>
      <c r="EJ35" s="230">
        <f>'[1]September - 2021'!EM35</f>
        <v>0</v>
      </c>
      <c r="EK35" s="90">
        <f>'[1]September - 2021'!EN35</f>
        <v>0</v>
      </c>
      <c r="EL35" s="230">
        <f>'[1]September - 2021'!EO35</f>
        <v>0</v>
      </c>
      <c r="EM35" s="90">
        <f>'[1]September - 2021'!EP35</f>
        <v>0</v>
      </c>
      <c r="EN35" s="230">
        <f>'[1]September - 2021'!EQ35</f>
        <v>0</v>
      </c>
      <c r="EO35" s="90">
        <f>'[1]September - 2021'!ER35</f>
        <v>0</v>
      </c>
      <c r="EP35" s="230">
        <f>'[1]September - 2021'!ES35</f>
        <v>0</v>
      </c>
      <c r="EQ35" s="90">
        <f>'[1]September - 2021'!ET35</f>
        <v>0</v>
      </c>
      <c r="ER35" s="230">
        <f>'[1]September - 2021'!EU35</f>
        <v>0</v>
      </c>
      <c r="ES35" s="558"/>
      <c r="ET35" s="284">
        <f>'[1]September - 2021'!EW35</f>
        <v>0</v>
      </c>
      <c r="EU35" s="278">
        <f>'[1]September - 2021'!EX35</f>
        <v>0</v>
      </c>
      <c r="EV35" s="285">
        <f>'[1]September - 2021'!EY35</f>
        <v>0</v>
      </c>
      <c r="EW35" s="278">
        <f>'[1]September - 2021'!EZ35</f>
        <v>0</v>
      </c>
      <c r="EX35" s="285">
        <f>'[1]September - 2021'!FA35</f>
        <v>0</v>
      </c>
      <c r="EY35" s="278">
        <f>'[1]September - 2021'!FB35</f>
        <v>0</v>
      </c>
      <c r="EZ35" s="285">
        <f>'[1]September - 2021'!FC35</f>
        <v>0</v>
      </c>
      <c r="FA35" s="278">
        <f>'[1]September - 2021'!FD35</f>
        <v>0</v>
      </c>
      <c r="FB35" s="285">
        <f>'[1]September - 2021'!FE35</f>
        <v>0</v>
      </c>
      <c r="FC35" s="279">
        <f>'[1]September - 2021'!FF35</f>
        <v>0</v>
      </c>
    </row>
    <row r="36" spans="1:160" ht="30" customHeight="1" x14ac:dyDescent="0.25">
      <c r="A36" s="207">
        <v>43857</v>
      </c>
      <c r="B36" s="209">
        <f>'[1]September - 2021'!B36</f>
        <v>0</v>
      </c>
      <c r="C36" s="250">
        <f>'[1]September - 2021'!E36</f>
        <v>0</v>
      </c>
      <c r="D36" s="170">
        <f>'[1]September - 2021'!F36</f>
        <v>0</v>
      </c>
      <c r="E36" s="168">
        <f>'[1]September - 2021'!G36</f>
        <v>859</v>
      </c>
      <c r="F36" s="168">
        <f>'[1]September - 2021'!H36</f>
        <v>0</v>
      </c>
      <c r="G36" s="170">
        <f>'[1]September - 2021'!I36</f>
        <v>0</v>
      </c>
      <c r="H36" s="168">
        <f>'[1]September - 2021'!J36</f>
        <v>289</v>
      </c>
      <c r="I36" s="168">
        <f>'[1]September - 2021'!K36</f>
        <v>0</v>
      </c>
      <c r="J36" s="170">
        <f>'[1]September - 2021'!L36</f>
        <v>0</v>
      </c>
      <c r="K36" s="168">
        <f>'[1]September - 2021'!N36</f>
        <v>0</v>
      </c>
      <c r="L36" s="170">
        <f>'[1]September - 2021'!O36</f>
        <v>0</v>
      </c>
      <c r="M36" s="168">
        <f>'[1]September - 2021'!Q36</f>
        <v>0</v>
      </c>
      <c r="N36" s="170">
        <f>'[1]September - 2021'!R36</f>
        <v>0</v>
      </c>
      <c r="O36" s="168">
        <f>'[1]September - 2021'!S36</f>
        <v>0</v>
      </c>
      <c r="P36" s="170">
        <f>'[1]September - 2021'!T36</f>
        <v>0</v>
      </c>
      <c r="Q36" s="168">
        <f>'[1]September - 2021'!U36</f>
        <v>159</v>
      </c>
      <c r="R36" s="168">
        <f>'[1]September - 2021'!V36</f>
        <v>0</v>
      </c>
      <c r="S36" s="208">
        <f>'[1]September - 2021'!W36</f>
        <v>0</v>
      </c>
      <c r="T36" s="479"/>
      <c r="U36" s="169">
        <f>'[1]September - 2021'!AC36</f>
        <v>0</v>
      </c>
      <c r="V36" s="291">
        <f>'[1]September - 2021'!AD36</f>
        <v>0</v>
      </c>
      <c r="W36" s="92">
        <f>'[1]September - 2021'!AD36</f>
        <v>0</v>
      </c>
      <c r="X36" s="290">
        <f>'[1]September - 2021'!AF36</f>
        <v>0</v>
      </c>
      <c r="Y36" s="291">
        <f>'[1]September - 2021'!AG36</f>
        <v>0</v>
      </c>
      <c r="Z36" s="92">
        <f>'[1]September - 2021'!AG36</f>
        <v>0</v>
      </c>
      <c r="AA36" s="290">
        <f>'[1]September - 2021'!AI36</f>
        <v>0</v>
      </c>
      <c r="AB36" s="291">
        <f>'[1]September - 2021'!AJ36</f>
        <v>0</v>
      </c>
      <c r="AC36" s="92">
        <f>'[1]September - 2021'!AJ36</f>
        <v>0</v>
      </c>
      <c r="AD36" s="290">
        <f>'[1]September - 2021'!AL36</f>
        <v>0</v>
      </c>
      <c r="AE36" s="291">
        <f>'[1]September - 2021'!AM36</f>
        <v>0</v>
      </c>
      <c r="AF36" s="92">
        <f>'[1]September - 2021'!AM36</f>
        <v>0</v>
      </c>
      <c r="AG36" s="290">
        <f>'[1]September - 2021'!AO36</f>
        <v>0</v>
      </c>
      <c r="AH36" s="291">
        <f>'[1]September - 2021'!AP36</f>
        <v>0</v>
      </c>
      <c r="AI36" s="92">
        <f>'[1]September - 2021'!AP36</f>
        <v>0</v>
      </c>
      <c r="AJ36" s="290">
        <f>'[1]September - 2021'!AR36</f>
        <v>0</v>
      </c>
      <c r="AK36" s="291">
        <f>'[1]September - 2021'!AS36</f>
        <v>0</v>
      </c>
      <c r="AL36" s="92">
        <f>'[1]September - 2021'!AS36</f>
        <v>0</v>
      </c>
      <c r="AM36" s="290">
        <f>'[1]September - 2021'!AU36</f>
        <v>0</v>
      </c>
      <c r="AN36" s="291">
        <f>'[1]September - 2021'!AV36</f>
        <v>0</v>
      </c>
      <c r="AO36" s="92">
        <f>'[1]September - 2021'!AV36</f>
        <v>0</v>
      </c>
      <c r="AP36" s="290">
        <f>'[1]September - 2021'!AX36</f>
        <v>0</v>
      </c>
      <c r="AQ36" s="291">
        <f>'[1]September - 2021'!AY36</f>
        <v>0</v>
      </c>
      <c r="AR36" s="92">
        <f>'[1]September - 2021'!AY36</f>
        <v>0</v>
      </c>
      <c r="AS36" s="290">
        <f>'[1]September - 2021'!BA36</f>
        <v>0</v>
      </c>
      <c r="AT36" s="291">
        <f>'[1]September - 2021'!BB36</f>
        <v>0</v>
      </c>
      <c r="AU36" s="92">
        <f>'[1]September - 2021'!BB36</f>
        <v>0</v>
      </c>
      <c r="AV36" s="290">
        <f>'[1]September - 2021'!BD36</f>
        <v>0</v>
      </c>
      <c r="AW36" s="252">
        <f>'[1]September - 2021'!BE36</f>
        <v>0</v>
      </c>
      <c r="AX36" s="253">
        <f>'[1]September - 2021'!BE36</f>
        <v>0</v>
      </c>
      <c r="AY36" s="496"/>
      <c r="AZ36" s="272">
        <f>'[1]September - 2021'!BK36</f>
        <v>0</v>
      </c>
      <c r="BA36" s="179">
        <f>'[1]September - 2021'!BL36</f>
        <v>0</v>
      </c>
      <c r="BB36" s="93">
        <f>'[1]September - 2021'!BL36</f>
        <v>0</v>
      </c>
      <c r="BC36" s="272">
        <f>'[1]September - 2021'!BN36</f>
        <v>0</v>
      </c>
      <c r="BD36" s="245">
        <f>'[1]September - 2021'!BO36</f>
        <v>0</v>
      </c>
      <c r="BE36" s="93">
        <f>'[1]September - 2021'!BO36</f>
        <v>0</v>
      </c>
      <c r="BF36" s="272">
        <f>'[1]September - 2021'!BQ36</f>
        <v>0</v>
      </c>
      <c r="BG36" s="245">
        <f>'[1]September - 2021'!BR36</f>
        <v>0</v>
      </c>
      <c r="BH36" s="93">
        <f>'[1]September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- 2021'!BT36</f>
        <v>0</v>
      </c>
      <c r="BT36" s="185">
        <f>'[1]September - 2021'!BU36</f>
        <v>0</v>
      </c>
      <c r="BU36" s="592"/>
      <c r="BV36" s="88">
        <f>'[1]September - 2021'!BW36</f>
        <v>0</v>
      </c>
      <c r="BW36" s="241">
        <f>'[1]September - 2021'!BX36</f>
        <v>0</v>
      </c>
      <c r="BX36" s="88">
        <f>'[1]September - 2021'!BX36</f>
        <v>0</v>
      </c>
      <c r="BY36" s="89">
        <f>'[1]September - 2021'!BZ36</f>
        <v>0</v>
      </c>
      <c r="BZ36" s="191">
        <f>'[1]September - 2021'!CA36</f>
        <v>0</v>
      </c>
      <c r="CA36" s="89">
        <f>'[1]September - 2021'!CB36</f>
        <v>0</v>
      </c>
      <c r="CB36" s="191">
        <f>'[1]September - 2021'!CC36</f>
        <v>0</v>
      </c>
      <c r="CC36" s="89">
        <f>'[1]September - 2021'!CD36</f>
        <v>0</v>
      </c>
      <c r="CD36" s="191">
        <f>'[1]September - 2021'!CE36</f>
        <v>0</v>
      </c>
      <c r="CE36" s="89">
        <f>'[1]September - 2021'!CF36</f>
        <v>0</v>
      </c>
      <c r="CF36" s="191">
        <f>'[1]September - 2021'!CG36</f>
        <v>0</v>
      </c>
      <c r="CG36" s="89">
        <f>'[1]September - 2021'!CH36</f>
        <v>0</v>
      </c>
      <c r="CH36" s="191">
        <f>'[1]September - 2021'!CI36</f>
        <v>0</v>
      </c>
      <c r="CI36" s="89">
        <f>'[1]September - 2021'!CJ36</f>
        <v>0</v>
      </c>
      <c r="CJ36" s="191">
        <f>'[1]September - 2021'!CK36</f>
        <v>0</v>
      </c>
      <c r="CK36" s="89">
        <f>'[1]September - 2021'!CL36</f>
        <v>0</v>
      </c>
      <c r="CL36" s="246">
        <f>'[1]September - 2021'!CM36</f>
        <v>0</v>
      </c>
      <c r="CM36" s="89">
        <f>'[1]September - 2021'!CM36</f>
        <v>0</v>
      </c>
      <c r="CN36" s="89">
        <f>'[1]September - 2021'!CO36</f>
        <v>0</v>
      </c>
      <c r="CO36" s="246">
        <f>'[1]September - 2021'!CP36</f>
        <v>0</v>
      </c>
      <c r="CP36" s="89">
        <f>'[1]September - 2021'!CP36</f>
        <v>0</v>
      </c>
      <c r="CQ36" s="89">
        <f>'[1]September - 2021'!CR36</f>
        <v>0</v>
      </c>
      <c r="CR36" s="246">
        <f>'[1]September - 2021'!CS36</f>
        <v>0</v>
      </c>
      <c r="CS36" s="89">
        <f>'[1]September - 2021'!CS36</f>
        <v>0</v>
      </c>
      <c r="CT36" s="89">
        <f>'[1]September - 2021'!CU36</f>
        <v>0</v>
      </c>
      <c r="CU36" s="191">
        <f>'[1]September - 2021'!CV36</f>
        <v>0</v>
      </c>
      <c r="CV36" s="520"/>
      <c r="CW36" s="256">
        <f>'[1]September - 2021'!CX36</f>
        <v>0</v>
      </c>
      <c r="CX36" s="198">
        <f>'[1]September - 2021'!CY36</f>
        <v>0</v>
      </c>
      <c r="CY36" s="257">
        <f>'[1]September - 2021'!CZ36</f>
        <v>0</v>
      </c>
      <c r="CZ36" s="198">
        <f>'[1]September - 2021'!DA36</f>
        <v>0</v>
      </c>
      <c r="DA36" s="257">
        <f>'[1]September - 2021'!DB36</f>
        <v>0</v>
      </c>
      <c r="DB36" s="198">
        <f>'[1]September - 2021'!DC36</f>
        <v>0</v>
      </c>
      <c r="DC36" s="257">
        <f>'[1]September - 2021'!DD36</f>
        <v>0</v>
      </c>
      <c r="DD36" s="198">
        <f>'[1]September - 2021'!DE36</f>
        <v>0</v>
      </c>
      <c r="DE36" s="257">
        <f>'[1]September - 2021'!DF36</f>
        <v>0</v>
      </c>
      <c r="DF36" s="198">
        <f>'[1]September - 2021'!DG36</f>
        <v>0</v>
      </c>
      <c r="DG36" s="257">
        <f>'[1]September - 2021'!DH36</f>
        <v>0</v>
      </c>
      <c r="DH36" s="198">
        <f>'[1]September - 2021'!DI36</f>
        <v>0</v>
      </c>
      <c r="DI36" s="257">
        <f>'[1]September - 2021'!DJ36</f>
        <v>0</v>
      </c>
      <c r="DJ36" s="198">
        <f>'[1]September - 2021'!DK36</f>
        <v>0</v>
      </c>
      <c r="DK36" s="257">
        <f>'[1]September - 2021'!DL36</f>
        <v>0</v>
      </c>
      <c r="DL36" s="198">
        <f>'[1]September - 2021'!DM36</f>
        <v>0</v>
      </c>
      <c r="DM36" s="257">
        <f>'[1]September - 2021'!DN36</f>
        <v>0</v>
      </c>
      <c r="DN36" s="198">
        <f>'[1]September - 2021'!DO36</f>
        <v>0</v>
      </c>
      <c r="DO36" s="257">
        <f>'[1]September - 2021'!DP36</f>
        <v>0</v>
      </c>
      <c r="DP36" s="198">
        <f>'[1]September - 2021'!DQ36</f>
        <v>0</v>
      </c>
      <c r="DQ36" s="257">
        <f>'[1]September - 2021'!DR36</f>
        <v>0</v>
      </c>
      <c r="DR36" s="206">
        <f>'[1]September - 2021'!DS36</f>
        <v>0</v>
      </c>
      <c r="DS36" s="536"/>
      <c r="DT36" s="210">
        <f>'[1]September - 2021'!DU36</f>
        <v>0</v>
      </c>
      <c r="DU36" s="221">
        <f>'[1]September - 2021'!DV36</f>
        <v>0</v>
      </c>
      <c r="DV36" s="91">
        <f>'[1]September - 2021'!DW36</f>
        <v>0</v>
      </c>
      <c r="DW36" s="215">
        <f>'[1]September - 2021'!DX36</f>
        <v>0</v>
      </c>
      <c r="DX36" s="91">
        <f>'[1]September - 2021'!DY36</f>
        <v>0</v>
      </c>
      <c r="DY36" s="215">
        <f>'[1]September - 2021'!DZ36</f>
        <v>0</v>
      </c>
      <c r="DZ36" s="91">
        <f>'[1]September - 2021'!EA36</f>
        <v>0</v>
      </c>
      <c r="EA36" s="215">
        <f>'[1]September - 2021'!EB36</f>
        <v>0</v>
      </c>
      <c r="EB36" s="91">
        <f>'[1]September - 2021'!EC36</f>
        <v>0</v>
      </c>
      <c r="EC36" s="215">
        <f>'[1]September - 2021'!ED36</f>
        <v>0</v>
      </c>
      <c r="ED36" s="91">
        <f>'[1]September - 2021'!EG36</f>
        <v>0</v>
      </c>
      <c r="EE36" s="229">
        <f>'[1]September - 2021'!EH36</f>
        <v>0</v>
      </c>
      <c r="EF36" s="583"/>
      <c r="EG36" s="235">
        <f>'[1]September - 2021'!EJ36</f>
        <v>0</v>
      </c>
      <c r="EH36" s="230">
        <f>'[1]September - 2021'!EK36</f>
        <v>0</v>
      </c>
      <c r="EI36" s="90">
        <f>'[1]September - 2021'!EL36</f>
        <v>0</v>
      </c>
      <c r="EJ36" s="230">
        <f>'[1]September - 2021'!EM36</f>
        <v>0</v>
      </c>
      <c r="EK36" s="90">
        <f>'[1]September - 2021'!EN36</f>
        <v>0</v>
      </c>
      <c r="EL36" s="230">
        <f>'[1]September - 2021'!EO36</f>
        <v>0</v>
      </c>
      <c r="EM36" s="90">
        <f>'[1]September - 2021'!EP36</f>
        <v>0</v>
      </c>
      <c r="EN36" s="230">
        <f>'[1]September - 2021'!EQ36</f>
        <v>0</v>
      </c>
      <c r="EO36" s="90">
        <f>'[1]September - 2021'!ER36</f>
        <v>0</v>
      </c>
      <c r="EP36" s="230">
        <f>'[1]September - 2021'!ES36</f>
        <v>0</v>
      </c>
      <c r="EQ36" s="90">
        <f>'[1]September - 2021'!ET36</f>
        <v>0</v>
      </c>
      <c r="ER36" s="230">
        <f>'[1]September - 2021'!EU36</f>
        <v>0</v>
      </c>
      <c r="ES36" s="558"/>
      <c r="ET36" s="284">
        <f>'[1]September - 2021'!EW36</f>
        <v>0</v>
      </c>
      <c r="EU36" s="278">
        <f>'[1]September - 2021'!EX36</f>
        <v>0</v>
      </c>
      <c r="EV36" s="285">
        <f>'[1]September - 2021'!EY36</f>
        <v>0</v>
      </c>
      <c r="EW36" s="278">
        <f>'[1]September - 2021'!EZ36</f>
        <v>0</v>
      </c>
      <c r="EX36" s="285">
        <f>'[1]September - 2021'!FA36</f>
        <v>0</v>
      </c>
      <c r="EY36" s="278">
        <f>'[1]September - 2021'!FB36</f>
        <v>0</v>
      </c>
      <c r="EZ36" s="285">
        <f>'[1]September - 2021'!FC36</f>
        <v>0</v>
      </c>
      <c r="FA36" s="278">
        <f>'[1]September - 2021'!FD36</f>
        <v>0</v>
      </c>
      <c r="FB36" s="285">
        <f>'[1]September - 2021'!FE36</f>
        <v>0</v>
      </c>
      <c r="FC36" s="279">
        <f>'[1]September - 2021'!FF36</f>
        <v>0</v>
      </c>
    </row>
    <row r="37" spans="1:160" ht="30" customHeight="1" x14ac:dyDescent="0.25">
      <c r="A37" s="207">
        <v>43858</v>
      </c>
      <c r="B37" s="209">
        <f>'[1]September - 2021'!B37</f>
        <v>0</v>
      </c>
      <c r="C37" s="250">
        <f>'[1]September - 2021'!E37</f>
        <v>0</v>
      </c>
      <c r="D37" s="170">
        <f>'[1]September - 2021'!F37</f>
        <v>0</v>
      </c>
      <c r="E37" s="168">
        <f>'[1]September - 2021'!G37</f>
        <v>857</v>
      </c>
      <c r="F37" s="168">
        <f>'[1]September - 2021'!H37</f>
        <v>0</v>
      </c>
      <c r="G37" s="170">
        <f>'[1]September - 2021'!I37</f>
        <v>0</v>
      </c>
      <c r="H37" s="168">
        <f>'[1]September - 2021'!J37</f>
        <v>273</v>
      </c>
      <c r="I37" s="168">
        <f>'[1]September - 2021'!K37</f>
        <v>0</v>
      </c>
      <c r="J37" s="170">
        <f>'[1]September - 2021'!L37</f>
        <v>0</v>
      </c>
      <c r="K37" s="168">
        <f>'[1]September - 2021'!N37</f>
        <v>0</v>
      </c>
      <c r="L37" s="170">
        <f>'[1]September - 2021'!O37</f>
        <v>0</v>
      </c>
      <c r="M37" s="168">
        <f>'[1]September - 2021'!Q37</f>
        <v>0</v>
      </c>
      <c r="N37" s="170">
        <f>'[1]September - 2021'!R37</f>
        <v>0</v>
      </c>
      <c r="O37" s="168">
        <f>'[1]September - 2021'!S37</f>
        <v>0</v>
      </c>
      <c r="P37" s="170">
        <f>'[1]September - 2021'!T37</f>
        <v>0</v>
      </c>
      <c r="Q37" s="168">
        <f>'[1]September - 2021'!U37</f>
        <v>144</v>
      </c>
      <c r="R37" s="168">
        <f>'[1]September - 2021'!V37</f>
        <v>0</v>
      </c>
      <c r="S37" s="208">
        <f>'[1]September - 2021'!W37</f>
        <v>0</v>
      </c>
      <c r="T37" s="479"/>
      <c r="U37" s="169">
        <f>'[1]September - 2021'!AC37</f>
        <v>0</v>
      </c>
      <c r="V37" s="291">
        <f>'[1]September - 2021'!AD37</f>
        <v>0</v>
      </c>
      <c r="W37" s="92">
        <f>'[1]September - 2021'!AD37</f>
        <v>0</v>
      </c>
      <c r="X37" s="290">
        <f>'[1]September - 2021'!AF37</f>
        <v>0</v>
      </c>
      <c r="Y37" s="291">
        <f>'[1]September - 2021'!AG37</f>
        <v>0</v>
      </c>
      <c r="Z37" s="92">
        <f>'[1]September - 2021'!AG37</f>
        <v>0</v>
      </c>
      <c r="AA37" s="290">
        <f>'[1]September - 2021'!AI37</f>
        <v>0</v>
      </c>
      <c r="AB37" s="291">
        <f>'[1]September - 2021'!AJ37</f>
        <v>0</v>
      </c>
      <c r="AC37" s="92">
        <f>'[1]September - 2021'!AJ37</f>
        <v>0</v>
      </c>
      <c r="AD37" s="290">
        <f>'[1]September - 2021'!AL37</f>
        <v>0</v>
      </c>
      <c r="AE37" s="291">
        <f>'[1]September - 2021'!AM37</f>
        <v>0</v>
      </c>
      <c r="AF37" s="92">
        <f>'[1]September - 2021'!AM37</f>
        <v>0</v>
      </c>
      <c r="AG37" s="290">
        <f>'[1]September - 2021'!AO37</f>
        <v>0</v>
      </c>
      <c r="AH37" s="291">
        <f>'[1]September - 2021'!AP37</f>
        <v>0</v>
      </c>
      <c r="AI37" s="92">
        <f>'[1]September - 2021'!AP37</f>
        <v>0</v>
      </c>
      <c r="AJ37" s="290">
        <f>'[1]September - 2021'!AR37</f>
        <v>0</v>
      </c>
      <c r="AK37" s="291">
        <f>'[1]September - 2021'!AS37</f>
        <v>0</v>
      </c>
      <c r="AL37" s="92">
        <f>'[1]September - 2021'!AS37</f>
        <v>0</v>
      </c>
      <c r="AM37" s="290">
        <f>'[1]September - 2021'!AU37</f>
        <v>0</v>
      </c>
      <c r="AN37" s="291">
        <f>'[1]September - 2021'!AV37</f>
        <v>0</v>
      </c>
      <c r="AO37" s="92">
        <f>'[1]September - 2021'!AV37</f>
        <v>0</v>
      </c>
      <c r="AP37" s="290">
        <f>'[1]September - 2021'!AX37</f>
        <v>0</v>
      </c>
      <c r="AQ37" s="291">
        <f>'[1]September - 2021'!AY37</f>
        <v>0</v>
      </c>
      <c r="AR37" s="92">
        <f>'[1]September - 2021'!AY37</f>
        <v>0</v>
      </c>
      <c r="AS37" s="290">
        <f>'[1]September - 2021'!BA37</f>
        <v>0</v>
      </c>
      <c r="AT37" s="291">
        <f>'[1]September - 2021'!BB37</f>
        <v>0</v>
      </c>
      <c r="AU37" s="92">
        <f>'[1]September - 2021'!BB37</f>
        <v>0</v>
      </c>
      <c r="AV37" s="290">
        <f>'[1]September - 2021'!BD37</f>
        <v>0</v>
      </c>
      <c r="AW37" s="252">
        <f>'[1]September - 2021'!BE37</f>
        <v>0</v>
      </c>
      <c r="AX37" s="253">
        <f>'[1]September - 2021'!BE37</f>
        <v>0</v>
      </c>
      <c r="AY37" s="496"/>
      <c r="AZ37" s="272">
        <f>'[1]September - 2021'!BK37</f>
        <v>0</v>
      </c>
      <c r="BA37" s="179">
        <f>'[1]September - 2021'!BL37</f>
        <v>0</v>
      </c>
      <c r="BB37" s="93">
        <f>'[1]September - 2021'!BL37</f>
        <v>0</v>
      </c>
      <c r="BC37" s="272">
        <f>'[1]September - 2021'!BN37</f>
        <v>0</v>
      </c>
      <c r="BD37" s="245">
        <f>'[1]September - 2021'!BO37</f>
        <v>0</v>
      </c>
      <c r="BE37" s="93">
        <f>'[1]September - 2021'!BO37</f>
        <v>0</v>
      </c>
      <c r="BF37" s="272">
        <f>'[1]September - 2021'!BQ37</f>
        <v>0</v>
      </c>
      <c r="BG37" s="245">
        <f>'[1]September - 2021'!BR37</f>
        <v>0</v>
      </c>
      <c r="BH37" s="93">
        <f>'[1]September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- 2021'!BT37</f>
        <v>0</v>
      </c>
      <c r="BT37" s="185">
        <f>'[1]September - 2021'!BU37</f>
        <v>0</v>
      </c>
      <c r="BU37" s="592"/>
      <c r="BV37" s="88">
        <f>'[1]September - 2021'!BW37</f>
        <v>0</v>
      </c>
      <c r="BW37" s="241">
        <f>'[1]September - 2021'!BX37</f>
        <v>0</v>
      </c>
      <c r="BX37" s="88">
        <f>'[1]September - 2021'!BX37</f>
        <v>0</v>
      </c>
      <c r="BY37" s="89">
        <f>'[1]September - 2021'!BZ37</f>
        <v>0</v>
      </c>
      <c r="BZ37" s="191">
        <f>'[1]September - 2021'!CA37</f>
        <v>0</v>
      </c>
      <c r="CA37" s="89">
        <f>'[1]September - 2021'!CB37</f>
        <v>0</v>
      </c>
      <c r="CB37" s="191">
        <f>'[1]September - 2021'!CC37</f>
        <v>0</v>
      </c>
      <c r="CC37" s="89">
        <f>'[1]September - 2021'!CD37</f>
        <v>0</v>
      </c>
      <c r="CD37" s="191">
        <f>'[1]September - 2021'!CE37</f>
        <v>0</v>
      </c>
      <c r="CE37" s="89">
        <f>'[1]September - 2021'!CF37</f>
        <v>0</v>
      </c>
      <c r="CF37" s="191">
        <f>'[1]September - 2021'!CG37</f>
        <v>0</v>
      </c>
      <c r="CG37" s="89">
        <f>'[1]September - 2021'!CH37</f>
        <v>0</v>
      </c>
      <c r="CH37" s="191">
        <f>'[1]September - 2021'!CI37</f>
        <v>0</v>
      </c>
      <c r="CI37" s="89">
        <f>'[1]September - 2021'!CJ37</f>
        <v>0</v>
      </c>
      <c r="CJ37" s="191">
        <f>'[1]September - 2021'!CK37</f>
        <v>0</v>
      </c>
      <c r="CK37" s="89">
        <f>'[1]September - 2021'!CL37</f>
        <v>0</v>
      </c>
      <c r="CL37" s="246">
        <f>'[1]September - 2021'!CM37</f>
        <v>0</v>
      </c>
      <c r="CM37" s="89">
        <f>'[1]September - 2021'!CM37</f>
        <v>0</v>
      </c>
      <c r="CN37" s="89">
        <f>'[1]September - 2021'!CO37</f>
        <v>0</v>
      </c>
      <c r="CO37" s="246">
        <f>'[1]September - 2021'!CP37</f>
        <v>0</v>
      </c>
      <c r="CP37" s="89">
        <f>'[1]September - 2021'!CP37</f>
        <v>0</v>
      </c>
      <c r="CQ37" s="89">
        <f>'[1]September - 2021'!CR37</f>
        <v>0</v>
      </c>
      <c r="CR37" s="246">
        <f>'[1]September - 2021'!CS37</f>
        <v>0</v>
      </c>
      <c r="CS37" s="89">
        <f>'[1]September - 2021'!CS37</f>
        <v>0</v>
      </c>
      <c r="CT37" s="89">
        <f>'[1]September - 2021'!CU37</f>
        <v>0</v>
      </c>
      <c r="CU37" s="191">
        <f>'[1]September - 2021'!CV37</f>
        <v>0</v>
      </c>
      <c r="CV37" s="520"/>
      <c r="CW37" s="256">
        <f>'[1]September - 2021'!CX37</f>
        <v>0</v>
      </c>
      <c r="CX37" s="198">
        <f>'[1]September - 2021'!CY37</f>
        <v>0</v>
      </c>
      <c r="CY37" s="257">
        <f>'[1]September - 2021'!CZ37</f>
        <v>0</v>
      </c>
      <c r="CZ37" s="198">
        <f>'[1]September - 2021'!DA37</f>
        <v>0</v>
      </c>
      <c r="DA37" s="257">
        <f>'[1]September - 2021'!DB37</f>
        <v>0</v>
      </c>
      <c r="DB37" s="198">
        <f>'[1]September - 2021'!DC37</f>
        <v>0</v>
      </c>
      <c r="DC37" s="257">
        <f>'[1]September - 2021'!DD37</f>
        <v>0</v>
      </c>
      <c r="DD37" s="198">
        <f>'[1]September - 2021'!DE37</f>
        <v>0</v>
      </c>
      <c r="DE37" s="257">
        <f>'[1]September - 2021'!DF37</f>
        <v>0</v>
      </c>
      <c r="DF37" s="198">
        <f>'[1]September - 2021'!DG37</f>
        <v>0</v>
      </c>
      <c r="DG37" s="257">
        <f>'[1]September - 2021'!DH37</f>
        <v>0</v>
      </c>
      <c r="DH37" s="198">
        <f>'[1]September - 2021'!DI37</f>
        <v>0</v>
      </c>
      <c r="DI37" s="257">
        <f>'[1]September - 2021'!DJ37</f>
        <v>0</v>
      </c>
      <c r="DJ37" s="198">
        <f>'[1]September - 2021'!DK37</f>
        <v>0</v>
      </c>
      <c r="DK37" s="257">
        <f>'[1]September - 2021'!DL37</f>
        <v>0</v>
      </c>
      <c r="DL37" s="198">
        <f>'[1]September - 2021'!DM37</f>
        <v>0</v>
      </c>
      <c r="DM37" s="257">
        <f>'[1]September - 2021'!DN37</f>
        <v>0</v>
      </c>
      <c r="DN37" s="198">
        <f>'[1]September - 2021'!DO37</f>
        <v>0</v>
      </c>
      <c r="DO37" s="257">
        <f>'[1]September - 2021'!DP37</f>
        <v>0</v>
      </c>
      <c r="DP37" s="198">
        <f>'[1]September - 2021'!DQ37</f>
        <v>0</v>
      </c>
      <c r="DQ37" s="257">
        <f>'[1]September - 2021'!DR37</f>
        <v>0</v>
      </c>
      <c r="DR37" s="206">
        <f>'[1]September - 2021'!DS37</f>
        <v>0</v>
      </c>
      <c r="DS37" s="536"/>
      <c r="DT37" s="210">
        <f>'[1]September - 2021'!DU37</f>
        <v>0</v>
      </c>
      <c r="DU37" s="221">
        <f>'[1]September - 2021'!DV37</f>
        <v>0</v>
      </c>
      <c r="DV37" s="91">
        <f>'[1]September - 2021'!DW37</f>
        <v>0</v>
      </c>
      <c r="DW37" s="215">
        <f>'[1]September - 2021'!DX37</f>
        <v>0</v>
      </c>
      <c r="DX37" s="91">
        <f>'[1]September - 2021'!DY37</f>
        <v>0</v>
      </c>
      <c r="DY37" s="215">
        <f>'[1]September - 2021'!DZ37</f>
        <v>0</v>
      </c>
      <c r="DZ37" s="91">
        <f>'[1]September - 2021'!EA37</f>
        <v>0</v>
      </c>
      <c r="EA37" s="215">
        <f>'[1]September - 2021'!EB37</f>
        <v>0</v>
      </c>
      <c r="EB37" s="91">
        <f>'[1]September - 2021'!EC37</f>
        <v>0</v>
      </c>
      <c r="EC37" s="215">
        <f>'[1]September - 2021'!ED37</f>
        <v>0</v>
      </c>
      <c r="ED37" s="91">
        <f>'[1]September - 2021'!EG37</f>
        <v>0</v>
      </c>
      <c r="EE37" s="229">
        <f>'[1]September - 2021'!EH37</f>
        <v>0</v>
      </c>
      <c r="EF37" s="583"/>
      <c r="EG37" s="235">
        <f>'[1]September - 2021'!EJ37</f>
        <v>0</v>
      </c>
      <c r="EH37" s="230">
        <f>'[1]September - 2021'!EK37</f>
        <v>0</v>
      </c>
      <c r="EI37" s="90">
        <f>'[1]September - 2021'!EL37</f>
        <v>0</v>
      </c>
      <c r="EJ37" s="230">
        <f>'[1]September - 2021'!EM37</f>
        <v>0</v>
      </c>
      <c r="EK37" s="90">
        <f>'[1]September - 2021'!EN37</f>
        <v>0</v>
      </c>
      <c r="EL37" s="230">
        <f>'[1]September - 2021'!EO37</f>
        <v>0</v>
      </c>
      <c r="EM37" s="90">
        <f>'[1]September - 2021'!EP37</f>
        <v>0</v>
      </c>
      <c r="EN37" s="230">
        <f>'[1]September - 2021'!EQ37</f>
        <v>0</v>
      </c>
      <c r="EO37" s="90">
        <f>'[1]September - 2021'!ER37</f>
        <v>0</v>
      </c>
      <c r="EP37" s="230">
        <f>'[1]September - 2021'!ES37</f>
        <v>0</v>
      </c>
      <c r="EQ37" s="90">
        <f>'[1]September - 2021'!ET37</f>
        <v>0</v>
      </c>
      <c r="ER37" s="230">
        <f>'[1]September - 2021'!EU37</f>
        <v>0</v>
      </c>
      <c r="ES37" s="558"/>
      <c r="ET37" s="284">
        <f>'[1]September - 2021'!EW37</f>
        <v>0</v>
      </c>
      <c r="EU37" s="278">
        <f>'[1]September - 2021'!EX37</f>
        <v>0</v>
      </c>
      <c r="EV37" s="285">
        <f>'[1]September - 2021'!EY37</f>
        <v>0</v>
      </c>
      <c r="EW37" s="278">
        <f>'[1]September - 2021'!EZ37</f>
        <v>0</v>
      </c>
      <c r="EX37" s="285">
        <f>'[1]September - 2021'!FA37</f>
        <v>0</v>
      </c>
      <c r="EY37" s="278">
        <f>'[1]September - 2021'!FB37</f>
        <v>0</v>
      </c>
      <c r="EZ37" s="285">
        <f>'[1]September - 2021'!FC37</f>
        <v>0</v>
      </c>
      <c r="FA37" s="278">
        <f>'[1]September - 2021'!FD37</f>
        <v>0</v>
      </c>
      <c r="FB37" s="285">
        <f>'[1]September - 2021'!FE37</f>
        <v>0</v>
      </c>
      <c r="FC37" s="279">
        <f>'[1]September - 2021'!FF37</f>
        <v>0</v>
      </c>
    </row>
    <row r="38" spans="1:160" ht="30" customHeight="1" x14ac:dyDescent="0.25">
      <c r="A38" s="207">
        <v>43859</v>
      </c>
      <c r="B38" s="209">
        <f>'[1]September - 2021'!B38</f>
        <v>0</v>
      </c>
      <c r="C38" s="250">
        <f>'[1]September - 2021'!E38</f>
        <v>0</v>
      </c>
      <c r="D38" s="170">
        <f>'[1]September - 2021'!F38</f>
        <v>0</v>
      </c>
      <c r="E38" s="168">
        <f>'[1]September - 2021'!G38</f>
        <v>794</v>
      </c>
      <c r="F38" s="168">
        <f>'[1]September - 2021'!H38</f>
        <v>0</v>
      </c>
      <c r="G38" s="170">
        <f>'[1]September - 2021'!I38</f>
        <v>0</v>
      </c>
      <c r="H38" s="168">
        <f>'[1]September - 2021'!J38</f>
        <v>294</v>
      </c>
      <c r="I38" s="168">
        <f>'[1]September - 2021'!K38</f>
        <v>0</v>
      </c>
      <c r="J38" s="170">
        <f>'[1]September - 2021'!L38</f>
        <v>0</v>
      </c>
      <c r="K38" s="168">
        <f>'[1]September - 2021'!N38</f>
        <v>0</v>
      </c>
      <c r="L38" s="170">
        <f>'[1]September - 2021'!O38</f>
        <v>0</v>
      </c>
      <c r="M38" s="168">
        <f>'[1]September - 2021'!Q38</f>
        <v>0</v>
      </c>
      <c r="N38" s="170">
        <f>'[1]September - 2021'!R38</f>
        <v>0</v>
      </c>
      <c r="O38" s="168">
        <f>'[1]September - 2021'!S38</f>
        <v>0</v>
      </c>
      <c r="P38" s="170">
        <f>'[1]September - 2021'!T38</f>
        <v>0</v>
      </c>
      <c r="Q38" s="168">
        <f>'[1]September - 2021'!U38</f>
        <v>128</v>
      </c>
      <c r="R38" s="168">
        <f>'[1]September - 2021'!V38</f>
        <v>0</v>
      </c>
      <c r="S38" s="208">
        <f>'[1]September - 2021'!W38</f>
        <v>0</v>
      </c>
      <c r="T38" s="479"/>
      <c r="U38" s="169">
        <f>'[1]September - 2021'!AC38</f>
        <v>0</v>
      </c>
      <c r="V38" s="291">
        <f>'[1]September - 2021'!AD38</f>
        <v>0</v>
      </c>
      <c r="W38" s="92">
        <f>'[1]September - 2021'!AD38</f>
        <v>0</v>
      </c>
      <c r="X38" s="290">
        <f>'[1]September - 2021'!AF38</f>
        <v>0</v>
      </c>
      <c r="Y38" s="291">
        <f>'[1]September - 2021'!AG38</f>
        <v>0</v>
      </c>
      <c r="Z38" s="92">
        <f>'[1]September - 2021'!AG38</f>
        <v>0</v>
      </c>
      <c r="AA38" s="290">
        <f>'[1]September - 2021'!AI38</f>
        <v>0</v>
      </c>
      <c r="AB38" s="291">
        <f>'[1]September - 2021'!AJ38</f>
        <v>0</v>
      </c>
      <c r="AC38" s="92">
        <f>'[1]September - 2021'!AJ38</f>
        <v>0</v>
      </c>
      <c r="AD38" s="290">
        <f>'[1]September - 2021'!AL38</f>
        <v>0</v>
      </c>
      <c r="AE38" s="291">
        <f>'[1]September - 2021'!AM38</f>
        <v>0</v>
      </c>
      <c r="AF38" s="92">
        <f>'[1]September - 2021'!AM38</f>
        <v>0</v>
      </c>
      <c r="AG38" s="290">
        <f>'[1]September - 2021'!AO38</f>
        <v>0</v>
      </c>
      <c r="AH38" s="291">
        <f>'[1]September - 2021'!AP38</f>
        <v>0</v>
      </c>
      <c r="AI38" s="92">
        <f>'[1]September - 2021'!AP38</f>
        <v>0</v>
      </c>
      <c r="AJ38" s="290">
        <f>'[1]September - 2021'!AR38</f>
        <v>0</v>
      </c>
      <c r="AK38" s="291">
        <f>'[1]September - 2021'!AS38</f>
        <v>0</v>
      </c>
      <c r="AL38" s="92">
        <f>'[1]September - 2021'!AS38</f>
        <v>0</v>
      </c>
      <c r="AM38" s="290">
        <f>'[1]September - 2021'!AU38</f>
        <v>0</v>
      </c>
      <c r="AN38" s="291">
        <f>'[1]September - 2021'!AV38</f>
        <v>0</v>
      </c>
      <c r="AO38" s="92">
        <f>'[1]September - 2021'!AV38</f>
        <v>0</v>
      </c>
      <c r="AP38" s="290">
        <f>'[1]September - 2021'!AX38</f>
        <v>0</v>
      </c>
      <c r="AQ38" s="291">
        <f>'[1]September - 2021'!AY38</f>
        <v>0</v>
      </c>
      <c r="AR38" s="92">
        <f>'[1]September - 2021'!AY38</f>
        <v>0</v>
      </c>
      <c r="AS38" s="290">
        <f>'[1]September - 2021'!BA38</f>
        <v>0</v>
      </c>
      <c r="AT38" s="291">
        <f>'[1]September - 2021'!BB38</f>
        <v>0</v>
      </c>
      <c r="AU38" s="92">
        <f>'[1]September - 2021'!BB38</f>
        <v>0</v>
      </c>
      <c r="AV38" s="290">
        <f>'[1]September - 2021'!BD38</f>
        <v>0</v>
      </c>
      <c r="AW38" s="252">
        <f>'[1]September - 2021'!BE38</f>
        <v>0</v>
      </c>
      <c r="AX38" s="253">
        <f>'[1]September - 2021'!BE38</f>
        <v>0</v>
      </c>
      <c r="AY38" s="496"/>
      <c r="AZ38" s="272">
        <f>'[1]September - 2021'!BK38</f>
        <v>0</v>
      </c>
      <c r="BA38" s="179">
        <f>'[1]September - 2021'!BL38</f>
        <v>0</v>
      </c>
      <c r="BB38" s="93">
        <f>'[1]September - 2021'!BL38</f>
        <v>0</v>
      </c>
      <c r="BC38" s="272">
        <f>'[1]September - 2021'!BN38</f>
        <v>0</v>
      </c>
      <c r="BD38" s="245">
        <f>'[1]September - 2021'!BO38</f>
        <v>0</v>
      </c>
      <c r="BE38" s="93">
        <f>'[1]September - 2021'!BO38</f>
        <v>0</v>
      </c>
      <c r="BF38" s="272">
        <f>'[1]September - 2021'!BQ38</f>
        <v>0</v>
      </c>
      <c r="BG38" s="245">
        <f>'[1]September - 2021'!BR38</f>
        <v>0</v>
      </c>
      <c r="BH38" s="93">
        <f>'[1]September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- 2021'!BT38</f>
        <v>0</v>
      </c>
      <c r="BT38" s="185">
        <f>'[1]September - 2021'!BU38</f>
        <v>0</v>
      </c>
      <c r="BU38" s="592"/>
      <c r="BV38" s="88">
        <f>'[1]September - 2021'!BW38</f>
        <v>0</v>
      </c>
      <c r="BW38" s="241">
        <f>'[1]September - 2021'!BX38</f>
        <v>0</v>
      </c>
      <c r="BX38" s="88">
        <f>'[1]September - 2021'!BX38</f>
        <v>0</v>
      </c>
      <c r="BY38" s="89">
        <f>'[1]September - 2021'!BZ38</f>
        <v>0</v>
      </c>
      <c r="BZ38" s="191">
        <f>'[1]September - 2021'!CA38</f>
        <v>0</v>
      </c>
      <c r="CA38" s="89">
        <f>'[1]September - 2021'!CB38</f>
        <v>0</v>
      </c>
      <c r="CB38" s="191">
        <f>'[1]September - 2021'!CC38</f>
        <v>0</v>
      </c>
      <c r="CC38" s="89">
        <f>'[1]September - 2021'!CD38</f>
        <v>0</v>
      </c>
      <c r="CD38" s="191">
        <f>'[1]September - 2021'!CE38</f>
        <v>0</v>
      </c>
      <c r="CE38" s="89">
        <f>'[1]September - 2021'!CF38</f>
        <v>0</v>
      </c>
      <c r="CF38" s="191">
        <f>'[1]September - 2021'!CG38</f>
        <v>0</v>
      </c>
      <c r="CG38" s="89">
        <f>'[1]September - 2021'!CH38</f>
        <v>0</v>
      </c>
      <c r="CH38" s="191">
        <f>'[1]September - 2021'!CI38</f>
        <v>0</v>
      </c>
      <c r="CI38" s="89">
        <f>'[1]September - 2021'!CJ38</f>
        <v>0</v>
      </c>
      <c r="CJ38" s="191">
        <f>'[1]September - 2021'!CK38</f>
        <v>0</v>
      </c>
      <c r="CK38" s="89">
        <f>'[1]September - 2021'!CL38</f>
        <v>0</v>
      </c>
      <c r="CL38" s="246">
        <f>'[1]September - 2021'!CM38</f>
        <v>0</v>
      </c>
      <c r="CM38" s="89">
        <f>'[1]September - 2021'!CM38</f>
        <v>0</v>
      </c>
      <c r="CN38" s="89">
        <f>'[1]September - 2021'!CO38</f>
        <v>0</v>
      </c>
      <c r="CO38" s="246">
        <f>'[1]September - 2021'!CP38</f>
        <v>0</v>
      </c>
      <c r="CP38" s="89">
        <f>'[1]September - 2021'!CP38</f>
        <v>0</v>
      </c>
      <c r="CQ38" s="89">
        <f>'[1]September - 2021'!CR38</f>
        <v>0</v>
      </c>
      <c r="CR38" s="246">
        <f>'[1]September - 2021'!CS38</f>
        <v>0</v>
      </c>
      <c r="CS38" s="89">
        <f>'[1]September - 2021'!CS38</f>
        <v>0</v>
      </c>
      <c r="CT38" s="89">
        <f>'[1]September - 2021'!CU38</f>
        <v>0</v>
      </c>
      <c r="CU38" s="191">
        <f>'[1]September - 2021'!CV38</f>
        <v>0</v>
      </c>
      <c r="CV38" s="520"/>
      <c r="CW38" s="256">
        <f>'[1]September - 2021'!CX38</f>
        <v>0</v>
      </c>
      <c r="CX38" s="198">
        <f>'[1]September - 2021'!CY38</f>
        <v>0</v>
      </c>
      <c r="CY38" s="257">
        <f>'[1]September - 2021'!CZ38</f>
        <v>0</v>
      </c>
      <c r="CZ38" s="198">
        <f>'[1]September - 2021'!DA38</f>
        <v>0</v>
      </c>
      <c r="DA38" s="257">
        <f>'[1]September - 2021'!DB38</f>
        <v>0</v>
      </c>
      <c r="DB38" s="198">
        <f>'[1]September - 2021'!DC38</f>
        <v>0</v>
      </c>
      <c r="DC38" s="257">
        <f>'[1]September - 2021'!DD38</f>
        <v>0</v>
      </c>
      <c r="DD38" s="198">
        <f>'[1]September - 2021'!DE38</f>
        <v>0</v>
      </c>
      <c r="DE38" s="257">
        <f>'[1]September - 2021'!DF38</f>
        <v>0</v>
      </c>
      <c r="DF38" s="198">
        <f>'[1]September - 2021'!DG38</f>
        <v>0</v>
      </c>
      <c r="DG38" s="257">
        <f>'[1]September - 2021'!DH38</f>
        <v>0</v>
      </c>
      <c r="DH38" s="198">
        <f>'[1]September - 2021'!DI38</f>
        <v>0</v>
      </c>
      <c r="DI38" s="257">
        <f>'[1]September - 2021'!DJ38</f>
        <v>0</v>
      </c>
      <c r="DJ38" s="198">
        <f>'[1]September - 2021'!DK38</f>
        <v>0</v>
      </c>
      <c r="DK38" s="257">
        <f>'[1]September - 2021'!DL38</f>
        <v>0</v>
      </c>
      <c r="DL38" s="198">
        <f>'[1]September - 2021'!DM38</f>
        <v>0</v>
      </c>
      <c r="DM38" s="257">
        <f>'[1]September - 2021'!DN38</f>
        <v>0</v>
      </c>
      <c r="DN38" s="198">
        <f>'[1]September - 2021'!DO38</f>
        <v>0</v>
      </c>
      <c r="DO38" s="257">
        <f>'[1]September - 2021'!DP38</f>
        <v>0</v>
      </c>
      <c r="DP38" s="198">
        <f>'[1]September - 2021'!DQ38</f>
        <v>0</v>
      </c>
      <c r="DQ38" s="257">
        <f>'[1]September - 2021'!DR38</f>
        <v>0</v>
      </c>
      <c r="DR38" s="206">
        <f>'[1]September - 2021'!DS38</f>
        <v>0</v>
      </c>
      <c r="DS38" s="536"/>
      <c r="DT38" s="210">
        <f>'[1]September - 2021'!DU38</f>
        <v>0</v>
      </c>
      <c r="DU38" s="221">
        <f>'[1]September - 2021'!DV38</f>
        <v>0</v>
      </c>
      <c r="DV38" s="91">
        <f>'[1]September - 2021'!DW38</f>
        <v>0</v>
      </c>
      <c r="DW38" s="215">
        <f>'[1]September - 2021'!DX38</f>
        <v>0</v>
      </c>
      <c r="DX38" s="91">
        <f>'[1]September - 2021'!DY38</f>
        <v>0</v>
      </c>
      <c r="DY38" s="215">
        <f>'[1]September - 2021'!DZ38</f>
        <v>0</v>
      </c>
      <c r="DZ38" s="91">
        <f>'[1]September - 2021'!EA38</f>
        <v>0</v>
      </c>
      <c r="EA38" s="215">
        <f>'[1]September - 2021'!EB38</f>
        <v>0</v>
      </c>
      <c r="EB38" s="91">
        <f>'[1]September - 2021'!EC38</f>
        <v>0</v>
      </c>
      <c r="EC38" s="215">
        <f>'[1]September - 2021'!ED38</f>
        <v>0</v>
      </c>
      <c r="ED38" s="91">
        <f>'[1]September - 2021'!EG38</f>
        <v>0</v>
      </c>
      <c r="EE38" s="229">
        <f>'[1]September - 2021'!EH38</f>
        <v>0</v>
      </c>
      <c r="EF38" s="583"/>
      <c r="EG38" s="235">
        <f>'[1]September - 2021'!EJ38</f>
        <v>0</v>
      </c>
      <c r="EH38" s="230">
        <f>'[1]September - 2021'!EK38</f>
        <v>0</v>
      </c>
      <c r="EI38" s="90">
        <f>'[1]September - 2021'!EL38</f>
        <v>0</v>
      </c>
      <c r="EJ38" s="230">
        <f>'[1]September - 2021'!EM38</f>
        <v>0</v>
      </c>
      <c r="EK38" s="90">
        <f>'[1]September - 2021'!EN38</f>
        <v>0</v>
      </c>
      <c r="EL38" s="230">
        <f>'[1]September - 2021'!EO38</f>
        <v>0</v>
      </c>
      <c r="EM38" s="90">
        <f>'[1]September - 2021'!EP38</f>
        <v>0</v>
      </c>
      <c r="EN38" s="230">
        <f>'[1]September - 2021'!EQ38</f>
        <v>0</v>
      </c>
      <c r="EO38" s="90">
        <f>'[1]September - 2021'!ER38</f>
        <v>0</v>
      </c>
      <c r="EP38" s="230">
        <f>'[1]September - 2021'!ES38</f>
        <v>0</v>
      </c>
      <c r="EQ38" s="90">
        <f>'[1]September - 2021'!ET38</f>
        <v>0</v>
      </c>
      <c r="ER38" s="230">
        <f>'[1]September - 2021'!EU38</f>
        <v>0</v>
      </c>
      <c r="ES38" s="558"/>
      <c r="ET38" s="284">
        <f>'[1]September - 2021'!EW38</f>
        <v>0</v>
      </c>
      <c r="EU38" s="278">
        <f>'[1]September - 2021'!EX38</f>
        <v>0</v>
      </c>
      <c r="EV38" s="285">
        <f>'[1]September - 2021'!EY38</f>
        <v>0</v>
      </c>
      <c r="EW38" s="278">
        <f>'[1]September - 2021'!EZ38</f>
        <v>0</v>
      </c>
      <c r="EX38" s="285">
        <f>'[1]September - 2021'!FA38</f>
        <v>0</v>
      </c>
      <c r="EY38" s="278">
        <f>'[1]September - 2021'!FB38</f>
        <v>0</v>
      </c>
      <c r="EZ38" s="285">
        <f>'[1]September - 2021'!FC38</f>
        <v>0</v>
      </c>
      <c r="FA38" s="278">
        <f>'[1]September - 2021'!FD38</f>
        <v>0</v>
      </c>
      <c r="FB38" s="285">
        <f>'[1]September - 2021'!FE38</f>
        <v>0</v>
      </c>
      <c r="FC38" s="279">
        <f>'[1]September - 2021'!FF38</f>
        <v>0</v>
      </c>
    </row>
    <row r="39" spans="1:160" ht="30" customHeight="1" x14ac:dyDescent="0.25">
      <c r="A39" s="207">
        <v>43860</v>
      </c>
      <c r="B39" s="209">
        <f>'[1]September - 2021'!B39</f>
        <v>0</v>
      </c>
      <c r="C39" s="250">
        <f>'[1]September - 2021'!E39</f>
        <v>0</v>
      </c>
      <c r="D39" s="170">
        <f>'[1]September - 2021'!F39</f>
        <v>0</v>
      </c>
      <c r="E39" s="168">
        <f>'[1]September - 2021'!G39</f>
        <v>824</v>
      </c>
      <c r="F39" s="168">
        <f>'[1]September - 2021'!H39</f>
        <v>0</v>
      </c>
      <c r="G39" s="170">
        <f>'[1]September - 2021'!I39</f>
        <v>0</v>
      </c>
      <c r="H39" s="168">
        <f>'[1]September - 2021'!J39</f>
        <v>299</v>
      </c>
      <c r="I39" s="168">
        <f>'[1]September - 2021'!K39</f>
        <v>0</v>
      </c>
      <c r="J39" s="170">
        <f>'[1]September - 2021'!L39</f>
        <v>0</v>
      </c>
      <c r="K39" s="168">
        <f>'[1]September - 2021'!N39</f>
        <v>0</v>
      </c>
      <c r="L39" s="170">
        <f>'[1]September - 2021'!O39</f>
        <v>0</v>
      </c>
      <c r="M39" s="168">
        <f>'[1]September - 2021'!Q39</f>
        <v>0</v>
      </c>
      <c r="N39" s="170">
        <f>'[1]September - 2021'!R39</f>
        <v>0</v>
      </c>
      <c r="O39" s="168">
        <f>'[1]September - 2021'!S39</f>
        <v>0</v>
      </c>
      <c r="P39" s="170">
        <f>'[1]September - 2021'!T39</f>
        <v>0</v>
      </c>
      <c r="Q39" s="168">
        <f>'[1]September - 2021'!U39</f>
        <v>119</v>
      </c>
      <c r="R39" s="168">
        <f>'[1]September - 2021'!V39</f>
        <v>0</v>
      </c>
      <c r="S39" s="208">
        <f>'[1]September - 2021'!W39</f>
        <v>0</v>
      </c>
      <c r="T39" s="479"/>
      <c r="U39" s="169">
        <f>'[1]September - 2021'!AC39</f>
        <v>0</v>
      </c>
      <c r="V39" s="291">
        <f>'[1]September - 2021'!AD39</f>
        <v>0</v>
      </c>
      <c r="W39" s="92">
        <f>'[1]September - 2021'!AD39</f>
        <v>0</v>
      </c>
      <c r="X39" s="290">
        <f>'[1]September - 2021'!AF39</f>
        <v>0</v>
      </c>
      <c r="Y39" s="291">
        <f>'[1]September - 2021'!AG39</f>
        <v>0</v>
      </c>
      <c r="Z39" s="92">
        <f>'[1]September - 2021'!AG39</f>
        <v>0</v>
      </c>
      <c r="AA39" s="290">
        <f>'[1]September - 2021'!AI39</f>
        <v>0</v>
      </c>
      <c r="AB39" s="291">
        <f>'[1]September - 2021'!AJ39</f>
        <v>0</v>
      </c>
      <c r="AC39" s="92">
        <f>'[1]September - 2021'!AJ39</f>
        <v>0</v>
      </c>
      <c r="AD39" s="290">
        <f>'[1]September - 2021'!AL39</f>
        <v>0</v>
      </c>
      <c r="AE39" s="291">
        <f>'[1]September - 2021'!AM39</f>
        <v>0</v>
      </c>
      <c r="AF39" s="92">
        <f>'[1]September - 2021'!AM39</f>
        <v>0</v>
      </c>
      <c r="AG39" s="290">
        <f>'[1]September - 2021'!AO39</f>
        <v>0</v>
      </c>
      <c r="AH39" s="291">
        <f>'[1]September - 2021'!AP39</f>
        <v>0</v>
      </c>
      <c r="AI39" s="92">
        <f>'[1]September - 2021'!AP39</f>
        <v>0</v>
      </c>
      <c r="AJ39" s="290">
        <f>'[1]September - 2021'!AR39</f>
        <v>0</v>
      </c>
      <c r="AK39" s="291">
        <f>'[1]September - 2021'!AS39</f>
        <v>0</v>
      </c>
      <c r="AL39" s="92">
        <f>'[1]September - 2021'!AS39</f>
        <v>0</v>
      </c>
      <c r="AM39" s="290">
        <f>'[1]September - 2021'!AU39</f>
        <v>0</v>
      </c>
      <c r="AN39" s="291">
        <f>'[1]September - 2021'!AV39</f>
        <v>0</v>
      </c>
      <c r="AO39" s="92">
        <f>'[1]September - 2021'!AV39</f>
        <v>0</v>
      </c>
      <c r="AP39" s="290">
        <f>'[1]September - 2021'!AX39</f>
        <v>0</v>
      </c>
      <c r="AQ39" s="291">
        <f>'[1]September - 2021'!AY39</f>
        <v>0</v>
      </c>
      <c r="AR39" s="92">
        <f>'[1]September - 2021'!AY39</f>
        <v>0</v>
      </c>
      <c r="AS39" s="290">
        <f>'[1]September - 2021'!BA39</f>
        <v>0</v>
      </c>
      <c r="AT39" s="291">
        <f>'[1]September - 2021'!BB39</f>
        <v>0</v>
      </c>
      <c r="AU39" s="92">
        <f>'[1]September - 2021'!BB39</f>
        <v>0</v>
      </c>
      <c r="AV39" s="290">
        <f>'[1]September - 2021'!BD39</f>
        <v>0</v>
      </c>
      <c r="AW39" s="252">
        <f>'[1]September - 2021'!BE39</f>
        <v>0</v>
      </c>
      <c r="AX39" s="253">
        <f>'[1]September - 2021'!BE39</f>
        <v>0</v>
      </c>
      <c r="AY39" s="496"/>
      <c r="AZ39" s="272">
        <f>'[1]September - 2021'!BK39</f>
        <v>0</v>
      </c>
      <c r="BA39" s="179">
        <f>'[1]September - 2021'!BL39</f>
        <v>0</v>
      </c>
      <c r="BB39" s="93">
        <f>'[1]September - 2021'!BL39</f>
        <v>0</v>
      </c>
      <c r="BC39" s="272">
        <f>'[1]September - 2021'!BN39</f>
        <v>0</v>
      </c>
      <c r="BD39" s="245">
        <f>'[1]September - 2021'!BO39</f>
        <v>0</v>
      </c>
      <c r="BE39" s="93">
        <f>'[1]September - 2021'!BO39</f>
        <v>0</v>
      </c>
      <c r="BF39" s="272">
        <f>'[1]September - 2021'!BQ39</f>
        <v>0</v>
      </c>
      <c r="BG39" s="245">
        <f>'[1]September - 2021'!BR39</f>
        <v>0</v>
      </c>
      <c r="BH39" s="93">
        <f>'[1]September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- 2021'!BT39</f>
        <v>0</v>
      </c>
      <c r="BT39" s="185">
        <f>'[1]September - 2021'!BU39</f>
        <v>0</v>
      </c>
      <c r="BU39" s="593"/>
      <c r="BV39" s="88">
        <f>'[1]September - 2021'!BW39</f>
        <v>0</v>
      </c>
      <c r="BW39" s="241">
        <f>'[1]September - 2021'!BX39</f>
        <v>0</v>
      </c>
      <c r="BX39" s="88">
        <f>'[1]September - 2021'!BX39</f>
        <v>0</v>
      </c>
      <c r="BY39" s="89">
        <f>'[1]September - 2021'!BZ39</f>
        <v>0</v>
      </c>
      <c r="BZ39" s="191">
        <f>'[1]September - 2021'!CA39</f>
        <v>0</v>
      </c>
      <c r="CA39" s="89">
        <f>'[1]September - 2021'!CB39</f>
        <v>0</v>
      </c>
      <c r="CB39" s="191">
        <f>'[1]September - 2021'!CC39</f>
        <v>0</v>
      </c>
      <c r="CC39" s="89">
        <f>'[1]September - 2021'!CD39</f>
        <v>0</v>
      </c>
      <c r="CD39" s="191">
        <f>'[1]September - 2021'!CE39</f>
        <v>0</v>
      </c>
      <c r="CE39" s="89">
        <f>'[1]September - 2021'!CF39</f>
        <v>0</v>
      </c>
      <c r="CF39" s="191">
        <f>'[1]September - 2021'!CG39</f>
        <v>0</v>
      </c>
      <c r="CG39" s="89">
        <f>'[1]September - 2021'!CH39</f>
        <v>0</v>
      </c>
      <c r="CH39" s="191">
        <f>'[1]September - 2021'!CI39</f>
        <v>0</v>
      </c>
      <c r="CI39" s="89">
        <f>'[1]September - 2021'!CJ39</f>
        <v>0</v>
      </c>
      <c r="CJ39" s="191">
        <f>'[1]September - 2021'!CK39</f>
        <v>0</v>
      </c>
      <c r="CK39" s="89">
        <f>'[1]September - 2021'!CL39</f>
        <v>0</v>
      </c>
      <c r="CL39" s="246">
        <f>'[1]September - 2021'!CM39</f>
        <v>0</v>
      </c>
      <c r="CM39" s="89">
        <f>'[1]September - 2021'!CM39</f>
        <v>0</v>
      </c>
      <c r="CN39" s="89">
        <f>'[1]September - 2021'!CO39</f>
        <v>0</v>
      </c>
      <c r="CO39" s="246">
        <f>'[1]September - 2021'!CP39</f>
        <v>0</v>
      </c>
      <c r="CP39" s="89">
        <f>'[1]September - 2021'!CP39</f>
        <v>0</v>
      </c>
      <c r="CQ39" s="89">
        <f>'[1]September - 2021'!CR39</f>
        <v>0</v>
      </c>
      <c r="CR39" s="246">
        <f>'[1]September - 2021'!CS39</f>
        <v>0</v>
      </c>
      <c r="CS39" s="89">
        <f>'[1]September - 2021'!CS39</f>
        <v>0</v>
      </c>
      <c r="CT39" s="89">
        <f>'[1]September - 2021'!CU39</f>
        <v>0</v>
      </c>
      <c r="CU39" s="191">
        <f>'[1]September - 2021'!CV39</f>
        <v>0</v>
      </c>
      <c r="CV39" s="520"/>
      <c r="CW39" s="256">
        <f>'[1]September - 2021'!CX39</f>
        <v>0</v>
      </c>
      <c r="CX39" s="198">
        <f>'[1]September - 2021'!CY39</f>
        <v>0</v>
      </c>
      <c r="CY39" s="257">
        <f>'[1]September - 2021'!CZ39</f>
        <v>0</v>
      </c>
      <c r="CZ39" s="198">
        <f>'[1]September - 2021'!DA39</f>
        <v>0</v>
      </c>
      <c r="DA39" s="257">
        <f>'[1]September - 2021'!DB39</f>
        <v>0</v>
      </c>
      <c r="DB39" s="198">
        <f>'[1]September - 2021'!DC39</f>
        <v>0</v>
      </c>
      <c r="DC39" s="257">
        <f>'[1]September - 2021'!DD39</f>
        <v>0</v>
      </c>
      <c r="DD39" s="198">
        <f>'[1]September - 2021'!DE39</f>
        <v>0</v>
      </c>
      <c r="DE39" s="257">
        <f>'[1]September - 2021'!DF39</f>
        <v>0</v>
      </c>
      <c r="DF39" s="198">
        <f>'[1]September - 2021'!DG39</f>
        <v>0</v>
      </c>
      <c r="DG39" s="257">
        <f>'[1]September - 2021'!DH39</f>
        <v>0</v>
      </c>
      <c r="DH39" s="198">
        <f>'[1]September - 2021'!DI39</f>
        <v>0</v>
      </c>
      <c r="DI39" s="257">
        <f>'[1]September - 2021'!DJ39</f>
        <v>0</v>
      </c>
      <c r="DJ39" s="198">
        <f>'[1]September - 2021'!DK39</f>
        <v>0</v>
      </c>
      <c r="DK39" s="257">
        <f>'[1]September - 2021'!DL39</f>
        <v>0</v>
      </c>
      <c r="DL39" s="198">
        <f>'[1]September - 2021'!DM39</f>
        <v>0</v>
      </c>
      <c r="DM39" s="257">
        <f>'[1]September - 2021'!DN39</f>
        <v>0</v>
      </c>
      <c r="DN39" s="198">
        <f>'[1]September - 2021'!DO39</f>
        <v>0</v>
      </c>
      <c r="DO39" s="257">
        <f>'[1]September - 2021'!DP39</f>
        <v>0</v>
      </c>
      <c r="DP39" s="198">
        <f>'[1]September - 2021'!DQ39</f>
        <v>0</v>
      </c>
      <c r="DQ39" s="257">
        <f>'[1]September - 2021'!DR39</f>
        <v>0</v>
      </c>
      <c r="DR39" s="206">
        <f>'[1]September - 2021'!DS39</f>
        <v>0</v>
      </c>
      <c r="DS39" s="536"/>
      <c r="DT39" s="210">
        <f>'[1]September - 2021'!DU39</f>
        <v>0</v>
      </c>
      <c r="DU39" s="221">
        <f>'[1]September - 2021'!DV39</f>
        <v>0</v>
      </c>
      <c r="DV39" s="91">
        <f>'[1]September - 2021'!DW39</f>
        <v>0</v>
      </c>
      <c r="DW39" s="215">
        <f>'[1]September - 2021'!DX39</f>
        <v>0</v>
      </c>
      <c r="DX39" s="91">
        <f>'[1]September - 2021'!DY39</f>
        <v>0</v>
      </c>
      <c r="DY39" s="215">
        <f>'[1]September - 2021'!DZ39</f>
        <v>0</v>
      </c>
      <c r="DZ39" s="91">
        <f>'[1]September - 2021'!EA39</f>
        <v>0</v>
      </c>
      <c r="EA39" s="215">
        <f>'[1]September - 2021'!EB39</f>
        <v>0</v>
      </c>
      <c r="EB39" s="91">
        <f>'[1]September - 2021'!EC39</f>
        <v>0</v>
      </c>
      <c r="EC39" s="215">
        <f>'[1]September - 2021'!ED39</f>
        <v>0</v>
      </c>
      <c r="ED39" s="91">
        <f>'[1]September - 2021'!EG39</f>
        <v>0</v>
      </c>
      <c r="EE39" s="229">
        <f>'[1]September - 2021'!EH39</f>
        <v>0</v>
      </c>
      <c r="EF39" s="583"/>
      <c r="EG39" s="235">
        <f>'[1]September - 2021'!EJ39</f>
        <v>0</v>
      </c>
      <c r="EH39" s="230">
        <f>'[1]September - 2021'!EK39</f>
        <v>0</v>
      </c>
      <c r="EI39" s="90">
        <f>'[1]September - 2021'!EL39</f>
        <v>0</v>
      </c>
      <c r="EJ39" s="230">
        <f>'[1]September - 2021'!EM39</f>
        <v>0</v>
      </c>
      <c r="EK39" s="90">
        <f>'[1]September - 2021'!EN39</f>
        <v>0</v>
      </c>
      <c r="EL39" s="230">
        <f>'[1]September - 2021'!EO39</f>
        <v>0</v>
      </c>
      <c r="EM39" s="90">
        <f>'[1]September - 2021'!EP39</f>
        <v>0</v>
      </c>
      <c r="EN39" s="230">
        <f>'[1]September - 2021'!EQ39</f>
        <v>0</v>
      </c>
      <c r="EO39" s="90">
        <f>'[1]September - 2021'!ER39</f>
        <v>0</v>
      </c>
      <c r="EP39" s="230">
        <f>'[1]September - 2021'!ES39</f>
        <v>0</v>
      </c>
      <c r="EQ39" s="90">
        <f>'[1]September - 2021'!ET39</f>
        <v>0</v>
      </c>
      <c r="ER39" s="230">
        <f>'[1]September - 2021'!EU39</f>
        <v>0</v>
      </c>
      <c r="ES39" s="558"/>
      <c r="ET39" s="284">
        <f>'[1]September - 2021'!EW39</f>
        <v>0</v>
      </c>
      <c r="EU39" s="278">
        <f>'[1]September - 2021'!EX39</f>
        <v>0</v>
      </c>
      <c r="EV39" s="285">
        <f>'[1]September - 2021'!EY39</f>
        <v>0</v>
      </c>
      <c r="EW39" s="278">
        <f>'[1]September - 2021'!EZ39</f>
        <v>0</v>
      </c>
      <c r="EX39" s="285">
        <f>'[1]September - 2021'!FA39</f>
        <v>0</v>
      </c>
      <c r="EY39" s="278">
        <f>'[1]September - 2021'!FB39</f>
        <v>0</v>
      </c>
      <c r="EZ39" s="285">
        <f>'[1]September - 2021'!FC39</f>
        <v>0</v>
      </c>
      <c r="FA39" s="278">
        <f>'[1]September - 2021'!FD39</f>
        <v>0</v>
      </c>
      <c r="FB39" s="285">
        <f>'[1]September - 2021'!FE39</f>
        <v>0</v>
      </c>
      <c r="FC39" s="279">
        <f>'[1]September - 2021'!FF39</f>
        <v>0</v>
      </c>
    </row>
    <row r="40" spans="1:160" ht="30" customHeight="1" thickBot="1" x14ac:dyDescent="0.45">
      <c r="A40" s="207">
        <v>43861</v>
      </c>
      <c r="B40" s="299">
        <f>'[1]September - 2021'!B40</f>
        <v>0</v>
      </c>
      <c r="C40" s="250">
        <f>'[1]September - 2021'!E40</f>
        <v>0</v>
      </c>
      <c r="D40" s="170">
        <f>'[1]September - 2021'!F40</f>
        <v>0</v>
      </c>
      <c r="E40" s="168">
        <f>'[1]September - 2021'!G40</f>
        <v>0</v>
      </c>
      <c r="F40" s="168">
        <f>'[1]September - 2021'!H40</f>
        <v>0</v>
      </c>
      <c r="G40" s="170">
        <f>'[1]September - 2021'!I40</f>
        <v>0</v>
      </c>
      <c r="H40" s="168">
        <f>'[1]September - 2021'!J40</f>
        <v>0</v>
      </c>
      <c r="I40" s="168">
        <f>'[1]September - 2021'!K40</f>
        <v>0</v>
      </c>
      <c r="J40" s="170">
        <f>'[1]September - 2021'!L40</f>
        <v>0</v>
      </c>
      <c r="K40" s="168">
        <f>'[1]September - 2021'!N40</f>
        <v>0</v>
      </c>
      <c r="L40" s="170">
        <f>'[1]September - 2021'!O40</f>
        <v>0</v>
      </c>
      <c r="M40" s="168">
        <f>'[1]September - 2021'!Q40</f>
        <v>0</v>
      </c>
      <c r="N40" s="170">
        <f>'[1]September - 2021'!R40</f>
        <v>0</v>
      </c>
      <c r="O40" s="168">
        <f>'[1]September - 2021'!S40</f>
        <v>0</v>
      </c>
      <c r="P40" s="170">
        <f>'[1]September - 2021'!T40</f>
        <v>0</v>
      </c>
      <c r="Q40" s="168">
        <f>'[1]September - 2021'!U40</f>
        <v>0</v>
      </c>
      <c r="R40" s="168">
        <f>'[1]September - 2021'!V40</f>
        <v>0</v>
      </c>
      <c r="S40" s="208">
        <f>'[1]September - 2021'!W40</f>
        <v>0</v>
      </c>
      <c r="T40" s="287"/>
      <c r="U40" s="294">
        <f>'[1]September - 2021'!AC40</f>
        <v>0</v>
      </c>
      <c r="V40" s="295">
        <f>'[1]September - 2021'!AD40</f>
        <v>0</v>
      </c>
      <c r="W40" s="296">
        <f>'[1]September - 2021'!AD40</f>
        <v>0</v>
      </c>
      <c r="X40" s="297">
        <f>'[1]September - 2021'!AF40</f>
        <v>0</v>
      </c>
      <c r="Y40" s="295">
        <f>'[1]September - 2021'!AG40</f>
        <v>0</v>
      </c>
      <c r="Z40" s="296">
        <f>'[1]September - 2021'!AG40</f>
        <v>0</v>
      </c>
      <c r="AA40" s="297">
        <f>'[1]September - 2021'!AI40</f>
        <v>0</v>
      </c>
      <c r="AB40" s="295">
        <f>'[1]September - 2021'!AJ40</f>
        <v>0</v>
      </c>
      <c r="AC40" s="296">
        <f>'[1]September - 2021'!AJ40</f>
        <v>0</v>
      </c>
      <c r="AD40" s="297">
        <f>'[1]September - 2021'!AL40</f>
        <v>0</v>
      </c>
      <c r="AE40" s="295">
        <f>'[1]September - 2021'!AM40</f>
        <v>0</v>
      </c>
      <c r="AF40" s="296">
        <f>'[1]September - 2021'!AM40</f>
        <v>0</v>
      </c>
      <c r="AG40" s="297">
        <f>'[1]September - 2021'!AO40</f>
        <v>0</v>
      </c>
      <c r="AH40" s="295">
        <f>'[1]September - 2021'!AP40</f>
        <v>0</v>
      </c>
      <c r="AI40" s="296">
        <f>'[1]September - 2021'!AP40</f>
        <v>0</v>
      </c>
      <c r="AJ40" s="297">
        <f>'[1]September - 2021'!AR40</f>
        <v>0</v>
      </c>
      <c r="AK40" s="295">
        <f>'[1]September - 2021'!AS40</f>
        <v>0</v>
      </c>
      <c r="AL40" s="296">
        <f>'[1]September - 2021'!AS40</f>
        <v>0</v>
      </c>
      <c r="AM40" s="297">
        <f>'[1]September - 2021'!AU40</f>
        <v>0</v>
      </c>
      <c r="AN40" s="295">
        <f>'[1]September - 2021'!AV40</f>
        <v>0</v>
      </c>
      <c r="AO40" s="296">
        <f>'[1]September - 2021'!AV40</f>
        <v>0</v>
      </c>
      <c r="AP40" s="297">
        <f>'[1]September - 2021'!AX40</f>
        <v>0</v>
      </c>
      <c r="AQ40" s="295">
        <f>'[1]September - 2021'!AY40</f>
        <v>0</v>
      </c>
      <c r="AR40" s="296">
        <f>'[1]September - 2021'!AY40</f>
        <v>0</v>
      </c>
      <c r="AS40" s="297">
        <f>'[1]September - 2021'!BA40</f>
        <v>0</v>
      </c>
      <c r="AT40" s="295">
        <f>'[1]September - 2021'!BB40</f>
        <v>0</v>
      </c>
      <c r="AU40" s="296">
        <f>'[1]September - 2021'!BB40</f>
        <v>0</v>
      </c>
      <c r="AV40" s="297">
        <f>'[1]September - 2021'!BD40</f>
        <v>0</v>
      </c>
      <c r="AW40" s="252">
        <f>'[1]September - 2021'!BE40</f>
        <v>0</v>
      </c>
      <c r="AX40" s="253">
        <f>'[1]September - 2021'!BE40</f>
        <v>0</v>
      </c>
      <c r="AY40" s="288"/>
      <c r="AZ40" s="272">
        <f>'[1]September - 2021'!BK40</f>
        <v>0</v>
      </c>
      <c r="BA40" s="179">
        <f>'[1]September - 2021'!BL40</f>
        <v>0</v>
      </c>
      <c r="BB40" s="93">
        <f>'[1]September - 2021'!BL40</f>
        <v>0</v>
      </c>
      <c r="BC40" s="272">
        <f>'[1]September - 2021'!BN40</f>
        <v>0</v>
      </c>
      <c r="BD40" s="245">
        <f>'[1]September - 2021'!BO40</f>
        <v>0</v>
      </c>
      <c r="BE40" s="93">
        <f>'[1]September - 2021'!BO40</f>
        <v>0</v>
      </c>
      <c r="BF40" s="272">
        <f>'[1]September - 2021'!BQ40</f>
        <v>0</v>
      </c>
      <c r="BG40" s="245">
        <f>'[1]September - 2021'!BR40</f>
        <v>0</v>
      </c>
      <c r="BH40" s="93">
        <f>'[1]September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- 2021'!BT40</f>
        <v>0</v>
      </c>
      <c r="BT40" s="185">
        <f>'[1]September - 2021'!BU40</f>
        <v>0</v>
      </c>
      <c r="BU40" s="289"/>
      <c r="BV40" s="300">
        <f>'[1]September - 2021'!BW40</f>
        <v>0</v>
      </c>
      <c r="BW40" s="301">
        <f>'[1]September - 2021'!BX40</f>
        <v>0</v>
      </c>
      <c r="BX40" s="300">
        <f>'[1]September - 2021'!BX40</f>
        <v>0</v>
      </c>
      <c r="BY40" s="89">
        <f>'[1]September - 2021'!BZ40</f>
        <v>0</v>
      </c>
      <c r="BZ40" s="191">
        <f>'[1]September - 2021'!CA40</f>
        <v>0</v>
      </c>
      <c r="CA40" s="89">
        <f>'[1]September - 2021'!CB40</f>
        <v>0</v>
      </c>
      <c r="CB40" s="191">
        <f>'[1]September - 2021'!CC40</f>
        <v>0</v>
      </c>
      <c r="CC40" s="89">
        <f>'[1]September - 2021'!CD40</f>
        <v>0</v>
      </c>
      <c r="CD40" s="191">
        <f>'[1]September - 2021'!CE40</f>
        <v>0</v>
      </c>
      <c r="CE40" s="89">
        <f>'[1]September - 2021'!CF40</f>
        <v>0</v>
      </c>
      <c r="CF40" s="191">
        <f>'[1]September - 2021'!CG40</f>
        <v>0</v>
      </c>
      <c r="CG40" s="89">
        <f>'[1]September - 2021'!CH40</f>
        <v>0</v>
      </c>
      <c r="CH40" s="191">
        <f>'[1]September - 2021'!CI40</f>
        <v>0</v>
      </c>
      <c r="CI40" s="89">
        <f>'[1]September - 2021'!CJ40</f>
        <v>0</v>
      </c>
      <c r="CJ40" s="191">
        <f>'[1]September - 2021'!CK40</f>
        <v>0</v>
      </c>
      <c r="CK40" s="89">
        <f>'[1]September - 2021'!CL40</f>
        <v>0</v>
      </c>
      <c r="CL40" s="246">
        <f>'[1]September - 2021'!CM40</f>
        <v>0</v>
      </c>
      <c r="CM40" s="89">
        <f>'[1]September - 2021'!CM40</f>
        <v>0</v>
      </c>
      <c r="CN40" s="89">
        <f>'[1]September - 2021'!CO40</f>
        <v>0</v>
      </c>
      <c r="CO40" s="246">
        <f>'[1]September - 2021'!CP40</f>
        <v>0</v>
      </c>
      <c r="CP40" s="89">
        <f>'[1]September - 2021'!CP40</f>
        <v>0</v>
      </c>
      <c r="CQ40" s="89">
        <f>'[1]September - 2021'!CR40</f>
        <v>0</v>
      </c>
      <c r="CR40" s="246">
        <f>'[1]September - 2021'!CS40</f>
        <v>0</v>
      </c>
      <c r="CS40" s="89">
        <f>'[1]September - 2021'!CS40</f>
        <v>0</v>
      </c>
      <c r="CT40" s="89">
        <f>'[1]September - 2021'!CU40</f>
        <v>0</v>
      </c>
      <c r="CU40" s="191">
        <f>'[1]September - 2021'!CV40</f>
        <v>0</v>
      </c>
      <c r="CV40" s="520"/>
      <c r="CW40" s="256">
        <f>'[1]September - 2021'!CX40</f>
        <v>0</v>
      </c>
      <c r="CX40" s="198">
        <f>'[1]September - 2021'!CY40</f>
        <v>0</v>
      </c>
      <c r="CY40" s="257">
        <f>'[1]September - 2021'!CZ40</f>
        <v>0</v>
      </c>
      <c r="CZ40" s="198">
        <f>'[1]September - 2021'!DA40</f>
        <v>0</v>
      </c>
      <c r="DA40" s="257">
        <f>'[1]September - 2021'!DB40</f>
        <v>0</v>
      </c>
      <c r="DB40" s="198">
        <f>'[1]September - 2021'!DC40</f>
        <v>0</v>
      </c>
      <c r="DC40" s="257">
        <f>'[1]September - 2021'!DD40</f>
        <v>0</v>
      </c>
      <c r="DD40" s="198">
        <f>'[1]September - 2021'!DE40</f>
        <v>0</v>
      </c>
      <c r="DE40" s="257">
        <f>'[1]September - 2021'!DF40</f>
        <v>0</v>
      </c>
      <c r="DF40" s="198">
        <f>'[1]September - 2021'!DG40</f>
        <v>0</v>
      </c>
      <c r="DG40" s="257">
        <f>'[1]September - 2021'!DH40</f>
        <v>0</v>
      </c>
      <c r="DH40" s="198">
        <f>'[1]September - 2021'!DI40</f>
        <v>0</v>
      </c>
      <c r="DI40" s="257">
        <f>'[1]September - 2021'!DJ40</f>
        <v>0</v>
      </c>
      <c r="DJ40" s="198">
        <f>'[1]September - 2021'!DK40</f>
        <v>0</v>
      </c>
      <c r="DK40" s="257">
        <f>'[1]September - 2021'!DL40</f>
        <v>0</v>
      </c>
      <c r="DL40" s="198">
        <f>'[1]September - 2021'!DM40</f>
        <v>0</v>
      </c>
      <c r="DM40" s="257">
        <f>'[1]September - 2021'!DN40</f>
        <v>0</v>
      </c>
      <c r="DN40" s="198">
        <f>'[1]September - 2021'!DO40</f>
        <v>0</v>
      </c>
      <c r="DO40" s="257">
        <f>'[1]September - 2021'!DP40</f>
        <v>0</v>
      </c>
      <c r="DP40" s="198">
        <f>'[1]September - 2021'!DQ40</f>
        <v>0</v>
      </c>
      <c r="DQ40" s="257">
        <f>'[1]September - 2021'!DR40</f>
        <v>0</v>
      </c>
      <c r="DR40" s="206">
        <f>'[1]September - 2021'!DS40</f>
        <v>0</v>
      </c>
      <c r="DS40" s="536"/>
      <c r="DT40" s="210">
        <f>'[1]September - 2021'!DU40</f>
        <v>0</v>
      </c>
      <c r="DU40" s="221">
        <f>'[1]September - 2021'!DV40</f>
        <v>0</v>
      </c>
      <c r="DV40" s="91">
        <f>'[1]September - 2021'!DW40</f>
        <v>0</v>
      </c>
      <c r="DW40" s="215">
        <f>'[1]September - 2021'!DX40</f>
        <v>0</v>
      </c>
      <c r="DX40" s="91">
        <f>'[1]September - 2021'!DY40</f>
        <v>0</v>
      </c>
      <c r="DY40" s="215">
        <f>'[1]September - 2021'!DZ40</f>
        <v>0</v>
      </c>
      <c r="DZ40" s="91">
        <f>'[1]September - 2021'!EA40</f>
        <v>0</v>
      </c>
      <c r="EA40" s="215">
        <f>'[1]September - 2021'!EB40</f>
        <v>0</v>
      </c>
      <c r="EB40" s="91">
        <f>'[1]September - 2021'!EC40</f>
        <v>0</v>
      </c>
      <c r="EC40" s="215">
        <f>'[1]September - 2021'!ED40</f>
        <v>0</v>
      </c>
      <c r="ED40" s="91">
        <f>'[1]September - 2021'!EG40</f>
        <v>0</v>
      </c>
      <c r="EE40" s="229">
        <f>'[1]September - 2021'!EH40</f>
        <v>0</v>
      </c>
      <c r="EF40" s="583"/>
      <c r="EG40" s="235">
        <f>'[1]September - 2021'!EJ40</f>
        <v>0</v>
      </c>
      <c r="EH40" s="230">
        <f>'[1]September - 2021'!EK40</f>
        <v>0</v>
      </c>
      <c r="EI40" s="90">
        <f>'[1]September - 2021'!EL40</f>
        <v>0</v>
      </c>
      <c r="EJ40" s="230">
        <f>'[1]September - 2021'!EM40</f>
        <v>0</v>
      </c>
      <c r="EK40" s="90">
        <f>'[1]September - 2021'!EN40</f>
        <v>0</v>
      </c>
      <c r="EL40" s="230">
        <f>'[1]September - 2021'!EO40</f>
        <v>0</v>
      </c>
      <c r="EM40" s="90">
        <f>'[1]September - 2021'!EP40</f>
        <v>0</v>
      </c>
      <c r="EN40" s="230">
        <f>'[1]September - 2021'!EQ40</f>
        <v>0</v>
      </c>
      <c r="EO40" s="90">
        <f>'[1]September - 2021'!ER40</f>
        <v>0</v>
      </c>
      <c r="EP40" s="230">
        <f>'[1]September - 2021'!ES40</f>
        <v>0</v>
      </c>
      <c r="EQ40" s="90">
        <f>'[1]September - 2021'!ET40</f>
        <v>0</v>
      </c>
      <c r="ER40" s="230">
        <f>'[1]September - 2021'!EU40</f>
        <v>0</v>
      </c>
      <c r="ES40" s="559"/>
      <c r="ET40" s="284">
        <f>'[1]September - 2021'!EW40</f>
        <v>0</v>
      </c>
      <c r="EU40" s="278">
        <f>'[1]September - 2021'!EX40</f>
        <v>0</v>
      </c>
      <c r="EV40" s="285">
        <f>'[1]September - 2021'!EY40</f>
        <v>0</v>
      </c>
      <c r="EW40" s="278">
        <f>'[1]September - 2021'!EZ40</f>
        <v>0</v>
      </c>
      <c r="EX40" s="285">
        <f>'[1]September - 2021'!FA40</f>
        <v>0</v>
      </c>
      <c r="EY40" s="278">
        <f>'[1]September - 2021'!FB40</f>
        <v>0</v>
      </c>
      <c r="EZ40" s="285">
        <f>'[1]September - 2021'!FC40</f>
        <v>0</v>
      </c>
      <c r="FA40" s="278">
        <f>'[1]September - 2021'!FD40</f>
        <v>0</v>
      </c>
      <c r="FB40" s="285">
        <f>'[1]September - 2021'!FE40</f>
        <v>0</v>
      </c>
      <c r="FC40" s="279">
        <f>'[1]September - 2021'!FF40</f>
        <v>0</v>
      </c>
    </row>
    <row r="41" spans="1:160" s="29" customFormat="1" ht="14.25" customHeight="1" thickBot="1" x14ac:dyDescent="0.35">
      <c r="A41" s="430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2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1"/>
      <c r="AU41" s="431"/>
      <c r="AV41" s="431"/>
      <c r="AW41" s="431"/>
      <c r="AX41" s="431"/>
      <c r="AY41" s="433"/>
      <c r="AZ41" s="431"/>
      <c r="BA41" s="43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4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520"/>
      <c r="CW41" s="522"/>
      <c r="CX41" s="522"/>
      <c r="CY41" s="522"/>
      <c r="CZ41" s="522"/>
      <c r="DA41" s="522"/>
      <c r="DB41" s="522"/>
      <c r="DC41" s="522"/>
      <c r="DD41" s="522"/>
      <c r="DE41" s="522"/>
      <c r="DF41" s="522"/>
      <c r="DG41" s="522"/>
      <c r="DH41" s="522"/>
      <c r="DI41" s="522"/>
      <c r="DJ41" s="522"/>
      <c r="DK41" s="522"/>
      <c r="DL41" s="522"/>
      <c r="DM41" s="522"/>
      <c r="DN41" s="522"/>
      <c r="DO41" s="522"/>
      <c r="DP41" s="522"/>
      <c r="DQ41" s="522"/>
      <c r="DR41" s="523"/>
      <c r="DS41" s="537"/>
      <c r="DT41" s="538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  <c r="EE41" s="540"/>
      <c r="EF41" s="584"/>
      <c r="EG41" s="565"/>
      <c r="EH41" s="565"/>
      <c r="EI41" s="565"/>
      <c r="EJ41" s="565"/>
      <c r="EK41" s="565"/>
      <c r="EL41" s="565"/>
      <c r="EM41" s="565"/>
      <c r="EN41" s="565"/>
      <c r="EO41" s="565"/>
      <c r="EP41" s="565"/>
      <c r="EQ41" s="565"/>
      <c r="ER41" s="565"/>
      <c r="ES41" s="559"/>
      <c r="ET41" s="566"/>
      <c r="EU41" s="566"/>
      <c r="EV41" s="566"/>
      <c r="EW41" s="566"/>
      <c r="EX41" s="566"/>
      <c r="EY41" s="566"/>
      <c r="EZ41" s="566"/>
      <c r="FA41" s="566"/>
      <c r="FB41" s="566"/>
      <c r="FC41" s="566"/>
      <c r="FD41" s="28"/>
    </row>
    <row r="42" spans="1:160" ht="28.5" customHeight="1" thickBot="1" x14ac:dyDescent="0.35">
      <c r="A42" s="410" t="s">
        <v>132</v>
      </c>
      <c r="B42" s="411"/>
      <c r="C42" s="411"/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2"/>
      <c r="T42" s="413"/>
      <c r="U42" s="416" t="s">
        <v>106</v>
      </c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7"/>
      <c r="AZ42" s="418" t="s">
        <v>133</v>
      </c>
      <c r="BA42" s="419"/>
      <c r="BB42" s="419"/>
      <c r="BC42" s="419"/>
      <c r="BD42" s="419"/>
      <c r="BE42" s="419"/>
      <c r="BF42" s="419"/>
      <c r="BG42" s="419"/>
      <c r="BH42" s="420"/>
      <c r="BI42" s="421"/>
      <c r="BJ42" s="422"/>
      <c r="BK42" s="422"/>
      <c r="BL42" s="422"/>
      <c r="BM42" s="422"/>
      <c r="BN42" s="422"/>
      <c r="BO42" s="422"/>
      <c r="BP42" s="422"/>
      <c r="BQ42" s="422"/>
      <c r="BR42" s="423"/>
      <c r="BS42" s="424" t="s">
        <v>134</v>
      </c>
      <c r="BT42" s="425"/>
      <c r="BU42" s="30"/>
      <c r="BV42" s="577" t="s">
        <v>107</v>
      </c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78"/>
      <c r="CI42" s="578"/>
      <c r="CJ42" s="578"/>
      <c r="CK42" s="578"/>
      <c r="CL42" s="578"/>
      <c r="CM42" s="578"/>
      <c r="CN42" s="578"/>
      <c r="CO42" s="578"/>
      <c r="CP42" s="578"/>
      <c r="CQ42" s="578"/>
      <c r="CR42" s="578"/>
      <c r="CS42" s="578"/>
      <c r="CT42" s="578"/>
      <c r="CU42" s="579"/>
      <c r="CV42" s="520"/>
      <c r="CW42" s="426"/>
      <c r="CX42" s="427"/>
      <c r="CY42" s="427"/>
      <c r="CZ42" s="427"/>
      <c r="DA42" s="427"/>
      <c r="DB42" s="427"/>
      <c r="DC42" s="427"/>
      <c r="DD42" s="427"/>
      <c r="DE42" s="427"/>
      <c r="DF42" s="427"/>
      <c r="DG42" s="427"/>
      <c r="DH42" s="427"/>
      <c r="DI42" s="427"/>
      <c r="DJ42" s="427"/>
      <c r="DK42" s="427"/>
      <c r="DL42" s="427"/>
      <c r="DM42" s="427"/>
      <c r="DN42" s="427"/>
      <c r="DO42" s="427"/>
      <c r="DP42" s="427"/>
      <c r="DQ42" s="427"/>
      <c r="DR42" s="428"/>
      <c r="DS42" s="5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9" t="s">
        <v>31</v>
      </c>
      <c r="B43" s="429"/>
      <c r="C43" s="387" t="s">
        <v>32</v>
      </c>
      <c r="D43" s="387"/>
      <c r="E43" s="388"/>
      <c r="F43" s="386" t="s">
        <v>33</v>
      </c>
      <c r="G43" s="387"/>
      <c r="H43" s="388"/>
      <c r="I43" s="392" t="s">
        <v>34</v>
      </c>
      <c r="J43" s="392"/>
      <c r="K43" s="392" t="s">
        <v>35</v>
      </c>
      <c r="L43" s="392"/>
      <c r="M43" s="392"/>
      <c r="N43" s="392"/>
      <c r="O43" s="386" t="s">
        <v>135</v>
      </c>
      <c r="P43" s="387"/>
      <c r="Q43" s="387"/>
      <c r="R43" s="387"/>
      <c r="S43" s="387"/>
      <c r="T43" s="414"/>
      <c r="U43" s="386" t="s">
        <v>36</v>
      </c>
      <c r="V43" s="387"/>
      <c r="W43" s="388"/>
      <c r="X43" s="386" t="s">
        <v>37</v>
      </c>
      <c r="Y43" s="387"/>
      <c r="Z43" s="388"/>
      <c r="AA43" s="386" t="s">
        <v>38</v>
      </c>
      <c r="AB43" s="387"/>
      <c r="AC43" s="388"/>
      <c r="AD43" s="386" t="s">
        <v>39</v>
      </c>
      <c r="AE43" s="387"/>
      <c r="AF43" s="388"/>
      <c r="AG43" s="386" t="s">
        <v>40</v>
      </c>
      <c r="AH43" s="387"/>
      <c r="AI43" s="388"/>
      <c r="AJ43" s="386" t="s">
        <v>41</v>
      </c>
      <c r="AK43" s="387"/>
      <c r="AL43" s="388"/>
      <c r="AM43" s="386" t="s">
        <v>42</v>
      </c>
      <c r="AN43" s="387"/>
      <c r="AO43" s="388"/>
      <c r="AP43" s="386" t="s">
        <v>43</v>
      </c>
      <c r="AQ43" s="387"/>
      <c r="AR43" s="388"/>
      <c r="AS43" s="386" t="s">
        <v>44</v>
      </c>
      <c r="AT43" s="387"/>
      <c r="AU43" s="388"/>
      <c r="AV43" s="386" t="s">
        <v>45</v>
      </c>
      <c r="AW43" s="387"/>
      <c r="AX43" s="387"/>
      <c r="AY43" s="389"/>
      <c r="AZ43" s="580" t="s">
        <v>136</v>
      </c>
      <c r="BA43" s="581"/>
      <c r="BB43" s="581"/>
      <c r="BC43" s="581" t="s">
        <v>137</v>
      </c>
      <c r="BD43" s="581"/>
      <c r="BE43" s="581"/>
      <c r="BF43" s="581" t="s">
        <v>138</v>
      </c>
      <c r="BG43" s="581"/>
      <c r="BH43" s="581"/>
      <c r="BI43" s="390"/>
      <c r="BJ43" s="391"/>
      <c r="BK43" s="390"/>
      <c r="BL43" s="391"/>
      <c r="BM43" s="390"/>
      <c r="BN43" s="391"/>
      <c r="BO43" s="390"/>
      <c r="BP43" s="391"/>
      <c r="BQ43" s="390"/>
      <c r="BR43" s="391"/>
      <c r="BS43" s="390" t="s">
        <v>139</v>
      </c>
      <c r="BT43" s="391"/>
      <c r="BU43" s="396"/>
      <c r="BV43" s="397" t="s">
        <v>13</v>
      </c>
      <c r="BW43" s="398"/>
      <c r="BX43" s="95"/>
      <c r="BY43" s="399" t="s">
        <v>122</v>
      </c>
      <c r="BZ43" s="399"/>
      <c r="CA43" s="394" t="s">
        <v>123</v>
      </c>
      <c r="CB43" s="395"/>
      <c r="CC43" s="394" t="s">
        <v>124</v>
      </c>
      <c r="CD43" s="395"/>
      <c r="CE43" s="394" t="s">
        <v>125</v>
      </c>
      <c r="CF43" s="395"/>
      <c r="CG43" s="394" t="s">
        <v>126</v>
      </c>
      <c r="CH43" s="395"/>
      <c r="CI43" s="394" t="s">
        <v>127</v>
      </c>
      <c r="CJ43" s="395"/>
      <c r="CK43" s="405" t="s">
        <v>14</v>
      </c>
      <c r="CL43" s="406"/>
      <c r="CM43" s="407"/>
      <c r="CN43" s="402" t="s">
        <v>15</v>
      </c>
      <c r="CO43" s="403"/>
      <c r="CP43" s="404"/>
      <c r="CQ43" s="405" t="s">
        <v>140</v>
      </c>
      <c r="CR43" s="406"/>
      <c r="CS43" s="407"/>
      <c r="CT43" s="377" t="s">
        <v>141</v>
      </c>
      <c r="CU43" s="378"/>
      <c r="CV43" s="52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5" t="s">
        <v>142</v>
      </c>
      <c r="B44" s="435"/>
      <c r="C44" s="436">
        <f>SUM(E9:E24)</f>
        <v>8760</v>
      </c>
      <c r="D44" s="437"/>
      <c r="E44" s="438"/>
      <c r="F44" s="439">
        <f>SUM(H9:H24)</f>
        <v>4210</v>
      </c>
      <c r="G44" s="440"/>
      <c r="H44" s="441"/>
      <c r="I44" s="439"/>
      <c r="J44" s="441"/>
      <c r="K44" s="442"/>
      <c r="L44" s="443"/>
      <c r="M44" s="444"/>
      <c r="N44" s="444"/>
      <c r="O44" s="439">
        <f>SUM(Q9:Q24)</f>
        <v>2649</v>
      </c>
      <c r="P44" s="440"/>
      <c r="Q44" s="441"/>
      <c r="R44" s="445"/>
      <c r="S44" s="446"/>
      <c r="T44" s="414"/>
      <c r="U44" s="383">
        <f>SUM(W9:W24)</f>
        <v>39024.719999999739</v>
      </c>
      <c r="V44" s="384"/>
      <c r="W44" s="385"/>
      <c r="X44" s="383">
        <f>SUM(Z9:Z24)</f>
        <v>69669.599999999627</v>
      </c>
      <c r="Y44" s="384"/>
      <c r="Z44" s="385"/>
      <c r="AA44" s="383">
        <f>SUM(AC9:AC24)</f>
        <v>162481.19999999925</v>
      </c>
      <c r="AB44" s="384"/>
      <c r="AC44" s="385"/>
      <c r="AD44" s="383">
        <f>SUM(AF9:AF24)</f>
        <v>106209.60000000149</v>
      </c>
      <c r="AE44" s="384"/>
      <c r="AF44" s="385"/>
      <c r="AG44" s="383">
        <f>SUM(AI9:AI24)</f>
        <v>136269.83999999799</v>
      </c>
      <c r="AH44" s="384"/>
      <c r="AI44" s="385"/>
      <c r="AJ44" s="383">
        <f>SUM(AL9:AL24)</f>
        <v>82970.160000000149</v>
      </c>
      <c r="AK44" s="384"/>
      <c r="AL44" s="385"/>
      <c r="AM44" s="383">
        <f>SUM(AO9:AO24)</f>
        <v>67184.879999998957</v>
      </c>
      <c r="AN44" s="384"/>
      <c r="AO44" s="385"/>
      <c r="AP44" s="383">
        <f>SUM(AR9:AR24)</f>
        <v>59389.680000001565</v>
      </c>
      <c r="AQ44" s="384"/>
      <c r="AR44" s="385"/>
      <c r="AS44" s="383">
        <f>SUM(AU9:AU24)</f>
        <v>44481.359999999404</v>
      </c>
      <c r="AT44" s="384"/>
      <c r="AU44" s="385"/>
      <c r="AV44" s="383">
        <f>SUM(AX9:AX24)</f>
        <v>97781.040000000969</v>
      </c>
      <c r="AW44" s="384"/>
      <c r="AX44" s="384"/>
      <c r="AY44" s="389"/>
      <c r="AZ44" s="384">
        <f>SUM(BB9:BB24)</f>
        <v>782000</v>
      </c>
      <c r="BA44" s="384"/>
      <c r="BB44" s="384"/>
      <c r="BC44" s="383">
        <f>SUM(BE9:BE24)</f>
        <v>468200</v>
      </c>
      <c r="BD44" s="384"/>
      <c r="BE44" s="384"/>
      <c r="BF44" s="379">
        <f>SUM(BH9:BH24)</f>
        <v>566600</v>
      </c>
      <c r="BG44" s="379"/>
      <c r="BH44" s="37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9">
        <f>SUM(CM9:CM24)</f>
        <v>1388</v>
      </c>
      <c r="CL44" s="379"/>
      <c r="CM44" s="379"/>
      <c r="CN44" s="379">
        <f>SUM(CP9:CP24)</f>
        <v>1049</v>
      </c>
      <c r="CO44" s="379"/>
      <c r="CP44" s="379"/>
      <c r="CQ44" s="379">
        <f>SUM(CS9:CS24)</f>
        <v>0</v>
      </c>
      <c r="CR44" s="379"/>
      <c r="CS44" s="379"/>
      <c r="CT44" s="100"/>
      <c r="CU44" s="196"/>
      <c r="CV44" s="52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6" t="s">
        <v>143</v>
      </c>
      <c r="B45" s="596"/>
      <c r="C45" s="597">
        <f>SUM(D9:D24)</f>
        <v>11459</v>
      </c>
      <c r="D45" s="597"/>
      <c r="E45" s="598"/>
      <c r="F45" s="597">
        <f>SUM(G9:G24)</f>
        <v>4192</v>
      </c>
      <c r="G45" s="597"/>
      <c r="H45" s="598"/>
      <c r="I45" s="599"/>
      <c r="J45" s="599"/>
      <c r="K45" s="599"/>
      <c r="L45" s="599"/>
      <c r="M45" s="599"/>
      <c r="N45" s="599"/>
      <c r="O45" s="597">
        <f>SUM(P9:P24)</f>
        <v>4038.6600000000035</v>
      </c>
      <c r="P45" s="597"/>
      <c r="Q45" s="598"/>
      <c r="R45" s="600"/>
      <c r="S45" s="601"/>
      <c r="T45" s="415"/>
      <c r="U45" s="368">
        <f>SUM(V9:V24)</f>
        <v>39024.719999999739</v>
      </c>
      <c r="V45" s="368"/>
      <c r="W45" s="369"/>
      <c r="X45" s="368">
        <f>SUM(Y9:Y24)</f>
        <v>69669.599999999627</v>
      </c>
      <c r="Y45" s="368"/>
      <c r="Z45" s="369"/>
      <c r="AA45" s="368">
        <f>SUM(AB9:AB24)</f>
        <v>162481.19999999925</v>
      </c>
      <c r="AB45" s="368"/>
      <c r="AC45" s="369"/>
      <c r="AD45" s="368">
        <f>SUM(AE9:AE24)</f>
        <v>106209.60000000149</v>
      </c>
      <c r="AE45" s="368"/>
      <c r="AF45" s="369"/>
      <c r="AG45" s="368">
        <f>SUM(AH9:AH24)</f>
        <v>136269.83999999799</v>
      </c>
      <c r="AH45" s="368"/>
      <c r="AI45" s="369"/>
      <c r="AJ45" s="368">
        <f>SUM(AK9:AK24)</f>
        <v>82970.160000000149</v>
      </c>
      <c r="AK45" s="368"/>
      <c r="AL45" s="369"/>
      <c r="AM45" s="368">
        <f>SUM(AN9:AN24)</f>
        <v>67184.879999998957</v>
      </c>
      <c r="AN45" s="368"/>
      <c r="AO45" s="369"/>
      <c r="AP45" s="368">
        <f>SUM(AQ9:AQ24)</f>
        <v>59389.680000001565</v>
      </c>
      <c r="AQ45" s="368"/>
      <c r="AR45" s="369"/>
      <c r="AS45" s="368">
        <f>SUM(AT9:AT24)</f>
        <v>44481.359999999404</v>
      </c>
      <c r="AT45" s="368"/>
      <c r="AU45" s="369"/>
      <c r="AV45" s="368">
        <f>SUM(AW9:AW24)</f>
        <v>97781.040000000969</v>
      </c>
      <c r="AW45" s="368"/>
      <c r="AX45" s="368"/>
      <c r="AY45" s="389"/>
      <c r="AZ45" s="369">
        <f>SUM(BA9:BA24)</f>
        <v>782000</v>
      </c>
      <c r="BA45" s="379"/>
      <c r="BB45" s="379"/>
      <c r="BC45" s="379">
        <f>SUM(BD9:BD24)</f>
        <v>468200</v>
      </c>
      <c r="BD45" s="379"/>
      <c r="BE45" s="379"/>
      <c r="BF45" s="379">
        <f>SUM(BG9:BG24)</f>
        <v>566600</v>
      </c>
      <c r="BG45" s="379"/>
      <c r="BH45" s="37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9">
        <f>SUM(CL9:CL24)</f>
        <v>1388</v>
      </c>
      <c r="CL45" s="379"/>
      <c r="CM45" s="379"/>
      <c r="CN45" s="379">
        <f>SUM(CO9:CO24)</f>
        <v>1049</v>
      </c>
      <c r="CO45" s="379"/>
      <c r="CP45" s="379"/>
      <c r="CQ45" s="379">
        <f>SUM(CR9:CR24)</f>
        <v>0</v>
      </c>
      <c r="CR45" s="379"/>
      <c r="CS45" s="379"/>
      <c r="CT45" s="105"/>
      <c r="CU45" s="197"/>
      <c r="CV45" s="52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7"/>
      <c r="DT45" s="380" t="s">
        <v>104</v>
      </c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2"/>
      <c r="EK45" s="393"/>
      <c r="EL45" s="393"/>
      <c r="EM45" s="393"/>
      <c r="EN45" s="393"/>
      <c r="EO45" s="393"/>
      <c r="EP45" s="393"/>
      <c r="EQ45" s="393"/>
      <c r="ER45" s="39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9"/>
      <c r="AZ46" s="408">
        <f>AZ44-AZ45</f>
        <v>0</v>
      </c>
      <c r="BA46" s="409"/>
      <c r="BB46" s="409"/>
      <c r="BC46" s="408">
        <f>BC45-BC44</f>
        <v>0</v>
      </c>
      <c r="BD46" s="409"/>
      <c r="BE46" s="409"/>
      <c r="BF46" s="408">
        <f>BF45-BF44</f>
        <v>0</v>
      </c>
      <c r="BG46" s="409"/>
      <c r="BH46" s="40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6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1"/>
      <c r="CV46" s="520"/>
    </row>
    <row r="47" spans="1:160" ht="33.75" customHeight="1" x14ac:dyDescent="0.25">
      <c r="A47" s="376" t="s">
        <v>144</v>
      </c>
      <c r="B47" s="376"/>
      <c r="C47" s="364">
        <f>SUM(E9:E39)</f>
        <v>18813</v>
      </c>
      <c r="D47" s="365"/>
      <c r="E47" s="366"/>
      <c r="F47" s="364">
        <f>SUM(H9:H39)</f>
        <v>8860</v>
      </c>
      <c r="G47" s="365"/>
      <c r="H47" s="366"/>
      <c r="I47" s="370">
        <v>7048.9</v>
      </c>
      <c r="J47" s="370"/>
      <c r="K47" s="370">
        <v>7702.2000000000116</v>
      </c>
      <c r="L47" s="370"/>
      <c r="M47" s="370"/>
      <c r="N47" s="370"/>
      <c r="O47" s="370">
        <f>SUM(Q9:Q39)</f>
        <v>5035</v>
      </c>
      <c r="P47" s="370"/>
      <c r="Q47" s="370"/>
      <c r="R47" s="364">
        <v>476</v>
      </c>
      <c r="S47" s="365"/>
      <c r="T47" s="371"/>
      <c r="U47" s="367">
        <f>SUM(W9:W39)</f>
        <v>-6885841.2000000002</v>
      </c>
      <c r="V47" s="368"/>
      <c r="W47" s="369"/>
      <c r="X47" s="367">
        <f>SUM(Z9:Z39)</f>
        <v>-13279902.719999999</v>
      </c>
      <c r="Y47" s="368"/>
      <c r="Z47" s="369"/>
      <c r="AA47" s="367">
        <f>SUM(AC9:AC39)</f>
        <v>-13037423.280000001</v>
      </c>
      <c r="AB47" s="368"/>
      <c r="AC47" s="369"/>
      <c r="AD47" s="367">
        <f>SUM(AF9:AF39)</f>
        <v>-16072435.68</v>
      </c>
      <c r="AE47" s="368"/>
      <c r="AF47" s="369"/>
      <c r="AG47" s="367">
        <f>SUM(AI9:AI39)</f>
        <v>-16436568.960000001</v>
      </c>
      <c r="AH47" s="368"/>
      <c r="AI47" s="369"/>
      <c r="AJ47" s="367">
        <f>SUM(AL9:AL39)</f>
        <v>-14899355.52</v>
      </c>
      <c r="AK47" s="368"/>
      <c r="AL47" s="369"/>
      <c r="AM47" s="367">
        <f>SUM(AO9:AO39)</f>
        <v>-12710901.84</v>
      </c>
      <c r="AN47" s="368"/>
      <c r="AO47" s="369"/>
      <c r="AP47" s="367">
        <f>SUM(AR9:AR39)</f>
        <v>-12247866.959999999</v>
      </c>
      <c r="AQ47" s="368"/>
      <c r="AR47" s="369"/>
      <c r="AS47" s="367">
        <f>SUM(AU9:AU39)</f>
        <v>-9772208.8800000008</v>
      </c>
      <c r="AT47" s="368"/>
      <c r="AU47" s="369"/>
      <c r="AV47" s="367">
        <f>SUM(AX9:AX39)</f>
        <v>-15050679.84</v>
      </c>
      <c r="AW47" s="368"/>
      <c r="AX47" s="368"/>
      <c r="AY47" s="389"/>
      <c r="AZ47" s="352">
        <v>347300</v>
      </c>
      <c r="BA47" s="352"/>
      <c r="BB47" s="353"/>
      <c r="BC47" s="354">
        <v>361100</v>
      </c>
      <c r="BD47" s="352"/>
      <c r="BE47" s="353"/>
      <c r="BF47" s="354">
        <v>558842</v>
      </c>
      <c r="BG47" s="352"/>
      <c r="BH47" s="35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5">
        <v>131110</v>
      </c>
      <c r="BT47" s="606"/>
      <c r="BU47" s="396"/>
      <c r="BV47" s="607"/>
      <c r="BW47" s="607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67">
        <f>SUM(CM9:CM39)</f>
        <v>-224565</v>
      </c>
      <c r="CL47" s="368"/>
      <c r="CM47" s="369"/>
      <c r="CN47" s="367">
        <f>SUM(CP9:CP39)</f>
        <v>-170936</v>
      </c>
      <c r="CO47" s="368"/>
      <c r="CP47" s="369"/>
      <c r="CQ47" s="367">
        <f>SUM(CS9:CS39)</f>
        <v>-308195</v>
      </c>
      <c r="CR47" s="368"/>
      <c r="CS47" s="369"/>
      <c r="CT47" s="602">
        <v>3894</v>
      </c>
      <c r="CU47" s="603"/>
      <c r="CV47" s="520"/>
      <c r="DJ47" s="4">
        <v>487.2</v>
      </c>
    </row>
    <row r="48" spans="1:160" ht="30" customHeight="1" x14ac:dyDescent="0.25">
      <c r="A48" s="343" t="s">
        <v>145</v>
      </c>
      <c r="B48" s="343"/>
      <c r="C48" s="364">
        <f>SUM(D10:D39)</f>
        <v>-848589</v>
      </c>
      <c r="D48" s="365"/>
      <c r="E48" s="366"/>
      <c r="F48" s="364">
        <f>SUM(G9:G39)</f>
        <v>-51809</v>
      </c>
      <c r="G48" s="365"/>
      <c r="H48" s="366"/>
      <c r="I48" s="364">
        <f>SUM(J10:J39)</f>
        <v>-164625</v>
      </c>
      <c r="J48" s="366"/>
      <c r="K48" s="364">
        <f>SUM(L9:L39)</f>
        <v>-788173</v>
      </c>
      <c r="L48" s="366"/>
      <c r="M48" s="364"/>
      <c r="N48" s="366"/>
      <c r="O48" s="364">
        <f>SUM(P9:P39)</f>
        <v>-33875</v>
      </c>
      <c r="P48" s="365"/>
      <c r="Q48" s="366"/>
      <c r="R48" s="364">
        <f>SUM(S9:S39)</f>
        <v>-938</v>
      </c>
      <c r="S48" s="365"/>
      <c r="T48" s="371"/>
      <c r="U48" s="372">
        <f>SUM(V9:V39)</f>
        <v>-6885841.2000000002</v>
      </c>
      <c r="V48" s="373"/>
      <c r="W48" s="374"/>
      <c r="X48" s="372">
        <f>SUM(Y9:Y39)</f>
        <v>-13279902.719999999</v>
      </c>
      <c r="Y48" s="373"/>
      <c r="Z48" s="374"/>
      <c r="AA48" s="361">
        <f>SUM(AB9:AB39)</f>
        <v>-13037423.280000001</v>
      </c>
      <c r="AB48" s="362"/>
      <c r="AC48" s="363"/>
      <c r="AD48" s="361">
        <f>SUM(AE9:AE39)</f>
        <v>-16072435.68</v>
      </c>
      <c r="AE48" s="362"/>
      <c r="AF48" s="363"/>
      <c r="AG48" s="361">
        <f>SUM(AH9:AH39)</f>
        <v>-16436568.960000001</v>
      </c>
      <c r="AH48" s="362"/>
      <c r="AI48" s="363"/>
      <c r="AJ48" s="361">
        <f>SUM(AK9:AK39)</f>
        <v>-14899355.52</v>
      </c>
      <c r="AK48" s="362"/>
      <c r="AL48" s="363"/>
      <c r="AM48" s="361">
        <f>SUM(AN9:AN39)</f>
        <v>-12710901.84</v>
      </c>
      <c r="AN48" s="362"/>
      <c r="AO48" s="363"/>
      <c r="AP48" s="361">
        <f>SUM(AQ9:AQ39)</f>
        <v>-12247866.959999999</v>
      </c>
      <c r="AQ48" s="362"/>
      <c r="AR48" s="363"/>
      <c r="AS48" s="361">
        <f>SUM(AT9:AT39)</f>
        <v>-9772208.8800000008</v>
      </c>
      <c r="AT48" s="362"/>
      <c r="AU48" s="363"/>
      <c r="AV48" s="361">
        <f>SUM(AW9:AW39)</f>
        <v>-15050679.84</v>
      </c>
      <c r="AW48" s="362"/>
      <c r="AX48" s="362"/>
      <c r="AY48" s="389"/>
      <c r="AZ48" s="352">
        <f>SUM(BA9:BA40)</f>
        <v>-64792000</v>
      </c>
      <c r="BA48" s="352"/>
      <c r="BB48" s="353"/>
      <c r="BC48" s="352">
        <f t="shared" ref="BC48" si="0">SUM(BD9:BD40)</f>
        <v>-67422300</v>
      </c>
      <c r="BD48" s="352"/>
      <c r="BE48" s="353"/>
      <c r="BF48" s="352">
        <f t="shared" ref="BF48" si="1">SUM(BG9:BG40)</f>
        <v>-62099800</v>
      </c>
      <c r="BG48" s="352"/>
      <c r="BH48" s="35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4">
        <f>SUM(BT9:BT39)</f>
        <v>-7032340</v>
      </c>
      <c r="BT48" s="604"/>
      <c r="BU48" s="396"/>
      <c r="BV48" s="608"/>
      <c r="BW48" s="609"/>
      <c r="BX48" s="117"/>
      <c r="BY48" s="349">
        <f>SUM(BZ9:BZ39)</f>
        <v>-55249</v>
      </c>
      <c r="BZ48" s="350"/>
      <c r="CA48" s="349">
        <f>SUM(CB9:CB39)</f>
        <v>-46769</v>
      </c>
      <c r="CB48" s="350"/>
      <c r="CC48" s="349">
        <f>SUM(CD9:CD39)</f>
        <v>-16161</v>
      </c>
      <c r="CD48" s="350"/>
      <c r="CE48" s="349">
        <f>SUM(CF9:CF39)</f>
        <v>-21026</v>
      </c>
      <c r="CF48" s="350"/>
      <c r="CG48" s="349">
        <f>SUM(CH9:CH39)</f>
        <v>-22787</v>
      </c>
      <c r="CH48" s="350"/>
      <c r="CI48" s="349">
        <f>SUM(CJ9:CJ39)</f>
        <v>-50815</v>
      </c>
      <c r="CJ48" s="350"/>
      <c r="CK48" s="349">
        <f>SUM(CL9:CL39)</f>
        <v>-224565</v>
      </c>
      <c r="CL48" s="351"/>
      <c r="CM48" s="350"/>
      <c r="CN48" s="349">
        <f>SUM(CO9:CO39)</f>
        <v>-170936</v>
      </c>
      <c r="CO48" s="351"/>
      <c r="CP48" s="350"/>
      <c r="CQ48" s="349">
        <f>SUM(CR9:CR39)</f>
        <v>-308195</v>
      </c>
      <c r="CR48" s="351"/>
      <c r="CS48" s="350"/>
      <c r="CT48" s="349">
        <f>SUM(CU9:CU39)</f>
        <v>-597754</v>
      </c>
      <c r="CU48" s="351"/>
      <c r="CV48" s="520"/>
    </row>
    <row r="49" spans="1:159" ht="30" customHeight="1" x14ac:dyDescent="0.25">
      <c r="A49" s="610" t="s">
        <v>46</v>
      </c>
      <c r="B49" s="610"/>
      <c r="C49" s="344">
        <f>C47-C48</f>
        <v>867402</v>
      </c>
      <c r="D49" s="345"/>
      <c r="E49" s="360"/>
      <c r="F49" s="344">
        <f>F47-F48</f>
        <v>60669</v>
      </c>
      <c r="G49" s="345"/>
      <c r="H49" s="360"/>
      <c r="I49" s="344">
        <f>I47-I48</f>
        <v>171673.9</v>
      </c>
      <c r="J49" s="360"/>
      <c r="K49" s="344">
        <f>K47-K48</f>
        <v>795875.2</v>
      </c>
      <c r="L49" s="360"/>
      <c r="M49" s="344"/>
      <c r="N49" s="360"/>
      <c r="O49" s="375">
        <f>O47-O48</f>
        <v>38910</v>
      </c>
      <c r="P49" s="375"/>
      <c r="Q49" s="375"/>
      <c r="R49" s="344">
        <f>R47-R48</f>
        <v>1414</v>
      </c>
      <c r="S49" s="345"/>
      <c r="T49" s="371"/>
      <c r="U49" s="346">
        <f>U48-U47</f>
        <v>0</v>
      </c>
      <c r="V49" s="347"/>
      <c r="W49" s="348"/>
      <c r="X49" s="346">
        <f>X47-X48</f>
        <v>0</v>
      </c>
      <c r="Y49" s="347"/>
      <c r="Z49" s="348"/>
      <c r="AA49" s="346">
        <f>AA47-AA48</f>
        <v>0</v>
      </c>
      <c r="AB49" s="347"/>
      <c r="AC49" s="348"/>
      <c r="AD49" s="346">
        <f>AD47-AD48</f>
        <v>0</v>
      </c>
      <c r="AE49" s="347"/>
      <c r="AF49" s="348"/>
      <c r="AG49" s="346">
        <f>AG47-AG48</f>
        <v>0</v>
      </c>
      <c r="AH49" s="347"/>
      <c r="AI49" s="348"/>
      <c r="AJ49" s="346">
        <f>AJ47-AJ48</f>
        <v>0</v>
      </c>
      <c r="AK49" s="347"/>
      <c r="AL49" s="348"/>
      <c r="AM49" s="346">
        <f>AM47-AM48</f>
        <v>0</v>
      </c>
      <c r="AN49" s="347"/>
      <c r="AO49" s="348"/>
      <c r="AP49" s="346">
        <f>AP47-AP48</f>
        <v>0</v>
      </c>
      <c r="AQ49" s="347"/>
      <c r="AR49" s="348"/>
      <c r="AS49" s="346">
        <f>AS47-AS48</f>
        <v>0</v>
      </c>
      <c r="AT49" s="347"/>
      <c r="AU49" s="348"/>
      <c r="AV49" s="346">
        <f>AV47-AV48</f>
        <v>0</v>
      </c>
      <c r="AW49" s="347"/>
      <c r="AX49" s="347"/>
      <c r="AY49" s="389"/>
      <c r="AZ49" s="352">
        <f>AZ48-AZ47</f>
        <v>-65139300</v>
      </c>
      <c r="BA49" s="352"/>
      <c r="BB49" s="353"/>
      <c r="BC49" s="352">
        <f t="shared" ref="BC49" si="2">BC48-BC47</f>
        <v>-67783400</v>
      </c>
      <c r="BD49" s="352"/>
      <c r="BE49" s="353"/>
      <c r="BF49" s="352">
        <f t="shared" ref="BF49" si="3">BF48-BF47</f>
        <v>-62658642</v>
      </c>
      <c r="BG49" s="352"/>
      <c r="BH49" s="35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4"/>
      <c r="BT49" s="353"/>
      <c r="BU49" s="396"/>
      <c r="BV49" s="355"/>
      <c r="BW49" s="35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7">
        <f>CK47-CK48</f>
        <v>0</v>
      </c>
      <c r="CL49" s="358"/>
      <c r="CM49" s="359"/>
      <c r="CN49" s="357">
        <f>CN47-CN48</f>
        <v>0</v>
      </c>
      <c r="CO49" s="358"/>
      <c r="CP49" s="359"/>
      <c r="CQ49" s="357">
        <f>CQ47-CQ48</f>
        <v>0</v>
      </c>
      <c r="CR49" s="358"/>
      <c r="CS49" s="359"/>
      <c r="CT49" s="611">
        <f>CT47-CT48</f>
        <v>601648</v>
      </c>
      <c r="CU49" s="357"/>
      <c r="CV49" s="520"/>
    </row>
    <row r="50" spans="1:159" ht="31.5" customHeight="1" thickBot="1" x14ac:dyDescent="0.3">
      <c r="A50" s="612" t="s">
        <v>146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3" t="s">
        <v>147</v>
      </c>
      <c r="V50" s="614"/>
      <c r="W50" s="614"/>
      <c r="X50" s="614"/>
      <c r="Y50" s="614"/>
      <c r="Z50" s="615"/>
      <c r="AA50" s="332">
        <f>SUM(U47,X47,AA47,AD47,AG47,AJ47,AM47,AP47,AS47,AV47)</f>
        <v>-130393184.88</v>
      </c>
      <c r="AB50" s="333"/>
      <c r="AC50" s="333"/>
      <c r="AD50" s="333"/>
      <c r="AE50" s="333"/>
      <c r="AF50" s="334"/>
      <c r="AG50" s="616" t="s">
        <v>148</v>
      </c>
      <c r="AH50" s="617"/>
      <c r="AI50" s="617"/>
      <c r="AJ50" s="617"/>
      <c r="AK50" s="617"/>
      <c r="AL50" s="618"/>
      <c r="AM50" s="619">
        <f>SUM(U48,X48,AA48,AD48,AG48,AJ48,AM48,AP48,AS48,AV48)</f>
        <v>-130393184.88</v>
      </c>
      <c r="AN50" s="620"/>
      <c r="AO50" s="620"/>
      <c r="AP50" s="620"/>
      <c r="AQ50" s="620"/>
      <c r="AR50" s="621"/>
      <c r="AS50" s="339" t="s">
        <v>149</v>
      </c>
      <c r="AT50" s="340"/>
      <c r="AU50" s="341"/>
      <c r="AV50" s="339">
        <f>AA50-AM50</f>
        <v>0</v>
      </c>
      <c r="AW50" s="340"/>
      <c r="AX50" s="340"/>
      <c r="AY50" s="389"/>
      <c r="AZ50" s="622">
        <v>42751</v>
      </c>
      <c r="BA50" s="623"/>
      <c r="BB50" s="624"/>
      <c r="BC50" s="622">
        <v>43116</v>
      </c>
      <c r="BD50" s="623"/>
      <c r="BE50" s="624"/>
      <c r="BF50" s="313" t="s">
        <v>46</v>
      </c>
      <c r="BG50" s="314"/>
      <c r="BH50" s="34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5"/>
      <c r="BT50" s="316"/>
      <c r="BU50" s="396"/>
      <c r="BV50" s="355"/>
      <c r="BW50" s="35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5"/>
      <c r="CL50" s="626"/>
      <c r="CM50" s="356"/>
      <c r="CN50" s="355"/>
      <c r="CO50" s="626"/>
      <c r="CP50" s="356"/>
      <c r="CQ50" s="355"/>
      <c r="CR50" s="626"/>
      <c r="CS50" s="356"/>
      <c r="CT50" s="625"/>
      <c r="CU50" s="355"/>
      <c r="CV50" s="521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150</v>
      </c>
      <c r="V51" s="330"/>
      <c r="W51" s="330"/>
      <c r="X51" s="330"/>
      <c r="Y51" s="330"/>
      <c r="Z51" s="331"/>
      <c r="AA51" s="332">
        <f>SUM(U44:AX44)</f>
        <v>865462.07999999914</v>
      </c>
      <c r="AB51" s="333"/>
      <c r="AC51" s="333"/>
      <c r="AD51" s="333"/>
      <c r="AE51" s="333"/>
      <c r="AF51" s="334"/>
      <c r="AG51" s="335" t="s">
        <v>151</v>
      </c>
      <c r="AH51" s="336"/>
      <c r="AI51" s="336"/>
      <c r="AJ51" s="336"/>
      <c r="AK51" s="336"/>
      <c r="AL51" s="337"/>
      <c r="AM51" s="338">
        <f>SUM(U45:AX45)</f>
        <v>865462.07999999914</v>
      </c>
      <c r="AN51" s="338"/>
      <c r="AO51" s="338"/>
      <c r="AP51" s="338"/>
      <c r="AQ51" s="338"/>
      <c r="AR51" s="338"/>
      <c r="AS51" s="339" t="s">
        <v>149</v>
      </c>
      <c r="AT51" s="340"/>
      <c r="AU51" s="341"/>
      <c r="AV51" s="339">
        <f>AA51-AM51</f>
        <v>0</v>
      </c>
      <c r="AW51" s="340"/>
      <c r="AX51" s="341"/>
      <c r="AY51" s="389"/>
      <c r="AZ51" s="313">
        <f>SUM(AZ47,BC47,BF47)</f>
        <v>1267242</v>
      </c>
      <c r="BA51" s="314"/>
      <c r="BB51" s="342"/>
      <c r="BC51" s="313">
        <f>SUM(AZ48:BG48)</f>
        <v>-194314100</v>
      </c>
      <c r="BD51" s="314"/>
      <c r="BE51" s="342"/>
      <c r="BF51" s="313">
        <v>643100</v>
      </c>
      <c r="BG51" s="314"/>
      <c r="BH51" s="31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5"/>
      <c r="BT51" s="316"/>
      <c r="BU51" s="39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7"/>
      <c r="B52" s="317"/>
      <c r="C52" s="317"/>
      <c r="D52" s="318"/>
      <c r="E52" s="318"/>
      <c r="F52" s="318"/>
      <c r="G52" s="319"/>
      <c r="H52" s="319"/>
      <c r="I52" s="319"/>
      <c r="J52" s="319"/>
      <c r="K52" s="123"/>
      <c r="L52" s="318"/>
      <c r="M52" s="318"/>
      <c r="N52" s="318"/>
      <c r="O52" s="318"/>
      <c r="P52" s="36"/>
      <c r="Q52" s="36"/>
      <c r="R52" s="124"/>
      <c r="S52" s="37"/>
      <c r="T52" s="38"/>
      <c r="U52" s="320"/>
      <c r="V52" s="320"/>
      <c r="W52" s="39"/>
      <c r="X52" s="321"/>
      <c r="Y52" s="321"/>
      <c r="Z52" s="7"/>
      <c r="AA52" s="125"/>
      <c r="AY52" s="389"/>
    </row>
    <row r="53" spans="1:159" ht="25.5" customHeight="1" x14ac:dyDescent="0.25">
      <c r="A53" s="322">
        <v>487.2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</row>
    <row r="54" spans="1:159" s="1" customFormat="1" ht="12.75" customHeight="1" x14ac:dyDescent="0.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40"/>
      <c r="R54" s="40"/>
      <c r="S54" s="167"/>
      <c r="T54" s="38"/>
      <c r="U54" s="326"/>
      <c r="V54" s="326"/>
      <c r="W54" s="326"/>
      <c r="X54" s="326"/>
      <c r="Y54" s="32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7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5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5"/>
      <c r="AZ55" s="325"/>
      <c r="BA55" s="325"/>
      <c r="BB55" s="325"/>
      <c r="BC55" s="325"/>
      <c r="BD55" s="325"/>
      <c r="BE55" s="325"/>
      <c r="BF55" s="325"/>
      <c r="BG55" s="325"/>
      <c r="BH55" s="32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6"/>
      <c r="K56" s="306"/>
      <c r="L56" s="306"/>
      <c r="M56" s="306"/>
      <c r="N56" s="305"/>
      <c r="O56" s="305"/>
      <c r="P56" s="305"/>
      <c r="Q56" s="305"/>
      <c r="R56" s="305"/>
      <c r="S56" s="305"/>
      <c r="T56" s="305"/>
      <c r="U56" s="305"/>
      <c r="V56" s="323">
        <v>487.2</v>
      </c>
      <c r="W56" s="323"/>
      <c r="X56" s="327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25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24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2"/>
      <c r="D58" s="156"/>
      <c r="E58" s="303"/>
      <c r="F58" s="45"/>
      <c r="G58" s="303"/>
      <c r="H58" s="127"/>
      <c r="I58" s="302"/>
      <c r="J58" s="160"/>
      <c r="K58" s="302"/>
      <c r="L58" s="163"/>
      <c r="M58" s="302"/>
      <c r="N58" s="160"/>
      <c r="O58" s="302"/>
      <c r="P58" s="160"/>
      <c r="Q58" s="303"/>
      <c r="R58" s="128"/>
      <c r="S58" s="141"/>
      <c r="T58" s="47"/>
      <c r="U58" s="128"/>
      <c r="V58" s="48"/>
      <c r="W58" s="303"/>
      <c r="X58" s="327"/>
      <c r="Y58" s="61"/>
      <c r="Z58" s="303"/>
      <c r="AA58" s="49"/>
      <c r="AB58" s="307"/>
      <c r="AC58" s="45"/>
      <c r="AD58" s="302"/>
      <c r="AE58" s="141"/>
      <c r="AF58" s="303"/>
      <c r="AG58" s="45"/>
      <c r="AH58" s="303"/>
      <c r="AI58" s="45"/>
      <c r="AJ58" s="302"/>
      <c r="AK58" s="325"/>
      <c r="AL58" s="51"/>
      <c r="AM58" s="302"/>
      <c r="AN58" s="171"/>
      <c r="AO58" s="303"/>
      <c r="AP58" s="52"/>
      <c r="AQ58" s="303"/>
      <c r="AR58" s="49"/>
      <c r="AS58" s="302"/>
      <c r="AT58" s="61"/>
      <c r="AU58" s="303"/>
      <c r="AV58" s="53"/>
      <c r="AW58" s="308"/>
      <c r="AX58" s="324"/>
      <c r="AY58" s="54"/>
      <c r="AZ58" s="302"/>
      <c r="BA58" s="178"/>
      <c r="BB58" s="303"/>
      <c r="BC58" s="55"/>
      <c r="BD58" s="310"/>
      <c r="BE58" s="55"/>
      <c r="BF58" s="302"/>
      <c r="BG58" s="178"/>
      <c r="BH58" s="30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2"/>
      <c r="D59" s="157"/>
      <c r="E59" s="303"/>
      <c r="F59" s="57"/>
      <c r="G59" s="303"/>
      <c r="H59" s="129"/>
      <c r="I59" s="302"/>
      <c r="J59" s="144"/>
      <c r="K59" s="302"/>
      <c r="L59" s="144"/>
      <c r="M59" s="302"/>
      <c r="N59" s="165"/>
      <c r="O59" s="302"/>
      <c r="P59" s="160"/>
      <c r="Q59" s="303"/>
      <c r="R59" s="128"/>
      <c r="S59" s="141"/>
      <c r="T59" s="47"/>
      <c r="U59" s="128"/>
      <c r="V59" s="48"/>
      <c r="W59" s="303"/>
      <c r="X59" s="327"/>
      <c r="Y59" s="144"/>
      <c r="Z59" s="303"/>
      <c r="AA59" s="49"/>
      <c r="AB59" s="307"/>
      <c r="AC59" s="57"/>
      <c r="AD59" s="302"/>
      <c r="AE59" s="141"/>
      <c r="AF59" s="303"/>
      <c r="AG59" s="57"/>
      <c r="AH59" s="303"/>
      <c r="AI59" s="57"/>
      <c r="AJ59" s="302"/>
      <c r="AK59" s="325"/>
      <c r="AL59" s="51"/>
      <c r="AM59" s="302"/>
      <c r="AN59" s="172"/>
      <c r="AO59" s="303"/>
      <c r="AP59" s="52"/>
      <c r="AQ59" s="303"/>
      <c r="AR59" s="58"/>
      <c r="AS59" s="302"/>
      <c r="AT59" s="172"/>
      <c r="AU59" s="303"/>
      <c r="AV59" s="59"/>
      <c r="AW59" s="307"/>
      <c r="AX59" s="324"/>
      <c r="AY59" s="60"/>
      <c r="AZ59" s="302"/>
      <c r="BA59" s="178"/>
      <c r="BB59" s="303"/>
      <c r="BC59" s="55"/>
      <c r="BD59" s="310"/>
      <c r="BE59" s="55"/>
      <c r="BF59" s="302"/>
      <c r="BG59" s="178"/>
      <c r="BH59" s="30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2"/>
      <c r="AQ94" s="312"/>
      <c r="AR94" s="312"/>
      <c r="AS94" s="312"/>
      <c r="AT94" s="312"/>
      <c r="AU94" s="312"/>
      <c r="AV94" s="312"/>
      <c r="AW94" s="31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2021-09-17T08:41:34Z</dcterms:modified>
</cp:coreProperties>
</file>