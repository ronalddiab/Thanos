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0" i="9" l="1"/>
  <c r="R31" i="9"/>
  <c r="R32" i="9"/>
  <c r="Q30" i="9"/>
  <c r="Q31" i="9"/>
  <c r="Q32" i="9"/>
  <c r="P29" i="9"/>
  <c r="P30" i="9"/>
  <c r="P31" i="9"/>
  <c r="P32" i="9"/>
  <c r="O30" i="9"/>
  <c r="O31" i="9"/>
  <c r="O32" i="9"/>
  <c r="N30" i="9"/>
  <c r="N31" i="9"/>
  <c r="M30" i="9"/>
  <c r="M31" i="9"/>
  <c r="M32" i="9"/>
  <c r="L30" i="9"/>
  <c r="L31" i="9"/>
  <c r="L32" i="9"/>
  <c r="K30" i="9"/>
  <c r="K31" i="9"/>
  <c r="K32" i="9"/>
  <c r="J30" i="9"/>
  <c r="J31" i="9"/>
  <c r="J32" i="9"/>
  <c r="I30" i="9"/>
  <c r="I31" i="9"/>
  <c r="I32" i="9"/>
  <c r="H30" i="9"/>
  <c r="H31" i="9"/>
  <c r="H32" i="9"/>
  <c r="G30" i="9"/>
  <c r="G31" i="9"/>
  <c r="G32" i="9"/>
  <c r="F30" i="9"/>
  <c r="F31" i="9"/>
  <c r="F32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Q29" i="9" s="1"/>
  <c r="AC35" i="7"/>
  <c r="AC36" i="7"/>
  <c r="AC37" i="7"/>
  <c r="I29" i="5" l="1"/>
  <c r="S29" i="9"/>
  <c r="Q35" i="7" l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4" i="7" l="1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W31" i="7"/>
  <c r="R26" i="9"/>
  <c r="R25" i="9"/>
  <c r="G25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W26" i="7"/>
  <c r="R21" i="9"/>
  <c r="G20" i="5"/>
  <c r="R20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<sst xmlns="http://schemas.openxmlformats.org/spreadsheetml/2006/main" count="128" uniqueCount="49">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</sst>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Submetering!R14</f>
        <v>636.705962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43220</v>
      </c>
      <c r="F15" s="11">
        <v>5.0000000000000001E-3</v>
      </c>
      <c r="G15" s="12">
        <f>Submetering!R15</f>
        <v>651.09051999999997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43910</v>
      </c>
      <c r="F16" s="11">
        <v>5.0000000000000001E-3</v>
      </c>
      <c r="G16" s="12">
        <f>Submetering!R16</f>
        <v>832.03311800000006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42810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42030</v>
      </c>
      <c r="F18" s="11">
        <v>5.0000000000000001E-3</v>
      </c>
      <c r="G18" s="12">
        <f>Submetering!R18</f>
        <v>799.47859200000005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41420</v>
      </c>
      <c r="F19" s="11">
        <v>5.0000000000000001E-3</v>
      </c>
      <c r="G19" s="12">
        <f>Submetering!R19</f>
        <v>906.9842359999999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47100</v>
      </c>
      <c r="F20" s="11">
        <v>5.0000000000000001E-3</v>
      </c>
      <c r="G20" s="12">
        <f>Submetering!R20</f>
        <v>1000.8624039999999</v>
      </c>
      <c r="H20" s="11">
        <v>0.52800000000000002</v>
      </c>
      <c r="I20" s="12">
        <f>Hotel!B25</f>
        <v>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50300</v>
      </c>
      <c r="F21" s="11">
        <v>5.0000000000000001E-3</v>
      </c>
      <c r="G21" s="12">
        <f>Submetering!R21</f>
        <v>1007.676142</v>
      </c>
      <c r="H21" s="11">
        <v>0.52800000000000002</v>
      </c>
      <c r="I21" s="12">
        <f>Hotel!B26</f>
        <v>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54330</v>
      </c>
      <c r="F22" s="11">
        <v>5.0000000000000001E-3</v>
      </c>
      <c r="G22" s="12">
        <f>Submetering!R22</f>
        <v>1160.6067059999998</v>
      </c>
      <c r="H22" s="11">
        <v>0.52800000000000002</v>
      </c>
      <c r="I22" s="12">
        <f>Hotel!B27</f>
        <v>36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59920</v>
      </c>
      <c r="F23" s="11">
        <v>5.0000000000000001E-3</v>
      </c>
      <c r="G23" s="12">
        <f>Submetering!R23</f>
        <v>726.42017899999996</v>
      </c>
      <c r="H23" s="11">
        <v>0.52800000000000002</v>
      </c>
      <c r="I23" s="12">
        <f>Hotel!B28</f>
        <v>37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62200</v>
      </c>
      <c r="F24" s="11">
        <v>5.0000000000000001E-3</v>
      </c>
      <c r="G24" s="12">
        <f>Submetering!R24</f>
        <v>1156.8212960000001</v>
      </c>
      <c r="H24" s="11">
        <v>0.52800000000000002</v>
      </c>
      <c r="I24" s="12">
        <f>Hotel!B29</f>
        <v>52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58480</v>
      </c>
      <c r="F25" s="11">
        <v>5.0000000000000001E-3</v>
      </c>
      <c r="G25" s="12">
        <f>Submetering!R25</f>
        <v>642.00553600000001</v>
      </c>
      <c r="H25" s="11">
        <v>0.52800000000000002</v>
      </c>
      <c r="I25" s="12">
        <f>Hotel!B30</f>
        <v>61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62950</v>
      </c>
      <c r="F26" s="11">
        <v>5.0000000000000001E-3</v>
      </c>
      <c r="G26" s="12">
        <f>Submetering!R26</f>
        <v>856.25974199999996</v>
      </c>
      <c r="H26" s="11">
        <v>0.52800000000000002</v>
      </c>
      <c r="I26" s="12">
        <f>Hotel!B31</f>
        <v>33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57880</v>
      </c>
      <c r="F27" s="11">
        <v>5.0000000000000001E-3</v>
      </c>
      <c r="G27" s="12">
        <f>Submetering!R27</f>
        <v>877.45803799999999</v>
      </c>
      <c r="H27" s="11">
        <v>0.52800000000000002</v>
      </c>
      <c r="I27" s="12">
        <f>Hotel!B32</f>
        <v>39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51730</v>
      </c>
      <c r="F28" s="11">
        <v>5.0000000000000001E-3</v>
      </c>
      <c r="G28" s="12">
        <f>Submetering!R28</f>
        <v>799.10005100000001</v>
      </c>
      <c r="H28" s="11">
        <v>0.52800000000000002</v>
      </c>
      <c r="I28" s="12">
        <f>Hotel!B33</f>
        <v>39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Hotel!AV19*0.00378541*100</f>
        <v>636.705962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13520</v>
      </c>
      <c r="F15" s="4">
        <f>Hotel!R20</f>
        <v>3920</v>
      </c>
      <c r="G15" s="4">
        <f>Hotel!S20</f>
        <v>100</v>
      </c>
      <c r="H15" s="4">
        <f>Hotel!T20</f>
        <v>1570</v>
      </c>
      <c r="I15" s="4">
        <f>Hotel!U20</f>
        <v>2950</v>
      </c>
      <c r="J15" s="4">
        <f>Hotel!V20</f>
        <v>2180</v>
      </c>
      <c r="K15" s="4">
        <f>Hotel!W20</f>
        <v>2100</v>
      </c>
      <c r="L15" s="4">
        <f>Hotel!X20</f>
        <v>1470</v>
      </c>
      <c r="M15" s="4">
        <f>Hotel!Y20</f>
        <v>1780</v>
      </c>
      <c r="N15" s="4">
        <f>Hotel!Z20</f>
        <v>1680</v>
      </c>
      <c r="O15" s="4">
        <f>Hotel!AA20</f>
        <v>1570</v>
      </c>
      <c r="P15" s="4">
        <f>Hotel!AB20</f>
        <v>4510</v>
      </c>
      <c r="Q15" s="4">
        <f>Hotel!AC20</f>
        <v>5870</v>
      </c>
      <c r="R15" s="4">
        <f>Hotel!AV20*0.00378541*100</f>
        <v>651.09051999999997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11560</v>
      </c>
      <c r="F16" s="4">
        <f>Hotel!R21</f>
        <v>6750</v>
      </c>
      <c r="G16" s="4">
        <f>Hotel!S21</f>
        <v>100</v>
      </c>
      <c r="H16" s="4">
        <f>Hotel!T21</f>
        <v>1510</v>
      </c>
      <c r="I16" s="4">
        <f>Hotel!U21</f>
        <v>2930</v>
      </c>
      <c r="J16" s="4">
        <f>Hotel!V21</f>
        <v>2210</v>
      </c>
      <c r="K16" s="4">
        <f>Hotel!W21</f>
        <v>1950</v>
      </c>
      <c r="L16" s="4">
        <f>Hotel!X21</f>
        <v>1360</v>
      </c>
      <c r="M16" s="4">
        <f>Hotel!Y21</f>
        <v>1960</v>
      </c>
      <c r="N16" s="4">
        <f>Hotel!Z21</f>
        <v>2570</v>
      </c>
      <c r="O16" s="4">
        <f>Hotel!AA21</f>
        <v>1650</v>
      </c>
      <c r="P16" s="4">
        <f>Hotel!AB21</f>
        <v>4430</v>
      </c>
      <c r="Q16" s="4">
        <f>Hotel!AC21</f>
        <v>4930</v>
      </c>
      <c r="R16" s="4">
        <f>Hotel!AV21*0.00378541*100</f>
        <v>832.03311800000006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560</v>
      </c>
      <c r="F17" s="4">
        <f>Hotel!R22</f>
        <v>16510</v>
      </c>
      <c r="G17" s="4">
        <f>Hotel!S22</f>
        <v>100</v>
      </c>
      <c r="H17" s="4">
        <f>Hotel!T22</f>
        <v>1480</v>
      </c>
      <c r="I17" s="4">
        <f>Hotel!U22</f>
        <v>2850</v>
      </c>
      <c r="J17" s="4">
        <f>Hotel!V22</f>
        <v>2260</v>
      </c>
      <c r="K17" s="4">
        <f>Hotel!W22</f>
        <v>2040</v>
      </c>
      <c r="L17" s="4">
        <f>Hotel!X22</f>
        <v>1530</v>
      </c>
      <c r="M17" s="4">
        <f>Hotel!Y22</f>
        <v>2030</v>
      </c>
      <c r="N17" s="4">
        <f>Hotel!Z22</f>
        <v>2090</v>
      </c>
      <c r="O17" s="4">
        <f>Hotel!AA22</f>
        <v>1800</v>
      </c>
      <c r="P17" s="4">
        <f>Hotel!AB22</f>
        <v>4560</v>
      </c>
      <c r="Q17" s="4">
        <f>Hotel!AC22</f>
        <v>5000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500</v>
      </c>
      <c r="F18" s="4">
        <f>Hotel!R23</f>
        <v>16120</v>
      </c>
      <c r="G18" s="4">
        <f>Hotel!S23</f>
        <v>90</v>
      </c>
      <c r="H18" s="4">
        <f>Hotel!T23</f>
        <v>1460</v>
      </c>
      <c r="I18" s="4">
        <f>Hotel!U23</f>
        <v>2530</v>
      </c>
      <c r="J18" s="4">
        <f>Hotel!V23</f>
        <v>2140</v>
      </c>
      <c r="K18" s="4">
        <f>Hotel!W23</f>
        <v>2000</v>
      </c>
      <c r="L18" s="4">
        <f>Hotel!X23</f>
        <v>1740</v>
      </c>
      <c r="M18" s="4">
        <f>Hotel!Y23</f>
        <v>1980</v>
      </c>
      <c r="N18" s="4">
        <f>Hotel!Z23</f>
        <v>2070</v>
      </c>
      <c r="O18" s="4">
        <f>Hotel!AA23</f>
        <v>1860</v>
      </c>
      <c r="P18" s="4">
        <f>Hotel!AB23</f>
        <v>4390</v>
      </c>
      <c r="Q18" s="4">
        <f>Hotel!AC23</f>
        <v>5150</v>
      </c>
      <c r="R18" s="4">
        <f>Hotel!AV23*0.00378541*100</f>
        <v>799.47859200000005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490</v>
      </c>
      <c r="F19" s="4">
        <f>Hotel!R24</f>
        <v>15780</v>
      </c>
      <c r="G19" s="4">
        <f>Hotel!S24</f>
        <v>90</v>
      </c>
      <c r="H19" s="4">
        <f>Hotel!T24</f>
        <v>1400</v>
      </c>
      <c r="I19" s="4">
        <f>Hotel!U24</f>
        <v>2610</v>
      </c>
      <c r="J19" s="4">
        <f>Hotel!V24</f>
        <v>2390</v>
      </c>
      <c r="K19" s="4">
        <f>Hotel!W24</f>
        <v>1960</v>
      </c>
      <c r="L19" s="4">
        <f>Hotel!X24</f>
        <v>1670</v>
      </c>
      <c r="M19" s="4">
        <f>Hotel!Y24</f>
        <v>2010</v>
      </c>
      <c r="N19" s="4">
        <f>Hotel!Z24</f>
        <v>1890</v>
      </c>
      <c r="O19" s="4">
        <f>Hotel!AA24</f>
        <v>1560</v>
      </c>
      <c r="P19" s="4">
        <f>Hotel!AB24</f>
        <v>4620</v>
      </c>
      <c r="Q19" s="4">
        <f>Hotel!AC24</f>
        <v>4950</v>
      </c>
      <c r="R19" s="4">
        <f>Hotel!AV24*0.00378541*100</f>
        <v>906.9842359999999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2880</v>
      </c>
      <c r="F20" s="4">
        <f>Hotel!R25</f>
        <v>16010</v>
      </c>
      <c r="G20" s="4">
        <f>Hotel!S25</f>
        <v>120</v>
      </c>
      <c r="H20" s="4">
        <f>Hotel!T25</f>
        <v>1550</v>
      </c>
      <c r="I20" s="4">
        <f>Hotel!U25</f>
        <v>3100</v>
      </c>
      <c r="J20" s="4">
        <f>Hotel!V25</f>
        <v>2490</v>
      </c>
      <c r="K20" s="4">
        <f>Hotel!W25</f>
        <v>2130</v>
      </c>
      <c r="L20" s="4">
        <f>Hotel!X25</f>
        <v>1720</v>
      </c>
      <c r="M20" s="4">
        <f>Hotel!Y25</f>
        <v>2430</v>
      </c>
      <c r="N20" s="4">
        <f>Hotel!Z25</f>
        <v>2020</v>
      </c>
      <c r="O20" s="4">
        <f>Hotel!AA25</f>
        <v>1830</v>
      </c>
      <c r="P20" s="4">
        <f>Hotel!AB25</f>
        <v>5280</v>
      </c>
      <c r="Q20" s="4">
        <f>Hotel!AC25</f>
        <v>5540</v>
      </c>
      <c r="R20" s="4">
        <f>Hotel!AV25*0.00378541*100</f>
        <v>1000.8624039999999</v>
      </c>
      <c r="S20" s="4">
        <f>Hotel!B25</f>
        <v>10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9130</v>
      </c>
      <c r="F21" s="4">
        <f>Hotel!R26</f>
        <v>12210</v>
      </c>
      <c r="G21" s="4">
        <f>Hotel!S26</f>
        <v>120</v>
      </c>
      <c r="H21" s="4">
        <f>Hotel!T26</f>
        <v>1570</v>
      </c>
      <c r="I21" s="4">
        <f>Hotel!U26</f>
        <v>3110</v>
      </c>
      <c r="J21" s="4">
        <f>Hotel!V26</f>
        <v>2670</v>
      </c>
      <c r="K21" s="4">
        <f>Hotel!W26</f>
        <v>2140</v>
      </c>
      <c r="L21" s="4">
        <f>Hotel!X26</f>
        <v>1640</v>
      </c>
      <c r="M21" s="4">
        <f>Hotel!Y26</f>
        <v>2600</v>
      </c>
      <c r="N21" s="4">
        <f>Hotel!Z26</f>
        <v>1970</v>
      </c>
      <c r="O21" s="4">
        <f>Hotel!AA26</f>
        <v>1960</v>
      </c>
      <c r="P21" s="4">
        <f>Hotel!AB26</f>
        <v>5500</v>
      </c>
      <c r="Q21" s="4">
        <f>Hotel!AC26</f>
        <v>5680</v>
      </c>
      <c r="R21" s="4">
        <f>Hotel!AV26*0.00378541*100</f>
        <v>1007.676142</v>
      </c>
      <c r="S21" s="4">
        <f>Hotel!B26</f>
        <v>4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9420</v>
      </c>
      <c r="F22" s="4">
        <f>Hotel!R27</f>
        <v>12500</v>
      </c>
      <c r="G22" s="4">
        <f>Hotel!S27</f>
        <v>130</v>
      </c>
      <c r="H22" s="4">
        <f>Hotel!T27</f>
        <v>1590</v>
      </c>
      <c r="I22" s="4">
        <f>Hotel!U27</f>
        <v>3520</v>
      </c>
      <c r="J22" s="4">
        <f>Hotel!V27</f>
        <v>2800</v>
      </c>
      <c r="K22" s="4">
        <f>Hotel!W27</f>
        <v>2170</v>
      </c>
      <c r="L22" s="4">
        <f>Hotel!X27</f>
        <v>1850</v>
      </c>
      <c r="M22" s="4">
        <f>Hotel!Y27</f>
        <v>3020</v>
      </c>
      <c r="N22" s="4">
        <f>Hotel!Z27</f>
        <v>2280</v>
      </c>
      <c r="O22" s="4">
        <f>Hotel!AA27</f>
        <v>2240</v>
      </c>
      <c r="P22" s="4">
        <f>Hotel!AB27</f>
        <v>5840</v>
      </c>
      <c r="Q22" s="4">
        <f>Hotel!AC27</f>
        <v>6970</v>
      </c>
      <c r="R22" s="4">
        <f>Hotel!AV27*0.00378541*100</f>
        <v>1160.6067059999998</v>
      </c>
      <c r="S22" s="4">
        <f>Hotel!B27</f>
        <v>36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11590</v>
      </c>
      <c r="F23" s="4">
        <f>Hotel!R28</f>
        <v>14620</v>
      </c>
      <c r="G23" s="4">
        <f>Hotel!S28</f>
        <v>330</v>
      </c>
      <c r="H23" s="4">
        <f>Hotel!T28</f>
        <v>1610</v>
      </c>
      <c r="I23" s="4">
        <f>Hotel!U28</f>
        <v>3740</v>
      </c>
      <c r="J23" s="4">
        <f>Hotel!V28</f>
        <v>2750</v>
      </c>
      <c r="K23" s="4">
        <f>Hotel!W28</f>
        <v>2160</v>
      </c>
      <c r="L23" s="4">
        <f>Hotel!X28</f>
        <v>1870</v>
      </c>
      <c r="M23" s="4">
        <f>Hotel!Y28</f>
        <v>2980</v>
      </c>
      <c r="N23" s="4">
        <f>Hotel!Z28</f>
        <v>2250</v>
      </c>
      <c r="O23" s="4">
        <f>Hotel!AA28</f>
        <v>2300</v>
      </c>
      <c r="P23" s="4">
        <f>Hotel!AB28</f>
        <v>5820</v>
      </c>
      <c r="Q23" s="4">
        <f>Hotel!AC28</f>
        <v>7900</v>
      </c>
      <c r="R23" s="4">
        <f>Hotel!AV28*0.00378541*100</f>
        <v>726.42017899999996</v>
      </c>
      <c r="S23" s="4">
        <f>Hotel!B28</f>
        <v>37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12750</v>
      </c>
      <c r="F24" s="4">
        <f>Hotel!R29</f>
        <v>15790</v>
      </c>
      <c r="G24" s="4">
        <f>Hotel!S29</f>
        <v>370</v>
      </c>
      <c r="H24" s="4">
        <f>Hotel!T29</f>
        <v>1610</v>
      </c>
      <c r="I24" s="4">
        <f>Hotel!U29</f>
        <v>3790</v>
      </c>
      <c r="J24" s="4">
        <f>Hotel!V29</f>
        <v>2790</v>
      </c>
      <c r="K24" s="4">
        <f>Hotel!W29</f>
        <v>2160</v>
      </c>
      <c r="L24" s="4">
        <f>Hotel!X29</f>
        <v>2040</v>
      </c>
      <c r="M24" s="4">
        <f>Hotel!Y29</f>
        <v>2990</v>
      </c>
      <c r="N24" s="4">
        <f>Hotel!Z29</f>
        <v>2420</v>
      </c>
      <c r="O24" s="4">
        <f>Hotel!AA29</f>
        <v>2520</v>
      </c>
      <c r="P24" s="4">
        <f>Hotel!AB29</f>
        <v>5700</v>
      </c>
      <c r="Q24" s="4">
        <f>Hotel!AC29</f>
        <v>7270</v>
      </c>
      <c r="R24" s="4">
        <f>Hotel!AV29*0.00378541*100</f>
        <v>1156.8212960000001</v>
      </c>
      <c r="S24" s="4">
        <f>Hotel!B29</f>
        <v>52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11460</v>
      </c>
      <c r="F25" s="4">
        <f>Hotel!R30</f>
        <v>14310</v>
      </c>
      <c r="G25" s="4">
        <f>Hotel!S30</f>
        <v>310</v>
      </c>
      <c r="H25" s="4">
        <f>Hotel!T30</f>
        <v>1550</v>
      </c>
      <c r="I25" s="4">
        <f>Hotel!U30</f>
        <v>3520</v>
      </c>
      <c r="J25" s="4">
        <f>Hotel!V30</f>
        <v>2500</v>
      </c>
      <c r="K25" s="4">
        <f>Hotel!W30</f>
        <v>2060</v>
      </c>
      <c r="L25" s="4">
        <f>Hotel!X30</f>
        <v>1870</v>
      </c>
      <c r="M25" s="4">
        <f>Hotel!Y30</f>
        <v>3150</v>
      </c>
      <c r="N25" s="4">
        <f>Hotel!Z30</f>
        <v>2380</v>
      </c>
      <c r="O25" s="4">
        <f>Hotel!AA30</f>
        <v>2320</v>
      </c>
      <c r="P25" s="4">
        <f>Hotel!AB30</f>
        <v>5640</v>
      </c>
      <c r="Q25" s="4">
        <f>Hotel!AC30</f>
        <v>7410</v>
      </c>
      <c r="R25" s="4">
        <f>Hotel!AV30*0.00378541*100</f>
        <v>642.00553600000001</v>
      </c>
      <c r="S25" s="4">
        <f>Hotel!B30</f>
        <v>61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12450</v>
      </c>
      <c r="F26" s="4">
        <f>Hotel!R31</f>
        <v>15450</v>
      </c>
      <c r="G26" s="4">
        <f>Hotel!S31</f>
        <v>370</v>
      </c>
      <c r="H26" s="4">
        <f>Hotel!T31</f>
        <v>1670</v>
      </c>
      <c r="I26" s="4">
        <f>Hotel!U31</f>
        <v>4120</v>
      </c>
      <c r="J26" s="4">
        <f>Hotel!V31</f>
        <v>2750</v>
      </c>
      <c r="K26" s="4">
        <f>Hotel!W31</f>
        <v>2240</v>
      </c>
      <c r="L26" s="4">
        <f>Hotel!X31</f>
        <v>1990</v>
      </c>
      <c r="M26" s="4">
        <f>Hotel!Y31</f>
        <v>3320</v>
      </c>
      <c r="N26" s="4">
        <f>Hotel!Z31</f>
        <v>2440</v>
      </c>
      <c r="O26" s="4">
        <f>Hotel!AA31</f>
        <v>2570</v>
      </c>
      <c r="P26" s="4">
        <f>Hotel!AB31</f>
        <v>5920</v>
      </c>
      <c r="Q26" s="4">
        <f>Hotel!AC31</f>
        <v>7660</v>
      </c>
      <c r="R26" s="4">
        <f>Hotel!AV31*0.00378541*100</f>
        <v>856.25974199999996</v>
      </c>
      <c r="S26" s="4">
        <f>Hotel!B31</f>
        <v>33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9580</v>
      </c>
      <c r="F27" s="4">
        <f>Hotel!R32</f>
        <v>15190</v>
      </c>
      <c r="G27" s="4">
        <f>Hotel!S32</f>
        <v>1210</v>
      </c>
      <c r="H27" s="4">
        <f>Hotel!T32</f>
        <v>1650</v>
      </c>
      <c r="I27" s="4">
        <f>Hotel!U32</f>
        <v>3020</v>
      </c>
      <c r="J27" s="4">
        <f>Hotel!V32</f>
        <v>2630</v>
      </c>
      <c r="K27" s="4">
        <f>Hotel!W32</f>
        <v>2210</v>
      </c>
      <c r="L27" s="4">
        <f>Hotel!X32</f>
        <v>1520</v>
      </c>
      <c r="M27" s="4">
        <f>Hotel!Y32</f>
        <v>2840</v>
      </c>
      <c r="N27" s="4">
        <f>Hotel!Z32</f>
        <v>2280</v>
      </c>
      <c r="O27" s="4">
        <f>Hotel!AA32</f>
        <v>2490</v>
      </c>
      <c r="P27" s="4">
        <f>Hotel!AB32</f>
        <v>5820</v>
      </c>
      <c r="Q27" s="4">
        <f>Hotel!AC32</f>
        <v>7440</v>
      </c>
      <c r="R27" s="4">
        <f>Hotel!AV32*0.00378541*100</f>
        <v>877.45803799999999</v>
      </c>
      <c r="S27" s="4">
        <f>Hotel!B32</f>
        <v>39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1010</v>
      </c>
      <c r="F28" s="4">
        <f>Hotel!R33</f>
        <v>14170</v>
      </c>
      <c r="G28" s="4">
        <f>Hotel!S33</f>
        <v>3690</v>
      </c>
      <c r="H28" s="4">
        <f>Hotel!T33</f>
        <v>1620</v>
      </c>
      <c r="I28" s="4">
        <f>Hotel!U33</f>
        <v>3570</v>
      </c>
      <c r="J28" s="4">
        <f>Hotel!V33</f>
        <v>2750</v>
      </c>
      <c r="K28" s="4">
        <f>Hotel!W33</f>
        <v>2260</v>
      </c>
      <c r="L28" s="4">
        <f>Hotel!X33</f>
        <v>1700</v>
      </c>
      <c r="M28" s="4">
        <f>Hotel!Y33</f>
        <v>2950</v>
      </c>
      <c r="N28" s="4">
        <f>Hotel!Z33</f>
        <v>2440</v>
      </c>
      <c r="O28" s="4">
        <f>Hotel!AA33</f>
        <v>2890</v>
      </c>
      <c r="P28" s="4">
        <f>Hotel!AB33</f>
        <v>5760</v>
      </c>
      <c r="Q28" s="4">
        <f>Hotel!AC33</f>
        <v>6920</v>
      </c>
      <c r="R28" s="4">
        <f>Hotel!AV33*0.00378541*100</f>
        <v>799.10005100000001</v>
      </c>
      <c r="S28" s="4">
        <f>Hotel!B33</f>
        <v>39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M34" sqref="AM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7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16"/>
        <v>12990</v>
      </c>
      <c r="R19" s="37">
        <f t="shared" si="17"/>
        <v>3770</v>
      </c>
      <c r="S19" s="37">
        <f t="shared" si="15"/>
        <v>90</v>
      </c>
      <c r="T19" s="37">
        <f t="shared" si="18"/>
        <v>1500</v>
      </c>
      <c r="U19" s="37">
        <f t="shared" si="19"/>
        <v>2590</v>
      </c>
      <c r="V19" s="37">
        <f t="shared" si="20"/>
        <v>2010</v>
      </c>
      <c r="W19" s="37">
        <f t="shared" si="21"/>
        <v>2030</v>
      </c>
      <c r="X19" s="37">
        <f t="shared" si="22"/>
        <v>1420</v>
      </c>
      <c r="Y19" s="37">
        <f t="shared" si="23"/>
        <v>1400</v>
      </c>
      <c r="Z19" s="37">
        <f t="shared" si="24"/>
        <v>2330</v>
      </c>
      <c r="AA19" s="37">
        <f t="shared" si="25"/>
        <v>1580</v>
      </c>
      <c r="AB19" s="37">
        <f t="shared" si="26"/>
        <v>4290</v>
      </c>
      <c r="AC19" s="37">
        <f t="shared" si="27"/>
        <v>5660</v>
      </c>
      <c r="AD19" s="35">
        <f t="shared" si="28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29"/>
        <v>208.30000000000004</v>
      </c>
      <c r="AU19" s="47">
        <v>19001</v>
      </c>
      <c r="AV19" s="37">
        <f t="shared" si="31"/>
        <v>1682</v>
      </c>
      <c r="AW19" s="35">
        <f t="shared" si="30"/>
        <v>3.3639999999999999</v>
      </c>
    </row>
    <row r="20" spans="1:49" x14ac:dyDescent="0.25">
      <c r="A20" s="23">
        <v>44026</v>
      </c>
      <c r="B20" s="40">
        <v>10</v>
      </c>
      <c r="C20" s="24">
        <v>6213800</v>
      </c>
      <c r="D20" s="24">
        <v>13251080</v>
      </c>
      <c r="E20" s="24">
        <v>1841380</v>
      </c>
      <c r="F20" s="24">
        <v>2923600</v>
      </c>
      <c r="G20" s="24">
        <v>8908360</v>
      </c>
      <c r="H20" s="24">
        <v>4475700</v>
      </c>
      <c r="I20" s="24">
        <v>4312190</v>
      </c>
      <c r="J20" s="24">
        <v>4831750</v>
      </c>
      <c r="K20" s="24">
        <v>7597320</v>
      </c>
      <c r="L20" s="24">
        <v>2994440</v>
      </c>
      <c r="M20" s="24">
        <v>6838880</v>
      </c>
      <c r="N20" s="24">
        <v>9822610</v>
      </c>
      <c r="O20" s="24">
        <v>13318600</v>
      </c>
      <c r="Q20" s="37">
        <f t="shared" si="16"/>
        <v>13520</v>
      </c>
      <c r="R20" s="37">
        <f t="shared" si="17"/>
        <v>3920</v>
      </c>
      <c r="S20" s="37">
        <f t="shared" si="15"/>
        <v>100</v>
      </c>
      <c r="T20" s="37">
        <f t="shared" si="18"/>
        <v>1570</v>
      </c>
      <c r="U20" s="37">
        <f t="shared" si="19"/>
        <v>2950</v>
      </c>
      <c r="V20" s="37">
        <f t="shared" si="20"/>
        <v>2180</v>
      </c>
      <c r="W20" s="37">
        <f t="shared" si="21"/>
        <v>2100</v>
      </c>
      <c r="X20" s="37">
        <f t="shared" si="22"/>
        <v>1470</v>
      </c>
      <c r="Y20" s="37">
        <f t="shared" si="23"/>
        <v>1780</v>
      </c>
      <c r="Z20" s="37">
        <f t="shared" si="24"/>
        <v>1680</v>
      </c>
      <c r="AA20" s="37">
        <f t="shared" si="25"/>
        <v>1570</v>
      </c>
      <c r="AB20" s="37">
        <f t="shared" si="26"/>
        <v>4510</v>
      </c>
      <c r="AC20" s="37">
        <f t="shared" si="27"/>
        <v>5870</v>
      </c>
      <c r="AD20" s="35">
        <f t="shared" si="28"/>
        <v>43220</v>
      </c>
      <c r="AF20" s="20">
        <f t="shared" si="1"/>
        <v>67.599999999999994</v>
      </c>
      <c r="AG20" s="20">
        <f t="shared" si="2"/>
        <v>19.600000000000001</v>
      </c>
      <c r="AH20" s="20">
        <f t="shared" si="3"/>
        <v>0.5</v>
      </c>
      <c r="AI20" s="20">
        <f t="shared" si="4"/>
        <v>7.8500000000000005</v>
      </c>
      <c r="AJ20" s="20">
        <f t="shared" si="5"/>
        <v>14.75</v>
      </c>
      <c r="AK20" s="20">
        <f t="shared" si="6"/>
        <v>10.9</v>
      </c>
      <c r="AL20" s="20">
        <f t="shared" si="7"/>
        <v>10.5</v>
      </c>
      <c r="AM20" s="20">
        <f t="shared" si="8"/>
        <v>7.3500000000000005</v>
      </c>
      <c r="AN20" s="20">
        <f t="shared" si="9"/>
        <v>8.9</v>
      </c>
      <c r="AO20" s="20">
        <f t="shared" si="10"/>
        <v>8.4</v>
      </c>
      <c r="AP20" s="20">
        <f t="shared" si="11"/>
        <v>7.8500000000000005</v>
      </c>
      <c r="AQ20" s="20">
        <f t="shared" si="12"/>
        <v>22.55</v>
      </c>
      <c r="AR20" s="20">
        <f t="shared" si="13"/>
        <v>29.35</v>
      </c>
      <c r="AS20" s="35">
        <f t="shared" si="29"/>
        <v>216.1</v>
      </c>
      <c r="AU20" s="47">
        <v>20721</v>
      </c>
      <c r="AV20" s="37">
        <f t="shared" si="31"/>
        <v>1720</v>
      </c>
      <c r="AW20" s="35">
        <f t="shared" si="30"/>
        <v>3.44</v>
      </c>
    </row>
    <row r="21" spans="1:49" x14ac:dyDescent="0.25">
      <c r="A21" s="23">
        <v>44027</v>
      </c>
      <c r="B21" s="40">
        <v>10</v>
      </c>
      <c r="C21" s="24">
        <v>6225360</v>
      </c>
      <c r="D21" s="24">
        <v>13257830</v>
      </c>
      <c r="E21" s="24">
        <v>1841480</v>
      </c>
      <c r="F21" s="24">
        <v>2925110</v>
      </c>
      <c r="G21" s="24">
        <v>8911290</v>
      </c>
      <c r="H21" s="24">
        <v>4477910</v>
      </c>
      <c r="I21" s="24">
        <v>4314140</v>
      </c>
      <c r="J21" s="24">
        <v>4833110</v>
      </c>
      <c r="K21" s="24">
        <v>7599280</v>
      </c>
      <c r="L21" s="24">
        <v>2997010</v>
      </c>
      <c r="M21" s="24">
        <v>6840530</v>
      </c>
      <c r="N21" s="24">
        <v>9827040</v>
      </c>
      <c r="O21" s="24">
        <v>13323530</v>
      </c>
      <c r="Q21" s="37">
        <f t="shared" si="16"/>
        <v>11560</v>
      </c>
      <c r="R21" s="37">
        <f t="shared" si="17"/>
        <v>6750</v>
      </c>
      <c r="S21" s="37">
        <f t="shared" si="15"/>
        <v>100</v>
      </c>
      <c r="T21" s="37">
        <f t="shared" si="18"/>
        <v>1510</v>
      </c>
      <c r="U21" s="37">
        <f t="shared" si="19"/>
        <v>2930</v>
      </c>
      <c r="V21" s="37">
        <f t="shared" si="20"/>
        <v>2210</v>
      </c>
      <c r="W21" s="37">
        <f t="shared" si="21"/>
        <v>1950</v>
      </c>
      <c r="X21" s="37">
        <f t="shared" si="22"/>
        <v>1360</v>
      </c>
      <c r="Y21" s="37">
        <f t="shared" si="23"/>
        <v>1960</v>
      </c>
      <c r="Z21" s="37">
        <f t="shared" si="24"/>
        <v>2570</v>
      </c>
      <c r="AA21" s="37">
        <f t="shared" si="25"/>
        <v>1650</v>
      </c>
      <c r="AB21" s="37">
        <f t="shared" si="26"/>
        <v>4430</v>
      </c>
      <c r="AC21" s="37">
        <f t="shared" si="27"/>
        <v>4930</v>
      </c>
      <c r="AD21" s="35">
        <f t="shared" si="28"/>
        <v>43910</v>
      </c>
      <c r="AF21" s="20">
        <f t="shared" si="1"/>
        <v>57.800000000000004</v>
      </c>
      <c r="AG21" s="20">
        <f t="shared" si="2"/>
        <v>33.75</v>
      </c>
      <c r="AH21" s="20">
        <f t="shared" si="3"/>
        <v>0.5</v>
      </c>
      <c r="AI21" s="20">
        <f t="shared" si="4"/>
        <v>7.55</v>
      </c>
      <c r="AJ21" s="20">
        <f t="shared" si="5"/>
        <v>14.65</v>
      </c>
      <c r="AK21" s="20">
        <f t="shared" si="6"/>
        <v>11.05</v>
      </c>
      <c r="AL21" s="20">
        <f t="shared" si="7"/>
        <v>9.75</v>
      </c>
      <c r="AM21" s="20">
        <f t="shared" si="8"/>
        <v>6.8</v>
      </c>
      <c r="AN21" s="20">
        <f t="shared" si="9"/>
        <v>9.8000000000000007</v>
      </c>
      <c r="AO21" s="20">
        <f t="shared" si="10"/>
        <v>12.85</v>
      </c>
      <c r="AP21" s="20">
        <f t="shared" si="11"/>
        <v>8.25</v>
      </c>
      <c r="AQ21" s="20">
        <f t="shared" si="12"/>
        <v>22.150000000000002</v>
      </c>
      <c r="AR21" s="20">
        <f t="shared" si="13"/>
        <v>24.650000000000002</v>
      </c>
      <c r="AS21" s="35">
        <f t="shared" si="29"/>
        <v>219.55000000000004</v>
      </c>
      <c r="AU21" s="47">
        <v>22919</v>
      </c>
      <c r="AV21" s="37">
        <f t="shared" si="31"/>
        <v>2198</v>
      </c>
      <c r="AW21" s="35">
        <f t="shared" si="30"/>
        <v>4.3959999999999999</v>
      </c>
    </row>
    <row r="22" spans="1:49" x14ac:dyDescent="0.25">
      <c r="A22" s="23">
        <v>44028</v>
      </c>
      <c r="B22" s="40">
        <v>10</v>
      </c>
      <c r="C22" s="24">
        <v>6225920</v>
      </c>
      <c r="D22" s="24">
        <v>13274340</v>
      </c>
      <c r="E22" s="24">
        <v>1841580</v>
      </c>
      <c r="F22" s="24">
        <v>2926590</v>
      </c>
      <c r="G22" s="24">
        <v>8914140</v>
      </c>
      <c r="H22" s="24">
        <v>4480170</v>
      </c>
      <c r="I22" s="24">
        <v>4316180</v>
      </c>
      <c r="J22" s="44">
        <v>4834640</v>
      </c>
      <c r="K22" s="24">
        <v>7601310</v>
      </c>
      <c r="L22" s="24">
        <v>2999100</v>
      </c>
      <c r="M22" s="24">
        <v>6842330</v>
      </c>
      <c r="N22" s="24">
        <v>9831600</v>
      </c>
      <c r="O22" s="44">
        <v>13328530</v>
      </c>
      <c r="Q22" s="37">
        <f t="shared" si="16"/>
        <v>560</v>
      </c>
      <c r="R22" s="37">
        <f t="shared" si="17"/>
        <v>16510</v>
      </c>
      <c r="S22" s="37">
        <f t="shared" si="15"/>
        <v>100</v>
      </c>
      <c r="T22" s="37">
        <f t="shared" si="18"/>
        <v>1480</v>
      </c>
      <c r="U22" s="37">
        <f t="shared" si="19"/>
        <v>2850</v>
      </c>
      <c r="V22" s="37">
        <f t="shared" si="20"/>
        <v>2260</v>
      </c>
      <c r="W22" s="37">
        <f t="shared" si="21"/>
        <v>2040</v>
      </c>
      <c r="X22" s="37">
        <f t="shared" si="22"/>
        <v>1530</v>
      </c>
      <c r="Y22" s="37">
        <f t="shared" si="23"/>
        <v>2030</v>
      </c>
      <c r="Z22" s="37">
        <f t="shared" si="24"/>
        <v>2090</v>
      </c>
      <c r="AA22" s="37">
        <f t="shared" si="25"/>
        <v>1800</v>
      </c>
      <c r="AB22" s="37">
        <f t="shared" si="26"/>
        <v>4560</v>
      </c>
      <c r="AC22" s="37">
        <f t="shared" si="27"/>
        <v>5000</v>
      </c>
      <c r="AD22" s="35">
        <f t="shared" si="28"/>
        <v>42810</v>
      </c>
      <c r="AF22" s="20">
        <f t="shared" si="1"/>
        <v>2.8000000000000003</v>
      </c>
      <c r="AG22" s="20">
        <f t="shared" si="2"/>
        <v>82.55</v>
      </c>
      <c r="AH22" s="20">
        <f t="shared" si="3"/>
        <v>0.5</v>
      </c>
      <c r="AI22" s="20">
        <f t="shared" si="4"/>
        <v>7.4</v>
      </c>
      <c r="AJ22" s="20">
        <f t="shared" si="5"/>
        <v>14.25</v>
      </c>
      <c r="AK22" s="20">
        <f t="shared" si="6"/>
        <v>11.3</v>
      </c>
      <c r="AL22" s="20">
        <f t="shared" si="7"/>
        <v>10.200000000000001</v>
      </c>
      <c r="AM22" s="20">
        <f t="shared" si="8"/>
        <v>7.65</v>
      </c>
      <c r="AN22" s="20">
        <f t="shared" si="9"/>
        <v>10.15</v>
      </c>
      <c r="AO22" s="20">
        <f t="shared" si="10"/>
        <v>10.450000000000001</v>
      </c>
      <c r="AP22" s="20">
        <f t="shared" si="11"/>
        <v>9</v>
      </c>
      <c r="AQ22" s="20">
        <f t="shared" si="12"/>
        <v>22.8</v>
      </c>
      <c r="AR22" s="20">
        <f t="shared" si="13"/>
        <v>25</v>
      </c>
      <c r="AS22" s="35">
        <f t="shared" si="29"/>
        <v>214.05</v>
      </c>
      <c r="AU22" s="47">
        <v>24503</v>
      </c>
      <c r="AV22" s="37">
        <f t="shared" si="31"/>
        <v>1584</v>
      </c>
      <c r="AW22" s="35">
        <f t="shared" si="30"/>
        <v>3.1680000000000001</v>
      </c>
    </row>
    <row r="23" spans="1:49" x14ac:dyDescent="0.25">
      <c r="A23" s="23">
        <v>44029</v>
      </c>
      <c r="B23" s="40">
        <v>10</v>
      </c>
      <c r="C23" s="24">
        <v>6226420</v>
      </c>
      <c r="D23" s="24">
        <v>13290460</v>
      </c>
      <c r="E23" s="24">
        <v>1841670</v>
      </c>
      <c r="F23" s="24">
        <v>2928050</v>
      </c>
      <c r="G23" s="24">
        <v>8916670</v>
      </c>
      <c r="H23" s="24">
        <v>4482310</v>
      </c>
      <c r="I23" s="24">
        <v>4318180</v>
      </c>
      <c r="J23" s="24">
        <v>4836380</v>
      </c>
      <c r="K23" s="24">
        <v>7603290</v>
      </c>
      <c r="L23" s="24">
        <v>3001170</v>
      </c>
      <c r="M23" s="24">
        <v>6844190</v>
      </c>
      <c r="N23" s="24">
        <v>9835990</v>
      </c>
      <c r="O23" s="24">
        <v>13333680</v>
      </c>
      <c r="Q23" s="37">
        <f t="shared" si="16"/>
        <v>500</v>
      </c>
      <c r="R23" s="37">
        <f t="shared" si="17"/>
        <v>16120</v>
      </c>
      <c r="S23" s="37">
        <f t="shared" si="15"/>
        <v>90</v>
      </c>
      <c r="T23" s="37">
        <f t="shared" si="18"/>
        <v>1460</v>
      </c>
      <c r="U23" s="37">
        <f t="shared" si="19"/>
        <v>2530</v>
      </c>
      <c r="V23" s="37">
        <f t="shared" si="20"/>
        <v>2140</v>
      </c>
      <c r="W23" s="37">
        <f t="shared" si="21"/>
        <v>2000</v>
      </c>
      <c r="X23" s="37">
        <f t="shared" si="22"/>
        <v>1740</v>
      </c>
      <c r="Y23" s="37">
        <f t="shared" si="23"/>
        <v>1980</v>
      </c>
      <c r="Z23" s="37">
        <f t="shared" si="24"/>
        <v>2070</v>
      </c>
      <c r="AA23" s="37">
        <f t="shared" si="25"/>
        <v>1860</v>
      </c>
      <c r="AB23" s="37">
        <f t="shared" si="26"/>
        <v>4390</v>
      </c>
      <c r="AC23" s="37">
        <f t="shared" si="27"/>
        <v>5150</v>
      </c>
      <c r="AD23" s="35">
        <f t="shared" si="28"/>
        <v>42030</v>
      </c>
      <c r="AF23" s="20">
        <f t="shared" si="1"/>
        <v>2.5</v>
      </c>
      <c r="AG23" s="20">
        <f t="shared" si="2"/>
        <v>80.600000000000009</v>
      </c>
      <c r="AH23" s="20">
        <f t="shared" si="3"/>
        <v>0.45</v>
      </c>
      <c r="AI23" s="20">
        <f t="shared" si="4"/>
        <v>7.3</v>
      </c>
      <c r="AJ23" s="20">
        <f t="shared" si="5"/>
        <v>12.65</v>
      </c>
      <c r="AK23" s="20">
        <f t="shared" si="6"/>
        <v>10.700000000000001</v>
      </c>
      <c r="AL23" s="20">
        <f t="shared" si="7"/>
        <v>10</v>
      </c>
      <c r="AM23" s="20">
        <f t="shared" si="8"/>
        <v>8.7000000000000011</v>
      </c>
      <c r="AN23" s="20">
        <f t="shared" si="9"/>
        <v>9.9</v>
      </c>
      <c r="AO23" s="20">
        <f t="shared" si="10"/>
        <v>10.35</v>
      </c>
      <c r="AP23" s="20">
        <f t="shared" si="11"/>
        <v>9.3000000000000007</v>
      </c>
      <c r="AQ23" s="20">
        <f t="shared" si="12"/>
        <v>21.95</v>
      </c>
      <c r="AR23" s="20">
        <f t="shared" si="13"/>
        <v>25.75</v>
      </c>
      <c r="AS23" s="35">
        <f t="shared" si="29"/>
        <v>210.15</v>
      </c>
      <c r="AU23" s="47">
        <v>26615</v>
      </c>
      <c r="AV23" s="37">
        <f t="shared" si="31"/>
        <v>2112</v>
      </c>
      <c r="AW23" s="35">
        <f t="shared" si="30"/>
        <v>4.2240000000000002</v>
      </c>
    </row>
    <row r="24" spans="1:49" x14ac:dyDescent="0.25">
      <c r="A24" s="23">
        <v>44030</v>
      </c>
      <c r="B24" s="40">
        <v>10</v>
      </c>
      <c r="C24" s="24">
        <v>6226910</v>
      </c>
      <c r="D24" s="24">
        <v>13306240</v>
      </c>
      <c r="E24" s="24">
        <v>1841760</v>
      </c>
      <c r="F24" s="24">
        <v>2929450</v>
      </c>
      <c r="G24" s="24">
        <v>8919280</v>
      </c>
      <c r="H24" s="24">
        <v>4484700</v>
      </c>
      <c r="I24" s="24">
        <v>4320140</v>
      </c>
      <c r="J24" s="24">
        <v>4838050</v>
      </c>
      <c r="K24" s="24">
        <v>7605300</v>
      </c>
      <c r="L24" s="24">
        <v>3003060</v>
      </c>
      <c r="M24" s="24">
        <v>6845750</v>
      </c>
      <c r="N24" s="24">
        <v>9840610</v>
      </c>
      <c r="O24" s="24">
        <v>13338630</v>
      </c>
      <c r="Q24" s="37">
        <f t="shared" si="16"/>
        <v>490</v>
      </c>
      <c r="R24" s="37">
        <f t="shared" si="17"/>
        <v>15780</v>
      </c>
      <c r="S24" s="37">
        <f t="shared" si="15"/>
        <v>90</v>
      </c>
      <c r="T24" s="37">
        <f t="shared" si="18"/>
        <v>1400</v>
      </c>
      <c r="U24" s="37">
        <f t="shared" si="19"/>
        <v>2610</v>
      </c>
      <c r="V24" s="37">
        <f t="shared" si="20"/>
        <v>2390</v>
      </c>
      <c r="W24" s="37">
        <f t="shared" si="21"/>
        <v>1960</v>
      </c>
      <c r="X24" s="37">
        <f t="shared" si="22"/>
        <v>1670</v>
      </c>
      <c r="Y24" s="37">
        <f t="shared" si="23"/>
        <v>2010</v>
      </c>
      <c r="Z24" s="37">
        <f t="shared" si="24"/>
        <v>1890</v>
      </c>
      <c r="AA24" s="37">
        <f t="shared" si="25"/>
        <v>1560</v>
      </c>
      <c r="AB24" s="37">
        <f t="shared" si="26"/>
        <v>4620</v>
      </c>
      <c r="AC24" s="37">
        <f t="shared" si="27"/>
        <v>4950</v>
      </c>
      <c r="AD24" s="35">
        <f t="shared" si="28"/>
        <v>41420</v>
      </c>
      <c r="AF24" s="20">
        <f t="shared" si="1"/>
        <v>2.4500000000000002</v>
      </c>
      <c r="AG24" s="20">
        <f t="shared" si="2"/>
        <v>78.900000000000006</v>
      </c>
      <c r="AH24" s="20">
        <f t="shared" si="3"/>
        <v>0.45</v>
      </c>
      <c r="AI24" s="20">
        <f t="shared" si="4"/>
        <v>7</v>
      </c>
      <c r="AJ24" s="20">
        <f t="shared" si="5"/>
        <v>13.05</v>
      </c>
      <c r="AK24" s="20">
        <f t="shared" si="6"/>
        <v>11.950000000000001</v>
      </c>
      <c r="AL24" s="20">
        <f t="shared" si="7"/>
        <v>9.8000000000000007</v>
      </c>
      <c r="AM24" s="20">
        <f t="shared" si="8"/>
        <v>8.35</v>
      </c>
      <c r="AN24" s="20">
        <f t="shared" si="9"/>
        <v>10.050000000000001</v>
      </c>
      <c r="AO24" s="20">
        <f t="shared" si="10"/>
        <v>9.4500000000000011</v>
      </c>
      <c r="AP24" s="20">
        <f t="shared" si="11"/>
        <v>7.8</v>
      </c>
      <c r="AQ24" s="20">
        <f t="shared" si="12"/>
        <v>23.1</v>
      </c>
      <c r="AR24" s="20">
        <f t="shared" si="13"/>
        <v>24.75</v>
      </c>
      <c r="AS24" s="35">
        <f t="shared" si="29"/>
        <v>207.10000000000002</v>
      </c>
      <c r="AU24" s="47">
        <v>29011</v>
      </c>
      <c r="AV24" s="37">
        <f t="shared" si="31"/>
        <v>2396</v>
      </c>
      <c r="AW24" s="35">
        <f t="shared" si="30"/>
        <v>4.7919999999999998</v>
      </c>
    </row>
    <row r="25" spans="1:49" x14ac:dyDescent="0.25">
      <c r="A25" s="23">
        <v>44031</v>
      </c>
      <c r="B25" s="40">
        <v>10</v>
      </c>
      <c r="C25" s="24">
        <v>6229790</v>
      </c>
      <c r="D25" s="24">
        <v>13322250</v>
      </c>
      <c r="E25" s="24">
        <v>1841880</v>
      </c>
      <c r="F25" s="24">
        <v>2931000</v>
      </c>
      <c r="G25" s="24">
        <v>8922380</v>
      </c>
      <c r="H25" s="24">
        <v>4487190</v>
      </c>
      <c r="I25" s="24">
        <v>4322270</v>
      </c>
      <c r="J25" s="24">
        <v>4839770</v>
      </c>
      <c r="K25" s="24">
        <v>7607730</v>
      </c>
      <c r="L25" s="24">
        <v>3005080</v>
      </c>
      <c r="M25" s="24">
        <v>6847580</v>
      </c>
      <c r="N25" s="24">
        <v>9845890</v>
      </c>
      <c r="O25" s="24">
        <v>13344170</v>
      </c>
      <c r="Q25" s="37">
        <f t="shared" ref="Q25:AC27" si="33">IF((C25-C24&lt;0), "0",C25-C24)</f>
        <v>2880</v>
      </c>
      <c r="R25" s="37">
        <f t="shared" si="33"/>
        <v>16010</v>
      </c>
      <c r="S25" s="37">
        <f t="shared" si="33"/>
        <v>120</v>
      </c>
      <c r="T25" s="37">
        <f t="shared" si="33"/>
        <v>1550</v>
      </c>
      <c r="U25" s="37">
        <f t="shared" si="33"/>
        <v>3100</v>
      </c>
      <c r="V25" s="37">
        <f t="shared" si="33"/>
        <v>2490</v>
      </c>
      <c r="W25" s="37">
        <f t="shared" si="33"/>
        <v>2130</v>
      </c>
      <c r="X25" s="37">
        <f t="shared" si="33"/>
        <v>1720</v>
      </c>
      <c r="Y25" s="37">
        <f t="shared" si="33"/>
        <v>2430</v>
      </c>
      <c r="Z25" s="37">
        <f t="shared" si="33"/>
        <v>2020</v>
      </c>
      <c r="AA25" s="37">
        <f t="shared" si="33"/>
        <v>1830</v>
      </c>
      <c r="AB25" s="37">
        <f t="shared" si="33"/>
        <v>5280</v>
      </c>
      <c r="AC25" s="37">
        <f t="shared" si="33"/>
        <v>5540</v>
      </c>
      <c r="AD25" s="35">
        <f t="shared" si="28"/>
        <v>47100</v>
      </c>
      <c r="AF25" s="20">
        <f t="shared" si="1"/>
        <v>14.4</v>
      </c>
      <c r="AG25" s="20">
        <f t="shared" si="2"/>
        <v>80.05</v>
      </c>
      <c r="AH25" s="20">
        <f t="shared" si="3"/>
        <v>0.6</v>
      </c>
      <c r="AI25" s="20">
        <f t="shared" si="4"/>
        <v>7.75</v>
      </c>
      <c r="AJ25" s="20">
        <f t="shared" si="5"/>
        <v>15.5</v>
      </c>
      <c r="AK25" s="20">
        <f t="shared" si="6"/>
        <v>12.450000000000001</v>
      </c>
      <c r="AL25" s="20">
        <f t="shared" si="7"/>
        <v>10.65</v>
      </c>
      <c r="AM25" s="20">
        <f t="shared" si="8"/>
        <v>8.6</v>
      </c>
      <c r="AN25" s="20">
        <f t="shared" si="9"/>
        <v>12.15</v>
      </c>
      <c r="AO25" s="20">
        <f t="shared" si="10"/>
        <v>10.1</v>
      </c>
      <c r="AP25" s="20">
        <f t="shared" si="11"/>
        <v>9.15</v>
      </c>
      <c r="AQ25" s="20">
        <f t="shared" si="12"/>
        <v>26.400000000000002</v>
      </c>
      <c r="AR25" s="20">
        <f t="shared" si="13"/>
        <v>27.7</v>
      </c>
      <c r="AS25" s="35">
        <f t="shared" si="29"/>
        <v>235.5</v>
      </c>
      <c r="AU25" s="47">
        <v>31655</v>
      </c>
      <c r="AV25" s="37">
        <f t="shared" si="31"/>
        <v>2644</v>
      </c>
      <c r="AW25" s="35">
        <f t="shared" si="30"/>
        <v>5.2880000000000003</v>
      </c>
    </row>
    <row r="26" spans="1:49" x14ac:dyDescent="0.25">
      <c r="A26" s="23">
        <v>44032</v>
      </c>
      <c r="B26" s="40">
        <v>4</v>
      </c>
      <c r="C26" s="24">
        <v>6238920</v>
      </c>
      <c r="D26" s="24">
        <v>13334460</v>
      </c>
      <c r="E26" s="24">
        <v>1842000</v>
      </c>
      <c r="F26" s="24">
        <v>2932570</v>
      </c>
      <c r="G26" s="24">
        <v>8925490</v>
      </c>
      <c r="H26" s="24">
        <v>4489860</v>
      </c>
      <c r="I26" s="24">
        <v>4324410</v>
      </c>
      <c r="J26" s="24">
        <v>4841410</v>
      </c>
      <c r="K26" s="24">
        <v>7610330</v>
      </c>
      <c r="L26" s="24">
        <v>3007050</v>
      </c>
      <c r="M26" s="24">
        <v>6849540</v>
      </c>
      <c r="N26" s="24">
        <v>9851390</v>
      </c>
      <c r="O26" s="24">
        <v>13349850</v>
      </c>
      <c r="Q26" s="37">
        <f t="shared" si="33"/>
        <v>9130</v>
      </c>
      <c r="R26" s="37">
        <f t="shared" si="33"/>
        <v>12210</v>
      </c>
      <c r="S26" s="37">
        <f t="shared" si="33"/>
        <v>120</v>
      </c>
      <c r="T26" s="37">
        <f t="shared" si="33"/>
        <v>1570</v>
      </c>
      <c r="U26" s="37">
        <f t="shared" si="33"/>
        <v>3110</v>
      </c>
      <c r="V26" s="37">
        <f t="shared" si="33"/>
        <v>2670</v>
      </c>
      <c r="W26" s="37">
        <f t="shared" si="33"/>
        <v>2140</v>
      </c>
      <c r="X26" s="37">
        <f t="shared" si="33"/>
        <v>1640</v>
      </c>
      <c r="Y26" s="37">
        <f t="shared" si="33"/>
        <v>2600</v>
      </c>
      <c r="Z26" s="37">
        <f t="shared" si="33"/>
        <v>1970</v>
      </c>
      <c r="AA26" s="37">
        <f t="shared" si="33"/>
        <v>1960</v>
      </c>
      <c r="AB26" s="37">
        <f t="shared" si="33"/>
        <v>5500</v>
      </c>
      <c r="AC26" s="37">
        <f t="shared" si="33"/>
        <v>5680</v>
      </c>
      <c r="AD26" s="35">
        <f t="shared" si="28"/>
        <v>50300</v>
      </c>
      <c r="AF26" s="20">
        <f t="shared" si="1"/>
        <v>45.65</v>
      </c>
      <c r="AG26" s="20">
        <f t="shared" si="2"/>
        <v>61.050000000000004</v>
      </c>
      <c r="AH26" s="20">
        <f t="shared" si="3"/>
        <v>0.6</v>
      </c>
      <c r="AI26" s="20">
        <f t="shared" si="4"/>
        <v>7.8500000000000005</v>
      </c>
      <c r="AJ26" s="20">
        <f t="shared" si="5"/>
        <v>15.55</v>
      </c>
      <c r="AK26" s="20">
        <f t="shared" si="6"/>
        <v>13.35</v>
      </c>
      <c r="AL26" s="20">
        <f t="shared" si="7"/>
        <v>10.700000000000001</v>
      </c>
      <c r="AM26" s="20">
        <f t="shared" si="8"/>
        <v>8.1999999999999993</v>
      </c>
      <c r="AN26" s="20">
        <f t="shared" si="9"/>
        <v>13</v>
      </c>
      <c r="AO26" s="20">
        <f t="shared" si="10"/>
        <v>9.85</v>
      </c>
      <c r="AP26" s="20">
        <f t="shared" si="11"/>
        <v>9.8000000000000007</v>
      </c>
      <c r="AQ26" s="20">
        <f t="shared" si="12"/>
        <v>27.5</v>
      </c>
      <c r="AR26" s="20">
        <f t="shared" si="13"/>
        <v>28.400000000000002</v>
      </c>
      <c r="AS26" s="35">
        <f t="shared" si="29"/>
        <v>251.49999999999997</v>
      </c>
      <c r="AU26" s="47">
        <v>34317</v>
      </c>
      <c r="AV26" s="37">
        <f t="shared" si="31"/>
        <v>2662</v>
      </c>
      <c r="AW26" s="35">
        <f t="shared" si="30"/>
        <v>5.3239999999999998</v>
      </c>
    </row>
    <row r="27" spans="1:49" x14ac:dyDescent="0.25">
      <c r="A27" s="23">
        <v>44033</v>
      </c>
      <c r="B27" s="40">
        <v>36</v>
      </c>
      <c r="C27" s="24">
        <v>6248340</v>
      </c>
      <c r="D27" s="24">
        <v>13346960</v>
      </c>
      <c r="E27" s="24">
        <v>1842130</v>
      </c>
      <c r="F27" s="24">
        <v>2934160</v>
      </c>
      <c r="G27" s="24">
        <v>8929010</v>
      </c>
      <c r="H27" s="24">
        <v>4492660</v>
      </c>
      <c r="I27" s="24">
        <v>4326580</v>
      </c>
      <c r="J27" s="24">
        <v>4843260</v>
      </c>
      <c r="K27" s="24">
        <v>7613350</v>
      </c>
      <c r="L27" s="24">
        <v>3009330</v>
      </c>
      <c r="M27" s="24">
        <v>6851780</v>
      </c>
      <c r="N27" s="24">
        <v>9857230</v>
      </c>
      <c r="O27" s="24">
        <v>13356820</v>
      </c>
      <c r="Q27" s="37">
        <f t="shared" si="33"/>
        <v>9420</v>
      </c>
      <c r="R27" s="37">
        <f t="shared" si="33"/>
        <v>12500</v>
      </c>
      <c r="S27" s="37">
        <f t="shared" si="33"/>
        <v>130</v>
      </c>
      <c r="T27" s="37">
        <f t="shared" si="33"/>
        <v>1590</v>
      </c>
      <c r="U27" s="37">
        <f t="shared" si="33"/>
        <v>3520</v>
      </c>
      <c r="V27" s="37">
        <f t="shared" si="33"/>
        <v>2800</v>
      </c>
      <c r="W27" s="37">
        <f t="shared" si="33"/>
        <v>2170</v>
      </c>
      <c r="X27" s="37">
        <f t="shared" si="33"/>
        <v>1850</v>
      </c>
      <c r="Y27" s="37">
        <f t="shared" si="33"/>
        <v>3020</v>
      </c>
      <c r="Z27" s="37">
        <f t="shared" si="33"/>
        <v>2280</v>
      </c>
      <c r="AA27" s="37">
        <f t="shared" si="33"/>
        <v>2240</v>
      </c>
      <c r="AB27" s="37">
        <f t="shared" si="33"/>
        <v>5840</v>
      </c>
      <c r="AC27" s="37">
        <f t="shared" si="33"/>
        <v>6970</v>
      </c>
      <c r="AD27" s="35">
        <f t="shared" si="28"/>
        <v>54330</v>
      </c>
      <c r="AF27" s="20">
        <f t="shared" si="1"/>
        <v>47.1</v>
      </c>
      <c r="AG27" s="20">
        <f t="shared" si="2"/>
        <v>62.5</v>
      </c>
      <c r="AH27" s="20">
        <f t="shared" si="3"/>
        <v>0.65</v>
      </c>
      <c r="AI27" s="20">
        <f t="shared" si="4"/>
        <v>7.95</v>
      </c>
      <c r="AJ27" s="20">
        <f t="shared" si="5"/>
        <v>17.600000000000001</v>
      </c>
      <c r="AK27" s="20">
        <f t="shared" si="6"/>
        <v>14</v>
      </c>
      <c r="AL27" s="20">
        <f t="shared" si="7"/>
        <v>10.85</v>
      </c>
      <c r="AM27" s="20">
        <f t="shared" si="8"/>
        <v>9.25</v>
      </c>
      <c r="AN27" s="20">
        <f t="shared" si="9"/>
        <v>15.1</v>
      </c>
      <c r="AO27" s="20">
        <f t="shared" si="10"/>
        <v>11.4</v>
      </c>
      <c r="AP27" s="20">
        <f t="shared" si="11"/>
        <v>11.200000000000001</v>
      </c>
      <c r="AQ27" s="20">
        <f t="shared" si="12"/>
        <v>29.2</v>
      </c>
      <c r="AR27" s="20">
        <f t="shared" si="13"/>
        <v>34.85</v>
      </c>
      <c r="AS27" s="35">
        <f t="shared" si="29"/>
        <v>271.64999999999998</v>
      </c>
      <c r="AU27" s="47">
        <v>37383</v>
      </c>
      <c r="AV27" s="37">
        <f>IF((AU27-AU26&lt;0),"0",AU27-AU26)</f>
        <v>3066</v>
      </c>
      <c r="AW27" s="35">
        <f t="shared" si="30"/>
        <v>6.1320000000000006</v>
      </c>
    </row>
    <row r="28" spans="1:49" x14ac:dyDescent="0.25">
      <c r="A28" s="23">
        <v>44034</v>
      </c>
      <c r="B28" s="40">
        <v>37</v>
      </c>
      <c r="C28" s="24">
        <v>6259930</v>
      </c>
      <c r="D28" s="24">
        <v>13361580</v>
      </c>
      <c r="E28" s="24">
        <v>1842460</v>
      </c>
      <c r="F28" s="24">
        <v>2935770</v>
      </c>
      <c r="G28" s="24">
        <v>8932750</v>
      </c>
      <c r="H28" s="24">
        <v>4495410</v>
      </c>
      <c r="I28" s="24">
        <v>4328740</v>
      </c>
      <c r="J28" s="24">
        <v>4845130</v>
      </c>
      <c r="K28" s="24">
        <v>7616330</v>
      </c>
      <c r="L28" s="24">
        <v>3011580</v>
      </c>
      <c r="M28" s="24">
        <v>6854080</v>
      </c>
      <c r="N28" s="24">
        <v>9863050</v>
      </c>
      <c r="O28" s="24">
        <v>13364720</v>
      </c>
      <c r="Q28" s="37">
        <f t="shared" si="16"/>
        <v>11590</v>
      </c>
      <c r="R28" s="37">
        <f t="shared" si="17"/>
        <v>14620</v>
      </c>
      <c r="S28" s="37">
        <f t="shared" si="15"/>
        <v>330</v>
      </c>
      <c r="T28" s="37">
        <f t="shared" si="18"/>
        <v>1610</v>
      </c>
      <c r="U28" s="37">
        <f t="shared" si="19"/>
        <v>3740</v>
      </c>
      <c r="V28" s="37">
        <f t="shared" si="20"/>
        <v>2750</v>
      </c>
      <c r="W28" s="37">
        <f t="shared" si="21"/>
        <v>2160</v>
      </c>
      <c r="X28" s="37">
        <f t="shared" si="22"/>
        <v>1870</v>
      </c>
      <c r="Y28" s="37">
        <f t="shared" si="23"/>
        <v>2980</v>
      </c>
      <c r="Z28" s="37">
        <f t="shared" si="24"/>
        <v>2250</v>
      </c>
      <c r="AA28" s="37">
        <f t="shared" si="25"/>
        <v>2300</v>
      </c>
      <c r="AB28" s="37">
        <f t="shared" si="26"/>
        <v>5820</v>
      </c>
      <c r="AC28" s="37">
        <f t="shared" si="27"/>
        <v>7900</v>
      </c>
      <c r="AD28" s="35">
        <f t="shared" si="28"/>
        <v>59920</v>
      </c>
      <c r="AF28" s="20">
        <f t="shared" si="1"/>
        <v>57.95</v>
      </c>
      <c r="AG28" s="20">
        <f t="shared" si="2"/>
        <v>73.100000000000009</v>
      </c>
      <c r="AH28" s="20">
        <f t="shared" si="3"/>
        <v>1.6500000000000001</v>
      </c>
      <c r="AI28" s="20">
        <f t="shared" si="4"/>
        <v>8.0500000000000007</v>
      </c>
      <c r="AJ28" s="20">
        <f t="shared" si="5"/>
        <v>18.7</v>
      </c>
      <c r="AK28" s="20">
        <f t="shared" si="6"/>
        <v>13.75</v>
      </c>
      <c r="AL28" s="20">
        <f t="shared" si="7"/>
        <v>10.8</v>
      </c>
      <c r="AM28" s="20">
        <f t="shared" si="8"/>
        <v>9.35</v>
      </c>
      <c r="AN28" s="20">
        <f t="shared" si="9"/>
        <v>14.9</v>
      </c>
      <c r="AO28" s="20">
        <f t="shared" si="10"/>
        <v>11.25</v>
      </c>
      <c r="AP28" s="20">
        <f t="shared" si="11"/>
        <v>11.5</v>
      </c>
      <c r="AQ28" s="20">
        <f t="shared" si="12"/>
        <v>29.1</v>
      </c>
      <c r="AR28" s="20">
        <f t="shared" si="13"/>
        <v>39.5</v>
      </c>
      <c r="AS28" s="35">
        <f t="shared" si="29"/>
        <v>299.60000000000002</v>
      </c>
      <c r="AU28" s="47">
        <v>39302</v>
      </c>
      <c r="AV28" s="37">
        <f>IF((AU28-AU27&lt;0),"0",AU28-AU27)</f>
        <v>1919</v>
      </c>
      <c r="AW28" s="35">
        <f t="shared" si="30"/>
        <v>3.8380000000000001</v>
      </c>
    </row>
    <row r="29" spans="1:49" x14ac:dyDescent="0.25">
      <c r="A29" s="23">
        <v>44035</v>
      </c>
      <c r="B29" s="40">
        <v>52</v>
      </c>
      <c r="C29" s="24">
        <v>6272680</v>
      </c>
      <c r="D29" s="24">
        <v>13377370</v>
      </c>
      <c r="E29" s="24">
        <v>1842830</v>
      </c>
      <c r="F29" s="24">
        <v>2937380</v>
      </c>
      <c r="G29" s="24">
        <v>8936540</v>
      </c>
      <c r="H29" s="24">
        <v>4498200</v>
      </c>
      <c r="I29" s="24">
        <v>4330900</v>
      </c>
      <c r="J29" s="24">
        <v>4847170</v>
      </c>
      <c r="K29" s="24">
        <v>7619320</v>
      </c>
      <c r="L29" s="24">
        <v>3014000</v>
      </c>
      <c r="M29" s="24">
        <v>6856600</v>
      </c>
      <c r="N29" s="24">
        <v>9868750</v>
      </c>
      <c r="O29" s="24">
        <v>13371990</v>
      </c>
      <c r="Q29" s="37">
        <f t="shared" si="16"/>
        <v>12750</v>
      </c>
      <c r="R29" s="37">
        <f t="shared" si="17"/>
        <v>15790</v>
      </c>
      <c r="S29" s="37">
        <f t="shared" si="15"/>
        <v>370</v>
      </c>
      <c r="T29" s="37">
        <f t="shared" si="18"/>
        <v>1610</v>
      </c>
      <c r="U29" s="37">
        <f t="shared" si="19"/>
        <v>3790</v>
      </c>
      <c r="V29" s="37">
        <f t="shared" si="20"/>
        <v>2790</v>
      </c>
      <c r="W29" s="37">
        <f t="shared" si="21"/>
        <v>2160</v>
      </c>
      <c r="X29" s="37">
        <f t="shared" si="22"/>
        <v>2040</v>
      </c>
      <c r="Y29" s="37">
        <f t="shared" si="23"/>
        <v>2990</v>
      </c>
      <c r="Z29" s="37">
        <f t="shared" si="24"/>
        <v>2420</v>
      </c>
      <c r="AA29" s="37">
        <f t="shared" si="25"/>
        <v>2520</v>
      </c>
      <c r="AB29" s="37">
        <f t="shared" si="26"/>
        <v>5700</v>
      </c>
      <c r="AC29" s="37">
        <f t="shared" si="27"/>
        <v>7270</v>
      </c>
      <c r="AD29" s="35">
        <f t="shared" si="28"/>
        <v>62200</v>
      </c>
      <c r="AF29" s="20">
        <f t="shared" si="1"/>
        <v>63.75</v>
      </c>
      <c r="AG29" s="20">
        <f t="shared" si="2"/>
        <v>78.95</v>
      </c>
      <c r="AH29" s="20">
        <f t="shared" si="3"/>
        <v>1.85</v>
      </c>
      <c r="AI29" s="20">
        <f t="shared" si="4"/>
        <v>8.0500000000000007</v>
      </c>
      <c r="AJ29" s="20">
        <f t="shared" si="5"/>
        <v>18.95</v>
      </c>
      <c r="AK29" s="20">
        <f t="shared" si="6"/>
        <v>13.950000000000001</v>
      </c>
      <c r="AL29" s="20">
        <f t="shared" si="7"/>
        <v>10.8</v>
      </c>
      <c r="AM29" s="20">
        <f t="shared" si="8"/>
        <v>10.200000000000001</v>
      </c>
      <c r="AN29" s="20">
        <f t="shared" si="9"/>
        <v>14.950000000000001</v>
      </c>
      <c r="AO29" s="20">
        <f t="shared" si="10"/>
        <v>12.1</v>
      </c>
      <c r="AP29" s="20">
        <f t="shared" si="11"/>
        <v>12.6</v>
      </c>
      <c r="AQ29" s="20">
        <f t="shared" si="12"/>
        <v>28.5</v>
      </c>
      <c r="AR29" s="20">
        <f t="shared" si="13"/>
        <v>36.35</v>
      </c>
      <c r="AS29" s="35">
        <f t="shared" si="29"/>
        <v>311</v>
      </c>
      <c r="AU29" s="47">
        <v>42358</v>
      </c>
      <c r="AV29" s="37">
        <f t="shared" ref="AV29:AV35" si="34">IF((AU29-AU28&lt;0),"0",AU29-AU28)</f>
        <v>3056</v>
      </c>
      <c r="AW29" s="35">
        <f t="shared" si="30"/>
        <v>6.1120000000000001</v>
      </c>
    </row>
    <row r="30" spans="1:49" x14ac:dyDescent="0.25">
      <c r="A30" s="23">
        <v>44036</v>
      </c>
      <c r="B30" s="40">
        <v>61</v>
      </c>
      <c r="C30" s="24">
        <v>6284140</v>
      </c>
      <c r="D30" s="24">
        <v>13391680</v>
      </c>
      <c r="E30" s="24">
        <v>1843140</v>
      </c>
      <c r="F30" s="24">
        <v>2938930</v>
      </c>
      <c r="G30" s="24">
        <v>8940060</v>
      </c>
      <c r="H30" s="24">
        <v>4500700</v>
      </c>
      <c r="I30" s="24">
        <v>4332960</v>
      </c>
      <c r="J30" s="24">
        <v>4849040</v>
      </c>
      <c r="K30" s="24">
        <v>7622470</v>
      </c>
      <c r="L30" s="24">
        <v>3016380</v>
      </c>
      <c r="M30" s="24">
        <v>6858920</v>
      </c>
      <c r="N30" s="24">
        <v>9874390</v>
      </c>
      <c r="O30" s="24">
        <v>13379400</v>
      </c>
      <c r="Q30" s="37">
        <f t="shared" si="16"/>
        <v>11460</v>
      </c>
      <c r="R30" s="37">
        <f t="shared" si="17"/>
        <v>14310</v>
      </c>
      <c r="S30" s="37">
        <f t="shared" si="15"/>
        <v>310</v>
      </c>
      <c r="T30" s="37">
        <f t="shared" si="18"/>
        <v>1550</v>
      </c>
      <c r="U30" s="37">
        <f t="shared" si="19"/>
        <v>3520</v>
      </c>
      <c r="V30" s="37">
        <f t="shared" si="20"/>
        <v>2500</v>
      </c>
      <c r="W30" s="37">
        <f t="shared" si="21"/>
        <v>2060</v>
      </c>
      <c r="X30" s="37">
        <f t="shared" si="22"/>
        <v>1870</v>
      </c>
      <c r="Y30" s="37">
        <f t="shared" si="23"/>
        <v>3150</v>
      </c>
      <c r="Z30" s="37">
        <f t="shared" si="24"/>
        <v>2380</v>
      </c>
      <c r="AA30" s="37">
        <f t="shared" si="25"/>
        <v>2320</v>
      </c>
      <c r="AB30" s="37">
        <f t="shared" si="26"/>
        <v>5640</v>
      </c>
      <c r="AC30" s="37">
        <f t="shared" si="27"/>
        <v>7410</v>
      </c>
      <c r="AD30" s="35">
        <f t="shared" si="28"/>
        <v>58480</v>
      </c>
      <c r="AF30" s="20">
        <f t="shared" si="1"/>
        <v>57.300000000000004</v>
      </c>
      <c r="AG30" s="20">
        <f t="shared" si="2"/>
        <v>71.55</v>
      </c>
      <c r="AH30" s="20">
        <f t="shared" si="3"/>
        <v>1.55</v>
      </c>
      <c r="AI30" s="20">
        <f t="shared" si="4"/>
        <v>7.75</v>
      </c>
      <c r="AJ30" s="20">
        <f t="shared" si="5"/>
        <v>17.600000000000001</v>
      </c>
      <c r="AK30" s="20">
        <f t="shared" si="6"/>
        <v>12.5</v>
      </c>
      <c r="AL30" s="20">
        <f t="shared" si="7"/>
        <v>10.3</v>
      </c>
      <c r="AM30" s="20">
        <f t="shared" si="8"/>
        <v>9.35</v>
      </c>
      <c r="AN30" s="20">
        <f t="shared" si="9"/>
        <v>15.75</v>
      </c>
      <c r="AO30" s="20">
        <f t="shared" si="10"/>
        <v>11.9</v>
      </c>
      <c r="AP30" s="20">
        <f t="shared" si="11"/>
        <v>11.6</v>
      </c>
      <c r="AQ30" s="20">
        <f t="shared" si="12"/>
        <v>28.2</v>
      </c>
      <c r="AR30" s="20">
        <f t="shared" si="13"/>
        <v>37.050000000000004</v>
      </c>
      <c r="AS30" s="35">
        <f t="shared" si="29"/>
        <v>292.39999999999998</v>
      </c>
      <c r="AU30" s="47">
        <v>44054</v>
      </c>
      <c r="AV30" s="37">
        <f t="shared" si="34"/>
        <v>1696</v>
      </c>
      <c r="AW30" s="35">
        <f t="shared" si="30"/>
        <v>3.3919999999999999</v>
      </c>
    </row>
    <row r="31" spans="1:49" x14ac:dyDescent="0.25">
      <c r="A31" s="23">
        <v>44037</v>
      </c>
      <c r="B31" s="40">
        <v>33</v>
      </c>
      <c r="C31" s="24">
        <v>6296590</v>
      </c>
      <c r="D31" s="24">
        <v>13407130</v>
      </c>
      <c r="E31" s="24">
        <v>1843510</v>
      </c>
      <c r="F31" s="24">
        <v>2940600</v>
      </c>
      <c r="G31" s="24">
        <v>8944180</v>
      </c>
      <c r="H31" s="24">
        <v>4503450</v>
      </c>
      <c r="I31" s="24">
        <v>4335200</v>
      </c>
      <c r="J31" s="24">
        <v>4851030</v>
      </c>
      <c r="K31" s="24">
        <v>7625790</v>
      </c>
      <c r="L31" s="24">
        <v>3018820</v>
      </c>
      <c r="M31" s="24">
        <v>6861490</v>
      </c>
      <c r="N31" s="24">
        <v>9880310</v>
      </c>
      <c r="O31" s="24">
        <v>13387060</v>
      </c>
      <c r="Q31" s="37">
        <f>IF((C31-C30&lt;0), "0",C31-C30)</f>
        <v>12450</v>
      </c>
      <c r="R31" s="37">
        <f t="shared" si="17"/>
        <v>15450</v>
      </c>
      <c r="S31" s="37">
        <f t="shared" si="15"/>
        <v>370</v>
      </c>
      <c r="T31" s="37">
        <f t="shared" si="18"/>
        <v>1670</v>
      </c>
      <c r="U31" s="37">
        <f t="shared" si="19"/>
        <v>4120</v>
      </c>
      <c r="V31" s="37">
        <f t="shared" si="20"/>
        <v>2750</v>
      </c>
      <c r="W31" s="37">
        <f t="shared" si="21"/>
        <v>2240</v>
      </c>
      <c r="X31" s="37">
        <f t="shared" si="22"/>
        <v>1990</v>
      </c>
      <c r="Y31" s="37">
        <f t="shared" si="23"/>
        <v>3320</v>
      </c>
      <c r="Z31" s="37">
        <f t="shared" si="24"/>
        <v>2440</v>
      </c>
      <c r="AA31" s="37">
        <f t="shared" si="25"/>
        <v>2570</v>
      </c>
      <c r="AB31" s="37">
        <f t="shared" si="26"/>
        <v>5920</v>
      </c>
      <c r="AC31" s="37">
        <f t="shared" si="27"/>
        <v>7660</v>
      </c>
      <c r="AD31" s="35">
        <f t="shared" si="28"/>
        <v>62950</v>
      </c>
      <c r="AF31" s="20">
        <f t="shared" si="1"/>
        <v>62.25</v>
      </c>
      <c r="AG31" s="20">
        <f t="shared" si="2"/>
        <v>77.25</v>
      </c>
      <c r="AH31" s="20">
        <f t="shared" si="3"/>
        <v>1.85</v>
      </c>
      <c r="AI31" s="20">
        <f t="shared" si="4"/>
        <v>8.35</v>
      </c>
      <c r="AJ31" s="20">
        <f t="shared" si="5"/>
        <v>20.6</v>
      </c>
      <c r="AK31" s="20">
        <f t="shared" si="6"/>
        <v>13.75</v>
      </c>
      <c r="AL31" s="20">
        <f t="shared" si="7"/>
        <v>11.200000000000001</v>
      </c>
      <c r="AM31" s="20">
        <f t="shared" si="8"/>
        <v>9.9500000000000011</v>
      </c>
      <c r="AN31" s="20">
        <f t="shared" si="9"/>
        <v>16.600000000000001</v>
      </c>
      <c r="AO31" s="20">
        <f t="shared" si="10"/>
        <v>12.200000000000001</v>
      </c>
      <c r="AP31" s="20">
        <f t="shared" si="11"/>
        <v>12.85</v>
      </c>
      <c r="AQ31" s="20">
        <f t="shared" si="12"/>
        <v>29.6</v>
      </c>
      <c r="AR31" s="20">
        <f t="shared" si="13"/>
        <v>38.300000000000004</v>
      </c>
      <c r="AS31" s="35">
        <f t="shared" si="29"/>
        <v>314.74999999999994</v>
      </c>
      <c r="AU31" s="47">
        <v>46316</v>
      </c>
      <c r="AV31" s="37">
        <f t="shared" si="34"/>
        <v>2262</v>
      </c>
      <c r="AW31" s="35">
        <f t="shared" si="30"/>
        <v>4.524</v>
      </c>
    </row>
    <row r="32" spans="1:49" x14ac:dyDescent="0.25">
      <c r="A32" s="23">
        <v>44038</v>
      </c>
      <c r="B32" s="40">
        <v>39</v>
      </c>
      <c r="C32" s="24">
        <v>6306170</v>
      </c>
      <c r="D32" s="24">
        <v>13422320</v>
      </c>
      <c r="E32" s="24">
        <v>1844720</v>
      </c>
      <c r="F32" s="24">
        <v>2942250</v>
      </c>
      <c r="G32" s="24">
        <v>8947200</v>
      </c>
      <c r="H32" s="24">
        <v>4506080</v>
      </c>
      <c r="I32" s="24">
        <v>4337410</v>
      </c>
      <c r="J32" s="24">
        <v>4852550</v>
      </c>
      <c r="K32" s="24">
        <v>7628630</v>
      </c>
      <c r="L32" s="24">
        <v>3021100</v>
      </c>
      <c r="M32" s="24">
        <v>6863980</v>
      </c>
      <c r="N32" s="24">
        <v>9886130</v>
      </c>
      <c r="O32" s="24">
        <v>13394500</v>
      </c>
      <c r="Q32" s="37">
        <f>IF((C32-C31&lt;0), "0",C32-C31)</f>
        <v>9580</v>
      </c>
      <c r="R32" s="37">
        <f t="shared" si="17"/>
        <v>15190</v>
      </c>
      <c r="S32" s="37">
        <f t="shared" si="15"/>
        <v>1210</v>
      </c>
      <c r="T32" s="37">
        <f t="shared" si="18"/>
        <v>1650</v>
      </c>
      <c r="U32" s="37">
        <f t="shared" si="19"/>
        <v>3020</v>
      </c>
      <c r="V32" s="37">
        <f t="shared" si="20"/>
        <v>2630</v>
      </c>
      <c r="W32" s="37">
        <f t="shared" si="21"/>
        <v>2210</v>
      </c>
      <c r="X32" s="37">
        <f t="shared" si="22"/>
        <v>1520</v>
      </c>
      <c r="Y32" s="37">
        <f t="shared" si="23"/>
        <v>2840</v>
      </c>
      <c r="Z32" s="37">
        <f t="shared" si="24"/>
        <v>2280</v>
      </c>
      <c r="AA32" s="37">
        <f t="shared" si="25"/>
        <v>2490</v>
      </c>
      <c r="AB32" s="37">
        <f t="shared" si="26"/>
        <v>5820</v>
      </c>
      <c r="AC32" s="37">
        <f t="shared" si="27"/>
        <v>7440</v>
      </c>
      <c r="AD32" s="35">
        <f t="shared" si="28"/>
        <v>57880</v>
      </c>
      <c r="AF32" s="20">
        <f t="shared" si="1"/>
        <v>47.9</v>
      </c>
      <c r="AG32" s="20">
        <f t="shared" si="2"/>
        <v>75.95</v>
      </c>
      <c r="AH32" s="20">
        <f t="shared" si="3"/>
        <v>6.05</v>
      </c>
      <c r="AI32" s="20">
        <f t="shared" si="4"/>
        <v>8.25</v>
      </c>
      <c r="AJ32" s="20">
        <f t="shared" si="5"/>
        <v>15.1</v>
      </c>
      <c r="AK32" s="20">
        <f t="shared" si="6"/>
        <v>13.15</v>
      </c>
      <c r="AL32" s="20">
        <f t="shared" si="7"/>
        <v>11.05</v>
      </c>
      <c r="AM32" s="20">
        <f t="shared" si="8"/>
        <v>7.6000000000000005</v>
      </c>
      <c r="AN32" s="20">
        <f t="shared" si="9"/>
        <v>14.200000000000001</v>
      </c>
      <c r="AO32" s="20">
        <f t="shared" si="10"/>
        <v>11.4</v>
      </c>
      <c r="AP32" s="20">
        <f t="shared" si="11"/>
        <v>12.450000000000001</v>
      </c>
      <c r="AQ32" s="20">
        <f t="shared" si="12"/>
        <v>29.1</v>
      </c>
      <c r="AR32" s="20">
        <f t="shared" si="13"/>
        <v>37.200000000000003</v>
      </c>
      <c r="AS32" s="35">
        <f t="shared" si="29"/>
        <v>289.39999999999998</v>
      </c>
      <c r="AU32" s="47">
        <v>48634</v>
      </c>
      <c r="AV32" s="37">
        <f t="shared" si="34"/>
        <v>2318</v>
      </c>
      <c r="AW32" s="35">
        <f t="shared" si="30"/>
        <v>4.6360000000000001</v>
      </c>
    </row>
    <row r="33" spans="1:49" x14ac:dyDescent="0.25">
      <c r="A33" s="23">
        <v>44039</v>
      </c>
      <c r="B33" s="40">
        <v>39</v>
      </c>
      <c r="C33" s="24">
        <v>6307180</v>
      </c>
      <c r="D33" s="24">
        <v>13436490</v>
      </c>
      <c r="E33" s="24">
        <v>1848410</v>
      </c>
      <c r="F33" s="24">
        <v>2943870</v>
      </c>
      <c r="G33" s="24">
        <v>8950770</v>
      </c>
      <c r="H33" s="24">
        <v>4508830</v>
      </c>
      <c r="I33" s="24">
        <v>4339670</v>
      </c>
      <c r="J33" s="24">
        <v>4854250</v>
      </c>
      <c r="K33" s="24">
        <v>7631580</v>
      </c>
      <c r="L33" s="24">
        <v>3023540</v>
      </c>
      <c r="M33" s="24">
        <v>6866870</v>
      </c>
      <c r="N33" s="24">
        <v>9891890</v>
      </c>
      <c r="O33" s="24">
        <v>13401420</v>
      </c>
      <c r="Q33" s="37">
        <f>IF((C33-C32&lt;0), "0",C33-C32)</f>
        <v>1010</v>
      </c>
      <c r="R33" s="37">
        <f t="shared" si="17"/>
        <v>14170</v>
      </c>
      <c r="S33" s="37">
        <f t="shared" si="15"/>
        <v>3690</v>
      </c>
      <c r="T33" s="37">
        <f t="shared" si="18"/>
        <v>1620</v>
      </c>
      <c r="U33" s="37">
        <f t="shared" si="19"/>
        <v>3570</v>
      </c>
      <c r="V33" s="37">
        <f t="shared" si="20"/>
        <v>2750</v>
      </c>
      <c r="W33" s="37">
        <f t="shared" si="21"/>
        <v>2260</v>
      </c>
      <c r="X33" s="37">
        <f t="shared" si="22"/>
        <v>1700</v>
      </c>
      <c r="Y33" s="37">
        <f t="shared" si="23"/>
        <v>2950</v>
      </c>
      <c r="Z33" s="37">
        <f t="shared" si="24"/>
        <v>2440</v>
      </c>
      <c r="AA33" s="37">
        <f t="shared" si="25"/>
        <v>2890</v>
      </c>
      <c r="AB33" s="37">
        <f t="shared" si="26"/>
        <v>5760</v>
      </c>
      <c r="AC33" s="37">
        <f t="shared" si="27"/>
        <v>6920</v>
      </c>
      <c r="AD33" s="35">
        <f t="shared" si="28"/>
        <v>51730</v>
      </c>
      <c r="AF33" s="20">
        <f t="shared" si="1"/>
        <v>5.05</v>
      </c>
      <c r="AG33" s="20">
        <f t="shared" si="2"/>
        <v>70.850000000000009</v>
      </c>
      <c r="AH33" s="20">
        <f t="shared" si="3"/>
        <v>18.45</v>
      </c>
      <c r="AI33" s="20">
        <f t="shared" si="4"/>
        <v>8.1</v>
      </c>
      <c r="AJ33" s="20">
        <f t="shared" si="5"/>
        <v>17.850000000000001</v>
      </c>
      <c r="AK33" s="20">
        <f t="shared" si="6"/>
        <v>13.75</v>
      </c>
      <c r="AL33" s="20">
        <f t="shared" si="7"/>
        <v>11.3</v>
      </c>
      <c r="AM33" s="20">
        <f t="shared" si="8"/>
        <v>8.5</v>
      </c>
      <c r="AN33" s="20">
        <f t="shared" si="9"/>
        <v>14.75</v>
      </c>
      <c r="AO33" s="20">
        <f t="shared" si="10"/>
        <v>12.200000000000001</v>
      </c>
      <c r="AP33" s="20">
        <f t="shared" si="11"/>
        <v>14.450000000000001</v>
      </c>
      <c r="AQ33" s="20">
        <f t="shared" si="12"/>
        <v>28.8</v>
      </c>
      <c r="AR33" s="20">
        <f t="shared" si="13"/>
        <v>34.6</v>
      </c>
      <c r="AS33" s="35">
        <f t="shared" si="29"/>
        <v>258.65000000000003</v>
      </c>
      <c r="AU33" s="47">
        <v>50745</v>
      </c>
      <c r="AV33" s="37">
        <f t="shared" si="34"/>
        <v>2111</v>
      </c>
      <c r="AW33" s="35">
        <f t="shared" si="30"/>
        <v>4.2220000000000004</v>
      </c>
    </row>
    <row r="34" spans="1:49" x14ac:dyDescent="0.25">
      <c r="A34" s="23">
        <v>44040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7"/>
        <v>0</v>
      </c>
      <c r="S34" s="37" t="str">
        <f t="shared" si="15"/>
        <v>0</v>
      </c>
      <c r="T34" s="37" t="str">
        <f t="shared" si="18"/>
        <v>0</v>
      </c>
      <c r="U34" s="37" t="str">
        <f t="shared" si="19"/>
        <v>0</v>
      </c>
      <c r="V34" s="37" t="str">
        <f t="shared" si="20"/>
        <v>0</v>
      </c>
      <c r="W34" s="37" t="str">
        <f t="shared" si="21"/>
        <v>0</v>
      </c>
      <c r="X34" s="37" t="str">
        <f t="shared" si="22"/>
        <v>0</v>
      </c>
      <c r="Y34" s="37" t="str">
        <f t="shared" si="23"/>
        <v>0</v>
      </c>
      <c r="Z34" s="37" t="str">
        <f t="shared" si="24"/>
        <v>0</v>
      </c>
      <c r="AA34" s="37" t="str">
        <f t="shared" si="25"/>
        <v>0</v>
      </c>
      <c r="AB34" s="37">
        <v>0</v>
      </c>
      <c r="AC34" s="37" t="str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30"/>
        <v>0</v>
      </c>
    </row>
    <row r="35" spans="1:49" x14ac:dyDescent="0.25">
      <c r="A35" s="23">
        <v>44041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171370</v>
      </c>
      <c r="R38" s="30">
        <f t="shared" si="62"/>
        <v>307390</v>
      </c>
      <c r="S38" s="30">
        <f t="shared" si="62"/>
        <v>13440</v>
      </c>
      <c r="T38" s="30">
        <f t="shared" si="62"/>
        <v>40610</v>
      </c>
      <c r="U38" s="30">
        <f t="shared" si="62"/>
        <v>79830</v>
      </c>
      <c r="V38" s="30">
        <f t="shared" si="62"/>
        <v>60140</v>
      </c>
      <c r="W38" s="30">
        <f t="shared" si="62"/>
        <v>55580</v>
      </c>
      <c r="X38" s="30">
        <f t="shared" si="62"/>
        <v>41830</v>
      </c>
      <c r="Y38" s="30">
        <f t="shared" si="62"/>
        <v>57560</v>
      </c>
      <c r="Z38" s="30">
        <f t="shared" si="62"/>
        <v>60290</v>
      </c>
      <c r="AA38" s="30">
        <f t="shared" si="62"/>
        <v>45760</v>
      </c>
      <c r="AB38" s="30">
        <f t="shared" si="62"/>
        <v>128680</v>
      </c>
      <c r="AC38" s="30">
        <f t="shared" si="62"/>
        <v>163020</v>
      </c>
      <c r="AD38" s="35">
        <f t="shared" si="62"/>
        <v>1225500</v>
      </c>
      <c r="AF38" s="35">
        <f t="shared" ref="AF38:AS38" si="63">SUM(AF7:AF34)</f>
        <v>856.84999999999991</v>
      </c>
      <c r="AG38" s="35">
        <f t="shared" si="63"/>
        <v>1536.9499999999998</v>
      </c>
      <c r="AH38" s="35">
        <f t="shared" si="63"/>
        <v>67.2</v>
      </c>
      <c r="AI38" s="35">
        <f t="shared" si="63"/>
        <v>203.04999999999998</v>
      </c>
      <c r="AJ38" s="35">
        <f t="shared" si="63"/>
        <v>399.15000000000015</v>
      </c>
      <c r="AK38" s="35">
        <f t="shared" si="63"/>
        <v>300.69999999999993</v>
      </c>
      <c r="AL38" s="35">
        <f t="shared" si="63"/>
        <v>277.90000000000003</v>
      </c>
      <c r="AM38" s="35">
        <f t="shared" si="63"/>
        <v>209.14999999999995</v>
      </c>
      <c r="AN38" s="35">
        <f t="shared" si="63"/>
        <v>287.8</v>
      </c>
      <c r="AO38" s="35">
        <f t="shared" si="63"/>
        <v>301.44999999999993</v>
      </c>
      <c r="AP38" s="35">
        <f t="shared" si="63"/>
        <v>228.79999999999995</v>
      </c>
      <c r="AQ38" s="35">
        <f t="shared" si="63"/>
        <v>643.40000000000009</v>
      </c>
      <c r="AR38" s="35">
        <f t="shared" si="63"/>
        <v>815.1</v>
      </c>
      <c r="AS38" s="35">
        <f t="shared" si="63"/>
        <v>6127.5</v>
      </c>
      <c r="AU38" s="48"/>
      <c r="AV38" s="35">
        <f>SUM(AV7:AV34)</f>
        <v>51463</v>
      </c>
      <c r="AW38" s="35">
        <f>SUM(AW7:AW34)</f>
        <v>99.901999999999973</v>
      </c>
    </row>
    <row r="39" spans="1:49" x14ac:dyDescent="0.25">
      <c r="D39">
        <v>5.0000000000000001E-3</v>
      </c>
      <c r="AV39" s="36">
        <f>AV38*0.00378541*1000</f>
        <v>194808.55482999998</v>
      </c>
    </row>
    <row r="40" spans="1:49" x14ac:dyDescent="0.25">
      <c r="D40">
        <v>2E-3</v>
      </c>
      <c r="AV40">
        <f>AV39/31</f>
        <v>6284.146929999999</v>
      </c>
    </row>
    <row r="41" spans="1:49" x14ac:dyDescent="0.25">
      <c r="AV41">
        <f>AV38*0.00378541</f>
        <v>194.80855482999999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2020-07-28T07:01:43Z</dcterms:modified>
</cp:coreProperties>
</file>