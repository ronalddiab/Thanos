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340B5E4A-A22A-4B4C-B46D-5903717CFFAC}" xr6:coauthVersionLast="47" xr6:coauthVersionMax="47" xr10:uidLastSave="{00000000-0000-0000-0000-000000000000}"/>
  <bookViews>
    <workbookView xWindow="-108" yWindow="-108" windowWidth="23256" windowHeight="12456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AV4" i="2"/>
  <c r="V36" i="2"/>
  <c r="T4" i="2"/>
  <c r="U5" i="2" s="1"/>
  <c r="J3" i="4" s="1"/>
  <c r="M4" i="2"/>
  <c r="D36" i="2"/>
  <c r="BK36" i="2"/>
  <c r="AT36" i="2"/>
  <c r="AS36" i="2"/>
  <c r="AR36" i="2"/>
  <c r="AN36" i="2"/>
  <c r="AJ36" i="2"/>
  <c r="AG36" i="2"/>
  <c r="AD36" i="2"/>
  <c r="AA36" i="2"/>
  <c r="Y36" i="2"/>
  <c r="X36" i="2"/>
  <c r="T36" i="2"/>
  <c r="R36" i="2"/>
  <c r="P36" i="2"/>
  <c r="AQ35" i="2"/>
  <c r="AM35" i="2"/>
  <c r="AI35" i="2"/>
  <c r="Z35" i="2"/>
  <c r="W35" i="2"/>
  <c r="U35" i="2"/>
  <c r="S35" i="2"/>
  <c r="Q35" i="2"/>
  <c r="O35" i="2"/>
  <c r="K35" i="2"/>
  <c r="I35" i="2"/>
  <c r="G35" i="2"/>
  <c r="E35" i="2"/>
  <c r="BK34" i="2"/>
  <c r="BI34" i="2"/>
  <c r="BH34" i="2"/>
  <c r="BG34" i="2"/>
  <c r="BF34" i="2"/>
  <c r="BE34" i="2"/>
  <c r="AX34" i="2"/>
  <c r="AQ34" i="2"/>
  <c r="AM34" i="2"/>
  <c r="AI34" i="2"/>
  <c r="AF34" i="2"/>
  <c r="AC34" i="2"/>
  <c r="Z34" i="2"/>
  <c r="W34" i="2"/>
  <c r="U34" i="2"/>
  <c r="S34" i="2"/>
  <c r="Q34" i="2"/>
  <c r="O34" i="2"/>
  <c r="G32" i="4" s="1"/>
  <c r="K34" i="2"/>
  <c r="I34" i="2"/>
  <c r="M34" i="2"/>
  <c r="G34" i="2"/>
  <c r="E34" i="2"/>
  <c r="BK33" i="2"/>
  <c r="BI33" i="2"/>
  <c r="BH33" i="2"/>
  <c r="BG33" i="2"/>
  <c r="BF33" i="2"/>
  <c r="BE33" i="2"/>
  <c r="BD33" i="2"/>
  <c r="AX33" i="2"/>
  <c r="AQ33" i="2"/>
  <c r="AM33" i="2"/>
  <c r="AI33" i="2"/>
  <c r="AF33" i="2"/>
  <c r="AC33" i="2"/>
  <c r="Z33" i="2"/>
  <c r="W33" i="2"/>
  <c r="U33" i="2"/>
  <c r="S33" i="2"/>
  <c r="Q33" i="2"/>
  <c r="O33" i="2"/>
  <c r="K33" i="2"/>
  <c r="I33" i="2"/>
  <c r="M33" i="2"/>
  <c r="G33" i="2"/>
  <c r="E33" i="2"/>
  <c r="BK32" i="2"/>
  <c r="BI32" i="2"/>
  <c r="BH32" i="2"/>
  <c r="BG32" i="2"/>
  <c r="BF32" i="2"/>
  <c r="BE32" i="2"/>
  <c r="BD32" i="2"/>
  <c r="AX32" i="2"/>
  <c r="AQ32" i="2"/>
  <c r="AM32" i="2"/>
  <c r="AI32" i="2"/>
  <c r="AF32" i="2"/>
  <c r="AC32" i="2"/>
  <c r="Z32" i="2"/>
  <c r="W32" i="2"/>
  <c r="U32" i="2"/>
  <c r="S32" i="2"/>
  <c r="Q32" i="2"/>
  <c r="O32" i="2"/>
  <c r="M32" i="2"/>
  <c r="K32" i="2"/>
  <c r="I32" i="2"/>
  <c r="E32" i="2"/>
  <c r="BK31" i="2"/>
  <c r="BI31" i="2"/>
  <c r="BH31" i="2"/>
  <c r="BG31" i="2"/>
  <c r="BF31" i="2"/>
  <c r="BE31" i="2"/>
  <c r="BD31" i="2"/>
  <c r="AX31" i="2"/>
  <c r="AQ31" i="2"/>
  <c r="AM31" i="2"/>
  <c r="AI31" i="2"/>
  <c r="AF31" i="2"/>
  <c r="AC31" i="2"/>
  <c r="Z31" i="2"/>
  <c r="W31" i="2"/>
  <c r="U31" i="2"/>
  <c r="S31" i="2"/>
  <c r="Q31" i="2"/>
  <c r="O31" i="2"/>
  <c r="G29" i="4" s="1"/>
  <c r="M31" i="2"/>
  <c r="K31" i="2"/>
  <c r="I31" i="2"/>
  <c r="G31" i="2"/>
  <c r="E31" i="2"/>
  <c r="BK30" i="2"/>
  <c r="BI30" i="2"/>
  <c r="BH30" i="2"/>
  <c r="BG30" i="2"/>
  <c r="BF30" i="2"/>
  <c r="BE30" i="2"/>
  <c r="BD30" i="2"/>
  <c r="AX30" i="2"/>
  <c r="AQ30" i="2"/>
  <c r="AM30" i="2"/>
  <c r="AI30" i="2"/>
  <c r="AF30" i="2"/>
  <c r="AC30" i="2"/>
  <c r="Z30" i="2"/>
  <c r="W30" i="2"/>
  <c r="U30" i="2"/>
  <c r="S30" i="2"/>
  <c r="Q30" i="2"/>
  <c r="O30" i="2"/>
  <c r="G28" i="4" s="1"/>
  <c r="K30" i="2"/>
  <c r="I30" i="2"/>
  <c r="M30" i="2" s="1"/>
  <c r="G30" i="2"/>
  <c r="E30" i="2"/>
  <c r="BK29" i="2"/>
  <c r="BI29" i="2"/>
  <c r="BH29" i="2"/>
  <c r="BG29" i="2"/>
  <c r="BF29" i="2"/>
  <c r="BE29" i="2"/>
  <c r="BD29" i="2"/>
  <c r="AX29" i="2"/>
  <c r="AQ29" i="2"/>
  <c r="AM29" i="2"/>
  <c r="AI29" i="2"/>
  <c r="AF29" i="2"/>
  <c r="AC29" i="2"/>
  <c r="Z29" i="2"/>
  <c r="W29" i="2"/>
  <c r="U29" i="2"/>
  <c r="S29" i="2"/>
  <c r="Q29" i="2"/>
  <c r="O29" i="2"/>
  <c r="G27" i="4" s="1"/>
  <c r="M29" i="2"/>
  <c r="K29" i="2"/>
  <c r="I29" i="2"/>
  <c r="G29" i="2"/>
  <c r="E29" i="2"/>
  <c r="BK28" i="2"/>
  <c r="BI28" i="2"/>
  <c r="BH28" i="2"/>
  <c r="BG28" i="2"/>
  <c r="BF28" i="2"/>
  <c r="BE28" i="2"/>
  <c r="BD28" i="2"/>
  <c r="AX28" i="2"/>
  <c r="AQ28" i="2"/>
  <c r="AM28" i="2"/>
  <c r="AI28" i="2"/>
  <c r="AF28" i="2"/>
  <c r="AC28" i="2"/>
  <c r="Z28" i="2"/>
  <c r="W28" i="2"/>
  <c r="U28" i="2"/>
  <c r="S28" i="2"/>
  <c r="Q28" i="2"/>
  <c r="O28" i="2"/>
  <c r="G26" i="4" s="1"/>
  <c r="K28" i="2"/>
  <c r="I28" i="2"/>
  <c r="M28" i="2" s="1"/>
  <c r="G28" i="2"/>
  <c r="E28" i="2"/>
  <c r="BK27" i="2"/>
  <c r="BI27" i="2"/>
  <c r="BH27" i="2"/>
  <c r="BG27" i="2"/>
  <c r="BF27" i="2"/>
  <c r="BE27" i="2"/>
  <c r="BD27" i="2"/>
  <c r="AX27" i="2"/>
  <c r="AQ27" i="2"/>
  <c r="AM27" i="2"/>
  <c r="AI27" i="2"/>
  <c r="AF27" i="2"/>
  <c r="AC27" i="2"/>
  <c r="Z27" i="2"/>
  <c r="W27" i="2"/>
  <c r="U27" i="2"/>
  <c r="S27" i="2"/>
  <c r="Q27" i="2"/>
  <c r="O27" i="2"/>
  <c r="G25" i="4" s="1"/>
  <c r="M27" i="2"/>
  <c r="K27" i="2"/>
  <c r="I27" i="2"/>
  <c r="G27" i="2"/>
  <c r="E27" i="2"/>
  <c r="BK26" i="2"/>
  <c r="BI26" i="2"/>
  <c r="BH26" i="2"/>
  <c r="BG26" i="2"/>
  <c r="BF26" i="2"/>
  <c r="BE26" i="2"/>
  <c r="BD26" i="2"/>
  <c r="AX26" i="2"/>
  <c r="AQ26" i="2"/>
  <c r="AM26" i="2"/>
  <c r="AI26" i="2"/>
  <c r="AF26" i="2"/>
  <c r="AC26" i="2"/>
  <c r="Z26" i="2"/>
  <c r="W26" i="2"/>
  <c r="U26" i="2"/>
  <c r="S26" i="2"/>
  <c r="Q26" i="2"/>
  <c r="O26" i="2"/>
  <c r="G24" i="4" s="1"/>
  <c r="K26" i="2"/>
  <c r="I26" i="2"/>
  <c r="M26" i="2" s="1"/>
  <c r="G26" i="2"/>
  <c r="E26" i="2"/>
  <c r="BK25" i="2"/>
  <c r="BI25" i="2"/>
  <c r="BH25" i="2"/>
  <c r="BG25" i="2"/>
  <c r="BF25" i="2"/>
  <c r="BE25" i="2"/>
  <c r="BD25" i="2"/>
  <c r="AX25" i="2"/>
  <c r="AQ25" i="2"/>
  <c r="AM25" i="2"/>
  <c r="AI25" i="2"/>
  <c r="AF25" i="2"/>
  <c r="AC25" i="2"/>
  <c r="Z25" i="2"/>
  <c r="W25" i="2"/>
  <c r="U25" i="2"/>
  <c r="S25" i="2"/>
  <c r="Q25" i="2"/>
  <c r="O25" i="2"/>
  <c r="G23" i="4" s="1"/>
  <c r="M25" i="2"/>
  <c r="K25" i="2"/>
  <c r="I25" i="2"/>
  <c r="G25" i="2"/>
  <c r="E25" i="2"/>
  <c r="BK24" i="2"/>
  <c r="BI24" i="2"/>
  <c r="BH24" i="2"/>
  <c r="BG24" i="2"/>
  <c r="BF24" i="2"/>
  <c r="BE24" i="2"/>
  <c r="AX24" i="2"/>
  <c r="AQ24" i="2"/>
  <c r="AM24" i="2"/>
  <c r="AI24" i="2"/>
  <c r="AF24" i="2"/>
  <c r="AC24" i="2"/>
  <c r="Z24" i="2"/>
  <c r="W24" i="2"/>
  <c r="U24" i="2"/>
  <c r="S24" i="2"/>
  <c r="Q24" i="2"/>
  <c r="O24" i="2"/>
  <c r="K24" i="2"/>
  <c r="I24" i="2"/>
  <c r="M24" i="2" s="1"/>
  <c r="G24" i="2"/>
  <c r="E24" i="2"/>
  <c r="BK23" i="2"/>
  <c r="BI23" i="2"/>
  <c r="BH23" i="2"/>
  <c r="BG23" i="2"/>
  <c r="BF23" i="2"/>
  <c r="BE23" i="2"/>
  <c r="BD23" i="2"/>
  <c r="AX23" i="2"/>
  <c r="AQ23" i="2"/>
  <c r="AM23" i="2"/>
  <c r="AI23" i="2"/>
  <c r="AF23" i="2"/>
  <c r="AC23" i="2"/>
  <c r="Z23" i="2"/>
  <c r="W23" i="2"/>
  <c r="U23" i="2"/>
  <c r="S23" i="2"/>
  <c r="Q23" i="2"/>
  <c r="O23" i="2"/>
  <c r="G21" i="4" s="1"/>
  <c r="M23" i="2"/>
  <c r="K23" i="2"/>
  <c r="I23" i="2"/>
  <c r="G23" i="2"/>
  <c r="E23" i="2"/>
  <c r="BK22" i="2"/>
  <c r="BI22" i="2"/>
  <c r="BH22" i="2"/>
  <c r="BG22" i="2"/>
  <c r="BF22" i="2"/>
  <c r="BE22" i="2"/>
  <c r="BD22" i="2"/>
  <c r="AX22" i="2"/>
  <c r="AQ22" i="2"/>
  <c r="AM22" i="2"/>
  <c r="AI22" i="2"/>
  <c r="AF22" i="2"/>
  <c r="AC22" i="2"/>
  <c r="Z22" i="2"/>
  <c r="W22" i="2"/>
  <c r="U22" i="2"/>
  <c r="S22" i="2"/>
  <c r="Q22" i="2"/>
  <c r="O22" i="2"/>
  <c r="K22" i="2"/>
  <c r="I22" i="2"/>
  <c r="M22" i="2" s="1"/>
  <c r="G22" i="2"/>
  <c r="E22" i="2"/>
  <c r="BK21" i="2"/>
  <c r="BI21" i="2"/>
  <c r="BH21" i="2"/>
  <c r="BG21" i="2"/>
  <c r="BF21" i="2"/>
  <c r="BE21" i="2"/>
  <c r="BD21" i="2"/>
  <c r="AQ21" i="2"/>
  <c r="AM21" i="2"/>
  <c r="AI21" i="2"/>
  <c r="AF21" i="2"/>
  <c r="AC21" i="2"/>
  <c r="Z21" i="2"/>
  <c r="W21" i="2"/>
  <c r="U21" i="2"/>
  <c r="S21" i="2"/>
  <c r="Q21" i="2"/>
  <c r="O21" i="2"/>
  <c r="M21" i="2"/>
  <c r="K21" i="2"/>
  <c r="I21" i="2"/>
  <c r="G21" i="2"/>
  <c r="E21" i="2"/>
  <c r="BK20" i="2"/>
  <c r="BI20" i="2"/>
  <c r="BH20" i="2"/>
  <c r="BG20" i="2"/>
  <c r="BF20" i="2"/>
  <c r="BE20" i="2"/>
  <c r="BD20" i="2"/>
  <c r="AX20" i="2"/>
  <c r="AQ20" i="2"/>
  <c r="AM20" i="2"/>
  <c r="AI20" i="2"/>
  <c r="AF20" i="2"/>
  <c r="AC20" i="2"/>
  <c r="Z20" i="2"/>
  <c r="W20" i="2"/>
  <c r="U20" i="2"/>
  <c r="S20" i="2"/>
  <c r="Q20" i="2"/>
  <c r="H18" i="4"/>
  <c r="O20" i="2"/>
  <c r="G18" i="4" s="1"/>
  <c r="K20" i="2"/>
  <c r="I20" i="2"/>
  <c r="M20" i="2" s="1"/>
  <c r="G20" i="2"/>
  <c r="E20" i="2"/>
  <c r="BK19" i="2"/>
  <c r="BI19" i="2"/>
  <c r="BH19" i="2"/>
  <c r="BG19" i="2"/>
  <c r="BF19" i="2"/>
  <c r="BE19" i="2"/>
  <c r="BD19" i="2"/>
  <c r="AX19" i="2"/>
  <c r="AQ19" i="2"/>
  <c r="AM19" i="2"/>
  <c r="AI19" i="2"/>
  <c r="AF19" i="2"/>
  <c r="AC19" i="2"/>
  <c r="Z19" i="2"/>
  <c r="W19" i="2"/>
  <c r="U19" i="2"/>
  <c r="S19" i="2"/>
  <c r="Q19" i="2"/>
  <c r="H17" i="4" s="1"/>
  <c r="O19" i="2"/>
  <c r="G17" i="4" s="1"/>
  <c r="M19" i="2"/>
  <c r="K19" i="2"/>
  <c r="I19" i="2"/>
  <c r="G19" i="2"/>
  <c r="E19" i="2"/>
  <c r="BK18" i="2"/>
  <c r="BI18" i="2"/>
  <c r="BH18" i="2"/>
  <c r="BG18" i="2"/>
  <c r="BF18" i="2"/>
  <c r="BE18" i="2"/>
  <c r="BD18" i="2"/>
  <c r="BC18" i="2"/>
  <c r="AZ18" i="2"/>
  <c r="AX18" i="2"/>
  <c r="AQ18" i="2"/>
  <c r="AM18" i="2"/>
  <c r="AI18" i="2"/>
  <c r="AF18" i="2"/>
  <c r="AC18" i="2"/>
  <c r="Z18" i="2"/>
  <c r="W18" i="2"/>
  <c r="U18" i="2"/>
  <c r="J16" i="4" s="1"/>
  <c r="S18" i="2"/>
  <c r="Q18" i="2"/>
  <c r="H16" i="4" s="1"/>
  <c r="O18" i="2"/>
  <c r="G16" i="4" s="1"/>
  <c r="K18" i="2"/>
  <c r="I18" i="2"/>
  <c r="M18" i="2" s="1"/>
  <c r="G18" i="2"/>
  <c r="E18" i="2"/>
  <c r="A18" i="2"/>
  <c r="A19" i="2"/>
  <c r="BK17" i="2"/>
  <c r="BI17" i="2"/>
  <c r="BH17" i="2"/>
  <c r="BG17" i="2"/>
  <c r="BF17" i="2"/>
  <c r="BE17" i="2"/>
  <c r="BD17" i="2"/>
  <c r="BC17" i="2"/>
  <c r="BB17" i="2"/>
  <c r="BA17" i="2"/>
  <c r="AZ17" i="2"/>
  <c r="AX17" i="2"/>
  <c r="AQ17" i="2"/>
  <c r="AM17" i="2"/>
  <c r="AI17" i="2"/>
  <c r="AF17" i="2"/>
  <c r="AC17" i="2"/>
  <c r="Z17" i="2"/>
  <c r="W17" i="2"/>
  <c r="U17" i="2"/>
  <c r="J15" i="4" s="1"/>
  <c r="S17" i="2"/>
  <c r="Q17" i="2"/>
  <c r="O17" i="2"/>
  <c r="K17" i="2"/>
  <c r="I17" i="2"/>
  <c r="M17" i="2" s="1"/>
  <c r="G17" i="2"/>
  <c r="E17" i="2"/>
  <c r="E15" i="4" s="1"/>
  <c r="BK16" i="2"/>
  <c r="BI16" i="2"/>
  <c r="BH16" i="2"/>
  <c r="BG16" i="2"/>
  <c r="BF16" i="2"/>
  <c r="BE16" i="2"/>
  <c r="BD16" i="2"/>
  <c r="AY16" i="2"/>
  <c r="AY17" i="2"/>
  <c r="AY18" i="2"/>
  <c r="AY19" i="2" s="1"/>
  <c r="AY20" i="2" s="1"/>
  <c r="AY21" i="2" s="1"/>
  <c r="AY22" i="2" s="1"/>
  <c r="AY23" i="2" s="1"/>
  <c r="AY24" i="2" s="1"/>
  <c r="AY25" i="2" s="1"/>
  <c r="AY26" i="2" s="1"/>
  <c r="AY27" i="2" s="1"/>
  <c r="AY28" i="2" s="1"/>
  <c r="AY29" i="2" s="1"/>
  <c r="AY30" i="2" s="1"/>
  <c r="AY31" i="2" s="1"/>
  <c r="AY32" i="2" s="1"/>
  <c r="AY33" i="2" s="1"/>
  <c r="AY34" i="2" s="1"/>
  <c r="AY35" i="2" s="1"/>
  <c r="AX16" i="2"/>
  <c r="AQ16" i="2"/>
  <c r="AM16" i="2"/>
  <c r="AI16" i="2"/>
  <c r="AF16" i="2"/>
  <c r="AC16" i="2"/>
  <c r="Z16" i="2"/>
  <c r="W16" i="2"/>
  <c r="U16" i="2"/>
  <c r="J14" i="4" s="1"/>
  <c r="S16" i="2"/>
  <c r="Q16" i="2"/>
  <c r="O16" i="2"/>
  <c r="G14" i="4" s="1"/>
  <c r="K16" i="2"/>
  <c r="I16" i="2"/>
  <c r="M16" i="2" s="1"/>
  <c r="G16" i="2"/>
  <c r="F14" i="4" s="1"/>
  <c r="E16" i="2"/>
  <c r="G13" i="5" s="1"/>
  <c r="BK15" i="2"/>
  <c r="BI15" i="2"/>
  <c r="BH15" i="2"/>
  <c r="BG15" i="2"/>
  <c r="BF15" i="2"/>
  <c r="BE15" i="2"/>
  <c r="BD15" i="2"/>
  <c r="AX15" i="2"/>
  <c r="AQ15" i="2"/>
  <c r="AM15" i="2"/>
  <c r="AI15" i="2"/>
  <c r="AF15" i="2"/>
  <c r="AC15" i="2"/>
  <c r="Z15" i="2"/>
  <c r="W15" i="2"/>
  <c r="U15" i="2"/>
  <c r="J13" i="4" s="1"/>
  <c r="S15" i="2"/>
  <c r="Q15" i="2"/>
  <c r="O15" i="2"/>
  <c r="K15" i="2"/>
  <c r="I15" i="2"/>
  <c r="M15" i="2"/>
  <c r="G15" i="2"/>
  <c r="F13" i="4" s="1"/>
  <c r="E15" i="2"/>
  <c r="G12" i="5" s="1"/>
  <c r="BK14" i="2"/>
  <c r="BI14" i="2"/>
  <c r="BH14" i="2"/>
  <c r="BG14" i="2"/>
  <c r="BF14" i="2"/>
  <c r="BE14" i="2"/>
  <c r="AX14" i="2"/>
  <c r="AQ14" i="2"/>
  <c r="AM14" i="2"/>
  <c r="AI14" i="2"/>
  <c r="AF14" i="2"/>
  <c r="AC14" i="2"/>
  <c r="Z14" i="2"/>
  <c r="W14" i="2"/>
  <c r="U14" i="2"/>
  <c r="J12" i="4"/>
  <c r="S14" i="2"/>
  <c r="Q14" i="2"/>
  <c r="O14" i="2"/>
  <c r="K14" i="2"/>
  <c r="I14" i="2"/>
  <c r="M14" i="2" s="1"/>
  <c r="G14" i="2"/>
  <c r="E14" i="2"/>
  <c r="G11" i="5" s="1"/>
  <c r="E12" i="4"/>
  <c r="A14" i="2"/>
  <c r="BD14" i="2" s="1"/>
  <c r="BK13" i="2"/>
  <c r="BI13" i="2"/>
  <c r="BH13" i="2"/>
  <c r="BG13" i="2"/>
  <c r="BF13" i="2"/>
  <c r="BE13" i="2"/>
  <c r="BD13" i="2"/>
  <c r="BC13" i="2"/>
  <c r="BB13" i="2"/>
  <c r="BA13" i="2"/>
  <c r="AZ13" i="2"/>
  <c r="AX13" i="2"/>
  <c r="AQ13" i="2"/>
  <c r="AM13" i="2"/>
  <c r="AI13" i="2"/>
  <c r="AF13" i="2"/>
  <c r="AC13" i="2"/>
  <c r="Z13" i="2"/>
  <c r="W13" i="2"/>
  <c r="U13" i="2"/>
  <c r="S13" i="2"/>
  <c r="I11" i="4" s="1"/>
  <c r="Q13" i="2"/>
  <c r="O13" i="2"/>
  <c r="K13" i="2"/>
  <c r="I13" i="2"/>
  <c r="M13" i="2" s="1"/>
  <c r="G13" i="2"/>
  <c r="E13" i="2"/>
  <c r="BK12" i="2"/>
  <c r="BI12" i="2"/>
  <c r="BH12" i="2"/>
  <c r="BG12" i="2"/>
  <c r="BF12" i="2"/>
  <c r="BE12" i="2"/>
  <c r="BD12" i="2"/>
  <c r="AX12" i="2"/>
  <c r="AQ12" i="2"/>
  <c r="AM12" i="2"/>
  <c r="AI12" i="2"/>
  <c r="AF12" i="2"/>
  <c r="AC12" i="2"/>
  <c r="Z12" i="2"/>
  <c r="W12" i="2"/>
  <c r="U12" i="2"/>
  <c r="S12" i="2"/>
  <c r="I10" i="4" s="1"/>
  <c r="Q12" i="2"/>
  <c r="H10" i="4" s="1"/>
  <c r="O12" i="2"/>
  <c r="G10" i="4" s="1"/>
  <c r="K12" i="2"/>
  <c r="I12" i="2"/>
  <c r="M12" i="2" s="1"/>
  <c r="G12" i="2"/>
  <c r="E12" i="2"/>
  <c r="BK11" i="2"/>
  <c r="BI11" i="2"/>
  <c r="BH11" i="2"/>
  <c r="BG11" i="2"/>
  <c r="BF11" i="2"/>
  <c r="BE11" i="2"/>
  <c r="BD11" i="2"/>
  <c r="AX11" i="2"/>
  <c r="AQ11" i="2"/>
  <c r="AM11" i="2"/>
  <c r="AI11" i="2"/>
  <c r="AF11" i="2"/>
  <c r="AC11" i="2"/>
  <c r="Z11" i="2"/>
  <c r="W11" i="2"/>
  <c r="U11" i="2"/>
  <c r="S11" i="2"/>
  <c r="Q11" i="2"/>
  <c r="H9" i="4" s="1"/>
  <c r="O11" i="2"/>
  <c r="G9" i="4" s="1"/>
  <c r="M11" i="2"/>
  <c r="K11" i="2"/>
  <c r="I11" i="2"/>
  <c r="G11" i="2"/>
  <c r="F9" i="4"/>
  <c r="E11" i="2"/>
  <c r="BK10" i="2"/>
  <c r="BI10" i="2"/>
  <c r="BH10" i="2"/>
  <c r="BG10" i="2"/>
  <c r="BF10" i="2"/>
  <c r="BE10" i="2"/>
  <c r="BD10" i="2"/>
  <c r="AX10" i="2"/>
  <c r="AQ10" i="2"/>
  <c r="AM10" i="2"/>
  <c r="AI10" i="2"/>
  <c r="AF10" i="2"/>
  <c r="AC10" i="2"/>
  <c r="Z10" i="2"/>
  <c r="W10" i="2"/>
  <c r="U10" i="2"/>
  <c r="J8" i="4" s="1"/>
  <c r="S10" i="2"/>
  <c r="I8" i="4" s="1"/>
  <c r="Q10" i="2"/>
  <c r="O10" i="2"/>
  <c r="K10" i="2"/>
  <c r="I10" i="2"/>
  <c r="M10" i="2" s="1"/>
  <c r="G10" i="2"/>
  <c r="E10" i="2"/>
  <c r="BK9" i="2"/>
  <c r="BI9" i="2"/>
  <c r="BH9" i="2"/>
  <c r="BG9" i="2"/>
  <c r="BF9" i="2"/>
  <c r="BE9" i="2"/>
  <c r="BD9" i="2"/>
  <c r="AX9" i="2"/>
  <c r="AQ9" i="2"/>
  <c r="AM9" i="2"/>
  <c r="AI9" i="2"/>
  <c r="AF9" i="2"/>
  <c r="AC9" i="2"/>
  <c r="Z9" i="2"/>
  <c r="W9" i="2"/>
  <c r="U9" i="2"/>
  <c r="J7" i="4" s="1"/>
  <c r="S9" i="2"/>
  <c r="Q9" i="2"/>
  <c r="O9" i="2"/>
  <c r="G7" i="4" s="1"/>
  <c r="K9" i="2"/>
  <c r="I9" i="2"/>
  <c r="M9" i="2" s="1"/>
  <c r="G9" i="2"/>
  <c r="E9" i="2"/>
  <c r="BK8" i="2"/>
  <c r="BI8" i="2"/>
  <c r="BH8" i="2"/>
  <c r="BG8" i="2"/>
  <c r="BF8" i="2"/>
  <c r="BE8" i="2"/>
  <c r="BD8" i="2"/>
  <c r="AX8" i="2"/>
  <c r="AQ8" i="2"/>
  <c r="AM8" i="2"/>
  <c r="AI8" i="2"/>
  <c r="AF8" i="2"/>
  <c r="AC8" i="2"/>
  <c r="Z8" i="2"/>
  <c r="W8" i="2"/>
  <c r="U8" i="2"/>
  <c r="J6" i="4" s="1"/>
  <c r="S8" i="2"/>
  <c r="Q8" i="2"/>
  <c r="O8" i="2"/>
  <c r="G6" i="4" s="1"/>
  <c r="K8" i="2"/>
  <c r="I8" i="2"/>
  <c r="M8" i="2" s="1"/>
  <c r="G8" i="2"/>
  <c r="F6" i="4" s="1"/>
  <c r="E8" i="2"/>
  <c r="BK7" i="2"/>
  <c r="BI7" i="2"/>
  <c r="BH7" i="2"/>
  <c r="BG7" i="2"/>
  <c r="BF7" i="2"/>
  <c r="BE7" i="2"/>
  <c r="BD7" i="2"/>
  <c r="AX7" i="2"/>
  <c r="AQ7" i="2"/>
  <c r="AM7" i="2"/>
  <c r="AI7" i="2"/>
  <c r="AF7" i="2"/>
  <c r="AC7" i="2"/>
  <c r="Z7" i="2"/>
  <c r="W7" i="2"/>
  <c r="U7" i="2"/>
  <c r="S7" i="2"/>
  <c r="I5" i="4" s="1"/>
  <c r="Q7" i="2"/>
  <c r="H5" i="4" s="1"/>
  <c r="O7" i="2"/>
  <c r="G5" i="4" s="1"/>
  <c r="K7" i="2"/>
  <c r="I7" i="2"/>
  <c r="M7" i="2" s="1"/>
  <c r="G7" i="2"/>
  <c r="F5" i="4" s="1"/>
  <c r="E7" i="2"/>
  <c r="E5" i="4" s="1"/>
  <c r="BK6" i="2"/>
  <c r="BI6" i="2"/>
  <c r="BH6" i="2"/>
  <c r="BG6" i="2"/>
  <c r="BF6" i="2"/>
  <c r="BE6" i="2"/>
  <c r="BD6" i="2"/>
  <c r="AY6" i="2"/>
  <c r="AY7" i="2" s="1"/>
  <c r="AY8" i="2" s="1"/>
  <c r="AY9" i="2" s="1"/>
  <c r="AY10" i="2" s="1"/>
  <c r="AY11" i="2" s="1"/>
  <c r="AY12" i="2" s="1"/>
  <c r="AY13" i="2" s="1"/>
  <c r="AY14" i="2" s="1"/>
  <c r="AX6" i="2"/>
  <c r="AQ6" i="2"/>
  <c r="AM6" i="2"/>
  <c r="AI6" i="2"/>
  <c r="AF6" i="2"/>
  <c r="AC6" i="2"/>
  <c r="Z6" i="2"/>
  <c r="W6" i="2"/>
  <c r="U6" i="2"/>
  <c r="J4" i="4" s="1"/>
  <c r="S6" i="2"/>
  <c r="I4" i="4" s="1"/>
  <c r="Q6" i="2"/>
  <c r="H4" i="4" s="1"/>
  <c r="O6" i="2"/>
  <c r="G4" i="4" s="1"/>
  <c r="K6" i="2"/>
  <c r="I6" i="2"/>
  <c r="M6" i="2" s="1"/>
  <c r="G6" i="2"/>
  <c r="E6" i="2"/>
  <c r="A6" i="2"/>
  <c r="AZ6" i="2" s="1"/>
  <c r="A7" i="2"/>
  <c r="BC7" i="2" s="1"/>
  <c r="BK5" i="2"/>
  <c r="BI5" i="2"/>
  <c r="BH5" i="2"/>
  <c r="BG5" i="2"/>
  <c r="BF5" i="2"/>
  <c r="BE5" i="2"/>
  <c r="BD5" i="2"/>
  <c r="BC5" i="2"/>
  <c r="BB5" i="2"/>
  <c r="BA5" i="2"/>
  <c r="AZ5" i="2"/>
  <c r="AX5" i="2"/>
  <c r="AQ5" i="2"/>
  <c r="AM5" i="2"/>
  <c r="AI5" i="2"/>
  <c r="AF5" i="2"/>
  <c r="AC5" i="2"/>
  <c r="Z5" i="2"/>
  <c r="W5" i="2"/>
  <c r="K5" i="2"/>
  <c r="BK4" i="2"/>
  <c r="BE4" i="2"/>
  <c r="BC4" i="2"/>
  <c r="BB4" i="2"/>
  <c r="BA4" i="2"/>
  <c r="AZ4" i="2"/>
  <c r="AP36" i="2"/>
  <c r="AL36" i="2"/>
  <c r="AH36" i="2"/>
  <c r="AE36" i="2"/>
  <c r="AB36" i="2"/>
  <c r="S5" i="2"/>
  <c r="I3" i="4"/>
  <c r="Q5" i="2"/>
  <c r="H3" i="4"/>
  <c r="N36" i="2"/>
  <c r="I5" i="2"/>
  <c r="M5" i="2" s="1"/>
  <c r="G5" i="2"/>
  <c r="F3" i="4" s="1"/>
  <c r="G29" i="5"/>
  <c r="H29" i="4"/>
  <c r="J26" i="4"/>
  <c r="G25" i="5"/>
  <c r="H25" i="4"/>
  <c r="F25" i="4"/>
  <c r="I22" i="4"/>
  <c r="H22" i="4"/>
  <c r="F22" i="4"/>
  <c r="E22" i="4"/>
  <c r="J21" i="4"/>
  <c r="G20" i="5"/>
  <c r="I20" i="4"/>
  <c r="G20" i="4"/>
  <c r="I19" i="4"/>
  <c r="F19" i="4"/>
  <c r="J18" i="4"/>
  <c r="F18" i="4"/>
  <c r="J17" i="4"/>
  <c r="E17" i="4"/>
  <c r="I16" i="4"/>
  <c r="G15" i="5"/>
  <c r="I15" i="4"/>
  <c r="H15" i="4"/>
  <c r="I13" i="4"/>
  <c r="H12" i="4"/>
  <c r="F12" i="4"/>
  <c r="J11" i="4"/>
  <c r="H11" i="4"/>
  <c r="G11" i="4"/>
  <c r="G10" i="5"/>
  <c r="F10" i="4"/>
  <c r="G8" i="5"/>
  <c r="H8" i="4"/>
  <c r="H7" i="4"/>
  <c r="F7" i="4"/>
  <c r="I6" i="4"/>
  <c r="E6" i="4"/>
  <c r="P32" i="4"/>
  <c r="G31" i="5"/>
  <c r="E31" i="5"/>
  <c r="I32" i="4"/>
  <c r="H32" i="4"/>
  <c r="G31" i="4"/>
  <c r="J30" i="4"/>
  <c r="F30" i="4"/>
  <c r="J29" i="4"/>
  <c r="I29" i="4"/>
  <c r="G28" i="5"/>
  <c r="I12" i="4"/>
  <c r="G12" i="4"/>
  <c r="J10" i="4"/>
  <c r="E10" i="4"/>
  <c r="I9" i="4"/>
  <c r="H31" i="4"/>
  <c r="F31" i="4"/>
  <c r="F29" i="4"/>
  <c r="E29" i="4"/>
  <c r="J28" i="4"/>
  <c r="I28" i="4"/>
  <c r="H28" i="4"/>
  <c r="F28" i="4"/>
  <c r="E28" i="4"/>
  <c r="G27" i="5"/>
  <c r="F27" i="4"/>
  <c r="I26" i="4"/>
  <c r="H26" i="4"/>
  <c r="F26" i="4"/>
  <c r="E25" i="4"/>
  <c r="H24" i="4"/>
  <c r="E24" i="4"/>
  <c r="J22" i="4"/>
  <c r="G22" i="4"/>
  <c r="G21" i="5"/>
  <c r="H21" i="4"/>
  <c r="F21" i="4"/>
  <c r="G19" i="5"/>
  <c r="H19" i="4"/>
  <c r="G19" i="4"/>
  <c r="G18" i="5"/>
  <c r="G17" i="5"/>
  <c r="I17" i="4"/>
  <c r="F15" i="4"/>
  <c r="I14" i="4"/>
  <c r="H14" i="4"/>
  <c r="F8" i="4"/>
  <c r="G7" i="5"/>
  <c r="G6" i="5"/>
  <c r="H6" i="4"/>
  <c r="J5" i="4"/>
  <c r="G3" i="5"/>
  <c r="AB37" i="2"/>
  <c r="AJ37" i="2"/>
  <c r="E2" i="5"/>
  <c r="E7" i="4"/>
  <c r="I7" i="4"/>
  <c r="G13" i="4"/>
  <c r="H13" i="4"/>
  <c r="H20" i="4"/>
  <c r="I21" i="4"/>
  <c r="F23" i="4"/>
  <c r="J23" i="4"/>
  <c r="I25" i="4"/>
  <c r="J25" i="4"/>
  <c r="J27" i="4"/>
  <c r="H30" i="4"/>
  <c r="I30" i="4"/>
  <c r="G30" i="5"/>
  <c r="I18" i="4"/>
  <c r="F16" i="4"/>
  <c r="G15" i="4"/>
  <c r="J9" i="4"/>
  <c r="K8" i="4"/>
  <c r="K3" i="4"/>
  <c r="I31" i="4"/>
  <c r="E31" i="4"/>
  <c r="I24" i="4"/>
  <c r="E23" i="4"/>
  <c r="F20" i="4"/>
  <c r="F11" i="4"/>
  <c r="G8" i="4"/>
  <c r="F32" i="4"/>
  <c r="F24" i="4"/>
  <c r="K32" i="4"/>
  <c r="E32" i="4"/>
  <c r="J32" i="4"/>
  <c r="J31" i="4"/>
  <c r="H23" i="4"/>
  <c r="I27" i="4"/>
  <c r="H27" i="4"/>
  <c r="I23" i="4"/>
  <c r="J19" i="4"/>
  <c r="F17" i="4"/>
  <c r="J20" i="4"/>
  <c r="J24" i="4"/>
  <c r="G26" i="5"/>
  <c r="G2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G30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7" i="4"/>
  <c r="E18" i="4"/>
  <c r="E8" i="4"/>
  <c r="G23" i="5"/>
  <c r="E20" i="4"/>
  <c r="G16" i="5"/>
  <c r="E4" i="4"/>
  <c r="F4" i="4"/>
  <c r="G24" i="5"/>
  <c r="E13" i="4"/>
  <c r="G9" i="5"/>
  <c r="G5" i="5"/>
  <c r="E19" i="4"/>
  <c r="E11" i="4"/>
  <c r="E9" i="4"/>
  <c r="E21" i="4"/>
  <c r="E30" i="4"/>
  <c r="E26" i="4"/>
  <c r="E16" i="4"/>
  <c r="E5" i="2"/>
  <c r="G2" i="5" s="1"/>
  <c r="A8" i="2"/>
  <c r="BC8" i="2" s="1"/>
  <c r="BB7" i="2"/>
  <c r="AZ19" i="2"/>
  <c r="BB19" i="2"/>
  <c r="A20" i="2"/>
  <c r="BB20" i="2" s="1"/>
  <c r="BC19" i="2"/>
  <c r="BA19" i="2"/>
  <c r="F36" i="2"/>
  <c r="G14" i="5"/>
  <c r="O5" i="2"/>
  <c r="G3" i="4" s="1"/>
  <c r="BA18" i="2"/>
  <c r="H36" i="2"/>
  <c r="BB18" i="2"/>
  <c r="BB6" i="2"/>
  <c r="BC14" i="2"/>
  <c r="A15" i="2"/>
  <c r="AZ15" i="2" s="1"/>
  <c r="BC6" i="2"/>
  <c r="BA20" i="2"/>
  <c r="AZ20" i="2"/>
  <c r="A21" i="2"/>
  <c r="BC20" i="2"/>
  <c r="BC15" i="2"/>
  <c r="BB15" i="2"/>
  <c r="A9" i="2"/>
  <c r="BA9" i="2" s="1"/>
  <c r="A22" i="2"/>
  <c r="A23" i="2" s="1"/>
  <c r="BC21" i="2"/>
  <c r="BB21" i="2"/>
  <c r="BA21" i="2"/>
  <c r="AZ21" i="2"/>
  <c r="BC23" i="2" l="1"/>
  <c r="BB23" i="2"/>
  <c r="A24" i="2"/>
  <c r="BA23" i="2"/>
  <c r="AZ23" i="2"/>
  <c r="BB14" i="2"/>
  <c r="BB9" i="2"/>
  <c r="BA6" i="2"/>
  <c r="BC9" i="2"/>
  <c r="BA14" i="2"/>
  <c r="A16" i="2"/>
  <c r="BA15" i="2"/>
  <c r="AZ22" i="2"/>
  <c r="AZ9" i="2"/>
  <c r="AZ8" i="2"/>
  <c r="G4" i="5"/>
  <c r="BA22" i="2"/>
  <c r="A10" i="2"/>
  <c r="BA8" i="2"/>
  <c r="E14" i="4"/>
  <c r="BB22" i="2"/>
  <c r="BB8" i="2"/>
  <c r="AZ14" i="2"/>
  <c r="AZ7" i="2"/>
  <c r="BC22" i="2"/>
  <c r="E3" i="4"/>
  <c r="BA7" i="2"/>
  <c r="BA10" i="2" l="1"/>
  <c r="AZ10" i="2"/>
  <c r="BC10" i="2"/>
  <c r="BB10" i="2"/>
  <c r="A11" i="2"/>
  <c r="AZ24" i="2"/>
  <c r="A25" i="2"/>
  <c r="BC24" i="2"/>
  <c r="BB24" i="2"/>
  <c r="BA24" i="2"/>
  <c r="BD24" i="2"/>
  <c r="AZ16" i="2"/>
  <c r="BB16" i="2"/>
  <c r="BA16" i="2"/>
  <c r="BC16" i="2"/>
  <c r="A26" i="2" l="1"/>
  <c r="BC25" i="2"/>
  <c r="BB25" i="2"/>
  <c r="BA25" i="2"/>
  <c r="AZ25" i="2"/>
  <c r="A12" i="2"/>
  <c r="BC11" i="2"/>
  <c r="BB11" i="2"/>
  <c r="BA11" i="2"/>
  <c r="AZ11" i="2"/>
  <c r="BC12" i="2" l="1"/>
  <c r="AZ12" i="2"/>
  <c r="BB12" i="2"/>
  <c r="BA12" i="2"/>
  <c r="AZ26" i="2"/>
  <c r="BB26" i="2"/>
  <c r="A27" i="2"/>
  <c r="BC26" i="2"/>
  <c r="BA26" i="2"/>
  <c r="BA27" i="2" l="1"/>
  <c r="AZ27" i="2"/>
  <c r="A28" i="2"/>
  <c r="BC27" i="2"/>
  <c r="BB27" i="2"/>
  <c r="A29" i="2" l="1"/>
  <c r="BA28" i="2"/>
  <c r="AZ28" i="2"/>
  <c r="BC28" i="2"/>
  <c r="BB28" i="2"/>
  <c r="BC29" i="2" l="1"/>
  <c r="BA29" i="2"/>
  <c r="BB29" i="2"/>
  <c r="A30" i="2"/>
  <c r="AZ29" i="2"/>
  <c r="A31" i="2" l="1"/>
  <c r="BC30" i="2"/>
  <c r="BB30" i="2"/>
  <c r="BA30" i="2"/>
  <c r="AZ30" i="2"/>
  <c r="BA31" i="2" l="1"/>
  <c r="BC31" i="2"/>
  <c r="BB31" i="2"/>
  <c r="AZ31" i="2"/>
  <c r="A32" i="2"/>
  <c r="A33" i="2" l="1"/>
  <c r="BC32" i="2"/>
  <c r="BB32" i="2"/>
  <c r="BA32" i="2"/>
  <c r="AZ32" i="2"/>
  <c r="AZ33" i="2" l="1"/>
  <c r="A34" i="2"/>
  <c r="BC33" i="2"/>
  <c r="BB33" i="2"/>
  <c r="BA33" i="2"/>
  <c r="AZ34" i="2" l="1"/>
  <c r="BC34" i="2"/>
  <c r="BD34" i="2"/>
  <c r="BB34" i="2"/>
  <c r="BA34" i="2"/>
</calcChain>
</file>

<file path=xl/sharedStrings.xml><?xml version="1.0" encoding="utf-8"?>
<sst xmlns="http://schemas.openxmlformats.org/spreadsheetml/2006/main" count="201" uniqueCount="77">
  <si>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</si>
  <si>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</si>
  <si>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</si>
  <si>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</si>
  <si>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</si>
  <si>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</si>
  <si>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</si>
  <si>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</si>
  <si>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</si>
  <si>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</si>
  <si>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</si>
  <si>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</si>
  <si>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</si>
  <si>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</si>
  <si>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</si>
  <si>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</si>
  <si>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</si>
  <si>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</si>
  <si>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</si>
  <si>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</si>
  <si>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</si>
  <si>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</si>
  <si>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</si>
  <si>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</si>
  <si>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</si>
  <si>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</si>
  <si>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</si>
  <si>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</si>
  <si>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</si>
  <si>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00:00</t>
  </si>
  <si>
    <t xml:space="preserve">TOTALE </t>
  </si>
  <si>
    <t>CONSUMI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</si>
  <si>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</si>
  <si>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</si>
  <si>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</si>
  <si>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</si>
  <si>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</si>
  <si>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</si>
  <si>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</si>
  <si>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</si>
  <si>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</si>
  <si>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</si>
  <si>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</si>
  <si>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</si>
  <si>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</si>
  <si>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</si>
  <si>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</si>
  <si>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</si>
  <si>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</si>
  <si>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</si>
  <si>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</si>
  <si>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</si>
  <si>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</si>
  <si>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</si>
  <si>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</si>
  <si>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</si>
  <si>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CUC.PRINC</t>
  </si>
  <si>
    <t xml:space="preserve">   GAS RISCALD.</t>
  </si>
  <si>
    <t xml:space="preserve">        GAS CUCINA</t>
  </si>
  <si>
    <t>REINT. H2O ADD rfrig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</si>
  <si>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</si>
  <si>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</si>
  <si>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</si>
  <si>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</si>
  <si>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</si>
  <si>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</si>
  <si>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GAS RISCALDAM.</t>
  </si>
  <si>
    <t>ENEL CUC.VER.</t>
  </si>
  <si>
    <t>ENEL LAVAND.</t>
  </si>
  <si>
    <t>Consumo BA</t>
  </si>
  <si>
    <t>0</t>
  </si>
  <si>
    <t>00:30</t>
  </si>
  <si>
    <t xml:space="preserve"> </t>
  </si>
  <si>
    <t>consumo BA</t>
  </si>
  <si>
    <t>consumo</t>
  </si>
  <si>
    <t>KW/h</t>
  </si>
  <si>
    <t>GF 4 +GF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</si>
</sst>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78" formatCode="_-* #,##0.000_-;\-* #,##0.000_-;_-* &quot;-&quot;_-;_-@_-"/>
    <numFmt numFmtId="180" formatCode="_-* #,##0.00_-;\-* #,##0.00_-;_-* &quot;-&quot;_-;_-@_-"/>
    <numFmt numFmtId="182" formatCode="0_ ;\-0\ "/>
  </numFmts>
  <fonts count="2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2"/>
      <color indexed="14"/>
      <name val="Arial"/>
      <family val="2"/>
    </font>
    <font>
      <sz val="12"/>
      <color indexed="53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theme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0" fillId="0" borderId="0" applyFont="0" applyFill="0" applyBorder="0" applyAlignment="0" applyProtection="0"/>
  </cellStyleXfs>
  <cellXfs count="151">
    <xf numFmtId="0" fontId="0" fillId="0" borderId="0" xfId="0"/>
    <xf numFmtId="41" fontId="1" fillId="0" borderId="0" xfId="1" applyFont="1"/>
    <xf numFmtId="41" fontId="2" fillId="0" borderId="0" xfId="1" applyFont="1"/>
    <xf numFmtId="41" fontId="2" fillId="3" borderId="1" xfId="1" applyFont="1" applyFill="1" applyBorder="1" applyAlignment="1" applyProtection="1">
      <alignment horizontal="left"/>
    </xf>
    <xf numFmtId="41" fontId="2" fillId="3" borderId="2" xfId="1" applyFont="1" applyFill="1" applyBorder="1" applyAlignment="1" applyProtection="1">
      <alignment horizontal="left"/>
    </xf>
    <xf numFmtId="41" fontId="4" fillId="3" borderId="3" xfId="1" applyFont="1" applyFill="1" applyBorder="1" applyAlignment="1" applyProtection="1">
      <alignment horizontal="left"/>
    </xf>
    <xf numFmtId="41" fontId="5" fillId="0" borderId="4" xfId="1" applyFont="1" applyBorder="1" applyProtection="1"/>
    <xf numFmtId="41" fontId="3" fillId="0" borderId="4" xfId="1" applyFont="1" applyBorder="1" applyProtection="1"/>
    <xf numFmtId="41" fontId="1" fillId="0" borderId="4" xfId="1" applyFont="1" applyBorder="1" applyProtection="1"/>
    <xf numFmtId="3" fontId="1" fillId="0" borderId="4" xfId="1" applyNumberFormat="1" applyFont="1" applyBorder="1" applyProtection="1"/>
    <xf numFmtId="41" fontId="1" fillId="0" borderId="4" xfId="1" applyFont="1" applyBorder="1" applyAlignment="1" applyProtection="1">
      <alignment horizontal="left"/>
    </xf>
    <xf numFmtId="178" fontId="6" fillId="0" borderId="4" xfId="1" applyNumberFormat="1" applyFont="1" applyBorder="1" applyProtection="1"/>
    <xf numFmtId="3" fontId="5" fillId="0" borderId="4" xfId="1" applyNumberFormat="1" applyFont="1" applyBorder="1" applyProtection="1"/>
    <xf numFmtId="41" fontId="5" fillId="0" borderId="4" xfId="1" applyFont="1" applyFill="1" applyBorder="1" applyProtection="1"/>
    <xf numFmtId="41" fontId="1" fillId="0" borderId="5" xfId="1" applyFont="1" applyBorder="1" applyProtection="1"/>
    <xf numFmtId="41" fontId="1" fillId="0" borderId="6" xfId="1" applyFont="1" applyBorder="1" applyProtection="1"/>
    <xf numFmtId="41" fontId="1" fillId="0" borderId="7" xfId="1" applyFont="1" applyBorder="1"/>
    <xf numFmtId="41" fontId="2" fillId="0" borderId="8" xfId="1" applyFont="1" applyBorder="1" applyProtection="1"/>
    <xf numFmtId="41" fontId="2" fillId="0" borderId="0" xfId="1" applyFont="1" applyBorder="1" applyProtection="1"/>
    <xf numFmtId="41" fontId="1" fillId="2" borderId="9" xfId="1" applyFont="1" applyFill="1" applyBorder="1"/>
    <xf numFmtId="41" fontId="1" fillId="0" borderId="9" xfId="1" applyFont="1" applyBorder="1"/>
    <xf numFmtId="41" fontId="1" fillId="0" borderId="1" xfId="1" applyFont="1" applyBorder="1"/>
    <xf numFmtId="41" fontId="2" fillId="6" borderId="10" xfId="1" applyFont="1" applyFill="1" applyBorder="1"/>
    <xf numFmtId="41" fontId="2" fillId="0" borderId="0" xfId="1" applyFont="1" applyAlignment="1" applyProtection="1">
      <alignment horizontal="center"/>
    </xf>
    <xf numFmtId="180" fontId="1" fillId="0" borderId="0" xfId="1" applyNumberFormat="1" applyFont="1"/>
    <xf numFmtId="41" fontId="2" fillId="0" borderId="11" xfId="1" applyFont="1" applyBorder="1"/>
    <xf numFmtId="41" fontId="2" fillId="0" borderId="11" xfId="1" applyFont="1" applyBorder="1" applyProtection="1"/>
    <xf numFmtId="41" fontId="1" fillId="0" borderId="0" xfId="1" applyNumberFormat="1" applyFont="1"/>
    <xf numFmtId="1" fontId="0" fillId="0" borderId="0" xfId="0" applyNumberFormat="1"/>
    <xf numFmtId="1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1" fontId="11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" fontId="13" fillId="0" borderId="0" xfId="0" applyNumberFormat="1" applyFont="1"/>
    <xf numFmtId="1" fontId="16" fillId="0" borderId="0" xfId="0" applyNumberFormat="1" applyFont="1" applyAlignment="1">
      <alignment wrapText="1"/>
    </xf>
    <xf numFmtId="1" fontId="15" fillId="0" borderId="0" xfId="0" applyNumberFormat="1" applyFont="1"/>
    <xf numFmtId="1" fontId="12" fillId="0" borderId="0" xfId="0" applyNumberFormat="1" applyFont="1"/>
    <xf numFmtId="41" fontId="1" fillId="3" borderId="12" xfId="1" applyFont="1" applyFill="1" applyBorder="1" applyAlignment="1">
      <alignment horizontal="center" vertical="center" wrapText="1"/>
    </xf>
    <xf numFmtId="41" fontId="1" fillId="3" borderId="13" xfId="1" applyFont="1" applyFill="1" applyBorder="1" applyAlignment="1">
      <alignment horizontal="center" vertical="center" wrapText="1"/>
    </xf>
    <xf numFmtId="41" fontId="1" fillId="0" borderId="0" xfId="1" applyFont="1" applyBorder="1"/>
    <xf numFmtId="41" fontId="1" fillId="0" borderId="0" xfId="1" applyFont="1" applyBorder="1" applyAlignment="1">
      <alignment horizontal="center" vertical="center" wrapText="1"/>
    </xf>
    <xf numFmtId="41" fontId="2" fillId="3" borderId="1" xfId="1" applyFont="1" applyFill="1" applyBorder="1" applyAlignment="1" applyProtection="1">
      <alignment horizontal="left" vertical="center"/>
    </xf>
    <xf numFmtId="41" fontId="2" fillId="0" borderId="0" xfId="1" applyFont="1" applyBorder="1" applyAlignment="1" applyProtection="1">
      <alignment horizontal="left"/>
    </xf>
    <xf numFmtId="180" fontId="2" fillId="0" borderId="0" xfId="1" applyNumberFormat="1" applyFont="1"/>
    <xf numFmtId="41" fontId="2" fillId="0" borderId="10" xfId="1" applyFont="1" applyFill="1" applyBorder="1"/>
    <xf numFmtId="41" fontId="2" fillId="4" borderId="14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41" fontId="2" fillId="0" borderId="0" xfId="1" applyFont="1" applyAlignment="1" applyProtection="1">
      <alignment horizontal="left"/>
    </xf>
    <xf numFmtId="41" fontId="17" fillId="0" borderId="4" xfId="1" applyFont="1" applyBorder="1" applyProtection="1"/>
    <xf numFmtId="41" fontId="7" fillId="0" borderId="4" xfId="1" applyFont="1" applyBorder="1" applyProtection="1"/>
    <xf numFmtId="41" fontId="18" fillId="0" borderId="4" xfId="1" applyFont="1" applyBorder="1" applyProtection="1"/>
    <xf numFmtId="178" fontId="5" fillId="0" borderId="4" xfId="1" applyNumberFormat="1" applyFont="1" applyBorder="1" applyProtection="1"/>
    <xf numFmtId="41" fontId="3" fillId="5" borderId="4" xfId="1" applyFont="1" applyFill="1" applyBorder="1" applyProtection="1"/>
    <xf numFmtId="180" fontId="5" fillId="0" borderId="4" xfId="1" applyNumberFormat="1" applyFont="1" applyFill="1" applyBorder="1" applyProtection="1"/>
    <xf numFmtId="180" fontId="5" fillId="5" borderId="4" xfId="1" applyNumberFormat="1" applyFont="1" applyFill="1" applyBorder="1" applyProtection="1"/>
    <xf numFmtId="41" fontId="5" fillId="5" borderId="4" xfId="1" applyFont="1" applyFill="1" applyBorder="1" applyProtection="1"/>
    <xf numFmtId="3" fontId="5" fillId="5" borderId="4" xfId="1" applyNumberFormat="1" applyFont="1" applyFill="1" applyBorder="1" applyProtection="1"/>
    <xf numFmtId="41" fontId="2" fillId="4" borderId="5" xfId="1" applyFont="1" applyFill="1" applyBorder="1" applyProtection="1"/>
    <xf numFmtId="41" fontId="19" fillId="0" borderId="5" xfId="1" applyFont="1" applyBorder="1" applyProtection="1"/>
    <xf numFmtId="41" fontId="1" fillId="0" borderId="15" xfId="1" applyFont="1" applyBorder="1" applyProtection="1"/>
    <xf numFmtId="43" fontId="5" fillId="5" borderId="4" xfId="1" applyNumberFormat="1" applyFont="1" applyFill="1" applyBorder="1" applyProtection="1"/>
    <xf numFmtId="3" fontId="18" fillId="5" borderId="4" xfId="1" applyNumberFormat="1" applyFont="1" applyFill="1" applyBorder="1" applyProtection="1"/>
    <xf numFmtId="43" fontId="8" fillId="5" borderId="4" xfId="1" applyNumberFormat="1" applyFont="1" applyFill="1" applyBorder="1" applyProtection="1"/>
    <xf numFmtId="41" fontId="8" fillId="5" borderId="4" xfId="1" applyFont="1" applyFill="1" applyBorder="1" applyProtection="1"/>
    <xf numFmtId="3" fontId="8" fillId="5" borderId="4" xfId="1" applyNumberFormat="1" applyFont="1" applyFill="1" applyBorder="1" applyProtection="1"/>
    <xf numFmtId="41" fontId="5" fillId="5" borderId="4" xfId="1" applyFont="1" applyFill="1" applyBorder="1"/>
    <xf numFmtId="41" fontId="3" fillId="5" borderId="4" xfId="1" applyFont="1" applyFill="1" applyBorder="1"/>
    <xf numFmtId="41" fontId="3" fillId="5" borderId="6" xfId="1" applyFont="1" applyFill="1" applyBorder="1" applyProtection="1"/>
    <xf numFmtId="3" fontId="5" fillId="0" borderId="4" xfId="1" applyNumberFormat="1" applyFont="1" applyFill="1" applyBorder="1" applyProtection="1"/>
    <xf numFmtId="41" fontId="18" fillId="5" borderId="4" xfId="1" applyFont="1" applyFill="1" applyBorder="1" applyProtection="1"/>
    <xf numFmtId="1" fontId="5" fillId="0" borderId="4" xfId="1" applyNumberFormat="1" applyFont="1" applyBorder="1" applyProtection="1"/>
    <xf numFmtId="41" fontId="7" fillId="0" borderId="16" xfId="1" applyFont="1" applyBorder="1" applyProtection="1"/>
    <xf numFmtId="3" fontId="1" fillId="5" borderId="4" xfId="1" applyNumberFormat="1" applyFont="1" applyFill="1" applyBorder="1" applyProtection="1"/>
    <xf numFmtId="41" fontId="2" fillId="0" borderId="8" xfId="1" applyFont="1" applyFill="1" applyBorder="1" applyProtection="1"/>
    <xf numFmtId="41" fontId="2" fillId="0" borderId="0" xfId="1" applyFont="1" applyFill="1"/>
    <xf numFmtId="41" fontId="2" fillId="0" borderId="10" xfId="1" applyFont="1" applyBorder="1"/>
    <xf numFmtId="41" fontId="2" fillId="5" borderId="8" xfId="1" applyFont="1" applyFill="1" applyBorder="1" applyProtection="1"/>
    <xf numFmtId="41" fontId="2" fillId="5" borderId="0" xfId="1" applyFont="1" applyFill="1"/>
    <xf numFmtId="41" fontId="2" fillId="5" borderId="17" xfId="1" applyFont="1" applyFill="1" applyBorder="1" applyProtection="1"/>
    <xf numFmtId="41" fontId="2" fillId="5" borderId="18" xfId="1" applyFont="1" applyFill="1" applyBorder="1" applyProtection="1"/>
    <xf numFmtId="41" fontId="2" fillId="5" borderId="19" xfId="1" applyFont="1" applyFill="1" applyBorder="1" applyProtection="1"/>
    <xf numFmtId="41" fontId="2" fillId="5" borderId="0" xfId="1" applyFont="1" applyFill="1" applyBorder="1" applyProtection="1"/>
    <xf numFmtId="41" fontId="1" fillId="5" borderId="0" xfId="1" applyFont="1" applyFill="1"/>
    <xf numFmtId="37" fontId="1" fillId="0" borderId="4" xfId="0" applyNumberFormat="1" applyFont="1" applyBorder="1" applyProtection="1"/>
    <xf numFmtId="41" fontId="2" fillId="0" borderId="20" xfId="1" applyFont="1" applyBorder="1" applyAlignment="1" applyProtection="1">
      <alignment horizontal="left"/>
    </xf>
    <xf numFmtId="182" fontId="1" fillId="0" borderId="0" xfId="1" applyNumberFormat="1" applyFont="1"/>
    <xf numFmtId="41" fontId="1" fillId="0" borderId="0" xfId="1" applyFont="1" applyFill="1"/>
    <xf numFmtId="41" fontId="2" fillId="3" borderId="21" xfId="1" applyFont="1" applyFill="1" applyBorder="1" applyAlignment="1" applyProtection="1">
      <alignment horizontal="left"/>
    </xf>
    <xf numFmtId="41" fontId="2" fillId="3" borderId="1" xfId="1" applyFont="1" applyFill="1" applyBorder="1" applyAlignment="1" applyProtection="1">
      <alignment horizontal="center"/>
    </xf>
    <xf numFmtId="41" fontId="2" fillId="3" borderId="7" xfId="1" applyFont="1" applyFill="1" applyBorder="1" applyAlignment="1" applyProtection="1">
      <alignment horizontal="center"/>
    </xf>
    <xf numFmtId="41" fontId="2" fillId="3" borderId="7" xfId="1" applyFont="1" applyFill="1" applyBorder="1" applyAlignment="1" applyProtection="1">
      <alignment horizontal="left"/>
    </xf>
    <xf numFmtId="41" fontId="2" fillId="3" borderId="0" xfId="1" applyFont="1" applyFill="1" applyBorder="1" applyAlignment="1" applyProtection="1">
      <alignment horizontal="left"/>
    </xf>
    <xf numFmtId="41" fontId="2" fillId="3" borderId="22" xfId="1" applyFont="1" applyFill="1" applyBorder="1" applyAlignment="1" applyProtection="1">
      <alignment horizontal="left"/>
    </xf>
    <xf numFmtId="41" fontId="2" fillId="3" borderId="23" xfId="1" applyFont="1" applyFill="1" applyBorder="1" applyAlignment="1" applyProtection="1">
      <alignment horizontal="left"/>
    </xf>
    <xf numFmtId="41" fontId="2" fillId="3" borderId="9" xfId="1" applyFont="1" applyFill="1" applyBorder="1" applyAlignment="1" applyProtection="1">
      <alignment horizontal="center"/>
    </xf>
    <xf numFmtId="41" fontId="1" fillId="3" borderId="24" xfId="1" applyFont="1" applyFill="1" applyBorder="1" applyAlignment="1">
      <alignment horizontal="center" vertical="center" wrapText="1"/>
    </xf>
    <xf numFmtId="3" fontId="1" fillId="0" borderId="1" xfId="1" applyNumberFormat="1" applyFont="1" applyBorder="1" applyProtection="1"/>
    <xf numFmtId="41" fontId="2" fillId="4" borderId="5" xfId="1" quotePrefix="1" applyFont="1" applyFill="1" applyBorder="1" applyAlignment="1" applyProtection="1">
      <alignment horizontal="right"/>
    </xf>
    <xf numFmtId="41" fontId="9" fillId="0" borderId="5" xfId="1" applyFont="1" applyFill="1" applyBorder="1"/>
    <xf numFmtId="41" fontId="9" fillId="0" borderId="25" xfId="1" applyFont="1" applyFill="1" applyBorder="1"/>
    <xf numFmtId="41" fontId="3" fillId="0" borderId="25" xfId="1" applyNumberFormat="1" applyFont="1" applyBorder="1" applyAlignment="1">
      <alignment horizontal="center"/>
    </xf>
    <xf numFmtId="3" fontId="18" fillId="0" borderId="4" xfId="1" applyNumberFormat="1" applyFont="1" applyBorder="1" applyProtection="1"/>
    <xf numFmtId="3" fontId="5" fillId="0" borderId="16" xfId="1" applyNumberFormat="1" applyFont="1" applyBorder="1" applyProtection="1"/>
    <xf numFmtId="3" fontId="1" fillId="0" borderId="16" xfId="1" applyNumberFormat="1" applyFont="1" applyBorder="1" applyProtection="1"/>
    <xf numFmtId="3" fontId="5" fillId="0" borderId="26" xfId="1" applyNumberFormat="1" applyFont="1" applyBorder="1" applyProtection="1"/>
    <xf numFmtId="3" fontId="1" fillId="0" borderId="27" xfId="1" applyNumberFormat="1" applyFont="1" applyBorder="1" applyProtection="1"/>
    <xf numFmtId="41" fontId="1" fillId="7" borderId="9" xfId="1" applyFont="1" applyFill="1" applyBorder="1"/>
    <xf numFmtId="41" fontId="7" fillId="0" borderId="0" xfId="1" applyFont="1" applyBorder="1" applyProtection="1"/>
    <xf numFmtId="41" fontId="2" fillId="6" borderId="42" xfId="1" applyFont="1" applyFill="1" applyBorder="1" applyAlignment="1">
      <alignment horizontal="center"/>
    </xf>
    <xf numFmtId="41" fontId="2" fillId="6" borderId="43" xfId="1" applyFont="1" applyFill="1" applyBorder="1" applyAlignment="1">
      <alignment horizontal="center"/>
    </xf>
    <xf numFmtId="41" fontId="2" fillId="6" borderId="27" xfId="1" applyFont="1" applyFill="1" applyBorder="1" applyAlignment="1">
      <alignment horizontal="center"/>
    </xf>
    <xf numFmtId="4" fontId="2" fillId="3" borderId="29" xfId="1" applyNumberFormat="1" applyFont="1" applyFill="1" applyBorder="1" applyAlignment="1" applyProtection="1">
      <alignment horizontal="center" vertical="center" wrapText="1"/>
    </xf>
    <xf numFmtId="4" fontId="2" fillId="3" borderId="31" xfId="1" applyNumberFormat="1" applyFont="1" applyFill="1" applyBorder="1" applyAlignment="1" applyProtection="1">
      <alignment horizontal="center" vertical="center" wrapText="1"/>
    </xf>
    <xf numFmtId="41" fontId="2" fillId="3" borderId="29" xfId="1" applyFont="1" applyFill="1" applyBorder="1" applyAlignment="1" applyProtection="1">
      <alignment horizontal="center" vertical="center" wrapText="1"/>
    </xf>
    <xf numFmtId="41" fontId="2" fillId="3" borderId="30" xfId="1" applyFont="1" applyFill="1" applyBorder="1" applyAlignment="1" applyProtection="1">
      <alignment horizontal="center" vertical="center" wrapText="1"/>
    </xf>
    <xf numFmtId="41" fontId="2" fillId="3" borderId="31" xfId="1" applyFont="1" applyFill="1" applyBorder="1" applyAlignment="1" applyProtection="1">
      <alignment horizontal="center" vertical="center" wrapText="1"/>
    </xf>
    <xf numFmtId="41" fontId="2" fillId="3" borderId="12" xfId="1" applyFont="1" applyFill="1" applyBorder="1" applyAlignment="1" applyProtection="1">
      <alignment horizontal="center" vertical="center" wrapText="1"/>
    </xf>
    <xf numFmtId="41" fontId="2" fillId="3" borderId="28" xfId="1" applyFont="1" applyFill="1" applyBorder="1" applyAlignment="1" applyProtection="1">
      <alignment horizontal="center" vertical="center" wrapText="1"/>
    </xf>
    <xf numFmtId="41" fontId="2" fillId="3" borderId="32" xfId="1" applyFont="1" applyFill="1" applyBorder="1" applyAlignment="1" applyProtection="1">
      <alignment horizontal="center" vertical="center" wrapText="1"/>
    </xf>
    <xf numFmtId="41" fontId="2" fillId="3" borderId="33" xfId="1" applyFont="1" applyFill="1" applyBorder="1" applyAlignment="1" applyProtection="1">
      <alignment horizontal="center" vertical="center" wrapText="1"/>
    </xf>
    <xf numFmtId="41" fontId="2" fillId="3" borderId="34" xfId="1" applyFont="1" applyFill="1" applyBorder="1" applyAlignment="1" applyProtection="1">
      <alignment horizontal="center" vertical="center" wrapText="1"/>
    </xf>
    <xf numFmtId="41" fontId="2" fillId="3" borderId="35" xfId="1" applyFont="1" applyFill="1" applyBorder="1" applyAlignment="1" applyProtection="1">
      <alignment horizontal="center" vertical="center" wrapText="1"/>
    </xf>
    <xf numFmtId="41" fontId="2" fillId="3" borderId="9" xfId="1" applyFont="1" applyFill="1" applyBorder="1" applyAlignment="1">
      <alignment horizontal="center"/>
    </xf>
    <xf numFmtId="41" fontId="2" fillId="3" borderId="2" xfId="1" applyFont="1" applyFill="1" applyBorder="1" applyAlignment="1">
      <alignment horizontal="center"/>
    </xf>
    <xf numFmtId="41" fontId="1" fillId="3" borderId="12" xfId="1" applyFont="1" applyFill="1" applyBorder="1" applyAlignment="1">
      <alignment horizontal="center" vertical="center" wrapText="1"/>
    </xf>
    <xf numFmtId="41" fontId="1" fillId="3" borderId="28" xfId="1" applyFont="1" applyFill="1" applyBorder="1" applyAlignment="1">
      <alignment horizontal="center" vertical="center" wrapText="1"/>
    </xf>
    <xf numFmtId="41" fontId="1" fillId="3" borderId="32" xfId="1" applyFont="1" applyFill="1" applyBorder="1" applyAlignment="1">
      <alignment horizontal="center" vertical="center" wrapText="1"/>
    </xf>
    <xf numFmtId="41" fontId="1" fillId="3" borderId="33" xfId="1" applyFont="1" applyFill="1" applyBorder="1" applyAlignment="1">
      <alignment horizontal="center" vertical="center" wrapText="1"/>
    </xf>
    <xf numFmtId="41" fontId="1" fillId="3" borderId="34" xfId="1" applyFont="1" applyFill="1" applyBorder="1" applyAlignment="1">
      <alignment horizontal="center" vertical="center" wrapText="1"/>
    </xf>
    <xf numFmtId="41" fontId="1" fillId="3" borderId="35" xfId="1" applyFont="1" applyFill="1" applyBorder="1" applyAlignment="1">
      <alignment horizontal="center" vertical="center" wrapText="1"/>
    </xf>
    <xf numFmtId="41" fontId="2" fillId="3" borderId="36" xfId="1" applyFont="1" applyFill="1" applyBorder="1" applyAlignment="1" applyProtection="1">
      <alignment horizontal="center" vertical="center" wrapText="1"/>
    </xf>
    <xf numFmtId="41" fontId="2" fillId="3" borderId="37" xfId="1" applyFont="1" applyFill="1" applyBorder="1" applyAlignment="1" applyProtection="1">
      <alignment horizontal="center" vertical="center" wrapText="1"/>
    </xf>
    <xf numFmtId="41" fontId="2" fillId="3" borderId="38" xfId="1" applyFont="1" applyFill="1" applyBorder="1" applyAlignment="1" applyProtection="1">
      <alignment horizontal="center" vertical="center" wrapText="1"/>
    </xf>
    <xf numFmtId="41" fontId="2" fillId="3" borderId="13" xfId="1" applyFont="1" applyFill="1" applyBorder="1" applyAlignment="1" applyProtection="1">
      <alignment horizontal="center" vertical="center" wrapText="1"/>
    </xf>
    <xf numFmtId="41" fontId="2" fillId="3" borderId="0" xfId="1" applyFont="1" applyFill="1" applyBorder="1" applyAlignment="1" applyProtection="1">
      <alignment horizontal="center" vertical="center" wrapText="1"/>
    </xf>
    <xf numFmtId="41" fontId="2" fillId="3" borderId="39" xfId="1" applyFont="1" applyFill="1" applyBorder="1" applyAlignment="1" applyProtection="1">
      <alignment horizontal="center" vertical="center" wrapText="1"/>
    </xf>
    <xf numFmtId="41" fontId="2" fillId="3" borderId="40" xfId="1" applyFont="1" applyFill="1" applyBorder="1" applyAlignment="1" applyProtection="1">
      <alignment horizontal="center" vertical="center" wrapText="1"/>
    </xf>
    <xf numFmtId="41" fontId="2" fillId="3" borderId="41" xfId="1" applyFont="1" applyFill="1" applyBorder="1" applyAlignment="1" applyProtection="1">
      <alignment horizontal="center" vertical="center" wrapText="1"/>
    </xf>
    <xf numFmtId="41" fontId="2" fillId="3" borderId="12" xfId="1" applyFont="1" applyFill="1" applyBorder="1" applyAlignment="1">
      <alignment horizontal="center" vertical="center" wrapText="1"/>
    </xf>
    <xf numFmtId="41" fontId="2" fillId="3" borderId="32" xfId="1" applyFont="1" applyFill="1" applyBorder="1" applyAlignment="1">
      <alignment horizontal="center" vertical="center" wrapText="1"/>
    </xf>
    <xf numFmtId="41" fontId="2" fillId="3" borderId="33" xfId="1" applyFont="1" applyFill="1" applyBorder="1" applyAlignment="1">
      <alignment horizontal="center" vertical="center" wrapText="1"/>
    </xf>
    <xf numFmtId="41" fontId="2" fillId="3" borderId="35" xfId="1" applyFont="1" applyFill="1" applyBorder="1" applyAlignment="1">
      <alignment horizontal="center" vertical="center" wrapText="1"/>
    </xf>
    <xf numFmtId="41" fontId="2" fillId="0" borderId="28" xfId="1" applyFont="1" applyBorder="1" applyAlignment="1">
      <alignment horizontal="center"/>
    </xf>
    <xf numFmtId="41" fontId="2" fillId="3" borderId="29" xfId="1" applyFont="1" applyFill="1" applyBorder="1" applyAlignment="1">
      <alignment horizontal="center" vertical="center" wrapText="1"/>
    </xf>
    <xf numFmtId="41" fontId="2" fillId="3" borderId="31" xfId="1" applyFont="1" applyFill="1" applyBorder="1" applyAlignment="1">
      <alignment horizontal="center" vertical="center" wrapText="1"/>
    </xf>
    <xf numFmtId="4" fontId="2" fillId="3" borderId="29" xfId="1" applyNumberFormat="1" applyFont="1" applyFill="1" applyBorder="1" applyAlignment="1">
      <alignment horizontal="center" vertical="center" wrapText="1"/>
    </xf>
    <xf numFmtId="4" fontId="2" fillId="3" borderId="31" xfId="1" applyNumberFormat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>
        <row r="35">
          <cell r="T35">
            <v>188117</v>
          </cell>
          <cell r="AV35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zoomScaleNormal="100" workbookViewId="0">
      <selection activeCell="E12" sqref="E12"/>
    </sheetView>
  </sheetViews>
  <sheetFormatPr defaultColWidth="11.5546875" defaultRowHeight="14.4" x14ac:dyDescent="0.3"/>
  <cols>
    <col min="4" max="4" width="13.44140625" customWidth="1"/>
    <col min="5" max="5" width="13" style="40" customWidth="1"/>
    <col min="6" max="6" width="12.5546875" customWidth="1"/>
    <col min="7" max="7" width="13" style="28" customWidth="1"/>
  </cols>
  <sheetData>
    <row r="1" spans="1:12" s="32" customFormat="1" ht="43.2" x14ac:dyDescent="0.3">
      <c r="A1" s="32" t="s">
        <v>32</v>
      </c>
      <c r="B1" s="32" t="s">
        <v>33</v>
      </c>
      <c r="C1" s="32" t="s">
        <v>34</v>
      </c>
      <c r="D1" s="32" t="s">
        <v>35</v>
      </c>
      <c r="E1" s="38" t="s">
        <v>36</v>
      </c>
      <c r="F1" s="31" t="s">
        <v>53</v>
      </c>
      <c r="G1" s="33" t="s">
        <v>37</v>
      </c>
      <c r="H1" s="31" t="s">
        <v>54</v>
      </c>
      <c r="I1" s="31" t="s">
        <v>38</v>
      </c>
      <c r="J1" s="31" t="s">
        <v>55</v>
      </c>
      <c r="K1" s="31" t="s">
        <v>39</v>
      </c>
      <c r="L1" s="31" t="s">
        <v>40</v>
      </c>
    </row>
    <row r="2" spans="1:12" s="34" customFormat="1" ht="13.2" x14ac:dyDescent="0.25">
      <c r="A2" s="34" t="s">
        <v>41</v>
      </c>
      <c r="B2" s="34">
        <v>1</v>
      </c>
      <c r="C2" s="36">
        <v>4</v>
      </c>
      <c r="D2" s="34">
        <v>2022</v>
      </c>
      <c r="E2" s="39">
        <f>'Hotel Data'!X5</f>
        <v>11320</v>
      </c>
      <c r="F2" s="34">
        <v>0.27400000000000002</v>
      </c>
      <c r="G2" s="37">
        <f>'Hotel Data'!E5</f>
        <v>260</v>
      </c>
      <c r="H2" s="34">
        <v>1.6627000000000001</v>
      </c>
      <c r="I2" s="37">
        <f>'Hotel Data'!K5</f>
        <v>251</v>
      </c>
      <c r="J2" s="34">
        <v>0.2601</v>
      </c>
      <c r="K2" s="34">
        <v>57</v>
      </c>
      <c r="L2" s="34">
        <v>93</v>
      </c>
    </row>
    <row r="3" spans="1:12" s="35" customFormat="1" x14ac:dyDescent="0.3">
      <c r="A3" s="35" t="s">
        <v>41</v>
      </c>
      <c r="B3" s="35">
        <f>B2+1</f>
        <v>2</v>
      </c>
      <c r="C3" s="36">
        <v>4</v>
      </c>
      <c r="D3" s="34">
        <v>2022</v>
      </c>
      <c r="E3" s="39">
        <f>'Hotel Data'!X6</f>
        <v>10979</v>
      </c>
      <c r="F3" s="34">
        <v>0.27400000000000002</v>
      </c>
      <c r="G3" s="37">
        <f>'Hotel Data'!E6</f>
        <v>380</v>
      </c>
      <c r="H3" s="34">
        <v>1.6627000000000001</v>
      </c>
      <c r="I3" s="37">
        <f>'Hotel Data'!K6</f>
        <v>238</v>
      </c>
      <c r="J3" s="34">
        <v>0.2601</v>
      </c>
      <c r="K3" s="34">
        <v>49</v>
      </c>
      <c r="L3" s="34">
        <v>98</v>
      </c>
    </row>
    <row r="4" spans="1:12" s="35" customFormat="1" x14ac:dyDescent="0.3">
      <c r="A4" s="35" t="s">
        <v>41</v>
      </c>
      <c r="B4" s="35">
        <f t="shared" ref="B4:B31" si="0">B3+1</f>
        <v>3</v>
      </c>
      <c r="C4" s="36">
        <v>4</v>
      </c>
      <c r="D4" s="34">
        <v>2022</v>
      </c>
      <c r="E4" s="39">
        <f>'Hotel Data'!X7</f>
        <v>10681</v>
      </c>
      <c r="F4" s="34">
        <v>0.27400000000000002</v>
      </c>
      <c r="G4" s="37">
        <f>'Hotel Data'!E7</f>
        <v>451</v>
      </c>
      <c r="H4" s="34">
        <v>1.6627000000000001</v>
      </c>
      <c r="I4" s="37">
        <f>'Hotel Data'!K7</f>
        <v>230</v>
      </c>
      <c r="J4" s="34">
        <v>0.2601</v>
      </c>
      <c r="K4" s="34">
        <v>38</v>
      </c>
      <c r="L4" s="34">
        <v>64</v>
      </c>
    </row>
    <row r="5" spans="1:12" s="35" customFormat="1" x14ac:dyDescent="0.3">
      <c r="A5" s="35" t="s">
        <v>41</v>
      </c>
      <c r="B5" s="35">
        <f t="shared" si="0"/>
        <v>4</v>
      </c>
      <c r="C5" s="36">
        <v>4</v>
      </c>
      <c r="D5" s="34">
        <v>2022</v>
      </c>
      <c r="E5" s="39">
        <f>'Hotel Data'!X8</f>
        <v>10962</v>
      </c>
      <c r="F5" s="34">
        <v>0.27400000000000002</v>
      </c>
      <c r="G5" s="37">
        <f>'Hotel Data'!E8</f>
        <v>380</v>
      </c>
      <c r="H5" s="34">
        <v>1.6627000000000001</v>
      </c>
      <c r="I5" s="37">
        <f>'Hotel Data'!K8</f>
        <v>239</v>
      </c>
      <c r="J5" s="34">
        <v>0.2601</v>
      </c>
      <c r="K5" s="34">
        <v>55</v>
      </c>
      <c r="L5" s="34">
        <v>80</v>
      </c>
    </row>
    <row r="6" spans="1:12" s="35" customFormat="1" x14ac:dyDescent="0.3">
      <c r="A6" s="35" t="s">
        <v>41</v>
      </c>
      <c r="B6" s="35">
        <f t="shared" si="0"/>
        <v>5</v>
      </c>
      <c r="C6" s="36">
        <v>4</v>
      </c>
      <c r="D6" s="34">
        <v>2022</v>
      </c>
      <c r="E6" s="39">
        <f>'Hotel Data'!X9</f>
        <v>11045</v>
      </c>
      <c r="F6" s="34">
        <v>0.27400000000000002</v>
      </c>
      <c r="G6" s="37">
        <f>'Hotel Data'!E9</f>
        <v>334</v>
      </c>
      <c r="H6" s="34">
        <v>1.6627000000000001</v>
      </c>
      <c r="I6" s="37">
        <f>'Hotel Data'!K9</f>
        <v>232</v>
      </c>
      <c r="J6" s="34">
        <v>0.2601</v>
      </c>
      <c r="K6" s="34">
        <v>46</v>
      </c>
      <c r="L6" s="34">
        <v>80</v>
      </c>
    </row>
    <row r="7" spans="1:12" s="35" customFormat="1" x14ac:dyDescent="0.3">
      <c r="A7" s="35" t="s">
        <v>41</v>
      </c>
      <c r="B7" s="35">
        <f t="shared" si="0"/>
        <v>6</v>
      </c>
      <c r="C7" s="36">
        <v>4</v>
      </c>
      <c r="D7" s="34">
        <v>2022</v>
      </c>
      <c r="E7" s="39">
        <f>'Hotel Data'!X10</f>
        <v>11474</v>
      </c>
      <c r="F7" s="34">
        <v>0.27400000000000002</v>
      </c>
      <c r="G7" s="37">
        <f>'Hotel Data'!E10</f>
        <v>270</v>
      </c>
      <c r="H7" s="34">
        <v>1.6627000000000001</v>
      </c>
      <c r="I7" s="37">
        <f>'Hotel Data'!K10</f>
        <v>248</v>
      </c>
      <c r="J7" s="34">
        <v>0.2601</v>
      </c>
      <c r="K7" s="34">
        <v>54</v>
      </c>
      <c r="L7" s="34">
        <v>86</v>
      </c>
    </row>
    <row r="8" spans="1:12" s="35" customFormat="1" x14ac:dyDescent="0.3">
      <c r="A8" s="35" t="s">
        <v>41</v>
      </c>
      <c r="B8" s="35">
        <f t="shared" si="0"/>
        <v>7</v>
      </c>
      <c r="C8" s="36">
        <v>4</v>
      </c>
      <c r="D8" s="34">
        <v>2022</v>
      </c>
      <c r="E8" s="39">
        <f>'Hotel Data'!X11</f>
        <v>11696</v>
      </c>
      <c r="F8" s="34">
        <v>0.27400000000000002</v>
      </c>
      <c r="G8" s="37">
        <f>'Hotel Data'!E11</f>
        <v>231</v>
      </c>
      <c r="H8" s="34">
        <v>1.6627000000000001</v>
      </c>
      <c r="I8" s="37">
        <f>'Hotel Data'!K11</f>
        <v>237</v>
      </c>
      <c r="J8" s="34">
        <v>0.2601</v>
      </c>
      <c r="K8" s="34">
        <v>63</v>
      </c>
      <c r="L8" s="34">
        <v>103</v>
      </c>
    </row>
    <row r="9" spans="1:12" s="35" customFormat="1" x14ac:dyDescent="0.3">
      <c r="A9" s="35" t="s">
        <v>41</v>
      </c>
      <c r="B9" s="35">
        <f t="shared" si="0"/>
        <v>8</v>
      </c>
      <c r="C9" s="36">
        <v>4</v>
      </c>
      <c r="D9" s="34">
        <v>2022</v>
      </c>
      <c r="E9" s="39">
        <f>'Hotel Data'!X12</f>
        <v>12058</v>
      </c>
      <c r="F9" s="34">
        <v>0.27400000000000002</v>
      </c>
      <c r="G9" s="37">
        <f>'Hotel Data'!E12</f>
        <v>237</v>
      </c>
      <c r="H9" s="34">
        <v>1.6627000000000001</v>
      </c>
      <c r="I9" s="37">
        <f>'Hotel Data'!K12</f>
        <v>258</v>
      </c>
      <c r="J9" s="34">
        <v>0.2601</v>
      </c>
      <c r="K9" s="34">
        <v>78</v>
      </c>
      <c r="L9" s="34">
        <v>141</v>
      </c>
    </row>
    <row r="10" spans="1:12" s="35" customFormat="1" x14ac:dyDescent="0.3">
      <c r="A10" s="35" t="s">
        <v>41</v>
      </c>
      <c r="B10" s="35">
        <f t="shared" si="0"/>
        <v>9</v>
      </c>
      <c r="C10" s="36">
        <v>4</v>
      </c>
      <c r="D10" s="34">
        <v>2022</v>
      </c>
      <c r="E10" s="39">
        <f>'Hotel Data'!X13</f>
        <v>11589</v>
      </c>
      <c r="F10" s="34">
        <v>0.27400000000000002</v>
      </c>
      <c r="G10" s="37">
        <f>'Hotel Data'!E13</f>
        <v>228</v>
      </c>
      <c r="H10" s="34">
        <v>1.6627000000000001</v>
      </c>
      <c r="I10" s="37">
        <f>'Hotel Data'!K13</f>
        <v>220</v>
      </c>
      <c r="J10" s="34">
        <v>0.2601</v>
      </c>
      <c r="K10" s="34">
        <v>77</v>
      </c>
      <c r="L10" s="34">
        <v>141</v>
      </c>
    </row>
    <row r="11" spans="1:12" s="35" customFormat="1" x14ac:dyDescent="0.3">
      <c r="A11" s="35" t="s">
        <v>41</v>
      </c>
      <c r="B11" s="35">
        <f t="shared" si="0"/>
        <v>10</v>
      </c>
      <c r="C11" s="36">
        <v>4</v>
      </c>
      <c r="D11" s="34">
        <v>2022</v>
      </c>
      <c r="E11" s="39">
        <f>'Hotel Data'!X14</f>
        <v>11467</v>
      </c>
      <c r="F11" s="34">
        <v>0.27400000000000002</v>
      </c>
      <c r="G11" s="37">
        <f>'Hotel Data'!E14</f>
        <v>302</v>
      </c>
      <c r="H11" s="34">
        <v>1.6627000000000001</v>
      </c>
      <c r="I11" s="37">
        <f>'Hotel Data'!K14</f>
        <v>168</v>
      </c>
      <c r="J11" s="34">
        <v>0.2601</v>
      </c>
      <c r="K11" s="34">
        <v>65</v>
      </c>
      <c r="L11" s="34">
        <v>114</v>
      </c>
    </row>
    <row r="12" spans="1:12" s="35" customFormat="1" x14ac:dyDescent="0.3">
      <c r="A12" s="35" t="s">
        <v>41</v>
      </c>
      <c r="B12" s="35">
        <f t="shared" si="0"/>
        <v>11</v>
      </c>
      <c r="C12" s="36">
        <v>4</v>
      </c>
      <c r="D12" s="34">
        <v>2022</v>
      </c>
      <c r="E12" s="39">
        <f>'Hotel Data'!X15</f>
        <v>11530</v>
      </c>
      <c r="F12" s="34">
        <v>0.27400000000000002</v>
      </c>
      <c r="G12" s="37">
        <f>'Hotel Data'!E15</f>
        <v>232</v>
      </c>
      <c r="H12" s="34">
        <v>1.6627000000000001</v>
      </c>
      <c r="I12" s="37">
        <f>'Hotel Data'!K15</f>
        <v>149</v>
      </c>
      <c r="J12" s="34">
        <v>0.2601</v>
      </c>
      <c r="K12" s="34">
        <v>75</v>
      </c>
      <c r="L12" s="34">
        <v>123</v>
      </c>
    </row>
    <row r="13" spans="1:12" s="35" customFormat="1" x14ac:dyDescent="0.3">
      <c r="A13" s="35" t="s">
        <v>41</v>
      </c>
      <c r="B13" s="35">
        <f t="shared" si="0"/>
        <v>12</v>
      </c>
      <c r="C13" s="36">
        <v>4</v>
      </c>
      <c r="D13" s="34">
        <v>2022</v>
      </c>
      <c r="E13" s="39">
        <f>'Hotel Data'!X16</f>
        <v>11742</v>
      </c>
      <c r="F13" s="34">
        <v>0.27400000000000002</v>
      </c>
      <c r="G13" s="37">
        <f>'Hotel Data'!E16</f>
        <v>218</v>
      </c>
      <c r="H13" s="34">
        <v>1.6627000000000001</v>
      </c>
      <c r="I13" s="37">
        <f>'Hotel Data'!K16</f>
        <v>156</v>
      </c>
      <c r="J13" s="34">
        <v>0.2601</v>
      </c>
      <c r="K13" s="34">
        <v>76</v>
      </c>
      <c r="L13" s="34">
        <v>119</v>
      </c>
    </row>
    <row r="14" spans="1:12" s="35" customFormat="1" x14ac:dyDescent="0.3">
      <c r="A14" s="35" t="s">
        <v>41</v>
      </c>
      <c r="B14" s="35">
        <f t="shared" si="0"/>
        <v>13</v>
      </c>
      <c r="C14" s="36">
        <v>4</v>
      </c>
      <c r="D14" s="34">
        <v>2022</v>
      </c>
      <c r="E14" s="39">
        <f>'Hotel Data'!X17</f>
        <v>12168</v>
      </c>
      <c r="F14" s="34">
        <v>0.27400000000000002</v>
      </c>
      <c r="G14" s="37">
        <f>'Hotel Data'!E17</f>
        <v>212</v>
      </c>
      <c r="H14" s="34">
        <v>1.6627000000000001</v>
      </c>
      <c r="I14" s="37">
        <f>'Hotel Data'!K17</f>
        <v>189</v>
      </c>
      <c r="J14" s="34">
        <v>0.2601</v>
      </c>
      <c r="K14" s="34">
        <v>78</v>
      </c>
      <c r="L14" s="34">
        <v>139</v>
      </c>
    </row>
    <row r="15" spans="1:12" s="35" customFormat="1" x14ac:dyDescent="0.3">
      <c r="A15" s="35" t="s">
        <v>41</v>
      </c>
      <c r="B15" s="35">
        <f t="shared" si="0"/>
        <v>14</v>
      </c>
      <c r="C15" s="36">
        <v>4</v>
      </c>
      <c r="D15" s="34">
        <v>2022</v>
      </c>
      <c r="E15" s="39">
        <f>'Hotel Data'!X18</f>
        <v>12570</v>
      </c>
      <c r="F15" s="34">
        <v>0.27400000000000002</v>
      </c>
      <c r="G15" s="37">
        <f>'Hotel Data'!E18</f>
        <v>227</v>
      </c>
      <c r="H15" s="34">
        <v>1.6627000000000001</v>
      </c>
      <c r="I15" s="37">
        <f>'Hotel Data'!K18</f>
        <v>215</v>
      </c>
      <c r="J15" s="34">
        <v>0.2601</v>
      </c>
      <c r="K15" s="34">
        <v>91</v>
      </c>
      <c r="L15" s="34">
        <v>160</v>
      </c>
    </row>
    <row r="16" spans="1:12" s="35" customFormat="1" x14ac:dyDescent="0.3">
      <c r="A16" s="35" t="s">
        <v>41</v>
      </c>
      <c r="B16" s="35">
        <f t="shared" si="0"/>
        <v>15</v>
      </c>
      <c r="C16" s="36">
        <v>4</v>
      </c>
      <c r="D16" s="34">
        <v>2022</v>
      </c>
      <c r="E16" s="39">
        <f>'Hotel Data'!X19</f>
        <v>12856</v>
      </c>
      <c r="F16" s="34">
        <v>0.27400000000000002</v>
      </c>
      <c r="G16" s="37">
        <f>'Hotel Data'!E19</f>
        <v>237</v>
      </c>
      <c r="H16" s="34">
        <v>1.6627000000000001</v>
      </c>
      <c r="I16" s="37">
        <f>'Hotel Data'!K19</f>
        <v>264</v>
      </c>
      <c r="J16" s="34">
        <v>0.2601</v>
      </c>
      <c r="K16" s="34">
        <v>94</v>
      </c>
      <c r="L16" s="34">
        <v>170</v>
      </c>
    </row>
    <row r="17" spans="1:12" s="35" customFormat="1" x14ac:dyDescent="0.3">
      <c r="A17" s="35" t="s">
        <v>41</v>
      </c>
      <c r="B17" s="35">
        <f t="shared" si="0"/>
        <v>16</v>
      </c>
      <c r="C17" s="36">
        <v>4</v>
      </c>
      <c r="D17" s="34">
        <v>2022</v>
      </c>
      <c r="E17" s="39">
        <f>'Hotel Data'!X20</f>
        <v>12621</v>
      </c>
      <c r="F17" s="34">
        <v>0.27400000000000002</v>
      </c>
      <c r="G17" s="37">
        <f>'Hotel Data'!E20</f>
        <v>208</v>
      </c>
      <c r="H17" s="34">
        <v>1.6627000000000001</v>
      </c>
      <c r="I17" s="37">
        <f>'Hotel Data'!K20</f>
        <v>213</v>
      </c>
      <c r="J17" s="34">
        <v>0.2601</v>
      </c>
      <c r="K17" s="34">
        <v>75</v>
      </c>
      <c r="L17" s="34">
        <v>138</v>
      </c>
    </row>
    <row r="18" spans="1:12" s="35" customFormat="1" x14ac:dyDescent="0.3">
      <c r="A18" s="35" t="s">
        <v>41</v>
      </c>
      <c r="B18" s="35">
        <f t="shared" si="0"/>
        <v>17</v>
      </c>
      <c r="C18" s="36">
        <v>4</v>
      </c>
      <c r="D18" s="34">
        <v>2022</v>
      </c>
      <c r="E18" s="39">
        <f>'Hotel Data'!X21</f>
        <v>12421</v>
      </c>
      <c r="F18" s="34">
        <v>0.27400000000000002</v>
      </c>
      <c r="G18" s="37">
        <f>'Hotel Data'!E21</f>
        <v>226</v>
      </c>
      <c r="H18" s="34">
        <v>1.6627000000000001</v>
      </c>
      <c r="I18" s="37">
        <f>'Hotel Data'!K21</f>
        <v>180</v>
      </c>
      <c r="J18" s="34">
        <v>0.2601</v>
      </c>
      <c r="K18" s="34">
        <v>63</v>
      </c>
      <c r="L18" s="34">
        <v>120</v>
      </c>
    </row>
    <row r="19" spans="1:12" s="35" customFormat="1" x14ac:dyDescent="0.3">
      <c r="A19" s="35" t="s">
        <v>41</v>
      </c>
      <c r="B19" s="35">
        <f t="shared" si="0"/>
        <v>18</v>
      </c>
      <c r="C19" s="36">
        <v>4</v>
      </c>
      <c r="D19" s="34">
        <v>2022</v>
      </c>
      <c r="E19" s="39">
        <f>'Hotel Data'!X22</f>
        <v>11626</v>
      </c>
      <c r="F19" s="34">
        <v>0.27400000000000002</v>
      </c>
      <c r="G19" s="37">
        <f>'Hotel Data'!E22</f>
        <v>219</v>
      </c>
      <c r="H19" s="34">
        <v>1.6627000000000001</v>
      </c>
      <c r="I19" s="37">
        <f>'Hotel Data'!K22</f>
        <v>170</v>
      </c>
      <c r="J19" s="34">
        <v>0.2601</v>
      </c>
      <c r="K19" s="34">
        <v>57</v>
      </c>
      <c r="L19" s="34">
        <v>100</v>
      </c>
    </row>
    <row r="20" spans="1:12" s="35" customFormat="1" x14ac:dyDescent="0.3">
      <c r="A20" s="35" t="s">
        <v>41</v>
      </c>
      <c r="B20" s="35">
        <f t="shared" si="0"/>
        <v>19</v>
      </c>
      <c r="C20" s="36">
        <v>4</v>
      </c>
      <c r="D20" s="34">
        <v>2022</v>
      </c>
      <c r="E20" s="39">
        <f>'Hotel Data'!X23</f>
        <v>12047</v>
      </c>
      <c r="F20" s="34">
        <v>0.27400000000000002</v>
      </c>
      <c r="G20" s="37">
        <f>'Hotel Data'!E23</f>
        <v>175</v>
      </c>
      <c r="H20" s="34">
        <v>1.6627000000000001</v>
      </c>
      <c r="I20" s="37">
        <f>'Hotel Data'!K23</f>
        <v>141</v>
      </c>
      <c r="J20" s="34">
        <v>0.2601</v>
      </c>
      <c r="K20" s="34">
        <v>65</v>
      </c>
      <c r="L20" s="34">
        <v>103</v>
      </c>
    </row>
    <row r="21" spans="1:12" s="35" customFormat="1" x14ac:dyDescent="0.3">
      <c r="A21" s="35" t="s">
        <v>41</v>
      </c>
      <c r="B21" s="35">
        <f t="shared" si="0"/>
        <v>20</v>
      </c>
      <c r="C21" s="36">
        <v>4</v>
      </c>
      <c r="D21" s="34">
        <v>2022</v>
      </c>
      <c r="E21" s="39">
        <f>'Hotel Data'!X24</f>
        <v>11761</v>
      </c>
      <c r="F21" s="34">
        <v>0.27400000000000002</v>
      </c>
      <c r="G21" s="37">
        <f>'Hotel Data'!E24</f>
        <v>218</v>
      </c>
      <c r="H21" s="34">
        <v>1.6627000000000001</v>
      </c>
      <c r="I21" s="37">
        <f>'Hotel Data'!K24</f>
        <v>265</v>
      </c>
      <c r="J21" s="34">
        <v>0.2601</v>
      </c>
      <c r="K21" s="34">
        <v>63</v>
      </c>
      <c r="L21" s="34">
        <v>106</v>
      </c>
    </row>
    <row r="22" spans="1:12" s="35" customFormat="1" x14ac:dyDescent="0.3">
      <c r="A22" s="35" t="s">
        <v>41</v>
      </c>
      <c r="B22" s="35">
        <f t="shared" si="0"/>
        <v>21</v>
      </c>
      <c r="C22" s="36">
        <v>4</v>
      </c>
      <c r="D22" s="34">
        <v>2022</v>
      </c>
      <c r="E22" s="39">
        <f>'Hotel Data'!X25</f>
        <v>12004</v>
      </c>
      <c r="F22" s="34">
        <v>0.27400000000000002</v>
      </c>
      <c r="G22" s="37">
        <f>'Hotel Data'!E25</f>
        <v>238</v>
      </c>
      <c r="H22" s="34">
        <v>1.6627000000000001</v>
      </c>
      <c r="I22" s="37">
        <f>'Hotel Data'!K25</f>
        <v>201</v>
      </c>
      <c r="J22" s="34">
        <v>0.2601</v>
      </c>
      <c r="K22" s="34">
        <v>70</v>
      </c>
      <c r="L22" s="34">
        <v>129</v>
      </c>
    </row>
    <row r="23" spans="1:12" s="35" customFormat="1" x14ac:dyDescent="0.3">
      <c r="A23" s="35" t="s">
        <v>41</v>
      </c>
      <c r="B23" s="35">
        <f t="shared" si="0"/>
        <v>22</v>
      </c>
      <c r="C23" s="36">
        <v>4</v>
      </c>
      <c r="D23" s="34">
        <v>2022</v>
      </c>
      <c r="E23" s="39">
        <f>'Hotel Data'!X26</f>
        <v>11935</v>
      </c>
      <c r="F23" s="34">
        <v>0.27400000000000002</v>
      </c>
      <c r="G23" s="37">
        <f>'Hotel Data'!E26</f>
        <v>250</v>
      </c>
      <c r="H23" s="34">
        <v>1.6627000000000001</v>
      </c>
      <c r="I23" s="37">
        <f>'Hotel Data'!K26</f>
        <v>227</v>
      </c>
      <c r="J23" s="34">
        <v>0.2601</v>
      </c>
      <c r="K23" s="34">
        <v>100</v>
      </c>
      <c r="L23" s="34">
        <v>179</v>
      </c>
    </row>
    <row r="24" spans="1:12" s="35" customFormat="1" x14ac:dyDescent="0.3">
      <c r="A24" s="35" t="s">
        <v>41</v>
      </c>
      <c r="B24" s="35">
        <f t="shared" si="0"/>
        <v>23</v>
      </c>
      <c r="C24" s="36">
        <v>4</v>
      </c>
      <c r="D24" s="34">
        <v>2022</v>
      </c>
      <c r="E24" s="39">
        <f>'Hotel Data'!X27</f>
        <v>11315</v>
      </c>
      <c r="F24" s="34">
        <v>0.27400000000000002</v>
      </c>
      <c r="G24" s="37">
        <f>'Hotel Data'!E27</f>
        <v>357</v>
      </c>
      <c r="H24" s="34">
        <v>1.6627000000000001</v>
      </c>
      <c r="I24" s="37">
        <f>'Hotel Data'!K27</f>
        <v>303</v>
      </c>
      <c r="J24" s="34">
        <v>0.2601</v>
      </c>
      <c r="K24" s="34">
        <v>85</v>
      </c>
      <c r="L24" s="34">
        <v>179</v>
      </c>
    </row>
    <row r="25" spans="1:12" s="35" customFormat="1" x14ac:dyDescent="0.3">
      <c r="A25" s="35" t="s">
        <v>41</v>
      </c>
      <c r="B25" s="35">
        <f t="shared" si="0"/>
        <v>24</v>
      </c>
      <c r="C25" s="36">
        <v>4</v>
      </c>
      <c r="D25" s="34">
        <v>2022</v>
      </c>
      <c r="E25" s="39">
        <f>'Hotel Data'!X28</f>
        <v>11282</v>
      </c>
      <c r="F25" s="34">
        <v>0.27400000000000002</v>
      </c>
      <c r="G25" s="37">
        <f>'Hotel Data'!E28</f>
        <v>240</v>
      </c>
      <c r="H25" s="34">
        <v>1.6627000000000001</v>
      </c>
      <c r="I25" s="37">
        <f>'Hotel Data'!K28</f>
        <v>218</v>
      </c>
      <c r="J25" s="34">
        <v>0.2601</v>
      </c>
      <c r="K25" s="34">
        <v>49</v>
      </c>
      <c r="L25" s="34">
        <v>96</v>
      </c>
    </row>
    <row r="26" spans="1:12" s="35" customFormat="1" x14ac:dyDescent="0.3">
      <c r="A26" s="35" t="s">
        <v>41</v>
      </c>
      <c r="B26" s="35">
        <f>B25+1</f>
        <v>25</v>
      </c>
      <c r="C26" s="36">
        <v>4</v>
      </c>
      <c r="D26" s="34">
        <v>2022</v>
      </c>
      <c r="E26" s="39">
        <f>'Hotel Data'!X29</f>
        <v>11071</v>
      </c>
      <c r="F26" s="34">
        <v>0.27400000000000002</v>
      </c>
      <c r="G26" s="37">
        <f>'Hotel Data'!E29</f>
        <v>393</v>
      </c>
      <c r="H26" s="34">
        <v>1.6627000000000001</v>
      </c>
      <c r="I26" s="37">
        <f>'Hotel Data'!K29</f>
        <v>267</v>
      </c>
      <c r="J26" s="34">
        <v>0.2601</v>
      </c>
      <c r="K26" s="34">
        <v>59</v>
      </c>
      <c r="L26" s="34">
        <v>87</v>
      </c>
    </row>
    <row r="27" spans="1:12" s="35" customFormat="1" x14ac:dyDescent="0.3">
      <c r="A27" s="35" t="s">
        <v>41</v>
      </c>
      <c r="B27" s="35">
        <f t="shared" si="0"/>
        <v>26</v>
      </c>
      <c r="C27" s="36">
        <v>4</v>
      </c>
      <c r="D27" s="34">
        <v>2022</v>
      </c>
      <c r="E27" s="39">
        <f>'Hotel Data'!X30</f>
        <v>11701</v>
      </c>
      <c r="F27" s="34">
        <v>0.27400000000000002</v>
      </c>
      <c r="G27" s="37">
        <f>'Hotel Data'!E30</f>
        <v>392</v>
      </c>
      <c r="H27" s="34">
        <v>1.6627000000000001</v>
      </c>
      <c r="I27" s="37">
        <f>'Hotel Data'!K30</f>
        <v>205</v>
      </c>
      <c r="J27" s="34">
        <v>0.2601</v>
      </c>
      <c r="K27" s="34">
        <v>75</v>
      </c>
      <c r="L27" s="34">
        <v>102</v>
      </c>
    </row>
    <row r="28" spans="1:12" s="35" customFormat="1" x14ac:dyDescent="0.3">
      <c r="A28" s="35" t="s">
        <v>41</v>
      </c>
      <c r="B28" s="35">
        <f t="shared" si="0"/>
        <v>27</v>
      </c>
      <c r="C28" s="36">
        <v>4</v>
      </c>
      <c r="D28" s="34">
        <v>2022</v>
      </c>
      <c r="E28" s="39">
        <f>'Hotel Data'!X31</f>
        <v>11944</v>
      </c>
      <c r="F28" s="34">
        <v>0.27400000000000002</v>
      </c>
      <c r="G28" s="37">
        <f>'Hotel Data'!E31</f>
        <v>328</v>
      </c>
      <c r="H28" s="34">
        <v>1.6627000000000001</v>
      </c>
      <c r="I28" s="37">
        <f>'Hotel Data'!K31</f>
        <v>241</v>
      </c>
      <c r="J28" s="34">
        <v>0.2601</v>
      </c>
      <c r="K28" s="34">
        <v>80</v>
      </c>
      <c r="L28" s="34">
        <v>117</v>
      </c>
    </row>
    <row r="29" spans="1:12" s="35" customFormat="1" x14ac:dyDescent="0.3">
      <c r="A29" s="35" t="s">
        <v>41</v>
      </c>
      <c r="B29" s="35">
        <f t="shared" si="0"/>
        <v>28</v>
      </c>
      <c r="C29" s="36">
        <v>4</v>
      </c>
      <c r="D29" s="34">
        <v>2022</v>
      </c>
      <c r="E29" s="39">
        <f>'Hotel Data'!X32</f>
        <v>12138</v>
      </c>
      <c r="F29" s="34">
        <v>0.27400000000000002</v>
      </c>
      <c r="G29" s="37">
        <f>'Hotel Data'!E32</f>
        <v>208</v>
      </c>
      <c r="H29" s="34">
        <v>1.6627000000000001</v>
      </c>
      <c r="I29" s="37">
        <f>'Hotel Data'!K32</f>
        <v>206</v>
      </c>
      <c r="J29" s="34">
        <v>0.2601</v>
      </c>
      <c r="K29" s="34">
        <v>70</v>
      </c>
      <c r="L29" s="34">
        <v>106</v>
      </c>
    </row>
    <row r="30" spans="1:12" s="35" customFormat="1" ht="14.25" customHeight="1" x14ac:dyDescent="0.3">
      <c r="A30" s="35" t="s">
        <v>41</v>
      </c>
      <c r="B30" s="35">
        <f t="shared" si="0"/>
        <v>29</v>
      </c>
      <c r="C30" s="36">
        <v>4</v>
      </c>
      <c r="D30" s="34">
        <v>2022</v>
      </c>
      <c r="E30" s="39">
        <f>'Hotel Data'!X33</f>
        <v>11915</v>
      </c>
      <c r="F30" s="34">
        <v>0.27400000000000002</v>
      </c>
      <c r="G30" s="37">
        <f>'Hotel Data'!E33</f>
        <v>209</v>
      </c>
      <c r="H30" s="34">
        <v>1.6627000000000001</v>
      </c>
      <c r="I30" s="37">
        <f>'Hotel Data'!K33</f>
        <v>169</v>
      </c>
      <c r="J30" s="34">
        <v>0.2601</v>
      </c>
      <c r="K30" s="34">
        <v>88</v>
      </c>
      <c r="L30" s="34">
        <v>156</v>
      </c>
    </row>
    <row r="31" spans="1:12" x14ac:dyDescent="0.3">
      <c r="A31" s="35" t="s">
        <v>41</v>
      </c>
      <c r="B31" s="35">
        <f t="shared" si="0"/>
        <v>30</v>
      </c>
      <c r="C31" s="36">
        <v>4</v>
      </c>
      <c r="D31" s="34">
        <v>2022</v>
      </c>
      <c r="E31" s="39">
        <f>'Hotel Data'!X34</f>
        <v>11644</v>
      </c>
      <c r="F31" s="34">
        <v>0.27400000000000002</v>
      </c>
      <c r="G31" s="37">
        <f>'Hotel Data'!E34</f>
        <v>215</v>
      </c>
      <c r="H31" s="34">
        <v>1.6627000000000001</v>
      </c>
      <c r="I31" s="37">
        <f>'Hotel Data'!K34</f>
        <v>184</v>
      </c>
      <c r="J31" s="34">
        <v>0.2601</v>
      </c>
      <c r="K31" s="34">
        <v>79</v>
      </c>
      <c r="L31" s="34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selection activeCell="M4" sqref="M4"/>
    </sheetView>
  </sheetViews>
  <sheetFormatPr defaultColWidth="11.5546875" defaultRowHeight="14.4" x14ac:dyDescent="0.3"/>
  <cols>
    <col min="4" max="4" width="13.44140625" customWidth="1"/>
    <col min="5" max="5" width="13" style="28" customWidth="1"/>
    <col min="6" max="6" width="12.5546875" customWidth="1"/>
    <col min="7" max="7" width="13" style="28" customWidth="1"/>
    <col min="12" max="12" width="11.5546875" style="28"/>
    <col min="15" max="15" width="14" customWidth="1"/>
    <col min="17" max="17" width="12.6640625" customWidth="1"/>
  </cols>
  <sheetData>
    <row r="1" spans="1:17" s="32" customFormat="1" ht="43.2" x14ac:dyDescent="0.3">
      <c r="A1" s="32" t="s">
        <v>32</v>
      </c>
      <c r="B1" s="32" t="s">
        <v>33</v>
      </c>
      <c r="C1" s="32" t="s">
        <v>34</v>
      </c>
      <c r="D1" s="32" t="s">
        <v>35</v>
      </c>
      <c r="E1" s="29" t="s">
        <v>51</v>
      </c>
      <c r="F1" s="29" t="s">
        <v>42</v>
      </c>
      <c r="G1" s="29" t="s">
        <v>43</v>
      </c>
      <c r="H1" s="30" t="s">
        <v>44</v>
      </c>
      <c r="I1" s="30" t="s">
        <v>45</v>
      </c>
      <c r="J1" s="30" t="s">
        <v>46</v>
      </c>
      <c r="K1" s="30" t="s">
        <v>47</v>
      </c>
      <c r="L1" s="29" t="s">
        <v>48</v>
      </c>
      <c r="M1" s="30" t="s">
        <v>49</v>
      </c>
      <c r="N1" s="30" t="s">
        <v>50</v>
      </c>
      <c r="O1" s="31" t="s">
        <v>52</v>
      </c>
      <c r="P1" s="31" t="s">
        <v>39</v>
      </c>
      <c r="Q1" s="32" t="s">
        <v>40</v>
      </c>
    </row>
    <row r="2" spans="1:17" s="32" customFormat="1" x14ac:dyDescent="0.3">
      <c r="E2" s="29"/>
      <c r="F2" s="29"/>
      <c r="G2" s="29"/>
      <c r="H2" s="30"/>
      <c r="I2" s="30"/>
      <c r="J2" s="30"/>
      <c r="K2" s="30"/>
      <c r="L2" s="29"/>
      <c r="M2" s="30"/>
      <c r="N2" s="30"/>
      <c r="O2" s="31"/>
      <c r="P2" s="31"/>
      <c r="Q2" s="32">
        <v>0</v>
      </c>
    </row>
    <row r="3" spans="1:17" s="34" customFormat="1" x14ac:dyDescent="0.3">
      <c r="A3" s="34" t="s">
        <v>41</v>
      </c>
      <c r="B3" s="34">
        <v>1</v>
      </c>
      <c r="C3" s="36">
        <v>4</v>
      </c>
      <c r="D3" s="34">
        <v>2022</v>
      </c>
      <c r="E3" s="37">
        <f>'Hotel Data'!E5</f>
        <v>260</v>
      </c>
      <c r="F3" s="37">
        <f>'Hotel Data'!G5</f>
        <v>0</v>
      </c>
      <c r="G3" s="37">
        <f>'Hotel Data'!O5</f>
        <v>0</v>
      </c>
      <c r="H3" s="37">
        <f>'Hotel Data'!Q5</f>
        <v>108</v>
      </c>
      <c r="I3" s="37">
        <f>'Hotel Data'!S5</f>
        <v>0</v>
      </c>
      <c r="J3" s="37">
        <f>'Hotel Data'!U5</f>
        <v>847</v>
      </c>
      <c r="K3" s="37">
        <f>'Hotel Data'!AD5</f>
        <v>293</v>
      </c>
      <c r="L3" s="37">
        <f>'Hotel Data'!AG5</f>
        <v>987</v>
      </c>
      <c r="M3" s="37">
        <f>'Hotel Data'!AJ5</f>
        <v>120</v>
      </c>
      <c r="N3" s="37">
        <f>'Hotel Data'!AN5</f>
        <v>655</v>
      </c>
      <c r="O3" s="37">
        <f>'Hotel Data'!AR5</f>
        <v>232</v>
      </c>
      <c r="P3" s="35">
        <f>TOTAL!K2</f>
        <v>57</v>
      </c>
      <c r="Q3" s="34">
        <v>0</v>
      </c>
    </row>
    <row r="4" spans="1:17" s="35" customFormat="1" x14ac:dyDescent="0.3">
      <c r="A4" s="35" t="s">
        <v>41</v>
      </c>
      <c r="B4" s="35">
        <f>B3+1</f>
        <v>2</v>
      </c>
      <c r="C4" s="36">
        <v>4</v>
      </c>
      <c r="D4" s="34">
        <v>2022</v>
      </c>
      <c r="E4" s="37">
        <f>'Hotel Data'!E6</f>
        <v>380</v>
      </c>
      <c r="F4" s="37">
        <f>'Hotel Data'!G6</f>
        <v>0</v>
      </c>
      <c r="G4" s="37">
        <f>'Hotel Data'!O6</f>
        <v>0</v>
      </c>
      <c r="H4" s="37">
        <f>'Hotel Data'!Q6</f>
        <v>109</v>
      </c>
      <c r="I4" s="37">
        <f>'Hotel Data'!S6</f>
        <v>0</v>
      </c>
      <c r="J4" s="37">
        <f>'Hotel Data'!U6</f>
        <v>132</v>
      </c>
      <c r="K4" s="37">
        <f>'Hotel Data'!AD6</f>
        <v>303</v>
      </c>
      <c r="L4" s="37">
        <f>'Hotel Data'!AG6</f>
        <v>1076</v>
      </c>
      <c r="M4" s="37">
        <f>'Hotel Data'!AJ6</f>
        <v>120</v>
      </c>
      <c r="N4" s="37">
        <f>'Hotel Data'!AN6</f>
        <v>655</v>
      </c>
      <c r="O4" s="37">
        <f>'Hotel Data'!AR6</f>
        <v>224</v>
      </c>
      <c r="P4" s="35">
        <f>TOTAL!K3</f>
        <v>49</v>
      </c>
      <c r="Q4" s="35">
        <v>0</v>
      </c>
    </row>
    <row r="5" spans="1:17" s="35" customFormat="1" x14ac:dyDescent="0.3">
      <c r="A5" s="35" t="s">
        <v>41</v>
      </c>
      <c r="B5" s="35">
        <f t="shared" ref="B5:B32" si="0">B4+1</f>
        <v>3</v>
      </c>
      <c r="C5" s="36">
        <v>4</v>
      </c>
      <c r="D5" s="34">
        <v>2022</v>
      </c>
      <c r="E5" s="37">
        <f>'Hotel Data'!E7</f>
        <v>451</v>
      </c>
      <c r="F5" s="37">
        <f>'Hotel Data'!G7</f>
        <v>0</v>
      </c>
      <c r="G5" s="37">
        <f>'Hotel Data'!O7</f>
        <v>0</v>
      </c>
      <c r="H5" s="37">
        <f>'Hotel Data'!Q7</f>
        <v>105</v>
      </c>
      <c r="I5" s="37">
        <f>'Hotel Data'!S7</f>
        <v>0</v>
      </c>
      <c r="J5" s="37">
        <f>'Hotel Data'!U7</f>
        <v>126</v>
      </c>
      <c r="K5" s="37">
        <f>'Hotel Data'!AD7</f>
        <v>295</v>
      </c>
      <c r="L5" s="37">
        <f>'Hotel Data'!AG7</f>
        <v>974</v>
      </c>
      <c r="M5" s="37">
        <f>'Hotel Data'!AJ7</f>
        <v>128</v>
      </c>
      <c r="N5" s="37">
        <f>'Hotel Data'!AN7</f>
        <v>592</v>
      </c>
      <c r="O5" s="37">
        <f>'Hotel Data'!AR7</f>
        <v>288</v>
      </c>
      <c r="P5" s="35">
        <f>TOTAL!K4</f>
        <v>38</v>
      </c>
      <c r="Q5" s="35">
        <v>0</v>
      </c>
    </row>
    <row r="6" spans="1:17" s="35" customFormat="1" x14ac:dyDescent="0.3">
      <c r="A6" s="35" t="s">
        <v>41</v>
      </c>
      <c r="B6" s="35">
        <f t="shared" si="0"/>
        <v>4</v>
      </c>
      <c r="C6" s="36">
        <v>4</v>
      </c>
      <c r="D6" s="34">
        <v>2022</v>
      </c>
      <c r="E6" s="37">
        <f>'Hotel Data'!E8</f>
        <v>380</v>
      </c>
      <c r="F6" s="37">
        <f>'Hotel Data'!G8</f>
        <v>0</v>
      </c>
      <c r="G6" s="37">
        <f>'Hotel Data'!O8</f>
        <v>0</v>
      </c>
      <c r="H6" s="37">
        <f>'Hotel Data'!Q8</f>
        <v>110</v>
      </c>
      <c r="I6" s="37">
        <f>'Hotel Data'!S8</f>
        <v>0</v>
      </c>
      <c r="J6" s="37">
        <f>'Hotel Data'!U8</f>
        <v>132</v>
      </c>
      <c r="K6" s="37">
        <f>'Hotel Data'!AD8</f>
        <v>287</v>
      </c>
      <c r="L6" s="37">
        <f>'Hotel Data'!AG8</f>
        <v>1001</v>
      </c>
      <c r="M6" s="37">
        <f>'Hotel Data'!AJ8</f>
        <v>120</v>
      </c>
      <c r="N6" s="37">
        <f>'Hotel Data'!AN8</f>
        <v>655</v>
      </c>
      <c r="O6" s="37">
        <f>'Hotel Data'!AR8</f>
        <v>224</v>
      </c>
      <c r="P6" s="35">
        <f>TOTAL!K5</f>
        <v>55</v>
      </c>
      <c r="Q6" s="35">
        <v>0</v>
      </c>
    </row>
    <row r="7" spans="1:17" s="35" customFormat="1" x14ac:dyDescent="0.3">
      <c r="A7" s="35" t="s">
        <v>41</v>
      </c>
      <c r="B7" s="35">
        <f t="shared" si="0"/>
        <v>5</v>
      </c>
      <c r="C7" s="36">
        <v>4</v>
      </c>
      <c r="D7" s="34">
        <v>2022</v>
      </c>
      <c r="E7" s="37">
        <f>'Hotel Data'!E9</f>
        <v>334</v>
      </c>
      <c r="F7" s="37">
        <f>'Hotel Data'!G9</f>
        <v>1</v>
      </c>
      <c r="G7" s="37">
        <f>'Hotel Data'!O9</f>
        <v>1</v>
      </c>
      <c r="H7" s="37">
        <f>'Hotel Data'!Q9</f>
        <v>109</v>
      </c>
      <c r="I7" s="37">
        <f>'Hotel Data'!S9</f>
        <v>0</v>
      </c>
      <c r="J7" s="37">
        <f>'Hotel Data'!U9</f>
        <v>127</v>
      </c>
      <c r="K7" s="37">
        <f>'Hotel Data'!AD9</f>
        <v>296</v>
      </c>
      <c r="L7" s="37">
        <f>'Hotel Data'!AG9</f>
        <v>1009</v>
      </c>
      <c r="M7" s="37">
        <f>'Hotel Data'!AJ9</f>
        <v>144</v>
      </c>
      <c r="N7" s="37">
        <f>'Hotel Data'!AN9</f>
        <v>643</v>
      </c>
      <c r="O7" s="37">
        <f>'Hotel Data'!AR9</f>
        <v>216</v>
      </c>
      <c r="P7" s="35">
        <f>TOTAL!K6</f>
        <v>46</v>
      </c>
      <c r="Q7" s="35">
        <v>0</v>
      </c>
    </row>
    <row r="8" spans="1:17" s="35" customFormat="1" x14ac:dyDescent="0.3">
      <c r="A8" s="35" t="s">
        <v>41</v>
      </c>
      <c r="B8" s="35">
        <f t="shared" si="0"/>
        <v>6</v>
      </c>
      <c r="C8" s="36">
        <v>4</v>
      </c>
      <c r="D8" s="34">
        <v>2022</v>
      </c>
      <c r="E8" s="37">
        <f>'Hotel Data'!E10</f>
        <v>270</v>
      </c>
      <c r="F8" s="37">
        <f>'Hotel Data'!G10</f>
        <v>0</v>
      </c>
      <c r="G8" s="37">
        <f>'Hotel Data'!O10</f>
        <v>2</v>
      </c>
      <c r="H8" s="37">
        <f>'Hotel Data'!Q10</f>
        <v>112</v>
      </c>
      <c r="I8" s="37">
        <f>'Hotel Data'!S10</f>
        <v>0</v>
      </c>
      <c r="J8" s="37">
        <f>'Hotel Data'!U10</f>
        <v>139</v>
      </c>
      <c r="K8" s="37">
        <f>'Hotel Data'!AD10</f>
        <v>293</v>
      </c>
      <c r="L8" s="37">
        <f>'Hotel Data'!AG10</f>
        <v>1101</v>
      </c>
      <c r="M8" s="37">
        <f>'Hotel Data'!AJ10</f>
        <v>144</v>
      </c>
      <c r="N8" s="37">
        <f>'Hotel Data'!AN10</f>
        <v>627</v>
      </c>
      <c r="O8" s="37">
        <f>'Hotel Data'!AR10</f>
        <v>272</v>
      </c>
      <c r="P8" s="35">
        <f>TOTAL!K7</f>
        <v>54</v>
      </c>
      <c r="Q8" s="35">
        <v>0</v>
      </c>
    </row>
    <row r="9" spans="1:17" s="35" customFormat="1" x14ac:dyDescent="0.3">
      <c r="A9" s="35" t="s">
        <v>41</v>
      </c>
      <c r="B9" s="35">
        <f t="shared" si="0"/>
        <v>7</v>
      </c>
      <c r="C9" s="36">
        <v>4</v>
      </c>
      <c r="D9" s="34">
        <v>2022</v>
      </c>
      <c r="E9" s="37">
        <f>'Hotel Data'!E11</f>
        <v>231</v>
      </c>
      <c r="F9" s="37">
        <f>'Hotel Data'!G11</f>
        <v>0</v>
      </c>
      <c r="G9" s="37">
        <f>'Hotel Data'!O11</f>
        <v>3</v>
      </c>
      <c r="H9" s="37">
        <f>'Hotel Data'!Q11</f>
        <v>105</v>
      </c>
      <c r="I9" s="37">
        <f>'Hotel Data'!S11</f>
        <v>0</v>
      </c>
      <c r="J9" s="37">
        <f>'Hotel Data'!U11</f>
        <v>122</v>
      </c>
      <c r="K9" s="37">
        <f>'Hotel Data'!AD11</f>
        <v>294</v>
      </c>
      <c r="L9" s="37">
        <f>'Hotel Data'!AG11</f>
        <v>1070</v>
      </c>
      <c r="M9" s="37">
        <f>'Hotel Data'!AJ11</f>
        <v>136</v>
      </c>
      <c r="N9" s="37">
        <f>'Hotel Data'!AN11</f>
        <v>487</v>
      </c>
      <c r="O9" s="37">
        <f>'Hotel Data'!AR11</f>
        <v>240</v>
      </c>
      <c r="P9" s="35">
        <f>TOTAL!K8</f>
        <v>63</v>
      </c>
      <c r="Q9" s="35">
        <v>0</v>
      </c>
    </row>
    <row r="10" spans="1:17" s="35" customFormat="1" x14ac:dyDescent="0.3">
      <c r="A10" s="35" t="s">
        <v>41</v>
      </c>
      <c r="B10" s="35">
        <f t="shared" si="0"/>
        <v>8</v>
      </c>
      <c r="C10" s="36">
        <v>4</v>
      </c>
      <c r="D10" s="34">
        <v>2022</v>
      </c>
      <c r="E10" s="37">
        <f>'Hotel Data'!E12</f>
        <v>237</v>
      </c>
      <c r="F10" s="37">
        <f>'Hotel Data'!G12</f>
        <v>0</v>
      </c>
      <c r="G10" s="37">
        <f>'Hotel Data'!O12</f>
        <v>7</v>
      </c>
      <c r="H10" s="37">
        <f>'Hotel Data'!Q12</f>
        <v>108</v>
      </c>
      <c r="I10" s="37">
        <f>'Hotel Data'!S12</f>
        <v>0</v>
      </c>
      <c r="J10" s="37">
        <f>'Hotel Data'!U12</f>
        <v>135</v>
      </c>
      <c r="K10" s="37">
        <f>'Hotel Data'!AD12</f>
        <v>304</v>
      </c>
      <c r="L10" s="37">
        <f>'Hotel Data'!AG12</f>
        <v>1018</v>
      </c>
      <c r="M10" s="37">
        <f>'Hotel Data'!AJ12</f>
        <v>136</v>
      </c>
      <c r="N10" s="37">
        <f>'Hotel Data'!AN12</f>
        <v>498</v>
      </c>
      <c r="O10" s="37">
        <f>'Hotel Data'!AR12</f>
        <v>256</v>
      </c>
      <c r="P10" s="35">
        <f>TOTAL!K9</f>
        <v>78</v>
      </c>
      <c r="Q10" s="35">
        <v>0</v>
      </c>
    </row>
    <row r="11" spans="1:17" s="35" customFormat="1" x14ac:dyDescent="0.3">
      <c r="A11" s="35" t="s">
        <v>41</v>
      </c>
      <c r="B11" s="35">
        <f t="shared" si="0"/>
        <v>9</v>
      </c>
      <c r="C11" s="36">
        <v>4</v>
      </c>
      <c r="D11" s="34">
        <v>2022</v>
      </c>
      <c r="E11" s="37">
        <f>'Hotel Data'!E13</f>
        <v>228</v>
      </c>
      <c r="F11" s="37">
        <f>'Hotel Data'!G13</f>
        <v>1</v>
      </c>
      <c r="G11" s="37">
        <f>'Hotel Data'!O13</f>
        <v>5</v>
      </c>
      <c r="H11" s="37">
        <f>'Hotel Data'!Q13</f>
        <v>81</v>
      </c>
      <c r="I11" s="37">
        <f>'Hotel Data'!S13</f>
        <v>0</v>
      </c>
      <c r="J11" s="37">
        <f>'Hotel Data'!U13</f>
        <v>107</v>
      </c>
      <c r="K11" s="37">
        <f>'Hotel Data'!AD13</f>
        <v>288</v>
      </c>
      <c r="L11" s="37">
        <f>'Hotel Data'!AG13</f>
        <v>1065</v>
      </c>
      <c r="M11" s="37">
        <f>'Hotel Data'!AJ13</f>
        <v>136</v>
      </c>
      <c r="N11" s="37">
        <f>'Hotel Data'!AN13</f>
        <v>557</v>
      </c>
      <c r="O11" s="37">
        <f>'Hotel Data'!AR13</f>
        <v>248</v>
      </c>
      <c r="P11" s="35">
        <f>TOTAL!K10</f>
        <v>77</v>
      </c>
      <c r="Q11" s="35">
        <v>0</v>
      </c>
    </row>
    <row r="12" spans="1:17" s="35" customFormat="1" x14ac:dyDescent="0.3">
      <c r="A12" s="35" t="s">
        <v>41</v>
      </c>
      <c r="B12" s="35">
        <f t="shared" si="0"/>
        <v>10</v>
      </c>
      <c r="C12" s="36">
        <v>4</v>
      </c>
      <c r="D12" s="34">
        <v>2022</v>
      </c>
      <c r="E12" s="37">
        <f>'Hotel Data'!E14</f>
        <v>302</v>
      </c>
      <c r="F12" s="37">
        <f>'Hotel Data'!G14</f>
        <v>0</v>
      </c>
      <c r="G12" s="37">
        <f>'Hotel Data'!O14</f>
        <v>3</v>
      </c>
      <c r="H12" s="37">
        <f>'Hotel Data'!Q14</f>
        <v>11</v>
      </c>
      <c r="I12" s="37">
        <f>'Hotel Data'!S14</f>
        <v>0</v>
      </c>
      <c r="J12" s="37">
        <f>'Hotel Data'!U14</f>
        <v>34</v>
      </c>
      <c r="K12" s="37">
        <f>'Hotel Data'!AD14</f>
        <v>288</v>
      </c>
      <c r="L12" s="37">
        <f>'Hotel Data'!AG14</f>
        <v>1053</v>
      </c>
      <c r="M12" s="37">
        <f>'Hotel Data'!AJ14</f>
        <v>144</v>
      </c>
      <c r="N12" s="37">
        <f>'Hotel Data'!AN14</f>
        <v>603</v>
      </c>
      <c r="O12" s="37">
        <f>'Hotel Data'!AR14</f>
        <v>248</v>
      </c>
      <c r="P12" s="35">
        <f>TOTAL!K11</f>
        <v>65</v>
      </c>
      <c r="Q12" s="35">
        <v>0</v>
      </c>
    </row>
    <row r="13" spans="1:17" s="35" customFormat="1" x14ac:dyDescent="0.3">
      <c r="A13" s="35" t="s">
        <v>41</v>
      </c>
      <c r="B13" s="35">
        <f t="shared" si="0"/>
        <v>11</v>
      </c>
      <c r="C13" s="36">
        <v>4</v>
      </c>
      <c r="D13" s="34">
        <v>2022</v>
      </c>
      <c r="E13" s="37">
        <f>'Hotel Data'!E15</f>
        <v>232</v>
      </c>
      <c r="F13" s="37">
        <f>'Hotel Data'!G15</f>
        <v>0</v>
      </c>
      <c r="G13" s="37">
        <f>'Hotel Data'!O15</f>
        <v>4</v>
      </c>
      <c r="H13" s="37">
        <f>'Hotel Data'!Q15</f>
        <v>11</v>
      </c>
      <c r="I13" s="37">
        <f>'Hotel Data'!S15</f>
        <v>0</v>
      </c>
      <c r="J13" s="37">
        <f>'Hotel Data'!U15</f>
        <v>31</v>
      </c>
      <c r="K13" s="37">
        <f>'Hotel Data'!AD15</f>
        <v>282</v>
      </c>
      <c r="L13" s="37">
        <f>'Hotel Data'!AG15</f>
        <v>994</v>
      </c>
      <c r="M13" s="37">
        <f>'Hotel Data'!AJ15</f>
        <v>136</v>
      </c>
      <c r="N13" s="37">
        <f>'Hotel Data'!AN15</f>
        <v>574</v>
      </c>
      <c r="O13" s="37">
        <f>'Hotel Data'!AR15</f>
        <v>248</v>
      </c>
      <c r="P13" s="35">
        <f>TOTAL!K12</f>
        <v>75</v>
      </c>
      <c r="Q13" s="35">
        <v>0</v>
      </c>
    </row>
    <row r="14" spans="1:17" s="35" customFormat="1" x14ac:dyDescent="0.3">
      <c r="A14" s="35" t="s">
        <v>41</v>
      </c>
      <c r="B14" s="35">
        <f t="shared" si="0"/>
        <v>12</v>
      </c>
      <c r="C14" s="36">
        <v>4</v>
      </c>
      <c r="D14" s="34">
        <v>2022</v>
      </c>
      <c r="E14" s="37">
        <f>'Hotel Data'!E16</f>
        <v>218</v>
      </c>
      <c r="F14" s="37">
        <f>'Hotel Data'!G16</f>
        <v>0</v>
      </c>
      <c r="G14" s="37">
        <f>'Hotel Data'!O16</f>
        <v>5</v>
      </c>
      <c r="H14" s="37">
        <f>'Hotel Data'!Q16</f>
        <v>10</v>
      </c>
      <c r="I14" s="37">
        <f>'Hotel Data'!S16</f>
        <v>0</v>
      </c>
      <c r="J14" s="37">
        <f>'Hotel Data'!U16</f>
        <v>27</v>
      </c>
      <c r="K14" s="37">
        <f>'Hotel Data'!AD16</f>
        <v>289</v>
      </c>
      <c r="L14" s="37">
        <f>'Hotel Data'!AG16</f>
        <v>1057</v>
      </c>
      <c r="M14" s="37">
        <f>'Hotel Data'!AJ16</f>
        <v>128</v>
      </c>
      <c r="N14" s="37">
        <f>'Hotel Data'!AN16</f>
        <v>624</v>
      </c>
      <c r="O14" s="37">
        <f>'Hotel Data'!AR16</f>
        <v>256</v>
      </c>
      <c r="P14" s="35">
        <f>TOTAL!K13</f>
        <v>76</v>
      </c>
      <c r="Q14" s="35">
        <v>0</v>
      </c>
    </row>
    <row r="15" spans="1:17" s="35" customFormat="1" x14ac:dyDescent="0.3">
      <c r="A15" s="35" t="s">
        <v>41</v>
      </c>
      <c r="B15" s="35">
        <f t="shared" si="0"/>
        <v>13</v>
      </c>
      <c r="C15" s="36">
        <v>4</v>
      </c>
      <c r="D15" s="34">
        <v>2022</v>
      </c>
      <c r="E15" s="37">
        <f>'Hotel Data'!E17</f>
        <v>212</v>
      </c>
      <c r="F15" s="37">
        <f>'Hotel Data'!G17</f>
        <v>0</v>
      </c>
      <c r="G15" s="37">
        <f>'Hotel Data'!O17</f>
        <v>6</v>
      </c>
      <c r="H15" s="37">
        <f>'Hotel Data'!Q17</f>
        <v>38</v>
      </c>
      <c r="I15" s="37">
        <f>'Hotel Data'!S17</f>
        <v>0</v>
      </c>
      <c r="J15" s="37">
        <f>'Hotel Data'!U17</f>
        <v>59</v>
      </c>
      <c r="K15" s="37">
        <f>'Hotel Data'!AD17</f>
        <v>295</v>
      </c>
      <c r="L15" s="37">
        <f>'Hotel Data'!AG17</f>
        <v>1139</v>
      </c>
      <c r="M15" s="37">
        <f>'Hotel Data'!AJ17</f>
        <v>128</v>
      </c>
      <c r="N15" s="37">
        <f>'Hotel Data'!AN17</f>
        <v>637</v>
      </c>
      <c r="O15" s="37">
        <f>'Hotel Data'!AR17</f>
        <v>272</v>
      </c>
      <c r="P15" s="35">
        <f>TOTAL!K14</f>
        <v>78</v>
      </c>
      <c r="Q15" s="35">
        <v>0</v>
      </c>
    </row>
    <row r="16" spans="1:17" s="35" customFormat="1" x14ac:dyDescent="0.3">
      <c r="A16" s="35" t="s">
        <v>41</v>
      </c>
      <c r="B16" s="35">
        <f t="shared" si="0"/>
        <v>14</v>
      </c>
      <c r="C16" s="36">
        <v>4</v>
      </c>
      <c r="D16" s="34">
        <v>2022</v>
      </c>
      <c r="E16" s="37">
        <f>'Hotel Data'!E18</f>
        <v>227</v>
      </c>
      <c r="F16" s="37">
        <f>'Hotel Data'!G18</f>
        <v>0</v>
      </c>
      <c r="G16" s="37">
        <f>'Hotel Data'!O18</f>
        <v>10</v>
      </c>
      <c r="H16" s="37">
        <f>'Hotel Data'!Q18</f>
        <v>54</v>
      </c>
      <c r="I16" s="37">
        <f>'Hotel Data'!S18</f>
        <v>0</v>
      </c>
      <c r="J16" s="37">
        <f>'Hotel Data'!U18</f>
        <v>75</v>
      </c>
      <c r="K16" s="37">
        <f>'Hotel Data'!AD18</f>
        <v>298</v>
      </c>
      <c r="L16" s="37">
        <f>'Hotel Data'!AG18</f>
        <v>1074</v>
      </c>
      <c r="M16" s="37">
        <f>'Hotel Data'!AJ18</f>
        <v>160</v>
      </c>
      <c r="N16" s="37">
        <f>'Hotel Data'!AN18</f>
        <v>554</v>
      </c>
      <c r="O16" s="37">
        <f>'Hotel Data'!AR18</f>
        <v>240</v>
      </c>
      <c r="P16" s="35">
        <f>TOTAL!K15</f>
        <v>91</v>
      </c>
      <c r="Q16" s="35">
        <v>0</v>
      </c>
    </row>
    <row r="17" spans="1:17" s="35" customFormat="1" x14ac:dyDescent="0.3">
      <c r="A17" s="35" t="s">
        <v>41</v>
      </c>
      <c r="B17" s="35">
        <f t="shared" si="0"/>
        <v>15</v>
      </c>
      <c r="C17" s="36">
        <v>4</v>
      </c>
      <c r="D17" s="34">
        <v>2022</v>
      </c>
      <c r="E17" s="37">
        <f>'Hotel Data'!E19</f>
        <v>237</v>
      </c>
      <c r="F17" s="37">
        <f>'Hotel Data'!G19</f>
        <v>3</v>
      </c>
      <c r="G17" s="37">
        <f>'Hotel Data'!O19</f>
        <v>11</v>
      </c>
      <c r="H17" s="37">
        <f>'Hotel Data'!Q19</f>
        <v>92</v>
      </c>
      <c r="I17" s="37">
        <f>'Hotel Data'!S19</f>
        <v>0</v>
      </c>
      <c r="J17" s="37">
        <f>'Hotel Data'!U19</f>
        <v>122</v>
      </c>
      <c r="K17" s="37">
        <f>'Hotel Data'!AD19</f>
        <v>330</v>
      </c>
      <c r="L17" s="37">
        <f>'Hotel Data'!AG19</f>
        <v>1169</v>
      </c>
      <c r="M17" s="37">
        <f>'Hotel Data'!AJ19</f>
        <v>192</v>
      </c>
      <c r="N17" s="37">
        <f>'Hotel Data'!AN19</f>
        <v>517</v>
      </c>
      <c r="O17" s="37">
        <f>'Hotel Data'!AR19</f>
        <v>256</v>
      </c>
      <c r="P17" s="35">
        <f>TOTAL!K16</f>
        <v>94</v>
      </c>
      <c r="Q17" s="35">
        <v>0</v>
      </c>
    </row>
    <row r="18" spans="1:17" s="35" customFormat="1" x14ac:dyDescent="0.3">
      <c r="A18" s="35" t="s">
        <v>41</v>
      </c>
      <c r="B18" s="35">
        <f t="shared" si="0"/>
        <v>16</v>
      </c>
      <c r="C18" s="36">
        <v>4</v>
      </c>
      <c r="D18" s="34">
        <v>2022</v>
      </c>
      <c r="E18" s="37">
        <f>'Hotel Data'!E20</f>
        <v>208</v>
      </c>
      <c r="F18" s="37">
        <f>'Hotel Data'!G20</f>
        <v>1</v>
      </c>
      <c r="G18" s="37">
        <f>'Hotel Data'!O20</f>
        <v>11</v>
      </c>
      <c r="H18" s="37">
        <f>'Hotel Data'!Q20</f>
        <v>44</v>
      </c>
      <c r="I18" s="37">
        <f>'Hotel Data'!S20</f>
        <v>0</v>
      </c>
      <c r="J18" s="37">
        <f>'Hotel Data'!U20</f>
        <v>71</v>
      </c>
      <c r="K18" s="37">
        <f>'Hotel Data'!AD20</f>
        <v>297</v>
      </c>
      <c r="L18" s="37">
        <f>'Hotel Data'!AG20</f>
        <v>1091</v>
      </c>
      <c r="M18" s="37">
        <f>'Hotel Data'!AJ20</f>
        <v>208</v>
      </c>
      <c r="N18" s="37">
        <f>'Hotel Data'!AN20</f>
        <v>564</v>
      </c>
      <c r="O18" s="37">
        <f>'Hotel Data'!AR20</f>
        <v>264</v>
      </c>
      <c r="P18" s="35">
        <f>TOTAL!K17</f>
        <v>75</v>
      </c>
      <c r="Q18" s="35">
        <v>0</v>
      </c>
    </row>
    <row r="19" spans="1:17" s="35" customFormat="1" x14ac:dyDescent="0.3">
      <c r="A19" s="35" t="s">
        <v>41</v>
      </c>
      <c r="B19" s="35">
        <f t="shared" si="0"/>
        <v>17</v>
      </c>
      <c r="C19" s="36">
        <v>4</v>
      </c>
      <c r="D19" s="34">
        <v>2022</v>
      </c>
      <c r="E19" s="37">
        <f>'Hotel Data'!E21</f>
        <v>226</v>
      </c>
      <c r="F19" s="37">
        <f>'Hotel Data'!G21</f>
        <v>2</v>
      </c>
      <c r="G19" s="37">
        <f>'Hotel Data'!O21</f>
        <v>7</v>
      </c>
      <c r="H19" s="37">
        <f>'Hotel Data'!Q21</f>
        <v>19</v>
      </c>
      <c r="I19" s="37">
        <f>'Hotel Data'!S21</f>
        <v>0</v>
      </c>
      <c r="J19" s="37">
        <f>'Hotel Data'!U21</f>
        <v>45</v>
      </c>
      <c r="K19" s="37">
        <f>'Hotel Data'!AD21</f>
        <v>309</v>
      </c>
      <c r="L19" s="37">
        <f>'Hotel Data'!AG21</f>
        <v>1173</v>
      </c>
      <c r="M19" s="37">
        <f>'Hotel Data'!AJ21</f>
        <v>240</v>
      </c>
      <c r="N19" s="37">
        <f>'Hotel Data'!AN21</f>
        <v>655</v>
      </c>
      <c r="O19" s="37">
        <f>'Hotel Data'!AR21</f>
        <v>256</v>
      </c>
      <c r="P19" s="35">
        <f>TOTAL!K18</f>
        <v>63</v>
      </c>
      <c r="Q19" s="35">
        <v>0</v>
      </c>
    </row>
    <row r="20" spans="1:17" s="35" customFormat="1" x14ac:dyDescent="0.3">
      <c r="A20" s="35" t="s">
        <v>41</v>
      </c>
      <c r="B20" s="35">
        <f t="shared" si="0"/>
        <v>18</v>
      </c>
      <c r="C20" s="36">
        <v>4</v>
      </c>
      <c r="D20" s="34">
        <v>2022</v>
      </c>
      <c r="E20" s="37">
        <f>'Hotel Data'!E22</f>
        <v>219</v>
      </c>
      <c r="F20" s="37">
        <f>'Hotel Data'!G22</f>
        <v>0</v>
      </c>
      <c r="G20" s="37">
        <f>'Hotel Data'!O22</f>
        <v>5</v>
      </c>
      <c r="H20" s="37">
        <f>'Hotel Data'!Q22</f>
        <v>20</v>
      </c>
      <c r="I20" s="37">
        <f>'Hotel Data'!S22</f>
        <v>0</v>
      </c>
      <c r="J20" s="37">
        <f>'Hotel Data'!U22</f>
        <v>44</v>
      </c>
      <c r="K20" s="37">
        <f>'Hotel Data'!AD22</f>
        <v>298</v>
      </c>
      <c r="L20" s="37">
        <f>'Hotel Data'!AG22</f>
        <v>1018</v>
      </c>
      <c r="M20" s="37">
        <f>'Hotel Data'!AJ22</f>
        <v>120</v>
      </c>
      <c r="N20" s="37">
        <f>'Hotel Data'!AN22</f>
        <v>638</v>
      </c>
      <c r="O20" s="37">
        <f>'Hotel Data'!AR22</f>
        <v>264</v>
      </c>
      <c r="P20" s="35">
        <f>TOTAL!K19</f>
        <v>57</v>
      </c>
      <c r="Q20" s="35">
        <v>0</v>
      </c>
    </row>
    <row r="21" spans="1:17" s="35" customFormat="1" x14ac:dyDescent="0.3">
      <c r="A21" s="35" t="s">
        <v>41</v>
      </c>
      <c r="B21" s="35">
        <f t="shared" si="0"/>
        <v>19</v>
      </c>
      <c r="C21" s="36">
        <v>4</v>
      </c>
      <c r="D21" s="34">
        <v>2022</v>
      </c>
      <c r="E21" s="37">
        <f>'Hotel Data'!E23</f>
        <v>175</v>
      </c>
      <c r="F21" s="37">
        <f>'Hotel Data'!G23</f>
        <v>0</v>
      </c>
      <c r="G21" s="37">
        <f>'Hotel Data'!O23</f>
        <v>5</v>
      </c>
      <c r="H21" s="37">
        <f>'Hotel Data'!Q23</f>
        <v>16</v>
      </c>
      <c r="I21" s="37">
        <f>'Hotel Data'!S23</f>
        <v>0</v>
      </c>
      <c r="J21" s="37">
        <f>'Hotel Data'!U23</f>
        <v>35</v>
      </c>
      <c r="K21" s="37">
        <f>'Hotel Data'!AD23</f>
        <v>320</v>
      </c>
      <c r="L21" s="37">
        <f>'Hotel Data'!AG23</f>
        <v>1088</v>
      </c>
      <c r="M21" s="37">
        <f>'Hotel Data'!AJ23</f>
        <v>128</v>
      </c>
      <c r="N21" s="37">
        <f>'Hotel Data'!AN23</f>
        <v>636</v>
      </c>
      <c r="O21" s="37">
        <f>'Hotel Data'!AR23</f>
        <v>240</v>
      </c>
      <c r="P21" s="35">
        <f>TOTAL!K20</f>
        <v>65</v>
      </c>
      <c r="Q21" s="35">
        <v>0</v>
      </c>
    </row>
    <row r="22" spans="1:17" s="35" customFormat="1" x14ac:dyDescent="0.3">
      <c r="A22" s="35" t="s">
        <v>41</v>
      </c>
      <c r="B22" s="35">
        <f t="shared" si="0"/>
        <v>20</v>
      </c>
      <c r="C22" s="36">
        <v>4</v>
      </c>
      <c r="D22" s="34">
        <v>2022</v>
      </c>
      <c r="E22" s="37">
        <f>'Hotel Data'!E24</f>
        <v>218</v>
      </c>
      <c r="F22" s="37">
        <f>'Hotel Data'!G24</f>
        <v>1</v>
      </c>
      <c r="G22" s="37">
        <f>'Hotel Data'!O24</f>
        <v>67</v>
      </c>
      <c r="H22" s="37">
        <f>'Hotel Data'!Q24</f>
        <v>22</v>
      </c>
      <c r="I22" s="37">
        <f>'Hotel Data'!S24</f>
        <v>0</v>
      </c>
      <c r="J22" s="37">
        <f>'Hotel Data'!U24</f>
        <v>47</v>
      </c>
      <c r="K22" s="37">
        <f>'Hotel Data'!AD24</f>
        <v>309</v>
      </c>
      <c r="L22" s="37">
        <f>'Hotel Data'!AG24</f>
        <v>1062</v>
      </c>
      <c r="M22" s="37">
        <f>'Hotel Data'!AJ24</f>
        <v>176</v>
      </c>
      <c r="N22" s="37">
        <f>'Hotel Data'!AN24</f>
        <v>655</v>
      </c>
      <c r="O22" s="37">
        <f>'Hotel Data'!AR24</f>
        <v>184</v>
      </c>
      <c r="P22" s="35">
        <f>TOTAL!K21</f>
        <v>63</v>
      </c>
      <c r="Q22" s="35">
        <v>0</v>
      </c>
    </row>
    <row r="23" spans="1:17" s="35" customFormat="1" x14ac:dyDescent="0.3">
      <c r="A23" s="35" t="s">
        <v>41</v>
      </c>
      <c r="B23" s="35">
        <f t="shared" si="0"/>
        <v>21</v>
      </c>
      <c r="C23" s="36">
        <v>4</v>
      </c>
      <c r="D23" s="34">
        <v>2022</v>
      </c>
      <c r="E23" s="37">
        <f>'Hotel Data'!E25</f>
        <v>238</v>
      </c>
      <c r="F23" s="37">
        <f>'Hotel Data'!G25</f>
        <v>1</v>
      </c>
      <c r="G23" s="37">
        <f>'Hotel Data'!O25</f>
        <v>38</v>
      </c>
      <c r="H23" s="37">
        <f>'Hotel Data'!Q25</f>
        <v>17</v>
      </c>
      <c r="I23" s="37">
        <f>'Hotel Data'!S25</f>
        <v>0</v>
      </c>
      <c r="J23" s="37">
        <f>'Hotel Data'!U25</f>
        <v>38</v>
      </c>
      <c r="K23" s="37">
        <f>'Hotel Data'!AD25</f>
        <v>310</v>
      </c>
      <c r="L23" s="37">
        <f>'Hotel Data'!AG25</f>
        <v>1160</v>
      </c>
      <c r="M23" s="37">
        <f>'Hotel Data'!AJ25</f>
        <v>208</v>
      </c>
      <c r="N23" s="37">
        <f>'Hotel Data'!AN25</f>
        <v>655</v>
      </c>
      <c r="O23" s="37">
        <f>'Hotel Data'!AR25</f>
        <v>248</v>
      </c>
      <c r="P23" s="35">
        <f>TOTAL!K22</f>
        <v>70</v>
      </c>
      <c r="Q23" s="35">
        <v>0</v>
      </c>
    </row>
    <row r="24" spans="1:17" s="35" customFormat="1" x14ac:dyDescent="0.3">
      <c r="A24" s="35" t="s">
        <v>41</v>
      </c>
      <c r="B24" s="35">
        <f t="shared" si="0"/>
        <v>22</v>
      </c>
      <c r="C24" s="36">
        <v>4</v>
      </c>
      <c r="D24" s="34">
        <v>2022</v>
      </c>
      <c r="E24" s="37">
        <f>'Hotel Data'!E26</f>
        <v>250</v>
      </c>
      <c r="F24" s="37">
        <f>'Hotel Data'!G26</f>
        <v>2</v>
      </c>
      <c r="G24" s="37">
        <f>'Hotel Data'!O26</f>
        <v>18</v>
      </c>
      <c r="H24" s="37">
        <f>'Hotel Data'!Q26</f>
        <v>73</v>
      </c>
      <c r="I24" s="37">
        <f>'Hotel Data'!S26</f>
        <v>0</v>
      </c>
      <c r="J24" s="37">
        <f>'Hotel Data'!U26</f>
        <v>102</v>
      </c>
      <c r="K24" s="37">
        <f>'Hotel Data'!AD26</f>
        <v>289</v>
      </c>
      <c r="L24" s="37">
        <f>'Hotel Data'!AG26</f>
        <v>1116</v>
      </c>
      <c r="M24" s="37">
        <f>'Hotel Data'!AJ26</f>
        <v>208</v>
      </c>
      <c r="N24" s="37">
        <f>'Hotel Data'!AN26</f>
        <v>569</v>
      </c>
      <c r="O24" s="37">
        <f>'Hotel Data'!AR26</f>
        <v>264</v>
      </c>
      <c r="P24" s="35">
        <f>TOTAL!K23</f>
        <v>100</v>
      </c>
      <c r="Q24" s="35">
        <v>0</v>
      </c>
    </row>
    <row r="25" spans="1:17" s="35" customFormat="1" x14ac:dyDescent="0.3">
      <c r="A25" s="35" t="s">
        <v>41</v>
      </c>
      <c r="B25" s="35">
        <f t="shared" si="0"/>
        <v>23</v>
      </c>
      <c r="C25" s="36">
        <v>4</v>
      </c>
      <c r="D25" s="34">
        <v>2022</v>
      </c>
      <c r="E25" s="37">
        <f>'Hotel Data'!E27</f>
        <v>357</v>
      </c>
      <c r="F25" s="37">
        <f>'Hotel Data'!G27</f>
        <v>0</v>
      </c>
      <c r="G25" s="37">
        <f>'Hotel Data'!O27</f>
        <v>26</v>
      </c>
      <c r="H25" s="37">
        <f>'Hotel Data'!Q27</f>
        <v>101</v>
      </c>
      <c r="I25" s="37">
        <f>'Hotel Data'!S27</f>
        <v>0</v>
      </c>
      <c r="J25" s="37">
        <f>'Hotel Data'!U27</f>
        <v>132</v>
      </c>
      <c r="K25" s="37">
        <f>'Hotel Data'!AD27</f>
        <v>292</v>
      </c>
      <c r="L25" s="37">
        <f>'Hotel Data'!AG27</f>
        <v>1074</v>
      </c>
      <c r="M25" s="37">
        <f>'Hotel Data'!AJ27</f>
        <v>160</v>
      </c>
      <c r="N25" s="37">
        <f>'Hotel Data'!AN27</f>
        <v>615</v>
      </c>
      <c r="O25" s="37">
        <f>'Hotel Data'!AR27</f>
        <v>264</v>
      </c>
      <c r="P25" s="35">
        <f>TOTAL!K24</f>
        <v>85</v>
      </c>
      <c r="Q25" s="35">
        <v>0</v>
      </c>
    </row>
    <row r="26" spans="1:17" s="35" customFormat="1" x14ac:dyDescent="0.3">
      <c r="A26" s="35" t="s">
        <v>41</v>
      </c>
      <c r="B26" s="35">
        <f t="shared" si="0"/>
        <v>24</v>
      </c>
      <c r="C26" s="36">
        <v>4</v>
      </c>
      <c r="D26" s="34">
        <v>2022</v>
      </c>
      <c r="E26" s="37">
        <f>'Hotel Data'!E28</f>
        <v>240</v>
      </c>
      <c r="F26" s="37">
        <f>'Hotel Data'!G28</f>
        <v>0</v>
      </c>
      <c r="G26" s="37">
        <f>'Hotel Data'!O28</f>
        <v>10</v>
      </c>
      <c r="H26" s="37">
        <f>'Hotel Data'!Q28</f>
        <v>83</v>
      </c>
      <c r="I26" s="37">
        <f>'Hotel Data'!S28</f>
        <v>0</v>
      </c>
      <c r="J26" s="37">
        <f>'Hotel Data'!U28</f>
        <v>111</v>
      </c>
      <c r="K26" s="37">
        <f>'Hotel Data'!AD28</f>
        <v>285</v>
      </c>
      <c r="L26" s="37">
        <f>'Hotel Data'!AG28</f>
        <v>1050</v>
      </c>
      <c r="M26" s="37">
        <f>'Hotel Data'!AJ28</f>
        <v>144</v>
      </c>
      <c r="N26" s="37">
        <f>'Hotel Data'!AN28</f>
        <v>655</v>
      </c>
      <c r="O26" s="37">
        <f>'Hotel Data'!AR28</f>
        <v>232</v>
      </c>
      <c r="P26" s="35">
        <f>TOTAL!K25</f>
        <v>49</v>
      </c>
      <c r="Q26" s="35">
        <v>0</v>
      </c>
    </row>
    <row r="27" spans="1:17" s="35" customFormat="1" x14ac:dyDescent="0.3">
      <c r="A27" s="35" t="s">
        <v>41</v>
      </c>
      <c r="B27" s="35">
        <f>B26+1</f>
        <v>25</v>
      </c>
      <c r="C27" s="36">
        <v>4</v>
      </c>
      <c r="D27" s="34">
        <v>2022</v>
      </c>
      <c r="E27" s="37">
        <f>'Hotel Data'!E29</f>
        <v>393</v>
      </c>
      <c r="F27" s="37">
        <f>'Hotel Data'!G29</f>
        <v>0</v>
      </c>
      <c r="G27" s="37">
        <f>'Hotel Data'!O29</f>
        <v>38</v>
      </c>
      <c r="H27" s="37">
        <f>'Hotel Data'!Q29</f>
        <v>87</v>
      </c>
      <c r="I27" s="37">
        <f>'Hotel Data'!S29</f>
        <v>0</v>
      </c>
      <c r="J27" s="37">
        <f>'Hotel Data'!U29</f>
        <v>115</v>
      </c>
      <c r="K27" s="37">
        <f>'Hotel Data'!AD29</f>
        <v>299</v>
      </c>
      <c r="L27" s="37">
        <f>'Hotel Data'!AG29</f>
        <v>963</v>
      </c>
      <c r="M27" s="37">
        <f>'Hotel Data'!AJ29</f>
        <v>120</v>
      </c>
      <c r="N27" s="37">
        <f>'Hotel Data'!AN29</f>
        <v>542</v>
      </c>
      <c r="O27" s="37">
        <f>'Hotel Data'!AR29</f>
        <v>168</v>
      </c>
      <c r="P27" s="35">
        <f>TOTAL!K26</f>
        <v>59</v>
      </c>
      <c r="Q27" s="35">
        <v>0</v>
      </c>
    </row>
    <row r="28" spans="1:17" s="35" customFormat="1" x14ac:dyDescent="0.3">
      <c r="A28" s="35" t="s">
        <v>41</v>
      </c>
      <c r="B28" s="35">
        <f t="shared" si="0"/>
        <v>26</v>
      </c>
      <c r="C28" s="36">
        <v>4</v>
      </c>
      <c r="D28" s="34">
        <v>2022</v>
      </c>
      <c r="E28" s="37">
        <f>'Hotel Data'!E30</f>
        <v>392</v>
      </c>
      <c r="F28" s="37">
        <f>'Hotel Data'!G30</f>
        <v>2</v>
      </c>
      <c r="G28" s="37">
        <f>'Hotel Data'!O30</f>
        <v>24</v>
      </c>
      <c r="H28" s="37">
        <f>'Hotel Data'!Q30</f>
        <v>43</v>
      </c>
      <c r="I28" s="37">
        <f>'Hotel Data'!S30</f>
        <v>0</v>
      </c>
      <c r="J28" s="37">
        <f>'Hotel Data'!U30</f>
        <v>67</v>
      </c>
      <c r="K28" s="37">
        <f>'Hotel Data'!AD30</f>
        <v>289</v>
      </c>
      <c r="L28" s="37">
        <f>'Hotel Data'!AG30</f>
        <v>1023</v>
      </c>
      <c r="M28" s="37">
        <f>'Hotel Data'!AJ30</f>
        <v>200</v>
      </c>
      <c r="N28" s="37">
        <f>'Hotel Data'!AN30</f>
        <v>626</v>
      </c>
      <c r="O28" s="37">
        <f>'Hotel Data'!AR30</f>
        <v>232</v>
      </c>
      <c r="P28" s="35">
        <f>TOTAL!K27</f>
        <v>75</v>
      </c>
      <c r="Q28" s="35">
        <v>0</v>
      </c>
    </row>
    <row r="29" spans="1:17" s="35" customFormat="1" x14ac:dyDescent="0.3">
      <c r="A29" s="35" t="s">
        <v>41</v>
      </c>
      <c r="B29" s="35">
        <f t="shared" si="0"/>
        <v>27</v>
      </c>
      <c r="C29" s="36">
        <v>4</v>
      </c>
      <c r="D29" s="34">
        <v>2022</v>
      </c>
      <c r="E29" s="37">
        <f>'Hotel Data'!E31</f>
        <v>328</v>
      </c>
      <c r="F29" s="37">
        <f>'Hotel Data'!G31</f>
        <v>0</v>
      </c>
      <c r="G29" s="37">
        <f>'Hotel Data'!O31</f>
        <v>31</v>
      </c>
      <c r="H29" s="37">
        <f>'Hotel Data'!Q31</f>
        <v>18</v>
      </c>
      <c r="I29" s="37">
        <f>'Hotel Data'!S31</f>
        <v>0</v>
      </c>
      <c r="J29" s="37">
        <f>'Hotel Data'!U31</f>
        <v>44</v>
      </c>
      <c r="K29" s="37">
        <f>'Hotel Data'!AD31</f>
        <v>292</v>
      </c>
      <c r="L29" s="37">
        <f>'Hotel Data'!AG31</f>
        <v>1005</v>
      </c>
      <c r="M29" s="37">
        <f>'Hotel Data'!AJ31</f>
        <v>232</v>
      </c>
      <c r="N29" s="37">
        <f>'Hotel Data'!AN31</f>
        <v>516</v>
      </c>
      <c r="O29" s="37">
        <f>'Hotel Data'!AR31</f>
        <v>200</v>
      </c>
      <c r="P29" s="35">
        <f>TOTAL!K28</f>
        <v>80</v>
      </c>
      <c r="Q29" s="35">
        <v>0</v>
      </c>
    </row>
    <row r="30" spans="1:17" s="35" customFormat="1" x14ac:dyDescent="0.3">
      <c r="A30" s="35" t="s">
        <v>41</v>
      </c>
      <c r="B30" s="35">
        <f t="shared" si="0"/>
        <v>28</v>
      </c>
      <c r="C30" s="36">
        <v>4</v>
      </c>
      <c r="D30" s="34">
        <v>2022</v>
      </c>
      <c r="E30" s="37">
        <f>'Hotel Data'!E32</f>
        <v>208</v>
      </c>
      <c r="F30" s="37">
        <f>'Hotel Data'!G32</f>
        <v>0</v>
      </c>
      <c r="G30" s="37">
        <f>'Hotel Data'!O32</f>
        <v>46</v>
      </c>
      <c r="H30" s="37">
        <f>'Hotel Data'!Q32</f>
        <v>19</v>
      </c>
      <c r="I30" s="37">
        <f>'Hotel Data'!S32</f>
        <v>0</v>
      </c>
      <c r="J30" s="37">
        <f>'Hotel Data'!U32</f>
        <v>39</v>
      </c>
      <c r="K30" s="37">
        <f>'Hotel Data'!AD32</f>
        <v>290</v>
      </c>
      <c r="L30" s="37">
        <f>'Hotel Data'!AG32</f>
        <v>1008</v>
      </c>
      <c r="M30" s="37">
        <f>'Hotel Data'!AJ32</f>
        <v>224</v>
      </c>
      <c r="N30" s="37">
        <f>'Hotel Data'!AN32</f>
        <v>519</v>
      </c>
      <c r="O30" s="37">
        <f>'Hotel Data'!AR32</f>
        <v>232</v>
      </c>
      <c r="P30" s="35">
        <f>TOTAL!K29</f>
        <v>70</v>
      </c>
      <c r="Q30" s="35">
        <v>0</v>
      </c>
    </row>
    <row r="31" spans="1:17" s="35" customFormat="1" x14ac:dyDescent="0.3">
      <c r="A31" s="35" t="s">
        <v>41</v>
      </c>
      <c r="B31" s="35">
        <f t="shared" si="0"/>
        <v>29</v>
      </c>
      <c r="C31" s="36">
        <v>4</v>
      </c>
      <c r="D31" s="34">
        <v>2022</v>
      </c>
      <c r="E31" s="37">
        <f>'Hotel Data'!E33</f>
        <v>209</v>
      </c>
      <c r="F31" s="37">
        <f>'Hotel Data'!G33</f>
        <v>0</v>
      </c>
      <c r="G31" s="37">
        <f>'Hotel Data'!O33</f>
        <v>35</v>
      </c>
      <c r="H31" s="37">
        <f>'Hotel Data'!Q33</f>
        <v>1</v>
      </c>
      <c r="I31" s="37">
        <f>'Hotel Data'!S33</f>
        <v>0</v>
      </c>
      <c r="J31" s="37">
        <f>'Hotel Data'!U33</f>
        <v>22</v>
      </c>
      <c r="K31" s="37">
        <f>'Hotel Data'!AD33</f>
        <v>325</v>
      </c>
      <c r="L31" s="37">
        <f>'Hotel Data'!AG33</f>
        <v>1012</v>
      </c>
      <c r="M31" s="37">
        <f>'Hotel Data'!AJ33</f>
        <v>176</v>
      </c>
      <c r="N31" s="37">
        <f>'Hotel Data'!AN33</f>
        <v>564</v>
      </c>
      <c r="O31" s="37">
        <f>'Hotel Data'!AR33</f>
        <v>248</v>
      </c>
      <c r="P31" s="35">
        <f>TOTAL!K30</f>
        <v>88</v>
      </c>
      <c r="Q31" s="35">
        <v>0</v>
      </c>
    </row>
    <row r="32" spans="1:17" s="34" customFormat="1" x14ac:dyDescent="0.3">
      <c r="A32" s="34" t="s">
        <v>41</v>
      </c>
      <c r="B32" s="34">
        <f t="shared" si="0"/>
        <v>30</v>
      </c>
      <c r="C32" s="36">
        <v>4</v>
      </c>
      <c r="D32" s="34">
        <v>2022</v>
      </c>
      <c r="E32" s="37">
        <f>'Hotel Data'!E34</f>
        <v>215</v>
      </c>
      <c r="F32" s="37">
        <f>'Hotel Data'!G34</f>
        <v>0</v>
      </c>
      <c r="G32" s="37">
        <f>'Hotel Data'!O34</f>
        <v>36</v>
      </c>
      <c r="H32" s="37">
        <f>'Hotel Data'!Q34</f>
        <v>2</v>
      </c>
      <c r="I32" s="37">
        <f>'Hotel Data'!S34</f>
        <v>0</v>
      </c>
      <c r="J32" s="37">
        <f>'Hotel Data'!U34</f>
        <v>26</v>
      </c>
      <c r="K32" s="37">
        <f>'Hotel Data'!AD34</f>
        <v>295</v>
      </c>
      <c r="L32" s="37">
        <f>'Hotel Data'!AG34</f>
        <v>1032</v>
      </c>
      <c r="M32" s="37">
        <f>'Hotel Data'!AJ34</f>
        <v>152</v>
      </c>
      <c r="N32" s="37">
        <f>'Hotel Data'!AN34</f>
        <v>576</v>
      </c>
      <c r="O32" s="37">
        <f>'Hotel Data'!AR34</f>
        <v>256</v>
      </c>
      <c r="P32" s="35">
        <f>TOTAL!K31</f>
        <v>79</v>
      </c>
      <c r="Q32" s="3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6"/>
  <sheetViews>
    <sheetView zoomScale="85" zoomScaleNormal="85" workbookViewId="0">
      <selection activeCell="AH40" sqref="AH40"/>
    </sheetView>
  </sheetViews>
  <sheetFormatPr defaultColWidth="8.5546875" defaultRowHeight="15" x14ac:dyDescent="0.25"/>
  <cols>
    <col min="1" max="1" width="6" style="43" customWidth="1"/>
    <col min="2" max="2" width="12" style="1" customWidth="1"/>
    <col min="3" max="3" width="14.88671875" style="1" customWidth="1"/>
    <col min="4" max="4" width="13.5546875" style="1" customWidth="1"/>
    <col min="5" max="5" width="10" style="1" customWidth="1"/>
    <col min="6" max="6" width="12.33203125" style="1" customWidth="1"/>
    <col min="7" max="7" width="12.33203125" style="1" bestFit="1" customWidth="1"/>
    <col min="8" max="8" width="11.6640625" style="1" customWidth="1"/>
    <col min="9" max="11" width="12.6640625" style="1" customWidth="1"/>
    <col min="12" max="13" width="8.88671875" style="1" customWidth="1"/>
    <col min="14" max="14" width="14.88671875" style="1" customWidth="1"/>
    <col min="15" max="15" width="9.109375" style="1" customWidth="1"/>
    <col min="16" max="16" width="15.6640625" style="1" customWidth="1"/>
    <col min="17" max="17" width="9" style="1" customWidth="1"/>
    <col min="18" max="18" width="15.6640625" style="1" customWidth="1"/>
    <col min="19" max="19" width="9.5546875" style="1" customWidth="1"/>
    <col min="20" max="20" width="13.5546875" style="1" customWidth="1"/>
    <col min="21" max="21" width="7.5546875" style="1" customWidth="1"/>
    <col min="22" max="22" width="17" style="1" customWidth="1"/>
    <col min="23" max="23" width="15.109375" style="1" bestFit="1" customWidth="1"/>
    <col min="24" max="24" width="14.44140625" style="1" customWidth="1"/>
    <col min="25" max="25" width="12.6640625" style="24" customWidth="1"/>
    <col min="26" max="26" width="16.44140625" style="1" customWidth="1"/>
    <col min="27" max="27" width="11.5546875" style="1" customWidth="1"/>
    <col min="28" max="28" width="16.5546875" style="43" customWidth="1"/>
    <col min="29" max="29" width="12.109375" style="1" customWidth="1"/>
    <col min="30" max="30" width="17.6640625" style="1" bestFit="1" customWidth="1"/>
    <col min="31" max="31" width="17.88671875" style="1" customWidth="1"/>
    <col min="32" max="32" width="12.33203125" style="1" bestFit="1" customWidth="1"/>
    <col min="33" max="33" width="12.33203125" style="1" customWidth="1"/>
    <col min="34" max="34" width="17.88671875" style="1" bestFit="1" customWidth="1"/>
    <col min="35" max="35" width="17.88671875" style="1" customWidth="1"/>
    <col min="36" max="36" width="12.33203125" style="1" customWidth="1"/>
    <col min="37" max="37" width="10" style="1" customWidth="1"/>
    <col min="38" max="38" width="15" style="1" customWidth="1"/>
    <col min="39" max="39" width="12.5546875" style="1" customWidth="1"/>
    <col min="40" max="40" width="11" style="1" customWidth="1"/>
    <col min="41" max="41" width="9.109375" style="1" customWidth="1"/>
    <col min="42" max="42" width="13.44140625" style="1" customWidth="1"/>
    <col min="43" max="43" width="13.33203125" style="1" customWidth="1"/>
    <col min="44" max="44" width="10.33203125" style="1" customWidth="1"/>
    <col min="45" max="45" width="11.109375" style="1" customWidth="1"/>
    <col min="46" max="46" width="10.33203125" style="1" customWidth="1"/>
    <col min="47" max="47" width="11.5546875" style="1" customWidth="1"/>
    <col min="48" max="48" width="13.109375" style="1" customWidth="1"/>
    <col min="49" max="49" width="9" style="1" customWidth="1"/>
    <col min="50" max="50" width="7.33203125" style="1" customWidth="1"/>
    <col min="51" max="51" width="7.5546875" style="1" customWidth="1"/>
    <col min="52" max="55" width="11.44140625" style="1" customWidth="1"/>
    <col min="56" max="56" width="17.33203125" style="1" bestFit="1" customWidth="1"/>
    <col min="57" max="57" width="17.33203125" style="1" customWidth="1"/>
    <col min="58" max="59" width="12.6640625" style="1" customWidth="1"/>
    <col min="60" max="61" width="11.44140625" style="1" customWidth="1"/>
    <col min="62" max="16384" width="8.5546875" style="1"/>
  </cols>
  <sheetData>
    <row r="1" spans="1:65" ht="12" customHeight="1" x14ac:dyDescent="0.25">
      <c r="A1" s="128"/>
      <c r="B1" s="129"/>
      <c r="C1" s="130"/>
      <c r="D1" s="120" t="s">
        <v>57</v>
      </c>
      <c r="E1" s="122"/>
      <c r="F1" s="120" t="s">
        <v>58</v>
      </c>
      <c r="G1" s="122"/>
      <c r="H1" s="134" t="s">
        <v>1</v>
      </c>
      <c r="I1" s="135"/>
      <c r="J1" s="135"/>
      <c r="K1" s="135"/>
      <c r="L1" s="135"/>
      <c r="M1" s="136"/>
      <c r="N1" s="140" t="s">
        <v>2</v>
      </c>
      <c r="O1" s="122"/>
      <c r="P1" s="142" t="s">
        <v>59</v>
      </c>
      <c r="Q1" s="143"/>
      <c r="R1" s="142" t="s">
        <v>3</v>
      </c>
      <c r="S1" s="143"/>
      <c r="T1" s="142" t="s">
        <v>4</v>
      </c>
      <c r="U1" s="143"/>
      <c r="V1" s="120" t="s">
        <v>5</v>
      </c>
      <c r="W1" s="121"/>
      <c r="X1" s="122"/>
      <c r="Y1" s="120" t="s">
        <v>6</v>
      </c>
      <c r="Z1" s="121"/>
      <c r="AA1" s="122"/>
      <c r="AB1" s="120" t="s">
        <v>60</v>
      </c>
      <c r="AC1" s="121"/>
      <c r="AD1" s="122"/>
      <c r="AE1" s="120" t="s">
        <v>61</v>
      </c>
      <c r="AF1" s="121"/>
      <c r="AG1" s="122"/>
      <c r="AH1" s="120" t="s">
        <v>62</v>
      </c>
      <c r="AI1" s="121"/>
      <c r="AJ1" s="121"/>
      <c r="AK1" s="122"/>
      <c r="AL1" s="120" t="s">
        <v>63</v>
      </c>
      <c r="AM1" s="121"/>
      <c r="AN1" s="121"/>
      <c r="AO1" s="122"/>
      <c r="AP1" s="120" t="s">
        <v>64</v>
      </c>
      <c r="AQ1" s="121"/>
      <c r="AR1" s="122"/>
      <c r="AS1" s="120" t="s">
        <v>65</v>
      </c>
      <c r="AT1" s="122"/>
      <c r="AU1" s="147" t="s">
        <v>7</v>
      </c>
      <c r="AV1" s="149" t="s">
        <v>8</v>
      </c>
      <c r="AW1" s="115" t="s">
        <v>9</v>
      </c>
      <c r="AX1" s="44"/>
      <c r="AY1" s="41"/>
      <c r="AZ1" s="117" t="s">
        <v>66</v>
      </c>
      <c r="BA1" s="117" t="s">
        <v>0</v>
      </c>
      <c r="BB1" s="117" t="s">
        <v>10</v>
      </c>
      <c r="BC1" s="117" t="s">
        <v>11</v>
      </c>
      <c r="BD1" s="117" t="s">
        <v>12</v>
      </c>
      <c r="BE1" s="117" t="s">
        <v>13</v>
      </c>
      <c r="BF1" s="117" t="s">
        <v>56</v>
      </c>
      <c r="BG1" s="117" t="s">
        <v>62</v>
      </c>
      <c r="BH1" s="117" t="s">
        <v>67</v>
      </c>
      <c r="BI1" s="117" t="s">
        <v>68</v>
      </c>
    </row>
    <row r="2" spans="1:65" ht="15.6" thickBot="1" x14ac:dyDescent="0.3">
      <c r="A2" s="131"/>
      <c r="B2" s="132"/>
      <c r="C2" s="133"/>
      <c r="D2" s="123"/>
      <c r="E2" s="125"/>
      <c r="F2" s="123"/>
      <c r="G2" s="125"/>
      <c r="H2" s="137"/>
      <c r="I2" s="138"/>
      <c r="J2" s="138"/>
      <c r="K2" s="138"/>
      <c r="L2" s="138"/>
      <c r="M2" s="139"/>
      <c r="N2" s="141"/>
      <c r="O2" s="125"/>
      <c r="P2" s="144"/>
      <c r="Q2" s="145"/>
      <c r="R2" s="144"/>
      <c r="S2" s="145"/>
      <c r="T2" s="144"/>
      <c r="U2" s="145"/>
      <c r="V2" s="123"/>
      <c r="W2" s="124"/>
      <c r="X2" s="125"/>
      <c r="Y2" s="123"/>
      <c r="Z2" s="124"/>
      <c r="AA2" s="125"/>
      <c r="AB2" s="123"/>
      <c r="AC2" s="124"/>
      <c r="AD2" s="125"/>
      <c r="AE2" s="123"/>
      <c r="AF2" s="124"/>
      <c r="AG2" s="125"/>
      <c r="AH2" s="123"/>
      <c r="AI2" s="124"/>
      <c r="AJ2" s="124"/>
      <c r="AK2" s="125"/>
      <c r="AL2" s="123"/>
      <c r="AM2" s="124"/>
      <c r="AN2" s="124"/>
      <c r="AO2" s="125"/>
      <c r="AP2" s="123"/>
      <c r="AQ2" s="124"/>
      <c r="AR2" s="125"/>
      <c r="AS2" s="123"/>
      <c r="AT2" s="125"/>
      <c r="AU2" s="148"/>
      <c r="AV2" s="150"/>
      <c r="AW2" s="116"/>
      <c r="AX2" s="44"/>
      <c r="AY2" s="42"/>
      <c r="AZ2" s="118"/>
      <c r="BA2" s="118"/>
      <c r="BB2" s="118"/>
      <c r="BC2" s="118"/>
      <c r="BD2" s="118"/>
      <c r="BE2" s="118"/>
      <c r="BF2" s="118"/>
      <c r="BG2" s="118"/>
      <c r="BH2" s="118"/>
      <c r="BI2" s="118"/>
    </row>
    <row r="3" spans="1:65" ht="20.25" customHeight="1" thickBot="1" x14ac:dyDescent="0.35">
      <c r="A3" s="91" t="s">
        <v>14</v>
      </c>
      <c r="B3" s="92" t="s">
        <v>15</v>
      </c>
      <c r="C3" s="93" t="s">
        <v>16</v>
      </c>
      <c r="D3" s="94" t="s">
        <v>17</v>
      </c>
      <c r="E3" s="95" t="s">
        <v>18</v>
      </c>
      <c r="F3" s="3" t="s">
        <v>17</v>
      </c>
      <c r="G3" s="3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3" t="s">
        <v>17</v>
      </c>
      <c r="O3" s="3" t="s">
        <v>18</v>
      </c>
      <c r="P3" s="96" t="s">
        <v>17</v>
      </c>
      <c r="Q3" s="97" t="s">
        <v>18</v>
      </c>
      <c r="R3" s="96" t="s">
        <v>17</v>
      </c>
      <c r="S3" s="97" t="s">
        <v>18</v>
      </c>
      <c r="T3" s="96" t="s">
        <v>17</v>
      </c>
      <c r="U3" s="97" t="s">
        <v>18</v>
      </c>
      <c r="V3" s="4" t="s">
        <v>22</v>
      </c>
      <c r="W3" s="3" t="s">
        <v>18</v>
      </c>
      <c r="X3" s="97" t="s">
        <v>73</v>
      </c>
      <c r="Y3" s="3" t="s">
        <v>23</v>
      </c>
      <c r="Z3" s="3" t="s">
        <v>18</v>
      </c>
      <c r="AA3" s="3" t="s">
        <v>69</v>
      </c>
      <c r="AB3" s="3" t="s">
        <v>24</v>
      </c>
      <c r="AC3" s="3" t="s">
        <v>18</v>
      </c>
      <c r="AD3" s="3" t="s">
        <v>69</v>
      </c>
      <c r="AE3" s="3" t="s">
        <v>24</v>
      </c>
      <c r="AF3" s="3" t="s">
        <v>18</v>
      </c>
      <c r="AG3" s="3" t="s">
        <v>69</v>
      </c>
      <c r="AH3" s="3" t="s">
        <v>25</v>
      </c>
      <c r="AI3" s="3" t="s">
        <v>18</v>
      </c>
      <c r="AJ3" s="3" t="s">
        <v>69</v>
      </c>
      <c r="AK3" s="3" t="s">
        <v>26</v>
      </c>
      <c r="AL3" s="3" t="s">
        <v>24</v>
      </c>
      <c r="AM3" s="3" t="s">
        <v>18</v>
      </c>
      <c r="AN3" s="97" t="s">
        <v>74</v>
      </c>
      <c r="AO3" s="3" t="s">
        <v>26</v>
      </c>
      <c r="AP3" s="3" t="s">
        <v>25</v>
      </c>
      <c r="AQ3" s="3" t="s">
        <v>18</v>
      </c>
      <c r="AR3" s="97" t="s">
        <v>74</v>
      </c>
      <c r="AS3" s="92" t="s">
        <v>27</v>
      </c>
      <c r="AT3" s="98" t="s">
        <v>28</v>
      </c>
      <c r="AU3" s="126" t="s">
        <v>75</v>
      </c>
      <c r="AV3" s="127"/>
      <c r="AW3" s="45" t="s">
        <v>17</v>
      </c>
      <c r="AX3" s="45" t="s">
        <v>18</v>
      </c>
      <c r="AY3" s="99"/>
      <c r="AZ3" s="119"/>
      <c r="BA3" s="119"/>
      <c r="BB3" s="119"/>
      <c r="BC3" s="119"/>
      <c r="BD3" s="119"/>
      <c r="BE3" s="119"/>
      <c r="BF3" s="119"/>
      <c r="BG3" s="119"/>
      <c r="BH3" s="119"/>
      <c r="BI3" s="119"/>
    </row>
    <row r="4" spans="1:65" ht="16.5" customHeight="1" x14ac:dyDescent="0.3">
      <c r="A4" s="49"/>
      <c r="B4" s="50"/>
      <c r="C4" s="10"/>
      <c r="D4" s="6">
        <v>298821</v>
      </c>
      <c r="E4" s="87"/>
      <c r="F4" s="6">
        <v>6989</v>
      </c>
      <c r="G4" s="8"/>
      <c r="H4" s="6">
        <v>53771</v>
      </c>
      <c r="I4" s="8"/>
      <c r="J4" s="52">
        <v>569917</v>
      </c>
      <c r="K4" s="8"/>
      <c r="L4" s="7"/>
      <c r="M4" s="11" t="e">
        <f>I4/L4</f>
        <v>#DIV/0!</v>
      </c>
      <c r="N4" s="6">
        <v>4946</v>
      </c>
      <c r="O4" s="8"/>
      <c r="P4" s="6">
        <v>88769</v>
      </c>
      <c r="Q4" s="8"/>
      <c r="R4" s="6">
        <v>32</v>
      </c>
      <c r="S4" s="8"/>
      <c r="T4" s="6">
        <f>[1]March!T35</f>
        <v>188117</v>
      </c>
      <c r="U4" s="8"/>
      <c r="V4" s="6">
        <v>4100</v>
      </c>
      <c r="W4" s="8"/>
      <c r="X4" s="52"/>
      <c r="Y4" s="6">
        <v>451.54</v>
      </c>
      <c r="Z4" s="8"/>
      <c r="AA4" s="52"/>
      <c r="AB4" s="6">
        <v>1706692</v>
      </c>
      <c r="AC4" s="9"/>
      <c r="AD4" s="52"/>
      <c r="AE4" s="6">
        <v>5016630</v>
      </c>
      <c r="AF4" s="9"/>
      <c r="AG4" s="52">
        <v>0</v>
      </c>
      <c r="AH4" s="6">
        <v>33803</v>
      </c>
      <c r="AI4" s="8"/>
      <c r="AJ4" s="52"/>
      <c r="AK4" s="7"/>
      <c r="AL4" s="6">
        <v>139053</v>
      </c>
      <c r="AM4" s="8"/>
      <c r="AN4" s="52"/>
      <c r="AO4" s="7"/>
      <c r="AP4" s="6">
        <v>46308</v>
      </c>
      <c r="AQ4" s="8"/>
      <c r="AR4" s="52"/>
      <c r="AS4" s="6"/>
      <c r="AT4" s="13"/>
      <c r="AU4" s="7"/>
      <c r="AV4" s="55">
        <f>[1]March!AV35</f>
        <v>0</v>
      </c>
      <c r="AW4" s="6">
        <v>352</v>
      </c>
      <c r="AX4" s="100"/>
      <c r="AY4" s="101" t="s">
        <v>70</v>
      </c>
      <c r="AZ4" s="102">
        <f>D39</f>
        <v>0</v>
      </c>
      <c r="BA4" s="102">
        <f>F39</f>
        <v>0</v>
      </c>
      <c r="BB4" s="102">
        <f>H39</f>
        <v>0</v>
      </c>
      <c r="BC4" s="102">
        <f>N39</f>
        <v>0</v>
      </c>
      <c r="BD4" s="102">
        <v>395000</v>
      </c>
      <c r="BE4" s="103">
        <f>BD4</f>
        <v>395000</v>
      </c>
      <c r="BF4" s="104">
        <v>37071</v>
      </c>
      <c r="BG4" s="104">
        <v>6344</v>
      </c>
      <c r="BH4" s="104">
        <v>19366</v>
      </c>
      <c r="BI4" s="56">
        <v>9272</v>
      </c>
      <c r="BK4" s="1">
        <f>D5+F5</f>
        <v>306070</v>
      </c>
      <c r="BM4" s="1">
        <v>2673065</v>
      </c>
    </row>
    <row r="5" spans="1:65" ht="15.6" x14ac:dyDescent="0.3">
      <c r="A5" s="49">
        <v>1</v>
      </c>
      <c r="B5" s="50" t="s">
        <v>29</v>
      </c>
      <c r="C5" s="10"/>
      <c r="D5" s="6">
        <v>299081</v>
      </c>
      <c r="E5" s="8">
        <f t="shared" ref="E5:I34" si="0">IF(ISBLANK(D5),0,D5-D4)</f>
        <v>260</v>
      </c>
      <c r="F5" s="6">
        <v>6989</v>
      </c>
      <c r="G5" s="8">
        <f t="shared" si="0"/>
        <v>0</v>
      </c>
      <c r="H5" s="6">
        <v>54030</v>
      </c>
      <c r="I5" s="8">
        <f t="shared" si="0"/>
        <v>259</v>
      </c>
      <c r="J5" s="52">
        <v>570168</v>
      </c>
      <c r="K5" s="8">
        <f>J5-J4</f>
        <v>251</v>
      </c>
      <c r="L5" s="7"/>
      <c r="M5" s="11" t="e">
        <f>I5/L5</f>
        <v>#DIV/0!</v>
      </c>
      <c r="N5" s="54">
        <v>4946</v>
      </c>
      <c r="O5" s="8">
        <f t="shared" ref="O5:U35" si="1">IF(ISBLANK(N5),0,N5-N4)</f>
        <v>0</v>
      </c>
      <c r="P5" s="12">
        <v>88877</v>
      </c>
      <c r="Q5" s="8">
        <f t="shared" si="1"/>
        <v>108</v>
      </c>
      <c r="R5" s="12">
        <v>32</v>
      </c>
      <c r="S5" s="8">
        <f t="shared" si="1"/>
        <v>0</v>
      </c>
      <c r="T5" s="12">
        <v>188964</v>
      </c>
      <c r="U5" s="8">
        <f t="shared" si="1"/>
        <v>847</v>
      </c>
      <c r="V5" s="57"/>
      <c r="W5" s="8">
        <f t="shared" ref="W5:W35" si="2">IF(ISBLANK(V5),0,SUM(V5-V4)*2200)</f>
        <v>0</v>
      </c>
      <c r="X5" s="53">
        <v>11320</v>
      </c>
      <c r="Y5" s="58"/>
      <c r="Z5" s="8">
        <f>IF(ISBLANK(Y5),0,Y5-Y4)*2200</f>
        <v>0</v>
      </c>
      <c r="AA5" s="53">
        <v>2807</v>
      </c>
      <c r="AB5" s="59"/>
      <c r="AC5" s="9">
        <f>IF(ISBLANK(AB5),0,SUM(AB5-AB4))</f>
        <v>0</v>
      </c>
      <c r="AD5" s="53">
        <v>293</v>
      </c>
      <c r="AE5" s="60"/>
      <c r="AF5" s="9">
        <f>IF(ISBLANK(AE5),0,SUM(AE5-AE4))</f>
        <v>0</v>
      </c>
      <c r="AG5" s="53">
        <v>987</v>
      </c>
      <c r="AH5" s="59"/>
      <c r="AI5" s="8">
        <f>IF(ISBLANK(AH5),0,AH5-AH4)*80</f>
        <v>0</v>
      </c>
      <c r="AJ5" s="53">
        <v>120</v>
      </c>
      <c r="AK5" s="56"/>
      <c r="AL5" s="59"/>
      <c r="AM5" s="8">
        <f t="shared" ref="AM5:AM35" si="3">IF(ISBLANK(AL5),0,AL5-AL4)</f>
        <v>0</v>
      </c>
      <c r="AN5" s="53">
        <v>655</v>
      </c>
      <c r="AO5" s="56"/>
      <c r="AP5" s="59"/>
      <c r="AQ5" s="8">
        <f>IF(ISBLANK(AP5),0,AP5-AP4)*80</f>
        <v>0</v>
      </c>
      <c r="AR5" s="53">
        <v>232</v>
      </c>
      <c r="AS5" s="59"/>
      <c r="AT5" s="59"/>
      <c r="AU5" s="56"/>
      <c r="AV5" s="55"/>
      <c r="AW5" s="12">
        <v>353</v>
      </c>
      <c r="AX5" s="9">
        <f t="shared" ref="AX5:AX34" si="4">IF(ISBLANK(AW5),0,AW5-AW4)</f>
        <v>1</v>
      </c>
      <c r="AY5" s="61">
        <v>1</v>
      </c>
      <c r="AZ5" s="14">
        <f>IF(D5&lt;&gt;0,(+D5-D$10)/A5*30,0)</f>
        <v>-54450</v>
      </c>
      <c r="BA5" s="14">
        <f>IF(F5&lt;&gt;0,(+F5-F$10)/$A5*30,0)</f>
        <v>-30</v>
      </c>
      <c r="BB5" s="14">
        <f>IF(H5&lt;&gt;0,(+H5-H$10)/$A5*30,0)</f>
        <v>-36780</v>
      </c>
      <c r="BC5" s="14">
        <f>IF(N5&lt;&gt;0,(+N5-N$10)/$A5*30,0)</f>
        <v>-90</v>
      </c>
      <c r="BD5" s="15">
        <f>IF(V5&lt;&gt;0,(+V5-V$10)*2200/$A5*30,0)</f>
        <v>0</v>
      </c>
      <c r="BE5" s="62">
        <f>IF(X5&lt;&gt;0,AVERAGE(X5:X$11)*30,)</f>
        <v>334958.57142857142</v>
      </c>
      <c r="BF5" s="14">
        <f>IF(AD5+AG5&lt;&gt;0,AVERAGE(AD5:AD$11)*30+AVERAGE(AG5:AG$11)*30,)</f>
        <v>39767.142857142855</v>
      </c>
      <c r="BG5" s="14">
        <f>IF(AJ5&lt;&gt;0,AVERAGE(AJ5:AJ$11)*30,)</f>
        <v>3908.5714285714284</v>
      </c>
      <c r="BH5" s="14">
        <f>IF(AN5&lt;&gt;0,AVERAGE(AN5:AN$11)*30,)</f>
        <v>18488.571428571431</v>
      </c>
      <c r="BI5" s="63">
        <f>AVERAGE(AR5:AR$11)*30</f>
        <v>7268.5714285714284</v>
      </c>
      <c r="BK5" s="1">
        <f t="shared" ref="BK5:BK36" si="5">D6+F6</f>
        <v>306450</v>
      </c>
      <c r="BM5" s="1">
        <v>2673496</v>
      </c>
    </row>
    <row r="6" spans="1:65" ht="15.6" x14ac:dyDescent="0.3">
      <c r="A6" s="49">
        <f t="shared" ref="A6:A12" si="6">1+A5</f>
        <v>2</v>
      </c>
      <c r="B6" s="50" t="s">
        <v>29</v>
      </c>
      <c r="C6" s="10"/>
      <c r="D6" s="6">
        <v>299461</v>
      </c>
      <c r="E6" s="8">
        <f t="shared" si="0"/>
        <v>380</v>
      </c>
      <c r="F6" s="6">
        <v>6989</v>
      </c>
      <c r="G6" s="8">
        <f t="shared" si="0"/>
        <v>0</v>
      </c>
      <c r="H6" s="6">
        <v>54276</v>
      </c>
      <c r="I6" s="8">
        <f t="shared" si="0"/>
        <v>246</v>
      </c>
      <c r="J6" s="52">
        <v>570406</v>
      </c>
      <c r="K6" s="8">
        <f>J6-J5</f>
        <v>238</v>
      </c>
      <c r="L6" s="7"/>
      <c r="M6" s="11" t="e">
        <f t="shared" ref="M6:M34" si="7">I6/L6</f>
        <v>#DIV/0!</v>
      </c>
      <c r="N6" s="6">
        <v>4946</v>
      </c>
      <c r="O6" s="8">
        <f t="shared" si="1"/>
        <v>0</v>
      </c>
      <c r="P6" s="12">
        <v>88986</v>
      </c>
      <c r="Q6" s="8">
        <f t="shared" si="1"/>
        <v>109</v>
      </c>
      <c r="R6" s="12">
        <v>32</v>
      </c>
      <c r="S6" s="8">
        <f t="shared" si="1"/>
        <v>0</v>
      </c>
      <c r="T6" s="12">
        <v>189096</v>
      </c>
      <c r="U6" s="8">
        <f t="shared" si="1"/>
        <v>132</v>
      </c>
      <c r="V6" s="57"/>
      <c r="W6" s="8">
        <f t="shared" si="2"/>
        <v>0</v>
      </c>
      <c r="X6" s="53">
        <v>10979</v>
      </c>
      <c r="Y6" s="64"/>
      <c r="Z6" s="8">
        <f t="shared" ref="Z6:Z35" si="8">IF(ISBLANK(Y6),0,Y6-Y5)*2200</f>
        <v>0</v>
      </c>
      <c r="AA6" s="53">
        <v>2703</v>
      </c>
      <c r="AB6" s="59"/>
      <c r="AC6" s="9">
        <f t="shared" ref="AC6:AC34" si="9">IF(ISBLANK(AB6),0,SUM(AB6-AB5))</f>
        <v>0</v>
      </c>
      <c r="AD6" s="53">
        <v>303</v>
      </c>
      <c r="AE6" s="60"/>
      <c r="AF6" s="9">
        <f t="shared" ref="AF6:AF34" si="10">IF(ISBLANK(AE6),0,SUM(AE6-AE5))</f>
        <v>0</v>
      </c>
      <c r="AG6" s="53">
        <v>1076</v>
      </c>
      <c r="AH6" s="59"/>
      <c r="AI6" s="8">
        <f t="shared" ref="AI6:AI35" si="11">IF(ISBLANK(AH6),0,AH6-AH5)*80</f>
        <v>0</v>
      </c>
      <c r="AJ6" s="53">
        <v>120</v>
      </c>
      <c r="AK6" s="56"/>
      <c r="AL6" s="59"/>
      <c r="AM6" s="8">
        <f t="shared" si="3"/>
        <v>0</v>
      </c>
      <c r="AN6" s="53">
        <v>655</v>
      </c>
      <c r="AO6" s="56"/>
      <c r="AP6" s="59"/>
      <c r="AQ6" s="8">
        <f t="shared" ref="AQ6:AQ35" si="12">IF(ISBLANK(AP6),0,AP6-AP5)*80</f>
        <v>0</v>
      </c>
      <c r="AR6" s="53">
        <v>224</v>
      </c>
      <c r="AS6" s="59">
        <v>4</v>
      </c>
      <c r="AT6" s="59">
        <v>11</v>
      </c>
      <c r="AU6" s="56"/>
      <c r="AV6" s="55"/>
      <c r="AW6" s="12">
        <v>353</v>
      </c>
      <c r="AX6" s="9">
        <f t="shared" si="4"/>
        <v>0</v>
      </c>
      <c r="AY6" s="61">
        <f t="shared" ref="AY6:AY14" si="13">1+AY5</f>
        <v>2</v>
      </c>
      <c r="AZ6" s="14">
        <f t="shared" ref="AZ6:AZ34" si="14">IF(D6&lt;&gt;0,(+D6-D$10)/A6*30,0)</f>
        <v>-21525</v>
      </c>
      <c r="BA6" s="14">
        <f t="shared" ref="BA6:BA34" si="15">IF(F6&lt;&gt;0,(+F6-F$10)/$A6*30,0)</f>
        <v>-15</v>
      </c>
      <c r="BB6" s="14">
        <f t="shared" ref="BB6:BB34" si="16">IF(H6&lt;&gt;0,(+H6-H$10)/$A6*30,0)</f>
        <v>-14700</v>
      </c>
      <c r="BC6" s="14">
        <f t="shared" ref="BC6:BC30" si="17">IF(N6&lt;&gt;0,(+N6-N$10)/$A6*30,0)</f>
        <v>-45</v>
      </c>
      <c r="BD6" s="15">
        <f t="shared" ref="BD6:BD34" si="18">IF(V6&lt;&gt;0,(+V6-V$10)*2200/$A6*30,0)</f>
        <v>0</v>
      </c>
      <c r="BE6" s="62">
        <f>IF(X6&lt;&gt;0,AVERAGE(X6:X$11)*30,)</f>
        <v>334185</v>
      </c>
      <c r="BF6" s="14">
        <f>IF(AD6+AG6&lt;&gt;0,AVERAGE(AD6:AD$11)*30+AVERAGE(AG6:AG$11)*30,)</f>
        <v>39995</v>
      </c>
      <c r="BG6" s="14">
        <f>IF(AJ6&lt;&gt;0,AVERAGE(AJ6:AJ$11)*30,)</f>
        <v>3960</v>
      </c>
      <c r="BH6" s="14">
        <f>IF(AN6&lt;&gt;0,AVERAGE(AN6:AN$11)*30,)</f>
        <v>18295</v>
      </c>
      <c r="BI6" s="63">
        <f>AVERAGE(AR6:AR$11)*30</f>
        <v>7320</v>
      </c>
      <c r="BK6" s="1">
        <f t="shared" si="5"/>
        <v>306901</v>
      </c>
      <c r="BM6" s="1">
        <v>2673840</v>
      </c>
    </row>
    <row r="7" spans="1:65" ht="15.6" x14ac:dyDescent="0.3">
      <c r="A7" s="49">
        <f t="shared" si="6"/>
        <v>3</v>
      </c>
      <c r="B7" s="50" t="s">
        <v>29</v>
      </c>
      <c r="C7" s="10"/>
      <c r="D7" s="6">
        <v>299912</v>
      </c>
      <c r="E7" s="8">
        <f t="shared" si="0"/>
        <v>451</v>
      </c>
      <c r="F7" s="6">
        <v>6989</v>
      </c>
      <c r="G7" s="8">
        <f t="shared" si="0"/>
        <v>0</v>
      </c>
      <c r="H7" s="6">
        <v>54514</v>
      </c>
      <c r="I7" s="8">
        <f t="shared" si="0"/>
        <v>238</v>
      </c>
      <c r="J7" s="52">
        <v>570636</v>
      </c>
      <c r="K7" s="8">
        <f t="shared" ref="K7:K35" si="19">J7-J6</f>
        <v>230</v>
      </c>
      <c r="L7" s="7"/>
      <c r="M7" s="11" t="e">
        <f t="shared" si="7"/>
        <v>#DIV/0!</v>
      </c>
      <c r="N7" s="6">
        <v>4946</v>
      </c>
      <c r="O7" s="8">
        <f t="shared" si="1"/>
        <v>0</v>
      </c>
      <c r="P7" s="12">
        <v>89091</v>
      </c>
      <c r="Q7" s="8">
        <f t="shared" si="1"/>
        <v>105</v>
      </c>
      <c r="R7" s="12">
        <v>32</v>
      </c>
      <c r="S7" s="8">
        <f t="shared" si="1"/>
        <v>0</v>
      </c>
      <c r="T7" s="12">
        <v>189222</v>
      </c>
      <c r="U7" s="8">
        <f t="shared" si="1"/>
        <v>126</v>
      </c>
      <c r="V7" s="57"/>
      <c r="W7" s="8">
        <f t="shared" si="2"/>
        <v>0</v>
      </c>
      <c r="X7" s="53">
        <v>10681</v>
      </c>
      <c r="Y7" s="64"/>
      <c r="Z7" s="8">
        <f t="shared" si="8"/>
        <v>0</v>
      </c>
      <c r="AA7" s="53">
        <v>2667</v>
      </c>
      <c r="AB7" s="59"/>
      <c r="AC7" s="9">
        <f t="shared" si="9"/>
        <v>0</v>
      </c>
      <c r="AD7" s="53">
        <v>295</v>
      </c>
      <c r="AE7" s="60"/>
      <c r="AF7" s="9">
        <f t="shared" si="10"/>
        <v>0</v>
      </c>
      <c r="AG7" s="53">
        <v>974</v>
      </c>
      <c r="AH7" s="59"/>
      <c r="AI7" s="8">
        <f t="shared" si="11"/>
        <v>0</v>
      </c>
      <c r="AJ7" s="53">
        <v>128</v>
      </c>
      <c r="AK7" s="56"/>
      <c r="AL7" s="59"/>
      <c r="AM7" s="8">
        <f t="shared" si="3"/>
        <v>0</v>
      </c>
      <c r="AN7" s="53">
        <v>592</v>
      </c>
      <c r="AO7" s="56"/>
      <c r="AP7" s="59"/>
      <c r="AQ7" s="8">
        <f t="shared" si="12"/>
        <v>0</v>
      </c>
      <c r="AR7" s="53">
        <v>288</v>
      </c>
      <c r="AS7" s="59">
        <v>5</v>
      </c>
      <c r="AT7" s="59">
        <v>11</v>
      </c>
      <c r="AU7" s="56"/>
      <c r="AV7" s="55"/>
      <c r="AW7" s="12">
        <v>355</v>
      </c>
      <c r="AX7" s="9">
        <f t="shared" si="4"/>
        <v>2</v>
      </c>
      <c r="AY7" s="61">
        <f t="shared" si="13"/>
        <v>3</v>
      </c>
      <c r="AZ7" s="14">
        <f t="shared" si="14"/>
        <v>-9840</v>
      </c>
      <c r="BA7" s="14">
        <f t="shared" si="15"/>
        <v>-10</v>
      </c>
      <c r="BB7" s="14">
        <f t="shared" si="16"/>
        <v>-7420</v>
      </c>
      <c r="BC7" s="14">
        <f t="shared" si="17"/>
        <v>-30</v>
      </c>
      <c r="BD7" s="15">
        <f t="shared" si="18"/>
        <v>0</v>
      </c>
      <c r="BE7" s="62">
        <f>IF(X7&lt;&gt;0,AVERAGE(X7:X$11)*30,)</f>
        <v>335148</v>
      </c>
      <c r="BF7" s="14">
        <f>IF(AD7+AG7&lt;&gt;0,AVERAGE(AD7:AD$11)*30+AVERAGE(AG7:AG$11)*30,)</f>
        <v>39720</v>
      </c>
      <c r="BG7" s="14">
        <f>IF(AJ7&lt;&gt;0,AVERAGE(AJ7:AJ$11)*30,)</f>
        <v>4032</v>
      </c>
      <c r="BH7" s="14">
        <f>IF(AN7&lt;&gt;0,AVERAGE(AN7:AN$11)*30,)</f>
        <v>18024</v>
      </c>
      <c r="BI7" s="63">
        <f>AVERAGE(AR7:AR$11)*30</f>
        <v>7440</v>
      </c>
      <c r="BK7" s="1">
        <f t="shared" si="5"/>
        <v>307281</v>
      </c>
      <c r="BM7" s="1">
        <v>2674156</v>
      </c>
    </row>
    <row r="8" spans="1:65" ht="15.6" x14ac:dyDescent="0.3">
      <c r="A8" s="49">
        <f t="shared" si="6"/>
        <v>4</v>
      </c>
      <c r="B8" s="50" t="s">
        <v>29</v>
      </c>
      <c r="C8" s="10"/>
      <c r="D8" s="6">
        <v>300292</v>
      </c>
      <c r="E8" s="8">
        <f t="shared" si="0"/>
        <v>380</v>
      </c>
      <c r="F8" s="6">
        <v>6989</v>
      </c>
      <c r="G8" s="8">
        <f t="shared" si="0"/>
        <v>0</v>
      </c>
      <c r="H8" s="6">
        <v>54760</v>
      </c>
      <c r="I8" s="8">
        <f t="shared" si="0"/>
        <v>246</v>
      </c>
      <c r="J8" s="52">
        <v>570875</v>
      </c>
      <c r="K8" s="8">
        <f t="shared" si="19"/>
        <v>239</v>
      </c>
      <c r="L8" s="7"/>
      <c r="M8" s="11" t="e">
        <f t="shared" si="7"/>
        <v>#DIV/0!</v>
      </c>
      <c r="N8" s="6">
        <v>4946</v>
      </c>
      <c r="O8" s="8">
        <f t="shared" si="1"/>
        <v>0</v>
      </c>
      <c r="P8" s="12">
        <v>89201</v>
      </c>
      <c r="Q8" s="8">
        <f t="shared" si="1"/>
        <v>110</v>
      </c>
      <c r="R8" s="12">
        <v>32</v>
      </c>
      <c r="S8" s="8">
        <f t="shared" si="1"/>
        <v>0</v>
      </c>
      <c r="T8" s="12">
        <v>189354</v>
      </c>
      <c r="U8" s="8">
        <f t="shared" si="1"/>
        <v>132</v>
      </c>
      <c r="V8" s="57"/>
      <c r="W8" s="8">
        <f t="shared" si="2"/>
        <v>0</v>
      </c>
      <c r="X8" s="53">
        <v>10962</v>
      </c>
      <c r="Y8" s="64"/>
      <c r="Z8" s="8">
        <f t="shared" si="8"/>
        <v>0</v>
      </c>
      <c r="AA8" s="53">
        <v>2699</v>
      </c>
      <c r="AB8" s="59"/>
      <c r="AC8" s="9">
        <f t="shared" si="9"/>
        <v>0</v>
      </c>
      <c r="AD8" s="53">
        <v>287</v>
      </c>
      <c r="AE8" s="65"/>
      <c r="AF8" s="9">
        <f t="shared" si="10"/>
        <v>0</v>
      </c>
      <c r="AG8" s="53">
        <v>1001</v>
      </c>
      <c r="AH8" s="59"/>
      <c r="AI8" s="8">
        <f t="shared" si="11"/>
        <v>0</v>
      </c>
      <c r="AJ8" s="53">
        <v>120</v>
      </c>
      <c r="AK8" s="56"/>
      <c r="AL8" s="59"/>
      <c r="AM8" s="8">
        <f t="shared" si="3"/>
        <v>0</v>
      </c>
      <c r="AN8" s="53">
        <v>655</v>
      </c>
      <c r="AO8" s="56"/>
      <c r="AP8" s="59"/>
      <c r="AQ8" s="8">
        <f t="shared" si="12"/>
        <v>0</v>
      </c>
      <c r="AR8" s="53">
        <v>224</v>
      </c>
      <c r="AS8" s="59">
        <v>6</v>
      </c>
      <c r="AT8" s="59">
        <v>14</v>
      </c>
      <c r="AU8" s="56"/>
      <c r="AV8" s="55"/>
      <c r="AW8" s="12">
        <v>355</v>
      </c>
      <c r="AX8" s="9">
        <f t="shared" si="4"/>
        <v>0</v>
      </c>
      <c r="AY8" s="61">
        <f t="shared" si="13"/>
        <v>4</v>
      </c>
      <c r="AZ8" s="14">
        <f t="shared" si="14"/>
        <v>-4530</v>
      </c>
      <c r="BA8" s="14">
        <f t="shared" si="15"/>
        <v>-7.5</v>
      </c>
      <c r="BB8" s="14">
        <f t="shared" si="16"/>
        <v>-3720</v>
      </c>
      <c r="BC8" s="14">
        <f t="shared" si="17"/>
        <v>-22.5</v>
      </c>
      <c r="BD8" s="15">
        <f t="shared" si="18"/>
        <v>0</v>
      </c>
      <c r="BE8" s="62">
        <f>IF(X8&lt;&gt;0,AVERAGE(X8:X$11)*30,)</f>
        <v>338827.5</v>
      </c>
      <c r="BF8" s="14">
        <f>IF(AD8+AG8&lt;&gt;0,AVERAGE(AD8:AD$11)*30+AVERAGE(AG8:AG$11)*30,)</f>
        <v>40132.5</v>
      </c>
      <c r="BG8" s="14">
        <f>IF(AJ8&lt;&gt;0,AVERAGE(AJ8:AJ$11)*30,)</f>
        <v>4080</v>
      </c>
      <c r="BH8" s="14">
        <f>IF(AN8&lt;&gt;0,AVERAGE(AN8:AN$11)*30,)</f>
        <v>18090</v>
      </c>
      <c r="BI8" s="63">
        <f>AVERAGE(AR8:AR$11)*30</f>
        <v>7140</v>
      </c>
      <c r="BK8" s="1">
        <f t="shared" si="5"/>
        <v>307616</v>
      </c>
      <c r="BM8" s="1">
        <v>2674475</v>
      </c>
    </row>
    <row r="9" spans="1:65" ht="15.6" x14ac:dyDescent="0.3">
      <c r="A9" s="49">
        <f t="shared" si="6"/>
        <v>5</v>
      </c>
      <c r="B9" s="50" t="s">
        <v>29</v>
      </c>
      <c r="C9" s="10"/>
      <c r="D9" s="6">
        <v>300626</v>
      </c>
      <c r="E9" s="8">
        <f t="shared" si="0"/>
        <v>334</v>
      </c>
      <c r="F9" s="6">
        <v>6990</v>
      </c>
      <c r="G9" s="8">
        <f t="shared" si="0"/>
        <v>1</v>
      </c>
      <c r="H9" s="6">
        <v>54999</v>
      </c>
      <c r="I9" s="8">
        <f t="shared" si="0"/>
        <v>239</v>
      </c>
      <c r="J9" s="52">
        <v>571107</v>
      </c>
      <c r="K9" s="8">
        <f t="shared" si="19"/>
        <v>232</v>
      </c>
      <c r="L9" s="7"/>
      <c r="M9" s="11" t="e">
        <f t="shared" si="7"/>
        <v>#DIV/0!</v>
      </c>
      <c r="N9" s="6">
        <v>4947</v>
      </c>
      <c r="O9" s="8">
        <f t="shared" si="1"/>
        <v>1</v>
      </c>
      <c r="P9" s="12">
        <v>89310</v>
      </c>
      <c r="Q9" s="8">
        <f t="shared" si="1"/>
        <v>109</v>
      </c>
      <c r="R9" s="12">
        <v>32</v>
      </c>
      <c r="S9" s="8">
        <f t="shared" si="1"/>
        <v>0</v>
      </c>
      <c r="T9" s="12">
        <v>189481</v>
      </c>
      <c r="U9" s="8">
        <f t="shared" si="1"/>
        <v>127</v>
      </c>
      <c r="V9" s="57"/>
      <c r="W9" s="8">
        <f t="shared" si="2"/>
        <v>0</v>
      </c>
      <c r="X9" s="53">
        <v>11045</v>
      </c>
      <c r="Y9" s="64"/>
      <c r="Z9" s="8">
        <f t="shared" si="8"/>
        <v>0</v>
      </c>
      <c r="AA9" s="53">
        <v>2507</v>
      </c>
      <c r="AB9" s="59"/>
      <c r="AC9" s="9">
        <f t="shared" si="9"/>
        <v>0</v>
      </c>
      <c r="AD9" s="53">
        <v>296</v>
      </c>
      <c r="AE9" s="65"/>
      <c r="AF9" s="9">
        <f t="shared" si="10"/>
        <v>0</v>
      </c>
      <c r="AG9" s="53">
        <v>1009</v>
      </c>
      <c r="AH9" s="59"/>
      <c r="AI9" s="8">
        <f t="shared" si="11"/>
        <v>0</v>
      </c>
      <c r="AJ9" s="53">
        <v>144</v>
      </c>
      <c r="AK9" s="56"/>
      <c r="AL9" s="59"/>
      <c r="AM9" s="8">
        <f t="shared" si="3"/>
        <v>0</v>
      </c>
      <c r="AN9" s="53">
        <v>643</v>
      </c>
      <c r="AO9" s="56"/>
      <c r="AP9" s="59"/>
      <c r="AQ9" s="8">
        <f t="shared" si="12"/>
        <v>0</v>
      </c>
      <c r="AR9" s="53">
        <v>216</v>
      </c>
      <c r="AS9" s="59">
        <v>4</v>
      </c>
      <c r="AT9" s="59">
        <v>19</v>
      </c>
      <c r="AU9" s="56"/>
      <c r="AV9" s="55"/>
      <c r="AW9" s="12">
        <v>357</v>
      </c>
      <c r="AX9" s="9">
        <f t="shared" si="4"/>
        <v>2</v>
      </c>
      <c r="AY9" s="61">
        <f t="shared" si="13"/>
        <v>5</v>
      </c>
      <c r="AZ9" s="14">
        <f t="shared" si="14"/>
        <v>-1620</v>
      </c>
      <c r="BA9" s="14">
        <f t="shared" si="15"/>
        <v>0</v>
      </c>
      <c r="BB9" s="14">
        <f t="shared" si="16"/>
        <v>-1542</v>
      </c>
      <c r="BC9" s="14">
        <f t="shared" si="17"/>
        <v>-12</v>
      </c>
      <c r="BD9" s="15">
        <f t="shared" si="18"/>
        <v>0</v>
      </c>
      <c r="BE9" s="62">
        <f>IF(X9&lt;&gt;0,AVERAGE(X9:X$11)*30,)</f>
        <v>342150</v>
      </c>
      <c r="BF9" s="14">
        <f>IF(AD9+AG9&lt;&gt;0,AVERAGE(AD9:AD$11)*30+AVERAGE(AG9:AG$11)*30,)</f>
        <v>40630</v>
      </c>
      <c r="BG9" s="14">
        <f>IF(AJ9&lt;&gt;0,AVERAGE(AJ9:AJ$11)*30,)</f>
        <v>4240</v>
      </c>
      <c r="BH9" s="14">
        <f>IF(AN9&lt;&gt;0,AVERAGE(AN9:AN$11)*30,)</f>
        <v>17570</v>
      </c>
      <c r="BI9" s="63">
        <f>AVERAGE(AR9:AR$11)*30</f>
        <v>7280</v>
      </c>
      <c r="BK9" s="1">
        <f t="shared" si="5"/>
        <v>307886</v>
      </c>
      <c r="BM9" s="1">
        <v>2674826</v>
      </c>
    </row>
    <row r="10" spans="1:65" ht="15.6" x14ac:dyDescent="0.3">
      <c r="A10" s="49">
        <f t="shared" si="6"/>
        <v>6</v>
      </c>
      <c r="B10" s="50" t="s">
        <v>29</v>
      </c>
      <c r="C10" s="10"/>
      <c r="D10" s="6">
        <v>300896</v>
      </c>
      <c r="E10" s="8">
        <f t="shared" si="0"/>
        <v>270</v>
      </c>
      <c r="F10" s="6">
        <v>6990</v>
      </c>
      <c r="G10" s="8">
        <f t="shared" si="0"/>
        <v>0</v>
      </c>
      <c r="H10" s="6">
        <v>55256</v>
      </c>
      <c r="I10" s="8">
        <f t="shared" si="0"/>
        <v>257</v>
      </c>
      <c r="J10" s="52">
        <v>571355</v>
      </c>
      <c r="K10" s="8">
        <f t="shared" si="19"/>
        <v>248</v>
      </c>
      <c r="L10" s="7"/>
      <c r="M10" s="11" t="e">
        <f t="shared" si="7"/>
        <v>#DIV/0!</v>
      </c>
      <c r="N10" s="6">
        <v>4949</v>
      </c>
      <c r="O10" s="8">
        <f t="shared" si="1"/>
        <v>2</v>
      </c>
      <c r="P10" s="12">
        <v>89422</v>
      </c>
      <c r="Q10" s="8">
        <f t="shared" si="1"/>
        <v>112</v>
      </c>
      <c r="R10" s="12">
        <v>32</v>
      </c>
      <c r="S10" s="8">
        <f t="shared" si="1"/>
        <v>0</v>
      </c>
      <c r="T10" s="12">
        <v>189620</v>
      </c>
      <c r="U10" s="8">
        <f t="shared" si="1"/>
        <v>139</v>
      </c>
      <c r="V10" s="57"/>
      <c r="W10" s="8">
        <f t="shared" si="2"/>
        <v>0</v>
      </c>
      <c r="X10" s="53">
        <v>11474</v>
      </c>
      <c r="Y10" s="64"/>
      <c r="Z10" s="8">
        <f t="shared" si="8"/>
        <v>0</v>
      </c>
      <c r="AA10" s="53">
        <v>2130</v>
      </c>
      <c r="AB10" s="59"/>
      <c r="AC10" s="9">
        <f t="shared" si="9"/>
        <v>0</v>
      </c>
      <c r="AD10" s="53">
        <v>293</v>
      </c>
      <c r="AE10" s="60"/>
      <c r="AF10" s="9">
        <f t="shared" si="10"/>
        <v>0</v>
      </c>
      <c r="AG10" s="53">
        <v>1101</v>
      </c>
      <c r="AH10" s="59"/>
      <c r="AI10" s="8">
        <f t="shared" si="11"/>
        <v>0</v>
      </c>
      <c r="AJ10" s="53">
        <v>144</v>
      </c>
      <c r="AK10" s="56"/>
      <c r="AL10" s="59"/>
      <c r="AM10" s="8">
        <f t="shared" si="3"/>
        <v>0</v>
      </c>
      <c r="AN10" s="53">
        <v>627</v>
      </c>
      <c r="AO10" s="56"/>
      <c r="AP10" s="59"/>
      <c r="AQ10" s="8">
        <f t="shared" si="12"/>
        <v>0</v>
      </c>
      <c r="AR10" s="53">
        <v>272</v>
      </c>
      <c r="AS10" s="59">
        <v>6</v>
      </c>
      <c r="AT10" s="59">
        <v>20</v>
      </c>
      <c r="AU10" s="56"/>
      <c r="AV10" s="55">
        <v>66.628</v>
      </c>
      <c r="AW10" s="12">
        <v>357</v>
      </c>
      <c r="AX10" s="9">
        <f t="shared" si="4"/>
        <v>0</v>
      </c>
      <c r="AY10" s="61">
        <f t="shared" si="13"/>
        <v>6</v>
      </c>
      <c r="AZ10" s="14">
        <f t="shared" si="14"/>
        <v>0</v>
      </c>
      <c r="BA10" s="14">
        <f t="shared" si="15"/>
        <v>0</v>
      </c>
      <c r="BB10" s="14">
        <f t="shared" si="16"/>
        <v>0</v>
      </c>
      <c r="BC10" s="14">
        <f t="shared" si="17"/>
        <v>0</v>
      </c>
      <c r="BD10" s="15">
        <f t="shared" si="18"/>
        <v>0</v>
      </c>
      <c r="BE10" s="62">
        <f>IF(X10&lt;&gt;0,AVERAGE(X10:X$11)*30,)</f>
        <v>347550</v>
      </c>
      <c r="BF10" s="14">
        <f>IF(AD10+AG10&lt;&gt;0,AVERAGE(AD10:AD$11)*30+AVERAGE(AG10:AG$11)*30,)</f>
        <v>41370</v>
      </c>
      <c r="BG10" s="14">
        <f>IF(AJ10&lt;&gt;0,AVERAGE(AJ10:AJ$11)*30,)</f>
        <v>4200</v>
      </c>
      <c r="BH10" s="14">
        <f>IF(AN10&lt;&gt;0,AVERAGE(AN10:AN$11)*30,)</f>
        <v>16710</v>
      </c>
      <c r="BI10" s="63">
        <f>AVERAGE(AR10:AR$11)*30</f>
        <v>7680</v>
      </c>
      <c r="BK10" s="1">
        <f t="shared" si="5"/>
        <v>308117</v>
      </c>
      <c r="BM10" s="1">
        <v>2675149</v>
      </c>
    </row>
    <row r="11" spans="1:65" ht="15.6" x14ac:dyDescent="0.3">
      <c r="A11" s="49">
        <f t="shared" si="6"/>
        <v>7</v>
      </c>
      <c r="B11" s="50" t="s">
        <v>29</v>
      </c>
      <c r="C11" s="10" t="s">
        <v>76</v>
      </c>
      <c r="D11" s="6">
        <v>301127</v>
      </c>
      <c r="E11" s="8">
        <f t="shared" si="0"/>
        <v>231</v>
      </c>
      <c r="F11" s="6">
        <v>6990</v>
      </c>
      <c r="G11" s="8">
        <f t="shared" si="0"/>
        <v>0</v>
      </c>
      <c r="H11" s="6">
        <v>55500</v>
      </c>
      <c r="I11" s="8">
        <f t="shared" si="0"/>
        <v>244</v>
      </c>
      <c r="J11" s="52">
        <v>571592</v>
      </c>
      <c r="K11" s="8">
        <f t="shared" si="19"/>
        <v>237</v>
      </c>
      <c r="L11" s="7"/>
      <c r="M11" s="11" t="e">
        <f t="shared" si="7"/>
        <v>#DIV/0!</v>
      </c>
      <c r="N11" s="6">
        <v>4952</v>
      </c>
      <c r="O11" s="8">
        <f t="shared" si="1"/>
        <v>3</v>
      </c>
      <c r="P11" s="12">
        <v>89527</v>
      </c>
      <c r="Q11" s="8">
        <f t="shared" si="1"/>
        <v>105</v>
      </c>
      <c r="R11" s="12">
        <v>32</v>
      </c>
      <c r="S11" s="8">
        <f t="shared" si="1"/>
        <v>0</v>
      </c>
      <c r="T11" s="12">
        <v>189742</v>
      </c>
      <c r="U11" s="8">
        <f t="shared" si="1"/>
        <v>122</v>
      </c>
      <c r="V11" s="57"/>
      <c r="W11" s="8">
        <f t="shared" si="2"/>
        <v>0</v>
      </c>
      <c r="X11" s="53">
        <v>11696</v>
      </c>
      <c r="Y11" s="64"/>
      <c r="Z11" s="8">
        <f t="shared" si="8"/>
        <v>0</v>
      </c>
      <c r="AA11" s="53">
        <v>1869</v>
      </c>
      <c r="AB11" s="59"/>
      <c r="AC11" s="9">
        <f t="shared" si="9"/>
        <v>0</v>
      </c>
      <c r="AD11" s="53">
        <v>294</v>
      </c>
      <c r="AE11" s="60"/>
      <c r="AF11" s="9">
        <f t="shared" si="10"/>
        <v>0</v>
      </c>
      <c r="AG11" s="53">
        <v>1070</v>
      </c>
      <c r="AH11" s="59"/>
      <c r="AI11" s="8">
        <f t="shared" si="11"/>
        <v>0</v>
      </c>
      <c r="AJ11" s="53">
        <v>136</v>
      </c>
      <c r="AK11" s="56"/>
      <c r="AL11" s="59"/>
      <c r="AM11" s="8">
        <f t="shared" si="3"/>
        <v>0</v>
      </c>
      <c r="AN11" s="53">
        <v>487</v>
      </c>
      <c r="AO11" s="56"/>
      <c r="AP11" s="59"/>
      <c r="AQ11" s="8">
        <f t="shared" si="12"/>
        <v>0</v>
      </c>
      <c r="AR11" s="53">
        <v>240</v>
      </c>
      <c r="AS11" s="59">
        <v>3</v>
      </c>
      <c r="AT11" s="59">
        <v>22</v>
      </c>
      <c r="AU11" s="56"/>
      <c r="AV11" s="55">
        <v>66.628</v>
      </c>
      <c r="AW11" s="105">
        <v>358</v>
      </c>
      <c r="AX11" s="9">
        <f t="shared" si="4"/>
        <v>1</v>
      </c>
      <c r="AY11" s="61">
        <f t="shared" si="13"/>
        <v>7</v>
      </c>
      <c r="AZ11" s="14">
        <f t="shared" si="14"/>
        <v>990</v>
      </c>
      <c r="BA11" s="14">
        <f t="shared" si="15"/>
        <v>0</v>
      </c>
      <c r="BB11" s="14">
        <f t="shared" si="16"/>
        <v>1045.7142857142856</v>
      </c>
      <c r="BC11" s="14">
        <f t="shared" si="17"/>
        <v>12.857142857142856</v>
      </c>
      <c r="BD11" s="15">
        <f t="shared" si="18"/>
        <v>0</v>
      </c>
      <c r="BE11" s="62">
        <f>IF(X11&lt;&gt;0,AVERAGE(X$11:X11)*30,)</f>
        <v>350880</v>
      </c>
      <c r="BF11" s="14">
        <f>IF(AD11+AG11&lt;&gt;0,AVERAGE(AD$11:AD11)*30+AVERAGE(AG$11:AG11)*30,)</f>
        <v>40920</v>
      </c>
      <c r="BG11" s="14">
        <f>IF(AJ11&lt;&gt;0,AVERAGE(AJ$11:AJ11)*30,)</f>
        <v>4080</v>
      </c>
      <c r="BH11" s="14">
        <f>IF(AN11&lt;&gt;0,AVERAGE(AN$11:AN11)*30,)</f>
        <v>14610</v>
      </c>
      <c r="BI11" s="63">
        <f>AVERAGE(AR$11:AR11)*30</f>
        <v>7200</v>
      </c>
      <c r="BK11" s="1">
        <f t="shared" si="5"/>
        <v>308354</v>
      </c>
      <c r="BM11" s="1">
        <v>2675464</v>
      </c>
    </row>
    <row r="12" spans="1:65" ht="15.6" x14ac:dyDescent="0.3">
      <c r="A12" s="49">
        <f t="shared" si="6"/>
        <v>8</v>
      </c>
      <c r="B12" s="50" t="s">
        <v>29</v>
      </c>
      <c r="C12" s="10"/>
      <c r="D12" s="6">
        <v>301364</v>
      </c>
      <c r="E12" s="8">
        <f t="shared" si="0"/>
        <v>237</v>
      </c>
      <c r="F12" s="6">
        <v>6990</v>
      </c>
      <c r="G12" s="8">
        <f t="shared" si="0"/>
        <v>0</v>
      </c>
      <c r="H12" s="6">
        <v>55767</v>
      </c>
      <c r="I12" s="8">
        <f t="shared" si="0"/>
        <v>267</v>
      </c>
      <c r="J12" s="52">
        <v>571850</v>
      </c>
      <c r="K12" s="8">
        <f t="shared" si="19"/>
        <v>258</v>
      </c>
      <c r="L12" s="7"/>
      <c r="M12" s="11" t="e">
        <f t="shared" si="7"/>
        <v>#DIV/0!</v>
      </c>
      <c r="N12" s="6">
        <v>4959</v>
      </c>
      <c r="O12" s="8">
        <f t="shared" si="1"/>
        <v>7</v>
      </c>
      <c r="P12" s="12">
        <v>89635</v>
      </c>
      <c r="Q12" s="8">
        <f t="shared" si="1"/>
        <v>108</v>
      </c>
      <c r="R12" s="12">
        <v>32</v>
      </c>
      <c r="S12" s="8">
        <f t="shared" si="1"/>
        <v>0</v>
      </c>
      <c r="T12" s="12">
        <v>189877</v>
      </c>
      <c r="U12" s="8">
        <f t="shared" si="1"/>
        <v>135</v>
      </c>
      <c r="V12" s="57"/>
      <c r="W12" s="8">
        <f t="shared" si="2"/>
        <v>0</v>
      </c>
      <c r="X12" s="53">
        <v>12058</v>
      </c>
      <c r="Y12" s="64"/>
      <c r="Z12" s="8">
        <f t="shared" si="8"/>
        <v>0</v>
      </c>
      <c r="AA12" s="53">
        <v>1992</v>
      </c>
      <c r="AB12" s="59"/>
      <c r="AC12" s="9">
        <f t="shared" si="9"/>
        <v>0</v>
      </c>
      <c r="AD12" s="53">
        <v>304</v>
      </c>
      <c r="AE12" s="60"/>
      <c r="AF12" s="9">
        <f t="shared" si="10"/>
        <v>0</v>
      </c>
      <c r="AG12" s="53">
        <v>1018</v>
      </c>
      <c r="AH12" s="59"/>
      <c r="AI12" s="8">
        <f t="shared" si="11"/>
        <v>0</v>
      </c>
      <c r="AJ12" s="53">
        <v>136</v>
      </c>
      <c r="AK12" s="56"/>
      <c r="AL12" s="59"/>
      <c r="AM12" s="8">
        <f t="shared" si="3"/>
        <v>0</v>
      </c>
      <c r="AN12" s="53">
        <v>498</v>
      </c>
      <c r="AO12" s="56"/>
      <c r="AP12" s="59"/>
      <c r="AQ12" s="8">
        <f t="shared" si="12"/>
        <v>0</v>
      </c>
      <c r="AR12" s="53">
        <v>256</v>
      </c>
      <c r="AS12" s="59">
        <v>8</v>
      </c>
      <c r="AT12" s="59">
        <v>23</v>
      </c>
      <c r="AU12" s="56"/>
      <c r="AV12" s="55">
        <v>66.656000000000006</v>
      </c>
      <c r="AW12" s="12">
        <v>358</v>
      </c>
      <c r="AX12" s="9">
        <f t="shared" si="4"/>
        <v>0</v>
      </c>
      <c r="AY12" s="61">
        <f t="shared" si="13"/>
        <v>8</v>
      </c>
      <c r="AZ12" s="14">
        <f t="shared" si="14"/>
        <v>1755</v>
      </c>
      <c r="BA12" s="14">
        <f t="shared" si="15"/>
        <v>0</v>
      </c>
      <c r="BB12" s="14">
        <f t="shared" si="16"/>
        <v>1916.25</v>
      </c>
      <c r="BC12" s="14">
        <f t="shared" si="17"/>
        <v>37.5</v>
      </c>
      <c r="BD12" s="15">
        <f t="shared" si="18"/>
        <v>0</v>
      </c>
      <c r="BE12" s="62">
        <f>IF(X12&lt;&gt;0,AVERAGE(X$11:X12)*30,)</f>
        <v>356310</v>
      </c>
      <c r="BF12" s="14">
        <f>IF(AD12+AG12&lt;&gt;0,AVERAGE(AD$11:AD12)*30+AVERAGE(AG$11:AG12)*30,)</f>
        <v>40290</v>
      </c>
      <c r="BG12" s="14">
        <f>IF(AJ12&lt;&gt;0,AVERAGE(AJ$11:AJ12)*30,)</f>
        <v>4080</v>
      </c>
      <c r="BH12" s="14">
        <f>IF(AN12&lt;&gt;0,AVERAGE(AN$11:AN12)*30,)</f>
        <v>14775</v>
      </c>
      <c r="BI12" s="63">
        <f>AVERAGE(AR$11:AR12)*30</f>
        <v>7440</v>
      </c>
      <c r="BK12" s="1">
        <f t="shared" si="5"/>
        <v>308583</v>
      </c>
      <c r="BM12" s="1">
        <v>2675730</v>
      </c>
    </row>
    <row r="13" spans="1:65" ht="15.6" x14ac:dyDescent="0.3">
      <c r="A13" s="49">
        <v>9</v>
      </c>
      <c r="B13" s="50" t="s">
        <v>29</v>
      </c>
      <c r="C13" s="10"/>
      <c r="D13" s="6">
        <v>301592</v>
      </c>
      <c r="E13" s="8">
        <f t="shared" si="0"/>
        <v>228</v>
      </c>
      <c r="F13" s="6">
        <v>6991</v>
      </c>
      <c r="G13" s="8">
        <f t="shared" si="0"/>
        <v>1</v>
      </c>
      <c r="H13" s="6">
        <v>55994</v>
      </c>
      <c r="I13" s="8">
        <f t="shared" si="0"/>
        <v>227</v>
      </c>
      <c r="J13" s="52">
        <v>572070</v>
      </c>
      <c r="K13" s="8">
        <f t="shared" si="19"/>
        <v>220</v>
      </c>
      <c r="L13" s="7"/>
      <c r="M13" s="11" t="e">
        <f t="shared" si="7"/>
        <v>#DIV/0!</v>
      </c>
      <c r="N13" s="6">
        <v>4964</v>
      </c>
      <c r="O13" s="8">
        <f t="shared" si="1"/>
        <v>5</v>
      </c>
      <c r="P13" s="12">
        <v>89716</v>
      </c>
      <c r="Q13" s="8">
        <f t="shared" si="1"/>
        <v>81</v>
      </c>
      <c r="R13" s="12">
        <v>32</v>
      </c>
      <c r="S13" s="8">
        <f t="shared" si="1"/>
        <v>0</v>
      </c>
      <c r="T13" s="12">
        <v>189984</v>
      </c>
      <c r="U13" s="8">
        <f t="shared" si="1"/>
        <v>107</v>
      </c>
      <c r="V13" s="57"/>
      <c r="W13" s="8">
        <f t="shared" si="2"/>
        <v>0</v>
      </c>
      <c r="X13" s="53">
        <v>11589</v>
      </c>
      <c r="Y13" s="64"/>
      <c r="Z13" s="8">
        <f t="shared" si="8"/>
        <v>0</v>
      </c>
      <c r="AA13" s="53">
        <v>1790</v>
      </c>
      <c r="AB13" s="59"/>
      <c r="AC13" s="9">
        <f t="shared" si="9"/>
        <v>0</v>
      </c>
      <c r="AD13" s="53">
        <v>288</v>
      </c>
      <c r="AE13" s="60"/>
      <c r="AF13" s="9">
        <f t="shared" si="10"/>
        <v>0</v>
      </c>
      <c r="AG13" s="53">
        <v>1065</v>
      </c>
      <c r="AH13" s="59"/>
      <c r="AI13" s="8">
        <f t="shared" si="11"/>
        <v>0</v>
      </c>
      <c r="AJ13" s="53">
        <v>136</v>
      </c>
      <c r="AK13" s="56"/>
      <c r="AL13" s="59"/>
      <c r="AM13" s="8">
        <f t="shared" si="3"/>
        <v>0</v>
      </c>
      <c r="AN13" s="53">
        <v>557</v>
      </c>
      <c r="AO13" s="56"/>
      <c r="AP13" s="59"/>
      <c r="AQ13" s="8">
        <f t="shared" si="12"/>
        <v>0</v>
      </c>
      <c r="AR13" s="53">
        <v>248</v>
      </c>
      <c r="AS13" s="59">
        <v>12</v>
      </c>
      <c r="AT13" s="59">
        <v>19</v>
      </c>
      <c r="AU13" s="56"/>
      <c r="AV13" s="55"/>
      <c r="AW13" s="12">
        <v>358</v>
      </c>
      <c r="AX13" s="9">
        <f t="shared" si="4"/>
        <v>0</v>
      </c>
      <c r="AY13" s="61">
        <f t="shared" si="13"/>
        <v>9</v>
      </c>
      <c r="AZ13" s="14">
        <f t="shared" si="14"/>
        <v>2320</v>
      </c>
      <c r="BA13" s="14">
        <f t="shared" si="15"/>
        <v>3.333333333333333</v>
      </c>
      <c r="BB13" s="14">
        <f t="shared" si="16"/>
        <v>2460</v>
      </c>
      <c r="BC13" s="14">
        <f t="shared" si="17"/>
        <v>50</v>
      </c>
      <c r="BD13" s="15">
        <f t="shared" si="18"/>
        <v>0</v>
      </c>
      <c r="BE13" s="62">
        <f>IF(X13&lt;&gt;0,AVERAGE(X$11:X13)*30,)</f>
        <v>353430</v>
      </c>
      <c r="BF13" s="14">
        <f>IF(AD13+AG13&lt;&gt;0,AVERAGE(AD$11:AD13)*30+AVERAGE(AG$11:AG13)*30,)</f>
        <v>40390</v>
      </c>
      <c r="BG13" s="14">
        <f>IF(AJ13&lt;&gt;0,AVERAGE(AJ$11:AJ13)*30,)</f>
        <v>4080</v>
      </c>
      <c r="BH13" s="14">
        <f>IF(AN13&lt;&gt;0,AVERAGE(AN$11:AN13)*30,)</f>
        <v>15420</v>
      </c>
      <c r="BI13" s="63">
        <f>AVERAGE(AR$11:AR13)*30</f>
        <v>7440</v>
      </c>
      <c r="BK13" s="1">
        <f t="shared" si="5"/>
        <v>308885</v>
      </c>
      <c r="BM13" s="1">
        <v>2676001</v>
      </c>
    </row>
    <row r="14" spans="1:65" ht="15.6" x14ac:dyDescent="0.3">
      <c r="A14" s="49">
        <f>1+A13</f>
        <v>10</v>
      </c>
      <c r="B14" s="50" t="s">
        <v>29</v>
      </c>
      <c r="C14" s="10"/>
      <c r="D14" s="6">
        <v>301894</v>
      </c>
      <c r="E14" s="8">
        <f t="shared" si="0"/>
        <v>302</v>
      </c>
      <c r="F14" s="6">
        <v>6991</v>
      </c>
      <c r="G14" s="8">
        <f t="shared" si="0"/>
        <v>0</v>
      </c>
      <c r="H14" s="6">
        <v>56168</v>
      </c>
      <c r="I14" s="8">
        <f t="shared" si="0"/>
        <v>174</v>
      </c>
      <c r="J14" s="52">
        <v>572238</v>
      </c>
      <c r="K14" s="8">
        <f t="shared" si="19"/>
        <v>168</v>
      </c>
      <c r="L14" s="7"/>
      <c r="M14" s="11" t="e">
        <f t="shared" si="7"/>
        <v>#DIV/0!</v>
      </c>
      <c r="N14" s="6">
        <v>4967</v>
      </c>
      <c r="O14" s="8">
        <f t="shared" si="1"/>
        <v>3</v>
      </c>
      <c r="P14" s="12">
        <v>89727</v>
      </c>
      <c r="Q14" s="8">
        <f t="shared" si="1"/>
        <v>11</v>
      </c>
      <c r="R14" s="12">
        <v>32</v>
      </c>
      <c r="S14" s="8">
        <f t="shared" si="1"/>
        <v>0</v>
      </c>
      <c r="T14" s="12">
        <v>190018</v>
      </c>
      <c r="U14" s="8">
        <f t="shared" si="1"/>
        <v>34</v>
      </c>
      <c r="V14" s="57">
        <v>4154.0600000000004</v>
      </c>
      <c r="W14" s="8">
        <f t="shared" si="2"/>
        <v>9138932</v>
      </c>
      <c r="X14" s="53">
        <v>11467</v>
      </c>
      <c r="Y14" s="64">
        <v>814.64</v>
      </c>
      <c r="Z14" s="8">
        <f t="shared" si="8"/>
        <v>1792208</v>
      </c>
      <c r="AA14" s="53">
        <v>1539</v>
      </c>
      <c r="AB14" s="59">
        <v>1709490</v>
      </c>
      <c r="AC14" s="9">
        <f t="shared" si="9"/>
        <v>1709490</v>
      </c>
      <c r="AD14" s="53">
        <v>288</v>
      </c>
      <c r="AE14" s="60">
        <v>5026233</v>
      </c>
      <c r="AF14" s="9">
        <f t="shared" si="10"/>
        <v>5026233</v>
      </c>
      <c r="AG14" s="53">
        <v>1053</v>
      </c>
      <c r="AH14" s="59">
        <v>32800</v>
      </c>
      <c r="AI14" s="8">
        <f t="shared" si="11"/>
        <v>2624000</v>
      </c>
      <c r="AJ14" s="53">
        <v>144</v>
      </c>
      <c r="AK14" s="56"/>
      <c r="AL14" s="59">
        <v>144753.79999999999</v>
      </c>
      <c r="AM14" s="8">
        <f t="shared" si="3"/>
        <v>144753.79999999999</v>
      </c>
      <c r="AN14" s="53">
        <v>603</v>
      </c>
      <c r="AO14" s="56"/>
      <c r="AP14" s="59">
        <v>46337</v>
      </c>
      <c r="AQ14" s="8">
        <f t="shared" si="12"/>
        <v>3706960</v>
      </c>
      <c r="AR14" s="53">
        <v>248</v>
      </c>
      <c r="AS14" s="59">
        <v>12</v>
      </c>
      <c r="AT14" s="59">
        <v>20</v>
      </c>
      <c r="AU14" s="56"/>
      <c r="AV14" s="55">
        <v>69.09</v>
      </c>
      <c r="AW14" s="12">
        <v>358</v>
      </c>
      <c r="AX14" s="9">
        <f t="shared" si="4"/>
        <v>0</v>
      </c>
      <c r="AY14" s="61">
        <f t="shared" si="13"/>
        <v>10</v>
      </c>
      <c r="AZ14" s="14">
        <f t="shared" si="14"/>
        <v>2994</v>
      </c>
      <c r="BA14" s="14">
        <f t="shared" si="15"/>
        <v>3</v>
      </c>
      <c r="BB14" s="14">
        <f t="shared" si="16"/>
        <v>2736</v>
      </c>
      <c r="BC14" s="14">
        <f t="shared" si="17"/>
        <v>54</v>
      </c>
      <c r="BD14" s="15">
        <f t="shared" si="18"/>
        <v>27416796</v>
      </c>
      <c r="BE14" s="62">
        <f>IF(X14&lt;&gt;0,AVERAGE(X$11:X14)*30,)</f>
        <v>351075</v>
      </c>
      <c r="BF14" s="14">
        <f>IF(AD14+AG14&lt;&gt;0,AVERAGE(AD$11:AD14)*30+AVERAGE(AG$11:AG14)*30,)</f>
        <v>40350</v>
      </c>
      <c r="BG14" s="14">
        <f>IF(AJ14&lt;&gt;0,AVERAGE(AJ$11:AJ14)*30,)</f>
        <v>4140</v>
      </c>
      <c r="BH14" s="14">
        <f>IF(AN14&lt;&gt;0,AVERAGE(AN$11:AN14)*30,)</f>
        <v>16087.5</v>
      </c>
      <c r="BI14" s="63">
        <f>AVERAGE(AR$11:AR14)*30</f>
        <v>7440</v>
      </c>
      <c r="BK14" s="1">
        <f t="shared" si="5"/>
        <v>309117</v>
      </c>
      <c r="BM14" s="1">
        <v>2676274</v>
      </c>
    </row>
    <row r="15" spans="1:65" ht="15.6" x14ac:dyDescent="0.3">
      <c r="A15" s="49">
        <f>1+A14</f>
        <v>11</v>
      </c>
      <c r="B15" s="50" t="s">
        <v>29</v>
      </c>
      <c r="C15" s="10"/>
      <c r="D15" s="6">
        <v>302126</v>
      </c>
      <c r="E15" s="8">
        <f t="shared" si="0"/>
        <v>232</v>
      </c>
      <c r="F15" s="6">
        <v>6991</v>
      </c>
      <c r="G15" s="8">
        <f t="shared" si="0"/>
        <v>0</v>
      </c>
      <c r="H15" s="6">
        <v>56322</v>
      </c>
      <c r="I15" s="8">
        <f t="shared" si="0"/>
        <v>154</v>
      </c>
      <c r="J15" s="52">
        <v>572387</v>
      </c>
      <c r="K15" s="8">
        <f t="shared" si="19"/>
        <v>149</v>
      </c>
      <c r="L15" s="7"/>
      <c r="M15" s="11" t="e">
        <f t="shared" si="7"/>
        <v>#DIV/0!</v>
      </c>
      <c r="N15" s="6">
        <v>4971</v>
      </c>
      <c r="O15" s="8">
        <f t="shared" si="1"/>
        <v>4</v>
      </c>
      <c r="P15" s="12">
        <v>89738</v>
      </c>
      <c r="Q15" s="8">
        <f t="shared" si="1"/>
        <v>11</v>
      </c>
      <c r="R15" s="12">
        <v>32</v>
      </c>
      <c r="S15" s="8">
        <f t="shared" si="1"/>
        <v>0</v>
      </c>
      <c r="T15" s="12">
        <v>190049</v>
      </c>
      <c r="U15" s="8">
        <f t="shared" si="1"/>
        <v>31</v>
      </c>
      <c r="V15" s="57"/>
      <c r="W15" s="8">
        <f t="shared" si="2"/>
        <v>0</v>
      </c>
      <c r="X15" s="53">
        <v>11530</v>
      </c>
      <c r="Y15" s="64"/>
      <c r="Z15" s="8">
        <f t="shared" si="8"/>
        <v>0</v>
      </c>
      <c r="AA15" s="53">
        <v>1686</v>
      </c>
      <c r="AB15" s="59"/>
      <c r="AC15" s="9">
        <f t="shared" si="9"/>
        <v>0</v>
      </c>
      <c r="AD15" s="53">
        <v>282</v>
      </c>
      <c r="AE15" s="60"/>
      <c r="AF15" s="9">
        <f t="shared" si="10"/>
        <v>0</v>
      </c>
      <c r="AG15" s="53">
        <v>994</v>
      </c>
      <c r="AH15" s="59"/>
      <c r="AI15" s="8">
        <f t="shared" si="11"/>
        <v>0</v>
      </c>
      <c r="AJ15" s="53">
        <v>136</v>
      </c>
      <c r="AK15" s="56"/>
      <c r="AL15" s="59"/>
      <c r="AM15" s="8">
        <f t="shared" si="3"/>
        <v>0</v>
      </c>
      <c r="AN15" s="53">
        <v>574</v>
      </c>
      <c r="AO15" s="56"/>
      <c r="AP15" s="59"/>
      <c r="AQ15" s="8">
        <f t="shared" si="12"/>
        <v>0</v>
      </c>
      <c r="AR15" s="53">
        <v>248</v>
      </c>
      <c r="AS15" s="59">
        <v>6</v>
      </c>
      <c r="AT15" s="59">
        <v>19</v>
      </c>
      <c r="AU15" s="56"/>
      <c r="AV15" s="55">
        <v>70.540000000000006</v>
      </c>
      <c r="AW15" s="12">
        <v>359</v>
      </c>
      <c r="AX15" s="9">
        <f t="shared" si="4"/>
        <v>1</v>
      </c>
      <c r="AY15" s="61">
        <v>11</v>
      </c>
      <c r="AZ15" s="14">
        <f t="shared" si="14"/>
        <v>3354.5454545454545</v>
      </c>
      <c r="BA15" s="14">
        <f t="shared" si="15"/>
        <v>2.7272727272727275</v>
      </c>
      <c r="BB15" s="14">
        <f t="shared" si="16"/>
        <v>2907.272727272727</v>
      </c>
      <c r="BC15" s="14">
        <f t="shared" si="17"/>
        <v>60</v>
      </c>
      <c r="BD15" s="15">
        <f t="shared" si="18"/>
        <v>0</v>
      </c>
      <c r="BE15" s="62">
        <f>IF(X15&lt;&gt;0,AVERAGE(X$11:X15)*30,)</f>
        <v>350040</v>
      </c>
      <c r="BF15" s="14">
        <f>IF(AD15+AG15&lt;&gt;0,AVERAGE(AD$11:AD15)*30+AVERAGE(AG$11:AG15)*30,)</f>
        <v>39936</v>
      </c>
      <c r="BG15" s="14">
        <f>IF(AJ15&lt;&gt;0,AVERAGE(AJ$11:AJ15)*30,)</f>
        <v>4128</v>
      </c>
      <c r="BH15" s="14">
        <f>IF(AN15&lt;&gt;0,AVERAGE(AN$11:AN15)*30,)</f>
        <v>16313.999999999998</v>
      </c>
      <c r="BI15" s="63">
        <f>AVERAGE(AR$11:AR15)*30</f>
        <v>7440</v>
      </c>
      <c r="BK15" s="1">
        <f t="shared" si="5"/>
        <v>309335</v>
      </c>
      <c r="BM15" s="1">
        <v>2676566</v>
      </c>
    </row>
    <row r="16" spans="1:65" ht="15.6" x14ac:dyDescent="0.3">
      <c r="A16" s="49">
        <f>1+A15</f>
        <v>12</v>
      </c>
      <c r="B16" s="50" t="s">
        <v>29</v>
      </c>
      <c r="C16" s="10"/>
      <c r="D16" s="6">
        <v>302344</v>
      </c>
      <c r="E16" s="8">
        <f t="shared" si="0"/>
        <v>218</v>
      </c>
      <c r="F16" s="6">
        <v>6991</v>
      </c>
      <c r="G16" s="8">
        <f t="shared" si="0"/>
        <v>0</v>
      </c>
      <c r="H16" s="6">
        <v>56484</v>
      </c>
      <c r="I16" s="8">
        <f t="shared" si="0"/>
        <v>162</v>
      </c>
      <c r="J16" s="52">
        <v>572543</v>
      </c>
      <c r="K16" s="8">
        <f t="shared" si="19"/>
        <v>156</v>
      </c>
      <c r="L16" s="7"/>
      <c r="M16" s="11" t="e">
        <f t="shared" si="7"/>
        <v>#DIV/0!</v>
      </c>
      <c r="N16" s="6">
        <v>4976</v>
      </c>
      <c r="O16" s="8">
        <f t="shared" si="1"/>
        <v>5</v>
      </c>
      <c r="P16" s="12">
        <v>89748</v>
      </c>
      <c r="Q16" s="8">
        <f t="shared" si="1"/>
        <v>10</v>
      </c>
      <c r="R16" s="12">
        <v>32</v>
      </c>
      <c r="S16" s="8">
        <f t="shared" si="1"/>
        <v>0</v>
      </c>
      <c r="T16" s="12">
        <v>190076</v>
      </c>
      <c r="U16" s="8">
        <f t="shared" si="1"/>
        <v>27</v>
      </c>
      <c r="V16" s="57"/>
      <c r="W16" s="8">
        <f t="shared" si="2"/>
        <v>0</v>
      </c>
      <c r="X16" s="53">
        <v>11742</v>
      </c>
      <c r="Y16" s="64"/>
      <c r="Z16" s="8">
        <f t="shared" si="8"/>
        <v>0</v>
      </c>
      <c r="AA16" s="53">
        <v>1600</v>
      </c>
      <c r="AB16" s="59"/>
      <c r="AC16" s="9">
        <f t="shared" si="9"/>
        <v>0</v>
      </c>
      <c r="AD16" s="53">
        <v>289</v>
      </c>
      <c r="AE16" s="60"/>
      <c r="AF16" s="9">
        <f t="shared" si="10"/>
        <v>0</v>
      </c>
      <c r="AG16" s="53">
        <v>1057</v>
      </c>
      <c r="AH16" s="59"/>
      <c r="AI16" s="8">
        <f t="shared" si="11"/>
        <v>0</v>
      </c>
      <c r="AJ16" s="53">
        <v>128</v>
      </c>
      <c r="AK16" s="56"/>
      <c r="AL16" s="59"/>
      <c r="AM16" s="8">
        <f t="shared" si="3"/>
        <v>0</v>
      </c>
      <c r="AN16" s="53">
        <v>624</v>
      </c>
      <c r="AO16" s="56"/>
      <c r="AP16" s="59"/>
      <c r="AQ16" s="8">
        <f t="shared" si="12"/>
        <v>0</v>
      </c>
      <c r="AR16" s="53">
        <v>256</v>
      </c>
      <c r="AS16" s="59">
        <v>8</v>
      </c>
      <c r="AT16" s="59">
        <v>19</v>
      </c>
      <c r="AU16" s="56"/>
      <c r="AV16" s="55">
        <v>72.084000000000003</v>
      </c>
      <c r="AW16" s="12">
        <v>360</v>
      </c>
      <c r="AX16" s="9">
        <f t="shared" si="4"/>
        <v>1</v>
      </c>
      <c r="AY16" s="61">
        <f t="shared" ref="AY16:AY35" si="20">1+AY15</f>
        <v>12</v>
      </c>
      <c r="AZ16" s="14">
        <f t="shared" si="14"/>
        <v>3620</v>
      </c>
      <c r="BA16" s="14">
        <f t="shared" si="15"/>
        <v>2.5</v>
      </c>
      <c r="BB16" s="14">
        <f t="shared" si="16"/>
        <v>3070</v>
      </c>
      <c r="BC16" s="14">
        <f t="shared" si="17"/>
        <v>67.5</v>
      </c>
      <c r="BD16" s="15">
        <f t="shared" si="18"/>
        <v>0</v>
      </c>
      <c r="BE16" s="62">
        <f>IF(X16&lt;&gt;0,AVERAGE(X$11:X16)*30,)</f>
        <v>350410</v>
      </c>
      <c r="BF16" s="14">
        <f>IF(AD16+AG16&lt;&gt;0,AVERAGE(AD$11:AD16)*30+AVERAGE(AG$11:AG16)*30,)</f>
        <v>40010</v>
      </c>
      <c r="BG16" s="14">
        <f>IF(AJ16&lt;&gt;0,AVERAGE(AJ$11:AJ16)*30,)</f>
        <v>4080</v>
      </c>
      <c r="BH16" s="14">
        <f>IF(AN16&lt;&gt;0,AVERAGE(AN$11:AN16)*30,)</f>
        <v>16715</v>
      </c>
      <c r="BI16" s="63">
        <f>AVERAGE(AR$11:AR16)*30</f>
        <v>7480</v>
      </c>
      <c r="BK16" s="1">
        <f t="shared" si="5"/>
        <v>309547</v>
      </c>
      <c r="BM16" s="1">
        <v>2676912</v>
      </c>
    </row>
    <row r="17" spans="1:65" ht="15.6" x14ac:dyDescent="0.3">
      <c r="A17" s="49">
        <v>13</v>
      </c>
      <c r="B17" s="50" t="s">
        <v>29</v>
      </c>
      <c r="C17" s="10"/>
      <c r="D17" s="6">
        <v>302556</v>
      </c>
      <c r="E17" s="8">
        <f t="shared" si="0"/>
        <v>212</v>
      </c>
      <c r="F17" s="6">
        <v>6991</v>
      </c>
      <c r="G17" s="8">
        <f t="shared" si="0"/>
        <v>0</v>
      </c>
      <c r="H17" s="6">
        <v>56680</v>
      </c>
      <c r="I17" s="8">
        <f t="shared" si="0"/>
        <v>196</v>
      </c>
      <c r="J17" s="52">
        <v>572732</v>
      </c>
      <c r="K17" s="8">
        <f t="shared" si="19"/>
        <v>189</v>
      </c>
      <c r="L17" s="7"/>
      <c r="M17" s="11" t="e">
        <f t="shared" si="7"/>
        <v>#DIV/0!</v>
      </c>
      <c r="N17" s="6">
        <v>4982</v>
      </c>
      <c r="O17" s="8">
        <f t="shared" si="1"/>
        <v>6</v>
      </c>
      <c r="P17" s="12">
        <v>89786</v>
      </c>
      <c r="Q17" s="8">
        <f t="shared" si="1"/>
        <v>38</v>
      </c>
      <c r="R17" s="12">
        <v>32</v>
      </c>
      <c r="S17" s="8">
        <f t="shared" si="1"/>
        <v>0</v>
      </c>
      <c r="T17" s="12">
        <v>190135</v>
      </c>
      <c r="U17" s="8">
        <f t="shared" si="1"/>
        <v>59</v>
      </c>
      <c r="V17" s="57"/>
      <c r="W17" s="8">
        <f t="shared" si="2"/>
        <v>0</v>
      </c>
      <c r="X17" s="53">
        <v>12168</v>
      </c>
      <c r="Y17" s="64"/>
      <c r="Z17" s="8">
        <f t="shared" si="8"/>
        <v>0</v>
      </c>
      <c r="AA17" s="53">
        <v>1972</v>
      </c>
      <c r="AB17" s="59"/>
      <c r="AC17" s="9">
        <f t="shared" si="9"/>
        <v>0</v>
      </c>
      <c r="AD17" s="53">
        <v>295</v>
      </c>
      <c r="AE17" s="60"/>
      <c r="AF17" s="9">
        <f t="shared" si="10"/>
        <v>0</v>
      </c>
      <c r="AG17" s="53">
        <v>1139</v>
      </c>
      <c r="AH17" s="59"/>
      <c r="AI17" s="8">
        <f t="shared" si="11"/>
        <v>0</v>
      </c>
      <c r="AJ17" s="53">
        <v>128</v>
      </c>
      <c r="AK17" s="56"/>
      <c r="AL17" s="59"/>
      <c r="AM17" s="8">
        <f t="shared" si="3"/>
        <v>0</v>
      </c>
      <c r="AN17" s="53">
        <v>637</v>
      </c>
      <c r="AO17" s="56"/>
      <c r="AP17" s="59"/>
      <c r="AQ17" s="8">
        <f t="shared" si="12"/>
        <v>0</v>
      </c>
      <c r="AR17" s="53">
        <v>272</v>
      </c>
      <c r="AS17" s="59">
        <v>9</v>
      </c>
      <c r="AT17" s="59">
        <v>20</v>
      </c>
      <c r="AU17" s="56"/>
      <c r="AV17" s="55">
        <v>73.635999999999996</v>
      </c>
      <c r="AW17" s="12">
        <v>362</v>
      </c>
      <c r="AX17" s="9">
        <f t="shared" si="4"/>
        <v>2</v>
      </c>
      <c r="AY17" s="61">
        <f t="shared" si="20"/>
        <v>13</v>
      </c>
      <c r="AZ17" s="14">
        <f t="shared" si="14"/>
        <v>3830.7692307692309</v>
      </c>
      <c r="BA17" s="14">
        <f t="shared" si="15"/>
        <v>2.3076923076923079</v>
      </c>
      <c r="BB17" s="14">
        <f t="shared" si="16"/>
        <v>3286.1538461538462</v>
      </c>
      <c r="BC17" s="14">
        <f t="shared" si="17"/>
        <v>76.153846153846146</v>
      </c>
      <c r="BD17" s="15">
        <f t="shared" si="18"/>
        <v>0</v>
      </c>
      <c r="BE17" s="62">
        <f>IF(X17&lt;&gt;0,AVERAGE(X$11:X17)*30,)</f>
        <v>352500</v>
      </c>
      <c r="BF17" s="14">
        <f>IF(AD17+AG17&lt;&gt;0,AVERAGE(AD$11:AD17)*30+AVERAGE(AG$11:AG17)*30,)</f>
        <v>40440</v>
      </c>
      <c r="BG17" s="14">
        <f>IF(AJ17&lt;&gt;0,AVERAGE(AJ$11:AJ17)*30,)</f>
        <v>4045.7142857142858</v>
      </c>
      <c r="BH17" s="14">
        <f>IF(AN17&lt;&gt;0,AVERAGE(AN$11:AN17)*30,)</f>
        <v>17057.142857142855</v>
      </c>
      <c r="BI17" s="63">
        <f>AVERAGE(AR$11:AR17)*30</f>
        <v>7577.1428571428578</v>
      </c>
      <c r="BK17" s="1">
        <f t="shared" si="5"/>
        <v>309774</v>
      </c>
      <c r="BM17" s="1">
        <v>2677329</v>
      </c>
    </row>
    <row r="18" spans="1:65" ht="15.6" x14ac:dyDescent="0.3">
      <c r="A18" s="49">
        <f t="shared" ref="A18:A34" si="21">1+A17</f>
        <v>14</v>
      </c>
      <c r="B18" s="50" t="s">
        <v>71</v>
      </c>
      <c r="C18" s="10"/>
      <c r="D18" s="6">
        <v>302783</v>
      </c>
      <c r="E18" s="8">
        <f t="shared" si="0"/>
        <v>227</v>
      </c>
      <c r="F18" s="6">
        <v>6991</v>
      </c>
      <c r="G18" s="8">
        <f t="shared" si="0"/>
        <v>0</v>
      </c>
      <c r="H18" s="6">
        <v>56902</v>
      </c>
      <c r="I18" s="8">
        <f t="shared" si="0"/>
        <v>222</v>
      </c>
      <c r="J18" s="52">
        <v>572947</v>
      </c>
      <c r="K18" s="8">
        <f t="shared" si="19"/>
        <v>215</v>
      </c>
      <c r="L18" s="7"/>
      <c r="M18" s="11" t="e">
        <f t="shared" si="7"/>
        <v>#DIV/0!</v>
      </c>
      <c r="N18" s="6">
        <v>4992</v>
      </c>
      <c r="O18" s="8">
        <f t="shared" si="1"/>
        <v>10</v>
      </c>
      <c r="P18" s="12">
        <v>89840</v>
      </c>
      <c r="Q18" s="8">
        <f t="shared" si="1"/>
        <v>54</v>
      </c>
      <c r="R18" s="12">
        <v>32</v>
      </c>
      <c r="S18" s="8">
        <f t="shared" si="1"/>
        <v>0</v>
      </c>
      <c r="T18" s="12">
        <v>190210</v>
      </c>
      <c r="U18" s="8">
        <f t="shared" si="1"/>
        <v>75</v>
      </c>
      <c r="V18" s="57"/>
      <c r="W18" s="8">
        <f t="shared" si="2"/>
        <v>0</v>
      </c>
      <c r="X18" s="53">
        <v>12570</v>
      </c>
      <c r="Y18" s="64"/>
      <c r="Z18" s="8">
        <f t="shared" si="8"/>
        <v>0</v>
      </c>
      <c r="AA18" s="53">
        <v>2271</v>
      </c>
      <c r="AB18" s="59"/>
      <c r="AC18" s="9">
        <f t="shared" si="9"/>
        <v>0</v>
      </c>
      <c r="AD18" s="53">
        <v>298</v>
      </c>
      <c r="AE18" s="60"/>
      <c r="AF18" s="9">
        <f t="shared" si="10"/>
        <v>0</v>
      </c>
      <c r="AG18" s="53">
        <v>1074</v>
      </c>
      <c r="AH18" s="59"/>
      <c r="AI18" s="8">
        <f t="shared" si="11"/>
        <v>0</v>
      </c>
      <c r="AJ18" s="53">
        <v>160</v>
      </c>
      <c r="AK18" s="56"/>
      <c r="AL18" s="59"/>
      <c r="AM18" s="8">
        <f t="shared" si="3"/>
        <v>0</v>
      </c>
      <c r="AN18" s="53">
        <v>554</v>
      </c>
      <c r="AO18" s="56"/>
      <c r="AP18" s="59"/>
      <c r="AQ18" s="8">
        <f t="shared" si="12"/>
        <v>0</v>
      </c>
      <c r="AR18" s="53">
        <v>240</v>
      </c>
      <c r="AS18" s="59">
        <v>11</v>
      </c>
      <c r="AT18" s="59">
        <v>22</v>
      </c>
      <c r="AU18" s="56"/>
      <c r="AV18" s="55">
        <v>75.33</v>
      </c>
      <c r="AW18" s="12">
        <v>362</v>
      </c>
      <c r="AX18" s="9">
        <f t="shared" si="4"/>
        <v>0</v>
      </c>
      <c r="AY18" s="61">
        <f t="shared" si="20"/>
        <v>14</v>
      </c>
      <c r="AZ18" s="14">
        <f t="shared" si="14"/>
        <v>4043.5714285714284</v>
      </c>
      <c r="BA18" s="14">
        <f t="shared" si="15"/>
        <v>2.1428571428571428</v>
      </c>
      <c r="BB18" s="14">
        <f t="shared" si="16"/>
        <v>3527.1428571428569</v>
      </c>
      <c r="BC18" s="14">
        <f t="shared" si="17"/>
        <v>92.142857142857153</v>
      </c>
      <c r="BD18" s="15">
        <f t="shared" si="18"/>
        <v>0</v>
      </c>
      <c r="BE18" s="62">
        <f>IF(X18&lt;&gt;0,AVERAGE(X$11:X18)*30,)</f>
        <v>355575</v>
      </c>
      <c r="BF18" s="14">
        <f>IF(AD18+AG18&lt;&gt;0,AVERAGE(AD$11:AD18)*30+AVERAGE(AG$11:AG18)*30,)</f>
        <v>40530</v>
      </c>
      <c r="BG18" s="14">
        <f>IF(AJ18&lt;&gt;0,AVERAGE(AJ$11:AJ18)*30,)</f>
        <v>4140</v>
      </c>
      <c r="BH18" s="14">
        <f>IF(AN18&lt;&gt;0,AVERAGE(AN$11:AN18)*30,)</f>
        <v>17002.5</v>
      </c>
      <c r="BI18" s="63">
        <f>AVERAGE(AR$11:AR18)*30</f>
        <v>7530</v>
      </c>
      <c r="BK18" s="1">
        <f t="shared" si="5"/>
        <v>310014</v>
      </c>
      <c r="BM18" s="1">
        <v>2677712</v>
      </c>
    </row>
    <row r="19" spans="1:65" ht="15.6" x14ac:dyDescent="0.3">
      <c r="A19" s="49">
        <f t="shared" si="21"/>
        <v>15</v>
      </c>
      <c r="B19" s="50" t="s">
        <v>29</v>
      </c>
      <c r="C19" s="10"/>
      <c r="D19" s="6">
        <v>303020</v>
      </c>
      <c r="E19" s="8">
        <f t="shared" si="0"/>
        <v>237</v>
      </c>
      <c r="F19" s="6">
        <v>6994</v>
      </c>
      <c r="G19" s="8">
        <f t="shared" si="0"/>
        <v>3</v>
      </c>
      <c r="H19" s="6">
        <v>57175</v>
      </c>
      <c r="I19" s="8">
        <f t="shared" si="0"/>
        <v>273</v>
      </c>
      <c r="J19" s="52">
        <v>573211</v>
      </c>
      <c r="K19" s="8">
        <f t="shared" si="19"/>
        <v>264</v>
      </c>
      <c r="L19" s="7"/>
      <c r="M19" s="11" t="e">
        <f t="shared" si="7"/>
        <v>#DIV/0!</v>
      </c>
      <c r="N19" s="6">
        <v>5003</v>
      </c>
      <c r="O19" s="8">
        <f t="shared" si="1"/>
        <v>11</v>
      </c>
      <c r="P19" s="12">
        <v>89932</v>
      </c>
      <c r="Q19" s="8">
        <f t="shared" si="1"/>
        <v>92</v>
      </c>
      <c r="R19" s="12">
        <v>32</v>
      </c>
      <c r="S19" s="8">
        <f t="shared" si="1"/>
        <v>0</v>
      </c>
      <c r="T19" s="12">
        <v>190332</v>
      </c>
      <c r="U19" s="8">
        <f t="shared" si="1"/>
        <v>122</v>
      </c>
      <c r="V19" s="57"/>
      <c r="W19" s="8">
        <f t="shared" si="2"/>
        <v>0</v>
      </c>
      <c r="X19" s="53">
        <v>12856</v>
      </c>
      <c r="Y19" s="64"/>
      <c r="Z19" s="8">
        <f t="shared" si="8"/>
        <v>0</v>
      </c>
      <c r="AA19" s="53">
        <v>2058</v>
      </c>
      <c r="AB19" s="59"/>
      <c r="AC19" s="9">
        <f t="shared" si="9"/>
        <v>0</v>
      </c>
      <c r="AD19" s="53">
        <v>330</v>
      </c>
      <c r="AE19" s="60"/>
      <c r="AF19" s="9">
        <f t="shared" si="10"/>
        <v>0</v>
      </c>
      <c r="AG19" s="53">
        <v>1169</v>
      </c>
      <c r="AH19" s="59"/>
      <c r="AI19" s="8">
        <f t="shared" si="11"/>
        <v>0</v>
      </c>
      <c r="AJ19" s="53">
        <v>192</v>
      </c>
      <c r="AK19" s="56"/>
      <c r="AL19" s="59"/>
      <c r="AM19" s="8">
        <f t="shared" si="3"/>
        <v>0</v>
      </c>
      <c r="AN19" s="53">
        <v>517</v>
      </c>
      <c r="AO19" s="56"/>
      <c r="AP19" s="59"/>
      <c r="AQ19" s="8">
        <f t="shared" si="12"/>
        <v>0</v>
      </c>
      <c r="AR19" s="53">
        <v>256</v>
      </c>
      <c r="AS19" s="59">
        <v>9</v>
      </c>
      <c r="AT19" s="59">
        <v>22</v>
      </c>
      <c r="AU19" s="56"/>
      <c r="AV19" s="55">
        <v>77.069000000000003</v>
      </c>
      <c r="AW19" s="12">
        <v>364</v>
      </c>
      <c r="AX19" s="9">
        <f t="shared" si="4"/>
        <v>2</v>
      </c>
      <c r="AY19" s="61">
        <f t="shared" si="20"/>
        <v>15</v>
      </c>
      <c r="AZ19" s="14">
        <f t="shared" si="14"/>
        <v>4248</v>
      </c>
      <c r="BA19" s="14">
        <f t="shared" si="15"/>
        <v>8</v>
      </c>
      <c r="BB19" s="14">
        <f t="shared" si="16"/>
        <v>3838</v>
      </c>
      <c r="BC19" s="14">
        <f t="shared" si="17"/>
        <v>108</v>
      </c>
      <c r="BD19" s="15">
        <f t="shared" si="18"/>
        <v>0</v>
      </c>
      <c r="BE19" s="62">
        <f>IF(X19&lt;&gt;0,AVERAGE(X$11:X19)*30,)</f>
        <v>358920</v>
      </c>
      <c r="BF19" s="14">
        <f>IF(AD19+AG19&lt;&gt;0,AVERAGE(AD$11:AD19)*30+AVERAGE(AG$11:AG19)*30,)</f>
        <v>41023.333333333336</v>
      </c>
      <c r="BG19" s="14">
        <f>IF(AJ19&lt;&gt;0,AVERAGE(AJ$11:AJ19)*30,)</f>
        <v>4320</v>
      </c>
      <c r="BH19" s="14">
        <f>IF(AN19&lt;&gt;0,AVERAGE(AN$11:AN19)*30,)</f>
        <v>16836.666666666664</v>
      </c>
      <c r="BI19" s="63">
        <f>AVERAGE(AR$11:AR19)*30</f>
        <v>7546.6666666666661</v>
      </c>
      <c r="BK19" s="1">
        <f t="shared" si="5"/>
        <v>310223</v>
      </c>
      <c r="BM19" s="1">
        <v>2678106</v>
      </c>
    </row>
    <row r="20" spans="1:65" ht="15.6" x14ac:dyDescent="0.3">
      <c r="A20" s="49">
        <f t="shared" si="21"/>
        <v>16</v>
      </c>
      <c r="B20" s="50" t="s">
        <v>29</v>
      </c>
      <c r="C20" s="10"/>
      <c r="D20" s="6">
        <v>303228</v>
      </c>
      <c r="E20" s="8">
        <f t="shared" si="0"/>
        <v>208</v>
      </c>
      <c r="F20" s="6">
        <v>6995</v>
      </c>
      <c r="G20" s="8">
        <f t="shared" si="0"/>
        <v>1</v>
      </c>
      <c r="H20" s="6">
        <v>57395</v>
      </c>
      <c r="I20" s="8">
        <f t="shared" si="0"/>
        <v>220</v>
      </c>
      <c r="J20" s="52">
        <v>573424</v>
      </c>
      <c r="K20" s="8">
        <f t="shared" si="19"/>
        <v>213</v>
      </c>
      <c r="L20" s="7"/>
      <c r="M20" s="11" t="e">
        <f t="shared" si="7"/>
        <v>#DIV/0!</v>
      </c>
      <c r="N20" s="6">
        <v>5014</v>
      </c>
      <c r="O20" s="8">
        <f t="shared" si="1"/>
        <v>11</v>
      </c>
      <c r="P20" s="12">
        <v>89976</v>
      </c>
      <c r="Q20" s="8">
        <f t="shared" si="1"/>
        <v>44</v>
      </c>
      <c r="R20" s="12">
        <v>32</v>
      </c>
      <c r="S20" s="8">
        <f t="shared" si="1"/>
        <v>0</v>
      </c>
      <c r="T20" s="12">
        <v>190403</v>
      </c>
      <c r="U20" s="8">
        <f t="shared" si="1"/>
        <v>71</v>
      </c>
      <c r="V20" s="57"/>
      <c r="W20" s="8">
        <f t="shared" si="2"/>
        <v>0</v>
      </c>
      <c r="X20" s="53">
        <v>12621</v>
      </c>
      <c r="Y20" s="64"/>
      <c r="Z20" s="8">
        <f t="shared" si="8"/>
        <v>0</v>
      </c>
      <c r="AA20" s="53">
        <v>2421</v>
      </c>
      <c r="AB20" s="59"/>
      <c r="AC20" s="9">
        <f t="shared" si="9"/>
        <v>0</v>
      </c>
      <c r="AD20" s="53">
        <v>297</v>
      </c>
      <c r="AE20" s="60"/>
      <c r="AF20" s="9">
        <f t="shared" si="10"/>
        <v>0</v>
      </c>
      <c r="AG20" s="53">
        <v>1091</v>
      </c>
      <c r="AH20" s="59"/>
      <c r="AI20" s="8">
        <f t="shared" si="11"/>
        <v>0</v>
      </c>
      <c r="AJ20" s="53">
        <v>208</v>
      </c>
      <c r="AK20" s="56"/>
      <c r="AL20" s="59"/>
      <c r="AM20" s="8">
        <f t="shared" si="3"/>
        <v>0</v>
      </c>
      <c r="AN20" s="53">
        <v>564</v>
      </c>
      <c r="AO20" s="56"/>
      <c r="AP20" s="59"/>
      <c r="AQ20" s="8">
        <f t="shared" si="12"/>
        <v>0</v>
      </c>
      <c r="AR20" s="53">
        <v>264</v>
      </c>
      <c r="AS20" s="59">
        <v>10</v>
      </c>
      <c r="AT20" s="59">
        <v>22</v>
      </c>
      <c r="AU20" s="56"/>
      <c r="AV20" s="55">
        <v>78.430000000000007</v>
      </c>
      <c r="AW20" s="12">
        <v>365</v>
      </c>
      <c r="AX20" s="9">
        <f t="shared" si="4"/>
        <v>1</v>
      </c>
      <c r="AY20" s="61">
        <f t="shared" si="20"/>
        <v>16</v>
      </c>
      <c r="AZ20" s="14">
        <f t="shared" si="14"/>
        <v>4372.5</v>
      </c>
      <c r="BA20" s="14">
        <f t="shared" si="15"/>
        <v>9.375</v>
      </c>
      <c r="BB20" s="14">
        <f t="shared" si="16"/>
        <v>4010.625</v>
      </c>
      <c r="BC20" s="14">
        <f t="shared" si="17"/>
        <v>121.875</v>
      </c>
      <c r="BD20" s="15">
        <f t="shared" si="18"/>
        <v>0</v>
      </c>
      <c r="BE20" s="62">
        <f>IF(X20&lt;&gt;0,AVERAGE(X$11:X20)*30,)</f>
        <v>360891</v>
      </c>
      <c r="BF20" s="14">
        <f>IF(AD20+AG20&lt;&gt;0,AVERAGE(AD$11:AD20)*30+AVERAGE(AG$11:AG20)*30,)</f>
        <v>41085</v>
      </c>
      <c r="BG20" s="14">
        <f>IF(AJ20&lt;&gt;0,AVERAGE(AJ$11:AJ20)*30,)</f>
        <v>4512</v>
      </c>
      <c r="BH20" s="14">
        <f>IF(AN20&lt;&gt;0,AVERAGE(AN$11:AN20)*30,)</f>
        <v>16845</v>
      </c>
      <c r="BI20" s="63">
        <f>AVERAGE(AR$11:AR20)*30</f>
        <v>7584</v>
      </c>
      <c r="BK20" s="1">
        <f t="shared" si="5"/>
        <v>310451</v>
      </c>
      <c r="BM20" s="1">
        <v>2678671</v>
      </c>
    </row>
    <row r="21" spans="1:65" ht="15.6" x14ac:dyDescent="0.3">
      <c r="A21" s="49">
        <f t="shared" si="21"/>
        <v>17</v>
      </c>
      <c r="B21" s="50" t="s">
        <v>29</v>
      </c>
      <c r="C21" s="10"/>
      <c r="D21" s="6">
        <v>303454</v>
      </c>
      <c r="E21" s="8">
        <f t="shared" si="0"/>
        <v>226</v>
      </c>
      <c r="F21" s="6">
        <v>6997</v>
      </c>
      <c r="G21" s="8">
        <f t="shared" si="0"/>
        <v>2</v>
      </c>
      <c r="H21" s="6">
        <v>57582</v>
      </c>
      <c r="I21" s="8">
        <f t="shared" si="0"/>
        <v>187</v>
      </c>
      <c r="J21" s="52">
        <v>573604</v>
      </c>
      <c r="K21" s="8">
        <f t="shared" si="19"/>
        <v>180</v>
      </c>
      <c r="L21" s="7"/>
      <c r="M21" s="11" t="e">
        <f t="shared" si="7"/>
        <v>#DIV/0!</v>
      </c>
      <c r="N21" s="6">
        <v>5021</v>
      </c>
      <c r="O21" s="8">
        <f t="shared" si="1"/>
        <v>7</v>
      </c>
      <c r="P21" s="12">
        <v>89995</v>
      </c>
      <c r="Q21" s="8">
        <f t="shared" si="1"/>
        <v>19</v>
      </c>
      <c r="R21" s="12">
        <v>32</v>
      </c>
      <c r="S21" s="8">
        <f t="shared" si="1"/>
        <v>0</v>
      </c>
      <c r="T21" s="12">
        <v>190448</v>
      </c>
      <c r="U21" s="8">
        <f t="shared" si="1"/>
        <v>45</v>
      </c>
      <c r="V21" s="57"/>
      <c r="W21" s="8">
        <f t="shared" si="2"/>
        <v>0</v>
      </c>
      <c r="X21" s="53">
        <v>12421</v>
      </c>
      <c r="Y21" s="64"/>
      <c r="Z21" s="8">
        <f t="shared" si="8"/>
        <v>0</v>
      </c>
      <c r="AA21" s="53">
        <v>2238</v>
      </c>
      <c r="AB21" s="59"/>
      <c r="AC21" s="9">
        <f t="shared" si="9"/>
        <v>0</v>
      </c>
      <c r="AD21" s="53">
        <v>309</v>
      </c>
      <c r="AE21" s="60"/>
      <c r="AF21" s="9">
        <f t="shared" si="10"/>
        <v>0</v>
      </c>
      <c r="AG21" s="53">
        <v>1173</v>
      </c>
      <c r="AH21" s="59"/>
      <c r="AI21" s="8">
        <f t="shared" si="11"/>
        <v>0</v>
      </c>
      <c r="AJ21" s="53">
        <v>240</v>
      </c>
      <c r="AK21" s="56"/>
      <c r="AL21" s="59"/>
      <c r="AM21" s="8">
        <f t="shared" si="3"/>
        <v>0</v>
      </c>
      <c r="AN21" s="53">
        <v>655</v>
      </c>
      <c r="AO21" s="56"/>
      <c r="AP21" s="59"/>
      <c r="AQ21" s="8">
        <f t="shared" si="12"/>
        <v>0</v>
      </c>
      <c r="AR21" s="53">
        <v>256</v>
      </c>
      <c r="AS21" s="59">
        <v>9</v>
      </c>
      <c r="AT21" s="59">
        <v>18</v>
      </c>
      <c r="AU21" s="56"/>
      <c r="AV21" s="55">
        <v>80.27</v>
      </c>
      <c r="AW21" s="12">
        <v>365</v>
      </c>
      <c r="AX21" s="9">
        <v>0</v>
      </c>
      <c r="AY21" s="61">
        <f t="shared" si="20"/>
        <v>17</v>
      </c>
      <c r="AZ21" s="14">
        <f t="shared" si="14"/>
        <v>4514.1176470588234</v>
      </c>
      <c r="BA21" s="14">
        <f t="shared" si="15"/>
        <v>12.352941176470587</v>
      </c>
      <c r="BB21" s="14">
        <f t="shared" si="16"/>
        <v>4104.7058823529405</v>
      </c>
      <c r="BC21" s="14">
        <f t="shared" si="17"/>
        <v>127.05882352941177</v>
      </c>
      <c r="BD21" s="15">
        <f t="shared" si="18"/>
        <v>0</v>
      </c>
      <c r="BE21" s="62">
        <f>IF(X21&lt;&gt;0,AVERAGE(X$11:X21)*30,)</f>
        <v>361958.18181818182</v>
      </c>
      <c r="BF21" s="14">
        <f>IF(AD21+AG21&lt;&gt;0,AVERAGE(AD$11:AD21)*30+AVERAGE(AG$11:AG21)*30,)</f>
        <v>41391.818181818177</v>
      </c>
      <c r="BG21" s="14">
        <f>IF(AJ21&lt;&gt;0,AVERAGE(AJ$11:AJ21)*30,)</f>
        <v>4756.363636363636</v>
      </c>
      <c r="BH21" s="14">
        <f>IF(AN21&lt;&gt;0,AVERAGE(AN$11:AN21)*30,)</f>
        <v>17100</v>
      </c>
      <c r="BI21" s="63">
        <f>AVERAGE(AR$11:AR21)*30</f>
        <v>7592.727272727273</v>
      </c>
      <c r="BK21" s="1">
        <f t="shared" si="5"/>
        <v>310670</v>
      </c>
      <c r="BM21" s="1">
        <v>2679364</v>
      </c>
    </row>
    <row r="22" spans="1:65" ht="15.6" x14ac:dyDescent="0.3">
      <c r="A22" s="49">
        <f t="shared" si="21"/>
        <v>18</v>
      </c>
      <c r="B22" s="50" t="s">
        <v>29</v>
      </c>
      <c r="C22" s="10"/>
      <c r="D22" s="6">
        <v>303673</v>
      </c>
      <c r="E22" s="8">
        <f t="shared" si="0"/>
        <v>219</v>
      </c>
      <c r="F22" s="6">
        <v>6997</v>
      </c>
      <c r="G22" s="8">
        <f t="shared" si="0"/>
        <v>0</v>
      </c>
      <c r="H22" s="6">
        <v>57758</v>
      </c>
      <c r="I22" s="8">
        <f t="shared" si="0"/>
        <v>176</v>
      </c>
      <c r="J22" s="52">
        <v>573774</v>
      </c>
      <c r="K22" s="8">
        <f t="shared" si="19"/>
        <v>170</v>
      </c>
      <c r="L22" s="7"/>
      <c r="M22" s="11" t="e">
        <f t="shared" si="7"/>
        <v>#DIV/0!</v>
      </c>
      <c r="N22" s="6">
        <v>5026</v>
      </c>
      <c r="O22" s="8">
        <f t="shared" si="1"/>
        <v>5</v>
      </c>
      <c r="P22" s="12">
        <v>90015</v>
      </c>
      <c r="Q22" s="8">
        <f t="shared" si="1"/>
        <v>20</v>
      </c>
      <c r="R22" s="12">
        <v>32</v>
      </c>
      <c r="S22" s="8">
        <f t="shared" si="1"/>
        <v>0</v>
      </c>
      <c r="T22" s="12">
        <v>190492</v>
      </c>
      <c r="U22" s="8">
        <f t="shared" si="1"/>
        <v>44</v>
      </c>
      <c r="V22" s="57"/>
      <c r="W22" s="8">
        <f t="shared" si="2"/>
        <v>0</v>
      </c>
      <c r="X22" s="53">
        <v>11626</v>
      </c>
      <c r="Y22" s="64"/>
      <c r="Z22" s="8">
        <f t="shared" si="8"/>
        <v>0</v>
      </c>
      <c r="AA22" s="53">
        <v>1799</v>
      </c>
      <c r="AB22" s="59"/>
      <c r="AC22" s="9">
        <f t="shared" si="9"/>
        <v>0</v>
      </c>
      <c r="AD22" s="53">
        <v>298</v>
      </c>
      <c r="AE22" s="60"/>
      <c r="AF22" s="9">
        <f t="shared" si="10"/>
        <v>0</v>
      </c>
      <c r="AG22" s="53">
        <v>1018</v>
      </c>
      <c r="AH22" s="59"/>
      <c r="AI22" s="8">
        <f t="shared" si="11"/>
        <v>0</v>
      </c>
      <c r="AJ22" s="53">
        <v>120</v>
      </c>
      <c r="AK22" s="56"/>
      <c r="AL22" s="59"/>
      <c r="AM22" s="8">
        <f t="shared" si="3"/>
        <v>0</v>
      </c>
      <c r="AN22" s="53">
        <v>638</v>
      </c>
      <c r="AO22" s="56"/>
      <c r="AP22" s="59"/>
      <c r="AQ22" s="8">
        <f t="shared" si="12"/>
        <v>0</v>
      </c>
      <c r="AR22" s="53">
        <v>264</v>
      </c>
      <c r="AS22" s="59">
        <v>6</v>
      </c>
      <c r="AT22" s="59">
        <v>19</v>
      </c>
      <c r="AU22" s="56"/>
      <c r="AV22" s="55">
        <v>81.86</v>
      </c>
      <c r="AW22" s="12">
        <v>366</v>
      </c>
      <c r="AX22" s="9">
        <f t="shared" si="4"/>
        <v>1</v>
      </c>
      <c r="AY22" s="61">
        <f t="shared" si="20"/>
        <v>18</v>
      </c>
      <c r="AZ22" s="14">
        <f t="shared" si="14"/>
        <v>4628.333333333333</v>
      </c>
      <c r="BA22" s="14">
        <f t="shared" si="15"/>
        <v>11.666666666666666</v>
      </c>
      <c r="BB22" s="14">
        <f t="shared" si="16"/>
        <v>4170</v>
      </c>
      <c r="BC22" s="14">
        <f t="shared" si="17"/>
        <v>128.33333333333334</v>
      </c>
      <c r="BD22" s="15">
        <f t="shared" si="18"/>
        <v>0</v>
      </c>
      <c r="BE22" s="62">
        <f>IF(X22&lt;&gt;0,AVERAGE(X$11:X22)*30,)</f>
        <v>360860</v>
      </c>
      <c r="BF22" s="14">
        <f>IF(AD22+AG22&lt;&gt;0,AVERAGE(AD$11:AD22)*30+AVERAGE(AG$11:AG22)*30,)</f>
        <v>41232.5</v>
      </c>
      <c r="BG22" s="14">
        <f>IF(AJ22&lt;&gt;0,AVERAGE(AJ$11:AJ22)*30,)</f>
        <v>4660</v>
      </c>
      <c r="BH22" s="14">
        <f>IF(AN22&lt;&gt;0,AVERAGE(AN$11:AN22)*30,)</f>
        <v>17270</v>
      </c>
      <c r="BI22" s="63">
        <f>AVERAGE(AR$11:AR22)*30</f>
        <v>7620</v>
      </c>
      <c r="BK22" s="1">
        <f t="shared" si="5"/>
        <v>310845</v>
      </c>
      <c r="BM22" s="1">
        <v>2680222</v>
      </c>
    </row>
    <row r="23" spans="1:65" ht="15.6" x14ac:dyDescent="0.3">
      <c r="A23" s="49">
        <f t="shared" si="21"/>
        <v>19</v>
      </c>
      <c r="B23" s="50" t="s">
        <v>29</v>
      </c>
      <c r="C23" s="10"/>
      <c r="D23" s="6">
        <v>303848</v>
      </c>
      <c r="E23" s="8">
        <f t="shared" si="0"/>
        <v>175</v>
      </c>
      <c r="F23" s="6">
        <v>6997</v>
      </c>
      <c r="G23" s="8">
        <f t="shared" si="0"/>
        <v>0</v>
      </c>
      <c r="H23" s="6">
        <v>57904</v>
      </c>
      <c r="I23" s="8">
        <f t="shared" si="0"/>
        <v>146</v>
      </c>
      <c r="J23" s="52">
        <v>573915</v>
      </c>
      <c r="K23" s="8">
        <f t="shared" si="19"/>
        <v>141</v>
      </c>
      <c r="L23" s="7"/>
      <c r="M23" s="11" t="e">
        <f t="shared" si="7"/>
        <v>#DIV/0!</v>
      </c>
      <c r="N23" s="6">
        <v>5031</v>
      </c>
      <c r="O23" s="8">
        <f t="shared" si="1"/>
        <v>5</v>
      </c>
      <c r="P23" s="12">
        <v>90031</v>
      </c>
      <c r="Q23" s="8">
        <f t="shared" si="1"/>
        <v>16</v>
      </c>
      <c r="R23" s="12">
        <v>32</v>
      </c>
      <c r="S23" s="8">
        <f t="shared" si="1"/>
        <v>0</v>
      </c>
      <c r="T23" s="12">
        <v>190527</v>
      </c>
      <c r="U23" s="8">
        <f t="shared" si="1"/>
        <v>35</v>
      </c>
      <c r="V23" s="57"/>
      <c r="W23" s="8">
        <f t="shared" si="2"/>
        <v>0</v>
      </c>
      <c r="X23" s="53">
        <v>12047</v>
      </c>
      <c r="Y23" s="64"/>
      <c r="Z23" s="8">
        <f t="shared" si="8"/>
        <v>0</v>
      </c>
      <c r="AA23" s="53">
        <v>1802</v>
      </c>
      <c r="AB23" s="59"/>
      <c r="AC23" s="9">
        <f t="shared" si="9"/>
        <v>0</v>
      </c>
      <c r="AD23" s="53">
        <v>320</v>
      </c>
      <c r="AE23" s="60"/>
      <c r="AF23" s="9">
        <f t="shared" si="10"/>
        <v>0</v>
      </c>
      <c r="AG23" s="53">
        <v>1088</v>
      </c>
      <c r="AH23" s="59"/>
      <c r="AI23" s="8">
        <f t="shared" si="11"/>
        <v>0</v>
      </c>
      <c r="AJ23" s="53">
        <v>128</v>
      </c>
      <c r="AK23" s="56"/>
      <c r="AL23" s="59"/>
      <c r="AM23" s="8">
        <f t="shared" si="3"/>
        <v>0</v>
      </c>
      <c r="AN23" s="53">
        <v>636</v>
      </c>
      <c r="AO23" s="56"/>
      <c r="AP23" s="59"/>
      <c r="AQ23" s="8">
        <f t="shared" si="12"/>
        <v>0</v>
      </c>
      <c r="AR23" s="53">
        <v>240</v>
      </c>
      <c r="AS23" s="59">
        <v>7</v>
      </c>
      <c r="AT23" s="59">
        <v>22</v>
      </c>
      <c r="AU23" s="56"/>
      <c r="AV23" s="55">
        <v>83.156000000000006</v>
      </c>
      <c r="AW23" s="12">
        <v>367</v>
      </c>
      <c r="AX23" s="9">
        <f t="shared" si="4"/>
        <v>1</v>
      </c>
      <c r="AY23" s="61">
        <f t="shared" si="20"/>
        <v>19</v>
      </c>
      <c r="AZ23" s="14">
        <f t="shared" si="14"/>
        <v>4661.0526315789475</v>
      </c>
      <c r="BA23" s="14">
        <f t="shared" si="15"/>
        <v>11.052631578947368</v>
      </c>
      <c r="BB23" s="14">
        <f t="shared" si="16"/>
        <v>4181.0526315789475</v>
      </c>
      <c r="BC23" s="14">
        <f t="shared" si="17"/>
        <v>129.47368421052633</v>
      </c>
      <c r="BD23" s="15">
        <f t="shared" si="18"/>
        <v>0</v>
      </c>
      <c r="BE23" s="62">
        <f>IF(X23&lt;&gt;0,AVERAGE(X$11:X23)*30,)</f>
        <v>360902.30769230769</v>
      </c>
      <c r="BF23" s="14">
        <f>IF(AD23+AG23&lt;&gt;0,AVERAGE(AD$11:AD23)*30+AVERAGE(AG$11:AG23)*30,)</f>
        <v>41310</v>
      </c>
      <c r="BG23" s="14">
        <f>IF(AJ23&lt;&gt;0,AVERAGE(AJ$11:AJ23)*30,)</f>
        <v>4596.9230769230771</v>
      </c>
      <c r="BH23" s="14">
        <f>IF(AN23&lt;&gt;0,AVERAGE(AN$11:AN23)*30,)</f>
        <v>17409.23076923077</v>
      </c>
      <c r="BI23" s="63">
        <f>AVERAGE(AR$11:AR23)*30</f>
        <v>7587.6923076923076</v>
      </c>
      <c r="BK23" s="1">
        <f t="shared" si="5"/>
        <v>311064</v>
      </c>
      <c r="BM23" s="1">
        <v>2681127</v>
      </c>
    </row>
    <row r="24" spans="1:65" ht="15.6" x14ac:dyDescent="0.3">
      <c r="A24" s="49">
        <f t="shared" si="21"/>
        <v>20</v>
      </c>
      <c r="B24" s="50" t="s">
        <v>29</v>
      </c>
      <c r="C24" s="10"/>
      <c r="D24" s="6">
        <v>304066</v>
      </c>
      <c r="E24" s="8">
        <f t="shared" si="0"/>
        <v>218</v>
      </c>
      <c r="F24" s="6">
        <v>6998</v>
      </c>
      <c r="G24" s="8">
        <f t="shared" si="0"/>
        <v>1</v>
      </c>
      <c r="H24" s="6">
        <v>58177</v>
      </c>
      <c r="I24" s="8">
        <f t="shared" si="0"/>
        <v>273</v>
      </c>
      <c r="J24" s="52">
        <v>574180</v>
      </c>
      <c r="K24" s="8">
        <f t="shared" si="19"/>
        <v>265</v>
      </c>
      <c r="L24" s="7"/>
      <c r="M24" s="11" t="e">
        <f t="shared" si="7"/>
        <v>#DIV/0!</v>
      </c>
      <c r="N24" s="6">
        <v>5098</v>
      </c>
      <c r="O24" s="8">
        <f t="shared" si="1"/>
        <v>67</v>
      </c>
      <c r="P24" s="12">
        <v>90053</v>
      </c>
      <c r="Q24" s="8">
        <f t="shared" si="1"/>
        <v>22</v>
      </c>
      <c r="R24" s="12">
        <v>32</v>
      </c>
      <c r="S24" s="8">
        <f t="shared" si="1"/>
        <v>0</v>
      </c>
      <c r="T24" s="12">
        <v>190574</v>
      </c>
      <c r="U24" s="8">
        <f t="shared" si="1"/>
        <v>47</v>
      </c>
      <c r="V24" s="57">
        <v>4214</v>
      </c>
      <c r="W24" s="8">
        <f t="shared" si="2"/>
        <v>9270800</v>
      </c>
      <c r="X24" s="53">
        <v>11761</v>
      </c>
      <c r="Y24" s="64">
        <v>824.3</v>
      </c>
      <c r="Z24" s="8">
        <f t="shared" si="8"/>
        <v>1813460</v>
      </c>
      <c r="AA24" s="53">
        <v>1534</v>
      </c>
      <c r="AB24" s="59">
        <v>1712522</v>
      </c>
      <c r="AC24" s="9">
        <f t="shared" si="9"/>
        <v>1712522</v>
      </c>
      <c r="AD24" s="53">
        <v>309</v>
      </c>
      <c r="AE24" s="60"/>
      <c r="AF24" s="9">
        <f t="shared" si="10"/>
        <v>0</v>
      </c>
      <c r="AG24" s="53">
        <v>1062</v>
      </c>
      <c r="AH24" s="59"/>
      <c r="AI24" s="8">
        <f t="shared" si="11"/>
        <v>0</v>
      </c>
      <c r="AJ24" s="53">
        <v>176</v>
      </c>
      <c r="AK24" s="56"/>
      <c r="AL24" s="59"/>
      <c r="AM24" s="8">
        <f t="shared" si="3"/>
        <v>0</v>
      </c>
      <c r="AN24" s="53">
        <v>655</v>
      </c>
      <c r="AO24" s="56"/>
      <c r="AP24" s="59"/>
      <c r="AQ24" s="8">
        <f t="shared" si="12"/>
        <v>0</v>
      </c>
      <c r="AR24" s="53">
        <v>184</v>
      </c>
      <c r="AS24" s="59">
        <v>5</v>
      </c>
      <c r="AT24" s="59">
        <v>17</v>
      </c>
      <c r="AU24" s="56"/>
      <c r="AV24" s="55">
        <v>85.012</v>
      </c>
      <c r="AW24" s="12">
        <v>370</v>
      </c>
      <c r="AX24" s="9">
        <f t="shared" si="4"/>
        <v>3</v>
      </c>
      <c r="AY24" s="61">
        <f t="shared" si="20"/>
        <v>20</v>
      </c>
      <c r="AZ24" s="14">
        <f t="shared" si="14"/>
        <v>4755</v>
      </c>
      <c r="BA24" s="14">
        <f t="shared" si="15"/>
        <v>12</v>
      </c>
      <c r="BB24" s="14">
        <f t="shared" si="16"/>
        <v>4381.5</v>
      </c>
      <c r="BC24" s="14">
        <f t="shared" si="17"/>
        <v>223.5</v>
      </c>
      <c r="BD24" s="15">
        <f t="shared" si="18"/>
        <v>13906200</v>
      </c>
      <c r="BE24" s="62">
        <f>IF(X24&lt;&gt;0,AVERAGE(X$11:X24)*30,)</f>
        <v>360325.71428571432</v>
      </c>
      <c r="BF24" s="14">
        <f>IF(AD24+AG24&lt;&gt;0,AVERAGE(AD$11:AD24)*30+AVERAGE(AG$11:AG24)*30,)</f>
        <v>41297.142857142855</v>
      </c>
      <c r="BG24" s="14">
        <f>IF(AJ24&lt;&gt;0,AVERAGE(AJ$11:AJ24)*30,)</f>
        <v>4645.7142857142862</v>
      </c>
      <c r="BH24" s="14">
        <f>IF(AN24&lt;&gt;0,AVERAGE(AN$11:AN24)*30,)</f>
        <v>17569.285714285714</v>
      </c>
      <c r="BI24" s="63">
        <f>AVERAGE(AR$11:AR24)*30</f>
        <v>7440</v>
      </c>
      <c r="BK24" s="1">
        <f t="shared" si="5"/>
        <v>311303</v>
      </c>
      <c r="BM24" s="1">
        <v>2681893</v>
      </c>
    </row>
    <row r="25" spans="1:65" ht="15.6" x14ac:dyDescent="0.3">
      <c r="A25" s="49">
        <f t="shared" si="21"/>
        <v>21</v>
      </c>
      <c r="B25" s="50" t="s">
        <v>29</v>
      </c>
      <c r="C25" s="10"/>
      <c r="D25" s="6">
        <v>304304</v>
      </c>
      <c r="E25" s="8">
        <f t="shared" si="0"/>
        <v>238</v>
      </c>
      <c r="F25" s="6">
        <v>6999</v>
      </c>
      <c r="G25" s="8">
        <f t="shared" si="0"/>
        <v>1</v>
      </c>
      <c r="H25" s="6">
        <v>58385</v>
      </c>
      <c r="I25" s="8">
        <f t="shared" si="0"/>
        <v>208</v>
      </c>
      <c r="J25" s="52">
        <v>574381</v>
      </c>
      <c r="K25" s="8">
        <f t="shared" si="19"/>
        <v>201</v>
      </c>
      <c r="L25" s="7"/>
      <c r="M25" s="11" t="e">
        <f t="shared" si="7"/>
        <v>#DIV/0!</v>
      </c>
      <c r="N25" s="6">
        <v>5136</v>
      </c>
      <c r="O25" s="8">
        <f t="shared" si="1"/>
        <v>38</v>
      </c>
      <c r="P25" s="12">
        <v>90070</v>
      </c>
      <c r="Q25" s="8">
        <f t="shared" si="1"/>
        <v>17</v>
      </c>
      <c r="R25" s="12">
        <v>32</v>
      </c>
      <c r="S25" s="8">
        <f t="shared" si="1"/>
        <v>0</v>
      </c>
      <c r="T25" s="12">
        <v>190612</v>
      </c>
      <c r="U25" s="8">
        <f t="shared" si="1"/>
        <v>38</v>
      </c>
      <c r="V25" s="57"/>
      <c r="W25" s="8">
        <f t="shared" si="2"/>
        <v>0</v>
      </c>
      <c r="X25" s="53">
        <v>12004</v>
      </c>
      <c r="Y25" s="64"/>
      <c r="Z25" s="8">
        <f t="shared" si="8"/>
        <v>0</v>
      </c>
      <c r="AA25" s="53">
        <v>2156</v>
      </c>
      <c r="AB25" s="59"/>
      <c r="AC25" s="9">
        <f t="shared" si="9"/>
        <v>0</v>
      </c>
      <c r="AD25" s="53">
        <v>310</v>
      </c>
      <c r="AE25" s="60"/>
      <c r="AF25" s="9">
        <f t="shared" si="10"/>
        <v>0</v>
      </c>
      <c r="AG25" s="53">
        <v>1160</v>
      </c>
      <c r="AH25" s="59"/>
      <c r="AI25" s="8">
        <f t="shared" si="11"/>
        <v>0</v>
      </c>
      <c r="AJ25" s="53">
        <v>208</v>
      </c>
      <c r="AK25" s="56"/>
      <c r="AL25" s="59"/>
      <c r="AM25" s="8">
        <f t="shared" si="3"/>
        <v>0</v>
      </c>
      <c r="AN25" s="53">
        <v>655</v>
      </c>
      <c r="AO25" s="56"/>
      <c r="AP25" s="59"/>
      <c r="AQ25" s="8">
        <f t="shared" si="12"/>
        <v>0</v>
      </c>
      <c r="AR25" s="53">
        <v>248</v>
      </c>
      <c r="AS25" s="59">
        <v>9</v>
      </c>
      <c r="AT25" s="59">
        <v>18</v>
      </c>
      <c r="AU25" s="56"/>
      <c r="AV25" s="55">
        <v>86.668999999999997</v>
      </c>
      <c r="AW25" s="12">
        <v>371</v>
      </c>
      <c r="AX25" s="9">
        <f t="shared" si="4"/>
        <v>1</v>
      </c>
      <c r="AY25" s="61">
        <f t="shared" si="20"/>
        <v>21</v>
      </c>
      <c r="AZ25" s="14">
        <f t="shared" si="14"/>
        <v>4868.5714285714284</v>
      </c>
      <c r="BA25" s="14">
        <f t="shared" si="15"/>
        <v>12.857142857142856</v>
      </c>
      <c r="BB25" s="14">
        <f t="shared" si="16"/>
        <v>4470</v>
      </c>
      <c r="BC25" s="14">
        <f t="shared" si="17"/>
        <v>267.14285714285717</v>
      </c>
      <c r="BD25" s="15">
        <f t="shared" si="18"/>
        <v>0</v>
      </c>
      <c r="BE25" s="62">
        <f>IF(X25&lt;&gt;0,AVERAGE(X$11:X25)*30,)</f>
        <v>360312</v>
      </c>
      <c r="BF25" s="14">
        <f>IF(AD25+AG25&lt;&gt;0,AVERAGE(AD$11:AD25)*30+AVERAGE(AG$11:AG25)*30,)</f>
        <v>41484</v>
      </c>
      <c r="BG25" s="14">
        <f>IF(AJ25&lt;&gt;0,AVERAGE(AJ$11:AJ25)*30,)</f>
        <v>4752</v>
      </c>
      <c r="BH25" s="14">
        <f>IF(AN25&lt;&gt;0,AVERAGE(AN$11:AN25)*30,)</f>
        <v>17708</v>
      </c>
      <c r="BI25" s="63">
        <f>AVERAGE(AR$11:AR25)*30</f>
        <v>7440</v>
      </c>
      <c r="BK25" s="1">
        <f t="shared" si="5"/>
        <v>311555</v>
      </c>
      <c r="BM25" s="1">
        <v>2682517</v>
      </c>
    </row>
    <row r="26" spans="1:65" ht="15.6" x14ac:dyDescent="0.3">
      <c r="A26" s="49">
        <f t="shared" si="21"/>
        <v>22</v>
      </c>
      <c r="B26" s="50" t="s">
        <v>29</v>
      </c>
      <c r="C26" s="10"/>
      <c r="D26" s="6">
        <v>304554</v>
      </c>
      <c r="E26" s="8">
        <f t="shared" si="0"/>
        <v>250</v>
      </c>
      <c r="F26" s="6">
        <v>7001</v>
      </c>
      <c r="G26" s="8">
        <f t="shared" si="0"/>
        <v>2</v>
      </c>
      <c r="H26" s="6">
        <v>58620</v>
      </c>
      <c r="I26" s="8">
        <f t="shared" si="0"/>
        <v>235</v>
      </c>
      <c r="J26" s="52">
        <v>574608</v>
      </c>
      <c r="K26" s="8">
        <f t="shared" si="19"/>
        <v>227</v>
      </c>
      <c r="L26" s="7"/>
      <c r="M26" s="11" t="e">
        <f t="shared" si="7"/>
        <v>#DIV/0!</v>
      </c>
      <c r="N26" s="6">
        <v>5154</v>
      </c>
      <c r="O26" s="8">
        <f t="shared" si="1"/>
        <v>18</v>
      </c>
      <c r="P26" s="12">
        <v>90143</v>
      </c>
      <c r="Q26" s="8">
        <f t="shared" si="1"/>
        <v>73</v>
      </c>
      <c r="R26" s="12">
        <v>32</v>
      </c>
      <c r="S26" s="8">
        <f t="shared" si="1"/>
        <v>0</v>
      </c>
      <c r="T26" s="12">
        <v>190714</v>
      </c>
      <c r="U26" s="8">
        <f t="shared" si="1"/>
        <v>102</v>
      </c>
      <c r="V26" s="57"/>
      <c r="W26" s="8">
        <f t="shared" si="2"/>
        <v>0</v>
      </c>
      <c r="X26" s="53">
        <v>11935</v>
      </c>
      <c r="Y26" s="64"/>
      <c r="Z26" s="8">
        <f t="shared" si="8"/>
        <v>0</v>
      </c>
      <c r="AA26" s="53">
        <v>1978</v>
      </c>
      <c r="AB26" s="59"/>
      <c r="AC26" s="9">
        <f t="shared" si="9"/>
        <v>0</v>
      </c>
      <c r="AD26" s="53">
        <v>289</v>
      </c>
      <c r="AE26" s="60"/>
      <c r="AF26" s="9">
        <f t="shared" si="10"/>
        <v>0</v>
      </c>
      <c r="AG26" s="53">
        <v>1116</v>
      </c>
      <c r="AH26" s="59"/>
      <c r="AI26" s="8">
        <f t="shared" si="11"/>
        <v>0</v>
      </c>
      <c r="AJ26" s="53">
        <v>208</v>
      </c>
      <c r="AK26" s="56"/>
      <c r="AL26" s="59"/>
      <c r="AM26" s="8">
        <f t="shared" si="3"/>
        <v>0</v>
      </c>
      <c r="AN26" s="53">
        <v>569</v>
      </c>
      <c r="AO26" s="56"/>
      <c r="AP26" s="59"/>
      <c r="AQ26" s="8">
        <f t="shared" si="12"/>
        <v>0</v>
      </c>
      <c r="AR26" s="53">
        <v>264</v>
      </c>
      <c r="AS26" s="59">
        <v>8</v>
      </c>
      <c r="AT26" s="59">
        <v>17</v>
      </c>
      <c r="AU26" s="56"/>
      <c r="AV26" s="55">
        <v>88.212999999999994</v>
      </c>
      <c r="AW26" s="12">
        <v>372</v>
      </c>
      <c r="AX26" s="9">
        <f t="shared" si="4"/>
        <v>1</v>
      </c>
      <c r="AY26" s="61">
        <f t="shared" si="20"/>
        <v>22</v>
      </c>
      <c r="AZ26" s="14">
        <f t="shared" si="14"/>
        <v>4988.181818181818</v>
      </c>
      <c r="BA26" s="14">
        <f t="shared" si="15"/>
        <v>15</v>
      </c>
      <c r="BB26" s="14">
        <f t="shared" si="16"/>
        <v>4587.272727272727</v>
      </c>
      <c r="BC26" s="14">
        <f t="shared" si="17"/>
        <v>279.54545454545456</v>
      </c>
      <c r="BD26" s="15">
        <f t="shared" si="18"/>
        <v>0</v>
      </c>
      <c r="BE26" s="62">
        <f>IF(X26&lt;&gt;0,AVERAGE(X$11:X26)*30,)</f>
        <v>360170.625</v>
      </c>
      <c r="BF26" s="14">
        <f>IF(AD26+AG26&lt;&gt;0,AVERAGE(AD$11:AD26)*30+AVERAGE(AG$11:AG26)*30,)</f>
        <v>41525.625</v>
      </c>
      <c r="BG26" s="14">
        <f>IF(AJ26&lt;&gt;0,AVERAGE(AJ$11:AJ26)*30,)</f>
        <v>4845</v>
      </c>
      <c r="BH26" s="14">
        <f>IF(AN26&lt;&gt;0,AVERAGE(AN$11:AN26)*30,)</f>
        <v>17668.125</v>
      </c>
      <c r="BI26" s="63">
        <f>AVERAGE(AR$11:AR26)*30</f>
        <v>7470</v>
      </c>
      <c r="BK26" s="1">
        <f t="shared" si="5"/>
        <v>311912</v>
      </c>
      <c r="BM26" s="1">
        <v>2683003</v>
      </c>
    </row>
    <row r="27" spans="1:65" ht="15.6" x14ac:dyDescent="0.3">
      <c r="A27" s="49">
        <f t="shared" si="21"/>
        <v>23</v>
      </c>
      <c r="B27" s="50" t="s">
        <v>29</v>
      </c>
      <c r="C27" s="10"/>
      <c r="D27" s="6">
        <v>304911</v>
      </c>
      <c r="E27" s="8">
        <f t="shared" si="0"/>
        <v>357</v>
      </c>
      <c r="F27" s="6">
        <v>7001</v>
      </c>
      <c r="G27" s="8">
        <f t="shared" si="0"/>
        <v>0</v>
      </c>
      <c r="H27" s="6">
        <v>58933</v>
      </c>
      <c r="I27" s="8">
        <f t="shared" si="0"/>
        <v>313</v>
      </c>
      <c r="J27" s="52">
        <v>574911</v>
      </c>
      <c r="K27" s="8">
        <f t="shared" si="19"/>
        <v>303</v>
      </c>
      <c r="L27" s="7"/>
      <c r="M27" s="11" t="e">
        <f t="shared" si="7"/>
        <v>#DIV/0!</v>
      </c>
      <c r="N27" s="6">
        <v>5180</v>
      </c>
      <c r="O27" s="8">
        <f t="shared" si="1"/>
        <v>26</v>
      </c>
      <c r="P27" s="12">
        <v>90244</v>
      </c>
      <c r="Q27" s="8">
        <f t="shared" si="1"/>
        <v>101</v>
      </c>
      <c r="R27" s="12">
        <v>32</v>
      </c>
      <c r="S27" s="8">
        <f t="shared" si="1"/>
        <v>0</v>
      </c>
      <c r="T27" s="12">
        <v>190846</v>
      </c>
      <c r="U27" s="8">
        <f t="shared" si="1"/>
        <v>132</v>
      </c>
      <c r="V27" s="57"/>
      <c r="W27" s="8">
        <f t="shared" si="2"/>
        <v>0</v>
      </c>
      <c r="X27" s="53">
        <v>11315</v>
      </c>
      <c r="Y27" s="64"/>
      <c r="Z27" s="8">
        <f t="shared" si="8"/>
        <v>0</v>
      </c>
      <c r="AA27" s="53">
        <v>1859</v>
      </c>
      <c r="AB27" s="59"/>
      <c r="AC27" s="9">
        <f t="shared" si="9"/>
        <v>0</v>
      </c>
      <c r="AD27" s="53">
        <v>292</v>
      </c>
      <c r="AE27" s="60"/>
      <c r="AF27" s="9">
        <f t="shared" si="10"/>
        <v>0</v>
      </c>
      <c r="AG27" s="53">
        <v>1074</v>
      </c>
      <c r="AH27" s="59"/>
      <c r="AI27" s="8">
        <f t="shared" si="11"/>
        <v>0</v>
      </c>
      <c r="AJ27" s="53">
        <v>160</v>
      </c>
      <c r="AK27" s="56"/>
      <c r="AL27" s="59"/>
      <c r="AM27" s="8">
        <f t="shared" si="3"/>
        <v>0</v>
      </c>
      <c r="AN27" s="53">
        <v>615</v>
      </c>
      <c r="AO27" s="56"/>
      <c r="AP27" s="59"/>
      <c r="AQ27" s="8">
        <f t="shared" si="12"/>
        <v>0</v>
      </c>
      <c r="AR27" s="53">
        <v>264</v>
      </c>
      <c r="AS27" s="59">
        <v>12</v>
      </c>
      <c r="AT27" s="59">
        <v>17</v>
      </c>
      <c r="AU27" s="56"/>
      <c r="AV27" s="55">
        <v>90.001000000000005</v>
      </c>
      <c r="AW27" s="12">
        <v>373</v>
      </c>
      <c r="AX27" s="9">
        <f t="shared" si="4"/>
        <v>1</v>
      </c>
      <c r="AY27" s="61">
        <f t="shared" si="20"/>
        <v>23</v>
      </c>
      <c r="AZ27" s="14">
        <f t="shared" si="14"/>
        <v>5236.95652173913</v>
      </c>
      <c r="BA27" s="14">
        <f t="shared" si="15"/>
        <v>14.347826086956522</v>
      </c>
      <c r="BB27" s="14">
        <f t="shared" si="16"/>
        <v>4796.086956521739</v>
      </c>
      <c r="BC27" s="14">
        <f t="shared" si="17"/>
        <v>301.30434782608694</v>
      </c>
      <c r="BD27" s="15">
        <f t="shared" si="18"/>
        <v>0</v>
      </c>
      <c r="BE27" s="62">
        <f>IF(X27&lt;&gt;0,AVERAGE(X$11:X27)*30,)</f>
        <v>358951.76470588241</v>
      </c>
      <c r="BF27" s="14">
        <f>IF(AD27+AG27&lt;&gt;0,AVERAGE(AD$11:AD27)*30+AVERAGE(AG$11:AG27)*30,)</f>
        <v>41493.529411764699</v>
      </c>
      <c r="BG27" s="14">
        <f>IF(AJ27&lt;&gt;0,AVERAGE(AJ$11:AJ27)*30,)</f>
        <v>4842.3529411764703</v>
      </c>
      <c r="BH27" s="14">
        <f>IF(AN27&lt;&gt;0,AVERAGE(AN$11:AN27)*30,)</f>
        <v>17714.117647058825</v>
      </c>
      <c r="BI27" s="63">
        <f>AVERAGE(AR$11:AR27)*30</f>
        <v>7496.4705882352937</v>
      </c>
      <c r="BK27" s="1">
        <f t="shared" si="5"/>
        <v>312152</v>
      </c>
      <c r="BM27" s="1">
        <v>2683612</v>
      </c>
    </row>
    <row r="28" spans="1:65" ht="15.6" x14ac:dyDescent="0.3">
      <c r="A28" s="49">
        <f t="shared" si="21"/>
        <v>24</v>
      </c>
      <c r="B28" s="50" t="s">
        <v>29</v>
      </c>
      <c r="C28" s="10"/>
      <c r="D28" s="6">
        <v>305151</v>
      </c>
      <c r="E28" s="8">
        <f t="shared" si="0"/>
        <v>240</v>
      </c>
      <c r="F28" s="6">
        <v>7001</v>
      </c>
      <c r="G28" s="8">
        <f t="shared" si="0"/>
        <v>0</v>
      </c>
      <c r="H28" s="6">
        <v>59158</v>
      </c>
      <c r="I28" s="8">
        <f t="shared" si="0"/>
        <v>225</v>
      </c>
      <c r="J28" s="52">
        <v>575129</v>
      </c>
      <c r="K28" s="8">
        <f t="shared" si="19"/>
        <v>218</v>
      </c>
      <c r="L28" s="7"/>
      <c r="M28" s="11" t="e">
        <f t="shared" si="7"/>
        <v>#DIV/0!</v>
      </c>
      <c r="N28" s="6">
        <v>5190</v>
      </c>
      <c r="O28" s="8">
        <f t="shared" si="1"/>
        <v>10</v>
      </c>
      <c r="P28" s="12">
        <v>90327</v>
      </c>
      <c r="Q28" s="8">
        <f t="shared" si="1"/>
        <v>83</v>
      </c>
      <c r="R28" s="12">
        <v>32</v>
      </c>
      <c r="S28" s="8">
        <f t="shared" si="1"/>
        <v>0</v>
      </c>
      <c r="T28" s="12">
        <v>190957</v>
      </c>
      <c r="U28" s="8">
        <f t="shared" si="1"/>
        <v>111</v>
      </c>
      <c r="V28" s="57"/>
      <c r="W28" s="8">
        <f t="shared" si="2"/>
        <v>0</v>
      </c>
      <c r="X28" s="53">
        <v>11282</v>
      </c>
      <c r="Y28" s="64"/>
      <c r="Z28" s="8">
        <f t="shared" si="8"/>
        <v>0</v>
      </c>
      <c r="AA28" s="53">
        <v>1962</v>
      </c>
      <c r="AB28" s="59"/>
      <c r="AC28" s="9">
        <f t="shared" si="9"/>
        <v>0</v>
      </c>
      <c r="AD28" s="53">
        <v>285</v>
      </c>
      <c r="AE28" s="60"/>
      <c r="AF28" s="9">
        <f t="shared" si="10"/>
        <v>0</v>
      </c>
      <c r="AG28" s="53">
        <v>1050</v>
      </c>
      <c r="AH28" s="59"/>
      <c r="AI28" s="8">
        <f t="shared" si="11"/>
        <v>0</v>
      </c>
      <c r="AJ28" s="53">
        <v>144</v>
      </c>
      <c r="AK28" s="56"/>
      <c r="AL28" s="59"/>
      <c r="AM28" s="8">
        <f t="shared" si="3"/>
        <v>0</v>
      </c>
      <c r="AN28" s="53">
        <v>655</v>
      </c>
      <c r="AO28" s="56"/>
      <c r="AP28" s="59"/>
      <c r="AQ28" s="8">
        <f t="shared" si="12"/>
        <v>0</v>
      </c>
      <c r="AR28" s="53">
        <v>232</v>
      </c>
      <c r="AS28" s="59">
        <v>10</v>
      </c>
      <c r="AT28" s="59">
        <v>16</v>
      </c>
      <c r="AU28" s="56"/>
      <c r="AV28" s="55">
        <v>91.6</v>
      </c>
      <c r="AW28" s="12">
        <v>373</v>
      </c>
      <c r="AX28" s="9">
        <f t="shared" si="4"/>
        <v>0</v>
      </c>
      <c r="AY28" s="61">
        <f t="shared" si="20"/>
        <v>24</v>
      </c>
      <c r="AZ28" s="14">
        <f t="shared" si="14"/>
        <v>5318.75</v>
      </c>
      <c r="BA28" s="14">
        <f t="shared" si="15"/>
        <v>13.75</v>
      </c>
      <c r="BB28" s="14">
        <f t="shared" si="16"/>
        <v>4877.5</v>
      </c>
      <c r="BC28" s="14">
        <f t="shared" si="17"/>
        <v>301.25</v>
      </c>
      <c r="BD28" s="15">
        <f t="shared" si="18"/>
        <v>0</v>
      </c>
      <c r="BE28" s="62">
        <f>IF(X28&lt;&gt;0,AVERAGE(X$11:X28)*30,)</f>
        <v>357813.33333333331</v>
      </c>
      <c r="BF28" s="14">
        <f>IF(AD28+AG28&lt;&gt;0,AVERAGE(AD$11:AD28)*30+AVERAGE(AG$11:AG28)*30,)</f>
        <v>41413.333333333328</v>
      </c>
      <c r="BG28" s="14">
        <f>IF(AJ28&lt;&gt;0,AVERAGE(AJ$11:AJ28)*30,)</f>
        <v>4813.3333333333339</v>
      </c>
      <c r="BH28" s="14">
        <f>IF(AN28&lt;&gt;0,AVERAGE(AN$11:AN28)*30,)</f>
        <v>17821.666666666668</v>
      </c>
      <c r="BI28" s="63">
        <f>AVERAGE(AR$11:AR28)*30</f>
        <v>7466.666666666667</v>
      </c>
      <c r="BK28" s="1">
        <f t="shared" si="5"/>
        <v>312545</v>
      </c>
      <c r="BM28" s="1">
        <v>2684173</v>
      </c>
    </row>
    <row r="29" spans="1:65" ht="15.6" x14ac:dyDescent="0.3">
      <c r="A29" s="49">
        <f t="shared" si="21"/>
        <v>25</v>
      </c>
      <c r="B29" s="50" t="s">
        <v>29</v>
      </c>
      <c r="C29" s="10"/>
      <c r="D29" s="6">
        <v>305544</v>
      </c>
      <c r="E29" s="8">
        <f t="shared" si="0"/>
        <v>393</v>
      </c>
      <c r="F29" s="6">
        <v>7001</v>
      </c>
      <c r="G29" s="8">
        <f t="shared" si="0"/>
        <v>0</v>
      </c>
      <c r="H29" s="6">
        <v>59434</v>
      </c>
      <c r="I29" s="8">
        <f t="shared" si="0"/>
        <v>276</v>
      </c>
      <c r="J29" s="52">
        <v>575396</v>
      </c>
      <c r="K29" s="8">
        <f t="shared" si="19"/>
        <v>267</v>
      </c>
      <c r="L29" s="7"/>
      <c r="M29" s="11" t="e">
        <f t="shared" si="7"/>
        <v>#DIV/0!</v>
      </c>
      <c r="N29" s="6">
        <v>5228</v>
      </c>
      <c r="O29" s="8">
        <f t="shared" si="1"/>
        <v>38</v>
      </c>
      <c r="P29" s="12">
        <v>90414</v>
      </c>
      <c r="Q29" s="8">
        <f t="shared" si="1"/>
        <v>87</v>
      </c>
      <c r="R29" s="12">
        <v>32</v>
      </c>
      <c r="S29" s="8">
        <f t="shared" si="1"/>
        <v>0</v>
      </c>
      <c r="T29" s="12">
        <v>191072</v>
      </c>
      <c r="U29" s="8">
        <f t="shared" si="1"/>
        <v>115</v>
      </c>
      <c r="V29" s="57"/>
      <c r="W29" s="8">
        <f t="shared" si="2"/>
        <v>0</v>
      </c>
      <c r="X29" s="53">
        <v>11071</v>
      </c>
      <c r="Y29" s="64"/>
      <c r="Z29" s="8">
        <f t="shared" si="8"/>
        <v>0</v>
      </c>
      <c r="AA29" s="53">
        <v>2210</v>
      </c>
      <c r="AB29" s="59"/>
      <c r="AC29" s="9">
        <f t="shared" si="9"/>
        <v>0</v>
      </c>
      <c r="AD29" s="53">
        <v>299</v>
      </c>
      <c r="AE29" s="60"/>
      <c r="AF29" s="9">
        <f t="shared" si="10"/>
        <v>0</v>
      </c>
      <c r="AG29" s="53">
        <v>963</v>
      </c>
      <c r="AH29" s="59"/>
      <c r="AI29" s="8">
        <f t="shared" si="11"/>
        <v>0</v>
      </c>
      <c r="AJ29" s="53">
        <v>120</v>
      </c>
      <c r="AK29" s="56"/>
      <c r="AL29" s="59"/>
      <c r="AM29" s="8">
        <f t="shared" si="3"/>
        <v>0</v>
      </c>
      <c r="AN29" s="53">
        <v>542</v>
      </c>
      <c r="AO29" s="56"/>
      <c r="AP29" s="59"/>
      <c r="AQ29" s="8">
        <f t="shared" si="12"/>
        <v>0</v>
      </c>
      <c r="AR29" s="53">
        <v>168</v>
      </c>
      <c r="AS29" s="59">
        <v>9</v>
      </c>
      <c r="AT29" s="59">
        <v>21</v>
      </c>
      <c r="AU29" s="56"/>
      <c r="AV29" s="55">
        <v>92.86</v>
      </c>
      <c r="AW29" s="12">
        <v>373</v>
      </c>
      <c r="AX29" s="9">
        <f t="shared" si="4"/>
        <v>0</v>
      </c>
      <c r="AY29" s="61">
        <f t="shared" si="20"/>
        <v>25</v>
      </c>
      <c r="AZ29" s="14">
        <f t="shared" si="14"/>
        <v>5577.5999999999995</v>
      </c>
      <c r="BA29" s="14">
        <f t="shared" si="15"/>
        <v>13.2</v>
      </c>
      <c r="BB29" s="14">
        <f t="shared" si="16"/>
        <v>5013.6000000000004</v>
      </c>
      <c r="BC29" s="14">
        <f t="shared" si="17"/>
        <v>334.8</v>
      </c>
      <c r="BD29" s="15">
        <f t="shared" si="18"/>
        <v>0</v>
      </c>
      <c r="BE29" s="62">
        <f>IF(X29&lt;&gt;0,AVERAGE(X$11:X29)*30,)</f>
        <v>356461.57894736843</v>
      </c>
      <c r="BF29" s="14">
        <f>IF(AD29+AG29&lt;&gt;0,AVERAGE(AD$11:AD29)*30+AVERAGE(AG$11:AG29)*30,)</f>
        <v>41226.31578947368</v>
      </c>
      <c r="BG29" s="14">
        <f>IF(AJ29&lt;&gt;0,AVERAGE(AJ$11:AJ29)*30,)</f>
        <v>4749.4736842105267</v>
      </c>
      <c r="BH29" s="14">
        <f>IF(AN29&lt;&gt;0,AVERAGE(AN$11:AN29)*30,)</f>
        <v>17739.473684210527</v>
      </c>
      <c r="BI29" s="63">
        <f>AVERAGE(AR$11:AR29)*30</f>
        <v>7338.9473684210525</v>
      </c>
      <c r="BK29" s="1">
        <f t="shared" si="5"/>
        <v>312939</v>
      </c>
      <c r="BM29" s="1">
        <v>2684904</v>
      </c>
    </row>
    <row r="30" spans="1:65" ht="15.6" x14ac:dyDescent="0.3">
      <c r="A30" s="49">
        <f t="shared" si="21"/>
        <v>26</v>
      </c>
      <c r="B30" s="50" t="s">
        <v>29</v>
      </c>
      <c r="D30" s="6">
        <v>305936</v>
      </c>
      <c r="E30" s="8">
        <f t="shared" si="0"/>
        <v>392</v>
      </c>
      <c r="F30" s="6">
        <v>7003</v>
      </c>
      <c r="G30" s="8">
        <f t="shared" si="0"/>
        <v>2</v>
      </c>
      <c r="H30" s="6">
        <v>59646</v>
      </c>
      <c r="I30" s="8">
        <f t="shared" si="0"/>
        <v>212</v>
      </c>
      <c r="J30" s="52">
        <v>575601</v>
      </c>
      <c r="K30" s="8">
        <f t="shared" si="19"/>
        <v>205</v>
      </c>
      <c r="L30" s="7"/>
      <c r="M30" s="11" t="e">
        <f t="shared" si="7"/>
        <v>#DIV/0!</v>
      </c>
      <c r="N30" s="6">
        <v>5252</v>
      </c>
      <c r="O30" s="8">
        <f t="shared" si="1"/>
        <v>24</v>
      </c>
      <c r="P30" s="12">
        <v>90457</v>
      </c>
      <c r="Q30" s="8">
        <f t="shared" si="1"/>
        <v>43</v>
      </c>
      <c r="R30" s="12">
        <v>32</v>
      </c>
      <c r="S30" s="8">
        <f t="shared" si="1"/>
        <v>0</v>
      </c>
      <c r="T30" s="12">
        <v>191139</v>
      </c>
      <c r="U30" s="8">
        <f t="shared" si="1"/>
        <v>67</v>
      </c>
      <c r="V30" s="57"/>
      <c r="W30" s="8">
        <f t="shared" si="2"/>
        <v>0</v>
      </c>
      <c r="X30" s="53">
        <v>11701</v>
      </c>
      <c r="Y30" s="64"/>
      <c r="Z30" s="8">
        <f t="shared" si="8"/>
        <v>0</v>
      </c>
      <c r="AA30" s="53">
        <v>1839</v>
      </c>
      <c r="AB30" s="59"/>
      <c r="AC30" s="9">
        <f t="shared" si="9"/>
        <v>0</v>
      </c>
      <c r="AD30" s="53">
        <v>289</v>
      </c>
      <c r="AE30" s="60"/>
      <c r="AF30" s="9">
        <f t="shared" si="10"/>
        <v>0</v>
      </c>
      <c r="AG30" s="53">
        <v>1023</v>
      </c>
      <c r="AH30" s="59"/>
      <c r="AI30" s="8">
        <f t="shared" si="11"/>
        <v>0</v>
      </c>
      <c r="AJ30" s="53">
        <v>200</v>
      </c>
      <c r="AK30" s="56"/>
      <c r="AL30" s="59"/>
      <c r="AM30" s="8">
        <f t="shared" si="3"/>
        <v>0</v>
      </c>
      <c r="AN30" s="53">
        <v>626</v>
      </c>
      <c r="AO30" s="56"/>
      <c r="AP30" s="59"/>
      <c r="AQ30" s="8">
        <f t="shared" si="12"/>
        <v>0</v>
      </c>
      <c r="AR30" s="53">
        <v>232</v>
      </c>
      <c r="AS30" s="59">
        <v>11</v>
      </c>
      <c r="AT30" s="59">
        <v>19</v>
      </c>
      <c r="AU30" s="56"/>
      <c r="AV30" s="55">
        <v>94.884</v>
      </c>
      <c r="AW30" s="12">
        <v>376</v>
      </c>
      <c r="AX30" s="9">
        <f t="shared" si="4"/>
        <v>3</v>
      </c>
      <c r="AY30" s="61">
        <f t="shared" si="20"/>
        <v>26</v>
      </c>
      <c r="AZ30" s="14">
        <f t="shared" si="14"/>
        <v>5815.3846153846152</v>
      </c>
      <c r="BA30" s="14">
        <f t="shared" si="15"/>
        <v>15</v>
      </c>
      <c r="BB30" s="14">
        <f t="shared" si="16"/>
        <v>5065.3846153846152</v>
      </c>
      <c r="BC30" s="14">
        <f t="shared" si="17"/>
        <v>349.61538461538458</v>
      </c>
      <c r="BD30" s="15">
        <f t="shared" si="18"/>
        <v>0</v>
      </c>
      <c r="BE30" s="62">
        <f>IF(X30&lt;&gt;0,AVERAGE(X$11:X30)*30,)</f>
        <v>356190</v>
      </c>
      <c r="BF30" s="14">
        <f>IF(AD30+AG30&lt;&gt;0,AVERAGE(AD$11:AD30)*30+AVERAGE(AG$11:AG30)*30,)</f>
        <v>41133</v>
      </c>
      <c r="BG30" s="14">
        <f>IF(AJ30&lt;&gt;0,AVERAGE(AJ$11:AJ30)*30,)</f>
        <v>4812</v>
      </c>
      <c r="BH30" s="14">
        <f>IF(AN30&lt;&gt;0,AVERAGE(AN$11:AN30)*30,)</f>
        <v>17791.5</v>
      </c>
      <c r="BI30" s="63">
        <f>AVERAGE(AR$11:AR30)*30</f>
        <v>7320</v>
      </c>
      <c r="BK30" s="1">
        <f t="shared" si="5"/>
        <v>313267</v>
      </c>
      <c r="BM30" s="1">
        <v>2685536</v>
      </c>
    </row>
    <row r="31" spans="1:65" ht="15.6" x14ac:dyDescent="0.3">
      <c r="A31" s="49">
        <f t="shared" si="21"/>
        <v>27</v>
      </c>
      <c r="B31" s="50" t="s">
        <v>29</v>
      </c>
      <c r="C31" s="10"/>
      <c r="D31" s="6">
        <v>306264</v>
      </c>
      <c r="E31" s="8">
        <f t="shared" si="0"/>
        <v>328</v>
      </c>
      <c r="F31" s="6">
        <v>7003</v>
      </c>
      <c r="G31" s="8">
        <f t="shared" si="0"/>
        <v>0</v>
      </c>
      <c r="H31" s="6">
        <v>59896</v>
      </c>
      <c r="I31" s="8">
        <f t="shared" si="0"/>
        <v>250</v>
      </c>
      <c r="J31" s="52">
        <v>575842</v>
      </c>
      <c r="K31" s="8">
        <f t="shared" si="19"/>
        <v>241</v>
      </c>
      <c r="L31" s="7"/>
      <c r="M31" s="11" t="e">
        <f t="shared" si="7"/>
        <v>#DIV/0!</v>
      </c>
      <c r="N31" s="6">
        <v>5283</v>
      </c>
      <c r="O31" s="8">
        <f t="shared" si="1"/>
        <v>31</v>
      </c>
      <c r="P31" s="6">
        <v>90475</v>
      </c>
      <c r="Q31" s="8">
        <f t="shared" si="1"/>
        <v>18</v>
      </c>
      <c r="R31" s="6">
        <v>32</v>
      </c>
      <c r="S31" s="8">
        <f t="shared" si="1"/>
        <v>0</v>
      </c>
      <c r="T31" s="6">
        <v>191183</v>
      </c>
      <c r="U31" s="8">
        <f t="shared" si="1"/>
        <v>44</v>
      </c>
      <c r="V31" s="57"/>
      <c r="W31" s="8">
        <f t="shared" si="2"/>
        <v>0</v>
      </c>
      <c r="X31" s="53">
        <v>11944</v>
      </c>
      <c r="Y31" s="66"/>
      <c r="Z31" s="8">
        <f t="shared" si="8"/>
        <v>0</v>
      </c>
      <c r="AA31" s="53">
        <v>1912</v>
      </c>
      <c r="AB31" s="67"/>
      <c r="AC31" s="9">
        <f t="shared" si="9"/>
        <v>0</v>
      </c>
      <c r="AD31" s="53">
        <v>292</v>
      </c>
      <c r="AE31" s="68"/>
      <c r="AF31" s="9">
        <f t="shared" si="10"/>
        <v>0</v>
      </c>
      <c r="AG31" s="53">
        <v>1005</v>
      </c>
      <c r="AH31" s="67"/>
      <c r="AI31" s="8">
        <f t="shared" si="11"/>
        <v>0</v>
      </c>
      <c r="AJ31" s="53">
        <v>232</v>
      </c>
      <c r="AK31" s="56"/>
      <c r="AL31" s="67"/>
      <c r="AM31" s="8">
        <f t="shared" si="3"/>
        <v>0</v>
      </c>
      <c r="AN31" s="53">
        <v>516</v>
      </c>
      <c r="AO31" s="56"/>
      <c r="AP31" s="67"/>
      <c r="AQ31" s="8">
        <f t="shared" si="12"/>
        <v>0</v>
      </c>
      <c r="AR31" s="53">
        <v>200</v>
      </c>
      <c r="AS31" s="69">
        <v>10</v>
      </c>
      <c r="AT31" s="69">
        <v>20</v>
      </c>
      <c r="AU31" s="70"/>
      <c r="AV31" s="55">
        <v>96.558000000000007</v>
      </c>
      <c r="AW31" s="12">
        <v>378</v>
      </c>
      <c r="AX31" s="9">
        <f t="shared" si="4"/>
        <v>2</v>
      </c>
      <c r="AY31" s="61">
        <f t="shared" si="20"/>
        <v>27</v>
      </c>
      <c r="AZ31" s="14">
        <f t="shared" si="14"/>
        <v>5964.4444444444443</v>
      </c>
      <c r="BA31" s="14">
        <f t="shared" si="15"/>
        <v>14.444444444444443</v>
      </c>
      <c r="BB31" s="14">
        <f t="shared" si="16"/>
        <v>5155.5555555555557</v>
      </c>
      <c r="BC31" s="14">
        <f>IF(N31&lt;&gt;0,(+N31-N$10)/$A31*30,0)</f>
        <v>371.11111111111109</v>
      </c>
      <c r="BD31" s="15">
        <f t="shared" si="18"/>
        <v>0</v>
      </c>
      <c r="BE31" s="62">
        <f>IF(X31&lt;&gt;0,AVERAGE(X$11:X31)*30,)</f>
        <v>356291.42857142858</v>
      </c>
      <c r="BF31" s="14">
        <f>IF(AD31+AG31&lt;&gt;0,AVERAGE(AD$11:AD31)*30+AVERAGE(AG$11:AG31)*30,)</f>
        <v>41027.142857142862</v>
      </c>
      <c r="BG31" s="14">
        <f>IF(AJ31&lt;&gt;0,AVERAGE(AJ$11:AJ31)*30,)</f>
        <v>4914.2857142857138</v>
      </c>
      <c r="BH31" s="14">
        <f>IF(AN31&lt;&gt;0,AVERAGE(AN$11:AN31)*30,)</f>
        <v>17681.428571428572</v>
      </c>
      <c r="BI31" s="63">
        <f>AVERAGE(AR$11:AR31)*30</f>
        <v>7257.1428571428569</v>
      </c>
      <c r="BK31" s="1">
        <f t="shared" si="5"/>
        <v>313475</v>
      </c>
      <c r="BM31" s="1">
        <v>2685125</v>
      </c>
    </row>
    <row r="32" spans="1:65" ht="15.6" x14ac:dyDescent="0.3">
      <c r="A32" s="49">
        <f t="shared" si="21"/>
        <v>28</v>
      </c>
      <c r="B32" s="50" t="s">
        <v>29</v>
      </c>
      <c r="C32" s="10" t="s">
        <v>72</v>
      </c>
      <c r="D32" s="6">
        <v>306472</v>
      </c>
      <c r="E32" s="8">
        <f t="shared" si="0"/>
        <v>208</v>
      </c>
      <c r="F32" s="6">
        <v>7003</v>
      </c>
      <c r="G32" s="8"/>
      <c r="H32" s="6">
        <v>60108</v>
      </c>
      <c r="I32" s="8">
        <f t="shared" si="0"/>
        <v>212</v>
      </c>
      <c r="J32" s="52">
        <v>576048</v>
      </c>
      <c r="K32" s="8">
        <f t="shared" si="19"/>
        <v>206</v>
      </c>
      <c r="L32" s="7"/>
      <c r="M32" s="11" t="e">
        <f t="shared" si="7"/>
        <v>#DIV/0!</v>
      </c>
      <c r="N32" s="6">
        <v>5329</v>
      </c>
      <c r="O32" s="8">
        <f t="shared" si="1"/>
        <v>46</v>
      </c>
      <c r="P32" s="6">
        <v>90494</v>
      </c>
      <c r="Q32" s="8">
        <f t="shared" si="1"/>
        <v>19</v>
      </c>
      <c r="R32" s="6">
        <v>32</v>
      </c>
      <c r="S32" s="8">
        <f t="shared" si="1"/>
        <v>0</v>
      </c>
      <c r="T32" s="6">
        <v>191222</v>
      </c>
      <c r="U32" s="8">
        <f t="shared" si="1"/>
        <v>39</v>
      </c>
      <c r="V32" s="57"/>
      <c r="W32" s="8">
        <f t="shared" si="2"/>
        <v>0</v>
      </c>
      <c r="X32" s="53">
        <v>12138</v>
      </c>
      <c r="Y32" s="64"/>
      <c r="Z32" s="8">
        <f t="shared" si="8"/>
        <v>0</v>
      </c>
      <c r="AA32" s="53">
        <v>2104</v>
      </c>
      <c r="AB32" s="59"/>
      <c r="AC32" s="9">
        <f t="shared" si="9"/>
        <v>0</v>
      </c>
      <c r="AD32" s="53">
        <v>290</v>
      </c>
      <c r="AE32" s="60"/>
      <c r="AF32" s="9">
        <f t="shared" si="10"/>
        <v>0</v>
      </c>
      <c r="AG32" s="53">
        <v>1008</v>
      </c>
      <c r="AH32" s="67"/>
      <c r="AI32" s="8">
        <f t="shared" si="11"/>
        <v>0</v>
      </c>
      <c r="AJ32" s="53">
        <v>224</v>
      </c>
      <c r="AK32" s="56"/>
      <c r="AL32" s="59"/>
      <c r="AM32" s="8">
        <f t="shared" si="3"/>
        <v>0</v>
      </c>
      <c r="AN32" s="53">
        <v>519</v>
      </c>
      <c r="AO32" s="56"/>
      <c r="AP32" s="67"/>
      <c r="AQ32" s="8">
        <f t="shared" si="12"/>
        <v>0</v>
      </c>
      <c r="AR32" s="53">
        <v>232</v>
      </c>
      <c r="AS32" s="59">
        <v>11</v>
      </c>
      <c r="AT32" s="59">
        <v>22</v>
      </c>
      <c r="AU32" s="71"/>
      <c r="AV32" s="55">
        <v>98.209000000000003</v>
      </c>
      <c r="AW32" s="12">
        <v>378</v>
      </c>
      <c r="AX32" s="9">
        <f t="shared" si="4"/>
        <v>0</v>
      </c>
      <c r="AY32" s="61">
        <f t="shared" si="20"/>
        <v>28</v>
      </c>
      <c r="AZ32" s="14">
        <f t="shared" si="14"/>
        <v>5974.2857142857138</v>
      </c>
      <c r="BA32" s="14">
        <f t="shared" si="15"/>
        <v>13.928571428571429</v>
      </c>
      <c r="BB32" s="14">
        <f t="shared" si="16"/>
        <v>5198.5714285714284</v>
      </c>
      <c r="BC32" s="14">
        <f>IF(N32&lt;&gt;0,(+N32-N$10)/$A32*30,0)</f>
        <v>407.14285714285711</v>
      </c>
      <c r="BD32" s="15">
        <f t="shared" si="18"/>
        <v>0</v>
      </c>
      <c r="BE32" s="62">
        <f>IF(X32&lt;&gt;0,AVERAGE(X$11:X32)*30,)</f>
        <v>356648.18181818182</v>
      </c>
      <c r="BF32" s="14">
        <f>IF(AD32+AG32&lt;&gt;0,AVERAGE(AD$11:AD32)*30+AVERAGE(AG$11:AG32)*30,)</f>
        <v>40932.272727272721</v>
      </c>
      <c r="BG32" s="14">
        <f>IF(AJ32&lt;&gt;0,AVERAGE(AJ$11:AJ32)*30,)</f>
        <v>4996.363636363636</v>
      </c>
      <c r="BH32" s="14">
        <f>IF(AN32&lt;&gt;0,AVERAGE(AN$11:AN32)*30,)</f>
        <v>17585.454545454544</v>
      </c>
      <c r="BI32" s="63">
        <f>AVERAGE(AR$11:AR32)*30</f>
        <v>7243.636363636364</v>
      </c>
      <c r="BK32" s="1">
        <f t="shared" si="5"/>
        <v>313684</v>
      </c>
      <c r="BM32" s="1">
        <v>2685557</v>
      </c>
    </row>
    <row r="33" spans="1:65" ht="15.6" x14ac:dyDescent="0.3">
      <c r="A33" s="49">
        <f t="shared" si="21"/>
        <v>29</v>
      </c>
      <c r="B33" s="50" t="s">
        <v>29</v>
      </c>
      <c r="C33" s="8"/>
      <c r="D33" s="6">
        <v>306681</v>
      </c>
      <c r="E33" s="8">
        <f t="shared" si="0"/>
        <v>209</v>
      </c>
      <c r="F33" s="6">
        <v>7003</v>
      </c>
      <c r="G33" s="8">
        <f t="shared" si="0"/>
        <v>0</v>
      </c>
      <c r="H33" s="6">
        <v>60284</v>
      </c>
      <c r="I33" s="8">
        <f t="shared" si="0"/>
        <v>176</v>
      </c>
      <c r="J33" s="52">
        <v>576217</v>
      </c>
      <c r="K33" s="8">
        <f t="shared" si="19"/>
        <v>169</v>
      </c>
      <c r="L33" s="7"/>
      <c r="M33" s="11" t="e">
        <f t="shared" si="7"/>
        <v>#DIV/0!</v>
      </c>
      <c r="N33" s="6">
        <v>5364</v>
      </c>
      <c r="O33" s="8">
        <f t="shared" si="1"/>
        <v>35</v>
      </c>
      <c r="P33" s="12">
        <v>90495</v>
      </c>
      <c r="Q33" s="8">
        <f t="shared" si="1"/>
        <v>1</v>
      </c>
      <c r="R33" s="12">
        <v>32</v>
      </c>
      <c r="S33" s="8">
        <f t="shared" si="1"/>
        <v>0</v>
      </c>
      <c r="T33" s="72">
        <v>191244</v>
      </c>
      <c r="U33" s="8">
        <f t="shared" si="1"/>
        <v>22</v>
      </c>
      <c r="V33" s="57"/>
      <c r="W33" s="8">
        <f t="shared" si="2"/>
        <v>0</v>
      </c>
      <c r="X33" s="53">
        <v>11915</v>
      </c>
      <c r="Y33" s="64"/>
      <c r="Z33" s="8">
        <f t="shared" si="8"/>
        <v>0</v>
      </c>
      <c r="AA33" s="53">
        <v>2074</v>
      </c>
      <c r="AB33" s="59"/>
      <c r="AC33" s="9">
        <f t="shared" si="9"/>
        <v>0</v>
      </c>
      <c r="AD33" s="53">
        <v>325</v>
      </c>
      <c r="AE33" s="60"/>
      <c r="AF33" s="9">
        <f t="shared" si="10"/>
        <v>0</v>
      </c>
      <c r="AG33" s="53">
        <v>1012</v>
      </c>
      <c r="AH33" s="59"/>
      <c r="AI33" s="8">
        <f t="shared" si="11"/>
        <v>0</v>
      </c>
      <c r="AJ33" s="53">
        <v>176</v>
      </c>
      <c r="AK33" s="56"/>
      <c r="AL33" s="59"/>
      <c r="AM33" s="8">
        <f t="shared" si="3"/>
        <v>0</v>
      </c>
      <c r="AN33" s="53">
        <v>564</v>
      </c>
      <c r="AO33" s="56"/>
      <c r="AP33" s="59"/>
      <c r="AQ33" s="8">
        <f t="shared" si="12"/>
        <v>0</v>
      </c>
      <c r="AR33" s="53">
        <v>248</v>
      </c>
      <c r="AS33" s="59">
        <v>12</v>
      </c>
      <c r="AT33" s="59">
        <v>21</v>
      </c>
      <c r="AU33" s="56"/>
      <c r="AV33" s="55">
        <v>99.911000000000001</v>
      </c>
      <c r="AW33" s="12">
        <v>380</v>
      </c>
      <c r="AX33" s="9">
        <f t="shared" si="4"/>
        <v>2</v>
      </c>
      <c r="AY33" s="61">
        <f t="shared" si="20"/>
        <v>29</v>
      </c>
      <c r="AZ33" s="14">
        <f t="shared" si="14"/>
        <v>5984.4827586206893</v>
      </c>
      <c r="BA33" s="14">
        <f t="shared" si="15"/>
        <v>13.448275862068966</v>
      </c>
      <c r="BB33" s="14">
        <f t="shared" si="16"/>
        <v>5201.3793103448279</v>
      </c>
      <c r="BC33" s="14">
        <f>IF(N33&lt;&gt;0,(+N33-N$10)/$A33*30,0)</f>
        <v>429.31034482758616</v>
      </c>
      <c r="BD33" s="15">
        <f t="shared" si="18"/>
        <v>0</v>
      </c>
      <c r="BE33" s="62">
        <f>IF(X33&lt;&gt;0,AVERAGE(X$11:X33)*30,)</f>
        <v>356683.04347826086</v>
      </c>
      <c r="BF33" s="14">
        <f>IF(AD33+AG33&lt;&gt;0,AVERAGE(AD$11:AD33)*30+AVERAGE(AG$11:AG33)*30,)</f>
        <v>40896.52173913044</v>
      </c>
      <c r="BG33" s="14">
        <f>IF(AJ33&lt;&gt;0,AVERAGE(AJ$11:AJ33)*30,)</f>
        <v>5008.695652173913</v>
      </c>
      <c r="BH33" s="14">
        <f>IF(AN33&lt;&gt;0,AVERAGE(AN$11:AN33)*30,)</f>
        <v>17556.521739130436</v>
      </c>
      <c r="BI33" s="63">
        <f>AVERAGE(AR$11:AR33)*30</f>
        <v>7252.173913043478</v>
      </c>
      <c r="BK33" s="1">
        <f t="shared" si="5"/>
        <v>313899</v>
      </c>
      <c r="BM33" s="1">
        <v>2686969</v>
      </c>
    </row>
    <row r="34" spans="1:65" ht="16.2" thickBot="1" x14ac:dyDescent="0.35">
      <c r="A34" s="49">
        <f t="shared" si="21"/>
        <v>30</v>
      </c>
      <c r="B34" s="50" t="s">
        <v>29</v>
      </c>
      <c r="C34" s="10"/>
      <c r="D34" s="6">
        <v>306896</v>
      </c>
      <c r="E34" s="8">
        <f t="shared" si="0"/>
        <v>215</v>
      </c>
      <c r="F34" s="6">
        <v>7003</v>
      </c>
      <c r="G34" s="8">
        <f t="shared" si="0"/>
        <v>0</v>
      </c>
      <c r="H34" s="6">
        <v>60475</v>
      </c>
      <c r="I34" s="8">
        <f t="shared" si="0"/>
        <v>191</v>
      </c>
      <c r="J34" s="52">
        <v>576401</v>
      </c>
      <c r="K34" s="8">
        <f t="shared" si="19"/>
        <v>184</v>
      </c>
      <c r="L34" s="7"/>
      <c r="M34" s="11" t="e">
        <f t="shared" si="7"/>
        <v>#DIV/0!</v>
      </c>
      <c r="N34" s="6">
        <v>5400</v>
      </c>
      <c r="O34" s="8">
        <f t="shared" si="1"/>
        <v>36</v>
      </c>
      <c r="P34" s="12">
        <v>90497</v>
      </c>
      <c r="Q34" s="8">
        <f t="shared" si="1"/>
        <v>2</v>
      </c>
      <c r="R34" s="12">
        <v>32</v>
      </c>
      <c r="S34" s="8">
        <f t="shared" si="1"/>
        <v>0</v>
      </c>
      <c r="T34" s="12">
        <v>191270</v>
      </c>
      <c r="U34" s="8">
        <f t="shared" si="1"/>
        <v>26</v>
      </c>
      <c r="V34" s="64">
        <v>4273.38</v>
      </c>
      <c r="W34" s="8">
        <f t="shared" si="2"/>
        <v>9401436</v>
      </c>
      <c r="X34" s="53">
        <v>11644</v>
      </c>
      <c r="Y34" s="64">
        <v>834.33600000000001</v>
      </c>
      <c r="Z34" s="8">
        <f t="shared" si="8"/>
        <v>1835539.2</v>
      </c>
      <c r="AA34" s="53">
        <v>1873</v>
      </c>
      <c r="AB34" s="59">
        <v>1715477</v>
      </c>
      <c r="AC34" s="9">
        <f t="shared" si="9"/>
        <v>1715477</v>
      </c>
      <c r="AD34" s="53">
        <v>295</v>
      </c>
      <c r="AE34" s="59">
        <v>5047529</v>
      </c>
      <c r="AF34" s="9">
        <f t="shared" si="10"/>
        <v>5047529</v>
      </c>
      <c r="AG34" s="53">
        <v>1032</v>
      </c>
      <c r="AH34" s="73">
        <v>32800</v>
      </c>
      <c r="AI34" s="8">
        <f t="shared" si="11"/>
        <v>2624000</v>
      </c>
      <c r="AJ34" s="53">
        <v>152</v>
      </c>
      <c r="AK34" s="56"/>
      <c r="AL34" s="73">
        <v>156701</v>
      </c>
      <c r="AM34" s="8">
        <f t="shared" si="3"/>
        <v>156701</v>
      </c>
      <c r="AN34" s="53">
        <v>576</v>
      </c>
      <c r="AO34" s="56"/>
      <c r="AP34" s="73">
        <v>46397</v>
      </c>
      <c r="AQ34" s="8">
        <f t="shared" si="12"/>
        <v>3711760</v>
      </c>
      <c r="AR34" s="53">
        <v>256</v>
      </c>
      <c r="AS34" s="59">
        <v>13</v>
      </c>
      <c r="AT34" s="59">
        <v>23</v>
      </c>
      <c r="AU34" s="71"/>
      <c r="AV34" s="55">
        <v>101.59699999999999</v>
      </c>
      <c r="AW34" s="106">
        <v>381</v>
      </c>
      <c r="AX34" s="107">
        <f t="shared" si="4"/>
        <v>1</v>
      </c>
      <c r="AY34" s="61">
        <f t="shared" si="20"/>
        <v>30</v>
      </c>
      <c r="AZ34" s="14">
        <f t="shared" si="14"/>
        <v>6000</v>
      </c>
      <c r="BA34" s="14">
        <f t="shared" si="15"/>
        <v>13</v>
      </c>
      <c r="BB34" s="14">
        <f t="shared" si="16"/>
        <v>5219</v>
      </c>
      <c r="BC34" s="14">
        <f>IF(N34&lt;&gt;0,(+N34-N$10)/$A34*30,0)</f>
        <v>451</v>
      </c>
      <c r="BD34" s="15">
        <f t="shared" si="18"/>
        <v>9401436</v>
      </c>
      <c r="BE34" s="62">
        <f>IF(X34&lt;&gt;0,AVERAGE(X$11:X34)*30,)</f>
        <v>356376.25</v>
      </c>
      <c r="BF34" s="14">
        <f>IF(AD34+AG34&lt;&gt;0,AVERAGE(AD$11:AD34)*30+AVERAGE(AG$11:AG34)*30,)</f>
        <v>40851.25</v>
      </c>
      <c r="BG34" s="14">
        <f>IF(AJ34&lt;&gt;0,AVERAGE(AJ$11:AJ34)*30,)</f>
        <v>4990</v>
      </c>
      <c r="BH34" s="14">
        <f>IF(AN34&lt;&gt;0,AVERAGE(AN$11:AN34)*30,)</f>
        <v>17545</v>
      </c>
      <c r="BI34" s="63">
        <f>AVERAGE(AR$11:AR34)*30</f>
        <v>7270</v>
      </c>
      <c r="BK34" s="1">
        <f t="shared" si="5"/>
        <v>0</v>
      </c>
    </row>
    <row r="35" spans="1:65" ht="16.5" customHeight="1" thickTop="1" thickBot="1" x14ac:dyDescent="0.35">
      <c r="A35" s="49"/>
      <c r="B35" s="50"/>
      <c r="C35" s="10"/>
      <c r="D35" s="6"/>
      <c r="E35" s="8">
        <f>IF(ISBLANK(D35),0,D35-D34)</f>
        <v>0</v>
      </c>
      <c r="F35" s="6"/>
      <c r="G35" s="8">
        <f>IF(ISBLANK(F35),0,F35-F34)</f>
        <v>0</v>
      </c>
      <c r="H35" s="6"/>
      <c r="I35" s="8">
        <f>IF(ISBLANK(H35),0,H35-H34)</f>
        <v>0</v>
      </c>
      <c r="J35" s="52"/>
      <c r="K35" s="8">
        <f t="shared" si="19"/>
        <v>-576401</v>
      </c>
      <c r="L35" s="7"/>
      <c r="M35" s="11"/>
      <c r="N35" s="6"/>
      <c r="O35" s="8">
        <f t="shared" si="1"/>
        <v>0</v>
      </c>
      <c r="P35" s="74"/>
      <c r="Q35" s="8">
        <f t="shared" si="1"/>
        <v>0</v>
      </c>
      <c r="R35" s="12"/>
      <c r="S35" s="8">
        <f t="shared" si="1"/>
        <v>0</v>
      </c>
      <c r="T35" s="12"/>
      <c r="U35" s="8">
        <f t="shared" si="1"/>
        <v>0</v>
      </c>
      <c r="V35" s="17"/>
      <c r="W35" s="8">
        <f t="shared" si="2"/>
        <v>0</v>
      </c>
      <c r="X35" s="75">
        <v>0</v>
      </c>
      <c r="Y35" s="64"/>
      <c r="Z35" s="8">
        <f t="shared" si="8"/>
        <v>0</v>
      </c>
      <c r="AA35" s="53"/>
      <c r="AB35" s="59"/>
      <c r="AC35" s="76"/>
      <c r="AD35" s="53"/>
      <c r="AE35" s="60"/>
      <c r="AF35" s="9"/>
      <c r="AG35" s="53"/>
      <c r="AH35" s="59"/>
      <c r="AI35" s="8">
        <f t="shared" si="11"/>
        <v>0</v>
      </c>
      <c r="AJ35" s="53"/>
      <c r="AK35" s="56"/>
      <c r="AL35" s="59"/>
      <c r="AM35" s="8">
        <f t="shared" si="3"/>
        <v>0</v>
      </c>
      <c r="AN35" s="53"/>
      <c r="AO35" s="56"/>
      <c r="AP35" s="59"/>
      <c r="AQ35" s="8">
        <f t="shared" si="12"/>
        <v>0</v>
      </c>
      <c r="AR35" s="53"/>
      <c r="AS35" s="59"/>
      <c r="AT35" s="59"/>
      <c r="AU35" s="56"/>
      <c r="AV35" s="55"/>
      <c r="AW35" s="108"/>
      <c r="AX35" s="109"/>
      <c r="AY35" s="61">
        <f t="shared" si="20"/>
        <v>31</v>
      </c>
      <c r="AZ35" s="14"/>
      <c r="BA35" s="14"/>
      <c r="BB35" s="14"/>
      <c r="BC35" s="14"/>
      <c r="BD35" s="15"/>
      <c r="BE35" s="62"/>
      <c r="BF35" s="14"/>
      <c r="BG35" s="14"/>
      <c r="BH35" s="14"/>
      <c r="BI35" s="15"/>
    </row>
    <row r="36" spans="1:65" ht="16.5" customHeight="1" thickTop="1" thickBot="1" x14ac:dyDescent="0.35">
      <c r="A36" s="51" t="s">
        <v>30</v>
      </c>
      <c r="C36" s="16"/>
      <c r="D36" s="17">
        <f>D34-D4</f>
        <v>8075</v>
      </c>
      <c r="F36" s="17">
        <f>F34-F4</f>
        <v>14</v>
      </c>
      <c r="G36" s="2"/>
      <c r="H36" s="17">
        <f>H34-H4</f>
        <v>6704</v>
      </c>
      <c r="I36" s="2"/>
      <c r="J36" s="2"/>
      <c r="K36" s="2"/>
      <c r="L36" s="2"/>
      <c r="M36" s="2"/>
      <c r="N36" s="17">
        <f>N34-N4</f>
        <v>454</v>
      </c>
      <c r="O36" s="2"/>
      <c r="P36" s="17">
        <f>P34-P5</f>
        <v>1620</v>
      </c>
      <c r="Q36" s="2"/>
      <c r="R36" s="17">
        <f>R34-R5</f>
        <v>0</v>
      </c>
      <c r="S36" s="2"/>
      <c r="T36" s="17">
        <f>T34-T5</f>
        <v>2306</v>
      </c>
      <c r="U36" s="2"/>
      <c r="V36" s="77">
        <f>SUM(+V34-V4)*2200</f>
        <v>381436.00000000023</v>
      </c>
      <c r="W36" s="78"/>
      <c r="X36" s="79" t="e">
        <f>SUM(#REF!)</f>
        <v>#REF!</v>
      </c>
      <c r="Y36" s="80">
        <f>Y34-Y4</f>
        <v>382.79599999999999</v>
      </c>
      <c r="Z36" s="81"/>
      <c r="AA36" s="79">
        <f>AA34-AA5</f>
        <v>-934</v>
      </c>
      <c r="AB36" s="82">
        <f>SUM(+AB34-AB4)</f>
        <v>8785</v>
      </c>
      <c r="AC36" s="81"/>
      <c r="AD36" s="79" t="e">
        <f>SUM(#REF!)</f>
        <v>#REF!</v>
      </c>
      <c r="AE36" s="82">
        <f>SUM(+AE34-AE4)</f>
        <v>30899</v>
      </c>
      <c r="AF36" s="81"/>
      <c r="AG36" s="79" t="e">
        <f>SUM(#REF!)</f>
        <v>#REF!</v>
      </c>
      <c r="AH36" s="80">
        <f>SUM(+AH34-AH4)*80</f>
        <v>-80240</v>
      </c>
      <c r="AI36" s="81"/>
      <c r="AJ36" s="79" t="e">
        <f>SUM(#REF!)</f>
        <v>#REF!</v>
      </c>
      <c r="AK36" s="81"/>
      <c r="AL36" s="80">
        <f>SUM(+AL34-AL4)</f>
        <v>17648</v>
      </c>
      <c r="AM36" s="81"/>
      <c r="AN36" s="79" t="e">
        <f>SUM(#REF!)</f>
        <v>#REF!</v>
      </c>
      <c r="AO36" s="81"/>
      <c r="AP36" s="80">
        <f>SUM(+AP34-AP4)*80</f>
        <v>7120</v>
      </c>
      <c r="AQ36" s="81"/>
      <c r="AR36" s="79" t="e">
        <f>SUM(#REF!)</f>
        <v>#REF!</v>
      </c>
      <c r="AS36" s="83">
        <f>AVERAGE(AS5:AS35)</f>
        <v>8.4482758620689662</v>
      </c>
      <c r="AT36" s="84">
        <f>AVERAGE(AT5:AT35)</f>
        <v>19.068965517241381</v>
      </c>
      <c r="AU36" s="85"/>
      <c r="AV36" s="86"/>
      <c r="AX36" s="110"/>
      <c r="AY36" s="19"/>
      <c r="AZ36" s="20"/>
      <c r="BA36" s="20"/>
      <c r="BB36" s="20"/>
      <c r="BC36" s="20"/>
      <c r="BD36" s="21"/>
      <c r="BE36" s="21"/>
      <c r="BF36" s="21"/>
      <c r="BG36" s="21"/>
      <c r="BH36" s="21"/>
      <c r="BI36" s="21"/>
      <c r="BK36" s="1">
        <f t="shared" si="5"/>
        <v>0</v>
      </c>
    </row>
    <row r="37" spans="1:65" ht="16.8" thickTop="1" thickBot="1" x14ac:dyDescent="0.35">
      <c r="A37" s="46" t="s">
        <v>31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18"/>
      <c r="Q37" s="2"/>
      <c r="R37" s="18"/>
      <c r="S37" s="2"/>
      <c r="T37" s="2"/>
      <c r="U37" s="2"/>
      <c r="V37" s="2"/>
      <c r="W37" s="2"/>
      <c r="X37" s="2"/>
      <c r="Y37" s="47"/>
      <c r="Z37" s="2"/>
      <c r="AA37" s="2"/>
      <c r="AB37" s="112">
        <f>AD35+AG35</f>
        <v>0</v>
      </c>
      <c r="AC37" s="113"/>
      <c r="AD37" s="113"/>
      <c r="AE37" s="114"/>
      <c r="AF37" s="2"/>
      <c r="AG37" s="2"/>
      <c r="AH37" s="2"/>
      <c r="AI37" s="48"/>
      <c r="AJ37" s="22">
        <f>AB37+AJ35</f>
        <v>0</v>
      </c>
      <c r="AK37" s="2"/>
      <c r="AL37" s="2"/>
      <c r="AM37" s="2"/>
      <c r="AN37" s="2"/>
      <c r="AO37" s="2"/>
      <c r="AP37" s="2"/>
      <c r="AQ37" s="2"/>
      <c r="AR37" s="2"/>
      <c r="AS37" s="23"/>
      <c r="AT37" s="2"/>
      <c r="AU37" s="2"/>
    </row>
    <row r="38" spans="1:65" ht="15.6" x14ac:dyDescent="0.3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7"/>
      <c r="Z38" s="2"/>
      <c r="AA38" s="2"/>
      <c r="AB38" s="146"/>
      <c r="AC38" s="146"/>
      <c r="AD38" s="146"/>
      <c r="AE38" s="146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65" ht="15.6" thickBot="1" x14ac:dyDescent="0.3"/>
    <row r="40" spans="1:65" ht="16.8" thickTop="1" thickBot="1" x14ac:dyDescent="0.35">
      <c r="A40" s="88"/>
      <c r="B40" s="25"/>
      <c r="C40" s="25"/>
      <c r="D40" s="17"/>
      <c r="E40" s="26"/>
      <c r="F40" s="17"/>
      <c r="G40" s="26"/>
      <c r="H40" s="17"/>
      <c r="I40" s="26"/>
      <c r="J40" s="26"/>
      <c r="K40" s="26"/>
      <c r="L40" s="25"/>
      <c r="M40" s="25"/>
      <c r="N40" s="17"/>
      <c r="O40" s="26"/>
      <c r="P40" s="26"/>
      <c r="Q40" s="26"/>
      <c r="R40" s="26"/>
      <c r="S40" s="26"/>
      <c r="T40" s="26"/>
      <c r="U40" s="26"/>
      <c r="V40" s="77"/>
      <c r="Y40" s="1"/>
      <c r="AB40" s="1"/>
      <c r="AS40" s="27"/>
    </row>
    <row r="41" spans="1:65" ht="15.6" thickTop="1" x14ac:dyDescent="0.25">
      <c r="A41" s="1"/>
      <c r="G41" s="89"/>
      <c r="V41" s="90"/>
    </row>
    <row r="42" spans="1:65" ht="16.5" customHeight="1" x14ac:dyDescent="0.25">
      <c r="A42" s="1"/>
      <c r="G42" s="89"/>
      <c r="V42" s="90"/>
    </row>
    <row r="43" spans="1:65" ht="16.5" customHeight="1" x14ac:dyDescent="0.25">
      <c r="A43" s="1"/>
      <c r="G43" s="89"/>
    </row>
    <row r="44" spans="1:65" x14ac:dyDescent="0.25">
      <c r="A44" s="1"/>
      <c r="G44" s="89"/>
      <c r="V44" s="90"/>
    </row>
    <row r="45" spans="1:65" x14ac:dyDescent="0.25">
      <c r="A45" s="1"/>
      <c r="V45" s="90"/>
    </row>
    <row r="46" spans="1:65" x14ac:dyDescent="0.25">
      <c r="B46" s="111"/>
      <c r="C46" s="43"/>
      <c r="V46" s="90"/>
    </row>
    <row r="47" spans="1:65" x14ac:dyDescent="0.25">
      <c r="B47" s="111"/>
      <c r="C47" s="43"/>
      <c r="V47" s="90"/>
    </row>
    <row r="48" spans="1:65" x14ac:dyDescent="0.25">
      <c r="B48" s="111"/>
      <c r="C48" s="43"/>
      <c r="V48" s="90"/>
    </row>
    <row r="49" spans="2:3" x14ac:dyDescent="0.25">
      <c r="B49" s="111"/>
      <c r="C49" s="43"/>
    </row>
    <row r="50" spans="2:3" x14ac:dyDescent="0.25">
      <c r="B50" s="111"/>
      <c r="C50" s="43"/>
    </row>
    <row r="51" spans="2:3" x14ac:dyDescent="0.25">
      <c r="B51" s="111"/>
      <c r="C51" s="43"/>
    </row>
    <row r="52" spans="2:3" x14ac:dyDescent="0.25">
      <c r="B52" s="111"/>
      <c r="C52" s="43"/>
    </row>
    <row r="53" spans="2:3" x14ac:dyDescent="0.25">
      <c r="B53" s="111"/>
      <c r="C53" s="43"/>
    </row>
    <row r="54" spans="2:3" x14ac:dyDescent="0.25">
      <c r="B54" s="111"/>
      <c r="C54" s="43"/>
    </row>
    <row r="55" spans="2:3" x14ac:dyDescent="0.25">
      <c r="B55" s="111"/>
      <c r="C55" s="43"/>
    </row>
    <row r="56" spans="2:3" x14ac:dyDescent="0.25">
      <c r="B56" s="111"/>
      <c r="C56" s="43"/>
    </row>
    <row r="57" spans="2:3" x14ac:dyDescent="0.25">
      <c r="B57" s="111"/>
      <c r="C57" s="43"/>
    </row>
    <row r="58" spans="2:3" x14ac:dyDescent="0.25">
      <c r="B58" s="111"/>
      <c r="C58" s="43"/>
    </row>
    <row r="59" spans="2:3" x14ac:dyDescent="0.25">
      <c r="B59" s="111"/>
      <c r="C59" s="43"/>
    </row>
    <row r="60" spans="2:3" x14ac:dyDescent="0.25">
      <c r="B60" s="111"/>
      <c r="C60" s="43"/>
    </row>
    <row r="61" spans="2:3" x14ac:dyDescent="0.25">
      <c r="B61" s="111"/>
      <c r="C61" s="43"/>
    </row>
    <row r="62" spans="2:3" x14ac:dyDescent="0.25">
      <c r="B62" s="111"/>
      <c r="C62" s="43"/>
    </row>
    <row r="63" spans="2:3" x14ac:dyDescent="0.25">
      <c r="B63" s="111"/>
      <c r="C63" s="43"/>
    </row>
    <row r="64" spans="2:3" x14ac:dyDescent="0.25">
      <c r="B64" s="111"/>
      <c r="C64" s="43"/>
    </row>
    <row r="65" spans="2:3" x14ac:dyDescent="0.25">
      <c r="B65" s="111"/>
      <c r="C65" s="43"/>
    </row>
    <row r="66" spans="2:3" x14ac:dyDescent="0.25">
      <c r="B66" s="111"/>
      <c r="C66" s="43"/>
    </row>
    <row r="67" spans="2:3" x14ac:dyDescent="0.25">
      <c r="B67" s="111"/>
      <c r="C67" s="43"/>
    </row>
    <row r="68" spans="2:3" x14ac:dyDescent="0.25">
      <c r="B68" s="111"/>
      <c r="C68" s="43"/>
    </row>
    <row r="69" spans="2:3" x14ac:dyDescent="0.25">
      <c r="B69" s="111"/>
      <c r="C69" s="43"/>
    </row>
    <row r="70" spans="2:3" x14ac:dyDescent="0.25">
      <c r="B70" s="111"/>
      <c r="C70" s="43"/>
    </row>
    <row r="71" spans="2:3" x14ac:dyDescent="0.25">
      <c r="B71" s="111"/>
      <c r="C71" s="43"/>
    </row>
    <row r="72" spans="2:3" x14ac:dyDescent="0.25">
      <c r="B72" s="111"/>
      <c r="C72" s="43"/>
    </row>
    <row r="73" spans="2:3" x14ac:dyDescent="0.25">
      <c r="B73" s="111"/>
      <c r="C73" s="43"/>
    </row>
    <row r="74" spans="2:3" x14ac:dyDescent="0.25">
      <c r="B74" s="111"/>
      <c r="C74" s="43"/>
    </row>
    <row r="75" spans="2:3" x14ac:dyDescent="0.25">
      <c r="B75" s="111"/>
      <c r="C75" s="43"/>
    </row>
    <row r="76" spans="2:3" x14ac:dyDescent="0.25">
      <c r="B76" s="43"/>
      <c r="C76" s="43"/>
    </row>
  </sheetData>
  <mergeCells count="32">
    <mergeCell ref="AB38:AE38"/>
    <mergeCell ref="BE1:BE3"/>
    <mergeCell ref="BF1:BF3"/>
    <mergeCell ref="BG1:BG3"/>
    <mergeCell ref="BH1:BH3"/>
    <mergeCell ref="AP1:AR2"/>
    <mergeCell ref="AS1:AT2"/>
    <mergeCell ref="AU1:AU2"/>
    <mergeCell ref="AV1:AV2"/>
    <mergeCell ref="BD1:BD3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  <mergeCell ref="AB37:AE37"/>
    <mergeCell ref="AW1:AW2"/>
    <mergeCell ref="AZ1:AZ3"/>
    <mergeCell ref="BA1:BA3"/>
    <mergeCell ref="BB1:BB3"/>
    <mergeCell ref="BC1:B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Khoury</cp:lastModifiedBy>
  <dcterms:created xsi:type="dcterms:W3CDTF">2017-05-22T13:08:25Z</dcterms:created>
  <dcterms:modified xsi:type="dcterms:W3CDTF">2022-05-09T15:44:01Z</dcterms:modified>
</cp:coreProperties>
</file>