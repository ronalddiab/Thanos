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2AE9B3E9-D041-43AB-B80E-0B3D18E44C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1" r:id="rId1"/>
    <sheet name="September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6" i="8" l="1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<sst xmlns="http://schemas.openxmlformats.org/spreadsheetml/2006/main" count="68" uniqueCount="36">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</sst>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2" fillId="0" borderId="2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C15" sqref="C15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3"/>
    <col min="4" max="4" width="13.44140625" style="2" customWidth="1"/>
    <col min="5" max="5" width="12.5546875" style="1" customWidth="1"/>
    <col min="6" max="6" width="12.5546875" style="18" customWidth="1"/>
    <col min="7" max="7" width="11.5546875" style="1"/>
    <col min="8" max="8" width="11.5546875" style="18"/>
    <col min="9" max="9" width="11.5546875" style="1"/>
    <col min="10" max="10" width="11.5546875" style="19"/>
    <col min="11" max="11" width="11.5546875" style="26"/>
    <col min="12" max="24" width="11.5546875" style="1"/>
  </cols>
  <sheetData>
    <row r="1" spans="1:24" s="3" customFormat="1" ht="43.2" x14ac:dyDescent="0.3">
      <c r="A1" s="20" t="s">
        <v>0</v>
      </c>
      <c r="B1" s="20" t="s">
        <v>1</v>
      </c>
      <c r="C1" s="22" t="s">
        <v>2</v>
      </c>
      <c r="D1" s="20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4" t="s">
        <v>10</v>
      </c>
      <c r="L1" s="20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3">
        <v>9</v>
      </c>
      <c r="D2" s="2">
        <v>2022</v>
      </c>
      <c r="E2" s="4">
        <f>September!B4</f>
        <v>12432</v>
      </c>
      <c r="F2" s="17">
        <v>9.9000000000000005E-2</v>
      </c>
      <c r="G2" s="4">
        <f>September!C4</f>
        <v>536</v>
      </c>
      <c r="H2" s="18">
        <v>0.28000000000000003</v>
      </c>
      <c r="I2" s="4">
        <f>September!D4</f>
        <v>84</v>
      </c>
      <c r="J2" s="18">
        <v>3.2719999999999998</v>
      </c>
      <c r="K2" s="25">
        <f>September!J4</f>
        <v>103</v>
      </c>
      <c r="L2" s="25">
        <f>September!K4</f>
        <v>57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3">
        <v>9</v>
      </c>
      <c r="D3" s="2">
        <v>2022</v>
      </c>
      <c r="E3" s="4">
        <f>September!B5</f>
        <v>11652</v>
      </c>
      <c r="F3" s="17">
        <v>9.9000000000000005E-2</v>
      </c>
      <c r="G3" s="4">
        <f>September!C5</f>
        <v>553</v>
      </c>
      <c r="H3" s="18">
        <v>0.28000000000000003</v>
      </c>
      <c r="I3" s="4">
        <f>September!D5</f>
        <v>86</v>
      </c>
      <c r="J3" s="18">
        <v>3.2719999999999998</v>
      </c>
      <c r="K3" s="25">
        <f>September!J5</f>
        <v>134</v>
      </c>
      <c r="L3" s="25">
        <f>September!K5</f>
        <v>75</v>
      </c>
    </row>
    <row r="4" spans="1:24" x14ac:dyDescent="0.3">
      <c r="A4" s="3" t="s">
        <v>12</v>
      </c>
      <c r="B4" s="2">
        <f t="shared" ref="B4:B32" si="0">B3+1</f>
        <v>3</v>
      </c>
      <c r="C4" s="23">
        <v>9</v>
      </c>
      <c r="D4" s="2">
        <v>2022</v>
      </c>
      <c r="E4" s="4">
        <f>September!B6</f>
        <v>11922</v>
      </c>
      <c r="F4" s="17">
        <v>9.9000000000000005E-2</v>
      </c>
      <c r="G4" s="4">
        <f>September!C6</f>
        <v>535</v>
      </c>
      <c r="H4" s="18">
        <v>0.28000000000000003</v>
      </c>
      <c r="I4" s="4">
        <f>September!D6</f>
        <v>87</v>
      </c>
      <c r="J4" s="18">
        <v>3.2719999999999998</v>
      </c>
      <c r="K4" s="25">
        <f>September!J6</f>
        <v>152</v>
      </c>
      <c r="L4" s="25">
        <f>September!K6</f>
        <v>85</v>
      </c>
    </row>
    <row r="5" spans="1:24" x14ac:dyDescent="0.3">
      <c r="A5" s="3" t="s">
        <v>12</v>
      </c>
      <c r="B5" s="2">
        <f t="shared" si="0"/>
        <v>4</v>
      </c>
      <c r="C5" s="23">
        <v>9</v>
      </c>
      <c r="D5" s="2">
        <v>2022</v>
      </c>
      <c r="E5" s="4">
        <f>September!B7</f>
        <v>13179</v>
      </c>
      <c r="F5" s="17">
        <v>9.9000000000000005E-2</v>
      </c>
      <c r="G5" s="4">
        <f>September!C7</f>
        <v>521</v>
      </c>
      <c r="H5" s="18">
        <v>0.28000000000000003</v>
      </c>
      <c r="I5" s="4">
        <f>September!D7</f>
        <v>90</v>
      </c>
      <c r="J5" s="18">
        <v>3.2719999999999998</v>
      </c>
      <c r="K5" s="25">
        <f>September!J7</f>
        <v>129</v>
      </c>
      <c r="L5" s="25">
        <f>September!K7</f>
        <v>83</v>
      </c>
    </row>
    <row r="6" spans="1:24" x14ac:dyDescent="0.3">
      <c r="A6" s="3" t="s">
        <v>12</v>
      </c>
      <c r="B6" s="2">
        <f t="shared" si="0"/>
        <v>5</v>
      </c>
      <c r="C6" s="23">
        <v>9</v>
      </c>
      <c r="D6" s="2">
        <v>2022</v>
      </c>
      <c r="E6" s="4">
        <f>September!B8</f>
        <v>14156</v>
      </c>
      <c r="F6" s="17">
        <v>9.9000000000000005E-2</v>
      </c>
      <c r="G6" s="4">
        <f>September!C8</f>
        <v>510</v>
      </c>
      <c r="H6" s="18">
        <v>0.28000000000000003</v>
      </c>
      <c r="I6" s="4">
        <f>September!D8</f>
        <v>89</v>
      </c>
      <c r="J6" s="18">
        <v>3.2719999999999998</v>
      </c>
      <c r="K6" s="25">
        <f>September!J8</f>
        <v>139</v>
      </c>
      <c r="L6" s="25">
        <f>September!K8</f>
        <v>102</v>
      </c>
    </row>
    <row r="7" spans="1:24" x14ac:dyDescent="0.3">
      <c r="A7" s="3" t="s">
        <v>12</v>
      </c>
      <c r="B7" s="2">
        <f t="shared" si="0"/>
        <v>6</v>
      </c>
      <c r="C7" s="23">
        <v>9</v>
      </c>
      <c r="D7" s="2">
        <v>2022</v>
      </c>
      <c r="E7" s="4">
        <f>September!B9</f>
        <v>14898</v>
      </c>
      <c r="F7" s="17">
        <v>9.9000000000000005E-2</v>
      </c>
      <c r="G7" s="4">
        <f>September!C9</f>
        <v>548</v>
      </c>
      <c r="H7" s="18">
        <v>0.28000000000000003</v>
      </c>
      <c r="I7" s="4">
        <f>September!D9</f>
        <v>90</v>
      </c>
      <c r="J7" s="18">
        <v>3.2719999999999998</v>
      </c>
      <c r="K7" s="25">
        <f>September!J9</f>
        <v>166</v>
      </c>
      <c r="L7" s="25">
        <f>September!K9</f>
        <v>120</v>
      </c>
    </row>
    <row r="8" spans="1:24" x14ac:dyDescent="0.3">
      <c r="A8" s="3" t="s">
        <v>12</v>
      </c>
      <c r="B8" s="2">
        <f t="shared" si="0"/>
        <v>7</v>
      </c>
      <c r="C8" s="23">
        <v>9</v>
      </c>
      <c r="D8" s="2">
        <v>2022</v>
      </c>
      <c r="E8" s="4">
        <f>September!B10</f>
        <v>15195</v>
      </c>
      <c r="F8" s="17">
        <v>9.9000000000000005E-2</v>
      </c>
      <c r="G8" s="4">
        <f>September!C10</f>
        <v>511</v>
      </c>
      <c r="H8" s="18">
        <v>0.28000000000000003</v>
      </c>
      <c r="I8" s="4">
        <f>September!D10</f>
        <v>103</v>
      </c>
      <c r="J8" s="18">
        <v>3.2719999999999998</v>
      </c>
      <c r="K8" s="25">
        <f>September!J10</f>
        <v>145</v>
      </c>
      <c r="L8" s="25">
        <f>September!K10</f>
        <v>94</v>
      </c>
    </row>
    <row r="9" spans="1:24" x14ac:dyDescent="0.3">
      <c r="A9" s="3" t="s">
        <v>12</v>
      </c>
      <c r="B9" s="2">
        <f t="shared" si="0"/>
        <v>8</v>
      </c>
      <c r="C9" s="23">
        <v>9</v>
      </c>
      <c r="D9" s="2">
        <v>2022</v>
      </c>
      <c r="E9" s="4">
        <f>September!B11</f>
        <v>12308</v>
      </c>
      <c r="F9" s="17">
        <v>9.9000000000000005E-2</v>
      </c>
      <c r="G9" s="4">
        <f>September!C11</f>
        <v>500</v>
      </c>
      <c r="H9" s="18">
        <v>0.28000000000000003</v>
      </c>
      <c r="I9" s="4">
        <f>September!D11</f>
        <v>86</v>
      </c>
      <c r="J9" s="18">
        <v>3.2719999999999998</v>
      </c>
      <c r="K9" s="25">
        <f>September!J11</f>
        <v>128</v>
      </c>
      <c r="L9" s="25">
        <f>September!K11</f>
        <v>78</v>
      </c>
    </row>
    <row r="10" spans="1:24" x14ac:dyDescent="0.3">
      <c r="A10" s="3" t="s">
        <v>12</v>
      </c>
      <c r="B10" s="2">
        <f t="shared" si="0"/>
        <v>9</v>
      </c>
      <c r="C10" s="23">
        <v>9</v>
      </c>
      <c r="D10" s="2">
        <v>2022</v>
      </c>
      <c r="E10" s="4">
        <f>September!B12</f>
        <v>12492</v>
      </c>
      <c r="F10" s="17">
        <v>9.9000000000000005E-2</v>
      </c>
      <c r="G10" s="4">
        <f>September!C12</f>
        <v>480</v>
      </c>
      <c r="H10" s="18">
        <v>0.28000000000000003</v>
      </c>
      <c r="I10" s="4">
        <f>September!D12</f>
        <v>85</v>
      </c>
      <c r="J10" s="18">
        <v>3.2719999999999998</v>
      </c>
      <c r="K10" s="25">
        <f>September!J12</f>
        <v>131</v>
      </c>
      <c r="L10" s="25">
        <f>September!K12</f>
        <v>75</v>
      </c>
    </row>
    <row r="11" spans="1:24" x14ac:dyDescent="0.3">
      <c r="A11" s="3" t="s">
        <v>12</v>
      </c>
      <c r="B11" s="2">
        <f t="shared" si="0"/>
        <v>10</v>
      </c>
      <c r="C11" s="23">
        <v>9</v>
      </c>
      <c r="D11" s="2">
        <v>2022</v>
      </c>
      <c r="E11" s="4">
        <f>September!B13</f>
        <v>12176</v>
      </c>
      <c r="F11" s="17">
        <v>9.9000000000000005E-2</v>
      </c>
      <c r="G11" s="4">
        <f>September!C13</f>
        <v>435</v>
      </c>
      <c r="H11" s="18">
        <v>0.28000000000000003</v>
      </c>
      <c r="I11" s="4">
        <f>September!D13</f>
        <v>86</v>
      </c>
      <c r="J11" s="18">
        <v>3.2719999999999998</v>
      </c>
      <c r="K11" s="25">
        <f>September!J13</f>
        <v>147</v>
      </c>
      <c r="L11" s="25">
        <f>September!K13</f>
        <v>74</v>
      </c>
    </row>
    <row r="12" spans="1:24" x14ac:dyDescent="0.3">
      <c r="A12" s="3" t="s">
        <v>12</v>
      </c>
      <c r="B12" s="2">
        <f t="shared" si="0"/>
        <v>11</v>
      </c>
      <c r="C12" s="23">
        <v>9</v>
      </c>
      <c r="D12" s="2">
        <v>2022</v>
      </c>
      <c r="E12" s="4">
        <f>September!B14</f>
        <v>11855</v>
      </c>
      <c r="F12" s="17">
        <v>9.9000000000000005E-2</v>
      </c>
      <c r="G12" s="4">
        <f>September!C14</f>
        <v>630</v>
      </c>
      <c r="H12" s="18">
        <v>0.28000000000000003</v>
      </c>
      <c r="I12" s="4">
        <f>September!D14</f>
        <v>87</v>
      </c>
      <c r="J12" s="18">
        <v>3.2719999999999998</v>
      </c>
      <c r="K12" s="25">
        <f>September!J14</f>
        <v>141</v>
      </c>
      <c r="L12" s="25">
        <f>September!K14</f>
        <v>73</v>
      </c>
    </row>
    <row r="13" spans="1:24" x14ac:dyDescent="0.3">
      <c r="A13" s="3" t="s">
        <v>12</v>
      </c>
      <c r="B13" s="2">
        <f t="shared" si="0"/>
        <v>12</v>
      </c>
      <c r="C13" s="23">
        <v>9</v>
      </c>
      <c r="D13" s="2">
        <v>2022</v>
      </c>
      <c r="E13" s="4">
        <f>September!B15</f>
        <v>11592</v>
      </c>
      <c r="F13" s="17">
        <v>9.9000000000000005E-2</v>
      </c>
      <c r="G13" s="4">
        <f>September!C15</f>
        <v>540</v>
      </c>
      <c r="H13" s="18">
        <v>0.28000000000000003</v>
      </c>
      <c r="I13" s="4">
        <f>September!D15</f>
        <v>92</v>
      </c>
      <c r="J13" s="18">
        <v>3.2719999999999998</v>
      </c>
      <c r="K13" s="25">
        <f>September!J15</f>
        <v>156</v>
      </c>
      <c r="L13" s="25">
        <f>September!K15</f>
        <v>84</v>
      </c>
    </row>
    <row r="14" spans="1:24" x14ac:dyDescent="0.3">
      <c r="A14" s="3" t="s">
        <v>12</v>
      </c>
      <c r="B14" s="2">
        <f t="shared" si="0"/>
        <v>13</v>
      </c>
      <c r="C14" s="23">
        <v>9</v>
      </c>
      <c r="D14" s="2">
        <v>2022</v>
      </c>
      <c r="E14" s="4">
        <f>September!B16</f>
        <v>12378</v>
      </c>
      <c r="F14" s="17">
        <v>9.9000000000000005E-2</v>
      </c>
      <c r="G14" s="4">
        <f>September!C16</f>
        <v>559</v>
      </c>
      <c r="H14" s="18">
        <v>0.28000000000000003</v>
      </c>
      <c r="I14" s="4">
        <f>September!D16</f>
        <v>92</v>
      </c>
      <c r="J14" s="18">
        <v>3.2719999999999998</v>
      </c>
      <c r="K14" s="25">
        <f>September!J16</f>
        <v>167</v>
      </c>
      <c r="L14" s="25">
        <f>September!K16</f>
        <v>107</v>
      </c>
    </row>
    <row r="15" spans="1:24" x14ac:dyDescent="0.3">
      <c r="A15" s="3" t="s">
        <v>12</v>
      </c>
      <c r="B15" s="2">
        <f t="shared" si="0"/>
        <v>14</v>
      </c>
      <c r="C15" s="23">
        <v>9</v>
      </c>
      <c r="D15" s="2">
        <v>2022</v>
      </c>
      <c r="E15" s="4">
        <f>September!B17</f>
        <v>12283</v>
      </c>
      <c r="F15" s="17">
        <v>9.9000000000000005E-2</v>
      </c>
      <c r="G15" s="4">
        <f>September!C17</f>
        <v>554</v>
      </c>
      <c r="H15" s="18">
        <v>0.28000000000000003</v>
      </c>
      <c r="I15" s="4">
        <f>September!D17</f>
        <v>85</v>
      </c>
      <c r="J15" s="18">
        <v>3.2719999999999998</v>
      </c>
      <c r="K15" s="25">
        <f>September!J17</f>
        <v>157</v>
      </c>
      <c r="L15" s="25">
        <f>September!K17</f>
        <v>99</v>
      </c>
    </row>
    <row r="16" spans="1:24" x14ac:dyDescent="0.3">
      <c r="A16" s="3" t="s">
        <v>12</v>
      </c>
      <c r="B16" s="2">
        <f t="shared" si="0"/>
        <v>15</v>
      </c>
      <c r="C16" s="23">
        <v>9</v>
      </c>
      <c r="D16" s="2">
        <v>2022</v>
      </c>
      <c r="E16" s="4">
        <f>September!B18</f>
        <v>12850</v>
      </c>
      <c r="F16" s="17">
        <v>9.9000000000000005E-2</v>
      </c>
      <c r="G16" s="4">
        <f>September!C18</f>
        <v>656</v>
      </c>
      <c r="H16" s="18">
        <v>0.28000000000000003</v>
      </c>
      <c r="I16" s="4">
        <f>September!D18</f>
        <v>99</v>
      </c>
      <c r="J16" s="18">
        <v>3.2719999999999998</v>
      </c>
      <c r="K16" s="25">
        <f>September!J18</f>
        <v>207</v>
      </c>
      <c r="L16" s="25">
        <f>September!K18</f>
        <v>127</v>
      </c>
    </row>
    <row r="17" spans="1:12" x14ac:dyDescent="0.3">
      <c r="A17" s="3" t="s">
        <v>12</v>
      </c>
      <c r="B17" s="2">
        <f t="shared" si="0"/>
        <v>16</v>
      </c>
      <c r="C17" s="23">
        <v>9</v>
      </c>
      <c r="D17" s="2">
        <v>2022</v>
      </c>
      <c r="E17" s="4">
        <f>September!B19</f>
        <v>13354</v>
      </c>
      <c r="F17" s="17">
        <v>9.9000000000000005E-2</v>
      </c>
      <c r="G17" s="4">
        <f>September!C19</f>
        <v>736</v>
      </c>
      <c r="H17" s="18">
        <v>0.28000000000000003</v>
      </c>
      <c r="I17" s="4">
        <f>September!D19</f>
        <v>109</v>
      </c>
      <c r="J17" s="18">
        <v>3.2719999999999998</v>
      </c>
      <c r="K17" s="25">
        <f>September!J19</f>
        <v>224</v>
      </c>
      <c r="L17" s="25">
        <f>September!K19</f>
        <v>116</v>
      </c>
    </row>
    <row r="18" spans="1:12" x14ac:dyDescent="0.3">
      <c r="A18" s="3" t="s">
        <v>12</v>
      </c>
      <c r="B18" s="2">
        <f t="shared" si="0"/>
        <v>17</v>
      </c>
      <c r="C18" s="23">
        <v>9</v>
      </c>
      <c r="D18" s="2">
        <v>2022</v>
      </c>
      <c r="E18" s="4">
        <f>September!B20</f>
        <v>10883</v>
      </c>
      <c r="F18" s="17">
        <v>9.9000000000000005E-2</v>
      </c>
      <c r="G18" s="4">
        <f>September!C20</f>
        <v>682</v>
      </c>
      <c r="H18" s="18">
        <v>0.28000000000000003</v>
      </c>
      <c r="I18" s="4">
        <f>September!D20</f>
        <v>100</v>
      </c>
      <c r="J18" s="18">
        <v>3.2719999999999998</v>
      </c>
      <c r="K18" s="25">
        <f>September!J20</f>
        <v>175</v>
      </c>
      <c r="L18" s="25">
        <f>September!K20</f>
        <v>109</v>
      </c>
    </row>
    <row r="19" spans="1:12" x14ac:dyDescent="0.3">
      <c r="A19" s="3" t="s">
        <v>12</v>
      </c>
      <c r="B19" s="2">
        <f t="shared" si="0"/>
        <v>18</v>
      </c>
      <c r="C19" s="23">
        <v>9</v>
      </c>
      <c r="D19" s="2">
        <v>2022</v>
      </c>
      <c r="E19" s="4">
        <f>September!B21</f>
        <v>11215</v>
      </c>
      <c r="F19" s="17">
        <v>9.9000000000000005E-2</v>
      </c>
      <c r="G19" s="4">
        <f>September!C21</f>
        <v>736</v>
      </c>
      <c r="H19" s="18">
        <v>0.28000000000000003</v>
      </c>
      <c r="I19" s="4">
        <f>September!D21</f>
        <v>101</v>
      </c>
      <c r="J19" s="18">
        <v>3.2719999999999998</v>
      </c>
      <c r="K19" s="25">
        <f>September!J21</f>
        <v>232</v>
      </c>
      <c r="L19" s="25">
        <f>September!K21</f>
        <v>139</v>
      </c>
    </row>
    <row r="20" spans="1:12" x14ac:dyDescent="0.3">
      <c r="A20" s="3" t="s">
        <v>12</v>
      </c>
      <c r="B20" s="2">
        <f t="shared" si="0"/>
        <v>19</v>
      </c>
      <c r="C20" s="23">
        <v>9</v>
      </c>
      <c r="D20" s="2">
        <v>2022</v>
      </c>
      <c r="E20" s="4">
        <f>September!B22</f>
        <v>11394</v>
      </c>
      <c r="F20" s="17">
        <v>9.9000000000000005E-2</v>
      </c>
      <c r="G20" s="4">
        <f>September!C22</f>
        <v>756</v>
      </c>
      <c r="H20" s="18">
        <v>0.28000000000000003</v>
      </c>
      <c r="I20" s="4">
        <f>September!D22</f>
        <v>89</v>
      </c>
      <c r="J20" s="18">
        <v>3.2719999999999998</v>
      </c>
      <c r="K20" s="25">
        <f>September!J22</f>
        <v>208</v>
      </c>
      <c r="L20" s="25">
        <f>September!K22</f>
        <v>136</v>
      </c>
    </row>
    <row r="21" spans="1:12" x14ac:dyDescent="0.3">
      <c r="A21" s="3" t="s">
        <v>12</v>
      </c>
      <c r="B21" s="2">
        <f t="shared" si="0"/>
        <v>20</v>
      </c>
      <c r="C21" s="23">
        <v>9</v>
      </c>
      <c r="D21" s="2">
        <v>2022</v>
      </c>
      <c r="E21" s="4">
        <f>September!B23</f>
        <v>11612.5</v>
      </c>
      <c r="F21" s="17">
        <v>9.9000000000000005E-2</v>
      </c>
      <c r="G21" s="4">
        <f>September!C23</f>
        <v>858.5</v>
      </c>
      <c r="H21" s="18">
        <v>0.28000000000000003</v>
      </c>
      <c r="I21" s="4">
        <f>September!D23</f>
        <v>190</v>
      </c>
      <c r="J21" s="18">
        <v>3.2719999999999998</v>
      </c>
      <c r="K21" s="25">
        <f>September!J23</f>
        <v>185</v>
      </c>
      <c r="L21" s="25">
        <f>September!K23</f>
        <v>122</v>
      </c>
    </row>
    <row r="22" spans="1:12" x14ac:dyDescent="0.3">
      <c r="A22" s="3" t="s">
        <v>12</v>
      </c>
      <c r="B22" s="2">
        <f t="shared" si="0"/>
        <v>21</v>
      </c>
      <c r="C22" s="23">
        <v>9</v>
      </c>
      <c r="D22" s="2">
        <v>2022</v>
      </c>
      <c r="E22" s="4">
        <f>September!B24</f>
        <v>11612.5</v>
      </c>
      <c r="F22" s="17">
        <v>9.9000000000000005E-2</v>
      </c>
      <c r="G22" s="4">
        <f>September!C24</f>
        <v>858.5</v>
      </c>
      <c r="H22" s="18">
        <v>0.28000000000000003</v>
      </c>
      <c r="I22" s="4">
        <f>September!D24</f>
        <v>92</v>
      </c>
      <c r="J22" s="18">
        <v>3.2719999999999998</v>
      </c>
      <c r="K22" s="25">
        <f>September!J24</f>
        <v>150</v>
      </c>
      <c r="L22" s="25">
        <f>September!K24</f>
        <v>117</v>
      </c>
    </row>
    <row r="23" spans="1:12" x14ac:dyDescent="0.3">
      <c r="A23" s="3" t="s">
        <v>12</v>
      </c>
      <c r="B23" s="2">
        <f t="shared" si="0"/>
        <v>22</v>
      </c>
      <c r="C23" s="23">
        <v>9</v>
      </c>
      <c r="D23" s="2">
        <v>2022</v>
      </c>
      <c r="E23" s="4">
        <f>September!B25</f>
        <v>11788</v>
      </c>
      <c r="F23" s="17">
        <v>9.9000000000000005E-2</v>
      </c>
      <c r="G23" s="4">
        <f>September!C25</f>
        <v>829</v>
      </c>
      <c r="H23" s="18">
        <v>0.28000000000000003</v>
      </c>
      <c r="I23" s="4">
        <f>September!D25</f>
        <v>97</v>
      </c>
      <c r="J23" s="18">
        <v>3.2719999999999998</v>
      </c>
      <c r="K23" s="25">
        <f>September!J25</f>
        <v>170</v>
      </c>
      <c r="L23" s="25">
        <f>September!K25</f>
        <v>128</v>
      </c>
    </row>
    <row r="24" spans="1:12" x14ac:dyDescent="0.3">
      <c r="A24" s="3" t="s">
        <v>12</v>
      </c>
      <c r="B24" s="2">
        <f t="shared" si="0"/>
        <v>23</v>
      </c>
      <c r="C24" s="23">
        <v>9</v>
      </c>
      <c r="D24" s="2">
        <v>2022</v>
      </c>
      <c r="E24" s="4">
        <f>September!B26</f>
        <v>11806</v>
      </c>
      <c r="F24" s="17">
        <v>9.9000000000000005E-2</v>
      </c>
      <c r="G24" s="4">
        <f>September!C26</f>
        <v>899</v>
      </c>
      <c r="H24" s="18">
        <v>0.28000000000000003</v>
      </c>
      <c r="I24" s="4">
        <f>September!D26</f>
        <v>105</v>
      </c>
      <c r="J24" s="18">
        <v>3.2719999999999998</v>
      </c>
      <c r="K24" s="25">
        <f>September!J26</f>
        <v>157</v>
      </c>
      <c r="L24" s="25">
        <f>September!K26</f>
        <v>133</v>
      </c>
    </row>
    <row r="25" spans="1:12" x14ac:dyDescent="0.3">
      <c r="A25" s="3" t="s">
        <v>12</v>
      </c>
      <c r="B25" s="2">
        <f t="shared" si="0"/>
        <v>24</v>
      </c>
      <c r="C25" s="23">
        <v>9</v>
      </c>
      <c r="D25" s="2">
        <v>2022</v>
      </c>
      <c r="E25" s="4">
        <f>September!B27</f>
        <v>11787</v>
      </c>
      <c r="F25" s="17">
        <v>9.9000000000000005E-2</v>
      </c>
      <c r="G25" s="4">
        <f>September!C27</f>
        <v>790</v>
      </c>
      <c r="H25" s="18">
        <v>0.28000000000000003</v>
      </c>
      <c r="I25" s="4">
        <f>September!D27</f>
        <v>5</v>
      </c>
      <c r="J25" s="18">
        <v>3.2719999999999998</v>
      </c>
      <c r="K25" s="25">
        <f>September!J27</f>
        <v>197</v>
      </c>
      <c r="L25" s="25">
        <f>September!K27</f>
        <v>142</v>
      </c>
    </row>
    <row r="26" spans="1:12" x14ac:dyDescent="0.3">
      <c r="A26" s="3" t="s">
        <v>12</v>
      </c>
      <c r="B26" s="2">
        <f>B25+1</f>
        <v>25</v>
      </c>
      <c r="C26" s="23">
        <v>9</v>
      </c>
      <c r="D26" s="2">
        <v>2022</v>
      </c>
      <c r="E26" s="4">
        <f>September!B28</f>
        <v>11960</v>
      </c>
      <c r="F26" s="17">
        <v>9.9000000000000005E-2</v>
      </c>
      <c r="G26" s="4">
        <f>September!C28</f>
        <v>644</v>
      </c>
      <c r="H26" s="18">
        <v>0.28000000000000003</v>
      </c>
      <c r="I26" s="4">
        <f>September!D28</f>
        <v>94</v>
      </c>
      <c r="J26" s="18">
        <v>3.2719999999999998</v>
      </c>
      <c r="K26" s="25">
        <f>September!J28</f>
        <v>110</v>
      </c>
      <c r="L26" s="25">
        <f>September!K28</f>
        <v>65</v>
      </c>
    </row>
    <row r="27" spans="1:12" x14ac:dyDescent="0.3">
      <c r="A27" s="3" t="s">
        <v>12</v>
      </c>
      <c r="B27" s="2">
        <f t="shared" si="0"/>
        <v>26</v>
      </c>
      <c r="C27" s="23">
        <v>9</v>
      </c>
      <c r="D27" s="2">
        <v>2022</v>
      </c>
      <c r="E27" s="4">
        <f>September!B29</f>
        <v>12007</v>
      </c>
      <c r="F27" s="17">
        <v>9.9000000000000005E-2</v>
      </c>
      <c r="G27" s="4">
        <f>September!C29</f>
        <v>630</v>
      </c>
      <c r="H27" s="18">
        <v>0.28000000000000003</v>
      </c>
      <c r="I27" s="4">
        <f>September!D29</f>
        <v>90</v>
      </c>
      <c r="J27" s="18">
        <v>3.2719999999999998</v>
      </c>
      <c r="K27" s="25">
        <f>September!J29</f>
        <v>166</v>
      </c>
      <c r="L27" s="25">
        <f>September!K29</f>
        <v>166</v>
      </c>
    </row>
    <row r="28" spans="1:12" x14ac:dyDescent="0.3">
      <c r="A28" s="3" t="s">
        <v>12</v>
      </c>
      <c r="B28" s="2">
        <f t="shared" si="0"/>
        <v>27</v>
      </c>
      <c r="C28" s="23">
        <v>9</v>
      </c>
      <c r="D28" s="2">
        <v>2022</v>
      </c>
      <c r="E28" s="4">
        <f>September!B30</f>
        <v>12087</v>
      </c>
      <c r="F28" s="17">
        <v>9.9000000000000005E-2</v>
      </c>
      <c r="G28" s="4">
        <f>September!C30</f>
        <v>839</v>
      </c>
      <c r="H28" s="18">
        <v>0.28000000000000003</v>
      </c>
      <c r="I28" s="4">
        <f>September!D30</f>
        <v>96</v>
      </c>
      <c r="J28" s="18">
        <v>3.2719999999999998</v>
      </c>
      <c r="K28" s="25">
        <f>September!J30</f>
        <v>189</v>
      </c>
      <c r="L28" s="25">
        <f>September!K30</f>
        <v>114</v>
      </c>
    </row>
    <row r="29" spans="1:12" x14ac:dyDescent="0.3">
      <c r="A29" s="3" t="s">
        <v>12</v>
      </c>
      <c r="B29" s="2">
        <f t="shared" si="0"/>
        <v>28</v>
      </c>
      <c r="C29" s="23">
        <v>9</v>
      </c>
      <c r="D29" s="2">
        <v>2022</v>
      </c>
      <c r="E29" s="4">
        <f>September!B31</f>
        <v>10247</v>
      </c>
      <c r="F29" s="17">
        <v>9.9000000000000005E-2</v>
      </c>
      <c r="G29" s="4">
        <f>September!C31</f>
        <v>831</v>
      </c>
      <c r="H29" s="18">
        <v>0.28000000000000003</v>
      </c>
      <c r="I29" s="4">
        <f>September!D31</f>
        <v>97</v>
      </c>
      <c r="J29" s="18">
        <v>3.2719999999999998</v>
      </c>
      <c r="K29" s="25">
        <f>September!J31</f>
        <v>189</v>
      </c>
      <c r="L29" s="25">
        <f>September!K31</f>
        <v>111</v>
      </c>
    </row>
    <row r="30" spans="1:12" x14ac:dyDescent="0.3">
      <c r="A30" s="3" t="s">
        <v>12</v>
      </c>
      <c r="B30" s="2">
        <f t="shared" si="0"/>
        <v>29</v>
      </c>
      <c r="C30" s="23">
        <v>9</v>
      </c>
      <c r="D30" s="2">
        <v>2022</v>
      </c>
      <c r="E30" s="4">
        <f>September!B32</f>
        <v>11154</v>
      </c>
      <c r="F30" s="17">
        <v>9.9000000000000005E-2</v>
      </c>
      <c r="G30" s="4">
        <f>September!C32</f>
        <v>825</v>
      </c>
      <c r="H30" s="18">
        <v>0.28000000000000003</v>
      </c>
      <c r="I30" s="4">
        <f>September!D32</f>
        <v>99</v>
      </c>
      <c r="J30" s="18">
        <v>3.2719999999999998</v>
      </c>
      <c r="K30" s="25">
        <f>September!J32</f>
        <v>170</v>
      </c>
      <c r="L30" s="25">
        <f>September!K32</f>
        <v>107</v>
      </c>
    </row>
    <row r="31" spans="1:12" x14ac:dyDescent="0.3">
      <c r="A31" s="3" t="s">
        <v>12</v>
      </c>
      <c r="B31" s="2">
        <f t="shared" si="0"/>
        <v>30</v>
      </c>
      <c r="C31" s="23">
        <v>9</v>
      </c>
      <c r="D31" s="2">
        <v>2022</v>
      </c>
      <c r="E31" s="4">
        <f>September!B33</f>
        <v>11381</v>
      </c>
      <c r="F31" s="17">
        <v>9.9000000000000005E-2</v>
      </c>
      <c r="G31" s="4">
        <f>September!C33</f>
        <v>700</v>
      </c>
      <c r="H31" s="18">
        <v>0.28000000000000003</v>
      </c>
      <c r="I31" s="4">
        <f>September!D33</f>
        <v>96</v>
      </c>
      <c r="J31" s="18">
        <v>3.2719999999999998</v>
      </c>
      <c r="K31" s="25">
        <f>September!J33</f>
        <v>186</v>
      </c>
      <c r="L31" s="25">
        <f>September!K33</f>
        <v>114</v>
      </c>
    </row>
    <row r="32" spans="1:12" x14ac:dyDescent="0.3">
      <c r="A32" s="3" t="s">
        <v>12</v>
      </c>
      <c r="B32" s="2">
        <f t="shared" si="0"/>
        <v>31</v>
      </c>
      <c r="C32" s="23">
        <v>9</v>
      </c>
      <c r="D32" s="2">
        <v>2022</v>
      </c>
      <c r="E32" s="4">
        <f>September!B34</f>
        <v>0</v>
      </c>
      <c r="F32" s="17">
        <v>1.099</v>
      </c>
      <c r="G32" s="4">
        <f>September!C34</f>
        <v>0</v>
      </c>
      <c r="H32" s="18">
        <v>1.28</v>
      </c>
      <c r="I32" s="4">
        <f>September!D34</f>
        <v>0</v>
      </c>
      <c r="J32" s="18">
        <v>4.2720000000000002</v>
      </c>
      <c r="K32" s="25">
        <f>September!J34</f>
        <v>0</v>
      </c>
      <c r="L32" s="25">
        <f>September!K34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tabSelected="1" workbookViewId="0">
      <selection activeCell="B41" sqref="B41:B42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72" t="s">
        <v>35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16"/>
      <c r="F2" s="75" t="s">
        <v>34</v>
      </c>
      <c r="G2" s="76"/>
      <c r="H2" s="77"/>
      <c r="I2" s="16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28"/>
      <c r="B3" s="29" t="s">
        <v>20</v>
      </c>
      <c r="C3" s="29" t="s">
        <v>21</v>
      </c>
      <c r="D3" s="47" t="s">
        <v>21</v>
      </c>
      <c r="E3" s="30"/>
      <c r="F3" s="50" t="s">
        <v>31</v>
      </c>
      <c r="G3" s="50" t="s">
        <v>32</v>
      </c>
      <c r="H3" s="50" t="s">
        <v>33</v>
      </c>
      <c r="I3" s="30"/>
      <c r="J3" s="28" t="s">
        <v>22</v>
      </c>
      <c r="K3" s="29" t="s">
        <v>23</v>
      </c>
      <c r="L3" s="29" t="s">
        <v>23</v>
      </c>
    </row>
    <row r="4" spans="1:12" x14ac:dyDescent="0.3">
      <c r="A4" s="6">
        <v>1</v>
      </c>
      <c r="B4" s="59">
        <v>12432</v>
      </c>
      <c r="C4" s="60">
        <v>536</v>
      </c>
      <c r="D4" s="55">
        <v>84</v>
      </c>
      <c r="E4" s="12"/>
      <c r="F4" s="55">
        <v>13</v>
      </c>
      <c r="G4" s="68">
        <v>21</v>
      </c>
      <c r="H4" s="55">
        <v>21</v>
      </c>
      <c r="I4" s="12"/>
      <c r="J4" s="55">
        <v>103</v>
      </c>
      <c r="K4" s="55">
        <v>57</v>
      </c>
      <c r="L4" s="55">
        <v>1</v>
      </c>
    </row>
    <row r="5" spans="1:12" x14ac:dyDescent="0.3">
      <c r="A5" s="10">
        <v>2</v>
      </c>
      <c r="B5" s="61">
        <v>11652</v>
      </c>
      <c r="C5" s="62">
        <v>553</v>
      </c>
      <c r="D5" s="56">
        <v>86</v>
      </c>
      <c r="E5" s="63"/>
      <c r="F5" s="56">
        <v>9</v>
      </c>
      <c r="G5" s="69">
        <v>21</v>
      </c>
      <c r="H5" s="56">
        <v>22</v>
      </c>
      <c r="I5" s="63"/>
      <c r="J5" s="11">
        <v>134</v>
      </c>
      <c r="K5" s="11">
        <v>75</v>
      </c>
      <c r="L5" s="11">
        <v>0</v>
      </c>
    </row>
    <row r="6" spans="1:12" x14ac:dyDescent="0.3">
      <c r="A6" s="10">
        <v>3</v>
      </c>
      <c r="B6" s="61">
        <v>11922</v>
      </c>
      <c r="C6" s="62">
        <v>535</v>
      </c>
      <c r="D6" s="56">
        <v>87</v>
      </c>
      <c r="E6" s="63"/>
      <c r="F6" s="56">
        <v>8</v>
      </c>
      <c r="G6" s="65">
        <v>23</v>
      </c>
      <c r="H6" s="56">
        <v>23</v>
      </c>
      <c r="I6" s="63"/>
      <c r="J6" s="11">
        <v>152</v>
      </c>
      <c r="K6" s="11">
        <v>85</v>
      </c>
      <c r="L6" s="11">
        <v>0</v>
      </c>
    </row>
    <row r="7" spans="1:12" x14ac:dyDescent="0.3">
      <c r="A7" s="10">
        <v>4</v>
      </c>
      <c r="B7" s="61">
        <v>13179</v>
      </c>
      <c r="C7" s="62">
        <v>521</v>
      </c>
      <c r="D7" s="56">
        <v>90</v>
      </c>
      <c r="E7" s="63"/>
      <c r="F7" s="70">
        <v>15</v>
      </c>
      <c r="G7" s="65">
        <v>25</v>
      </c>
      <c r="H7" s="56">
        <v>25</v>
      </c>
      <c r="I7" s="63"/>
      <c r="J7" s="11">
        <v>129</v>
      </c>
      <c r="K7" s="11">
        <v>83</v>
      </c>
      <c r="L7" s="11">
        <v>0</v>
      </c>
    </row>
    <row r="8" spans="1:12" x14ac:dyDescent="0.3">
      <c r="A8" s="10">
        <v>5</v>
      </c>
      <c r="B8" s="61">
        <v>14156</v>
      </c>
      <c r="C8" s="62">
        <v>510</v>
      </c>
      <c r="D8" s="56">
        <v>89</v>
      </c>
      <c r="E8" s="63"/>
      <c r="F8" s="56">
        <v>13</v>
      </c>
      <c r="G8" s="65">
        <v>25</v>
      </c>
      <c r="H8" s="56">
        <v>25</v>
      </c>
      <c r="I8" s="63"/>
      <c r="J8" s="11">
        <v>139</v>
      </c>
      <c r="K8" s="11">
        <v>102</v>
      </c>
      <c r="L8" s="11">
        <v>0</v>
      </c>
    </row>
    <row r="9" spans="1:12" x14ac:dyDescent="0.3">
      <c r="A9" s="10">
        <v>6</v>
      </c>
      <c r="B9" s="61">
        <v>14898</v>
      </c>
      <c r="C9" s="62">
        <v>548</v>
      </c>
      <c r="D9" s="56">
        <v>90</v>
      </c>
      <c r="E9" s="63"/>
      <c r="F9" s="56">
        <v>14</v>
      </c>
      <c r="G9" s="65">
        <v>26</v>
      </c>
      <c r="H9" s="56">
        <v>25</v>
      </c>
      <c r="I9" s="63"/>
      <c r="J9" s="11">
        <v>166</v>
      </c>
      <c r="K9" s="11">
        <v>120</v>
      </c>
      <c r="L9" s="11">
        <v>2</v>
      </c>
    </row>
    <row r="10" spans="1:12" x14ac:dyDescent="0.3">
      <c r="A10" s="10">
        <v>7</v>
      </c>
      <c r="B10" s="61">
        <v>15195</v>
      </c>
      <c r="C10" s="62">
        <v>511</v>
      </c>
      <c r="D10" s="56">
        <v>103</v>
      </c>
      <c r="E10" s="63"/>
      <c r="F10" s="56">
        <v>13</v>
      </c>
      <c r="G10" s="65">
        <v>27</v>
      </c>
      <c r="H10" s="56">
        <v>26</v>
      </c>
      <c r="I10" s="63"/>
      <c r="J10" s="11">
        <v>145</v>
      </c>
      <c r="K10" s="11">
        <v>94</v>
      </c>
      <c r="L10" s="11">
        <v>1</v>
      </c>
    </row>
    <row r="11" spans="1:12" x14ac:dyDescent="0.3">
      <c r="A11" s="10">
        <v>8</v>
      </c>
      <c r="B11" s="61">
        <v>12308</v>
      </c>
      <c r="C11" s="62">
        <v>500</v>
      </c>
      <c r="D11" s="56">
        <v>86</v>
      </c>
      <c r="E11" s="63"/>
      <c r="F11" s="56">
        <v>14</v>
      </c>
      <c r="G11" s="65">
        <v>20</v>
      </c>
      <c r="H11" s="56">
        <v>19</v>
      </c>
      <c r="I11" s="63"/>
      <c r="J11" s="11">
        <v>128</v>
      </c>
      <c r="K11" s="11">
        <v>78</v>
      </c>
      <c r="L11" s="11">
        <v>0</v>
      </c>
    </row>
    <row r="12" spans="1:12" x14ac:dyDescent="0.3">
      <c r="A12" s="10">
        <v>9</v>
      </c>
      <c r="B12" s="61">
        <v>12492</v>
      </c>
      <c r="C12" s="62">
        <v>480</v>
      </c>
      <c r="D12" s="56">
        <v>85</v>
      </c>
      <c r="E12" s="63"/>
      <c r="F12" s="56">
        <v>13</v>
      </c>
      <c r="G12" s="65">
        <v>23</v>
      </c>
      <c r="H12" s="56">
        <v>24</v>
      </c>
      <c r="I12" s="63"/>
      <c r="J12" s="11">
        <v>131</v>
      </c>
      <c r="K12" s="11">
        <v>75</v>
      </c>
      <c r="L12" s="11">
        <v>4</v>
      </c>
    </row>
    <row r="13" spans="1:12" x14ac:dyDescent="0.3">
      <c r="A13" s="10">
        <v>10</v>
      </c>
      <c r="B13" s="61">
        <v>12176</v>
      </c>
      <c r="C13" s="62">
        <v>435</v>
      </c>
      <c r="D13" s="56">
        <v>86</v>
      </c>
      <c r="E13" s="63"/>
      <c r="F13" s="56">
        <v>12</v>
      </c>
      <c r="G13" s="65">
        <v>20</v>
      </c>
      <c r="H13" s="56">
        <v>20</v>
      </c>
      <c r="I13" s="63"/>
      <c r="J13" s="11">
        <v>147</v>
      </c>
      <c r="K13" s="11">
        <v>74</v>
      </c>
      <c r="L13" s="11">
        <v>1</v>
      </c>
    </row>
    <row r="14" spans="1:12" x14ac:dyDescent="0.3">
      <c r="A14" s="10">
        <v>11</v>
      </c>
      <c r="B14" s="61">
        <v>11855</v>
      </c>
      <c r="C14" s="62">
        <v>630</v>
      </c>
      <c r="D14" s="56">
        <v>87</v>
      </c>
      <c r="E14" s="63"/>
      <c r="F14" s="56">
        <v>12</v>
      </c>
      <c r="G14" s="65">
        <v>20</v>
      </c>
      <c r="H14" s="56">
        <v>19</v>
      </c>
      <c r="I14" s="63"/>
      <c r="J14" s="11">
        <v>141</v>
      </c>
      <c r="K14" s="11">
        <v>73</v>
      </c>
      <c r="L14" s="11">
        <v>1</v>
      </c>
    </row>
    <row r="15" spans="1:12" x14ac:dyDescent="0.3">
      <c r="A15" s="10">
        <v>12</v>
      </c>
      <c r="B15" s="61">
        <v>11592</v>
      </c>
      <c r="C15" s="62">
        <v>540</v>
      </c>
      <c r="D15" s="56">
        <v>92</v>
      </c>
      <c r="E15" s="63"/>
      <c r="F15" s="56">
        <v>10</v>
      </c>
      <c r="G15" s="65">
        <v>21</v>
      </c>
      <c r="H15" s="56">
        <v>21</v>
      </c>
      <c r="I15" s="63"/>
      <c r="J15" s="11">
        <v>156</v>
      </c>
      <c r="K15" s="11">
        <v>84</v>
      </c>
      <c r="L15" s="11">
        <v>2</v>
      </c>
    </row>
    <row r="16" spans="1:12" x14ac:dyDescent="0.3">
      <c r="A16" s="10">
        <v>13</v>
      </c>
      <c r="B16" s="61">
        <v>12378</v>
      </c>
      <c r="C16" s="62">
        <v>559</v>
      </c>
      <c r="D16" s="56">
        <v>92</v>
      </c>
      <c r="E16" s="63"/>
      <c r="F16" s="56">
        <v>10</v>
      </c>
      <c r="G16" s="65">
        <v>23</v>
      </c>
      <c r="H16" s="56">
        <v>21</v>
      </c>
      <c r="I16" s="63"/>
      <c r="J16" s="11">
        <v>167</v>
      </c>
      <c r="K16" s="11">
        <v>107</v>
      </c>
      <c r="L16" s="11">
        <v>3</v>
      </c>
    </row>
    <row r="17" spans="1:15" x14ac:dyDescent="0.3">
      <c r="A17" s="10">
        <v>14</v>
      </c>
      <c r="B17" s="61">
        <v>12283</v>
      </c>
      <c r="C17" s="61">
        <v>554</v>
      </c>
      <c r="D17" s="56">
        <v>85</v>
      </c>
      <c r="E17" s="63"/>
      <c r="F17" s="56">
        <v>15</v>
      </c>
      <c r="G17" s="65">
        <v>18</v>
      </c>
      <c r="H17" s="56">
        <v>18</v>
      </c>
      <c r="I17" s="63"/>
      <c r="J17" s="11">
        <v>157</v>
      </c>
      <c r="K17" s="11">
        <v>99</v>
      </c>
      <c r="L17" s="11">
        <v>4</v>
      </c>
    </row>
    <row r="18" spans="1:15" x14ac:dyDescent="0.3">
      <c r="A18" s="10">
        <v>15</v>
      </c>
      <c r="B18" s="61">
        <v>12850</v>
      </c>
      <c r="C18" s="61">
        <v>656</v>
      </c>
      <c r="D18" s="56">
        <v>99</v>
      </c>
      <c r="E18" s="63"/>
      <c r="F18" s="56">
        <v>11</v>
      </c>
      <c r="G18" s="65">
        <v>18</v>
      </c>
      <c r="H18" s="56">
        <v>18</v>
      </c>
      <c r="I18" s="63"/>
      <c r="J18" s="11">
        <v>207</v>
      </c>
      <c r="K18" s="11">
        <v>127</v>
      </c>
      <c r="L18" s="11">
        <v>4</v>
      </c>
    </row>
    <row r="19" spans="1:15" x14ac:dyDescent="0.3">
      <c r="A19" s="10">
        <v>16</v>
      </c>
      <c r="B19" s="61">
        <v>13354</v>
      </c>
      <c r="C19" s="62">
        <v>736</v>
      </c>
      <c r="D19" s="56">
        <v>109</v>
      </c>
      <c r="E19" s="63"/>
      <c r="F19" s="56">
        <v>9</v>
      </c>
      <c r="G19" s="65">
        <v>18</v>
      </c>
      <c r="H19" s="56">
        <v>17</v>
      </c>
      <c r="I19" s="63"/>
      <c r="J19" s="11">
        <v>224</v>
      </c>
      <c r="K19" s="11">
        <v>116</v>
      </c>
      <c r="L19" s="11">
        <v>4</v>
      </c>
    </row>
    <row r="20" spans="1:15" x14ac:dyDescent="0.3">
      <c r="A20" s="10">
        <v>17</v>
      </c>
      <c r="B20" s="61">
        <v>10883</v>
      </c>
      <c r="C20" s="62">
        <v>682</v>
      </c>
      <c r="D20" s="56">
        <v>100</v>
      </c>
      <c r="E20" s="63"/>
      <c r="F20" s="56">
        <v>8</v>
      </c>
      <c r="G20" s="65">
        <v>14</v>
      </c>
      <c r="H20" s="56">
        <v>14</v>
      </c>
      <c r="I20" s="63"/>
      <c r="J20" s="11">
        <v>175</v>
      </c>
      <c r="K20" s="11">
        <v>109</v>
      </c>
      <c r="L20" s="11">
        <v>0</v>
      </c>
    </row>
    <row r="21" spans="1:15" x14ac:dyDescent="0.3">
      <c r="A21" s="10">
        <v>18</v>
      </c>
      <c r="B21" s="61">
        <v>11215</v>
      </c>
      <c r="C21" s="62">
        <v>736</v>
      </c>
      <c r="D21" s="56">
        <v>101</v>
      </c>
      <c r="E21" s="63"/>
      <c r="F21" s="56">
        <v>7</v>
      </c>
      <c r="G21" s="65">
        <v>14</v>
      </c>
      <c r="H21" s="56">
        <v>14</v>
      </c>
      <c r="I21" s="63"/>
      <c r="J21" s="11">
        <v>232</v>
      </c>
      <c r="K21" s="11">
        <v>139</v>
      </c>
      <c r="L21" s="11">
        <v>1</v>
      </c>
      <c r="O21" s="12"/>
    </row>
    <row r="22" spans="1:15" x14ac:dyDescent="0.3">
      <c r="A22" s="10">
        <v>19</v>
      </c>
      <c r="B22" s="61">
        <v>11394</v>
      </c>
      <c r="C22" s="62">
        <v>756</v>
      </c>
      <c r="D22" s="56">
        <v>89</v>
      </c>
      <c r="E22" s="63"/>
      <c r="F22" s="56">
        <v>6</v>
      </c>
      <c r="G22" s="65">
        <v>14</v>
      </c>
      <c r="H22" s="56">
        <v>13</v>
      </c>
      <c r="I22" s="63"/>
      <c r="J22" s="11">
        <v>208</v>
      </c>
      <c r="K22" s="11">
        <v>136</v>
      </c>
      <c r="L22" s="11">
        <v>3</v>
      </c>
    </row>
    <row r="23" spans="1:15" x14ac:dyDescent="0.3">
      <c r="A23" s="10">
        <v>20</v>
      </c>
      <c r="B23" s="61">
        <v>11612.5</v>
      </c>
      <c r="C23" s="62">
        <v>858.5</v>
      </c>
      <c r="D23" s="56">
        <v>190</v>
      </c>
      <c r="E23" s="63"/>
      <c r="F23" s="56">
        <v>6</v>
      </c>
      <c r="G23" s="65">
        <v>13</v>
      </c>
      <c r="H23" s="56">
        <v>17</v>
      </c>
      <c r="I23" s="63"/>
      <c r="J23" s="11">
        <v>185</v>
      </c>
      <c r="K23" s="11">
        <v>122</v>
      </c>
      <c r="L23" s="11">
        <v>3</v>
      </c>
    </row>
    <row r="24" spans="1:15" x14ac:dyDescent="0.3">
      <c r="A24" s="10">
        <v>21</v>
      </c>
      <c r="B24" s="61">
        <v>11612.5</v>
      </c>
      <c r="C24" s="62">
        <v>858.5</v>
      </c>
      <c r="D24" s="11">
        <v>92</v>
      </c>
      <c r="E24" s="12"/>
      <c r="F24" s="11">
        <v>6</v>
      </c>
      <c r="G24" s="66">
        <v>15</v>
      </c>
      <c r="H24" s="11">
        <v>17</v>
      </c>
      <c r="I24" s="12"/>
      <c r="J24" s="11">
        <v>150</v>
      </c>
      <c r="K24" s="11">
        <v>117</v>
      </c>
      <c r="L24" s="11">
        <v>5</v>
      </c>
    </row>
    <row r="25" spans="1:15" x14ac:dyDescent="0.3">
      <c r="A25" s="10">
        <v>22</v>
      </c>
      <c r="B25" s="61">
        <v>11788</v>
      </c>
      <c r="C25" s="57">
        <v>829</v>
      </c>
      <c r="D25" s="11">
        <v>97</v>
      </c>
      <c r="E25" s="12"/>
      <c r="F25" s="11">
        <v>5</v>
      </c>
      <c r="G25" s="66">
        <v>17</v>
      </c>
      <c r="H25" s="11">
        <v>17</v>
      </c>
      <c r="I25" s="12"/>
      <c r="J25" s="11">
        <v>170</v>
      </c>
      <c r="K25" s="11">
        <v>128</v>
      </c>
      <c r="L25" s="11">
        <v>3</v>
      </c>
    </row>
    <row r="26" spans="1:15" x14ac:dyDescent="0.3">
      <c r="A26" s="10">
        <v>23</v>
      </c>
      <c r="B26" s="61">
        <v>11806</v>
      </c>
      <c r="C26" s="71">
        <v>899</v>
      </c>
      <c r="D26" s="11">
        <v>105</v>
      </c>
      <c r="E26" s="12"/>
      <c r="F26" s="11">
        <v>3</v>
      </c>
      <c r="G26" s="66">
        <v>17</v>
      </c>
      <c r="H26" s="11">
        <v>18</v>
      </c>
      <c r="I26" s="12"/>
      <c r="J26" s="11">
        <v>157</v>
      </c>
      <c r="K26" s="11">
        <v>133</v>
      </c>
      <c r="L26" s="11">
        <v>3</v>
      </c>
    </row>
    <row r="27" spans="1:15" x14ac:dyDescent="0.3">
      <c r="A27" s="10">
        <v>24</v>
      </c>
      <c r="B27" s="61">
        <v>11787</v>
      </c>
      <c r="C27" s="57">
        <v>790</v>
      </c>
      <c r="D27" s="11">
        <v>5</v>
      </c>
      <c r="E27" s="12"/>
      <c r="F27" s="11">
        <v>5</v>
      </c>
      <c r="G27" s="66">
        <v>19</v>
      </c>
      <c r="H27" s="11">
        <v>19</v>
      </c>
      <c r="I27" s="12"/>
      <c r="J27" s="11">
        <v>197</v>
      </c>
      <c r="K27" s="11">
        <v>142</v>
      </c>
      <c r="L27" s="11">
        <v>3</v>
      </c>
    </row>
    <row r="28" spans="1:15" x14ac:dyDescent="0.3">
      <c r="A28" s="10">
        <v>25</v>
      </c>
      <c r="B28" s="61">
        <v>11960</v>
      </c>
      <c r="C28" s="57">
        <v>644</v>
      </c>
      <c r="D28" s="58">
        <v>94</v>
      </c>
      <c r="E28" s="64"/>
      <c r="F28" s="58">
        <v>9</v>
      </c>
      <c r="G28" s="67">
        <v>18</v>
      </c>
      <c r="H28" s="58">
        <v>19</v>
      </c>
      <c r="I28" s="64"/>
      <c r="J28" s="11">
        <v>110</v>
      </c>
      <c r="K28" s="11">
        <v>65</v>
      </c>
      <c r="L28" s="11">
        <v>3</v>
      </c>
    </row>
    <row r="29" spans="1:15" x14ac:dyDescent="0.3">
      <c r="A29" s="10">
        <v>26</v>
      </c>
      <c r="B29" s="61">
        <v>12007</v>
      </c>
      <c r="C29" s="57">
        <v>630</v>
      </c>
      <c r="D29" s="11">
        <v>90</v>
      </c>
      <c r="E29" s="12"/>
      <c r="F29" s="11">
        <v>10</v>
      </c>
      <c r="G29" s="66">
        <v>18</v>
      </c>
      <c r="H29" s="11">
        <v>19</v>
      </c>
      <c r="I29" s="12"/>
      <c r="J29" s="11">
        <v>166</v>
      </c>
      <c r="K29" s="11">
        <v>166</v>
      </c>
      <c r="L29" s="11">
        <v>2</v>
      </c>
    </row>
    <row r="30" spans="1:15" x14ac:dyDescent="0.3">
      <c r="A30" s="9">
        <v>27</v>
      </c>
      <c r="B30" s="61">
        <v>12087</v>
      </c>
      <c r="C30" s="57">
        <v>839</v>
      </c>
      <c r="D30" s="11">
        <v>96</v>
      </c>
      <c r="E30" s="12"/>
      <c r="F30" s="11">
        <v>8</v>
      </c>
      <c r="G30" s="66">
        <v>14</v>
      </c>
      <c r="H30" s="11">
        <v>14</v>
      </c>
      <c r="I30" s="12"/>
      <c r="J30" s="11">
        <v>189</v>
      </c>
      <c r="K30" s="11">
        <v>114</v>
      </c>
      <c r="L30" s="11">
        <v>4</v>
      </c>
    </row>
    <row r="31" spans="1:15" x14ac:dyDescent="0.3">
      <c r="A31" s="31">
        <v>28</v>
      </c>
      <c r="B31" s="61">
        <v>10247</v>
      </c>
      <c r="C31" s="57">
        <v>831</v>
      </c>
      <c r="D31" s="11">
        <v>97</v>
      </c>
      <c r="E31" s="12"/>
      <c r="F31" s="11">
        <v>5</v>
      </c>
      <c r="G31" s="66">
        <v>13</v>
      </c>
      <c r="H31" s="11">
        <v>13</v>
      </c>
      <c r="I31" s="12"/>
      <c r="J31" s="11">
        <v>189</v>
      </c>
      <c r="K31" s="11">
        <v>111</v>
      </c>
      <c r="L31" s="11">
        <v>2</v>
      </c>
    </row>
    <row r="32" spans="1:15" x14ac:dyDescent="0.3">
      <c r="A32" s="31">
        <v>29</v>
      </c>
      <c r="B32" s="61">
        <v>11154</v>
      </c>
      <c r="C32" s="57">
        <v>825</v>
      </c>
      <c r="D32" s="11">
        <v>99</v>
      </c>
      <c r="E32" s="12"/>
      <c r="F32" s="11">
        <v>3</v>
      </c>
      <c r="G32" s="66">
        <v>15</v>
      </c>
      <c r="H32" s="11">
        <v>15</v>
      </c>
      <c r="I32" s="12"/>
      <c r="J32" s="11">
        <v>170</v>
      </c>
      <c r="K32" s="11">
        <v>107</v>
      </c>
      <c r="L32" s="11">
        <v>3</v>
      </c>
    </row>
    <row r="33" spans="1:15" x14ac:dyDescent="0.3">
      <c r="A33" s="31">
        <v>30</v>
      </c>
      <c r="B33" s="61">
        <v>11381</v>
      </c>
      <c r="C33" s="57">
        <v>700</v>
      </c>
      <c r="D33" s="11">
        <v>96</v>
      </c>
      <c r="E33" s="12"/>
      <c r="F33" s="11">
        <v>7</v>
      </c>
      <c r="G33" s="66">
        <v>16</v>
      </c>
      <c r="H33" s="11">
        <v>17</v>
      </c>
      <c r="I33" s="12"/>
      <c r="J33" s="11">
        <v>186</v>
      </c>
      <c r="K33" s="11">
        <v>114</v>
      </c>
      <c r="L33" s="11">
        <v>0</v>
      </c>
    </row>
    <row r="34" spans="1:15" ht="15" thickBot="1" x14ac:dyDescent="0.35">
      <c r="A34" s="32"/>
      <c r="B34" s="33"/>
      <c r="C34" s="54"/>
      <c r="D34" s="34"/>
      <c r="E34" s="12"/>
      <c r="F34" s="34"/>
      <c r="G34" s="49"/>
      <c r="H34" s="11"/>
      <c r="I34" s="12"/>
      <c r="J34" s="34"/>
      <c r="K34" s="34"/>
      <c r="L34" s="34"/>
      <c r="O34" t="s">
        <v>30</v>
      </c>
    </row>
    <row r="35" spans="1:15" ht="15" thickBot="1" x14ac:dyDescent="0.35">
      <c r="A35" s="27" t="s">
        <v>24</v>
      </c>
      <c r="B35" s="35">
        <f>SUM(B4:B34)</f>
        <v>365656</v>
      </c>
      <c r="C35" s="36">
        <f>SUM(C4:C34)</f>
        <v>19682</v>
      </c>
      <c r="D35" s="37">
        <f>SUM(D4:D34)</f>
        <v>2801</v>
      </c>
      <c r="E35" s="48"/>
      <c r="F35" s="51">
        <f>AVERAGE(F4:F34)</f>
        <v>9.3000000000000007</v>
      </c>
      <c r="G35" s="52">
        <f>AVERAGE(G4:G34)</f>
        <v>18.866666666666667</v>
      </c>
      <c r="H35" s="53">
        <f>AVERAGE(H4:H34)</f>
        <v>19</v>
      </c>
      <c r="I35" s="38"/>
      <c r="J35" s="39">
        <f>SUM(J4:J34)</f>
        <v>4910</v>
      </c>
      <c r="K35" s="39">
        <f>SUM(K4:K34)</f>
        <v>3152</v>
      </c>
      <c r="L35" s="40">
        <f>SUM(L4:L34)</f>
        <v>62</v>
      </c>
    </row>
    <row r="36" spans="1:15" ht="15" thickBot="1" x14ac:dyDescent="0.35">
      <c r="A36" s="13" t="s">
        <v>25</v>
      </c>
      <c r="B36" s="41">
        <f>AVERAGE(B4:B34)</f>
        <v>12188.533333333333</v>
      </c>
      <c r="C36" s="42">
        <f>AVERAGE(C4:C34)</f>
        <v>656.06666666666672</v>
      </c>
      <c r="D36" s="43">
        <f>AVERAGE(D4:D34)</f>
        <v>93.36666666666666</v>
      </c>
      <c r="E36" s="38"/>
      <c r="F36" s="38"/>
      <c r="G36" s="38"/>
      <c r="H36" s="38"/>
      <c r="I36" s="38"/>
      <c r="J36" s="14"/>
      <c r="K36" s="5"/>
      <c r="L36" s="5"/>
    </row>
    <row r="37" spans="1:15" ht="15" thickBot="1" x14ac:dyDescent="0.35">
      <c r="A37" s="5"/>
      <c r="B37" s="15" t="s">
        <v>26</v>
      </c>
      <c r="C37" s="15"/>
      <c r="D37" s="15"/>
      <c r="E37" s="15"/>
      <c r="F37" s="15"/>
      <c r="G37" s="15"/>
      <c r="H37" s="15"/>
      <c r="I37" s="15"/>
      <c r="J37" s="15"/>
      <c r="K37" s="5"/>
      <c r="L37" s="5"/>
    </row>
    <row r="38" spans="1:15" ht="15" thickBot="1" x14ac:dyDescent="0.35">
      <c r="A38" s="5"/>
      <c r="B38" s="41">
        <f>B35/J35</f>
        <v>74.471690427698576</v>
      </c>
      <c r="C38" s="42">
        <f>C35/J35</f>
        <v>4.0085539714867613</v>
      </c>
      <c r="D38" s="43">
        <f>D35/J35</f>
        <v>0.5704684317718941</v>
      </c>
      <c r="E38" s="38"/>
      <c r="F38" s="38"/>
      <c r="G38" s="38"/>
      <c r="H38" s="38"/>
      <c r="I38" s="38"/>
      <c r="J38" s="5"/>
      <c r="K38" s="5"/>
      <c r="L38" s="5"/>
    </row>
    <row r="39" spans="1:15" x14ac:dyDescent="0.3">
      <c r="A39" s="16"/>
      <c r="B39" s="15"/>
      <c r="C39" s="15"/>
      <c r="D39" s="15"/>
      <c r="E39" s="15"/>
      <c r="F39" s="15"/>
      <c r="G39" s="15"/>
      <c r="H39" s="15"/>
      <c r="I39" s="15"/>
      <c r="J39" s="16"/>
      <c r="K39" s="5"/>
      <c r="L39" s="5"/>
    </row>
    <row r="40" spans="1:15" x14ac:dyDescent="0.3">
      <c r="A40" s="16"/>
      <c r="B40" s="44"/>
      <c r="C40" s="44"/>
      <c r="D40" s="44"/>
      <c r="E40" s="44"/>
      <c r="F40" s="44"/>
      <c r="G40" s="44"/>
      <c r="H40" s="44"/>
      <c r="I40" s="44"/>
      <c r="J40" s="16"/>
      <c r="K40" s="5"/>
      <c r="L40" s="5"/>
    </row>
    <row r="41" spans="1:15" ht="15.6" x14ac:dyDescent="0.3">
      <c r="A41" s="45" t="s">
        <v>27</v>
      </c>
      <c r="B41" s="46">
        <v>77295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45" t="s">
        <v>28</v>
      </c>
      <c r="B42" s="46">
        <v>8277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2022-11-02T09:34:37Z</dcterms:modified>
  <cp:category/>
  <cp:contentStatus/>
</cp:coreProperties>
</file>