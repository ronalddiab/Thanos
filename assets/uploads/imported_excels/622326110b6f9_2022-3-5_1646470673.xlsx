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FD7EA161-69AF-4DBD-B236-6C9DC9939CDB}" xr6:coauthVersionLast="47" xr6:coauthVersionMax="47" xr10:uidLastSave="{00000000-0000-0000-0000-000000000000}"/>
  <bookViews>
    <workbookView xWindow="-120" yWindow="-120" windowWidth="15600" windowHeight="117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8" l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L15" i="8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4" i="4"/>
  <c r="Q6" i="4"/>
  <c r="O6" i="4"/>
  <c r="O34" i="4" s="1"/>
  <c r="M6" i="4"/>
  <c r="M34" i="4"/>
  <c r="K6" i="4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H33" i="4"/>
  <c r="I29" i="8" s="1"/>
  <c r="D33" i="4"/>
  <c r="W29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I12" i="5"/>
  <c r="M10" i="8"/>
  <c r="G4" i="5"/>
  <c r="L2" i="8"/>
  <c r="U29" i="8"/>
  <c r="N29" i="8"/>
  <c r="M29" i="8"/>
  <c r="D6" i="4"/>
  <c r="F33" i="4"/>
  <c r="H29" i="8" s="1"/>
  <c r="K2" i="9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4" i="4"/>
  <c r="I27" i="4"/>
  <c r="F2" i="8"/>
  <c r="Q34" i="4"/>
  <c r="I7" i="4"/>
  <c r="I30" i="4"/>
  <c r="I32" i="4"/>
  <c r="I27" i="9"/>
  <c r="F4" i="8"/>
  <c r="I11" i="9"/>
  <c r="AD14" i="5"/>
  <c r="AD21" i="5"/>
  <c r="AD12" i="5"/>
  <c r="AD7" i="5"/>
  <c r="I15" i="9"/>
  <c r="I12" i="9"/>
  <c r="I8" i="9"/>
  <c r="C33" i="3"/>
  <c r="I20" i="4"/>
  <c r="I2" i="8"/>
  <c r="I19" i="4"/>
  <c r="I8" i="4"/>
  <c r="I23" i="4"/>
  <c r="E33" i="3"/>
  <c r="I7" i="9"/>
  <c r="I23" i="9"/>
  <c r="I16" i="9"/>
  <c r="I19" i="9"/>
  <c r="I3" i="9"/>
  <c r="AD20" i="5"/>
  <c r="AD30" i="5"/>
  <c r="AD25" i="5"/>
  <c r="R23" i="8"/>
  <c r="G23" i="9"/>
  <c r="AD15" i="5"/>
  <c r="AD6" i="5"/>
  <c r="AD27" i="5"/>
  <c r="AD29" i="5"/>
  <c r="AD23" i="5"/>
  <c r="AD28" i="5"/>
  <c r="AD18" i="5"/>
  <c r="G24" i="9"/>
  <c r="AD26" i="5"/>
  <c r="AD8" i="5"/>
  <c r="G27" i="9"/>
  <c r="G25" i="9"/>
  <c r="G22" i="9"/>
  <c r="AD4" i="5"/>
  <c r="AD9" i="5"/>
  <c r="G9" i="9"/>
  <c r="M21" i="8"/>
  <c r="G21" i="9"/>
  <c r="G26" i="9"/>
  <c r="AD10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4" i="4"/>
  <c r="W34" i="4"/>
  <c r="I10" i="4"/>
  <c r="E2" i="9"/>
  <c r="I25" i="4"/>
  <c r="I24" i="4"/>
  <c r="F34" i="4"/>
  <c r="I15" i="4"/>
  <c r="I18" i="4"/>
  <c r="G2" i="8"/>
  <c r="I13" i="4"/>
  <c r="D34" i="4"/>
  <c r="I17" i="4"/>
  <c r="I14" i="4"/>
  <c r="I9" i="4"/>
  <c r="I22" i="4"/>
  <c r="G19" i="9"/>
  <c r="G20" i="9"/>
  <c r="H34" i="4"/>
  <c r="J12" i="8"/>
  <c r="G12" i="9"/>
  <c r="I34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I28" i="4"/>
  <c r="I33" i="4"/>
</calcChain>
</file>

<file path=xl/sharedStrings.xml><?xml version="1.0" encoding="utf-8"?>
<sst xmlns="http://schemas.openxmlformats.org/spreadsheetml/2006/main" count="179" uniqueCount="73">
  <si>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</si>
  <si>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</si>
  <si>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</si>
  <si>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</si>
  <si>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</si>
  <si>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</si>
  <si>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</si>
  <si>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</si>
  <si>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</si>
  <si>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</si>
  <si>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</si>
  <si>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</si>
  <si>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</si>
  <si>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</si>
  <si>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</si>
  <si>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</si>
  <si>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</si>
  <si>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</si>
  <si>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</si>
  <si>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</si>
  <si>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</si>
  <si>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</si>
  <si>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</si>
  <si>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</si>
  <si>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</si>
  <si>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</si>
  <si>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</si>
  <si>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</si>
  <si>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</si>
  <si>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</si>
  <si>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</si>
  <si>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</si>
  <si>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Feb 2022</t>
  </si>
  <si>
    <t>Main Reading</t>
  </si>
  <si>
    <t>Cons.</t>
  </si>
  <si>
    <t>Beach Water</t>
  </si>
  <si>
    <t>Last</t>
  </si>
  <si>
    <t>Total</t>
  </si>
  <si>
    <t>Feeders and transformers Electrity cons. Feb 22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</si>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</sst>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CFFFF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0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31" fillId="10" borderId="51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28" xfId="2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8" fillId="11" borderId="35" xfId="2" applyFont="1" applyFill="1" applyBorder="1" applyAlignment="1">
      <alignment horizontal="center" vertical="center"/>
    </xf>
    <xf numFmtId="0" fontId="32" fillId="11" borderId="36" xfId="2" applyFont="1" applyFill="1" applyBorder="1" applyAlignment="1">
      <alignment horizontal="center" vertical="center"/>
    </xf>
    <xf numFmtId="0" fontId="32" fillId="11" borderId="37" xfId="2" applyFont="1" applyFill="1" applyBorder="1" applyAlignment="1">
      <alignment horizontal="center" vertical="center"/>
    </xf>
    <xf numFmtId="0" fontId="33" fillId="11" borderId="33" xfId="2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8" fillId="11" borderId="42" xfId="2" applyFont="1" applyFill="1" applyBorder="1" applyAlignment="1">
      <alignment horizontal="center" vertical="center"/>
    </xf>
    <xf numFmtId="0" fontId="8" fillId="11" borderId="43" xfId="2" applyFont="1" applyFill="1" applyBorder="1" applyAlignment="1">
      <alignment horizontal="center" vertical="center"/>
    </xf>
    <xf numFmtId="0" fontId="8" fillId="11" borderId="44" xfId="2" applyFont="1" applyFill="1" applyBorder="1" applyAlignment="1">
      <alignment horizontal="center" vertical="center"/>
    </xf>
    <xf numFmtId="0" fontId="8" fillId="11" borderId="45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12" borderId="52" xfId="0" applyFont="1" applyFill="1" applyBorder="1"/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164" fontId="5" fillId="0" borderId="46" xfId="0" applyNumberFormat="1" applyFont="1" applyBorder="1" applyAlignment="1">
      <alignment horizontal="center" vertical="center"/>
    </xf>
    <xf numFmtId="164" fontId="5" fillId="0" borderId="47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6" fillId="12" borderId="52" xfId="0" applyFont="1" applyFill="1" applyBorder="1" applyAlignment="1"/>
    <xf numFmtId="0" fontId="34" fillId="12" borderId="52" xfId="0" applyFont="1" applyFill="1" applyBorder="1" applyAlignment="1"/>
    <xf numFmtId="0" fontId="34" fillId="13" borderId="53" xfId="0" applyFont="1" applyFill="1" applyBorder="1" applyAlignment="1"/>
    <xf numFmtId="0" fontId="35" fillId="0" borderId="52" xfId="0" applyFont="1" applyBorder="1" applyAlignment="1"/>
    <xf numFmtId="0" fontId="35" fillId="12" borderId="52" xfId="0" applyFont="1" applyFill="1" applyBorder="1" applyAlignment="1"/>
    <xf numFmtId="0" fontId="35" fillId="0" borderId="54" xfId="0" applyFont="1" applyBorder="1" applyAlignment="1"/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9"/>
  <sheetViews>
    <sheetView topLeftCell="A12" zoomScale="85" zoomScaleNormal="85" workbookViewId="0">
      <selection activeCell="A30" sqref="A30:XFD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2</v>
      </c>
      <c r="D2" s="14">
        <v>2022</v>
      </c>
      <c r="E2" s="7">
        <f>ELECT.!D6+ELECT.!F6+ELECT.!H6</f>
        <v>18911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1726</v>
      </c>
      <c r="H2" s="20">
        <v>3.6</v>
      </c>
      <c r="I2" s="7">
        <f>Submetering!E2+Water!E5</f>
        <v>283</v>
      </c>
      <c r="J2" s="20">
        <v>9.1</v>
      </c>
      <c r="K2" s="7">
        <f>ELECT.!B6</f>
        <v>77</v>
      </c>
    </row>
    <row r="3" spans="1:11">
      <c r="A3" s="11" t="s">
        <v>11</v>
      </c>
      <c r="B3" s="14">
        <f>B2+1</f>
        <v>2</v>
      </c>
      <c r="C3" s="14">
        <v>2</v>
      </c>
      <c r="D3" s="14">
        <v>2022</v>
      </c>
      <c r="E3" s="7">
        <f>ELECT.!D7+ELECT.!F7+ELECT.!H7</f>
        <v>21006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1899</v>
      </c>
      <c r="H3" s="20">
        <v>3.6</v>
      </c>
      <c r="I3" s="7">
        <f>Submetering!E3+Water!E6</f>
        <v>463</v>
      </c>
      <c r="J3" s="20">
        <v>9.1</v>
      </c>
      <c r="K3" s="7">
        <f>ELECT.!B7</f>
        <v>69</v>
      </c>
    </row>
    <row r="4" spans="1:11">
      <c r="A4" s="11" t="s">
        <v>11</v>
      </c>
      <c r="B4" s="14">
        <f t="shared" ref="B4:B29" si="0">B3+1</f>
        <v>3</v>
      </c>
      <c r="C4" s="14">
        <v>2</v>
      </c>
      <c r="D4" s="14">
        <v>2022</v>
      </c>
      <c r="E4" s="7">
        <f>ELECT.!D8+ELECT.!F8+ELECT.!H8</f>
        <v>20378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1688</v>
      </c>
      <c r="H4" s="20">
        <v>3.6</v>
      </c>
      <c r="I4" s="7">
        <f>Submetering!E4+Water!E7</f>
        <v>453</v>
      </c>
      <c r="J4" s="20">
        <v>9.1</v>
      </c>
      <c r="K4" s="7">
        <f>ELECT.!B8</f>
        <v>40</v>
      </c>
    </row>
    <row r="5" spans="1:11">
      <c r="A5" s="11" t="s">
        <v>11</v>
      </c>
      <c r="B5" s="14">
        <f t="shared" si="0"/>
        <v>4</v>
      </c>
      <c r="C5" s="14">
        <v>2</v>
      </c>
      <c r="D5" s="14">
        <v>2022</v>
      </c>
      <c r="E5" s="7">
        <f>ELECT.!D9+ELECT.!F9+ELECT.!H9</f>
        <v>20748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1900</v>
      </c>
      <c r="H5" s="20">
        <v>3.6</v>
      </c>
      <c r="I5" s="7">
        <f>Submetering!E5+Water!E8</f>
        <v>323</v>
      </c>
      <c r="J5" s="20">
        <v>9.1</v>
      </c>
      <c r="K5" s="7">
        <f>ELECT.!B9</f>
        <v>60</v>
      </c>
    </row>
    <row r="6" spans="1:11">
      <c r="A6" s="11" t="s">
        <v>11</v>
      </c>
      <c r="B6" s="14">
        <f t="shared" si="0"/>
        <v>5</v>
      </c>
      <c r="C6" s="14">
        <v>2</v>
      </c>
      <c r="D6" s="14">
        <v>2022</v>
      </c>
      <c r="E6" s="7">
        <f>ELECT.!D10+ELECT.!F10+ELECT.!H10</f>
        <v>21094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1794</v>
      </c>
      <c r="H6" s="20">
        <v>3.6</v>
      </c>
      <c r="I6" s="7">
        <f>Submetering!E6+Water!E9</f>
        <v>292</v>
      </c>
      <c r="J6" s="20">
        <v>9.1</v>
      </c>
      <c r="K6" s="7">
        <f>ELECT.!B10</f>
        <v>64</v>
      </c>
    </row>
    <row r="7" spans="1:11">
      <c r="A7" s="11" t="s">
        <v>11</v>
      </c>
      <c r="B7" s="14">
        <f t="shared" si="0"/>
        <v>6</v>
      </c>
      <c r="C7" s="14">
        <v>2</v>
      </c>
      <c r="D7" s="14">
        <v>2022</v>
      </c>
      <c r="E7" s="7">
        <f>ELECT.!D11+ELECT.!F11+ELECT.!H11</f>
        <v>16997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1768</v>
      </c>
      <c r="H7" s="20">
        <v>3.6</v>
      </c>
      <c r="I7" s="7">
        <f>Submetering!E7+Water!E10</f>
        <v>335</v>
      </c>
      <c r="J7" s="20">
        <v>9.1</v>
      </c>
      <c r="K7" s="7">
        <f>ELECT.!B11</f>
        <v>76</v>
      </c>
    </row>
    <row r="8" spans="1:11">
      <c r="A8" s="11" t="s">
        <v>11</v>
      </c>
      <c r="B8" s="14">
        <f t="shared" si="0"/>
        <v>7</v>
      </c>
      <c r="C8" s="14">
        <v>2</v>
      </c>
      <c r="D8" s="14">
        <v>2022</v>
      </c>
      <c r="E8" s="7">
        <f>ELECT.!D12+ELECT.!F12+ELECT.!H12</f>
        <v>19134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1642</v>
      </c>
      <c r="H8" s="20">
        <v>3.6</v>
      </c>
      <c r="I8" s="7">
        <f>Submetering!E8+Water!E11</f>
        <v>274</v>
      </c>
      <c r="J8" s="20">
        <v>9.1</v>
      </c>
      <c r="K8" s="7">
        <f>ELECT.!B12</f>
        <v>72</v>
      </c>
    </row>
    <row r="9" spans="1:11">
      <c r="A9" s="11" t="s">
        <v>11</v>
      </c>
      <c r="B9" s="14">
        <f t="shared" si="0"/>
        <v>8</v>
      </c>
      <c r="C9" s="14">
        <v>2</v>
      </c>
      <c r="D9" s="14">
        <v>2022</v>
      </c>
      <c r="E9" s="7">
        <f>ELECT.!D13+ELECT.!F13+ELECT.!H13</f>
        <v>20041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1529</v>
      </c>
      <c r="H9" s="20">
        <v>3.6</v>
      </c>
      <c r="I9" s="7">
        <f>Submetering!E9+Water!E12</f>
        <v>265</v>
      </c>
      <c r="J9" s="20">
        <v>9.1</v>
      </c>
      <c r="K9" s="7">
        <f>ELECT.!B13</f>
        <v>80</v>
      </c>
    </row>
    <row r="10" spans="1:11">
      <c r="A10" s="11" t="s">
        <v>11</v>
      </c>
      <c r="B10" s="14">
        <f t="shared" si="0"/>
        <v>9</v>
      </c>
      <c r="C10" s="14">
        <v>2</v>
      </c>
      <c r="D10" s="14">
        <v>2022</v>
      </c>
      <c r="E10" s="7">
        <f>ELECT.!D14+ELECT.!F14+ELECT.!H14</f>
        <v>17807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1854</v>
      </c>
      <c r="H10" s="20">
        <v>3.6</v>
      </c>
      <c r="I10" s="7">
        <f>Submetering!E10+Water!E13</f>
        <v>251</v>
      </c>
      <c r="J10" s="20">
        <v>9.1</v>
      </c>
      <c r="K10" s="7">
        <f>ELECT.!B14</f>
        <v>76</v>
      </c>
    </row>
    <row r="11" spans="1:11">
      <c r="A11" s="11" t="s">
        <v>11</v>
      </c>
      <c r="B11" s="14">
        <f t="shared" si="0"/>
        <v>10</v>
      </c>
      <c r="C11" s="14">
        <v>2</v>
      </c>
      <c r="D11" s="14">
        <v>2022</v>
      </c>
      <c r="E11" s="7">
        <f>ELECT.!D15+ELECT.!F15+ELECT.!H15</f>
        <v>20688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1918</v>
      </c>
      <c r="H11" s="20">
        <v>3.6</v>
      </c>
      <c r="I11" s="7">
        <f>Submetering!E11+Water!E14</f>
        <v>288</v>
      </c>
      <c r="J11" s="20">
        <v>9.1</v>
      </c>
      <c r="K11" s="7">
        <f>ELECT.!B15</f>
        <v>92</v>
      </c>
    </row>
    <row r="12" spans="1:11">
      <c r="A12" s="11" t="s">
        <v>11</v>
      </c>
      <c r="B12" s="14">
        <f t="shared" si="0"/>
        <v>11</v>
      </c>
      <c r="C12" s="14">
        <v>2</v>
      </c>
      <c r="D12" s="14">
        <v>2022</v>
      </c>
      <c r="E12" s="7">
        <f>ELECT.!D16+ELECT.!F16+ELECT.!H16</f>
        <v>18694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1972</v>
      </c>
      <c r="H12" s="20">
        <v>3.6</v>
      </c>
      <c r="I12" s="7">
        <f>Submetering!E12+Water!E15</f>
        <v>397</v>
      </c>
      <c r="J12" s="20">
        <v>9.1</v>
      </c>
      <c r="K12" s="7">
        <f>ELECT.!B16</f>
        <v>107</v>
      </c>
    </row>
    <row r="13" spans="1:11">
      <c r="A13" s="11" t="s">
        <v>11</v>
      </c>
      <c r="B13" s="14">
        <f t="shared" si="0"/>
        <v>12</v>
      </c>
      <c r="C13" s="14">
        <v>2</v>
      </c>
      <c r="D13" s="14">
        <v>2022</v>
      </c>
      <c r="E13" s="7">
        <f>ELECT.!D17+ELECT.!F17+ELECT.!H17</f>
        <v>17841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1866</v>
      </c>
      <c r="H13" s="20">
        <v>3.6</v>
      </c>
      <c r="I13" s="7">
        <f>Submetering!E13+Water!E16</f>
        <v>425</v>
      </c>
      <c r="J13" s="20">
        <v>9.1</v>
      </c>
      <c r="K13" s="7">
        <f>ELECT.!B17</f>
        <v>92</v>
      </c>
    </row>
    <row r="14" spans="1:11">
      <c r="A14" s="11" t="s">
        <v>11</v>
      </c>
      <c r="B14" s="14">
        <f t="shared" si="0"/>
        <v>13</v>
      </c>
      <c r="C14" s="14">
        <v>2</v>
      </c>
      <c r="D14" s="14">
        <v>2022</v>
      </c>
      <c r="E14" s="7">
        <f>ELECT.!D18+ELECT.!F18+ELECT.!H18</f>
        <v>19467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1895</v>
      </c>
      <c r="H14" s="20">
        <v>3.6</v>
      </c>
      <c r="I14" s="7">
        <f>Submetering!E14+Water!E17</f>
        <v>393</v>
      </c>
      <c r="J14" s="20">
        <v>9.1</v>
      </c>
      <c r="K14" s="7">
        <f>ELECT.!B18</f>
        <v>96</v>
      </c>
    </row>
    <row r="15" spans="1:11">
      <c r="A15" s="11" t="s">
        <v>11</v>
      </c>
      <c r="B15" s="14">
        <f t="shared" si="0"/>
        <v>14</v>
      </c>
      <c r="C15" s="14">
        <v>2</v>
      </c>
      <c r="D15" s="14">
        <v>2022</v>
      </c>
      <c r="E15" s="7">
        <f>ELECT.!D19+ELECT.!F19+ELECT.!H19</f>
        <v>18890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1717</v>
      </c>
      <c r="H15" s="20">
        <v>3.6</v>
      </c>
      <c r="I15" s="7">
        <f>Submetering!E15+Water!E18</f>
        <v>335</v>
      </c>
      <c r="J15" s="20">
        <v>9.1</v>
      </c>
      <c r="K15" s="7">
        <f>ELECT.!B19</f>
        <v>86</v>
      </c>
    </row>
    <row r="16" spans="1:11">
      <c r="A16" s="11" t="s">
        <v>11</v>
      </c>
      <c r="B16" s="14">
        <f t="shared" si="0"/>
        <v>15</v>
      </c>
      <c r="C16" s="14">
        <v>2</v>
      </c>
      <c r="D16" s="14">
        <v>2022</v>
      </c>
      <c r="E16" s="7">
        <f>ELECT.!D20+ELECT.!F20+ELECT.!H20</f>
        <v>23199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2030</v>
      </c>
      <c r="H16" s="20">
        <v>3.6</v>
      </c>
      <c r="I16" s="7">
        <f>Submetering!E16+Water!E19</f>
        <v>458</v>
      </c>
      <c r="J16" s="20">
        <v>9.1</v>
      </c>
      <c r="K16" s="7">
        <f>ELECT.!B20</f>
        <v>100</v>
      </c>
    </row>
    <row r="17" spans="1:11">
      <c r="A17" s="11" t="s">
        <v>11</v>
      </c>
      <c r="B17" s="14">
        <f t="shared" si="0"/>
        <v>16</v>
      </c>
      <c r="C17" s="14">
        <v>2</v>
      </c>
      <c r="D17" s="14">
        <v>2022</v>
      </c>
      <c r="E17" s="7">
        <f>ELECT.!D21+ELECT.!F21+ELECT.!H21</f>
        <v>20144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1892</v>
      </c>
      <c r="H17" s="20">
        <v>3.6</v>
      </c>
      <c r="I17" s="7">
        <f>Submetering!E17+Water!E20</f>
        <v>332</v>
      </c>
      <c r="J17" s="20">
        <v>9.1</v>
      </c>
      <c r="K17" s="7">
        <f>ELECT.!B21</f>
        <v>114</v>
      </c>
    </row>
    <row r="18" spans="1:11">
      <c r="A18" s="11" t="s">
        <v>11</v>
      </c>
      <c r="B18" s="14">
        <f t="shared" si="0"/>
        <v>17</v>
      </c>
      <c r="C18" s="14">
        <v>2</v>
      </c>
      <c r="D18" s="14">
        <v>2022</v>
      </c>
      <c r="E18" s="7">
        <f>ELECT.!D22+ELECT.!F22+ELECT.!H22</f>
        <v>20738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1993</v>
      </c>
      <c r="H18" s="20">
        <v>3.6</v>
      </c>
      <c r="I18" s="7">
        <f>Submetering!E18+Water!E21</f>
        <v>431</v>
      </c>
      <c r="J18" s="20">
        <v>9.1</v>
      </c>
      <c r="K18" s="7">
        <f>ELECT.!B22</f>
        <v>95</v>
      </c>
    </row>
    <row r="19" spans="1:11">
      <c r="A19" s="11" t="s">
        <v>11</v>
      </c>
      <c r="B19" s="14">
        <f t="shared" si="0"/>
        <v>18</v>
      </c>
      <c r="C19" s="14">
        <v>2</v>
      </c>
      <c r="D19" s="14">
        <v>2022</v>
      </c>
      <c r="E19" s="7">
        <f>ELECT.!D23+ELECT.!F23+ELECT.!H23</f>
        <v>19579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2094</v>
      </c>
      <c r="H19" s="20">
        <v>3.6</v>
      </c>
      <c r="I19" s="7">
        <f>Submetering!E19+Water!E22</f>
        <v>343</v>
      </c>
      <c r="J19" s="20">
        <v>9.1</v>
      </c>
      <c r="K19" s="7">
        <f>ELECT.!B23</f>
        <v>98</v>
      </c>
    </row>
    <row r="20" spans="1:11">
      <c r="A20" s="11" t="s">
        <v>11</v>
      </c>
      <c r="B20" s="14">
        <f t="shared" si="0"/>
        <v>19</v>
      </c>
      <c r="C20" s="14">
        <v>2</v>
      </c>
      <c r="D20" s="14">
        <v>2022</v>
      </c>
      <c r="E20" s="7">
        <f>ELECT.!D24+ELECT.!F24+ELECT.!H24</f>
        <v>20129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1774</v>
      </c>
      <c r="H20" s="20">
        <v>3.6</v>
      </c>
      <c r="I20" s="7">
        <f>Submetering!E20+Water!E23</f>
        <v>284</v>
      </c>
      <c r="J20" s="20">
        <v>9.1</v>
      </c>
      <c r="K20" s="7">
        <f>ELECT.!B24</f>
        <v>70</v>
      </c>
    </row>
    <row r="21" spans="1:11">
      <c r="A21" s="11" t="s">
        <v>11</v>
      </c>
      <c r="B21" s="14">
        <f t="shared" si="0"/>
        <v>20</v>
      </c>
      <c r="C21" s="14">
        <v>2</v>
      </c>
      <c r="D21" s="14">
        <v>2022</v>
      </c>
      <c r="E21" s="7">
        <f>ELECT.!D25+ELECT.!F25+ELECT.!H25</f>
        <v>20284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1987</v>
      </c>
      <c r="H21" s="20">
        <v>3.6</v>
      </c>
      <c r="I21" s="7">
        <f>Submetering!E21+Water!E24</f>
        <v>294</v>
      </c>
      <c r="J21" s="20">
        <v>9.1</v>
      </c>
      <c r="K21" s="7">
        <f>ELECT.!B25</f>
        <v>90</v>
      </c>
    </row>
    <row r="22" spans="1:11">
      <c r="A22" s="11" t="s">
        <v>11</v>
      </c>
      <c r="B22" s="14">
        <f t="shared" si="0"/>
        <v>21</v>
      </c>
      <c r="C22" s="14">
        <v>2</v>
      </c>
      <c r="D22" s="14">
        <v>2022</v>
      </c>
      <c r="E22" s="7">
        <f>ELECT.!D26+ELECT.!F26+ELECT.!H26</f>
        <v>18962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1689</v>
      </c>
      <c r="H22" s="20">
        <v>3.6</v>
      </c>
      <c r="I22" s="7">
        <f>Submetering!E22+Water!E25</f>
        <v>389</v>
      </c>
      <c r="J22" s="20">
        <v>9.1</v>
      </c>
      <c r="K22" s="7">
        <f>ELECT.!B26</f>
        <v>85</v>
      </c>
    </row>
    <row r="23" spans="1:11">
      <c r="A23" s="11" t="s">
        <v>11</v>
      </c>
      <c r="B23" s="14">
        <f t="shared" si="0"/>
        <v>22</v>
      </c>
      <c r="C23" s="14">
        <v>2</v>
      </c>
      <c r="D23" s="14">
        <v>2022</v>
      </c>
      <c r="E23" s="7">
        <f>ELECT.!D27+ELECT.!F27+ELECT.!H27</f>
        <v>21137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1776</v>
      </c>
      <c r="H23" s="20">
        <v>3.6</v>
      </c>
      <c r="I23" s="7">
        <f>Submetering!E23+Water!E26</f>
        <v>521</v>
      </c>
      <c r="J23" s="20">
        <v>9.1</v>
      </c>
      <c r="K23" s="7">
        <f>ELECT.!B27</f>
        <v>108</v>
      </c>
    </row>
    <row r="24" spans="1:11">
      <c r="A24" s="11" t="s">
        <v>11</v>
      </c>
      <c r="B24" s="14">
        <f t="shared" si="0"/>
        <v>23</v>
      </c>
      <c r="C24" s="14">
        <v>2</v>
      </c>
      <c r="D24" s="14">
        <v>2022</v>
      </c>
      <c r="E24" s="7">
        <f>ELECT.!D28+ELECT.!F28+ELECT.!H28</f>
        <v>18919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1947</v>
      </c>
      <c r="H24" s="20">
        <v>3.6</v>
      </c>
      <c r="I24" s="7">
        <f>Submetering!E24+Water!E27</f>
        <v>434</v>
      </c>
      <c r="J24" s="20">
        <v>9.1</v>
      </c>
      <c r="K24" s="7">
        <f>ELECT.!B28</f>
        <v>110</v>
      </c>
    </row>
    <row r="25" spans="1:11">
      <c r="A25" s="11" t="s">
        <v>11</v>
      </c>
      <c r="B25" s="14">
        <f t="shared" si="0"/>
        <v>24</v>
      </c>
      <c r="C25" s="14">
        <v>2</v>
      </c>
      <c r="D25" s="14">
        <v>2022</v>
      </c>
      <c r="E25" s="7">
        <f>ELECT.!D29+ELECT.!F29+ELECT.!H29</f>
        <v>19088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1793</v>
      </c>
      <c r="H25" s="20">
        <v>3.6</v>
      </c>
      <c r="I25" s="7">
        <f>Submetering!E25+Water!E28</f>
        <v>454</v>
      </c>
      <c r="J25" s="20">
        <v>9.1</v>
      </c>
      <c r="K25" s="7">
        <f>ELECT.!B29</f>
        <v>99</v>
      </c>
    </row>
    <row r="26" spans="1:11">
      <c r="A26" s="11" t="s">
        <v>11</v>
      </c>
      <c r="B26" s="14">
        <f>B25+1</f>
        <v>25</v>
      </c>
      <c r="C26" s="14">
        <v>2</v>
      </c>
      <c r="D26" s="14">
        <v>2022</v>
      </c>
      <c r="E26" s="7">
        <f>ELECT.!D30+ELECT.!F30+ELECT.!H30</f>
        <v>22575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2142</v>
      </c>
      <c r="H26" s="20">
        <v>3.6</v>
      </c>
      <c r="I26" s="7">
        <f>Submetering!E26+Water!E29</f>
        <v>262</v>
      </c>
      <c r="J26" s="20">
        <v>9.1</v>
      </c>
      <c r="K26" s="7">
        <f>ELECT.!B30</f>
        <v>92</v>
      </c>
    </row>
    <row r="27" spans="1:11">
      <c r="A27" s="11" t="s">
        <v>11</v>
      </c>
      <c r="B27" s="14">
        <f t="shared" si="0"/>
        <v>26</v>
      </c>
      <c r="C27" s="14">
        <v>2</v>
      </c>
      <c r="D27" s="14">
        <v>2022</v>
      </c>
      <c r="E27" s="7">
        <f>ELECT.!D31+ELECT.!F31+ELECT.!H31</f>
        <v>22448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2053</v>
      </c>
      <c r="H27" s="20">
        <v>3.6</v>
      </c>
      <c r="I27" s="7">
        <f>Submetering!E27+Water!E30</f>
        <v>333</v>
      </c>
      <c r="J27" s="20">
        <v>9.1</v>
      </c>
      <c r="K27" s="7">
        <f>ELECT.!B31</f>
        <v>69</v>
      </c>
    </row>
    <row r="28" spans="1:11">
      <c r="A28" s="11" t="s">
        <v>11</v>
      </c>
      <c r="B28" s="14">
        <f t="shared" si="0"/>
        <v>27</v>
      </c>
      <c r="C28" s="14">
        <v>2</v>
      </c>
      <c r="D28" s="14">
        <v>2022</v>
      </c>
      <c r="E28" s="7">
        <f>ELECT.!D32+ELECT.!F32+ELECT.!H32</f>
        <v>19376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1898</v>
      </c>
      <c r="H28" s="20">
        <v>3.6</v>
      </c>
      <c r="I28" s="7">
        <f>Submetering!E28+Water!E31</f>
        <v>362</v>
      </c>
      <c r="J28" s="20">
        <v>9.1</v>
      </c>
      <c r="K28" s="7">
        <f>ELECT.!B32</f>
        <v>94</v>
      </c>
    </row>
    <row r="29" spans="1:11">
      <c r="A29" s="11" t="s">
        <v>11</v>
      </c>
      <c r="B29" s="14">
        <f t="shared" si="0"/>
        <v>28</v>
      </c>
      <c r="C29" s="14">
        <v>2</v>
      </c>
      <c r="D29" s="14">
        <v>2022</v>
      </c>
      <c r="E29" s="7">
        <f>ELECT.!D33+ELECT.!F33+ELECT.!H33</f>
        <v>31292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1881</v>
      </c>
      <c r="H29" s="20">
        <v>3.6</v>
      </c>
      <c r="I29" s="7">
        <f>Submetering!E29+Water!E32</f>
        <v>430</v>
      </c>
      <c r="J29" s="20">
        <v>9.1</v>
      </c>
      <c r="K29" s="7">
        <f>ELECT.!B33</f>
        <v>93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29"/>
  <sheetViews>
    <sheetView topLeftCell="A11" zoomScale="85" zoomScaleNormal="85" workbookViewId="0">
      <selection activeCell="A30" sqref="A30:XFD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2</v>
      </c>
      <c r="D2" s="14">
        <v>2022</v>
      </c>
      <c r="E2" s="7">
        <f>Water!C5</f>
        <v>220</v>
      </c>
      <c r="F2" s="7">
        <f>Water!E5</f>
        <v>63</v>
      </c>
      <c r="G2" s="7">
        <f>ELECT.!D6</f>
        <v>4535</v>
      </c>
      <c r="H2" s="7">
        <f>ELECT.!F6</f>
        <v>8291</v>
      </c>
      <c r="I2" s="7">
        <f>ELECT.!H6</f>
        <v>6085</v>
      </c>
      <c r="J2" s="8">
        <f>Gas!C4</f>
        <v>216</v>
      </c>
      <c r="K2" s="8">
        <f>Gas!E4</f>
        <v>953</v>
      </c>
      <c r="L2" s="8">
        <f>Gas!G4</f>
        <v>111</v>
      </c>
      <c r="M2" s="16">
        <f>Gas!I4</f>
        <v>22</v>
      </c>
      <c r="N2" s="16">
        <f>Gas!K4</f>
        <v>28</v>
      </c>
      <c r="O2" s="8">
        <f>Gas!M4</f>
        <v>60</v>
      </c>
      <c r="P2" s="8">
        <f>Gas!O4</f>
        <v>112</v>
      </c>
      <c r="Q2" s="8">
        <f>Gas!Q4</f>
        <v>0</v>
      </c>
      <c r="R2" s="8">
        <f>Gas!S4</f>
        <v>156</v>
      </c>
      <c r="S2" s="8">
        <f>Gas!U4</f>
        <v>18</v>
      </c>
      <c r="T2" s="8">
        <f>Gas!W4</f>
        <v>50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77</v>
      </c>
    </row>
    <row r="3" spans="1:24">
      <c r="A3" s="11" t="s">
        <v>11</v>
      </c>
      <c r="B3" s="14">
        <f>B2+1</f>
        <v>2</v>
      </c>
      <c r="C3" s="14">
        <v>2</v>
      </c>
      <c r="D3" s="14">
        <v>2022</v>
      </c>
      <c r="E3" s="7">
        <f>Water!C6</f>
        <v>260</v>
      </c>
      <c r="F3" s="7">
        <f>Water!E6</f>
        <v>203</v>
      </c>
      <c r="G3" s="7">
        <f>ELECT.!D7</f>
        <v>5059</v>
      </c>
      <c r="H3" s="7">
        <f>ELECT.!F7</f>
        <v>8887</v>
      </c>
      <c r="I3" s="7">
        <f>ELECT.!H7</f>
        <v>7060</v>
      </c>
      <c r="J3" s="8">
        <f>Gas!C5</f>
        <v>244</v>
      </c>
      <c r="K3" s="8">
        <f>Gas!E5</f>
        <v>965</v>
      </c>
      <c r="L3" s="8">
        <f>Gas!G5</f>
        <v>140</v>
      </c>
      <c r="M3" s="16">
        <f>Gas!I5</f>
        <v>5</v>
      </c>
      <c r="N3" s="16">
        <f>Gas!K5</f>
        <v>31</v>
      </c>
      <c r="O3" s="8">
        <f>Gas!M5</f>
        <v>50</v>
      </c>
      <c r="P3" s="8">
        <f>Gas!O5</f>
        <v>150</v>
      </c>
      <c r="Q3" s="8">
        <f>Gas!Q5</f>
        <v>23</v>
      </c>
      <c r="R3" s="8">
        <f>Gas!S5</f>
        <v>217</v>
      </c>
      <c r="S3" s="8">
        <f>Gas!U5</f>
        <v>21</v>
      </c>
      <c r="T3" s="8">
        <f>Gas!W5</f>
        <v>53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69</v>
      </c>
    </row>
    <row r="4" spans="1:24">
      <c r="A4" s="11" t="s">
        <v>11</v>
      </c>
      <c r="B4" s="14">
        <f t="shared" ref="B4:B29" si="0">B3+1</f>
        <v>3</v>
      </c>
      <c r="C4" s="14">
        <v>2</v>
      </c>
      <c r="D4" s="14">
        <v>2022</v>
      </c>
      <c r="E4" s="7">
        <f>Water!C7</f>
        <v>250</v>
      </c>
      <c r="F4" s="7">
        <f>Water!E7</f>
        <v>203</v>
      </c>
      <c r="G4" s="7">
        <f>ELECT.!D8</f>
        <v>4713</v>
      </c>
      <c r="H4" s="7">
        <f>ELECT.!F8</f>
        <v>9177</v>
      </c>
      <c r="I4" s="7">
        <f>ELECT.!H8</f>
        <v>6488</v>
      </c>
      <c r="J4" s="8">
        <f>Gas!C6</f>
        <v>250</v>
      </c>
      <c r="K4" s="8">
        <f>Gas!E6</f>
        <v>780</v>
      </c>
      <c r="L4" s="8">
        <f>Gas!G6</f>
        <v>179</v>
      </c>
      <c r="M4" s="16">
        <f>Gas!I6</f>
        <v>22</v>
      </c>
      <c r="N4" s="16">
        <f>Gas!K6</f>
        <v>30</v>
      </c>
      <c r="O4" s="8">
        <f>Gas!M6</f>
        <v>59</v>
      </c>
      <c r="P4" s="8">
        <f>Gas!O6</f>
        <v>128</v>
      </c>
      <c r="Q4" s="8">
        <f>Gas!Q6</f>
        <v>36</v>
      </c>
      <c r="R4" s="8">
        <f>Gas!S6</f>
        <v>121</v>
      </c>
      <c r="S4" s="8">
        <f>Gas!U6</f>
        <v>30</v>
      </c>
      <c r="T4" s="8">
        <f>Gas!W6</f>
        <v>53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40</v>
      </c>
    </row>
    <row r="5" spans="1:24">
      <c r="A5" s="11" t="s">
        <v>11</v>
      </c>
      <c r="B5" s="14">
        <f t="shared" si="0"/>
        <v>4</v>
      </c>
      <c r="C5" s="14">
        <v>2</v>
      </c>
      <c r="D5" s="14">
        <v>2022</v>
      </c>
      <c r="E5" s="7">
        <f>Water!C8</f>
        <v>260</v>
      </c>
      <c r="F5" s="7">
        <f>Water!E8</f>
        <v>63</v>
      </c>
      <c r="G5" s="7">
        <f>ELECT.!D9</f>
        <v>4676</v>
      </c>
      <c r="H5" s="7">
        <f>ELECT.!F9</f>
        <v>9603</v>
      </c>
      <c r="I5" s="7">
        <f>ELECT.!H9</f>
        <v>6469</v>
      </c>
      <c r="J5" s="8">
        <f>Gas!C7</f>
        <v>269</v>
      </c>
      <c r="K5" s="8">
        <f>Gas!E7</f>
        <v>1003</v>
      </c>
      <c r="L5" s="8">
        <f>Gas!G7</f>
        <v>174</v>
      </c>
      <c r="M5" s="16">
        <f>Gas!I7</f>
        <v>15</v>
      </c>
      <c r="N5" s="16">
        <f>Gas!K7</f>
        <v>34</v>
      </c>
      <c r="O5" s="8">
        <f>Gas!M7</f>
        <v>53</v>
      </c>
      <c r="P5" s="8">
        <f>Gas!O7</f>
        <v>84</v>
      </c>
      <c r="Q5" s="8">
        <f>Gas!Q7</f>
        <v>34</v>
      </c>
      <c r="R5" s="8">
        <f>Gas!S7</f>
        <v>149</v>
      </c>
      <c r="S5" s="8">
        <f>Gas!U7</f>
        <v>34</v>
      </c>
      <c r="T5" s="8">
        <f>Gas!W7</f>
        <v>51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60</v>
      </c>
    </row>
    <row r="6" spans="1:24">
      <c r="A6" s="11" t="s">
        <v>11</v>
      </c>
      <c r="B6" s="14">
        <f t="shared" si="0"/>
        <v>5</v>
      </c>
      <c r="C6" s="14">
        <v>2</v>
      </c>
      <c r="D6" s="14">
        <v>2022</v>
      </c>
      <c r="E6" s="7">
        <f>Water!C9</f>
        <v>240</v>
      </c>
      <c r="F6" s="7">
        <f>Water!E9</f>
        <v>52</v>
      </c>
      <c r="G6" s="7">
        <f>ELECT.!D10</f>
        <v>4920</v>
      </c>
      <c r="H6" s="7">
        <f>ELECT.!F10</f>
        <v>9382</v>
      </c>
      <c r="I6" s="7">
        <f>ELECT.!H10</f>
        <v>6792</v>
      </c>
      <c r="J6" s="8">
        <f>Gas!C8</f>
        <v>181</v>
      </c>
      <c r="K6" s="8">
        <f>Gas!E8</f>
        <v>1002</v>
      </c>
      <c r="L6" s="8">
        <f>Gas!G8</f>
        <v>141</v>
      </c>
      <c r="M6" s="16">
        <f>Gas!I8</f>
        <v>21</v>
      </c>
      <c r="N6" s="16">
        <f>Gas!K8</f>
        <v>28</v>
      </c>
      <c r="O6" s="8">
        <f>Gas!M8</f>
        <v>58</v>
      </c>
      <c r="P6" s="8">
        <f>Gas!O8</f>
        <v>68</v>
      </c>
      <c r="Q6" s="8">
        <f>Gas!Q8</f>
        <v>34</v>
      </c>
      <c r="R6" s="8">
        <f>Gas!S8</f>
        <v>197</v>
      </c>
      <c r="S6" s="8">
        <f>Gas!U8</f>
        <v>18</v>
      </c>
      <c r="T6" s="8">
        <f>Gas!W8</f>
        <v>46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64</v>
      </c>
    </row>
    <row r="7" spans="1:24">
      <c r="A7" s="11" t="s">
        <v>11</v>
      </c>
      <c r="B7" s="14">
        <f t="shared" si="0"/>
        <v>6</v>
      </c>
      <c r="C7" s="14">
        <v>2</v>
      </c>
      <c r="D7" s="14">
        <v>2022</v>
      </c>
      <c r="E7" s="7">
        <f>Water!C10</f>
        <v>260</v>
      </c>
      <c r="F7" s="7">
        <f>Water!E10</f>
        <v>75</v>
      </c>
      <c r="G7" s="7">
        <f>ELECT.!D11</f>
        <v>3896</v>
      </c>
      <c r="H7" s="7">
        <f>ELECT.!F11</f>
        <v>7483</v>
      </c>
      <c r="I7" s="7">
        <f>ELECT.!H11</f>
        <v>5618</v>
      </c>
      <c r="J7" s="8">
        <f>Gas!C9</f>
        <v>251</v>
      </c>
      <c r="K7" s="8">
        <f>Gas!E9</f>
        <v>944</v>
      </c>
      <c r="L7" s="8">
        <f>Gas!G9</f>
        <v>146</v>
      </c>
      <c r="M7" s="16">
        <f>Gas!I9</f>
        <v>24</v>
      </c>
      <c r="N7" s="16">
        <f>Gas!K9</f>
        <v>0</v>
      </c>
      <c r="O7" s="8">
        <f>Gas!M9</f>
        <v>54</v>
      </c>
      <c r="P7" s="8">
        <f>Gas!O9</f>
        <v>10</v>
      </c>
      <c r="Q7" s="8">
        <f>Gas!Q9</f>
        <v>31</v>
      </c>
      <c r="R7" s="8">
        <f>Gas!S9</f>
        <v>231</v>
      </c>
      <c r="S7" s="8">
        <f>Gas!U9</f>
        <v>21</v>
      </c>
      <c r="T7" s="8">
        <f>Gas!W9</f>
        <v>56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76</v>
      </c>
    </row>
    <row r="8" spans="1:24">
      <c r="A8" s="11" t="s">
        <v>11</v>
      </c>
      <c r="B8" s="14">
        <f t="shared" si="0"/>
        <v>7</v>
      </c>
      <c r="C8" s="14">
        <v>2</v>
      </c>
      <c r="D8" s="14">
        <v>2022</v>
      </c>
      <c r="E8" s="7">
        <f>Water!C11</f>
        <v>210</v>
      </c>
      <c r="F8" s="7">
        <f>Water!E11</f>
        <v>64</v>
      </c>
      <c r="G8" s="7">
        <f>ELECT.!D12</f>
        <v>4221</v>
      </c>
      <c r="H8" s="7">
        <f>ELECT.!F12</f>
        <v>8213</v>
      </c>
      <c r="I8" s="7">
        <f>ELECT.!H12</f>
        <v>6700</v>
      </c>
      <c r="J8" s="8">
        <f>Gas!C10</f>
        <v>221</v>
      </c>
      <c r="K8" s="8">
        <f>Gas!E10</f>
        <v>844</v>
      </c>
      <c r="L8" s="8">
        <f>Gas!G10</f>
        <v>149</v>
      </c>
      <c r="M8" s="16">
        <f>Gas!I10</f>
        <v>22</v>
      </c>
      <c r="N8" s="16">
        <f>Gas!K10</f>
        <v>0</v>
      </c>
      <c r="O8" s="8">
        <f>Gas!M10</f>
        <v>54</v>
      </c>
      <c r="P8" s="8">
        <f>Gas!O10</f>
        <v>82</v>
      </c>
      <c r="Q8" s="8">
        <f>Gas!Q10</f>
        <v>31</v>
      </c>
      <c r="R8" s="8">
        <f>Gas!S10</f>
        <v>149</v>
      </c>
      <c r="S8" s="8">
        <f>Gas!U10</f>
        <v>33</v>
      </c>
      <c r="T8" s="8">
        <f>Gas!W10</f>
        <v>57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72</v>
      </c>
    </row>
    <row r="9" spans="1:24">
      <c r="A9" s="11" t="s">
        <v>11</v>
      </c>
      <c r="B9" s="14">
        <f t="shared" si="0"/>
        <v>8</v>
      </c>
      <c r="C9" s="14">
        <v>2</v>
      </c>
      <c r="D9" s="14">
        <v>2022</v>
      </c>
      <c r="E9" s="7">
        <f>Water!C12</f>
        <v>210</v>
      </c>
      <c r="F9" s="7">
        <f>Water!E12</f>
        <v>55</v>
      </c>
      <c r="G9" s="7">
        <f>ELECT.!D13</f>
        <v>3279</v>
      </c>
      <c r="H9" s="7">
        <f>ELECT.!F13</f>
        <v>9541</v>
      </c>
      <c r="I9" s="7">
        <f>ELECT.!H13</f>
        <v>7221</v>
      </c>
      <c r="J9" s="8">
        <f>Gas!C11</f>
        <v>162</v>
      </c>
      <c r="K9" s="8">
        <f>Gas!E11</f>
        <v>868</v>
      </c>
      <c r="L9" s="8">
        <f>Gas!G11</f>
        <v>112</v>
      </c>
      <c r="M9" s="16">
        <f>Gas!I11</f>
        <v>13</v>
      </c>
      <c r="N9" s="16">
        <f>Gas!K11</f>
        <v>25</v>
      </c>
      <c r="O9" s="8">
        <f>Gas!M11</f>
        <v>54</v>
      </c>
      <c r="P9" s="8">
        <f>Gas!O11</f>
        <v>59</v>
      </c>
      <c r="Q9" s="8">
        <f>Gas!Q11</f>
        <v>32</v>
      </c>
      <c r="R9" s="8">
        <f>Gas!S11</f>
        <v>137</v>
      </c>
      <c r="S9" s="8">
        <f>Gas!U11</f>
        <v>13</v>
      </c>
      <c r="T9" s="8">
        <f>Gas!W11</f>
        <v>54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80</v>
      </c>
    </row>
    <row r="10" spans="1:24">
      <c r="A10" s="11" t="s">
        <v>11</v>
      </c>
      <c r="B10" s="14">
        <f t="shared" si="0"/>
        <v>9</v>
      </c>
      <c r="C10" s="14">
        <v>2</v>
      </c>
      <c r="D10" s="14">
        <v>2022</v>
      </c>
      <c r="E10" s="7">
        <f>Water!C13</f>
        <v>220</v>
      </c>
      <c r="F10" s="7">
        <f>Water!E13</f>
        <v>31</v>
      </c>
      <c r="G10" s="7">
        <f>ELECT.!D14</f>
        <v>5520</v>
      </c>
      <c r="H10" s="7">
        <f>ELECT.!F14</f>
        <v>7313</v>
      </c>
      <c r="I10" s="7">
        <f>ELECT.!H14</f>
        <v>4974</v>
      </c>
      <c r="J10" s="8">
        <f>Gas!C12</f>
        <v>232</v>
      </c>
      <c r="K10" s="8">
        <f>Gas!E12</f>
        <v>1041</v>
      </c>
      <c r="L10" s="8">
        <f>Gas!G12</f>
        <v>158</v>
      </c>
      <c r="M10" s="16">
        <f>Gas!I12</f>
        <v>28</v>
      </c>
      <c r="N10" s="16">
        <f>Gas!K12</f>
        <v>23</v>
      </c>
      <c r="O10" s="8">
        <f>Gas!M12</f>
        <v>46</v>
      </c>
      <c r="P10" s="8">
        <f>Gas!O12</f>
        <v>39</v>
      </c>
      <c r="Q10" s="8">
        <f>Gas!Q12</f>
        <v>33</v>
      </c>
      <c r="R10" s="8">
        <f>Gas!S12</f>
        <v>184</v>
      </c>
      <c r="S10" s="8">
        <f>Gas!U12</f>
        <v>24</v>
      </c>
      <c r="T10" s="8">
        <f>Gas!W12</f>
        <v>46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76</v>
      </c>
    </row>
    <row r="11" spans="1:24">
      <c r="A11" s="11" t="s">
        <v>11</v>
      </c>
      <c r="B11" s="14">
        <f t="shared" si="0"/>
        <v>10</v>
      </c>
      <c r="C11" s="14">
        <v>2</v>
      </c>
      <c r="D11" s="14">
        <v>2022</v>
      </c>
      <c r="E11" s="7">
        <f>Water!C14</f>
        <v>240</v>
      </c>
      <c r="F11" s="7">
        <f>Water!E14</f>
        <v>48</v>
      </c>
      <c r="G11" s="7">
        <f>ELECT.!D15</f>
        <v>4827</v>
      </c>
      <c r="H11" s="7">
        <f>ELECT.!F15</f>
        <v>9354</v>
      </c>
      <c r="I11" s="7">
        <f>ELECT.!H15</f>
        <v>6507</v>
      </c>
      <c r="J11" s="8">
        <f>Gas!C13</f>
        <v>215</v>
      </c>
      <c r="K11" s="8">
        <f>Gas!E13</f>
        <v>1113</v>
      </c>
      <c r="L11" s="8">
        <f>Gas!G13</f>
        <v>150</v>
      </c>
      <c r="M11" s="16">
        <f>Gas!I13</f>
        <v>20</v>
      </c>
      <c r="N11" s="16">
        <f>Gas!K13</f>
        <v>44</v>
      </c>
      <c r="O11" s="8">
        <f>Gas!M13</f>
        <v>53</v>
      </c>
      <c r="P11" s="8">
        <f>Gas!O13</f>
        <v>47</v>
      </c>
      <c r="Q11" s="8">
        <f>Gas!Q13</f>
        <v>31</v>
      </c>
      <c r="R11" s="8">
        <f>Gas!S13</f>
        <v>166</v>
      </c>
      <c r="S11" s="8">
        <f>Gas!U13</f>
        <v>34</v>
      </c>
      <c r="T11" s="8">
        <f>Gas!W13</f>
        <v>45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92</v>
      </c>
    </row>
    <row r="12" spans="1:24">
      <c r="A12" s="11" t="s">
        <v>11</v>
      </c>
      <c r="B12" s="14">
        <f t="shared" si="0"/>
        <v>11</v>
      </c>
      <c r="C12" s="14">
        <v>2</v>
      </c>
      <c r="D12" s="14">
        <v>2022</v>
      </c>
      <c r="E12" s="7">
        <f>Water!C15</f>
        <v>310</v>
      </c>
      <c r="F12" s="7">
        <f>Water!E15</f>
        <v>87</v>
      </c>
      <c r="G12" s="7">
        <f>ELECT.!D16</f>
        <v>4595</v>
      </c>
      <c r="H12" s="7">
        <f>ELECT.!F16</f>
        <v>8173</v>
      </c>
      <c r="I12" s="7">
        <f>ELECT.!H16</f>
        <v>5926</v>
      </c>
      <c r="J12" s="8">
        <f>Gas!C14</f>
        <v>238</v>
      </c>
      <c r="K12" s="8">
        <f>Gas!E14</f>
        <v>1119</v>
      </c>
      <c r="L12" s="8">
        <f>Gas!G14</f>
        <v>171</v>
      </c>
      <c r="M12" s="16">
        <f>Gas!I14</f>
        <v>30</v>
      </c>
      <c r="N12" s="16">
        <f>Gas!K14</f>
        <v>25</v>
      </c>
      <c r="O12" s="8">
        <f>Gas!M14</f>
        <v>50</v>
      </c>
      <c r="P12" s="8">
        <f>Gas!O14</f>
        <v>41</v>
      </c>
      <c r="Q12" s="8">
        <f>Gas!Q14</f>
        <v>29</v>
      </c>
      <c r="R12" s="8">
        <f>Gas!S14</f>
        <v>194</v>
      </c>
      <c r="S12" s="8">
        <f>Gas!U14</f>
        <v>21</v>
      </c>
      <c r="T12" s="8">
        <f>Gas!W14</f>
        <v>54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107</v>
      </c>
    </row>
    <row r="13" spans="1:24">
      <c r="A13" s="11" t="s">
        <v>11</v>
      </c>
      <c r="B13" s="14">
        <f t="shared" si="0"/>
        <v>12</v>
      </c>
      <c r="C13" s="14">
        <v>2</v>
      </c>
      <c r="D13" s="14">
        <v>2022</v>
      </c>
      <c r="E13" s="7">
        <f>Water!C16</f>
        <v>240</v>
      </c>
      <c r="F13" s="7">
        <f>Water!E16</f>
        <v>185</v>
      </c>
      <c r="G13" s="7">
        <f>ELECT.!D17</f>
        <v>4415</v>
      </c>
      <c r="H13" s="7">
        <f>ELECT.!F17</f>
        <v>7798</v>
      </c>
      <c r="I13" s="7">
        <f>ELECT.!H17</f>
        <v>5628</v>
      </c>
      <c r="J13" s="8">
        <f>Gas!C15</f>
        <v>218</v>
      </c>
      <c r="K13" s="8">
        <f>Gas!E15</f>
        <v>1030</v>
      </c>
      <c r="L13" s="8">
        <f>Gas!G15</f>
        <v>137</v>
      </c>
      <c r="M13" s="16">
        <f>Gas!I15</f>
        <v>23</v>
      </c>
      <c r="N13" s="16">
        <f>Gas!K15</f>
        <v>26</v>
      </c>
      <c r="O13" s="8">
        <f>Gas!M15</f>
        <v>69</v>
      </c>
      <c r="P13" s="8">
        <f>Gas!O15</f>
        <v>52</v>
      </c>
      <c r="Q13" s="8">
        <f>Gas!Q15</f>
        <v>34</v>
      </c>
      <c r="R13" s="8">
        <f>Gas!S15</f>
        <v>201</v>
      </c>
      <c r="S13" s="8">
        <f>Gas!U15</f>
        <v>24</v>
      </c>
      <c r="T13" s="8">
        <f>Gas!W15</f>
        <v>52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92</v>
      </c>
    </row>
    <row r="14" spans="1:24">
      <c r="A14" s="11" t="s">
        <v>11</v>
      </c>
      <c r="B14" s="14">
        <f t="shared" si="0"/>
        <v>13</v>
      </c>
      <c r="C14" s="14">
        <v>2</v>
      </c>
      <c r="D14" s="14">
        <v>2022</v>
      </c>
      <c r="E14" s="7">
        <f>Water!C17</f>
        <v>270</v>
      </c>
      <c r="F14" s="7">
        <f>Water!E17</f>
        <v>123</v>
      </c>
      <c r="G14" s="7">
        <f>ELECT.!D18</f>
        <v>2125</v>
      </c>
      <c r="H14" s="7">
        <f>ELECT.!F18</f>
        <v>11163</v>
      </c>
      <c r="I14" s="7">
        <f>ELECT.!H18</f>
        <v>6179</v>
      </c>
      <c r="J14" s="8">
        <f>Gas!C16</f>
        <v>261</v>
      </c>
      <c r="K14" s="8">
        <f>Gas!E16</f>
        <v>978</v>
      </c>
      <c r="L14" s="8">
        <f>Gas!G16</f>
        <v>172</v>
      </c>
      <c r="M14" s="16">
        <f>Gas!I16</f>
        <v>25</v>
      </c>
      <c r="N14" s="16">
        <f>Gas!K16</f>
        <v>14</v>
      </c>
      <c r="O14" s="8">
        <f>Gas!M16</f>
        <v>67</v>
      </c>
      <c r="P14" s="8">
        <f>Gas!O16</f>
        <v>39</v>
      </c>
      <c r="Q14" s="8">
        <f>Gas!Q16</f>
        <v>35</v>
      </c>
      <c r="R14" s="8">
        <f>Gas!S16</f>
        <v>233</v>
      </c>
      <c r="S14" s="8">
        <f>Gas!U16</f>
        <v>24</v>
      </c>
      <c r="T14" s="8">
        <f>Gas!W16</f>
        <v>47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96</v>
      </c>
    </row>
    <row r="15" spans="1:24">
      <c r="A15" s="11" t="s">
        <v>11</v>
      </c>
      <c r="B15" s="14">
        <f t="shared" si="0"/>
        <v>14</v>
      </c>
      <c r="C15" s="14">
        <v>2</v>
      </c>
      <c r="D15" s="14">
        <v>2022</v>
      </c>
      <c r="E15" s="7">
        <f>Water!C18</f>
        <v>230</v>
      </c>
      <c r="F15" s="7">
        <f>Water!E18</f>
        <v>105</v>
      </c>
      <c r="G15" s="7">
        <f>ELECT.!D19</f>
        <v>3290</v>
      </c>
      <c r="H15" s="7">
        <f>ELECT.!F19</f>
        <v>9379</v>
      </c>
      <c r="I15" s="7">
        <f>ELECT.!H19</f>
        <v>6221</v>
      </c>
      <c r="J15" s="8">
        <f>Gas!C17</f>
        <v>214</v>
      </c>
      <c r="K15" s="8">
        <f>Gas!E17</f>
        <v>859</v>
      </c>
      <c r="L15" s="8">
        <f>Gas!G17</f>
        <v>143</v>
      </c>
      <c r="M15" s="16">
        <f>Gas!I17</f>
        <v>25</v>
      </c>
      <c r="N15" s="16">
        <f>Gas!K17</f>
        <v>32</v>
      </c>
      <c r="O15" s="8">
        <f>Gas!M17</f>
        <v>60</v>
      </c>
      <c r="P15" s="8">
        <f>Gas!O17</f>
        <v>122</v>
      </c>
      <c r="Q15" s="8">
        <f>Gas!Q17</f>
        <v>24</v>
      </c>
      <c r="R15" s="8">
        <f>Gas!S17</f>
        <v>163</v>
      </c>
      <c r="S15" s="8">
        <f>Gas!U17</f>
        <v>22</v>
      </c>
      <c r="T15" s="8">
        <f>Gas!W17</f>
        <v>53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86</v>
      </c>
    </row>
    <row r="16" spans="1:24">
      <c r="A16" s="11" t="s">
        <v>11</v>
      </c>
      <c r="B16" s="14">
        <f t="shared" si="0"/>
        <v>15</v>
      </c>
      <c r="C16" s="14">
        <v>2</v>
      </c>
      <c r="D16" s="14">
        <v>2022</v>
      </c>
      <c r="E16" s="7">
        <f>Water!C19</f>
        <v>280</v>
      </c>
      <c r="F16" s="7">
        <f>Water!E19</f>
        <v>178</v>
      </c>
      <c r="G16" s="7">
        <f>ELECT.!D20</f>
        <v>5883</v>
      </c>
      <c r="H16" s="7">
        <f>ELECT.!F20</f>
        <v>9831</v>
      </c>
      <c r="I16" s="7">
        <f>ELECT.!H20</f>
        <v>7485</v>
      </c>
      <c r="J16" s="8">
        <f>Gas!C18</f>
        <v>268</v>
      </c>
      <c r="K16" s="8">
        <f>Gas!E18</f>
        <v>1002</v>
      </c>
      <c r="L16" s="8">
        <f>Gas!G18</f>
        <v>157</v>
      </c>
      <c r="M16" s="16">
        <f>Gas!I18</f>
        <v>26</v>
      </c>
      <c r="N16" s="16">
        <f>Gas!K18</f>
        <v>29</v>
      </c>
      <c r="O16" s="8">
        <f>Gas!M18</f>
        <v>59</v>
      </c>
      <c r="P16" s="8">
        <f>Gas!O18</f>
        <v>154</v>
      </c>
      <c r="Q16" s="8">
        <f>Gas!Q18</f>
        <v>29</v>
      </c>
      <c r="R16" s="8">
        <f>Gas!S18</f>
        <v>230</v>
      </c>
      <c r="S16" s="8">
        <f>Gas!U18</f>
        <v>25</v>
      </c>
      <c r="T16" s="8">
        <f>Gas!W18</f>
        <v>51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100</v>
      </c>
    </row>
    <row r="17" spans="1:24">
      <c r="A17" s="11" t="s">
        <v>11</v>
      </c>
      <c r="B17" s="14">
        <f t="shared" si="0"/>
        <v>16</v>
      </c>
      <c r="C17" s="14">
        <v>2</v>
      </c>
      <c r="D17" s="14">
        <v>2022</v>
      </c>
      <c r="E17" s="7">
        <f>Water!C20</f>
        <v>240</v>
      </c>
      <c r="F17" s="7">
        <f>Water!E20</f>
        <v>92</v>
      </c>
      <c r="G17" s="7">
        <f>ELECT.!D21</f>
        <v>4810</v>
      </c>
      <c r="H17" s="7">
        <f>ELECT.!F21</f>
        <v>9234</v>
      </c>
      <c r="I17" s="7">
        <f>ELECT.!H21</f>
        <v>6100</v>
      </c>
      <c r="J17" s="8">
        <f>Gas!C19</f>
        <v>187</v>
      </c>
      <c r="K17" s="8">
        <f>Gas!E19</f>
        <v>1075</v>
      </c>
      <c r="L17" s="8">
        <f>Gas!G19</f>
        <v>139</v>
      </c>
      <c r="M17" s="16">
        <f>Gas!I19</f>
        <v>20</v>
      </c>
      <c r="N17" s="16">
        <f>Gas!K19</f>
        <v>29</v>
      </c>
      <c r="O17" s="8">
        <f>Gas!M19</f>
        <v>65</v>
      </c>
      <c r="P17" s="8">
        <f>Gas!O19</f>
        <v>115</v>
      </c>
      <c r="Q17" s="8">
        <f>Gas!Q19</f>
        <v>30</v>
      </c>
      <c r="R17" s="8">
        <f>Gas!S19</f>
        <v>148</v>
      </c>
      <c r="S17" s="8">
        <f>Gas!U19</f>
        <v>28</v>
      </c>
      <c r="T17" s="8">
        <f>Gas!W19</f>
        <v>56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114</v>
      </c>
    </row>
    <row r="18" spans="1:24">
      <c r="A18" s="11" t="s">
        <v>11</v>
      </c>
      <c r="B18" s="14">
        <f t="shared" si="0"/>
        <v>17</v>
      </c>
      <c r="C18" s="14">
        <v>2</v>
      </c>
      <c r="D18" s="14">
        <v>2022</v>
      </c>
      <c r="E18" s="7">
        <f>Water!C21</f>
        <v>260</v>
      </c>
      <c r="F18" s="7">
        <f>Water!E21</f>
        <v>171</v>
      </c>
      <c r="G18" s="7">
        <f>ELECT.!D22</f>
        <v>4574</v>
      </c>
      <c r="H18" s="7">
        <f>ELECT.!F22</f>
        <v>9461</v>
      </c>
      <c r="I18" s="7">
        <f>ELECT.!H22</f>
        <v>6703</v>
      </c>
      <c r="J18" s="8">
        <f>Gas!C20</f>
        <v>238</v>
      </c>
      <c r="K18" s="8">
        <f>Gas!E20</f>
        <v>1084</v>
      </c>
      <c r="L18" s="8">
        <f>Gas!G20</f>
        <v>163</v>
      </c>
      <c r="M18" s="16">
        <f>Gas!I20</f>
        <v>26</v>
      </c>
      <c r="N18" s="16">
        <f>Gas!K20</f>
        <v>29</v>
      </c>
      <c r="O18" s="8">
        <f>Gas!M20</f>
        <v>61</v>
      </c>
      <c r="P18" s="8">
        <f>Gas!O20</f>
        <v>78</v>
      </c>
      <c r="Q18" s="8">
        <f>Gas!Q20</f>
        <v>36</v>
      </c>
      <c r="R18" s="8">
        <f>Gas!S20</f>
        <v>206</v>
      </c>
      <c r="S18" s="8">
        <f>Gas!U20</f>
        <v>27</v>
      </c>
      <c r="T18" s="8">
        <f>Gas!W20</f>
        <v>45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95</v>
      </c>
    </row>
    <row r="19" spans="1:24">
      <c r="A19" s="11" t="s">
        <v>11</v>
      </c>
      <c r="B19" s="14">
        <f t="shared" si="0"/>
        <v>18</v>
      </c>
      <c r="C19" s="14">
        <v>2</v>
      </c>
      <c r="D19" s="14">
        <v>2022</v>
      </c>
      <c r="E19" s="7">
        <f>Water!C22</f>
        <v>260</v>
      </c>
      <c r="F19" s="7">
        <f>Water!E22</f>
        <v>83</v>
      </c>
      <c r="G19" s="7">
        <f>ELECT.!D23</f>
        <v>4819</v>
      </c>
      <c r="H19" s="7">
        <f>ELECT.!F23</f>
        <v>9004</v>
      </c>
      <c r="I19" s="7">
        <f>ELECT.!H23</f>
        <v>5756</v>
      </c>
      <c r="J19" s="8">
        <f>Gas!C21</f>
        <v>290</v>
      </c>
      <c r="K19" s="8">
        <f>Gas!E21</f>
        <v>1021</v>
      </c>
      <c r="L19" s="8">
        <f>Gas!G21</f>
        <v>187</v>
      </c>
      <c r="M19" s="16">
        <f>Gas!I21</f>
        <v>32</v>
      </c>
      <c r="N19" s="16">
        <f>Gas!K21</f>
        <v>27</v>
      </c>
      <c r="O19" s="8">
        <f>Gas!M21</f>
        <v>71</v>
      </c>
      <c r="P19" s="8">
        <f>Gas!O21</f>
        <v>91</v>
      </c>
      <c r="Q19" s="8">
        <f>Gas!Q21</f>
        <v>36</v>
      </c>
      <c r="R19" s="8">
        <f>Gas!S21</f>
        <v>265</v>
      </c>
      <c r="S19" s="8">
        <f>Gas!U21</f>
        <v>20</v>
      </c>
      <c r="T19" s="8">
        <f>Gas!W21</f>
        <v>54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98</v>
      </c>
    </row>
    <row r="20" spans="1:24">
      <c r="A20" s="11" t="s">
        <v>11</v>
      </c>
      <c r="B20" s="14">
        <f t="shared" si="0"/>
        <v>19</v>
      </c>
      <c r="C20" s="14">
        <v>2</v>
      </c>
      <c r="D20" s="14">
        <v>2022</v>
      </c>
      <c r="E20" s="7">
        <f>Water!C23</f>
        <v>250</v>
      </c>
      <c r="F20" s="7">
        <f>Water!E23</f>
        <v>34</v>
      </c>
      <c r="G20" s="7">
        <f>ELECT.!D24</f>
        <v>4823</v>
      </c>
      <c r="H20" s="7">
        <f>ELECT.!F24</f>
        <v>9442</v>
      </c>
      <c r="I20" s="7">
        <f>ELECT.!H24</f>
        <v>5864</v>
      </c>
      <c r="J20" s="8">
        <f>Gas!C22</f>
        <v>201</v>
      </c>
      <c r="K20" s="8">
        <f>Gas!E22</f>
        <v>1034</v>
      </c>
      <c r="L20" s="8">
        <f>Gas!G22</f>
        <v>129</v>
      </c>
      <c r="M20" s="16">
        <f>Gas!I22</f>
        <v>23</v>
      </c>
      <c r="N20" s="16">
        <f>Gas!K22</f>
        <v>20</v>
      </c>
      <c r="O20" s="8">
        <f>Gas!M22</f>
        <v>62</v>
      </c>
      <c r="P20" s="8">
        <f>Gas!O22</f>
        <v>10</v>
      </c>
      <c r="Q20" s="8">
        <f>Gas!Q22</f>
        <v>31</v>
      </c>
      <c r="R20" s="8">
        <f>Gas!S22</f>
        <v>188</v>
      </c>
      <c r="S20" s="8">
        <f>Gas!U22</f>
        <v>27</v>
      </c>
      <c r="T20" s="8">
        <f>Gas!W22</f>
        <v>49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70</v>
      </c>
    </row>
    <row r="21" spans="1:24">
      <c r="A21" s="11" t="s">
        <v>11</v>
      </c>
      <c r="B21" s="14">
        <f t="shared" si="0"/>
        <v>20</v>
      </c>
      <c r="C21" s="14">
        <v>2</v>
      </c>
      <c r="D21" s="14">
        <v>2022</v>
      </c>
      <c r="E21" s="7">
        <f>Water!C24</f>
        <v>200</v>
      </c>
      <c r="F21" s="7">
        <f>Water!E24</f>
        <v>94</v>
      </c>
      <c r="G21" s="7">
        <f>ELECT.!D25</f>
        <v>4891</v>
      </c>
      <c r="H21" s="7">
        <f>ELECT.!F25</f>
        <v>9160</v>
      </c>
      <c r="I21" s="7">
        <f>ELECT.!H25</f>
        <v>6233</v>
      </c>
      <c r="J21" s="8">
        <f>Gas!C23</f>
        <v>263</v>
      </c>
      <c r="K21" s="8">
        <f>Gas!E23</f>
        <v>1071</v>
      </c>
      <c r="L21" s="8">
        <f>Gas!G23</f>
        <v>168</v>
      </c>
      <c r="M21" s="16">
        <f>Gas!I23</f>
        <v>25</v>
      </c>
      <c r="N21" s="16">
        <f>Gas!K23</f>
        <v>0</v>
      </c>
      <c r="O21" s="8">
        <f>Gas!M23</f>
        <v>49</v>
      </c>
      <c r="P21" s="8">
        <f>Gas!O23</f>
        <v>60</v>
      </c>
      <c r="Q21" s="8">
        <f>Gas!Q23</f>
        <v>34</v>
      </c>
      <c r="R21" s="8">
        <f>Gas!S23</f>
        <v>240</v>
      </c>
      <c r="S21" s="8">
        <f>Gas!U23</f>
        <v>27</v>
      </c>
      <c r="T21" s="8">
        <f>Gas!W23</f>
        <v>50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90</v>
      </c>
    </row>
    <row r="22" spans="1:24">
      <c r="A22" s="11" t="s">
        <v>11</v>
      </c>
      <c r="B22" s="14">
        <f t="shared" si="0"/>
        <v>21</v>
      </c>
      <c r="C22" s="14">
        <v>2</v>
      </c>
      <c r="D22" s="14">
        <v>2022</v>
      </c>
      <c r="E22" s="7">
        <f>Water!C25</f>
        <v>200</v>
      </c>
      <c r="F22" s="7">
        <f>Water!E25</f>
        <v>189</v>
      </c>
      <c r="G22" s="7">
        <f>ELECT.!D26</f>
        <v>4708</v>
      </c>
      <c r="H22" s="7">
        <f>ELECT.!F26</f>
        <v>8329</v>
      </c>
      <c r="I22" s="7">
        <f>ELECT.!H26</f>
        <v>5925</v>
      </c>
      <c r="J22" s="8">
        <f>Gas!C24</f>
        <v>197</v>
      </c>
      <c r="K22" s="8">
        <f>Gas!E24</f>
        <v>976</v>
      </c>
      <c r="L22" s="8">
        <f>Gas!G24</f>
        <v>133</v>
      </c>
      <c r="M22" s="16">
        <f>Gas!I24</f>
        <v>20</v>
      </c>
      <c r="N22" s="16">
        <f>Gas!K24</f>
        <v>10</v>
      </c>
      <c r="O22" s="8">
        <f>Gas!M24</f>
        <v>54</v>
      </c>
      <c r="P22" s="8">
        <f>Gas!O24</f>
        <v>40</v>
      </c>
      <c r="Q22" s="8">
        <f>Gas!Q24</f>
        <v>30</v>
      </c>
      <c r="R22" s="8">
        <f>Gas!S24</f>
        <v>151</v>
      </c>
      <c r="S22" s="8">
        <f>Gas!U24</f>
        <v>24</v>
      </c>
      <c r="T22" s="8">
        <f>Gas!W24</f>
        <v>54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85</v>
      </c>
    </row>
    <row r="23" spans="1:24">
      <c r="A23" s="11" t="s">
        <v>11</v>
      </c>
      <c r="B23" s="14">
        <f t="shared" si="0"/>
        <v>22</v>
      </c>
      <c r="C23" s="14">
        <v>2</v>
      </c>
      <c r="D23" s="14">
        <v>2022</v>
      </c>
      <c r="E23" s="7">
        <f>Water!C26</f>
        <v>230</v>
      </c>
      <c r="F23" s="7">
        <f>Water!E26</f>
        <v>291</v>
      </c>
      <c r="G23" s="7">
        <f>ELECT.!D27</f>
        <v>5324</v>
      </c>
      <c r="H23" s="7">
        <f>ELECT.!F27</f>
        <v>9190</v>
      </c>
      <c r="I23" s="7">
        <f>ELECT.!H27</f>
        <v>6623</v>
      </c>
      <c r="J23" s="8">
        <f>Gas!C25</f>
        <v>257</v>
      </c>
      <c r="K23" s="8">
        <f>Gas!E25</f>
        <v>964</v>
      </c>
      <c r="L23" s="8">
        <f>Gas!G25</f>
        <v>126</v>
      </c>
      <c r="M23" s="16">
        <f>Gas!I25</f>
        <v>22</v>
      </c>
      <c r="N23" s="16">
        <f>Gas!K25</f>
        <v>35</v>
      </c>
      <c r="O23" s="8">
        <f>Gas!M25</f>
        <v>57</v>
      </c>
      <c r="P23" s="8">
        <f>Gas!O25</f>
        <v>16</v>
      </c>
      <c r="Q23" s="8">
        <f>Gas!Q25</f>
        <v>29</v>
      </c>
      <c r="R23" s="8">
        <f>Gas!S25</f>
        <v>185</v>
      </c>
      <c r="S23" s="8">
        <f>Gas!U25</f>
        <v>33</v>
      </c>
      <c r="T23" s="8">
        <f>Gas!W25</f>
        <v>52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108</v>
      </c>
    </row>
    <row r="24" spans="1:24">
      <c r="A24" s="11" t="s">
        <v>11</v>
      </c>
      <c r="B24" s="14">
        <f t="shared" si="0"/>
        <v>23</v>
      </c>
      <c r="C24" s="14">
        <v>2</v>
      </c>
      <c r="D24" s="14">
        <v>2022</v>
      </c>
      <c r="E24" s="7">
        <f>Water!C27</f>
        <v>230</v>
      </c>
      <c r="F24" s="7">
        <f>Water!E27</f>
        <v>204</v>
      </c>
      <c r="G24" s="7">
        <f>ELECT.!D28</f>
        <v>4720</v>
      </c>
      <c r="H24" s="7">
        <f>ELECT.!F28</f>
        <v>8419</v>
      </c>
      <c r="I24" s="7">
        <f>ELECT.!H28</f>
        <v>5780</v>
      </c>
      <c r="J24" s="8">
        <f>Gas!C26</f>
        <v>254</v>
      </c>
      <c r="K24" s="8">
        <f>Gas!E26</f>
        <v>1007</v>
      </c>
      <c r="L24" s="8">
        <f>Gas!G26</f>
        <v>140</v>
      </c>
      <c r="M24" s="16">
        <f>Gas!I26</f>
        <v>24</v>
      </c>
      <c r="N24" s="16">
        <f>Gas!K26</f>
        <v>35</v>
      </c>
      <c r="O24" s="8">
        <f>Gas!M26</f>
        <v>63</v>
      </c>
      <c r="P24" s="8">
        <f>Gas!O26</f>
        <v>88</v>
      </c>
      <c r="Q24" s="8">
        <f>Gas!Q26</f>
        <v>31</v>
      </c>
      <c r="R24" s="8">
        <f>Gas!S26</f>
        <v>215</v>
      </c>
      <c r="S24" s="8">
        <f>Gas!U26</f>
        <v>39</v>
      </c>
      <c r="T24" s="8">
        <f>Gas!W26</f>
        <v>51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110</v>
      </c>
    </row>
    <row r="25" spans="1:24">
      <c r="A25" s="11" t="s">
        <v>11</v>
      </c>
      <c r="B25" s="14">
        <f t="shared" si="0"/>
        <v>24</v>
      </c>
      <c r="C25" s="14">
        <v>2</v>
      </c>
      <c r="D25" s="14">
        <v>2022</v>
      </c>
      <c r="E25" s="7">
        <f>Water!C28</f>
        <v>260</v>
      </c>
      <c r="F25" s="7">
        <f>Water!E28</f>
        <v>194</v>
      </c>
      <c r="G25" s="7">
        <f>ELECT.!D29</f>
        <v>4599</v>
      </c>
      <c r="H25" s="7">
        <f>ELECT.!F29</f>
        <v>8644</v>
      </c>
      <c r="I25" s="7">
        <f>ELECT.!H29</f>
        <v>5845</v>
      </c>
      <c r="J25" s="8">
        <f>Gas!C27</f>
        <v>210</v>
      </c>
      <c r="K25" s="8">
        <f>Gas!E27</f>
        <v>1010</v>
      </c>
      <c r="L25" s="8">
        <f>Gas!G27</f>
        <v>135</v>
      </c>
      <c r="M25" s="16">
        <f>Gas!I27</f>
        <v>18</v>
      </c>
      <c r="N25" s="16">
        <f>Gas!K27</f>
        <v>26</v>
      </c>
      <c r="O25" s="8">
        <f>Gas!M27</f>
        <v>66</v>
      </c>
      <c r="P25" s="8">
        <f>Gas!O27</f>
        <v>31</v>
      </c>
      <c r="Q25" s="8">
        <f>Gas!Q27</f>
        <v>34</v>
      </c>
      <c r="R25" s="8">
        <f>Gas!S27</f>
        <v>187</v>
      </c>
      <c r="S25" s="8">
        <f>Gas!U27</f>
        <v>29</v>
      </c>
      <c r="T25" s="8">
        <f>Gas!W27</f>
        <v>47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99</v>
      </c>
    </row>
    <row r="26" spans="1:24">
      <c r="A26" s="11" t="s">
        <v>11</v>
      </c>
      <c r="B26" s="14">
        <f>B25+1</f>
        <v>25</v>
      </c>
      <c r="C26" s="14">
        <v>2</v>
      </c>
      <c r="D26" s="14">
        <v>2022</v>
      </c>
      <c r="E26" s="7">
        <f>Water!C29</f>
        <v>260</v>
      </c>
      <c r="F26" s="7">
        <f>Water!E29</f>
        <v>2</v>
      </c>
      <c r="G26" s="7">
        <f>ELECT.!D30</f>
        <v>5160</v>
      </c>
      <c r="H26" s="7">
        <f>ELECT.!F30</f>
        <v>10081</v>
      </c>
      <c r="I26" s="7">
        <f>ELECT.!H30</f>
        <v>7334</v>
      </c>
      <c r="J26" s="8">
        <f>Gas!C28</f>
        <v>236</v>
      </c>
      <c r="K26" s="8">
        <f>Gas!E28</f>
        <v>1110</v>
      </c>
      <c r="L26" s="8">
        <f>Gas!G28</f>
        <v>160</v>
      </c>
      <c r="M26" s="16">
        <f>Gas!I28</f>
        <v>28</v>
      </c>
      <c r="N26" s="16">
        <f>Gas!K28</f>
        <v>24</v>
      </c>
      <c r="O26" s="8">
        <f>Gas!M28</f>
        <v>59</v>
      </c>
      <c r="P26" s="8">
        <f>Gas!O28</f>
        <v>207</v>
      </c>
      <c r="Q26" s="8">
        <f>Gas!Q28</f>
        <v>33</v>
      </c>
      <c r="R26" s="8">
        <f>Gas!S28</f>
        <v>213</v>
      </c>
      <c r="S26" s="8">
        <f>Gas!U28</f>
        <v>18</v>
      </c>
      <c r="T26" s="8">
        <f>Gas!W28</f>
        <v>54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92</v>
      </c>
    </row>
    <row r="27" spans="1:24">
      <c r="A27" s="11" t="s">
        <v>11</v>
      </c>
      <c r="B27" s="14">
        <f t="shared" si="0"/>
        <v>26</v>
      </c>
      <c r="C27" s="14">
        <v>2</v>
      </c>
      <c r="D27" s="14">
        <v>2022</v>
      </c>
      <c r="E27" s="7">
        <f>Water!C30</f>
        <v>300</v>
      </c>
      <c r="F27" s="7">
        <f>Water!E30</f>
        <v>33</v>
      </c>
      <c r="G27" s="7">
        <f>ELECT.!D31</f>
        <v>5110</v>
      </c>
      <c r="H27" s="7">
        <f>ELECT.!F31</f>
        <v>9825</v>
      </c>
      <c r="I27" s="7">
        <f>ELECT.!H31</f>
        <v>7513</v>
      </c>
      <c r="J27" s="8">
        <f>Gas!C29</f>
        <v>231</v>
      </c>
      <c r="K27" s="8">
        <f>Gas!E29</f>
        <v>1134</v>
      </c>
      <c r="L27" s="8">
        <f>Gas!G29</f>
        <v>172</v>
      </c>
      <c r="M27" s="16">
        <f>Gas!I29</f>
        <v>29</v>
      </c>
      <c r="N27" s="16">
        <f>Gas!K29</f>
        <v>25</v>
      </c>
      <c r="O27" s="8">
        <f>Gas!M29</f>
        <v>60</v>
      </c>
      <c r="P27" s="8">
        <f>Gas!O29</f>
        <v>58</v>
      </c>
      <c r="Q27" s="8">
        <f>Gas!Q29</f>
        <v>32</v>
      </c>
      <c r="R27" s="8">
        <f>Gas!S29</f>
        <v>227</v>
      </c>
      <c r="S27" s="8">
        <f>Gas!U29</f>
        <v>32</v>
      </c>
      <c r="T27" s="8">
        <f>Gas!W29</f>
        <v>53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69</v>
      </c>
    </row>
    <row r="28" spans="1:24">
      <c r="A28" s="11" t="s">
        <v>11</v>
      </c>
      <c r="B28" s="14">
        <f t="shared" si="0"/>
        <v>27</v>
      </c>
      <c r="C28" s="14">
        <v>2</v>
      </c>
      <c r="D28" s="14">
        <v>2022</v>
      </c>
      <c r="E28" s="7">
        <f>Water!C31</f>
        <v>230</v>
      </c>
      <c r="F28" s="7">
        <f>Water!E31</f>
        <v>132</v>
      </c>
      <c r="G28" s="7">
        <f>ELECT.!D32</f>
        <v>4702</v>
      </c>
      <c r="H28" s="7">
        <f>ELECT.!F32</f>
        <v>8733</v>
      </c>
      <c r="I28" s="7">
        <f>ELECT.!H32</f>
        <v>5941</v>
      </c>
      <c r="J28" s="8">
        <f>Gas!C30</f>
        <v>231</v>
      </c>
      <c r="K28" s="8">
        <f>Gas!E30</f>
        <v>984</v>
      </c>
      <c r="L28" s="8">
        <f>Gas!G30</f>
        <v>163</v>
      </c>
      <c r="M28" s="16">
        <f>Gas!I30</f>
        <v>28</v>
      </c>
      <c r="N28" s="16">
        <f>Gas!K30</f>
        <v>0</v>
      </c>
      <c r="O28" s="8">
        <f>Gas!M30</f>
        <v>64</v>
      </c>
      <c r="P28" s="8">
        <f>Gas!O30</f>
        <v>99</v>
      </c>
      <c r="Q28" s="8">
        <f>Gas!Q30</f>
        <v>30</v>
      </c>
      <c r="R28" s="8">
        <f>Gas!S30</f>
        <v>222</v>
      </c>
      <c r="S28" s="8">
        <f>Gas!U30</f>
        <v>23</v>
      </c>
      <c r="T28" s="8">
        <f>Gas!W30</f>
        <v>54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94</v>
      </c>
    </row>
    <row r="29" spans="1:24">
      <c r="A29" s="11" t="s">
        <v>11</v>
      </c>
      <c r="B29" s="14">
        <f t="shared" si="0"/>
        <v>28</v>
      </c>
      <c r="C29" s="14">
        <v>2</v>
      </c>
      <c r="D29" s="14">
        <v>2022</v>
      </c>
      <c r="E29" s="7">
        <f>Water!C32</f>
        <v>200</v>
      </c>
      <c r="F29" s="7">
        <f>Water!E32</f>
        <v>230</v>
      </c>
      <c r="G29" s="7">
        <f>ELECT.!D33</f>
        <v>5099</v>
      </c>
      <c r="H29" s="7">
        <f>ELECT.!F33</f>
        <v>18821</v>
      </c>
      <c r="I29" s="7">
        <f>ELECT.!H33</f>
        <v>7372</v>
      </c>
      <c r="J29" s="8">
        <f>Gas!C31</f>
        <v>228</v>
      </c>
      <c r="K29" s="8">
        <f>Gas!E31</f>
        <v>961</v>
      </c>
      <c r="L29" s="8">
        <f>Gas!G31</f>
        <v>161</v>
      </c>
      <c r="M29" s="16">
        <f>Gas!I31</f>
        <v>28</v>
      </c>
      <c r="N29" s="16">
        <f>Gas!K31</f>
        <v>1</v>
      </c>
      <c r="O29" s="8">
        <f>Gas!M31</f>
        <v>55</v>
      </c>
      <c r="P29" s="8">
        <f>Gas!O31</f>
        <v>132</v>
      </c>
      <c r="Q29" s="8">
        <f>Gas!Q31</f>
        <v>27</v>
      </c>
      <c r="R29" s="8">
        <f>Gas!S31</f>
        <v>209</v>
      </c>
      <c r="S29" s="8">
        <f>Gas!U31</f>
        <v>29</v>
      </c>
      <c r="T29" s="8">
        <f>Gas!W31</f>
        <v>50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3"/>
  <sheetViews>
    <sheetView topLeftCell="A22" zoomScale="70" zoomScaleNormal="70" workbookViewId="0">
      <selection activeCell="G32" sqref="G32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06" t="s">
        <v>32</v>
      </c>
      <c r="B1" s="107"/>
      <c r="C1" s="107"/>
      <c r="D1" s="107"/>
      <c r="E1" s="108"/>
    </row>
    <row r="2" spans="1:5" ht="19.5" thickBot="1">
      <c r="A2" s="27" t="s">
        <v>1</v>
      </c>
      <c r="B2" s="109"/>
      <c r="C2" s="110"/>
      <c r="D2" s="110"/>
      <c r="E2" s="111"/>
    </row>
    <row r="3" spans="1:5" ht="18.75">
      <c r="A3" s="28"/>
      <c r="B3" s="29" t="s">
        <v>33</v>
      </c>
      <c r="C3" s="29" t="s">
        <v>34</v>
      </c>
      <c r="D3" s="84" t="s">
        <v>35</v>
      </c>
      <c r="E3" s="30" t="s">
        <v>34</v>
      </c>
    </row>
    <row r="4" spans="1:5" ht="26.25">
      <c r="A4" s="46" t="s">
        <v>36</v>
      </c>
      <c r="B4" s="119">
        <v>65200</v>
      </c>
      <c r="C4" s="75">
        <v>0</v>
      </c>
      <c r="D4" s="120">
        <v>635772</v>
      </c>
      <c r="E4" s="80">
        <v>0</v>
      </c>
    </row>
    <row r="5" spans="1:5" ht="26.25">
      <c r="A5" s="46">
        <v>44593</v>
      </c>
      <c r="B5" s="119">
        <v>65222</v>
      </c>
      <c r="C5" s="76">
        <f>(IF((B5-B4)&lt;0,"0",(B5-B4)))*10</f>
        <v>220</v>
      </c>
      <c r="D5" s="120">
        <v>635833</v>
      </c>
      <c r="E5" s="80">
        <f>E8</f>
        <v>63</v>
      </c>
    </row>
    <row r="6" spans="1:5" ht="26.25">
      <c r="A6" s="46">
        <v>44594</v>
      </c>
      <c r="B6" s="119">
        <v>65248</v>
      </c>
      <c r="C6" s="76">
        <f t="shared" ref="C6:C32" si="0">(IF((B6-B5)&lt;0,"0",(B6-B5)))*10</f>
        <v>260</v>
      </c>
      <c r="D6" s="120">
        <v>635879</v>
      </c>
      <c r="E6" s="80">
        <f>E7</f>
        <v>203</v>
      </c>
    </row>
    <row r="7" spans="1:5" ht="26.25">
      <c r="A7" s="46">
        <v>44595</v>
      </c>
      <c r="B7" s="119">
        <v>65273</v>
      </c>
      <c r="C7" s="76">
        <f t="shared" si="0"/>
        <v>250</v>
      </c>
      <c r="D7" s="120">
        <v>636082</v>
      </c>
      <c r="E7" s="80">
        <f t="shared" ref="E7:E32" si="1">(IF((D7-D6)&lt;0,"0",(D7-D6)))</f>
        <v>203</v>
      </c>
    </row>
    <row r="8" spans="1:5" ht="26.25">
      <c r="A8" s="46">
        <v>44596</v>
      </c>
      <c r="B8" s="119">
        <v>65299</v>
      </c>
      <c r="C8" s="76">
        <f t="shared" si="0"/>
        <v>260</v>
      </c>
      <c r="D8" s="120">
        <v>636145</v>
      </c>
      <c r="E8" s="80">
        <f t="shared" si="1"/>
        <v>63</v>
      </c>
    </row>
    <row r="9" spans="1:5" ht="26.25">
      <c r="A9" s="46">
        <v>44597</v>
      </c>
      <c r="B9" s="119">
        <v>65323</v>
      </c>
      <c r="C9" s="76">
        <f t="shared" si="0"/>
        <v>240</v>
      </c>
      <c r="D9" s="120">
        <v>636197</v>
      </c>
      <c r="E9" s="80">
        <f t="shared" si="1"/>
        <v>52</v>
      </c>
    </row>
    <row r="10" spans="1:5" ht="26.25">
      <c r="A10" s="46">
        <v>44598</v>
      </c>
      <c r="B10" s="119">
        <v>65349</v>
      </c>
      <c r="C10" s="76">
        <f t="shared" si="0"/>
        <v>260</v>
      </c>
      <c r="D10" s="120">
        <v>636272</v>
      </c>
      <c r="E10" s="80">
        <f t="shared" si="1"/>
        <v>75</v>
      </c>
    </row>
    <row r="11" spans="1:5" ht="26.25">
      <c r="A11" s="46">
        <v>44599</v>
      </c>
      <c r="B11" s="119">
        <v>65370</v>
      </c>
      <c r="C11" s="76">
        <f t="shared" si="0"/>
        <v>210</v>
      </c>
      <c r="D11" s="120">
        <v>636336</v>
      </c>
      <c r="E11" s="80">
        <f t="shared" si="1"/>
        <v>64</v>
      </c>
    </row>
    <row r="12" spans="1:5" ht="26.25">
      <c r="A12" s="46">
        <v>44600</v>
      </c>
      <c r="B12" s="119">
        <v>65391</v>
      </c>
      <c r="C12" s="76">
        <f t="shared" si="0"/>
        <v>210</v>
      </c>
      <c r="D12" s="120">
        <v>636391</v>
      </c>
      <c r="E12" s="80">
        <f t="shared" si="1"/>
        <v>55</v>
      </c>
    </row>
    <row r="13" spans="1:5" ht="26.25">
      <c r="A13" s="46">
        <v>44601</v>
      </c>
      <c r="B13" s="119">
        <v>65413</v>
      </c>
      <c r="C13" s="76">
        <f t="shared" si="0"/>
        <v>220</v>
      </c>
      <c r="D13" s="120">
        <v>636422</v>
      </c>
      <c r="E13" s="80">
        <f t="shared" si="1"/>
        <v>31</v>
      </c>
    </row>
    <row r="14" spans="1:5" ht="26.25">
      <c r="A14" s="46">
        <v>44602</v>
      </c>
      <c r="B14" s="119">
        <v>65437</v>
      </c>
      <c r="C14" s="76">
        <f t="shared" si="0"/>
        <v>240</v>
      </c>
      <c r="D14" s="120">
        <v>636470</v>
      </c>
      <c r="E14" s="80">
        <f t="shared" si="1"/>
        <v>48</v>
      </c>
    </row>
    <row r="15" spans="1:5" ht="26.25">
      <c r="A15" s="46">
        <v>44603</v>
      </c>
      <c r="B15" s="119">
        <v>65468</v>
      </c>
      <c r="C15" s="76">
        <f t="shared" si="0"/>
        <v>310</v>
      </c>
      <c r="D15" s="120">
        <v>636557</v>
      </c>
      <c r="E15" s="80">
        <f t="shared" si="1"/>
        <v>87</v>
      </c>
    </row>
    <row r="16" spans="1:5" ht="26.25">
      <c r="A16" s="46">
        <v>44604</v>
      </c>
      <c r="B16" s="119">
        <v>65492</v>
      </c>
      <c r="C16" s="76">
        <f t="shared" si="0"/>
        <v>240</v>
      </c>
      <c r="D16" s="120">
        <v>636742</v>
      </c>
      <c r="E16" s="81">
        <f t="shared" si="1"/>
        <v>185</v>
      </c>
    </row>
    <row r="17" spans="1:11" ht="26.25">
      <c r="A17" s="46">
        <v>44605</v>
      </c>
      <c r="B17" s="119">
        <v>65519</v>
      </c>
      <c r="C17" s="76">
        <f t="shared" si="0"/>
        <v>270</v>
      </c>
      <c r="D17" s="120">
        <v>636865</v>
      </c>
      <c r="E17" s="83">
        <f t="shared" si="1"/>
        <v>123</v>
      </c>
    </row>
    <row r="18" spans="1:11" ht="26.25">
      <c r="A18" s="46">
        <v>44606</v>
      </c>
      <c r="B18" s="119">
        <v>65542</v>
      </c>
      <c r="C18" s="76">
        <f t="shared" si="0"/>
        <v>230</v>
      </c>
      <c r="D18" s="120">
        <v>636970</v>
      </c>
      <c r="E18" s="80">
        <f t="shared" si="1"/>
        <v>105</v>
      </c>
    </row>
    <row r="19" spans="1:11" ht="26.25">
      <c r="A19" s="46">
        <v>44607</v>
      </c>
      <c r="B19" s="119">
        <v>65570</v>
      </c>
      <c r="C19" s="76">
        <f t="shared" si="0"/>
        <v>280</v>
      </c>
      <c r="D19" s="120">
        <v>637148</v>
      </c>
      <c r="E19" s="80">
        <f t="shared" si="1"/>
        <v>178</v>
      </c>
    </row>
    <row r="20" spans="1:11" ht="26.25">
      <c r="A20" s="46">
        <v>44608</v>
      </c>
      <c r="B20" s="119">
        <v>65594</v>
      </c>
      <c r="C20" s="76">
        <f t="shared" si="0"/>
        <v>240</v>
      </c>
      <c r="D20" s="120">
        <v>637240</v>
      </c>
      <c r="E20" s="80">
        <f t="shared" si="1"/>
        <v>92</v>
      </c>
    </row>
    <row r="21" spans="1:11" ht="26.25">
      <c r="A21" s="46">
        <v>44609</v>
      </c>
      <c r="B21" s="119">
        <v>65620</v>
      </c>
      <c r="C21" s="76">
        <f t="shared" si="0"/>
        <v>260</v>
      </c>
      <c r="D21" s="120">
        <v>637411</v>
      </c>
      <c r="E21" s="80">
        <f t="shared" si="1"/>
        <v>171</v>
      </c>
    </row>
    <row r="22" spans="1:11" ht="26.25">
      <c r="A22" s="46">
        <v>44610</v>
      </c>
      <c r="B22" s="119">
        <v>65646</v>
      </c>
      <c r="C22" s="76">
        <f t="shared" si="0"/>
        <v>260</v>
      </c>
      <c r="D22" s="120">
        <v>637494</v>
      </c>
      <c r="E22" s="80">
        <f t="shared" si="1"/>
        <v>83</v>
      </c>
    </row>
    <row r="23" spans="1:11" ht="26.25">
      <c r="A23" s="46">
        <v>44611</v>
      </c>
      <c r="B23" s="119">
        <v>65671</v>
      </c>
      <c r="C23" s="76">
        <f t="shared" si="0"/>
        <v>250</v>
      </c>
      <c r="D23" s="120">
        <v>637528</v>
      </c>
      <c r="E23" s="80">
        <f t="shared" si="1"/>
        <v>34</v>
      </c>
    </row>
    <row r="24" spans="1:11" ht="26.25">
      <c r="A24" s="46">
        <v>44612</v>
      </c>
      <c r="B24" s="119">
        <v>65691</v>
      </c>
      <c r="C24" s="76">
        <f t="shared" si="0"/>
        <v>200</v>
      </c>
      <c r="D24" s="120">
        <v>637622</v>
      </c>
      <c r="E24" s="80">
        <f t="shared" si="1"/>
        <v>94</v>
      </c>
    </row>
    <row r="25" spans="1:11" ht="26.25">
      <c r="A25" s="46">
        <v>44613</v>
      </c>
      <c r="B25" s="119">
        <v>65711</v>
      </c>
      <c r="C25" s="76">
        <f t="shared" si="0"/>
        <v>200</v>
      </c>
      <c r="D25" s="120">
        <v>637811</v>
      </c>
      <c r="E25" s="80">
        <f t="shared" si="1"/>
        <v>189</v>
      </c>
    </row>
    <row r="26" spans="1:11" ht="26.25">
      <c r="A26" s="46">
        <v>44614</v>
      </c>
      <c r="B26" s="119">
        <v>65734</v>
      </c>
      <c r="C26" s="76">
        <f t="shared" si="0"/>
        <v>230</v>
      </c>
      <c r="D26" s="120">
        <v>638102</v>
      </c>
      <c r="E26" s="80">
        <f t="shared" si="1"/>
        <v>291</v>
      </c>
    </row>
    <row r="27" spans="1:11" ht="26.25">
      <c r="A27" s="46">
        <v>44615</v>
      </c>
      <c r="B27" s="119">
        <v>65757</v>
      </c>
      <c r="C27" s="76">
        <f t="shared" si="0"/>
        <v>230</v>
      </c>
      <c r="D27" s="120">
        <v>638306</v>
      </c>
      <c r="E27" s="80">
        <f t="shared" si="1"/>
        <v>204</v>
      </c>
      <c r="K27" s="23"/>
    </row>
    <row r="28" spans="1:11" ht="26.25">
      <c r="A28" s="46">
        <v>44616</v>
      </c>
      <c r="B28" s="119">
        <v>65783</v>
      </c>
      <c r="C28" s="76">
        <f t="shared" si="0"/>
        <v>260</v>
      </c>
      <c r="D28" s="120">
        <v>638500</v>
      </c>
      <c r="E28" s="80">
        <f t="shared" si="1"/>
        <v>194</v>
      </c>
    </row>
    <row r="29" spans="1:11" ht="26.25">
      <c r="A29" s="46">
        <v>44617</v>
      </c>
      <c r="B29" s="119">
        <v>65809</v>
      </c>
      <c r="C29" s="76">
        <f t="shared" si="0"/>
        <v>260</v>
      </c>
      <c r="D29" s="120">
        <v>638502</v>
      </c>
      <c r="E29" s="80">
        <f t="shared" si="1"/>
        <v>2</v>
      </c>
    </row>
    <row r="30" spans="1:11" ht="26.25">
      <c r="A30" s="46">
        <v>44618</v>
      </c>
      <c r="B30" s="119">
        <v>65839</v>
      </c>
      <c r="C30" s="76">
        <f t="shared" si="0"/>
        <v>300</v>
      </c>
      <c r="D30" s="120">
        <v>638535</v>
      </c>
      <c r="E30" s="80">
        <f t="shared" si="1"/>
        <v>33</v>
      </c>
    </row>
    <row r="31" spans="1:11" ht="26.25">
      <c r="A31" s="46">
        <v>44619</v>
      </c>
      <c r="B31" s="119">
        <v>65862</v>
      </c>
      <c r="C31" s="76">
        <f t="shared" si="0"/>
        <v>230</v>
      </c>
      <c r="D31" s="120">
        <v>638667</v>
      </c>
      <c r="E31" s="80">
        <f t="shared" si="1"/>
        <v>132</v>
      </c>
    </row>
    <row r="32" spans="1:11" ht="26.25">
      <c r="A32" s="46">
        <v>44620</v>
      </c>
      <c r="B32" s="119">
        <v>65882</v>
      </c>
      <c r="C32" s="76">
        <f t="shared" si="0"/>
        <v>200</v>
      </c>
      <c r="D32" s="120">
        <v>638897</v>
      </c>
      <c r="E32" s="80">
        <f t="shared" si="1"/>
        <v>230</v>
      </c>
    </row>
    <row r="33" spans="1:5" ht="27">
      <c r="A33" s="77" t="s">
        <v>37</v>
      </c>
      <c r="B33" s="78"/>
      <c r="C33" s="47">
        <f>SUM(C5:C32)</f>
        <v>6820</v>
      </c>
      <c r="D33" s="79"/>
      <c r="E33" s="82">
        <f>SUM(E5:E32)</f>
        <v>3284</v>
      </c>
    </row>
  </sheetData>
  <mergeCells count="2">
    <mergeCell ref="A1:E1"/>
    <mergeCell ref="B2:E2"/>
  </mergeCells>
  <phoneticPr fontId="0" type="noConversion"/>
  <conditionalFormatting sqref="B33 C4:C32 D33 E4:E32">
    <cfRule type="cellIs" dxfId="3" priority="114" stopIfTrue="1" operator="lessThan">
      <formula>0</formula>
    </cfRule>
  </conditionalFormatting>
  <conditionalFormatting sqref="D33">
    <cfRule type="cellIs" dxfId="2" priority="112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1"/>
  <sheetViews>
    <sheetView tabSelected="1" zoomScale="60" zoomScaleNormal="60" workbookViewId="0">
      <selection activeCell="B7" sqref="B7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12" t="s">
        <v>38</v>
      </c>
      <c r="B1" s="113"/>
      <c r="C1" s="113"/>
      <c r="D1" s="113"/>
      <c r="E1" s="113"/>
      <c r="F1" s="113"/>
      <c r="G1" s="113"/>
      <c r="H1" s="113"/>
      <c r="I1" s="114"/>
    </row>
    <row r="2" spans="1:23" ht="15.75" customHeight="1" thickTop="1" thickBot="1">
      <c r="A2" s="115" t="s">
        <v>39</v>
      </c>
      <c r="B2" s="116"/>
      <c r="C2" s="116"/>
      <c r="D2" s="116"/>
      <c r="E2" s="116"/>
      <c r="F2" s="116"/>
      <c r="G2" s="116"/>
      <c r="H2" s="116"/>
      <c r="I2" s="117"/>
      <c r="J2" s="94" t="s">
        <v>40</v>
      </c>
      <c r="K2" s="95"/>
      <c r="L2" s="95"/>
      <c r="M2" s="95"/>
      <c r="N2" s="95"/>
      <c r="O2" s="96"/>
      <c r="P2" s="94" t="s">
        <v>41</v>
      </c>
      <c r="Q2" s="95"/>
      <c r="R2" s="95"/>
      <c r="S2" s="95"/>
      <c r="T2" s="95"/>
      <c r="U2" s="95"/>
      <c r="V2" s="95"/>
      <c r="W2" s="96"/>
    </row>
    <row r="3" spans="1:23" ht="16.5" thickBot="1">
      <c r="A3" s="44" t="s">
        <v>1</v>
      </c>
      <c r="B3" s="45" t="s">
        <v>42</v>
      </c>
      <c r="C3" s="103" t="s">
        <v>43</v>
      </c>
      <c r="D3" s="38" t="s">
        <v>34</v>
      </c>
      <c r="E3" s="38" t="s">
        <v>44</v>
      </c>
      <c r="F3" s="104" t="s">
        <v>34</v>
      </c>
      <c r="G3" s="38" t="s">
        <v>45</v>
      </c>
      <c r="H3" s="31" t="s">
        <v>34</v>
      </c>
      <c r="I3" s="88" t="s">
        <v>37</v>
      </c>
      <c r="J3" s="97" t="s">
        <v>46</v>
      </c>
      <c r="K3" s="38"/>
      <c r="L3" s="38" t="s">
        <v>47</v>
      </c>
      <c r="M3" s="38"/>
      <c r="N3" s="38" t="s">
        <v>48</v>
      </c>
      <c r="O3" s="88"/>
      <c r="P3" s="97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88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89" t="s">
        <v>53</v>
      </c>
      <c r="J4" s="98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89" t="s">
        <v>55</v>
      </c>
      <c r="P4" s="98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89" t="s">
        <v>55</v>
      </c>
    </row>
    <row r="5" spans="1:23" ht="26.25">
      <c r="A5" s="35" t="s">
        <v>36</v>
      </c>
      <c r="B5" s="33">
        <v>70</v>
      </c>
      <c r="C5" s="121">
        <v>49598195</v>
      </c>
      <c r="D5" s="41">
        <v>0</v>
      </c>
      <c r="E5" s="121">
        <v>49009513</v>
      </c>
      <c r="F5" s="71">
        <v>0</v>
      </c>
      <c r="G5" s="121">
        <v>37073359</v>
      </c>
      <c r="H5" s="71">
        <v>0</v>
      </c>
      <c r="I5" s="91"/>
      <c r="J5" s="99"/>
      <c r="K5" s="99"/>
      <c r="L5" s="99"/>
      <c r="M5" s="99"/>
      <c r="N5" s="99"/>
      <c r="O5" s="90"/>
      <c r="P5" s="99"/>
      <c r="Q5" s="99"/>
      <c r="R5" s="99"/>
      <c r="S5" s="99"/>
      <c r="T5" s="99"/>
      <c r="U5" s="99"/>
      <c r="V5" s="99"/>
      <c r="W5" s="90"/>
    </row>
    <row r="6" spans="1:23" ht="26.25">
      <c r="A6" s="32">
        <v>44593</v>
      </c>
      <c r="B6" s="34">
        <v>77</v>
      </c>
      <c r="C6" s="121">
        <v>49602730</v>
      </c>
      <c r="D6" s="42">
        <f>IF((C6-C5)&lt;0,"0",(C6-C5))</f>
        <v>4535</v>
      </c>
      <c r="E6" s="121">
        <v>49017804</v>
      </c>
      <c r="F6" s="42">
        <f>IF((E6-E5)&lt;0,"0",(E6-E5))</f>
        <v>8291</v>
      </c>
      <c r="G6" s="121">
        <v>37079444</v>
      </c>
      <c r="H6" s="42">
        <f>IF((G6-G5)&lt;0,"0",(G6-G5))</f>
        <v>6085</v>
      </c>
      <c r="I6" s="92">
        <f>D6+F6+H6</f>
        <v>18911</v>
      </c>
      <c r="J6" s="99"/>
      <c r="K6" s="99">
        <f t="shared" ref="K6:K33" si="0">IF(J6-J5&lt;0,0,J6-J5)</f>
        <v>0</v>
      </c>
      <c r="L6" s="99"/>
      <c r="M6" s="99">
        <f t="shared" ref="M6:U21" si="1">IF(L6-L5&lt;0,0,L6-L5)</f>
        <v>0</v>
      </c>
      <c r="N6" s="99"/>
      <c r="O6" s="90">
        <f t="shared" si="1"/>
        <v>0</v>
      </c>
      <c r="P6" s="99"/>
      <c r="Q6" s="99">
        <f t="shared" si="1"/>
        <v>0</v>
      </c>
      <c r="R6" s="99"/>
      <c r="S6" s="99">
        <f t="shared" si="1"/>
        <v>0</v>
      </c>
      <c r="T6" s="99"/>
      <c r="U6" s="99">
        <f t="shared" si="1"/>
        <v>0</v>
      </c>
      <c r="V6" s="99"/>
      <c r="W6" s="90">
        <f t="shared" ref="W6:W27" si="2">IF(V6-V5&lt;0,0,V6-V5)</f>
        <v>0</v>
      </c>
    </row>
    <row r="7" spans="1:23" ht="26.25">
      <c r="A7" s="32">
        <v>44594</v>
      </c>
      <c r="B7" s="34">
        <v>69</v>
      </c>
      <c r="C7" s="121">
        <v>49607789</v>
      </c>
      <c r="D7" s="42">
        <f t="shared" ref="D7:D32" si="3">IF((C7-C6)&lt;0,"0",(C7-C6))</f>
        <v>5059</v>
      </c>
      <c r="E7" s="121">
        <v>49026691</v>
      </c>
      <c r="F7" s="42">
        <f t="shared" ref="F7:F32" si="4">IF((E7-E6)&lt;0,"0",(E7-E6))</f>
        <v>8887</v>
      </c>
      <c r="G7" s="121">
        <v>37086504</v>
      </c>
      <c r="H7" s="42">
        <f t="shared" ref="H7:H32" si="5">IF((G7-G6)&lt;0,"0",(G7-G6))</f>
        <v>7060</v>
      </c>
      <c r="I7" s="92">
        <f t="shared" ref="I7:I34" si="6">D7+F7+H7</f>
        <v>21006</v>
      </c>
      <c r="J7" s="99"/>
      <c r="K7" s="99">
        <f t="shared" si="0"/>
        <v>0</v>
      </c>
      <c r="L7" s="99"/>
      <c r="M7" s="99">
        <f t="shared" si="1"/>
        <v>0</v>
      </c>
      <c r="N7" s="99"/>
      <c r="O7" s="90">
        <f t="shared" si="1"/>
        <v>0</v>
      </c>
      <c r="P7" s="99"/>
      <c r="Q7" s="99">
        <f t="shared" si="1"/>
        <v>0</v>
      </c>
      <c r="R7" s="99"/>
      <c r="S7" s="99">
        <f t="shared" si="1"/>
        <v>0</v>
      </c>
      <c r="T7" s="99"/>
      <c r="U7" s="99">
        <f t="shared" si="1"/>
        <v>0</v>
      </c>
      <c r="V7" s="99"/>
      <c r="W7" s="90">
        <f t="shared" si="2"/>
        <v>0</v>
      </c>
    </row>
    <row r="8" spans="1:23" ht="26.25">
      <c r="A8" s="32">
        <v>44595</v>
      </c>
      <c r="B8" s="34">
        <v>40</v>
      </c>
      <c r="C8" s="121">
        <v>49612502</v>
      </c>
      <c r="D8" s="42">
        <f t="shared" si="3"/>
        <v>4713</v>
      </c>
      <c r="E8" s="121">
        <v>49035868</v>
      </c>
      <c r="F8" s="42">
        <f t="shared" si="4"/>
        <v>9177</v>
      </c>
      <c r="G8" s="121">
        <v>37092992</v>
      </c>
      <c r="H8" s="42">
        <f t="shared" si="5"/>
        <v>6488</v>
      </c>
      <c r="I8" s="92">
        <f t="shared" si="6"/>
        <v>20378</v>
      </c>
      <c r="J8" s="99"/>
      <c r="K8" s="99">
        <f t="shared" si="0"/>
        <v>0</v>
      </c>
      <c r="L8" s="99"/>
      <c r="M8" s="99">
        <f t="shared" si="1"/>
        <v>0</v>
      </c>
      <c r="N8" s="99"/>
      <c r="O8" s="90">
        <f t="shared" si="1"/>
        <v>0</v>
      </c>
      <c r="P8" s="99"/>
      <c r="Q8" s="99">
        <f t="shared" si="1"/>
        <v>0</v>
      </c>
      <c r="R8" s="99"/>
      <c r="S8" s="99">
        <f t="shared" si="1"/>
        <v>0</v>
      </c>
      <c r="T8" s="99"/>
      <c r="U8" s="99">
        <f t="shared" si="1"/>
        <v>0</v>
      </c>
      <c r="V8" s="99"/>
      <c r="W8" s="90">
        <f t="shared" si="2"/>
        <v>0</v>
      </c>
    </row>
    <row r="9" spans="1:23" ht="26.25">
      <c r="A9" s="32">
        <v>44596</v>
      </c>
      <c r="B9" s="34">
        <v>60</v>
      </c>
      <c r="C9" s="121">
        <v>49617178</v>
      </c>
      <c r="D9" s="42">
        <f t="shared" si="3"/>
        <v>4676</v>
      </c>
      <c r="E9" s="121">
        <v>49045471</v>
      </c>
      <c r="F9" s="42">
        <f t="shared" si="4"/>
        <v>9603</v>
      </c>
      <c r="G9" s="121">
        <v>37099461</v>
      </c>
      <c r="H9" s="42">
        <f t="shared" si="5"/>
        <v>6469</v>
      </c>
      <c r="I9" s="92">
        <f t="shared" si="6"/>
        <v>20748</v>
      </c>
      <c r="J9" s="99"/>
      <c r="K9" s="99">
        <f t="shared" si="0"/>
        <v>0</v>
      </c>
      <c r="L9" s="99"/>
      <c r="M9" s="99">
        <f t="shared" si="1"/>
        <v>0</v>
      </c>
      <c r="N9" s="99"/>
      <c r="O9" s="90">
        <f t="shared" si="1"/>
        <v>0</v>
      </c>
      <c r="P9" s="99"/>
      <c r="Q9" s="99">
        <f t="shared" si="1"/>
        <v>0</v>
      </c>
      <c r="R9" s="99"/>
      <c r="S9" s="99">
        <f t="shared" si="1"/>
        <v>0</v>
      </c>
      <c r="T9" s="99"/>
      <c r="U9" s="99">
        <f t="shared" si="1"/>
        <v>0</v>
      </c>
      <c r="V9" s="99"/>
      <c r="W9" s="90">
        <f t="shared" si="2"/>
        <v>0</v>
      </c>
    </row>
    <row r="10" spans="1:23" ht="26.25">
      <c r="A10" s="32">
        <v>44597</v>
      </c>
      <c r="B10" s="34">
        <v>64</v>
      </c>
      <c r="C10" s="121">
        <v>49622098</v>
      </c>
      <c r="D10" s="42">
        <f t="shared" si="3"/>
        <v>4920</v>
      </c>
      <c r="E10" s="121">
        <v>49054853</v>
      </c>
      <c r="F10" s="42">
        <f t="shared" si="4"/>
        <v>9382</v>
      </c>
      <c r="G10" s="121">
        <v>37106253</v>
      </c>
      <c r="H10" s="42">
        <f t="shared" si="5"/>
        <v>6792</v>
      </c>
      <c r="I10" s="92">
        <f t="shared" si="6"/>
        <v>21094</v>
      </c>
      <c r="J10" s="99"/>
      <c r="K10" s="99">
        <f t="shared" si="0"/>
        <v>0</v>
      </c>
      <c r="L10" s="99"/>
      <c r="M10" s="99">
        <f t="shared" si="1"/>
        <v>0</v>
      </c>
      <c r="N10" s="99"/>
      <c r="O10" s="90">
        <f t="shared" si="1"/>
        <v>0</v>
      </c>
      <c r="P10" s="99"/>
      <c r="Q10" s="99">
        <f t="shared" si="1"/>
        <v>0</v>
      </c>
      <c r="R10" s="99"/>
      <c r="S10" s="99">
        <f t="shared" si="1"/>
        <v>0</v>
      </c>
      <c r="T10" s="99"/>
      <c r="U10" s="99">
        <f t="shared" si="1"/>
        <v>0</v>
      </c>
      <c r="V10" s="99"/>
      <c r="W10" s="90">
        <f t="shared" si="2"/>
        <v>0</v>
      </c>
    </row>
    <row r="11" spans="1:23" ht="26.25">
      <c r="A11" s="32">
        <v>44598</v>
      </c>
      <c r="B11" s="34">
        <v>76</v>
      </c>
      <c r="C11" s="121">
        <v>49625994</v>
      </c>
      <c r="D11" s="42">
        <f t="shared" si="3"/>
        <v>3896</v>
      </c>
      <c r="E11" s="121">
        <v>49062336</v>
      </c>
      <c r="F11" s="42">
        <f t="shared" si="4"/>
        <v>7483</v>
      </c>
      <c r="G11" s="121">
        <v>37111871</v>
      </c>
      <c r="H11" s="42">
        <f t="shared" si="5"/>
        <v>5618</v>
      </c>
      <c r="I11" s="92">
        <f t="shared" si="6"/>
        <v>16997</v>
      </c>
      <c r="J11" s="99"/>
      <c r="K11" s="99">
        <f t="shared" si="0"/>
        <v>0</v>
      </c>
      <c r="L11" s="99"/>
      <c r="M11" s="99">
        <f t="shared" si="1"/>
        <v>0</v>
      </c>
      <c r="N11" s="99"/>
      <c r="O11" s="90">
        <f t="shared" si="1"/>
        <v>0</v>
      </c>
      <c r="P11" s="99"/>
      <c r="Q11" s="99">
        <f t="shared" si="1"/>
        <v>0</v>
      </c>
      <c r="R11" s="99"/>
      <c r="S11" s="99">
        <f t="shared" si="1"/>
        <v>0</v>
      </c>
      <c r="T11" s="99"/>
      <c r="U11" s="99">
        <f t="shared" si="1"/>
        <v>0</v>
      </c>
      <c r="V11" s="99"/>
      <c r="W11" s="90">
        <f t="shared" si="2"/>
        <v>0</v>
      </c>
    </row>
    <row r="12" spans="1:23" ht="26.25">
      <c r="A12" s="32">
        <v>44599</v>
      </c>
      <c r="B12" s="34">
        <v>72</v>
      </c>
      <c r="C12" s="121">
        <v>49630215</v>
      </c>
      <c r="D12" s="42">
        <f t="shared" si="3"/>
        <v>4221</v>
      </c>
      <c r="E12" s="121">
        <v>49070549</v>
      </c>
      <c r="F12" s="42">
        <f t="shared" si="4"/>
        <v>8213</v>
      </c>
      <c r="G12" s="121">
        <v>37118571</v>
      </c>
      <c r="H12" s="42">
        <f t="shared" si="5"/>
        <v>6700</v>
      </c>
      <c r="I12" s="92">
        <f t="shared" si="6"/>
        <v>19134</v>
      </c>
      <c r="J12" s="99"/>
      <c r="K12" s="99">
        <f t="shared" si="0"/>
        <v>0</v>
      </c>
      <c r="L12" s="99"/>
      <c r="M12" s="99">
        <f t="shared" si="1"/>
        <v>0</v>
      </c>
      <c r="N12" s="99"/>
      <c r="O12" s="90">
        <f t="shared" si="1"/>
        <v>0</v>
      </c>
      <c r="P12" s="99"/>
      <c r="Q12" s="99">
        <f t="shared" si="1"/>
        <v>0</v>
      </c>
      <c r="R12" s="99"/>
      <c r="S12" s="99">
        <f t="shared" si="1"/>
        <v>0</v>
      </c>
      <c r="T12" s="99"/>
      <c r="U12" s="99">
        <f t="shared" si="1"/>
        <v>0</v>
      </c>
      <c r="V12" s="99"/>
      <c r="W12" s="90">
        <f t="shared" si="2"/>
        <v>0</v>
      </c>
    </row>
    <row r="13" spans="1:23" ht="26.25">
      <c r="A13" s="32">
        <v>44600</v>
      </c>
      <c r="B13" s="34">
        <v>80</v>
      </c>
      <c r="C13" s="121">
        <v>49633494</v>
      </c>
      <c r="D13" s="42">
        <f t="shared" si="3"/>
        <v>3279</v>
      </c>
      <c r="E13" s="121">
        <v>49080090</v>
      </c>
      <c r="F13" s="42">
        <f t="shared" si="4"/>
        <v>9541</v>
      </c>
      <c r="G13" s="121">
        <v>37125792</v>
      </c>
      <c r="H13" s="42">
        <f t="shared" si="5"/>
        <v>7221</v>
      </c>
      <c r="I13" s="92">
        <f t="shared" si="6"/>
        <v>20041</v>
      </c>
      <c r="J13" s="99"/>
      <c r="K13" s="99">
        <f t="shared" si="0"/>
        <v>0</v>
      </c>
      <c r="L13" s="99"/>
      <c r="M13" s="99">
        <f t="shared" si="1"/>
        <v>0</v>
      </c>
      <c r="N13" s="99"/>
      <c r="O13" s="90">
        <f t="shared" si="1"/>
        <v>0</v>
      </c>
      <c r="P13" s="99"/>
      <c r="Q13" s="99">
        <f t="shared" si="1"/>
        <v>0</v>
      </c>
      <c r="R13" s="99"/>
      <c r="S13" s="99">
        <f t="shared" si="1"/>
        <v>0</v>
      </c>
      <c r="T13" s="99"/>
      <c r="U13" s="99">
        <f t="shared" si="1"/>
        <v>0</v>
      </c>
      <c r="V13" s="99"/>
      <c r="W13" s="90">
        <f t="shared" si="2"/>
        <v>0</v>
      </c>
    </row>
    <row r="14" spans="1:23" ht="26.25">
      <c r="A14" s="32">
        <v>44601</v>
      </c>
      <c r="B14" s="34">
        <v>76</v>
      </c>
      <c r="C14" s="121">
        <v>49639014</v>
      </c>
      <c r="D14" s="42">
        <f t="shared" si="3"/>
        <v>5520</v>
      </c>
      <c r="E14" s="121">
        <v>49087403</v>
      </c>
      <c r="F14" s="42">
        <f t="shared" si="4"/>
        <v>7313</v>
      </c>
      <c r="G14" s="121">
        <v>37130766</v>
      </c>
      <c r="H14" s="42">
        <f t="shared" si="5"/>
        <v>4974</v>
      </c>
      <c r="I14" s="92">
        <f t="shared" si="6"/>
        <v>17807</v>
      </c>
      <c r="J14" s="99"/>
      <c r="K14" s="99">
        <f t="shared" si="0"/>
        <v>0</v>
      </c>
      <c r="L14" s="99"/>
      <c r="M14" s="99">
        <f t="shared" si="1"/>
        <v>0</v>
      </c>
      <c r="N14" s="99"/>
      <c r="O14" s="90">
        <f t="shared" si="1"/>
        <v>0</v>
      </c>
      <c r="P14" s="99"/>
      <c r="Q14" s="99">
        <f t="shared" si="1"/>
        <v>0</v>
      </c>
      <c r="R14" s="99"/>
      <c r="S14" s="99">
        <f t="shared" si="1"/>
        <v>0</v>
      </c>
      <c r="T14" s="99"/>
      <c r="U14" s="99">
        <f t="shared" si="1"/>
        <v>0</v>
      </c>
      <c r="V14" s="99"/>
      <c r="W14" s="90">
        <f t="shared" si="2"/>
        <v>0</v>
      </c>
    </row>
    <row r="15" spans="1:23" ht="26.25">
      <c r="A15" s="32">
        <v>44602</v>
      </c>
      <c r="B15" s="34">
        <v>92</v>
      </c>
      <c r="C15" s="121">
        <v>49643841</v>
      </c>
      <c r="D15" s="42">
        <f t="shared" ref="D15:D27" si="7">IF((C15-C14)&lt;0,"0",(C15-C14))</f>
        <v>4827</v>
      </c>
      <c r="E15" s="121">
        <v>49096757</v>
      </c>
      <c r="F15" s="42">
        <f t="shared" si="4"/>
        <v>9354</v>
      </c>
      <c r="G15" s="121">
        <v>37137273</v>
      </c>
      <c r="H15" s="42">
        <f t="shared" si="5"/>
        <v>6507</v>
      </c>
      <c r="I15" s="92">
        <f t="shared" si="6"/>
        <v>20688</v>
      </c>
      <c r="J15" s="99"/>
      <c r="K15" s="99">
        <f t="shared" si="0"/>
        <v>0</v>
      </c>
      <c r="L15" s="99"/>
      <c r="M15" s="99">
        <f t="shared" si="1"/>
        <v>0</v>
      </c>
      <c r="N15" s="99"/>
      <c r="O15" s="90">
        <f t="shared" si="1"/>
        <v>0</v>
      </c>
      <c r="P15" s="99"/>
      <c r="Q15" s="99">
        <f t="shared" si="1"/>
        <v>0</v>
      </c>
      <c r="R15" s="99"/>
      <c r="S15" s="99">
        <f t="shared" si="1"/>
        <v>0</v>
      </c>
      <c r="T15" s="99"/>
      <c r="U15" s="99">
        <f t="shared" si="1"/>
        <v>0</v>
      </c>
      <c r="V15" s="99"/>
      <c r="W15" s="90">
        <f t="shared" si="2"/>
        <v>0</v>
      </c>
    </row>
    <row r="16" spans="1:23" ht="26.25">
      <c r="A16" s="32">
        <v>44603</v>
      </c>
      <c r="B16" s="34">
        <v>107</v>
      </c>
      <c r="C16" s="121">
        <v>49648436</v>
      </c>
      <c r="D16" s="42">
        <f t="shared" si="7"/>
        <v>4595</v>
      </c>
      <c r="E16" s="121">
        <v>49104930</v>
      </c>
      <c r="F16" s="42">
        <f t="shared" si="4"/>
        <v>8173</v>
      </c>
      <c r="G16" s="121">
        <v>37143199</v>
      </c>
      <c r="H16" s="42">
        <f t="shared" si="5"/>
        <v>5926</v>
      </c>
      <c r="I16" s="92">
        <f t="shared" si="6"/>
        <v>18694</v>
      </c>
      <c r="J16" s="99"/>
      <c r="K16" s="99">
        <f t="shared" si="0"/>
        <v>0</v>
      </c>
      <c r="L16" s="99"/>
      <c r="M16" s="99">
        <f t="shared" si="1"/>
        <v>0</v>
      </c>
      <c r="N16" s="99"/>
      <c r="O16" s="90">
        <f t="shared" si="1"/>
        <v>0</v>
      </c>
      <c r="P16" s="99"/>
      <c r="Q16" s="99">
        <f t="shared" si="1"/>
        <v>0</v>
      </c>
      <c r="R16" s="99"/>
      <c r="S16" s="99">
        <f t="shared" si="1"/>
        <v>0</v>
      </c>
      <c r="T16" s="99"/>
      <c r="U16" s="99">
        <f t="shared" si="1"/>
        <v>0</v>
      </c>
      <c r="V16" s="99"/>
      <c r="W16" s="90">
        <f t="shared" si="2"/>
        <v>0</v>
      </c>
    </row>
    <row r="17" spans="1:23" ht="26.25">
      <c r="A17" s="32">
        <v>44604</v>
      </c>
      <c r="B17" s="34">
        <v>92</v>
      </c>
      <c r="C17" s="121">
        <v>49652851</v>
      </c>
      <c r="D17" s="42">
        <f t="shared" si="7"/>
        <v>4415</v>
      </c>
      <c r="E17" s="121">
        <v>49112728</v>
      </c>
      <c r="F17" s="42">
        <f t="shared" si="4"/>
        <v>7798</v>
      </c>
      <c r="G17" s="121">
        <v>37148827</v>
      </c>
      <c r="H17" s="42">
        <f t="shared" si="5"/>
        <v>5628</v>
      </c>
      <c r="I17" s="92">
        <f t="shared" si="6"/>
        <v>17841</v>
      </c>
      <c r="J17" s="99"/>
      <c r="K17" s="99">
        <f t="shared" si="0"/>
        <v>0</v>
      </c>
      <c r="L17" s="99"/>
      <c r="M17" s="99">
        <f t="shared" si="1"/>
        <v>0</v>
      </c>
      <c r="N17" s="99"/>
      <c r="O17" s="90">
        <f t="shared" si="1"/>
        <v>0</v>
      </c>
      <c r="P17" s="99"/>
      <c r="Q17" s="99">
        <f t="shared" si="1"/>
        <v>0</v>
      </c>
      <c r="R17" s="99"/>
      <c r="S17" s="99">
        <f t="shared" si="1"/>
        <v>0</v>
      </c>
      <c r="T17" s="99"/>
      <c r="U17" s="99">
        <f t="shared" si="1"/>
        <v>0</v>
      </c>
      <c r="V17" s="99"/>
      <c r="W17" s="90">
        <f t="shared" si="2"/>
        <v>0</v>
      </c>
    </row>
    <row r="18" spans="1:23" ht="26.25">
      <c r="A18" s="32">
        <v>44605</v>
      </c>
      <c r="B18" s="34">
        <v>96</v>
      </c>
      <c r="C18" s="121">
        <v>49654976</v>
      </c>
      <c r="D18" s="42">
        <f t="shared" si="7"/>
        <v>2125</v>
      </c>
      <c r="E18" s="121">
        <v>49123891</v>
      </c>
      <c r="F18" s="42">
        <f t="shared" si="4"/>
        <v>11163</v>
      </c>
      <c r="G18" s="121">
        <v>37155006</v>
      </c>
      <c r="H18" s="42">
        <f t="shared" si="5"/>
        <v>6179</v>
      </c>
      <c r="I18" s="92">
        <f t="shared" si="6"/>
        <v>19467</v>
      </c>
      <c r="J18" s="99"/>
      <c r="K18" s="99">
        <f t="shared" si="0"/>
        <v>0</v>
      </c>
      <c r="L18" s="99"/>
      <c r="M18" s="99">
        <f t="shared" si="1"/>
        <v>0</v>
      </c>
      <c r="N18" s="99"/>
      <c r="O18" s="90">
        <f t="shared" si="1"/>
        <v>0</v>
      </c>
      <c r="P18" s="99"/>
      <c r="Q18" s="99">
        <f t="shared" si="1"/>
        <v>0</v>
      </c>
      <c r="R18" s="99"/>
      <c r="S18" s="99">
        <f t="shared" si="1"/>
        <v>0</v>
      </c>
      <c r="T18" s="99"/>
      <c r="U18" s="99">
        <f t="shared" si="1"/>
        <v>0</v>
      </c>
      <c r="V18" s="99"/>
      <c r="W18" s="90">
        <f t="shared" si="2"/>
        <v>0</v>
      </c>
    </row>
    <row r="19" spans="1:23" ht="26.25">
      <c r="A19" s="32">
        <v>44606</v>
      </c>
      <c r="B19" s="34">
        <v>86</v>
      </c>
      <c r="C19" s="121">
        <v>49658266</v>
      </c>
      <c r="D19" s="42">
        <f t="shared" si="7"/>
        <v>3290</v>
      </c>
      <c r="E19" s="121">
        <v>49133270</v>
      </c>
      <c r="F19" s="42">
        <f t="shared" si="4"/>
        <v>9379</v>
      </c>
      <c r="G19" s="121">
        <v>37161227</v>
      </c>
      <c r="H19" s="42">
        <f t="shared" si="5"/>
        <v>6221</v>
      </c>
      <c r="I19" s="92">
        <f t="shared" si="6"/>
        <v>18890</v>
      </c>
      <c r="J19" s="99"/>
      <c r="K19" s="99">
        <f t="shared" si="0"/>
        <v>0</v>
      </c>
      <c r="L19" s="99"/>
      <c r="M19" s="99">
        <f t="shared" si="1"/>
        <v>0</v>
      </c>
      <c r="N19" s="99"/>
      <c r="O19" s="90">
        <f t="shared" si="1"/>
        <v>0</v>
      </c>
      <c r="P19" s="99"/>
      <c r="Q19" s="99">
        <f t="shared" si="1"/>
        <v>0</v>
      </c>
      <c r="R19" s="99"/>
      <c r="S19" s="99">
        <f t="shared" si="1"/>
        <v>0</v>
      </c>
      <c r="T19" s="99"/>
      <c r="U19" s="99">
        <f t="shared" si="1"/>
        <v>0</v>
      </c>
      <c r="V19" s="99"/>
      <c r="W19" s="90">
        <f t="shared" si="2"/>
        <v>0</v>
      </c>
    </row>
    <row r="20" spans="1:23" ht="26.25">
      <c r="A20" s="32">
        <v>44607</v>
      </c>
      <c r="B20" s="34">
        <v>100</v>
      </c>
      <c r="C20" s="121">
        <v>49664149</v>
      </c>
      <c r="D20" s="42">
        <f t="shared" si="7"/>
        <v>5883</v>
      </c>
      <c r="E20" s="121">
        <v>49143101</v>
      </c>
      <c r="F20" s="42">
        <f t="shared" si="4"/>
        <v>9831</v>
      </c>
      <c r="G20" s="121">
        <v>37168712</v>
      </c>
      <c r="H20" s="42">
        <f t="shared" si="5"/>
        <v>7485</v>
      </c>
      <c r="I20" s="92">
        <f t="shared" si="6"/>
        <v>23199</v>
      </c>
      <c r="J20" s="99"/>
      <c r="K20" s="99">
        <f t="shared" si="0"/>
        <v>0</v>
      </c>
      <c r="L20" s="99"/>
      <c r="M20" s="99">
        <f t="shared" si="1"/>
        <v>0</v>
      </c>
      <c r="N20" s="99"/>
      <c r="O20" s="90">
        <f t="shared" si="1"/>
        <v>0</v>
      </c>
      <c r="P20" s="99"/>
      <c r="Q20" s="99">
        <f t="shared" si="1"/>
        <v>0</v>
      </c>
      <c r="R20" s="99"/>
      <c r="S20" s="99">
        <f t="shared" si="1"/>
        <v>0</v>
      </c>
      <c r="T20" s="99"/>
      <c r="U20" s="99">
        <f t="shared" si="1"/>
        <v>0</v>
      </c>
      <c r="V20" s="99"/>
      <c r="W20" s="90">
        <f t="shared" si="2"/>
        <v>0</v>
      </c>
    </row>
    <row r="21" spans="1:23" ht="26.25">
      <c r="A21" s="32">
        <v>44608</v>
      </c>
      <c r="B21" s="34">
        <v>114</v>
      </c>
      <c r="C21" s="121">
        <v>49668959</v>
      </c>
      <c r="D21" s="42">
        <f t="shared" si="7"/>
        <v>4810</v>
      </c>
      <c r="E21" s="121">
        <v>49152335</v>
      </c>
      <c r="F21" s="42">
        <f t="shared" si="4"/>
        <v>9234</v>
      </c>
      <c r="G21" s="121">
        <v>37174812</v>
      </c>
      <c r="H21" s="42">
        <f t="shared" si="5"/>
        <v>6100</v>
      </c>
      <c r="I21" s="92">
        <f t="shared" si="6"/>
        <v>20144</v>
      </c>
      <c r="J21" s="99"/>
      <c r="K21" s="99">
        <f t="shared" si="0"/>
        <v>0</v>
      </c>
      <c r="L21" s="99"/>
      <c r="M21" s="99">
        <f t="shared" si="1"/>
        <v>0</v>
      </c>
      <c r="N21" s="99"/>
      <c r="O21" s="90">
        <f t="shared" si="1"/>
        <v>0</v>
      </c>
      <c r="P21" s="99"/>
      <c r="Q21" s="99">
        <f t="shared" si="1"/>
        <v>0</v>
      </c>
      <c r="R21" s="99"/>
      <c r="S21" s="99">
        <f t="shared" si="1"/>
        <v>0</v>
      </c>
      <c r="T21" s="99"/>
      <c r="U21" s="99">
        <f t="shared" si="1"/>
        <v>0</v>
      </c>
      <c r="V21" s="99"/>
      <c r="W21" s="90">
        <f t="shared" si="2"/>
        <v>0</v>
      </c>
    </row>
    <row r="22" spans="1:23" ht="26.25">
      <c r="A22" s="32">
        <v>44609</v>
      </c>
      <c r="B22" s="34">
        <v>95</v>
      </c>
      <c r="C22" s="121">
        <v>49673533</v>
      </c>
      <c r="D22" s="42">
        <f t="shared" si="7"/>
        <v>4574</v>
      </c>
      <c r="E22" s="121">
        <v>49161796</v>
      </c>
      <c r="F22" s="42">
        <f t="shared" si="4"/>
        <v>9461</v>
      </c>
      <c r="G22" s="121">
        <v>37181515</v>
      </c>
      <c r="H22" s="42">
        <f t="shared" si="5"/>
        <v>6703</v>
      </c>
      <c r="I22" s="92">
        <f t="shared" si="6"/>
        <v>20738</v>
      </c>
      <c r="J22" s="99"/>
      <c r="K22" s="99">
        <f t="shared" si="0"/>
        <v>0</v>
      </c>
      <c r="L22" s="99"/>
      <c r="M22" s="99">
        <f t="shared" ref="M22:M27" si="8">IF(L22-L21&lt;0,0,L22-L21)</f>
        <v>0</v>
      </c>
      <c r="N22" s="99"/>
      <c r="O22" s="90">
        <f t="shared" ref="O22:O27" si="9">IF(N22-N21&lt;0,0,N22-N21)</f>
        <v>0</v>
      </c>
      <c r="P22" s="99"/>
      <c r="Q22" s="99">
        <f t="shared" ref="Q22:Q27" si="10">IF(P22-P21&lt;0,0,P22-P21)</f>
        <v>0</v>
      </c>
      <c r="R22" s="99"/>
      <c r="S22" s="99">
        <f t="shared" ref="S22:S27" si="11">IF(R22-R21&lt;0,0,R22-R21)</f>
        <v>0</v>
      </c>
      <c r="T22" s="99"/>
      <c r="U22" s="99">
        <f t="shared" ref="U22:U27" si="12">IF(T22-T21&lt;0,0,T22-T21)</f>
        <v>0</v>
      </c>
      <c r="V22" s="99"/>
      <c r="W22" s="90">
        <f t="shared" si="2"/>
        <v>0</v>
      </c>
    </row>
    <row r="23" spans="1:23" ht="26.25">
      <c r="A23" s="32">
        <v>44610</v>
      </c>
      <c r="B23" s="34">
        <v>98</v>
      </c>
      <c r="C23" s="121">
        <v>49678352</v>
      </c>
      <c r="D23" s="42">
        <f t="shared" si="7"/>
        <v>4819</v>
      </c>
      <c r="E23" s="121">
        <v>49170800</v>
      </c>
      <c r="F23" s="42">
        <f t="shared" si="4"/>
        <v>9004</v>
      </c>
      <c r="G23" s="121">
        <v>37187271</v>
      </c>
      <c r="H23" s="42">
        <f t="shared" si="5"/>
        <v>5756</v>
      </c>
      <c r="I23" s="92">
        <f t="shared" si="6"/>
        <v>19579</v>
      </c>
      <c r="J23" s="99"/>
      <c r="K23" s="99">
        <f t="shared" si="0"/>
        <v>0</v>
      </c>
      <c r="L23" s="99"/>
      <c r="M23" s="99">
        <f t="shared" si="8"/>
        <v>0</v>
      </c>
      <c r="N23" s="99"/>
      <c r="O23" s="90">
        <f t="shared" si="9"/>
        <v>0</v>
      </c>
      <c r="P23" s="99"/>
      <c r="Q23" s="99">
        <f t="shared" si="10"/>
        <v>0</v>
      </c>
      <c r="R23" s="99"/>
      <c r="S23" s="99">
        <f t="shared" si="11"/>
        <v>0</v>
      </c>
      <c r="T23" s="99"/>
      <c r="U23" s="99">
        <f t="shared" si="12"/>
        <v>0</v>
      </c>
      <c r="V23" s="99"/>
      <c r="W23" s="90">
        <f t="shared" si="2"/>
        <v>0</v>
      </c>
    </row>
    <row r="24" spans="1:23" ht="26.25">
      <c r="A24" s="32">
        <v>44611</v>
      </c>
      <c r="B24" s="34">
        <v>70</v>
      </c>
      <c r="C24" s="121">
        <v>49683175</v>
      </c>
      <c r="D24" s="42">
        <f t="shared" si="7"/>
        <v>4823</v>
      </c>
      <c r="E24" s="121">
        <v>49180242</v>
      </c>
      <c r="F24" s="42">
        <f t="shared" si="4"/>
        <v>9442</v>
      </c>
      <c r="G24" s="121">
        <v>37193135</v>
      </c>
      <c r="H24" s="42">
        <f t="shared" si="5"/>
        <v>5864</v>
      </c>
      <c r="I24" s="92">
        <f t="shared" si="6"/>
        <v>20129</v>
      </c>
      <c r="J24" s="99"/>
      <c r="K24" s="99">
        <f t="shared" si="0"/>
        <v>0</v>
      </c>
      <c r="L24" s="99"/>
      <c r="M24" s="99">
        <f t="shared" si="8"/>
        <v>0</v>
      </c>
      <c r="N24" s="99"/>
      <c r="O24" s="90">
        <f t="shared" si="9"/>
        <v>0</v>
      </c>
      <c r="P24" s="99"/>
      <c r="Q24" s="99">
        <f t="shared" si="10"/>
        <v>0</v>
      </c>
      <c r="R24" s="99"/>
      <c r="S24" s="99">
        <f t="shared" si="11"/>
        <v>0</v>
      </c>
      <c r="T24" s="99"/>
      <c r="U24" s="99">
        <f t="shared" si="12"/>
        <v>0</v>
      </c>
      <c r="V24" s="99"/>
      <c r="W24" s="90">
        <f t="shared" si="2"/>
        <v>0</v>
      </c>
    </row>
    <row r="25" spans="1:23" ht="26.25">
      <c r="A25" s="32">
        <v>44612</v>
      </c>
      <c r="B25" s="34">
        <v>90</v>
      </c>
      <c r="C25" s="121">
        <v>49688066</v>
      </c>
      <c r="D25" s="42">
        <f t="shared" si="7"/>
        <v>4891</v>
      </c>
      <c r="E25" s="121">
        <v>49189402</v>
      </c>
      <c r="F25" s="42">
        <f t="shared" si="4"/>
        <v>9160</v>
      </c>
      <c r="G25" s="121">
        <v>37199368</v>
      </c>
      <c r="H25" s="42">
        <f t="shared" si="5"/>
        <v>6233</v>
      </c>
      <c r="I25" s="92">
        <f t="shared" si="6"/>
        <v>20284</v>
      </c>
      <c r="J25" s="99"/>
      <c r="K25" s="99">
        <f t="shared" si="0"/>
        <v>0</v>
      </c>
      <c r="L25" s="99"/>
      <c r="M25" s="99">
        <f t="shared" si="8"/>
        <v>0</v>
      </c>
      <c r="N25" s="99"/>
      <c r="O25" s="90">
        <f t="shared" si="9"/>
        <v>0</v>
      </c>
      <c r="P25" s="99"/>
      <c r="Q25" s="99">
        <f t="shared" si="10"/>
        <v>0</v>
      </c>
      <c r="R25" s="99"/>
      <c r="S25" s="99">
        <f t="shared" si="11"/>
        <v>0</v>
      </c>
      <c r="T25" s="99"/>
      <c r="U25" s="99">
        <f t="shared" si="12"/>
        <v>0</v>
      </c>
      <c r="V25" s="99"/>
      <c r="W25" s="90">
        <f t="shared" si="2"/>
        <v>0</v>
      </c>
    </row>
    <row r="26" spans="1:23" ht="26.25">
      <c r="A26" s="32">
        <v>44613</v>
      </c>
      <c r="B26" s="34">
        <v>85</v>
      </c>
      <c r="C26" s="121">
        <v>49692774</v>
      </c>
      <c r="D26" s="42">
        <f t="shared" si="7"/>
        <v>4708</v>
      </c>
      <c r="E26" s="121">
        <v>49197731</v>
      </c>
      <c r="F26" s="42">
        <f t="shared" si="4"/>
        <v>8329</v>
      </c>
      <c r="G26" s="121">
        <v>37205293</v>
      </c>
      <c r="H26" s="42">
        <f t="shared" si="5"/>
        <v>5925</v>
      </c>
      <c r="I26" s="92">
        <f t="shared" si="6"/>
        <v>18962</v>
      </c>
      <c r="J26" s="99"/>
      <c r="K26" s="99">
        <f t="shared" si="0"/>
        <v>0</v>
      </c>
      <c r="L26" s="99"/>
      <c r="M26" s="99">
        <f t="shared" si="8"/>
        <v>0</v>
      </c>
      <c r="N26" s="99"/>
      <c r="O26" s="90">
        <f t="shared" si="9"/>
        <v>0</v>
      </c>
      <c r="P26" s="99"/>
      <c r="Q26" s="99">
        <f t="shared" si="10"/>
        <v>0</v>
      </c>
      <c r="R26" s="99"/>
      <c r="S26" s="99">
        <f t="shared" si="11"/>
        <v>0</v>
      </c>
      <c r="T26" s="99"/>
      <c r="U26" s="99">
        <f t="shared" si="12"/>
        <v>0</v>
      </c>
      <c r="V26" s="99"/>
      <c r="W26" s="90">
        <f t="shared" si="2"/>
        <v>0</v>
      </c>
    </row>
    <row r="27" spans="1:23" ht="26.25">
      <c r="A27" s="32">
        <v>44614</v>
      </c>
      <c r="B27" s="34">
        <v>108</v>
      </c>
      <c r="C27" s="121">
        <v>49698098</v>
      </c>
      <c r="D27" s="42">
        <f t="shared" si="7"/>
        <v>5324</v>
      </c>
      <c r="E27" s="121">
        <v>49206921</v>
      </c>
      <c r="F27" s="42">
        <f t="shared" si="4"/>
        <v>9190</v>
      </c>
      <c r="G27" s="121">
        <v>37211916</v>
      </c>
      <c r="H27" s="42">
        <f t="shared" si="5"/>
        <v>6623</v>
      </c>
      <c r="I27" s="92">
        <f t="shared" si="6"/>
        <v>21137</v>
      </c>
      <c r="J27" s="99"/>
      <c r="K27" s="99">
        <f t="shared" si="0"/>
        <v>0</v>
      </c>
      <c r="L27" s="99"/>
      <c r="M27" s="99">
        <f t="shared" si="8"/>
        <v>0</v>
      </c>
      <c r="N27" s="99"/>
      <c r="O27" s="90">
        <f t="shared" si="9"/>
        <v>0</v>
      </c>
      <c r="P27" s="99"/>
      <c r="Q27" s="99">
        <f t="shared" si="10"/>
        <v>0</v>
      </c>
      <c r="R27" s="99"/>
      <c r="S27" s="99">
        <f t="shared" si="11"/>
        <v>0</v>
      </c>
      <c r="T27" s="99"/>
      <c r="U27" s="99">
        <f t="shared" si="12"/>
        <v>0</v>
      </c>
      <c r="V27" s="99"/>
      <c r="W27" s="90">
        <f t="shared" si="2"/>
        <v>0</v>
      </c>
    </row>
    <row r="28" spans="1:23" ht="26.25">
      <c r="A28" s="32">
        <v>44615</v>
      </c>
      <c r="B28" s="34">
        <v>110</v>
      </c>
      <c r="C28" s="121">
        <v>49702818</v>
      </c>
      <c r="D28" s="42">
        <f t="shared" si="3"/>
        <v>4720</v>
      </c>
      <c r="E28" s="121">
        <v>49215340</v>
      </c>
      <c r="F28" s="42">
        <f t="shared" si="4"/>
        <v>8419</v>
      </c>
      <c r="G28" s="121">
        <v>37217696</v>
      </c>
      <c r="H28" s="42">
        <f t="shared" si="5"/>
        <v>5780</v>
      </c>
      <c r="I28" s="92">
        <f t="shared" si="6"/>
        <v>18919</v>
      </c>
      <c r="J28" s="99"/>
      <c r="K28" s="99">
        <f t="shared" si="0"/>
        <v>0</v>
      </c>
      <c r="L28" s="99"/>
      <c r="M28" s="99">
        <f>IF(L28-L27&lt;0,0,L28-L27)</f>
        <v>0</v>
      </c>
      <c r="N28" s="99"/>
      <c r="O28" s="90">
        <f>IF(N28-N27&lt;0,0,N28-N27)</f>
        <v>0</v>
      </c>
      <c r="P28" s="99"/>
      <c r="Q28" s="99">
        <f>IF(P28-P27&lt;0,0,P28-P27)</f>
        <v>0</v>
      </c>
      <c r="R28" s="99"/>
      <c r="S28" s="99">
        <f>IF(R28-R27&lt;0,0,R28-R27)</f>
        <v>0</v>
      </c>
      <c r="T28" s="99"/>
      <c r="U28" s="99">
        <f>IF(T28-T27&lt;0,0,T28-T27)</f>
        <v>0</v>
      </c>
      <c r="V28" s="99"/>
      <c r="W28" s="90">
        <f t="shared" ref="W28:W33" si="13">IF(V28-V27&lt;0,0,V28-V27)</f>
        <v>0</v>
      </c>
    </row>
    <row r="29" spans="1:23" ht="26.25">
      <c r="A29" s="32">
        <v>44616</v>
      </c>
      <c r="B29" s="34">
        <v>99</v>
      </c>
      <c r="C29" s="121">
        <v>49707417</v>
      </c>
      <c r="D29" s="42">
        <f t="shared" si="3"/>
        <v>4599</v>
      </c>
      <c r="E29" s="121">
        <v>49223984</v>
      </c>
      <c r="F29" s="42">
        <f t="shared" si="4"/>
        <v>8644</v>
      </c>
      <c r="G29" s="121">
        <v>37223541</v>
      </c>
      <c r="H29" s="42">
        <f t="shared" si="5"/>
        <v>5845</v>
      </c>
      <c r="I29" s="92">
        <f t="shared" si="6"/>
        <v>19088</v>
      </c>
      <c r="J29" s="99"/>
      <c r="K29" s="99">
        <f t="shared" si="0"/>
        <v>0</v>
      </c>
      <c r="L29" s="99"/>
      <c r="M29" s="99">
        <f>IF(L29-L28&lt;0,0,L29-L28)</f>
        <v>0</v>
      </c>
      <c r="N29" s="99"/>
      <c r="O29" s="90">
        <f>IF(N29-N28&lt;0,0,N29-N28)</f>
        <v>0</v>
      </c>
      <c r="P29" s="99"/>
      <c r="Q29" s="99">
        <f>IF(P29-P28&lt;0,0,P29-P28)</f>
        <v>0</v>
      </c>
      <c r="R29" s="99"/>
      <c r="S29" s="99">
        <f>IF(R29-R28&lt;0,0,R29-R28)</f>
        <v>0</v>
      </c>
      <c r="T29" s="99"/>
      <c r="U29" s="99">
        <f>IF(T29-T28&lt;0,0,T29-T28)</f>
        <v>0</v>
      </c>
      <c r="V29" s="99"/>
      <c r="W29" s="90">
        <f t="shared" si="13"/>
        <v>0</v>
      </c>
    </row>
    <row r="30" spans="1:23" ht="26.25">
      <c r="A30" s="32">
        <v>44617</v>
      </c>
      <c r="B30" s="34">
        <v>92</v>
      </c>
      <c r="C30" s="121">
        <v>49712577</v>
      </c>
      <c r="D30" s="42">
        <f t="shared" si="3"/>
        <v>5160</v>
      </c>
      <c r="E30" s="121">
        <v>49234065</v>
      </c>
      <c r="F30" s="42">
        <f t="shared" si="4"/>
        <v>10081</v>
      </c>
      <c r="G30" s="121">
        <v>37230875</v>
      </c>
      <c r="H30" s="42">
        <f t="shared" si="5"/>
        <v>7334</v>
      </c>
      <c r="I30" s="92">
        <f t="shared" si="6"/>
        <v>22575</v>
      </c>
      <c r="J30" s="99"/>
      <c r="K30" s="99">
        <f t="shared" si="0"/>
        <v>0</v>
      </c>
      <c r="L30" s="99"/>
      <c r="M30" s="99">
        <f>IF(L30-L29&lt;0,0,L30-L29)</f>
        <v>0</v>
      </c>
      <c r="N30" s="99"/>
      <c r="O30" s="90">
        <f>IF(N30-N29&lt;0,0,N30-N29)</f>
        <v>0</v>
      </c>
      <c r="P30" s="99"/>
      <c r="Q30" s="99">
        <f>IF(P30-P29&lt;0,0,P30-P29)</f>
        <v>0</v>
      </c>
      <c r="R30" s="99"/>
      <c r="S30" s="99">
        <f>IF(R30-R29&lt;0,0,R30-R29)</f>
        <v>0</v>
      </c>
      <c r="T30" s="99"/>
      <c r="U30" s="99">
        <f>IF(T30-T29&lt;0,0,T30-T29)</f>
        <v>0</v>
      </c>
      <c r="V30" s="99"/>
      <c r="W30" s="90">
        <f t="shared" si="13"/>
        <v>0</v>
      </c>
    </row>
    <row r="31" spans="1:23" ht="26.25">
      <c r="A31" s="32">
        <v>44618</v>
      </c>
      <c r="B31" s="34">
        <v>69</v>
      </c>
      <c r="C31" s="121">
        <v>49717687</v>
      </c>
      <c r="D31" s="42">
        <f t="shared" si="3"/>
        <v>5110</v>
      </c>
      <c r="E31" s="121">
        <v>49243890</v>
      </c>
      <c r="F31" s="42">
        <f t="shared" si="4"/>
        <v>9825</v>
      </c>
      <c r="G31" s="121">
        <v>37238388</v>
      </c>
      <c r="H31" s="42">
        <f t="shared" si="5"/>
        <v>7513</v>
      </c>
      <c r="I31" s="92">
        <f t="shared" si="6"/>
        <v>22448</v>
      </c>
      <c r="J31" s="99"/>
      <c r="K31" s="99">
        <f t="shared" si="0"/>
        <v>0</v>
      </c>
      <c r="L31" s="99"/>
      <c r="M31" s="99">
        <f t="shared" ref="M31:U31" si="14">IF(L31-L30&lt;0,0,L31-L30)</f>
        <v>0</v>
      </c>
      <c r="N31" s="99"/>
      <c r="O31" s="90">
        <f t="shared" si="14"/>
        <v>0</v>
      </c>
      <c r="P31" s="99"/>
      <c r="Q31" s="99">
        <f t="shared" si="14"/>
        <v>0</v>
      </c>
      <c r="R31" s="99"/>
      <c r="S31" s="99">
        <f t="shared" si="14"/>
        <v>0</v>
      </c>
      <c r="T31" s="99"/>
      <c r="U31" s="99">
        <f t="shared" si="14"/>
        <v>0</v>
      </c>
      <c r="V31" s="99"/>
      <c r="W31" s="90">
        <f t="shared" si="13"/>
        <v>0</v>
      </c>
    </row>
    <row r="32" spans="1:23" ht="26.25">
      <c r="A32" s="32">
        <v>44619</v>
      </c>
      <c r="B32" s="34">
        <v>94</v>
      </c>
      <c r="C32" s="121">
        <v>49722389</v>
      </c>
      <c r="D32" s="42">
        <f t="shared" si="3"/>
        <v>4702</v>
      </c>
      <c r="E32" s="121">
        <v>49252623</v>
      </c>
      <c r="F32" s="42">
        <f t="shared" si="4"/>
        <v>8733</v>
      </c>
      <c r="G32" s="121">
        <v>37244329</v>
      </c>
      <c r="H32" s="42">
        <f t="shared" si="5"/>
        <v>5941</v>
      </c>
      <c r="I32" s="92">
        <f t="shared" si="6"/>
        <v>19376</v>
      </c>
      <c r="J32" s="99"/>
      <c r="K32" s="99">
        <f>IF(J32-J31&lt;0,0,J32-J31)</f>
        <v>0</v>
      </c>
      <c r="L32" s="99"/>
      <c r="M32" s="99">
        <f>IF(L32-L31&lt;0,0,L32-L31)</f>
        <v>0</v>
      </c>
      <c r="N32" s="99"/>
      <c r="O32" s="90">
        <f>IF(N32-N31&lt;0,0,N32-N31)</f>
        <v>0</v>
      </c>
      <c r="P32" s="99"/>
      <c r="Q32" s="99">
        <f>IF(P32-P31&lt;0,0,P32-P31)</f>
        <v>0</v>
      </c>
      <c r="R32" s="99"/>
      <c r="S32" s="99">
        <f>IF(R32-R31&lt;0,0,R32-R31)</f>
        <v>0</v>
      </c>
      <c r="T32" s="99"/>
      <c r="U32" s="99">
        <f>IF(T32-T31&lt;0,0,T32-T31)</f>
        <v>0</v>
      </c>
      <c r="V32" s="99"/>
      <c r="W32" s="90">
        <f t="shared" si="13"/>
        <v>0</v>
      </c>
    </row>
    <row r="33" spans="1:23" ht="26.25">
      <c r="A33" s="32">
        <v>44620</v>
      </c>
      <c r="B33" s="34">
        <v>93</v>
      </c>
      <c r="C33" s="121">
        <v>49727488</v>
      </c>
      <c r="D33" s="42">
        <f>C33-C32</f>
        <v>5099</v>
      </c>
      <c r="E33" s="121">
        <v>49262711</v>
      </c>
      <c r="F33" s="42">
        <f>IF((E33-E31)&lt;0,"0",(E33-E31))</f>
        <v>18821</v>
      </c>
      <c r="G33" s="121">
        <v>37251701</v>
      </c>
      <c r="H33" s="42">
        <f>G33-G32</f>
        <v>7372</v>
      </c>
      <c r="I33" s="92">
        <f>D33+F33+H33</f>
        <v>31292</v>
      </c>
      <c r="J33" s="99"/>
      <c r="K33" s="99">
        <f t="shared" si="0"/>
        <v>0</v>
      </c>
      <c r="L33" s="99"/>
      <c r="M33" s="99">
        <f>IF(L33-L32&lt;0,0,L33-L32)</f>
        <v>0</v>
      </c>
      <c r="N33" s="99"/>
      <c r="O33" s="90">
        <f>IF(N33-N32&lt;0,0,N33-N32)</f>
        <v>0</v>
      </c>
      <c r="P33" s="99"/>
      <c r="Q33" s="99">
        <f>IF(P33-P32&lt;0,0,P33-P32)</f>
        <v>0</v>
      </c>
      <c r="R33" s="99"/>
      <c r="S33" s="99">
        <f>IF(R33-R32&lt;0,0,R33-R32)</f>
        <v>0</v>
      </c>
      <c r="T33" s="99"/>
      <c r="U33" s="99">
        <f>IF(T33-T32&lt;0,0,T33-T32)</f>
        <v>0</v>
      </c>
      <c r="V33" s="99"/>
      <c r="W33" s="90">
        <f t="shared" si="13"/>
        <v>0</v>
      </c>
    </row>
    <row r="34" spans="1:23" s="21" customFormat="1" ht="27.75" thickBot="1">
      <c r="A34" s="44" t="s">
        <v>37</v>
      </c>
      <c r="B34" s="45"/>
      <c r="C34" s="73"/>
      <c r="D34" s="69">
        <f>SUM(D5:D33)</f>
        <v>129293</v>
      </c>
      <c r="E34" s="74"/>
      <c r="F34" s="69">
        <f>SUM(F5:F33)</f>
        <v>261931</v>
      </c>
      <c r="G34" s="72"/>
      <c r="H34" s="69">
        <f>SUM(H5:H33)</f>
        <v>178342</v>
      </c>
      <c r="I34" s="93">
        <f t="shared" si="6"/>
        <v>569566</v>
      </c>
      <c r="J34" s="100"/>
      <c r="K34" s="101">
        <f>SUM(K5:K33)</f>
        <v>0</v>
      </c>
      <c r="L34" s="101"/>
      <c r="M34" s="101">
        <f>SUM(M5:M33)</f>
        <v>0</v>
      </c>
      <c r="N34" s="101"/>
      <c r="O34" s="102">
        <f>SUM(O5:O33)</f>
        <v>0</v>
      </c>
      <c r="P34" s="100"/>
      <c r="Q34" s="101">
        <f>SUM(Q5:Q33)</f>
        <v>0</v>
      </c>
      <c r="R34" s="101"/>
      <c r="S34" s="101">
        <f>SUM(S5:S33)</f>
        <v>0</v>
      </c>
      <c r="T34" s="101"/>
      <c r="U34" s="101">
        <f>SUM(U5:U33)</f>
        <v>0</v>
      </c>
      <c r="V34" s="101"/>
      <c r="W34" s="102">
        <f>SUM(W5:W33)</f>
        <v>0</v>
      </c>
    </row>
    <row r="35" spans="1:23" ht="37.5">
      <c r="J35" s="85"/>
      <c r="K35" s="85"/>
      <c r="L35" s="85"/>
      <c r="M35" s="85"/>
      <c r="N35" s="85"/>
      <c r="O35" s="85"/>
      <c r="P35" s="85"/>
      <c r="Q35" s="85"/>
      <c r="R35"/>
      <c r="S35" s="86"/>
      <c r="T35"/>
      <c r="U35" s="86"/>
      <c r="V35"/>
      <c r="W35" s="86"/>
    </row>
    <row r="36" spans="1:23" ht="26.25">
      <c r="A36" s="3"/>
      <c r="B36" s="25"/>
      <c r="J36"/>
      <c r="K36" s="86"/>
      <c r="L36"/>
      <c r="M36" s="86"/>
      <c r="N36"/>
      <c r="O36" s="86"/>
      <c r="P36"/>
      <c r="Q36" s="86"/>
      <c r="R36" s="86"/>
      <c r="S36" s="86"/>
      <c r="T36" s="87"/>
      <c r="U36" s="86"/>
      <c r="V36" s="86"/>
      <c r="W36" s="86"/>
    </row>
    <row r="51" spans="1:2" ht="15">
      <c r="A51" s="3"/>
      <c r="B51" s="25"/>
    </row>
  </sheetData>
  <mergeCells count="2">
    <mergeCell ref="A1:I1"/>
    <mergeCell ref="A2:I2"/>
  </mergeCells>
  <phoneticPr fontId="0" type="noConversion"/>
  <conditionalFormatting sqref="D5:D33 D34:G34 F5:F33 H5:W34 A3:B34">
    <cfRule type="cellIs" dxfId="1" priority="217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2"/>
  <sheetViews>
    <sheetView view="pageBreakPreview" topLeftCell="V1" zoomScale="50" zoomScaleNormal="55" zoomScaleSheetLayoutView="50" workbookViewId="0">
      <selection activeCell="V3" sqref="V3:V31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</row>
    <row r="2" spans="1:38">
      <c r="A2" s="56" t="s">
        <v>1</v>
      </c>
      <c r="B2" s="58" t="s">
        <v>56</v>
      </c>
      <c r="C2" s="57" t="s">
        <v>34</v>
      </c>
      <c r="D2" s="57" t="s">
        <v>57</v>
      </c>
      <c r="E2" s="57" t="s">
        <v>34</v>
      </c>
      <c r="F2" s="57" t="s">
        <v>58</v>
      </c>
      <c r="G2" s="57" t="s">
        <v>34</v>
      </c>
      <c r="H2" s="57" t="s">
        <v>59</v>
      </c>
      <c r="I2" s="57" t="s">
        <v>34</v>
      </c>
      <c r="J2" s="57" t="s">
        <v>60</v>
      </c>
      <c r="K2" s="57" t="s">
        <v>34</v>
      </c>
      <c r="L2" s="57" t="s">
        <v>61</v>
      </c>
      <c r="M2" s="57" t="s">
        <v>34</v>
      </c>
      <c r="N2" s="57" t="s">
        <v>62</v>
      </c>
      <c r="O2" s="57" t="s">
        <v>34</v>
      </c>
      <c r="P2" s="57" t="s">
        <v>63</v>
      </c>
      <c r="Q2" s="57" t="s">
        <v>34</v>
      </c>
      <c r="R2" s="57" t="s">
        <v>64</v>
      </c>
      <c r="S2" s="57" t="s">
        <v>34</v>
      </c>
      <c r="T2" s="57" t="s">
        <v>65</v>
      </c>
      <c r="U2" s="57" t="s">
        <v>34</v>
      </c>
      <c r="V2" s="57" t="s">
        <v>66</v>
      </c>
      <c r="W2" s="57" t="s">
        <v>34</v>
      </c>
      <c r="X2" s="57" t="s">
        <v>67</v>
      </c>
      <c r="Y2" s="57" t="s">
        <v>34</v>
      </c>
      <c r="Z2" s="57" t="s">
        <v>68</v>
      </c>
      <c r="AA2" s="57" t="s">
        <v>34</v>
      </c>
      <c r="AB2" s="57" t="s">
        <v>69</v>
      </c>
      <c r="AC2" s="57" t="s">
        <v>34</v>
      </c>
      <c r="AD2" s="65" t="s">
        <v>70</v>
      </c>
      <c r="AE2" s="67" t="s">
        <v>71</v>
      </c>
      <c r="AF2" s="55" t="s">
        <v>34</v>
      </c>
    </row>
    <row r="3" spans="1:38">
      <c r="A3" s="54" t="s">
        <v>36</v>
      </c>
      <c r="B3" s="122">
        <v>1547229</v>
      </c>
      <c r="C3" s="61"/>
      <c r="D3" s="122">
        <v>33476337</v>
      </c>
      <c r="E3" s="60"/>
      <c r="F3" s="122">
        <v>47713</v>
      </c>
      <c r="G3" s="60"/>
      <c r="H3" s="122">
        <v>94333</v>
      </c>
      <c r="I3" s="59"/>
      <c r="J3" s="123">
        <v>182711</v>
      </c>
      <c r="K3" s="61"/>
      <c r="L3" s="122">
        <v>103326</v>
      </c>
      <c r="M3" s="60"/>
      <c r="N3" s="122">
        <v>632535</v>
      </c>
      <c r="O3" s="61"/>
      <c r="P3" s="122">
        <v>165520</v>
      </c>
      <c r="Q3" s="60"/>
      <c r="R3" s="122">
        <v>943181</v>
      </c>
      <c r="S3" s="61"/>
      <c r="T3" s="122">
        <v>76677</v>
      </c>
      <c r="U3" s="60"/>
      <c r="V3" s="122">
        <v>301351</v>
      </c>
      <c r="W3" s="61"/>
      <c r="X3" s="105">
        <v>28453</v>
      </c>
      <c r="Y3" s="60"/>
      <c r="Z3" s="105">
        <v>714780</v>
      </c>
      <c r="AA3" s="61"/>
      <c r="AB3" s="70">
        <v>1410</v>
      </c>
      <c r="AC3" s="60"/>
      <c r="AD3" s="63"/>
      <c r="AE3" s="68"/>
      <c r="AF3" s="53"/>
    </row>
    <row r="4" spans="1:38">
      <c r="A4" s="52">
        <v>44593</v>
      </c>
      <c r="B4" s="122">
        <v>1547445</v>
      </c>
      <c r="C4" s="62">
        <f>IF((B4-B3)&lt;0,"0",(B4-B3))</f>
        <v>216</v>
      </c>
      <c r="D4" s="122">
        <v>33477290</v>
      </c>
      <c r="E4" s="60">
        <f>IF((D4-D3)&lt;0,"0",(D4-D3))</f>
        <v>953</v>
      </c>
      <c r="F4" s="122">
        <v>47824</v>
      </c>
      <c r="G4" s="60">
        <f>IF((F4-F3)&lt;0,"0",(F4-F3))</f>
        <v>111</v>
      </c>
      <c r="H4" s="122">
        <v>94355</v>
      </c>
      <c r="I4" s="60">
        <f>IF((H4-H3)&lt;0,"0",(H4-H3))</f>
        <v>22</v>
      </c>
      <c r="J4" s="123">
        <v>182739</v>
      </c>
      <c r="K4" s="62">
        <f>IF((J4-J3)&lt;0,"0",(J4-J3))</f>
        <v>28</v>
      </c>
      <c r="L4" s="124">
        <v>103386</v>
      </c>
      <c r="M4" s="60">
        <f>IF((L4-L3)&lt;0,"0",(L4-L3))</f>
        <v>60</v>
      </c>
      <c r="N4" s="122">
        <v>632647</v>
      </c>
      <c r="O4" s="62">
        <f>IF((N4-N3)&lt;0,"0",(N4-N3))</f>
        <v>112</v>
      </c>
      <c r="P4" s="122">
        <v>165520</v>
      </c>
      <c r="Q4" s="60">
        <f>IF((P4-P3)&lt;0,"0",(P4-P3))</f>
        <v>0</v>
      </c>
      <c r="R4" s="122">
        <v>943337</v>
      </c>
      <c r="S4" s="62">
        <f>IF((R4-R3)&lt;0,"0",(R4-R3))</f>
        <v>156</v>
      </c>
      <c r="T4" s="122">
        <v>76695</v>
      </c>
      <c r="U4" s="60">
        <f>IF((T4-T3)&lt;0,"0",(T4-T3))</f>
        <v>18</v>
      </c>
      <c r="V4" s="122">
        <v>301401</v>
      </c>
      <c r="W4" s="62">
        <f>IF((V4-V3)&lt;0,"0",(V4-V3))</f>
        <v>50</v>
      </c>
      <c r="X4" s="105">
        <v>28453</v>
      </c>
      <c r="Y4" s="60">
        <f>IF((X4-X3)&lt;0,"0",(X4-X3))</f>
        <v>0</v>
      </c>
      <c r="Z4" s="105">
        <v>714780</v>
      </c>
      <c r="AA4" s="62">
        <f>IF((Z4-Z3)&lt;0,"0",(Z4-Z3))</f>
        <v>0</v>
      </c>
      <c r="AB4" s="70">
        <v>1410</v>
      </c>
      <c r="AC4" s="60">
        <f>IF((AB4-AB3)&lt;0,"0",(AB4-AB3))</f>
        <v>0</v>
      </c>
      <c r="AD4" s="64">
        <f>C4+E4+G4+I4+K4+M4+O4+Q4+S4+U4+W4+Y4+AA4+AC4</f>
        <v>1726</v>
      </c>
      <c r="AE4" s="18">
        <v>0</v>
      </c>
      <c r="AF4" s="53">
        <f>IF((AE4-AE3)&lt;0,"0",(AE4-AE3))</f>
        <v>0</v>
      </c>
    </row>
    <row r="5" spans="1:38">
      <c r="A5" s="52">
        <v>44594</v>
      </c>
      <c r="B5" s="122">
        <v>1547689</v>
      </c>
      <c r="C5" s="62">
        <f t="shared" ref="C5:C31" si="0">IF((B5-B4)&lt;0,"0",(B5-B4))</f>
        <v>244</v>
      </c>
      <c r="D5" s="122">
        <v>33478255</v>
      </c>
      <c r="E5" s="60">
        <f t="shared" ref="E5:E31" si="1">IF((D5-D4)&lt;0,"0",(D5-D4))</f>
        <v>965</v>
      </c>
      <c r="F5" s="122">
        <v>47964</v>
      </c>
      <c r="G5" s="60">
        <f t="shared" ref="G5:G31" si="2">IF((F5-F4)&lt;0,"0",(F5-F4))</f>
        <v>140</v>
      </c>
      <c r="H5" s="122">
        <v>94360</v>
      </c>
      <c r="I5" s="60">
        <f t="shared" ref="I5:I31" si="3">IF((H5-H4)&lt;0,"0",(H5-H4))</f>
        <v>5</v>
      </c>
      <c r="J5" s="123">
        <v>182770</v>
      </c>
      <c r="K5" s="62">
        <f t="shared" ref="K5:K31" si="4">IF((J5-J4)&lt;0,"0",(J5-J4))</f>
        <v>31</v>
      </c>
      <c r="L5" s="124">
        <v>103436</v>
      </c>
      <c r="M5" s="60">
        <f t="shared" ref="M5:M31" si="5">IF((L5-L4)&lt;0,"0",(L5-L4))</f>
        <v>50</v>
      </c>
      <c r="N5" s="122">
        <v>632797</v>
      </c>
      <c r="O5" s="62">
        <f t="shared" ref="O5:O31" si="6">IF((N5-N4)&lt;0,"0",(N5-N4))</f>
        <v>150</v>
      </c>
      <c r="P5" s="122">
        <v>165543</v>
      </c>
      <c r="Q5" s="60">
        <f t="shared" ref="Q5:Q31" si="7">IF((P5-P4)&lt;0,"0",(P5-P4))</f>
        <v>23</v>
      </c>
      <c r="R5" s="122">
        <v>943554</v>
      </c>
      <c r="S5" s="62">
        <f t="shared" ref="S5:S31" si="8">IF((R5-R4)&lt;0,"0",(R5-R4))</f>
        <v>217</v>
      </c>
      <c r="T5" s="122">
        <v>76716</v>
      </c>
      <c r="U5" s="60">
        <f t="shared" ref="U5:U31" si="9">IF((T5-T4)&lt;0,"0",(T5-T4))</f>
        <v>21</v>
      </c>
      <c r="V5" s="122">
        <v>301454</v>
      </c>
      <c r="W5" s="62">
        <f t="shared" ref="W5:W31" si="10">IF((V5-V4)&lt;0,"0",(V5-V4))</f>
        <v>53</v>
      </c>
      <c r="X5" s="105">
        <v>28453</v>
      </c>
      <c r="Y5" s="60">
        <f t="shared" ref="Y5:Y31" si="11">IF((X5-X4)&lt;0,"0",(X5-X4))</f>
        <v>0</v>
      </c>
      <c r="Z5" s="105">
        <v>714780</v>
      </c>
      <c r="AA5" s="62">
        <f t="shared" ref="AA5:AA31" si="12">IF((Z5-Z4)&lt;0,"0",(Z5-Z4))</f>
        <v>0</v>
      </c>
      <c r="AB5" s="70">
        <v>1410</v>
      </c>
      <c r="AC5" s="60">
        <f t="shared" ref="AC5:AC31" si="13">IF((AB5-AB4)&lt;0,"0",(AB5-AB4))</f>
        <v>0</v>
      </c>
      <c r="AD5" s="66">
        <f t="shared" ref="AD5:AD30" si="14">C5+E5+G5+I5+K5+M5+O5+Q5+S5+U5+W5+Y5+AA5+AC5</f>
        <v>1899</v>
      </c>
      <c r="AE5" s="18">
        <v>0</v>
      </c>
      <c r="AF5" s="53">
        <f t="shared" ref="AF5:AF31" si="15">IF((AE5-AE4)&lt;0,"0",(AE5-AE4))</f>
        <v>0</v>
      </c>
    </row>
    <row r="6" spans="1:38">
      <c r="A6" s="52">
        <v>44595</v>
      </c>
      <c r="B6" s="122">
        <v>1547939</v>
      </c>
      <c r="C6" s="62">
        <f t="shared" si="0"/>
        <v>250</v>
      </c>
      <c r="D6" s="122">
        <v>33479035</v>
      </c>
      <c r="E6" s="60">
        <f t="shared" si="1"/>
        <v>780</v>
      </c>
      <c r="F6" s="122">
        <v>48143</v>
      </c>
      <c r="G6" s="60">
        <f t="shared" si="2"/>
        <v>179</v>
      </c>
      <c r="H6" s="122">
        <v>94382</v>
      </c>
      <c r="I6" s="60">
        <f t="shared" si="3"/>
        <v>22</v>
      </c>
      <c r="J6" s="123">
        <v>182800</v>
      </c>
      <c r="K6" s="62">
        <f t="shared" si="4"/>
        <v>30</v>
      </c>
      <c r="L6" s="124">
        <v>103495</v>
      </c>
      <c r="M6" s="60">
        <f t="shared" si="5"/>
        <v>59</v>
      </c>
      <c r="N6" s="122">
        <v>632925</v>
      </c>
      <c r="O6" s="62">
        <f t="shared" si="6"/>
        <v>128</v>
      </c>
      <c r="P6" s="122">
        <v>165579</v>
      </c>
      <c r="Q6" s="60">
        <f t="shared" si="7"/>
        <v>36</v>
      </c>
      <c r="R6" s="122">
        <v>943675</v>
      </c>
      <c r="S6" s="62">
        <f t="shared" si="8"/>
        <v>121</v>
      </c>
      <c r="T6" s="122">
        <v>76746</v>
      </c>
      <c r="U6" s="60">
        <f t="shared" si="9"/>
        <v>30</v>
      </c>
      <c r="V6" s="122">
        <v>301507</v>
      </c>
      <c r="W6" s="62">
        <f t="shared" si="10"/>
        <v>53</v>
      </c>
      <c r="X6" s="105">
        <v>28453</v>
      </c>
      <c r="Y6" s="60">
        <f t="shared" si="11"/>
        <v>0</v>
      </c>
      <c r="Z6" s="105">
        <v>714780</v>
      </c>
      <c r="AA6" s="62">
        <f t="shared" si="12"/>
        <v>0</v>
      </c>
      <c r="AB6" s="70">
        <v>1410</v>
      </c>
      <c r="AC6" s="60">
        <f t="shared" si="13"/>
        <v>0</v>
      </c>
      <c r="AD6" s="66">
        <f t="shared" si="14"/>
        <v>1688</v>
      </c>
      <c r="AE6" s="18">
        <v>0</v>
      </c>
      <c r="AF6" s="53">
        <f t="shared" si="15"/>
        <v>0</v>
      </c>
    </row>
    <row r="7" spans="1:38">
      <c r="A7" s="52">
        <v>44596</v>
      </c>
      <c r="B7" s="122">
        <v>1548208</v>
      </c>
      <c r="C7" s="62">
        <f t="shared" si="0"/>
        <v>269</v>
      </c>
      <c r="D7" s="122">
        <v>33480038</v>
      </c>
      <c r="E7" s="60">
        <f t="shared" si="1"/>
        <v>1003</v>
      </c>
      <c r="F7" s="122">
        <v>48317</v>
      </c>
      <c r="G7" s="60">
        <f t="shared" si="2"/>
        <v>174</v>
      </c>
      <c r="H7" s="122">
        <v>94397</v>
      </c>
      <c r="I7" s="60">
        <f t="shared" si="3"/>
        <v>15</v>
      </c>
      <c r="J7" s="123">
        <v>182834</v>
      </c>
      <c r="K7" s="62">
        <f t="shared" si="4"/>
        <v>34</v>
      </c>
      <c r="L7" s="124">
        <v>103548</v>
      </c>
      <c r="M7" s="60">
        <f t="shared" si="5"/>
        <v>53</v>
      </c>
      <c r="N7" s="122">
        <v>633009</v>
      </c>
      <c r="O7" s="62">
        <f t="shared" si="6"/>
        <v>84</v>
      </c>
      <c r="P7" s="122">
        <v>165613</v>
      </c>
      <c r="Q7" s="60">
        <f t="shared" si="7"/>
        <v>34</v>
      </c>
      <c r="R7" s="122">
        <v>943824</v>
      </c>
      <c r="S7" s="62">
        <f t="shared" si="8"/>
        <v>149</v>
      </c>
      <c r="T7" s="122">
        <v>76780</v>
      </c>
      <c r="U7" s="60">
        <f t="shared" si="9"/>
        <v>34</v>
      </c>
      <c r="V7" s="122">
        <v>301558</v>
      </c>
      <c r="W7" s="62">
        <f t="shared" si="10"/>
        <v>51</v>
      </c>
      <c r="X7" s="105">
        <v>28453</v>
      </c>
      <c r="Y7" s="60">
        <f t="shared" si="11"/>
        <v>0</v>
      </c>
      <c r="Z7" s="105">
        <v>714780</v>
      </c>
      <c r="AA7" s="62">
        <f t="shared" si="12"/>
        <v>0</v>
      </c>
      <c r="AB7" s="70">
        <v>1410</v>
      </c>
      <c r="AC7" s="60">
        <f t="shared" si="13"/>
        <v>0</v>
      </c>
      <c r="AD7" s="66">
        <f t="shared" si="14"/>
        <v>1900</v>
      </c>
      <c r="AE7" s="18">
        <v>0</v>
      </c>
      <c r="AF7" s="53">
        <f t="shared" si="15"/>
        <v>0</v>
      </c>
    </row>
    <row r="8" spans="1:38">
      <c r="A8" s="52">
        <v>44597</v>
      </c>
      <c r="B8" s="122">
        <v>1548389</v>
      </c>
      <c r="C8" s="62">
        <f t="shared" si="0"/>
        <v>181</v>
      </c>
      <c r="D8" s="122">
        <v>33481040</v>
      </c>
      <c r="E8" s="60">
        <f t="shared" si="1"/>
        <v>1002</v>
      </c>
      <c r="F8" s="122">
        <v>48458</v>
      </c>
      <c r="G8" s="60">
        <f t="shared" si="2"/>
        <v>141</v>
      </c>
      <c r="H8" s="122">
        <v>94418</v>
      </c>
      <c r="I8" s="60">
        <f t="shared" si="3"/>
        <v>21</v>
      </c>
      <c r="J8" s="123">
        <v>182862</v>
      </c>
      <c r="K8" s="62">
        <f t="shared" si="4"/>
        <v>28</v>
      </c>
      <c r="L8" s="124">
        <v>103606</v>
      </c>
      <c r="M8" s="60">
        <f t="shared" si="5"/>
        <v>58</v>
      </c>
      <c r="N8" s="122">
        <v>633077</v>
      </c>
      <c r="O8" s="62">
        <f t="shared" si="6"/>
        <v>68</v>
      </c>
      <c r="P8" s="122">
        <v>165647</v>
      </c>
      <c r="Q8" s="60">
        <f t="shared" si="7"/>
        <v>34</v>
      </c>
      <c r="R8" s="122">
        <v>944021</v>
      </c>
      <c r="S8" s="62">
        <f t="shared" si="8"/>
        <v>197</v>
      </c>
      <c r="T8" s="122">
        <v>76798</v>
      </c>
      <c r="U8" s="60">
        <f t="shared" si="9"/>
        <v>18</v>
      </c>
      <c r="V8" s="122">
        <v>301604</v>
      </c>
      <c r="W8" s="62">
        <f t="shared" si="10"/>
        <v>46</v>
      </c>
      <c r="X8" s="105">
        <v>28453</v>
      </c>
      <c r="Y8" s="60">
        <f t="shared" si="11"/>
        <v>0</v>
      </c>
      <c r="Z8" s="105">
        <v>714780</v>
      </c>
      <c r="AA8" s="62">
        <f t="shared" si="12"/>
        <v>0</v>
      </c>
      <c r="AB8" s="70">
        <v>1410</v>
      </c>
      <c r="AC8" s="60">
        <f t="shared" si="13"/>
        <v>0</v>
      </c>
      <c r="AD8" s="66">
        <f t="shared" si="14"/>
        <v>1794</v>
      </c>
      <c r="AE8" s="18">
        <v>0</v>
      </c>
      <c r="AF8" s="53">
        <f t="shared" si="15"/>
        <v>0</v>
      </c>
    </row>
    <row r="9" spans="1:38">
      <c r="A9" s="52">
        <v>44598</v>
      </c>
      <c r="B9" s="122">
        <v>1548640</v>
      </c>
      <c r="C9" s="62">
        <f t="shared" si="0"/>
        <v>251</v>
      </c>
      <c r="D9" s="122">
        <v>33481984</v>
      </c>
      <c r="E9" s="60">
        <f t="shared" si="1"/>
        <v>944</v>
      </c>
      <c r="F9" s="122">
        <v>48604</v>
      </c>
      <c r="G9" s="60">
        <f t="shared" si="2"/>
        <v>146</v>
      </c>
      <c r="H9" s="122">
        <v>94442</v>
      </c>
      <c r="I9" s="60">
        <f t="shared" si="3"/>
        <v>24</v>
      </c>
      <c r="J9" s="123">
        <v>182862</v>
      </c>
      <c r="K9" s="62">
        <f t="shared" si="4"/>
        <v>0</v>
      </c>
      <c r="L9" s="124">
        <v>103660</v>
      </c>
      <c r="M9" s="60">
        <f t="shared" si="5"/>
        <v>54</v>
      </c>
      <c r="N9" s="122">
        <v>633087</v>
      </c>
      <c r="O9" s="62">
        <f t="shared" si="6"/>
        <v>10</v>
      </c>
      <c r="P9" s="122">
        <v>165678</v>
      </c>
      <c r="Q9" s="60">
        <f t="shared" si="7"/>
        <v>31</v>
      </c>
      <c r="R9" s="122">
        <v>944252</v>
      </c>
      <c r="S9" s="62">
        <f t="shared" si="8"/>
        <v>231</v>
      </c>
      <c r="T9" s="122">
        <v>76819</v>
      </c>
      <c r="U9" s="60">
        <f t="shared" si="9"/>
        <v>21</v>
      </c>
      <c r="V9" s="122">
        <v>301660</v>
      </c>
      <c r="W9" s="62">
        <f t="shared" si="10"/>
        <v>56</v>
      </c>
      <c r="X9" s="105">
        <v>28453</v>
      </c>
      <c r="Y9" s="60">
        <f t="shared" si="11"/>
        <v>0</v>
      </c>
      <c r="Z9" s="105">
        <v>714780</v>
      </c>
      <c r="AA9" s="62">
        <f t="shared" si="12"/>
        <v>0</v>
      </c>
      <c r="AB9" s="70">
        <v>1410</v>
      </c>
      <c r="AC9" s="60">
        <f t="shared" si="13"/>
        <v>0</v>
      </c>
      <c r="AD9" s="66">
        <f t="shared" si="14"/>
        <v>1768</v>
      </c>
      <c r="AE9" s="18">
        <v>0</v>
      </c>
      <c r="AF9" s="53">
        <f t="shared" si="15"/>
        <v>0</v>
      </c>
    </row>
    <row r="10" spans="1:38">
      <c r="A10" s="52">
        <v>44599</v>
      </c>
      <c r="B10" s="122">
        <v>1548861</v>
      </c>
      <c r="C10" s="62">
        <f t="shared" si="0"/>
        <v>221</v>
      </c>
      <c r="D10" s="122">
        <v>33482828</v>
      </c>
      <c r="E10" s="60">
        <f t="shared" si="1"/>
        <v>844</v>
      </c>
      <c r="F10" s="122">
        <v>48753</v>
      </c>
      <c r="G10" s="60">
        <f t="shared" si="2"/>
        <v>149</v>
      </c>
      <c r="H10" s="122">
        <v>94464</v>
      </c>
      <c r="I10" s="60">
        <f t="shared" si="3"/>
        <v>22</v>
      </c>
      <c r="J10" s="123">
        <v>182862</v>
      </c>
      <c r="K10" s="62">
        <f t="shared" si="4"/>
        <v>0</v>
      </c>
      <c r="L10" s="124">
        <v>103714</v>
      </c>
      <c r="M10" s="60">
        <f t="shared" si="5"/>
        <v>54</v>
      </c>
      <c r="N10" s="122">
        <v>633169</v>
      </c>
      <c r="O10" s="62">
        <f t="shared" si="6"/>
        <v>82</v>
      </c>
      <c r="P10" s="122">
        <v>165709</v>
      </c>
      <c r="Q10" s="60">
        <f t="shared" si="7"/>
        <v>31</v>
      </c>
      <c r="R10" s="122">
        <v>944401</v>
      </c>
      <c r="S10" s="62">
        <f t="shared" si="8"/>
        <v>149</v>
      </c>
      <c r="T10" s="122">
        <v>76852</v>
      </c>
      <c r="U10" s="60">
        <f t="shared" si="9"/>
        <v>33</v>
      </c>
      <c r="V10" s="122">
        <v>301717</v>
      </c>
      <c r="W10" s="62">
        <f t="shared" si="10"/>
        <v>57</v>
      </c>
      <c r="X10" s="105">
        <v>28453</v>
      </c>
      <c r="Y10" s="60">
        <f t="shared" si="11"/>
        <v>0</v>
      </c>
      <c r="Z10" s="105">
        <v>714780</v>
      </c>
      <c r="AA10" s="62">
        <f t="shared" si="12"/>
        <v>0</v>
      </c>
      <c r="AB10" s="70">
        <v>1410</v>
      </c>
      <c r="AC10" s="60">
        <f t="shared" si="13"/>
        <v>0</v>
      </c>
      <c r="AD10" s="66">
        <f t="shared" si="14"/>
        <v>1642</v>
      </c>
      <c r="AE10" s="18">
        <v>0</v>
      </c>
      <c r="AF10" s="53">
        <f t="shared" si="15"/>
        <v>0</v>
      </c>
    </row>
    <row r="11" spans="1:38">
      <c r="A11" s="52">
        <v>44600</v>
      </c>
      <c r="B11" s="122">
        <v>1549023</v>
      </c>
      <c r="C11" s="62">
        <f t="shared" si="0"/>
        <v>162</v>
      </c>
      <c r="D11" s="122">
        <v>33483696</v>
      </c>
      <c r="E11" s="60">
        <f>IF((D11-D10)&lt;0,"0",(D11-D10))</f>
        <v>868</v>
      </c>
      <c r="F11" s="122">
        <v>48865</v>
      </c>
      <c r="G11" s="60">
        <f t="shared" si="2"/>
        <v>112</v>
      </c>
      <c r="H11" s="122">
        <v>94477</v>
      </c>
      <c r="I11" s="60">
        <f t="shared" si="3"/>
        <v>13</v>
      </c>
      <c r="J11" s="123">
        <v>182887</v>
      </c>
      <c r="K11" s="62">
        <f t="shared" si="4"/>
        <v>25</v>
      </c>
      <c r="L11" s="124">
        <v>103768</v>
      </c>
      <c r="M11" s="60">
        <f t="shared" si="5"/>
        <v>54</v>
      </c>
      <c r="N11" s="122">
        <v>633228</v>
      </c>
      <c r="O11" s="62">
        <f t="shared" si="6"/>
        <v>59</v>
      </c>
      <c r="P11" s="122">
        <v>165741</v>
      </c>
      <c r="Q11" s="60">
        <f t="shared" si="7"/>
        <v>32</v>
      </c>
      <c r="R11" s="122">
        <v>944538</v>
      </c>
      <c r="S11" s="62">
        <f t="shared" si="8"/>
        <v>137</v>
      </c>
      <c r="T11" s="122">
        <v>76865</v>
      </c>
      <c r="U11" s="60">
        <f t="shared" si="9"/>
        <v>13</v>
      </c>
      <c r="V11" s="122">
        <v>301771</v>
      </c>
      <c r="W11" s="62">
        <f t="shared" si="10"/>
        <v>54</v>
      </c>
      <c r="X11" s="105">
        <v>28453</v>
      </c>
      <c r="Y11" s="60">
        <f t="shared" si="11"/>
        <v>0</v>
      </c>
      <c r="Z11" s="105">
        <v>714780</v>
      </c>
      <c r="AA11" s="62">
        <f t="shared" si="12"/>
        <v>0</v>
      </c>
      <c r="AB11" s="70">
        <v>1410</v>
      </c>
      <c r="AC11" s="60">
        <f t="shared" si="13"/>
        <v>0</v>
      </c>
      <c r="AD11" s="66">
        <f t="shared" si="14"/>
        <v>1529</v>
      </c>
      <c r="AE11" s="18">
        <v>0</v>
      </c>
      <c r="AF11" s="53">
        <f t="shared" si="15"/>
        <v>0</v>
      </c>
    </row>
    <row r="12" spans="1:38">
      <c r="A12" s="52">
        <v>44601</v>
      </c>
      <c r="B12" s="122">
        <v>1549255</v>
      </c>
      <c r="C12" s="62">
        <f t="shared" si="0"/>
        <v>232</v>
      </c>
      <c r="D12" s="122">
        <v>33484737</v>
      </c>
      <c r="E12" s="60">
        <f>IF((D12-D11)&lt;0,"0",(D12-D11))</f>
        <v>1041</v>
      </c>
      <c r="F12" s="122">
        <v>49023</v>
      </c>
      <c r="G12" s="60">
        <f t="shared" si="2"/>
        <v>158</v>
      </c>
      <c r="H12" s="122">
        <v>94505</v>
      </c>
      <c r="I12" s="60">
        <f t="shared" si="3"/>
        <v>28</v>
      </c>
      <c r="J12" s="123">
        <v>182910</v>
      </c>
      <c r="K12" s="62">
        <f t="shared" si="4"/>
        <v>23</v>
      </c>
      <c r="L12" s="124">
        <v>103814</v>
      </c>
      <c r="M12" s="60">
        <f t="shared" si="5"/>
        <v>46</v>
      </c>
      <c r="N12" s="122">
        <v>633267</v>
      </c>
      <c r="O12" s="62">
        <f t="shared" si="6"/>
        <v>39</v>
      </c>
      <c r="P12" s="122">
        <v>165774</v>
      </c>
      <c r="Q12" s="60">
        <f t="shared" si="7"/>
        <v>33</v>
      </c>
      <c r="R12" s="122">
        <v>944722</v>
      </c>
      <c r="S12" s="62">
        <f t="shared" si="8"/>
        <v>184</v>
      </c>
      <c r="T12" s="122">
        <v>76889</v>
      </c>
      <c r="U12" s="60">
        <f t="shared" si="9"/>
        <v>24</v>
      </c>
      <c r="V12" s="122">
        <v>301817</v>
      </c>
      <c r="W12" s="62">
        <f t="shared" si="10"/>
        <v>46</v>
      </c>
      <c r="X12" s="105">
        <v>28453</v>
      </c>
      <c r="Y12" s="60">
        <f t="shared" si="11"/>
        <v>0</v>
      </c>
      <c r="Z12" s="105">
        <v>714780</v>
      </c>
      <c r="AA12" s="62">
        <f t="shared" si="12"/>
        <v>0</v>
      </c>
      <c r="AB12" s="70">
        <v>1410</v>
      </c>
      <c r="AC12" s="60">
        <f t="shared" si="13"/>
        <v>0</v>
      </c>
      <c r="AD12" s="66">
        <f t="shared" si="14"/>
        <v>1854</v>
      </c>
      <c r="AE12" s="18">
        <v>0</v>
      </c>
      <c r="AF12" s="53">
        <f t="shared" si="15"/>
        <v>0</v>
      </c>
    </row>
    <row r="13" spans="1:38">
      <c r="A13" s="52">
        <v>44602</v>
      </c>
      <c r="B13" s="122">
        <v>1549470</v>
      </c>
      <c r="C13" s="62">
        <f t="shared" si="0"/>
        <v>215</v>
      </c>
      <c r="D13" s="122">
        <v>33485850</v>
      </c>
      <c r="E13" s="60">
        <f>IF((D13-D12)&lt;0,"0",(D13-D12))</f>
        <v>1113</v>
      </c>
      <c r="F13" s="122">
        <v>49173</v>
      </c>
      <c r="G13" s="60">
        <f t="shared" si="2"/>
        <v>150</v>
      </c>
      <c r="H13" s="122">
        <v>94525</v>
      </c>
      <c r="I13" s="60">
        <f t="shared" si="3"/>
        <v>20</v>
      </c>
      <c r="J13" s="123">
        <v>182954</v>
      </c>
      <c r="K13" s="62">
        <f t="shared" si="4"/>
        <v>44</v>
      </c>
      <c r="L13" s="124">
        <v>103867</v>
      </c>
      <c r="M13" s="60">
        <f t="shared" si="5"/>
        <v>53</v>
      </c>
      <c r="N13" s="122">
        <v>633314</v>
      </c>
      <c r="O13" s="62">
        <f t="shared" si="6"/>
        <v>47</v>
      </c>
      <c r="P13" s="122">
        <v>165805</v>
      </c>
      <c r="Q13" s="60">
        <f t="shared" si="7"/>
        <v>31</v>
      </c>
      <c r="R13" s="122">
        <v>944888</v>
      </c>
      <c r="S13" s="62">
        <f t="shared" si="8"/>
        <v>166</v>
      </c>
      <c r="T13" s="122">
        <v>76923</v>
      </c>
      <c r="U13" s="60">
        <f t="shared" si="9"/>
        <v>34</v>
      </c>
      <c r="V13" s="122">
        <v>301862</v>
      </c>
      <c r="W13" s="62">
        <f t="shared" si="10"/>
        <v>45</v>
      </c>
      <c r="X13" s="105">
        <v>28453</v>
      </c>
      <c r="Y13" s="60">
        <f t="shared" si="11"/>
        <v>0</v>
      </c>
      <c r="Z13" s="105">
        <v>714780</v>
      </c>
      <c r="AA13" s="62">
        <f t="shared" si="12"/>
        <v>0</v>
      </c>
      <c r="AB13" s="70">
        <v>1410</v>
      </c>
      <c r="AC13" s="60">
        <f t="shared" si="13"/>
        <v>0</v>
      </c>
      <c r="AD13" s="66">
        <f t="shared" si="14"/>
        <v>1918</v>
      </c>
      <c r="AE13" s="18">
        <v>0</v>
      </c>
      <c r="AF13" s="53">
        <f t="shared" si="15"/>
        <v>0</v>
      </c>
    </row>
    <row r="14" spans="1:38">
      <c r="A14" s="52">
        <v>44603</v>
      </c>
      <c r="B14" s="122">
        <v>1549708</v>
      </c>
      <c r="C14" s="62">
        <f t="shared" si="0"/>
        <v>238</v>
      </c>
      <c r="D14" s="122">
        <v>33486969</v>
      </c>
      <c r="E14" s="60">
        <f t="shared" si="1"/>
        <v>1119</v>
      </c>
      <c r="F14" s="122">
        <v>49344</v>
      </c>
      <c r="G14" s="60">
        <f t="shared" si="2"/>
        <v>171</v>
      </c>
      <c r="H14" s="122">
        <v>94555</v>
      </c>
      <c r="I14" s="60">
        <f t="shared" si="3"/>
        <v>30</v>
      </c>
      <c r="J14" s="123">
        <v>182979</v>
      </c>
      <c r="K14" s="62">
        <f t="shared" si="4"/>
        <v>25</v>
      </c>
      <c r="L14" s="124">
        <v>103917</v>
      </c>
      <c r="M14" s="60">
        <f t="shared" si="5"/>
        <v>50</v>
      </c>
      <c r="N14" s="122">
        <v>633355</v>
      </c>
      <c r="O14" s="62">
        <f t="shared" si="6"/>
        <v>41</v>
      </c>
      <c r="P14" s="122">
        <v>165834</v>
      </c>
      <c r="Q14" s="60">
        <f t="shared" si="7"/>
        <v>29</v>
      </c>
      <c r="R14" s="122">
        <v>945082</v>
      </c>
      <c r="S14" s="62">
        <f t="shared" si="8"/>
        <v>194</v>
      </c>
      <c r="T14" s="122">
        <v>76944</v>
      </c>
      <c r="U14" s="60">
        <f t="shared" si="9"/>
        <v>21</v>
      </c>
      <c r="V14" s="122">
        <v>301916</v>
      </c>
      <c r="W14" s="62">
        <f t="shared" si="10"/>
        <v>54</v>
      </c>
      <c r="X14" s="105">
        <v>28453</v>
      </c>
      <c r="Y14" s="60">
        <f t="shared" si="11"/>
        <v>0</v>
      </c>
      <c r="Z14" s="105">
        <v>714780</v>
      </c>
      <c r="AA14" s="62">
        <f t="shared" si="12"/>
        <v>0</v>
      </c>
      <c r="AB14" s="70">
        <v>1410</v>
      </c>
      <c r="AC14" s="60">
        <f t="shared" si="13"/>
        <v>0</v>
      </c>
      <c r="AD14" s="66">
        <f t="shared" si="14"/>
        <v>1972</v>
      </c>
      <c r="AE14" s="18">
        <v>0</v>
      </c>
      <c r="AF14" s="53">
        <f t="shared" si="15"/>
        <v>0</v>
      </c>
    </row>
    <row r="15" spans="1:38">
      <c r="A15" s="52">
        <v>44604</v>
      </c>
      <c r="B15" s="122">
        <v>1549926</v>
      </c>
      <c r="C15" s="62">
        <f t="shared" si="0"/>
        <v>218</v>
      </c>
      <c r="D15" s="122">
        <v>33487999</v>
      </c>
      <c r="E15" s="60">
        <f t="shared" si="1"/>
        <v>1030</v>
      </c>
      <c r="F15" s="122">
        <v>49481</v>
      </c>
      <c r="G15" s="60">
        <f t="shared" si="2"/>
        <v>137</v>
      </c>
      <c r="H15" s="122">
        <v>94578</v>
      </c>
      <c r="I15" s="60">
        <f t="shared" si="3"/>
        <v>23</v>
      </c>
      <c r="J15" s="123">
        <v>183005</v>
      </c>
      <c r="K15" s="62">
        <f t="shared" si="4"/>
        <v>26</v>
      </c>
      <c r="L15" s="124">
        <v>103986</v>
      </c>
      <c r="M15" s="60">
        <f t="shared" si="5"/>
        <v>69</v>
      </c>
      <c r="N15" s="122">
        <v>633407</v>
      </c>
      <c r="O15" s="62">
        <f t="shared" si="6"/>
        <v>52</v>
      </c>
      <c r="P15" s="122">
        <v>165868</v>
      </c>
      <c r="Q15" s="60">
        <f t="shared" si="7"/>
        <v>34</v>
      </c>
      <c r="R15" s="122">
        <v>945283</v>
      </c>
      <c r="S15" s="62">
        <f t="shared" si="8"/>
        <v>201</v>
      </c>
      <c r="T15" s="122">
        <v>76968</v>
      </c>
      <c r="U15" s="60">
        <f t="shared" si="9"/>
        <v>24</v>
      </c>
      <c r="V15" s="122">
        <v>301968</v>
      </c>
      <c r="W15" s="62">
        <f t="shared" si="10"/>
        <v>52</v>
      </c>
      <c r="X15" s="105">
        <v>28453</v>
      </c>
      <c r="Y15" s="60">
        <f t="shared" si="11"/>
        <v>0</v>
      </c>
      <c r="Z15" s="105">
        <v>714780</v>
      </c>
      <c r="AA15" s="62">
        <f t="shared" si="12"/>
        <v>0</v>
      </c>
      <c r="AB15" s="70">
        <v>1410</v>
      </c>
      <c r="AC15" s="60">
        <f t="shared" si="13"/>
        <v>0</v>
      </c>
      <c r="AD15" s="66">
        <f t="shared" si="14"/>
        <v>1866</v>
      </c>
      <c r="AE15" s="18">
        <v>0</v>
      </c>
      <c r="AF15" s="53">
        <f t="shared" si="15"/>
        <v>0</v>
      </c>
    </row>
    <row r="16" spans="1:38">
      <c r="A16" s="52">
        <v>44605</v>
      </c>
      <c r="B16" s="122">
        <v>1550187</v>
      </c>
      <c r="C16" s="62">
        <f t="shared" si="0"/>
        <v>261</v>
      </c>
      <c r="D16" s="122">
        <v>33488977</v>
      </c>
      <c r="E16" s="60">
        <f t="shared" si="1"/>
        <v>978</v>
      </c>
      <c r="F16" s="122">
        <v>49653</v>
      </c>
      <c r="G16" s="60">
        <f t="shared" si="2"/>
        <v>172</v>
      </c>
      <c r="H16" s="122">
        <v>94603</v>
      </c>
      <c r="I16" s="60">
        <f t="shared" si="3"/>
        <v>25</v>
      </c>
      <c r="J16" s="123">
        <v>183019</v>
      </c>
      <c r="K16" s="62">
        <f t="shared" si="4"/>
        <v>14</v>
      </c>
      <c r="L16" s="124">
        <v>104053</v>
      </c>
      <c r="M16" s="60">
        <f t="shared" si="5"/>
        <v>67</v>
      </c>
      <c r="N16" s="122">
        <v>633446</v>
      </c>
      <c r="O16" s="62">
        <f t="shared" si="6"/>
        <v>39</v>
      </c>
      <c r="P16" s="122">
        <v>165903</v>
      </c>
      <c r="Q16" s="60">
        <f t="shared" si="7"/>
        <v>35</v>
      </c>
      <c r="R16" s="122">
        <v>945516</v>
      </c>
      <c r="S16" s="62">
        <f t="shared" si="8"/>
        <v>233</v>
      </c>
      <c r="T16" s="122">
        <v>76992</v>
      </c>
      <c r="U16" s="60">
        <f t="shared" si="9"/>
        <v>24</v>
      </c>
      <c r="V16" s="122">
        <v>302015</v>
      </c>
      <c r="W16" s="62">
        <f t="shared" si="10"/>
        <v>47</v>
      </c>
      <c r="X16" s="105">
        <v>28453</v>
      </c>
      <c r="Y16" s="60">
        <f t="shared" si="11"/>
        <v>0</v>
      </c>
      <c r="Z16" s="105">
        <v>714780</v>
      </c>
      <c r="AA16" s="62">
        <f t="shared" si="12"/>
        <v>0</v>
      </c>
      <c r="AB16" s="70">
        <v>1410</v>
      </c>
      <c r="AC16" s="60">
        <f t="shared" si="13"/>
        <v>0</v>
      </c>
      <c r="AD16" s="66">
        <f t="shared" si="14"/>
        <v>1895</v>
      </c>
      <c r="AE16" s="18">
        <v>0</v>
      </c>
      <c r="AF16" s="53">
        <f t="shared" si="15"/>
        <v>0</v>
      </c>
      <c r="AL16" t="s">
        <v>72</v>
      </c>
    </row>
    <row r="17" spans="1:38">
      <c r="A17" s="52">
        <v>44606</v>
      </c>
      <c r="B17" s="122">
        <v>1550401</v>
      </c>
      <c r="C17" s="62">
        <f t="shared" si="0"/>
        <v>214</v>
      </c>
      <c r="D17" s="122">
        <v>33489836</v>
      </c>
      <c r="E17" s="60">
        <f t="shared" si="1"/>
        <v>859</v>
      </c>
      <c r="F17" s="122">
        <v>49796</v>
      </c>
      <c r="G17" s="60">
        <f t="shared" si="2"/>
        <v>143</v>
      </c>
      <c r="H17" s="122">
        <v>94628</v>
      </c>
      <c r="I17" s="60">
        <f t="shared" si="3"/>
        <v>25</v>
      </c>
      <c r="J17" s="123">
        <v>183051</v>
      </c>
      <c r="K17" s="62">
        <f t="shared" si="4"/>
        <v>32</v>
      </c>
      <c r="L17" s="124">
        <v>104113</v>
      </c>
      <c r="M17" s="60">
        <f t="shared" si="5"/>
        <v>60</v>
      </c>
      <c r="N17" s="122">
        <v>633568</v>
      </c>
      <c r="O17" s="62">
        <f t="shared" si="6"/>
        <v>122</v>
      </c>
      <c r="P17" s="122">
        <v>165927</v>
      </c>
      <c r="Q17" s="60">
        <f t="shared" si="7"/>
        <v>24</v>
      </c>
      <c r="R17" s="122">
        <v>945679</v>
      </c>
      <c r="S17" s="62">
        <f t="shared" si="8"/>
        <v>163</v>
      </c>
      <c r="T17" s="122">
        <v>77014</v>
      </c>
      <c r="U17" s="60">
        <f t="shared" si="9"/>
        <v>22</v>
      </c>
      <c r="V17" s="122">
        <v>302068</v>
      </c>
      <c r="W17" s="62">
        <f t="shared" si="10"/>
        <v>53</v>
      </c>
      <c r="X17" s="105">
        <v>28453</v>
      </c>
      <c r="Y17" s="60">
        <f t="shared" si="11"/>
        <v>0</v>
      </c>
      <c r="Z17" s="105">
        <v>714780</v>
      </c>
      <c r="AA17" s="62">
        <f t="shared" si="12"/>
        <v>0</v>
      </c>
      <c r="AB17" s="70">
        <v>1410</v>
      </c>
      <c r="AC17" s="60">
        <f t="shared" si="13"/>
        <v>0</v>
      </c>
      <c r="AD17" s="66">
        <f t="shared" si="14"/>
        <v>1717</v>
      </c>
      <c r="AE17" s="18">
        <v>0</v>
      </c>
      <c r="AF17" s="53">
        <f t="shared" si="15"/>
        <v>0</v>
      </c>
    </row>
    <row r="18" spans="1:38">
      <c r="A18" s="52">
        <v>44607</v>
      </c>
      <c r="B18" s="122">
        <v>1550669</v>
      </c>
      <c r="C18" s="62">
        <f t="shared" si="0"/>
        <v>268</v>
      </c>
      <c r="D18" s="122">
        <v>33490838</v>
      </c>
      <c r="E18" s="60">
        <f t="shared" si="1"/>
        <v>1002</v>
      </c>
      <c r="F18" s="122">
        <v>49953</v>
      </c>
      <c r="G18" s="60">
        <f t="shared" si="2"/>
        <v>157</v>
      </c>
      <c r="H18" s="122">
        <v>94654</v>
      </c>
      <c r="I18" s="60">
        <f t="shared" si="3"/>
        <v>26</v>
      </c>
      <c r="J18" s="123">
        <v>183080</v>
      </c>
      <c r="K18" s="62">
        <f t="shared" si="4"/>
        <v>29</v>
      </c>
      <c r="L18" s="124">
        <v>104172</v>
      </c>
      <c r="M18" s="60">
        <f t="shared" si="5"/>
        <v>59</v>
      </c>
      <c r="N18" s="122">
        <v>633722</v>
      </c>
      <c r="O18" s="62">
        <f t="shared" si="6"/>
        <v>154</v>
      </c>
      <c r="P18" s="122">
        <v>165956</v>
      </c>
      <c r="Q18" s="60">
        <f t="shared" si="7"/>
        <v>29</v>
      </c>
      <c r="R18" s="122">
        <v>945909</v>
      </c>
      <c r="S18" s="62">
        <f t="shared" si="8"/>
        <v>230</v>
      </c>
      <c r="T18" s="122">
        <v>77039</v>
      </c>
      <c r="U18" s="60">
        <f t="shared" si="9"/>
        <v>25</v>
      </c>
      <c r="V18" s="122">
        <v>302119</v>
      </c>
      <c r="W18" s="62">
        <f t="shared" si="10"/>
        <v>51</v>
      </c>
      <c r="X18" s="105">
        <v>28453</v>
      </c>
      <c r="Y18" s="60">
        <f t="shared" si="11"/>
        <v>0</v>
      </c>
      <c r="Z18" s="105">
        <v>714780</v>
      </c>
      <c r="AA18" s="62">
        <f t="shared" si="12"/>
        <v>0</v>
      </c>
      <c r="AB18" s="70">
        <v>1410</v>
      </c>
      <c r="AC18" s="60">
        <f t="shared" si="13"/>
        <v>0</v>
      </c>
      <c r="AD18" s="66">
        <f t="shared" si="14"/>
        <v>2030</v>
      </c>
      <c r="AE18" s="18">
        <v>0</v>
      </c>
      <c r="AF18" s="53">
        <f t="shared" si="15"/>
        <v>0</v>
      </c>
    </row>
    <row r="19" spans="1:38">
      <c r="A19" s="52">
        <v>44608</v>
      </c>
      <c r="B19" s="122">
        <v>1550856</v>
      </c>
      <c r="C19" s="62">
        <f t="shared" si="0"/>
        <v>187</v>
      </c>
      <c r="D19" s="122">
        <v>33491913</v>
      </c>
      <c r="E19" s="60">
        <f t="shared" si="1"/>
        <v>1075</v>
      </c>
      <c r="F19" s="122">
        <v>50092</v>
      </c>
      <c r="G19" s="60">
        <f t="shared" si="2"/>
        <v>139</v>
      </c>
      <c r="H19" s="122">
        <v>94674</v>
      </c>
      <c r="I19" s="60">
        <f t="shared" si="3"/>
        <v>20</v>
      </c>
      <c r="J19" s="123">
        <v>183109</v>
      </c>
      <c r="K19" s="62">
        <f t="shared" si="4"/>
        <v>29</v>
      </c>
      <c r="L19" s="124">
        <v>104237</v>
      </c>
      <c r="M19" s="60">
        <f t="shared" si="5"/>
        <v>65</v>
      </c>
      <c r="N19" s="122">
        <v>633837</v>
      </c>
      <c r="O19" s="62">
        <f t="shared" si="6"/>
        <v>115</v>
      </c>
      <c r="P19" s="122">
        <v>165986</v>
      </c>
      <c r="Q19" s="60">
        <f t="shared" si="7"/>
        <v>30</v>
      </c>
      <c r="R19" s="122">
        <v>946057</v>
      </c>
      <c r="S19" s="62">
        <f t="shared" si="8"/>
        <v>148</v>
      </c>
      <c r="T19" s="122">
        <v>77067</v>
      </c>
      <c r="U19" s="60">
        <f t="shared" si="9"/>
        <v>28</v>
      </c>
      <c r="V19" s="122">
        <v>302175</v>
      </c>
      <c r="W19" s="62">
        <f t="shared" si="10"/>
        <v>56</v>
      </c>
      <c r="X19" s="105">
        <v>28453</v>
      </c>
      <c r="Y19" s="60">
        <f t="shared" si="11"/>
        <v>0</v>
      </c>
      <c r="Z19" s="105">
        <v>714780</v>
      </c>
      <c r="AA19" s="62">
        <f t="shared" si="12"/>
        <v>0</v>
      </c>
      <c r="AB19" s="70">
        <v>1410</v>
      </c>
      <c r="AC19" s="60">
        <f t="shared" si="13"/>
        <v>0</v>
      </c>
      <c r="AD19" s="66">
        <f t="shared" si="14"/>
        <v>1892</v>
      </c>
      <c r="AE19" s="18">
        <v>0</v>
      </c>
      <c r="AF19" s="53">
        <f t="shared" si="15"/>
        <v>0</v>
      </c>
    </row>
    <row r="20" spans="1:38">
      <c r="A20" s="52">
        <v>44609</v>
      </c>
      <c r="B20" s="122">
        <v>1551094</v>
      </c>
      <c r="C20" s="62">
        <f t="shared" si="0"/>
        <v>238</v>
      </c>
      <c r="D20" s="122">
        <v>33492997</v>
      </c>
      <c r="E20" s="60">
        <f t="shared" si="1"/>
        <v>1084</v>
      </c>
      <c r="F20" s="122">
        <v>50255</v>
      </c>
      <c r="G20" s="60">
        <f t="shared" si="2"/>
        <v>163</v>
      </c>
      <c r="H20" s="122">
        <v>94700</v>
      </c>
      <c r="I20" s="60">
        <f t="shared" si="3"/>
        <v>26</v>
      </c>
      <c r="J20" s="123">
        <v>183138</v>
      </c>
      <c r="K20" s="62">
        <f t="shared" si="4"/>
        <v>29</v>
      </c>
      <c r="L20" s="124">
        <v>104298</v>
      </c>
      <c r="M20" s="60">
        <f t="shared" si="5"/>
        <v>61</v>
      </c>
      <c r="N20" s="122">
        <v>633915</v>
      </c>
      <c r="O20" s="62">
        <f t="shared" si="6"/>
        <v>78</v>
      </c>
      <c r="P20" s="122">
        <v>166022</v>
      </c>
      <c r="Q20" s="60">
        <f t="shared" si="7"/>
        <v>36</v>
      </c>
      <c r="R20" s="122">
        <v>946263</v>
      </c>
      <c r="S20" s="62">
        <f t="shared" si="8"/>
        <v>206</v>
      </c>
      <c r="T20" s="122">
        <v>77094</v>
      </c>
      <c r="U20" s="60">
        <f t="shared" si="9"/>
        <v>27</v>
      </c>
      <c r="V20" s="122">
        <v>302220</v>
      </c>
      <c r="W20" s="62">
        <f t="shared" si="10"/>
        <v>45</v>
      </c>
      <c r="X20" s="105">
        <v>28453</v>
      </c>
      <c r="Y20" s="60">
        <f t="shared" si="11"/>
        <v>0</v>
      </c>
      <c r="Z20" s="105">
        <v>714780</v>
      </c>
      <c r="AA20" s="62">
        <f t="shared" si="12"/>
        <v>0</v>
      </c>
      <c r="AB20" s="70">
        <v>1410</v>
      </c>
      <c r="AC20" s="60">
        <f t="shared" si="13"/>
        <v>0</v>
      </c>
      <c r="AD20" s="66">
        <f t="shared" si="14"/>
        <v>1993</v>
      </c>
      <c r="AE20" s="18">
        <v>0</v>
      </c>
      <c r="AF20" s="53">
        <f t="shared" si="15"/>
        <v>0</v>
      </c>
    </row>
    <row r="21" spans="1:38">
      <c r="A21" s="52">
        <v>44610</v>
      </c>
      <c r="B21" s="122">
        <v>1551384</v>
      </c>
      <c r="C21" s="62">
        <f t="shared" si="0"/>
        <v>290</v>
      </c>
      <c r="D21" s="122">
        <v>33494018</v>
      </c>
      <c r="E21" s="60">
        <f t="shared" si="1"/>
        <v>1021</v>
      </c>
      <c r="F21" s="122">
        <v>50442</v>
      </c>
      <c r="G21" s="60">
        <f t="shared" si="2"/>
        <v>187</v>
      </c>
      <c r="H21" s="122">
        <v>94732</v>
      </c>
      <c r="I21" s="60">
        <f t="shared" si="3"/>
        <v>32</v>
      </c>
      <c r="J21" s="123">
        <v>183165</v>
      </c>
      <c r="K21" s="62">
        <f t="shared" si="4"/>
        <v>27</v>
      </c>
      <c r="L21" s="124">
        <v>104369</v>
      </c>
      <c r="M21" s="60">
        <f t="shared" si="5"/>
        <v>71</v>
      </c>
      <c r="N21" s="122">
        <v>634006</v>
      </c>
      <c r="O21" s="62">
        <f t="shared" si="6"/>
        <v>91</v>
      </c>
      <c r="P21" s="122">
        <v>166058</v>
      </c>
      <c r="Q21" s="60">
        <f t="shared" si="7"/>
        <v>36</v>
      </c>
      <c r="R21" s="122">
        <v>946528</v>
      </c>
      <c r="S21" s="62">
        <f t="shared" si="8"/>
        <v>265</v>
      </c>
      <c r="T21" s="122">
        <v>77114</v>
      </c>
      <c r="U21" s="60">
        <f t="shared" si="9"/>
        <v>20</v>
      </c>
      <c r="V21" s="122">
        <v>302274</v>
      </c>
      <c r="W21" s="62">
        <f t="shared" si="10"/>
        <v>54</v>
      </c>
      <c r="X21" s="105">
        <v>28453</v>
      </c>
      <c r="Y21" s="60">
        <f t="shared" si="11"/>
        <v>0</v>
      </c>
      <c r="Z21" s="105">
        <v>714780</v>
      </c>
      <c r="AA21" s="62">
        <f t="shared" si="12"/>
        <v>0</v>
      </c>
      <c r="AB21" s="70">
        <v>1410</v>
      </c>
      <c r="AC21" s="60">
        <f t="shared" si="13"/>
        <v>0</v>
      </c>
      <c r="AD21" s="66">
        <f t="shared" si="14"/>
        <v>2094</v>
      </c>
      <c r="AE21" s="18">
        <v>0</v>
      </c>
      <c r="AF21" s="53">
        <f t="shared" si="15"/>
        <v>0</v>
      </c>
    </row>
    <row r="22" spans="1:38">
      <c r="A22" s="52">
        <v>44611</v>
      </c>
      <c r="B22" s="122">
        <v>1551585</v>
      </c>
      <c r="C22" s="62">
        <f t="shared" si="0"/>
        <v>201</v>
      </c>
      <c r="D22" s="122">
        <v>33495052</v>
      </c>
      <c r="E22" s="60">
        <f t="shared" si="1"/>
        <v>1034</v>
      </c>
      <c r="F22" s="122">
        <v>50571</v>
      </c>
      <c r="G22" s="60">
        <f t="shared" si="2"/>
        <v>129</v>
      </c>
      <c r="H22" s="122">
        <v>94755</v>
      </c>
      <c r="I22" s="60">
        <f t="shared" si="3"/>
        <v>23</v>
      </c>
      <c r="J22" s="123">
        <v>183185</v>
      </c>
      <c r="K22" s="62">
        <f t="shared" si="4"/>
        <v>20</v>
      </c>
      <c r="L22" s="124">
        <v>104431</v>
      </c>
      <c r="M22" s="60">
        <f t="shared" si="5"/>
        <v>62</v>
      </c>
      <c r="N22" s="122">
        <v>634016</v>
      </c>
      <c r="O22" s="62">
        <f t="shared" si="6"/>
        <v>10</v>
      </c>
      <c r="P22" s="122">
        <v>166089</v>
      </c>
      <c r="Q22" s="60">
        <f t="shared" si="7"/>
        <v>31</v>
      </c>
      <c r="R22" s="122">
        <v>946716</v>
      </c>
      <c r="S22" s="62">
        <f t="shared" si="8"/>
        <v>188</v>
      </c>
      <c r="T22" s="122">
        <v>77141</v>
      </c>
      <c r="U22" s="60">
        <f t="shared" si="9"/>
        <v>27</v>
      </c>
      <c r="V22" s="122">
        <v>302323</v>
      </c>
      <c r="W22" s="62">
        <f t="shared" si="10"/>
        <v>49</v>
      </c>
      <c r="X22" s="105">
        <v>28453</v>
      </c>
      <c r="Y22" s="60">
        <f t="shared" si="11"/>
        <v>0</v>
      </c>
      <c r="Z22" s="105">
        <v>714780</v>
      </c>
      <c r="AA22" s="62">
        <f t="shared" si="12"/>
        <v>0</v>
      </c>
      <c r="AB22" s="70">
        <v>1410</v>
      </c>
      <c r="AC22" s="60">
        <f t="shared" si="13"/>
        <v>0</v>
      </c>
      <c r="AD22" s="66">
        <f t="shared" si="14"/>
        <v>1774</v>
      </c>
      <c r="AE22" s="18">
        <v>0</v>
      </c>
      <c r="AF22" s="53">
        <f t="shared" si="15"/>
        <v>0</v>
      </c>
    </row>
    <row r="23" spans="1:38">
      <c r="A23" s="52">
        <v>44612</v>
      </c>
      <c r="B23" s="122">
        <v>1551848</v>
      </c>
      <c r="C23" s="62">
        <f t="shared" si="0"/>
        <v>263</v>
      </c>
      <c r="D23" s="122">
        <v>33496123</v>
      </c>
      <c r="E23" s="60">
        <f t="shared" si="1"/>
        <v>1071</v>
      </c>
      <c r="F23" s="122">
        <v>50739</v>
      </c>
      <c r="G23" s="60">
        <f t="shared" si="2"/>
        <v>168</v>
      </c>
      <c r="H23" s="122">
        <v>94780</v>
      </c>
      <c r="I23" s="60">
        <f t="shared" si="3"/>
        <v>25</v>
      </c>
      <c r="J23" s="123">
        <v>183185</v>
      </c>
      <c r="K23" s="62">
        <f t="shared" si="4"/>
        <v>0</v>
      </c>
      <c r="L23" s="124">
        <v>104480</v>
      </c>
      <c r="M23" s="60">
        <f t="shared" si="5"/>
        <v>49</v>
      </c>
      <c r="N23" s="122">
        <v>634076</v>
      </c>
      <c r="O23" s="62">
        <f t="shared" si="6"/>
        <v>60</v>
      </c>
      <c r="P23" s="122">
        <v>166123</v>
      </c>
      <c r="Q23" s="60">
        <f t="shared" si="7"/>
        <v>34</v>
      </c>
      <c r="R23" s="122">
        <v>946956</v>
      </c>
      <c r="S23" s="62">
        <f t="shared" si="8"/>
        <v>240</v>
      </c>
      <c r="T23" s="122">
        <v>77168</v>
      </c>
      <c r="U23" s="60">
        <f t="shared" si="9"/>
        <v>27</v>
      </c>
      <c r="V23" s="122">
        <v>302373</v>
      </c>
      <c r="W23" s="62">
        <f t="shared" si="10"/>
        <v>50</v>
      </c>
      <c r="X23" s="105">
        <v>28453</v>
      </c>
      <c r="Y23" s="60">
        <f t="shared" si="11"/>
        <v>0</v>
      </c>
      <c r="Z23" s="105">
        <v>714780</v>
      </c>
      <c r="AA23" s="62">
        <f t="shared" si="12"/>
        <v>0</v>
      </c>
      <c r="AB23" s="70">
        <v>1410</v>
      </c>
      <c r="AC23" s="60">
        <f t="shared" si="13"/>
        <v>0</v>
      </c>
      <c r="AD23" s="66">
        <f t="shared" si="14"/>
        <v>1987</v>
      </c>
      <c r="AE23" s="18">
        <v>0</v>
      </c>
      <c r="AF23" s="53">
        <f t="shared" si="15"/>
        <v>0</v>
      </c>
    </row>
    <row r="24" spans="1:38">
      <c r="A24" s="52">
        <v>44613</v>
      </c>
      <c r="B24" s="122">
        <v>1552045</v>
      </c>
      <c r="C24" s="62">
        <f t="shared" si="0"/>
        <v>197</v>
      </c>
      <c r="D24" s="122">
        <v>33497099</v>
      </c>
      <c r="E24" s="60">
        <f t="shared" si="1"/>
        <v>976</v>
      </c>
      <c r="F24" s="122">
        <v>50872</v>
      </c>
      <c r="G24" s="60">
        <f t="shared" si="2"/>
        <v>133</v>
      </c>
      <c r="H24" s="122">
        <v>94800</v>
      </c>
      <c r="I24" s="60">
        <f t="shared" si="3"/>
        <v>20</v>
      </c>
      <c r="J24" s="123">
        <v>183195</v>
      </c>
      <c r="K24" s="62">
        <f t="shared" si="4"/>
        <v>10</v>
      </c>
      <c r="L24" s="124">
        <v>104534</v>
      </c>
      <c r="M24" s="60">
        <f t="shared" si="5"/>
        <v>54</v>
      </c>
      <c r="N24" s="122">
        <v>634116</v>
      </c>
      <c r="O24" s="62">
        <f t="shared" si="6"/>
        <v>40</v>
      </c>
      <c r="P24" s="122">
        <v>166153</v>
      </c>
      <c r="Q24" s="60">
        <f t="shared" si="7"/>
        <v>30</v>
      </c>
      <c r="R24" s="122">
        <v>947107</v>
      </c>
      <c r="S24" s="62">
        <f t="shared" si="8"/>
        <v>151</v>
      </c>
      <c r="T24" s="122">
        <v>77192</v>
      </c>
      <c r="U24" s="60">
        <f t="shared" si="9"/>
        <v>24</v>
      </c>
      <c r="V24" s="122">
        <v>302427</v>
      </c>
      <c r="W24" s="62">
        <f t="shared" si="10"/>
        <v>54</v>
      </c>
      <c r="X24" s="105">
        <v>28453</v>
      </c>
      <c r="Y24" s="60">
        <f t="shared" si="11"/>
        <v>0</v>
      </c>
      <c r="Z24" s="105">
        <v>714780</v>
      </c>
      <c r="AA24" s="62">
        <f t="shared" si="12"/>
        <v>0</v>
      </c>
      <c r="AB24" s="70">
        <v>1410</v>
      </c>
      <c r="AC24" s="60">
        <f t="shared" si="13"/>
        <v>0</v>
      </c>
      <c r="AD24" s="66">
        <f t="shared" si="14"/>
        <v>1689</v>
      </c>
      <c r="AE24" s="18">
        <v>0</v>
      </c>
      <c r="AF24" s="53">
        <f t="shared" si="15"/>
        <v>0</v>
      </c>
      <c r="AI24" t="s">
        <v>72</v>
      </c>
    </row>
    <row r="25" spans="1:38">
      <c r="A25" s="52">
        <v>44614</v>
      </c>
      <c r="B25" s="122">
        <v>1552302</v>
      </c>
      <c r="C25" s="62">
        <f t="shared" si="0"/>
        <v>257</v>
      </c>
      <c r="D25" s="122">
        <v>33498063</v>
      </c>
      <c r="E25" s="60">
        <f t="shared" si="1"/>
        <v>964</v>
      </c>
      <c r="F25" s="122">
        <v>50998</v>
      </c>
      <c r="G25" s="60">
        <f t="shared" si="2"/>
        <v>126</v>
      </c>
      <c r="H25" s="122">
        <v>94822</v>
      </c>
      <c r="I25" s="60">
        <f t="shared" si="3"/>
        <v>22</v>
      </c>
      <c r="J25" s="123">
        <v>183230</v>
      </c>
      <c r="K25" s="62">
        <f t="shared" si="4"/>
        <v>35</v>
      </c>
      <c r="L25" s="124">
        <v>104591</v>
      </c>
      <c r="M25" s="60">
        <f t="shared" si="5"/>
        <v>57</v>
      </c>
      <c r="N25" s="122">
        <v>634132</v>
      </c>
      <c r="O25" s="62">
        <f t="shared" si="6"/>
        <v>16</v>
      </c>
      <c r="P25" s="122">
        <v>166182</v>
      </c>
      <c r="Q25" s="60">
        <f t="shared" si="7"/>
        <v>29</v>
      </c>
      <c r="R25" s="122">
        <v>947292</v>
      </c>
      <c r="S25" s="62">
        <f t="shared" si="8"/>
        <v>185</v>
      </c>
      <c r="T25" s="122">
        <v>77225</v>
      </c>
      <c r="U25" s="60">
        <f t="shared" si="9"/>
        <v>33</v>
      </c>
      <c r="V25" s="122">
        <v>302479</v>
      </c>
      <c r="W25" s="62">
        <f t="shared" si="10"/>
        <v>52</v>
      </c>
      <c r="X25" s="105">
        <v>28453</v>
      </c>
      <c r="Y25" s="60">
        <f t="shared" si="11"/>
        <v>0</v>
      </c>
      <c r="Z25" s="105">
        <v>714780</v>
      </c>
      <c r="AA25" s="62">
        <f t="shared" si="12"/>
        <v>0</v>
      </c>
      <c r="AB25" s="70">
        <v>1410</v>
      </c>
      <c r="AC25" s="60">
        <f t="shared" si="13"/>
        <v>0</v>
      </c>
      <c r="AD25" s="66">
        <f t="shared" si="14"/>
        <v>1776</v>
      </c>
      <c r="AE25" s="18">
        <v>0</v>
      </c>
      <c r="AF25" s="53">
        <f t="shared" si="15"/>
        <v>0</v>
      </c>
      <c r="AH25" t="s">
        <v>72</v>
      </c>
    </row>
    <row r="26" spans="1:38">
      <c r="A26" s="52">
        <v>44615</v>
      </c>
      <c r="B26" s="122">
        <v>1552556</v>
      </c>
      <c r="C26" s="62">
        <f t="shared" si="0"/>
        <v>254</v>
      </c>
      <c r="D26" s="122">
        <v>33499070</v>
      </c>
      <c r="E26" s="60">
        <f t="shared" si="1"/>
        <v>1007</v>
      </c>
      <c r="F26" s="122">
        <v>51138</v>
      </c>
      <c r="G26" s="60">
        <f t="shared" si="2"/>
        <v>140</v>
      </c>
      <c r="H26" s="122">
        <v>94846</v>
      </c>
      <c r="I26" s="60">
        <f t="shared" si="3"/>
        <v>24</v>
      </c>
      <c r="J26" s="123">
        <v>183265</v>
      </c>
      <c r="K26" s="62">
        <f t="shared" si="4"/>
        <v>35</v>
      </c>
      <c r="L26" s="124">
        <v>104654</v>
      </c>
      <c r="M26" s="60">
        <f t="shared" si="5"/>
        <v>63</v>
      </c>
      <c r="N26" s="122">
        <v>634220</v>
      </c>
      <c r="O26" s="62">
        <f t="shared" si="6"/>
        <v>88</v>
      </c>
      <c r="P26" s="122">
        <v>166213</v>
      </c>
      <c r="Q26" s="60">
        <f t="shared" si="7"/>
        <v>31</v>
      </c>
      <c r="R26" s="122">
        <v>947507</v>
      </c>
      <c r="S26" s="62">
        <f t="shared" si="8"/>
        <v>215</v>
      </c>
      <c r="T26" s="122">
        <v>77264</v>
      </c>
      <c r="U26" s="60">
        <f t="shared" si="9"/>
        <v>39</v>
      </c>
      <c r="V26" s="122">
        <v>302530</v>
      </c>
      <c r="W26" s="62">
        <f t="shared" si="10"/>
        <v>51</v>
      </c>
      <c r="X26" s="105">
        <v>28453</v>
      </c>
      <c r="Y26" s="60">
        <f t="shared" si="11"/>
        <v>0</v>
      </c>
      <c r="Z26" s="105">
        <v>714780</v>
      </c>
      <c r="AA26" s="62">
        <f t="shared" si="12"/>
        <v>0</v>
      </c>
      <c r="AB26" s="70">
        <v>1410</v>
      </c>
      <c r="AC26" s="60">
        <f t="shared" si="13"/>
        <v>0</v>
      </c>
      <c r="AD26" s="66">
        <f t="shared" si="14"/>
        <v>1947</v>
      </c>
      <c r="AE26" s="18">
        <v>0</v>
      </c>
      <c r="AF26" s="53">
        <f t="shared" si="15"/>
        <v>0</v>
      </c>
    </row>
    <row r="27" spans="1:38">
      <c r="A27" s="52">
        <v>44616</v>
      </c>
      <c r="B27" s="122">
        <v>1552766</v>
      </c>
      <c r="C27" s="62">
        <f t="shared" si="0"/>
        <v>210</v>
      </c>
      <c r="D27" s="122">
        <v>33500080</v>
      </c>
      <c r="E27" s="60">
        <f t="shared" si="1"/>
        <v>1010</v>
      </c>
      <c r="F27" s="122">
        <v>51273</v>
      </c>
      <c r="G27" s="60">
        <f t="shared" si="2"/>
        <v>135</v>
      </c>
      <c r="H27" s="122">
        <v>94864</v>
      </c>
      <c r="I27" s="60">
        <f t="shared" si="3"/>
        <v>18</v>
      </c>
      <c r="J27" s="123">
        <v>183291</v>
      </c>
      <c r="K27" s="62">
        <f t="shared" si="4"/>
        <v>26</v>
      </c>
      <c r="L27" s="124">
        <v>104720</v>
      </c>
      <c r="M27" s="60">
        <f t="shared" si="5"/>
        <v>66</v>
      </c>
      <c r="N27" s="122">
        <v>634251</v>
      </c>
      <c r="O27" s="62">
        <f t="shared" si="6"/>
        <v>31</v>
      </c>
      <c r="P27" s="122">
        <v>166247</v>
      </c>
      <c r="Q27" s="60">
        <f t="shared" si="7"/>
        <v>34</v>
      </c>
      <c r="R27" s="122">
        <v>947694</v>
      </c>
      <c r="S27" s="62">
        <f t="shared" si="8"/>
        <v>187</v>
      </c>
      <c r="T27" s="122">
        <v>77293</v>
      </c>
      <c r="U27" s="60">
        <f t="shared" si="9"/>
        <v>29</v>
      </c>
      <c r="V27" s="122">
        <v>302577</v>
      </c>
      <c r="W27" s="62">
        <f t="shared" si="10"/>
        <v>47</v>
      </c>
      <c r="X27" s="105">
        <v>28453</v>
      </c>
      <c r="Y27" s="60">
        <f t="shared" si="11"/>
        <v>0</v>
      </c>
      <c r="Z27" s="105">
        <v>714780</v>
      </c>
      <c r="AA27" s="62">
        <f t="shared" si="12"/>
        <v>0</v>
      </c>
      <c r="AB27" s="70">
        <v>1410</v>
      </c>
      <c r="AC27" s="60">
        <f t="shared" si="13"/>
        <v>0</v>
      </c>
      <c r="AD27" s="66">
        <f t="shared" si="14"/>
        <v>1793</v>
      </c>
      <c r="AE27" s="18">
        <v>0</v>
      </c>
      <c r="AF27" s="53">
        <f t="shared" si="15"/>
        <v>0</v>
      </c>
    </row>
    <row r="28" spans="1:38">
      <c r="A28" s="52">
        <v>44617</v>
      </c>
      <c r="B28" s="122">
        <v>1553002</v>
      </c>
      <c r="C28" s="62">
        <f t="shared" si="0"/>
        <v>236</v>
      </c>
      <c r="D28" s="122">
        <v>33501190</v>
      </c>
      <c r="E28" s="60">
        <f t="shared" si="1"/>
        <v>1110</v>
      </c>
      <c r="F28" s="122">
        <v>51433</v>
      </c>
      <c r="G28" s="60">
        <f t="shared" si="2"/>
        <v>160</v>
      </c>
      <c r="H28" s="122">
        <v>94892</v>
      </c>
      <c r="I28" s="60">
        <f t="shared" si="3"/>
        <v>28</v>
      </c>
      <c r="J28" s="123">
        <v>183315</v>
      </c>
      <c r="K28" s="62">
        <f t="shared" si="4"/>
        <v>24</v>
      </c>
      <c r="L28" s="124">
        <v>104779</v>
      </c>
      <c r="M28" s="60">
        <f t="shared" si="5"/>
        <v>59</v>
      </c>
      <c r="N28" s="122">
        <v>634458</v>
      </c>
      <c r="O28" s="62">
        <f t="shared" si="6"/>
        <v>207</v>
      </c>
      <c r="P28" s="122">
        <v>166280</v>
      </c>
      <c r="Q28" s="60">
        <f t="shared" si="7"/>
        <v>33</v>
      </c>
      <c r="R28" s="122">
        <v>947907</v>
      </c>
      <c r="S28" s="62">
        <f t="shared" si="8"/>
        <v>213</v>
      </c>
      <c r="T28" s="122">
        <v>77311</v>
      </c>
      <c r="U28" s="60">
        <f t="shared" si="9"/>
        <v>18</v>
      </c>
      <c r="V28" s="122">
        <v>302631</v>
      </c>
      <c r="W28" s="62">
        <f t="shared" si="10"/>
        <v>54</v>
      </c>
      <c r="X28" s="105">
        <v>28453</v>
      </c>
      <c r="Y28" s="60">
        <f t="shared" si="11"/>
        <v>0</v>
      </c>
      <c r="Z28" s="105">
        <v>714780</v>
      </c>
      <c r="AA28" s="62">
        <f t="shared" si="12"/>
        <v>0</v>
      </c>
      <c r="AB28" s="70">
        <v>1410</v>
      </c>
      <c r="AC28" s="60">
        <f t="shared" si="13"/>
        <v>0</v>
      </c>
      <c r="AD28" s="66">
        <f t="shared" si="14"/>
        <v>2142</v>
      </c>
      <c r="AE28" s="18">
        <v>0</v>
      </c>
      <c r="AF28" s="53">
        <f t="shared" si="15"/>
        <v>0</v>
      </c>
    </row>
    <row r="29" spans="1:38">
      <c r="A29" s="52">
        <v>44618</v>
      </c>
      <c r="B29" s="122">
        <v>1553233</v>
      </c>
      <c r="C29" s="62">
        <f t="shared" si="0"/>
        <v>231</v>
      </c>
      <c r="D29" s="122">
        <v>33502324</v>
      </c>
      <c r="E29" s="60">
        <f t="shared" si="1"/>
        <v>1134</v>
      </c>
      <c r="F29" s="122">
        <v>51605</v>
      </c>
      <c r="G29" s="60">
        <f t="shared" si="2"/>
        <v>172</v>
      </c>
      <c r="H29" s="122">
        <v>94921</v>
      </c>
      <c r="I29" s="60">
        <f t="shared" si="3"/>
        <v>29</v>
      </c>
      <c r="J29" s="123">
        <v>183340</v>
      </c>
      <c r="K29" s="62">
        <f t="shared" si="4"/>
        <v>25</v>
      </c>
      <c r="L29" s="124">
        <v>104839</v>
      </c>
      <c r="M29" s="60">
        <f t="shared" si="5"/>
        <v>60</v>
      </c>
      <c r="N29" s="122">
        <v>634516</v>
      </c>
      <c r="O29" s="62">
        <f t="shared" si="6"/>
        <v>58</v>
      </c>
      <c r="P29" s="122">
        <v>166312</v>
      </c>
      <c r="Q29" s="60">
        <f t="shared" si="7"/>
        <v>32</v>
      </c>
      <c r="R29" s="122">
        <v>948134</v>
      </c>
      <c r="S29" s="62">
        <f t="shared" si="8"/>
        <v>227</v>
      </c>
      <c r="T29" s="122">
        <v>77343</v>
      </c>
      <c r="U29" s="60">
        <f t="shared" si="9"/>
        <v>32</v>
      </c>
      <c r="V29" s="122">
        <v>302684</v>
      </c>
      <c r="W29" s="62">
        <f t="shared" si="10"/>
        <v>53</v>
      </c>
      <c r="X29" s="105">
        <v>28453</v>
      </c>
      <c r="Y29" s="60">
        <f t="shared" si="11"/>
        <v>0</v>
      </c>
      <c r="Z29" s="105">
        <v>714780</v>
      </c>
      <c r="AA29" s="62">
        <f t="shared" si="12"/>
        <v>0</v>
      </c>
      <c r="AB29" s="70">
        <v>1410</v>
      </c>
      <c r="AC29" s="60">
        <f t="shared" si="13"/>
        <v>0</v>
      </c>
      <c r="AD29" s="66">
        <f t="shared" si="14"/>
        <v>2053</v>
      </c>
      <c r="AE29" s="18">
        <v>0</v>
      </c>
      <c r="AF29" s="53">
        <f t="shared" si="15"/>
        <v>0</v>
      </c>
      <c r="AL29" t="s">
        <v>72</v>
      </c>
    </row>
    <row r="30" spans="1:38">
      <c r="A30" s="52">
        <v>44619</v>
      </c>
      <c r="B30" s="122">
        <v>1553464</v>
      </c>
      <c r="C30" s="62">
        <f t="shared" si="0"/>
        <v>231</v>
      </c>
      <c r="D30" s="122">
        <v>33503308</v>
      </c>
      <c r="E30" s="60">
        <f t="shared" si="1"/>
        <v>984</v>
      </c>
      <c r="F30" s="122">
        <v>51768</v>
      </c>
      <c r="G30" s="60">
        <f t="shared" si="2"/>
        <v>163</v>
      </c>
      <c r="H30" s="122">
        <v>94949</v>
      </c>
      <c r="I30" s="60">
        <f t="shared" si="3"/>
        <v>28</v>
      </c>
      <c r="J30" s="123">
        <v>183340</v>
      </c>
      <c r="K30" s="62">
        <f t="shared" si="4"/>
        <v>0</v>
      </c>
      <c r="L30" s="124">
        <v>104903</v>
      </c>
      <c r="M30" s="60">
        <f t="shared" si="5"/>
        <v>64</v>
      </c>
      <c r="N30" s="122">
        <v>634615</v>
      </c>
      <c r="O30" s="62">
        <f t="shared" si="6"/>
        <v>99</v>
      </c>
      <c r="P30" s="122">
        <v>166342</v>
      </c>
      <c r="Q30" s="60">
        <f t="shared" si="7"/>
        <v>30</v>
      </c>
      <c r="R30" s="122">
        <v>948356</v>
      </c>
      <c r="S30" s="62">
        <f t="shared" si="8"/>
        <v>222</v>
      </c>
      <c r="T30" s="122">
        <v>77366</v>
      </c>
      <c r="U30" s="60">
        <f t="shared" si="9"/>
        <v>23</v>
      </c>
      <c r="V30" s="122">
        <v>302738</v>
      </c>
      <c r="W30" s="62">
        <f t="shared" si="10"/>
        <v>54</v>
      </c>
      <c r="X30" s="105">
        <v>28453</v>
      </c>
      <c r="Y30" s="60">
        <f t="shared" si="11"/>
        <v>0</v>
      </c>
      <c r="Z30" s="105">
        <v>714780</v>
      </c>
      <c r="AA30" s="62">
        <f t="shared" si="12"/>
        <v>0</v>
      </c>
      <c r="AB30" s="70">
        <v>1410</v>
      </c>
      <c r="AC30" s="60">
        <f t="shared" si="13"/>
        <v>0</v>
      </c>
      <c r="AD30" s="66">
        <f t="shared" si="14"/>
        <v>1898</v>
      </c>
      <c r="AE30" s="18">
        <v>0</v>
      </c>
      <c r="AF30" s="53">
        <f t="shared" si="15"/>
        <v>0</v>
      </c>
    </row>
    <row r="31" spans="1:38">
      <c r="A31" s="52">
        <v>44620</v>
      </c>
      <c r="B31" s="122">
        <v>1553692</v>
      </c>
      <c r="C31" s="62">
        <f t="shared" si="0"/>
        <v>228</v>
      </c>
      <c r="D31" s="122">
        <v>33504269</v>
      </c>
      <c r="E31" s="60">
        <f t="shared" si="1"/>
        <v>961</v>
      </c>
      <c r="F31" s="122">
        <v>51929</v>
      </c>
      <c r="G31" s="60">
        <f t="shared" si="2"/>
        <v>161</v>
      </c>
      <c r="H31" s="122">
        <v>94977</v>
      </c>
      <c r="I31" s="60">
        <f t="shared" si="3"/>
        <v>28</v>
      </c>
      <c r="J31" s="123">
        <v>183341</v>
      </c>
      <c r="K31" s="62">
        <f t="shared" si="4"/>
        <v>1</v>
      </c>
      <c r="L31" s="124">
        <v>104958</v>
      </c>
      <c r="M31" s="60">
        <f t="shared" si="5"/>
        <v>55</v>
      </c>
      <c r="N31" s="122">
        <v>634747</v>
      </c>
      <c r="O31" s="62">
        <f t="shared" si="6"/>
        <v>132</v>
      </c>
      <c r="P31" s="122">
        <v>166369</v>
      </c>
      <c r="Q31" s="60">
        <f t="shared" si="7"/>
        <v>27</v>
      </c>
      <c r="R31" s="122">
        <v>948565</v>
      </c>
      <c r="S31" s="62">
        <f t="shared" si="8"/>
        <v>209</v>
      </c>
      <c r="T31" s="122">
        <v>77395</v>
      </c>
      <c r="U31" s="60">
        <f t="shared" si="9"/>
        <v>29</v>
      </c>
      <c r="V31" s="122">
        <v>302788</v>
      </c>
      <c r="W31" s="62">
        <f t="shared" si="10"/>
        <v>50</v>
      </c>
      <c r="X31" s="105">
        <v>28453</v>
      </c>
      <c r="Y31" s="60">
        <f t="shared" si="11"/>
        <v>0</v>
      </c>
      <c r="Z31" s="105">
        <v>714780</v>
      </c>
      <c r="AA31" s="62">
        <f t="shared" si="12"/>
        <v>0</v>
      </c>
      <c r="AB31" s="70">
        <v>1410</v>
      </c>
      <c r="AC31" s="60">
        <f t="shared" si="13"/>
        <v>0</v>
      </c>
      <c r="AD31" s="66">
        <f>AC31+AA31+Y31+W31+U31+S31+Q31+O31+M31+K31+I31+G31+E31+C31</f>
        <v>1881</v>
      </c>
      <c r="AE31" s="18">
        <v>0</v>
      </c>
      <c r="AF31" s="53">
        <f t="shared" si="15"/>
        <v>0</v>
      </c>
    </row>
    <row r="32" spans="1:38">
      <c r="C32" s="17"/>
      <c r="E32" s="17"/>
      <c r="G32" s="17"/>
      <c r="I32" s="17"/>
      <c r="K32" s="17"/>
      <c r="M32" s="17"/>
      <c r="O32" s="17"/>
      <c r="Q32" s="17"/>
      <c r="S32" s="17"/>
      <c r="U32" s="17"/>
      <c r="W32" s="17"/>
      <c r="Y32" s="17"/>
      <c r="AA32" s="17"/>
      <c r="AC32" s="17"/>
      <c r="AF32" s="17"/>
    </row>
  </sheetData>
  <mergeCells count="1">
    <mergeCell ref="A1:AF1"/>
  </mergeCells>
  <phoneticPr fontId="0" type="noConversion"/>
  <conditionalFormatting sqref="AD3 AD4:AE31 C3:C31 I3:I31 K3:K31 M3:M31 O3:O31 Q3:Q31 S3:S31 U3:U31 W3:W31 G3:G31 E3:E31 Y3:Y31 AA3:AC31 A2:A31">
    <cfRule type="cellIs" dxfId="0" priority="357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854F8-E8BB-4D41-B5A7-F9BF58E42E7F}"/>
</file>

<file path=customXml/itemProps2.xml><?xml version="1.0" encoding="utf-8"?>
<ds:datastoreItem xmlns:ds="http://schemas.openxmlformats.org/officeDocument/2006/customXml" ds:itemID="{32E01D12-ED81-4A01-B5B8-2A82682A7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2022-03-05T08:56:13Z</dcterms:modified>
  <cp:category/>
  <cp:contentStatus/>
</cp:coreProperties>
</file>