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29" i="7" l="1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<sst xmlns="http://schemas.openxmlformats.org/spreadsheetml/2006/main" count="128" uniqueCount="49">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</sst>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L16" sqref="AL16:AL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5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7"/>
        <v>0</v>
      </c>
      <c r="R10" s="37" t="str">
        <f t="shared" si="18"/>
        <v>0</v>
      </c>
      <c r="S10" s="37" t="str">
        <f t="shared" si="16"/>
        <v>0</v>
      </c>
      <c r="T10" s="37" t="str">
        <f t="shared" si="19"/>
        <v>0</v>
      </c>
      <c r="U10" s="37" t="str">
        <f t="shared" si="20"/>
        <v>0</v>
      </c>
      <c r="V10" s="37" t="str">
        <f t="shared" si="21"/>
        <v>0</v>
      </c>
      <c r="W10" s="37" t="str">
        <f t="shared" si="22"/>
        <v>0</v>
      </c>
      <c r="X10" s="37" t="str">
        <f t="shared" si="23"/>
        <v>0</v>
      </c>
      <c r="Y10" s="37" t="str">
        <f t="shared" si="24"/>
        <v>0</v>
      </c>
      <c r="Z10" s="37" t="str">
        <f t="shared" si="25"/>
        <v>0</v>
      </c>
      <c r="AA10" s="37" t="str">
        <f t="shared" si="26"/>
        <v>0</v>
      </c>
      <c r="AB10" s="37" t="str">
        <f t="shared" si="27"/>
        <v>0</v>
      </c>
      <c r="AC10" s="37" t="str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 t="str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44656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5">
        <f t="shared" si="14"/>
        <v>0</v>
      </c>
    </row>
    <row r="12" spans="1:49" x14ac:dyDescent="0.25">
      <c r="A12" s="23">
        <v>44657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44658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44659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44660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44661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44662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44663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44664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44665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44666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44667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44668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44669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44675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5" si="34">IF((AU30-AU29&lt;0),"0",AU30-AU29)</f>
        <v>0</v>
      </c>
      <c r="AW30" s="35">
        <f t="shared" si="14"/>
        <v>0</v>
      </c>
    </row>
    <row r="31" spans="1:49" x14ac:dyDescent="0.25">
      <c r="A31" s="23">
        <v>44676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1640</v>
      </c>
      <c r="R38" s="38">
        <f t="shared" ref="R38:AD38" si="61">SUM(R7:R37)</f>
        <v>36860</v>
      </c>
      <c r="S38" s="38">
        <f t="shared" si="61"/>
        <v>70</v>
      </c>
      <c r="T38" s="38">
        <f t="shared" si="61"/>
        <v>4450</v>
      </c>
      <c r="U38" s="38">
        <f t="shared" si="61"/>
        <v>14000</v>
      </c>
      <c r="V38" s="38">
        <f t="shared" si="61"/>
        <v>11660</v>
      </c>
      <c r="W38" s="38">
        <f t="shared" si="61"/>
        <v>10830</v>
      </c>
      <c r="X38" s="38">
        <f t="shared" si="61"/>
        <v>12060</v>
      </c>
      <c r="Y38" s="38">
        <f t="shared" si="61"/>
        <v>13940</v>
      </c>
      <c r="Z38" s="38">
        <f t="shared" si="61"/>
        <v>7160</v>
      </c>
      <c r="AA38" s="38">
        <f t="shared" si="61"/>
        <v>9040</v>
      </c>
      <c r="AB38" s="38">
        <f t="shared" si="61"/>
        <v>20320</v>
      </c>
      <c r="AC38" s="38">
        <f t="shared" si="61"/>
        <v>35560</v>
      </c>
      <c r="AD38" s="38">
        <f t="shared" si="61"/>
        <v>177590</v>
      </c>
      <c r="AF38" s="35">
        <f>SUM(AF7:AF37)</f>
        <v>8.1999999999999993</v>
      </c>
      <c r="AG38" s="35">
        <f t="shared" ref="AG38:AS38" si="62">SUM(AG7:AG37)</f>
        <v>184.3</v>
      </c>
      <c r="AH38" s="35">
        <f t="shared" si="62"/>
        <v>0.35</v>
      </c>
      <c r="AI38" s="35">
        <f t="shared" si="62"/>
        <v>22.25</v>
      </c>
      <c r="AJ38" s="35">
        <f t="shared" si="62"/>
        <v>70</v>
      </c>
      <c r="AK38" s="35">
        <f t="shared" si="62"/>
        <v>58.3</v>
      </c>
      <c r="AL38" s="35">
        <f t="shared" si="62"/>
        <v>54.150000000000006</v>
      </c>
      <c r="AM38" s="35">
        <f t="shared" si="62"/>
        <v>60.3</v>
      </c>
      <c r="AN38" s="35">
        <f t="shared" si="62"/>
        <v>69.7</v>
      </c>
      <c r="AO38" s="35">
        <f t="shared" si="62"/>
        <v>35.800000000000004</v>
      </c>
      <c r="AP38" s="35">
        <f t="shared" si="62"/>
        <v>45.2</v>
      </c>
      <c r="AQ38" s="35">
        <f t="shared" si="62"/>
        <v>101.6</v>
      </c>
      <c r="AR38" s="35">
        <f t="shared" si="62"/>
        <v>177.8</v>
      </c>
      <c r="AS38" s="35">
        <f t="shared" si="62"/>
        <v>887.95</v>
      </c>
      <c r="AU38" s="48"/>
      <c r="AV38" s="34">
        <f>SUM(AV7:AV37)</f>
        <v>4655</v>
      </c>
      <c r="AW38" s="35">
        <f>SUM(AW7:AW37)</f>
        <v>9.31</v>
      </c>
    </row>
    <row r="39" spans="1:49" x14ac:dyDescent="0.25">
      <c r="D39">
        <v>5.0000000000000001E-3</v>
      </c>
      <c r="AV39" s="36">
        <f>AV38*0.00378541*1000</f>
        <v>17621.083549999999</v>
      </c>
    </row>
    <row r="40" spans="1:49" x14ac:dyDescent="0.25">
      <c r="D40">
        <v>2E-3</v>
      </c>
      <c r="AV40">
        <f>AV39/31</f>
        <v>568.42205000000001</v>
      </c>
    </row>
    <row r="41" spans="1:49" x14ac:dyDescent="0.25">
      <c r="AV41">
        <f>AV38*0.00378541</f>
        <v>17.621083549999998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2022-04-04T06:56:46Z</dcterms:modified>
</cp:coreProperties>
</file>