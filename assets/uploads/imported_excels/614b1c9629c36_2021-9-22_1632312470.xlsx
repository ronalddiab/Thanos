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0 FS Tokyo at Otemachi_HEP_Daily\"/>
    </mc:Choice>
  </mc:AlternateContent>
  <xr:revisionPtr revIDLastSave="0" documentId="13_ncr:1_{DE9BC5FA-5158-4CC9-BAA9-05BDD008CD4D}" xr6:coauthVersionLast="36" xr6:coauthVersionMax="36" xr10:uidLastSave="{00000000-0000-0000-0000-000000000000}"/>
  <bookViews>
    <workbookView xWindow="0" yWindow="0" windowWidth="28800" windowHeight="12225" tabRatio="620" xr2:uid="{00000000-000D-0000-FFFF-FFFF00000000}"/>
  </bookViews>
  <sheets>
    <sheet name="TOTAL" sheetId="117" r:id="rId1"/>
    <sheet name="Otemachi Daily" sheetId="119" r:id="rId2"/>
  </sheets>
  <calcPr calcId="191029"/>
</workbook>
</file>

<file path=xl/calcChain.xml><?xml version="1.0" encoding="utf-8"?>
<calcChain xmlns="http://schemas.openxmlformats.org/spreadsheetml/2006/main"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<sst xmlns="http://schemas.openxmlformats.org/spreadsheetml/2006/main" count="66" uniqueCount="32">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</sst>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F2" sqref="F2:F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12</v>
      </c>
      <c r="D2" s="7">
        <v>2020</v>
      </c>
      <c r="E2" s="9">
        <f>'Otemachi Daily'!D5</f>
        <v>14068</v>
      </c>
      <c r="F2" s="35">
        <v>21.45</v>
      </c>
      <c r="G2" s="9">
        <f>'Otemachi Daily'!F5</f>
        <v>200.5</v>
      </c>
      <c r="H2" s="35">
        <v>71.197192134268477</v>
      </c>
      <c r="I2" s="9">
        <f>'Otemachi Daily'!H5</f>
        <v>3530.8379999999997</v>
      </c>
      <c r="J2" s="35">
        <v>10.79</v>
      </c>
      <c r="K2" s="9">
        <f>'Otemachi Daily'!J5</f>
        <v>23391.593399999998</v>
      </c>
      <c r="L2" s="35">
        <v>7.22</v>
      </c>
      <c r="M2" s="9">
        <f>'Otemachi Daily'!L5</f>
        <v>204</v>
      </c>
      <c r="N2" s="35">
        <v>741</v>
      </c>
      <c r="O2" s="9">
        <f>'Otemachi Daily'!M5</f>
        <v>49</v>
      </c>
      <c r="P2" s="9">
        <f>'Otemachi Daily'!N5</f>
        <v>88</v>
      </c>
    </row>
    <row r="3" spans="1:16" ht="15">
      <c r="A3" s="6" t="s">
        <v>24</v>
      </c>
      <c r="B3" s="7">
        <f>B2+1</f>
        <v>2</v>
      </c>
      <c r="C3" s="8">
        <v>12</v>
      </c>
      <c r="D3" s="7">
        <v>2020</v>
      </c>
      <c r="E3" s="9">
        <f>'Otemachi Daily'!D6</f>
        <v>13939</v>
      </c>
      <c r="F3" s="35">
        <v>21.45</v>
      </c>
      <c r="G3" s="9">
        <f>'Otemachi Daily'!F6</f>
        <v>194</v>
      </c>
      <c r="H3" s="35">
        <v>71.197192134268477</v>
      </c>
      <c r="I3" s="9">
        <f>'Otemachi Daily'!H6</f>
        <v>2407.9703999999997</v>
      </c>
      <c r="J3" s="35">
        <v>10.79</v>
      </c>
      <c r="K3" s="9">
        <f>'Otemachi Daily'!J6</f>
        <v>26682.134399999999</v>
      </c>
      <c r="L3" s="35">
        <v>7.22</v>
      </c>
      <c r="M3" s="9">
        <f>'Otemachi Daily'!L6</f>
        <v>173</v>
      </c>
      <c r="N3" s="35">
        <v>741</v>
      </c>
      <c r="O3" s="9">
        <f>'Otemachi Daily'!M6</f>
        <v>55</v>
      </c>
      <c r="P3" s="9">
        <f>'Otemachi Daily'!N6</f>
        <v>98</v>
      </c>
    </row>
    <row r="4" spans="1:16" ht="15">
      <c r="A4" s="6" t="s">
        <v>24</v>
      </c>
      <c r="B4" s="7">
        <f t="shared" ref="B4:B32" si="0">B3+1</f>
        <v>3</v>
      </c>
      <c r="C4" s="8">
        <v>12</v>
      </c>
      <c r="D4" s="7">
        <v>2020</v>
      </c>
      <c r="E4" s="9">
        <f>'Otemachi Daily'!D7</f>
        <v>13965</v>
      </c>
      <c r="F4" s="35">
        <v>21.45</v>
      </c>
      <c r="G4" s="9">
        <f>'Otemachi Daily'!F7</f>
        <v>209</v>
      </c>
      <c r="H4" s="35">
        <v>71.197192134268477</v>
      </c>
      <c r="I4" s="9">
        <f>'Otemachi Daily'!H7</f>
        <v>2179.0632000000001</v>
      </c>
      <c r="J4" s="35">
        <v>10.79</v>
      </c>
      <c r="K4" s="9">
        <f>'Otemachi Daily'!J7</f>
        <v>24602.5236</v>
      </c>
      <c r="L4" s="35">
        <v>7.22</v>
      </c>
      <c r="M4" s="9">
        <f>'Otemachi Daily'!L7</f>
        <v>185</v>
      </c>
      <c r="N4" s="35">
        <v>741</v>
      </c>
      <c r="O4" s="9">
        <f>'Otemachi Daily'!M7</f>
        <v>54</v>
      </c>
      <c r="P4" s="9">
        <f>'Otemachi Daily'!N7</f>
        <v>89</v>
      </c>
    </row>
    <row r="5" spans="1:16" ht="15">
      <c r="A5" s="6" t="s">
        <v>24</v>
      </c>
      <c r="B5" s="7">
        <f t="shared" si="0"/>
        <v>4</v>
      </c>
      <c r="C5" s="8">
        <v>12</v>
      </c>
      <c r="D5" s="7">
        <v>2020</v>
      </c>
      <c r="E5" s="9">
        <f>'Otemachi Daily'!D8</f>
        <v>14633</v>
      </c>
      <c r="F5" s="35">
        <v>21.45</v>
      </c>
      <c r="G5" s="9">
        <f>'Otemachi Daily'!F8</f>
        <v>214.6</v>
      </c>
      <c r="H5" s="35">
        <v>71.197192134268477</v>
      </c>
      <c r="I5" s="9">
        <f>'Otemachi Daily'!H8</f>
        <v>3067.4675999999999</v>
      </c>
      <c r="J5" s="35">
        <v>10.79</v>
      </c>
      <c r="K5" s="9">
        <f>'Otemachi Daily'!J8</f>
        <v>27542.2032</v>
      </c>
      <c r="L5" s="35">
        <v>7.22</v>
      </c>
      <c r="M5" s="9">
        <f>'Otemachi Daily'!L8</f>
        <v>231</v>
      </c>
      <c r="N5" s="35">
        <v>741</v>
      </c>
      <c r="O5" s="9">
        <f>'Otemachi Daily'!M8</f>
        <v>114</v>
      </c>
      <c r="P5" s="9">
        <f>'Otemachi Daily'!N8</f>
        <v>223</v>
      </c>
    </row>
    <row r="6" spans="1:16" ht="15">
      <c r="A6" s="6" t="s">
        <v>24</v>
      </c>
      <c r="B6" s="7">
        <f t="shared" si="0"/>
        <v>5</v>
      </c>
      <c r="C6" s="8">
        <v>12</v>
      </c>
      <c r="D6" s="7">
        <v>2020</v>
      </c>
      <c r="E6" s="9">
        <f>'Otemachi Daily'!D9</f>
        <v>14856</v>
      </c>
      <c r="F6" s="35">
        <v>21.45</v>
      </c>
      <c r="G6" s="9">
        <f>'Otemachi Daily'!F9</f>
        <v>217.2</v>
      </c>
      <c r="H6" s="35">
        <v>71.197192134268477</v>
      </c>
      <c r="I6" s="9">
        <f>'Otemachi Daily'!H9</f>
        <v>1990.1591999999998</v>
      </c>
      <c r="J6" s="35">
        <v>10.79</v>
      </c>
      <c r="K6" s="9">
        <f>'Otemachi Daily'!J9</f>
        <v>30913.306199999999</v>
      </c>
      <c r="L6" s="35">
        <v>7.22</v>
      </c>
      <c r="M6" s="9">
        <f>'Otemachi Daily'!L9</f>
        <v>216</v>
      </c>
      <c r="N6" s="35">
        <v>741</v>
      </c>
      <c r="O6" s="9">
        <f>'Otemachi Daily'!M9</f>
        <v>105</v>
      </c>
      <c r="P6" s="9">
        <f>'Otemachi Daily'!N9</f>
        <v>231</v>
      </c>
    </row>
    <row r="7" spans="1:16" ht="15">
      <c r="A7" s="6" t="s">
        <v>24</v>
      </c>
      <c r="B7" s="7">
        <f t="shared" si="0"/>
        <v>6</v>
      </c>
      <c r="C7" s="8">
        <v>12</v>
      </c>
      <c r="D7" s="7">
        <v>2020</v>
      </c>
      <c r="E7" s="9">
        <f>'Otemachi Daily'!D10</f>
        <v>14442</v>
      </c>
      <c r="F7" s="35">
        <v>21.45</v>
      </c>
      <c r="G7" s="9">
        <f>'Otemachi Daily'!F10</f>
        <v>195</v>
      </c>
      <c r="H7" s="35">
        <v>71.197192134268477</v>
      </c>
      <c r="I7" s="9">
        <f>'Otemachi Daily'!H10</f>
        <v>3157.4748</v>
      </c>
      <c r="J7" s="35">
        <v>10.79</v>
      </c>
      <c r="K7" s="9">
        <f>'Otemachi Daily'!J10</f>
        <v>27189.1194</v>
      </c>
      <c r="L7" s="35">
        <v>7.22</v>
      </c>
      <c r="M7" s="9">
        <f>'Otemachi Daily'!L10</f>
        <v>220</v>
      </c>
      <c r="N7" s="35">
        <v>741</v>
      </c>
      <c r="O7" s="9">
        <f>'Otemachi Daily'!M10</f>
        <v>96</v>
      </c>
      <c r="P7" s="9">
        <f>'Otemachi Daily'!N10</f>
        <v>199</v>
      </c>
    </row>
    <row r="8" spans="1:16" ht="15">
      <c r="A8" s="6" t="s">
        <v>24</v>
      </c>
      <c r="B8" s="7">
        <f t="shared" si="0"/>
        <v>7</v>
      </c>
      <c r="C8" s="8">
        <v>12</v>
      </c>
      <c r="D8" s="7">
        <v>2020</v>
      </c>
      <c r="E8" s="9">
        <f>'Otemachi Daily'!D11</f>
        <v>14000</v>
      </c>
      <c r="F8" s="35">
        <v>21.45</v>
      </c>
      <c r="G8" s="9">
        <f>'Otemachi Daily'!F11</f>
        <v>201</v>
      </c>
      <c r="H8" s="35">
        <v>71.197192134268477</v>
      </c>
      <c r="I8" s="9">
        <f>'Otemachi Daily'!H11</f>
        <v>3684.1835999999998</v>
      </c>
      <c r="J8" s="35">
        <v>10.79</v>
      </c>
      <c r="K8" s="9">
        <f>'Otemachi Daily'!J11</f>
        <v>22299.005999999998</v>
      </c>
      <c r="L8" s="35">
        <v>7.22</v>
      </c>
      <c r="M8" s="9">
        <f>'Otemachi Daily'!L11</f>
        <v>199</v>
      </c>
      <c r="N8" s="35">
        <v>741</v>
      </c>
      <c r="O8" s="9">
        <f>'Otemachi Daily'!M11</f>
        <v>60</v>
      </c>
      <c r="P8" s="9">
        <f>'Otemachi Daily'!N11</f>
        <v>113</v>
      </c>
    </row>
    <row r="9" spans="1:16" ht="15">
      <c r="A9" s="6" t="s">
        <v>24</v>
      </c>
      <c r="B9" s="7">
        <f t="shared" si="0"/>
        <v>8</v>
      </c>
      <c r="C9" s="8">
        <v>12</v>
      </c>
      <c r="D9" s="7">
        <v>2020</v>
      </c>
      <c r="E9" s="9">
        <f>'Otemachi Daily'!D12</f>
        <v>13493</v>
      </c>
      <c r="F9" s="35">
        <v>21.45</v>
      </c>
      <c r="G9" s="9">
        <f>'Otemachi Daily'!F12</f>
        <v>203</v>
      </c>
      <c r="H9" s="35">
        <v>71.197192134268477</v>
      </c>
      <c r="I9" s="9">
        <f>'Otemachi Daily'!H12</f>
        <v>3295.2635999999998</v>
      </c>
      <c r="J9" s="35">
        <v>10.79</v>
      </c>
      <c r="K9" s="9">
        <f>'Otemachi Daily'!J12</f>
        <v>18825.394799999998</v>
      </c>
      <c r="L9" s="35">
        <v>7.22</v>
      </c>
      <c r="M9" s="9">
        <f>'Otemachi Daily'!L12</f>
        <v>176</v>
      </c>
      <c r="N9" s="35">
        <v>741</v>
      </c>
      <c r="O9" s="9">
        <f>'Otemachi Daily'!M12</f>
        <v>62</v>
      </c>
      <c r="P9" s="9">
        <f>'Otemachi Daily'!N12</f>
        <v>116</v>
      </c>
    </row>
    <row r="10" spans="1:16" ht="15">
      <c r="A10" s="6" t="s">
        <v>24</v>
      </c>
      <c r="B10" s="7">
        <f t="shared" si="0"/>
        <v>9</v>
      </c>
      <c r="C10" s="8">
        <v>12</v>
      </c>
      <c r="D10" s="7">
        <v>2020</v>
      </c>
      <c r="E10" s="9">
        <f>'Otemachi Daily'!D13</f>
        <v>13575</v>
      </c>
      <c r="F10" s="35">
        <v>21.45</v>
      </c>
      <c r="G10" s="9">
        <f>'Otemachi Daily'!F13</f>
        <v>199</v>
      </c>
      <c r="H10" s="35">
        <v>71.197192134268477</v>
      </c>
      <c r="I10" s="9">
        <f>'Otemachi Daily'!H13</f>
        <v>2599.9301999999998</v>
      </c>
      <c r="J10" s="35">
        <v>10.79</v>
      </c>
      <c r="K10" s="9">
        <f>'Otemachi Daily'!J13</f>
        <v>24510.571799999998</v>
      </c>
      <c r="L10" s="35">
        <v>7.22</v>
      </c>
      <c r="M10" s="9">
        <f>'Otemachi Daily'!L13</f>
        <v>169</v>
      </c>
      <c r="N10" s="35">
        <v>741</v>
      </c>
      <c r="O10" s="9">
        <f>'Otemachi Daily'!M13</f>
        <v>51</v>
      </c>
      <c r="P10" s="9">
        <f>'Otemachi Daily'!N13</f>
        <v>93</v>
      </c>
    </row>
    <row r="11" spans="1:16" ht="15">
      <c r="A11" s="6" t="s">
        <v>24</v>
      </c>
      <c r="B11" s="7">
        <f t="shared" si="0"/>
        <v>10</v>
      </c>
      <c r="C11" s="8">
        <v>12</v>
      </c>
      <c r="D11" s="7">
        <v>2020</v>
      </c>
      <c r="E11" s="9">
        <f>'Otemachi Daily'!D14</f>
        <v>13854</v>
      </c>
      <c r="F11" s="35">
        <v>21.45</v>
      </c>
      <c r="G11" s="9">
        <f>'Otemachi Daily'!F14</f>
        <v>205.3</v>
      </c>
      <c r="H11" s="35">
        <v>71.197192134268477</v>
      </c>
      <c r="I11" s="9">
        <f>'Otemachi Daily'!H14</f>
        <v>2542.9811999999997</v>
      </c>
      <c r="J11" s="35">
        <v>10.79</v>
      </c>
      <c r="K11" s="9">
        <f>'Otemachi Daily'!J14</f>
        <v>23437.430399999997</v>
      </c>
      <c r="L11" s="35">
        <v>7.22</v>
      </c>
      <c r="M11" s="9">
        <f>'Otemachi Daily'!L14</f>
        <v>160</v>
      </c>
      <c r="N11" s="35">
        <v>741</v>
      </c>
      <c r="O11" s="9">
        <f>'Otemachi Daily'!M14</f>
        <v>50</v>
      </c>
      <c r="P11" s="9">
        <f>'Otemachi Daily'!N14</f>
        <v>91</v>
      </c>
    </row>
    <row r="12" spans="1:16" ht="15">
      <c r="A12" s="6" t="s">
        <v>24</v>
      </c>
      <c r="B12" s="7">
        <f t="shared" si="0"/>
        <v>11</v>
      </c>
      <c r="C12" s="8">
        <v>12</v>
      </c>
      <c r="D12" s="7">
        <v>2020</v>
      </c>
      <c r="E12" s="9">
        <f>'Otemachi Daily'!D15</f>
        <v>13677</v>
      </c>
      <c r="F12" s="35">
        <v>21.45</v>
      </c>
      <c r="G12" s="9">
        <f>'Otemachi Daily'!F15</f>
        <v>202</v>
      </c>
      <c r="H12" s="35">
        <v>71.197192134268477</v>
      </c>
      <c r="I12" s="9">
        <f>'Otemachi Daily'!H15</f>
        <v>2886.6197999999999</v>
      </c>
      <c r="J12" s="35">
        <v>10.79</v>
      </c>
      <c r="K12" s="9">
        <f>'Otemachi Daily'!J15</f>
        <v>19881.590400000001</v>
      </c>
      <c r="L12" s="35">
        <v>7.22</v>
      </c>
      <c r="M12" s="9">
        <f>'Otemachi Daily'!L15</f>
        <v>174</v>
      </c>
      <c r="N12" s="35">
        <v>741</v>
      </c>
      <c r="O12" s="9">
        <f>'Otemachi Daily'!M15</f>
        <v>50</v>
      </c>
      <c r="P12" s="9">
        <f>'Otemachi Daily'!N15</f>
        <v>91</v>
      </c>
    </row>
    <row r="13" spans="1:16" ht="15">
      <c r="A13" s="6" t="s">
        <v>24</v>
      </c>
      <c r="B13" s="7">
        <f t="shared" si="0"/>
        <v>12</v>
      </c>
      <c r="C13" s="8">
        <v>12</v>
      </c>
      <c r="D13" s="7">
        <v>2020</v>
      </c>
      <c r="E13" s="9">
        <f>'Otemachi Daily'!D16</f>
        <v>14162</v>
      </c>
      <c r="F13" s="35">
        <v>21.45</v>
      </c>
      <c r="G13" s="9">
        <f>'Otemachi Daily'!F16</f>
        <v>215.3</v>
      </c>
      <c r="H13" s="35">
        <v>71.197192134268477</v>
      </c>
      <c r="I13" s="9">
        <f>'Otemachi Daily'!H16</f>
        <v>3388.6043999999997</v>
      </c>
      <c r="J13" s="35">
        <v>10.79</v>
      </c>
      <c r="K13" s="9">
        <f>'Otemachi Daily'!J16</f>
        <v>20228.840400000001</v>
      </c>
      <c r="L13" s="35">
        <v>7.22</v>
      </c>
      <c r="M13" s="9">
        <f>'Otemachi Daily'!L16</f>
        <v>206</v>
      </c>
      <c r="N13" s="35">
        <v>741</v>
      </c>
      <c r="O13" s="9">
        <f>'Otemachi Daily'!M16</f>
        <v>100</v>
      </c>
      <c r="P13" s="9">
        <f>'Otemachi Daily'!N16</f>
        <v>198</v>
      </c>
    </row>
    <row r="14" spans="1:16" ht="15">
      <c r="A14" s="6" t="s">
        <v>24</v>
      </c>
      <c r="B14" s="7">
        <f t="shared" si="0"/>
        <v>13</v>
      </c>
      <c r="C14" s="8">
        <v>12</v>
      </c>
      <c r="D14" s="7">
        <v>2020</v>
      </c>
      <c r="E14" s="9">
        <f>'Otemachi Daily'!D17</f>
        <v>14221</v>
      </c>
      <c r="F14" s="35">
        <v>21.45</v>
      </c>
      <c r="G14" s="9">
        <f>'Otemachi Daily'!F17</f>
        <v>209</v>
      </c>
      <c r="H14" s="35">
        <v>71.197192134268477</v>
      </c>
      <c r="I14" s="9">
        <f>'Otemachi Daily'!H17</f>
        <v>3586.3979999999997</v>
      </c>
      <c r="J14" s="35">
        <v>10.79</v>
      </c>
      <c r="K14" s="9">
        <f>'Otemachi Daily'!J17</f>
        <v>21830.635200000001</v>
      </c>
      <c r="L14" s="35">
        <v>7.22</v>
      </c>
      <c r="M14" s="9">
        <f>'Otemachi Daily'!L17</f>
        <v>207</v>
      </c>
      <c r="N14" s="35">
        <v>741</v>
      </c>
      <c r="O14" s="9">
        <f>'Otemachi Daily'!M17</f>
        <v>114</v>
      </c>
      <c r="P14" s="9">
        <f>'Otemachi Daily'!N17</f>
        <v>218</v>
      </c>
    </row>
    <row r="15" spans="1:16" ht="15">
      <c r="A15" s="6" t="s">
        <v>24</v>
      </c>
      <c r="B15" s="7">
        <f t="shared" si="0"/>
        <v>14</v>
      </c>
      <c r="C15" s="8">
        <v>12</v>
      </c>
      <c r="D15" s="7">
        <v>2020</v>
      </c>
      <c r="E15" s="9">
        <f>'Otemachi Daily'!D18</f>
        <v>14410</v>
      </c>
      <c r="F15" s="35">
        <v>21.45</v>
      </c>
      <c r="G15" s="9">
        <f>'Otemachi Daily'!F18</f>
        <v>224</v>
      </c>
      <c r="H15" s="35">
        <v>71.197192134268477</v>
      </c>
      <c r="I15" s="9">
        <f>'Otemachi Daily'!H18</f>
        <v>3391.1046000000001</v>
      </c>
      <c r="J15" s="35">
        <v>10.79</v>
      </c>
      <c r="K15" s="9">
        <f>'Otemachi Daily'!J18</f>
        <v>27160.228199999998</v>
      </c>
      <c r="L15" s="35">
        <v>7.22</v>
      </c>
      <c r="M15" s="9">
        <f>'Otemachi Daily'!L18</f>
        <v>205</v>
      </c>
      <c r="N15" s="35">
        <v>741</v>
      </c>
      <c r="O15" s="9">
        <f>'Otemachi Daily'!M18</f>
        <v>81</v>
      </c>
      <c r="P15" s="9">
        <f>'Otemachi Daily'!N18</f>
        <v>100</v>
      </c>
    </row>
    <row r="16" spans="1:16" ht="15">
      <c r="A16" s="6" t="s">
        <v>24</v>
      </c>
      <c r="B16" s="7">
        <f t="shared" si="0"/>
        <v>15</v>
      </c>
      <c r="C16" s="8">
        <v>12</v>
      </c>
      <c r="D16" s="7">
        <v>2020</v>
      </c>
      <c r="E16" s="9">
        <f>'Otemachi Daily'!D19</f>
        <v>14808</v>
      </c>
      <c r="F16" s="35">
        <v>21.45</v>
      </c>
      <c r="G16" s="9">
        <f>'Otemachi Daily'!F19</f>
        <v>214</v>
      </c>
      <c r="H16" s="35">
        <v>71.197192134268477</v>
      </c>
      <c r="I16" s="9">
        <f>'Otemachi Daily'!H19</f>
        <v>2663.2685999999999</v>
      </c>
      <c r="J16" s="35">
        <v>10.79</v>
      </c>
      <c r="K16" s="9">
        <f>'Otemachi Daily'!J19</f>
        <v>31714.203600000001</v>
      </c>
      <c r="L16" s="35">
        <v>7.22</v>
      </c>
      <c r="M16" s="9">
        <f>'Otemachi Daily'!L19</f>
        <v>204</v>
      </c>
      <c r="N16" s="35">
        <v>741</v>
      </c>
      <c r="O16" s="9">
        <f>'Otemachi Daily'!M19</f>
        <v>78</v>
      </c>
      <c r="P16" s="9">
        <f>'Otemachi Daily'!N19</f>
        <v>146</v>
      </c>
    </row>
    <row r="17" spans="1:16" ht="15">
      <c r="A17" s="6" t="s">
        <v>24</v>
      </c>
      <c r="B17" s="7">
        <f t="shared" si="0"/>
        <v>16</v>
      </c>
      <c r="C17" s="8">
        <v>12</v>
      </c>
      <c r="D17" s="7">
        <v>2020</v>
      </c>
      <c r="E17" s="9">
        <f>'Otemachi Daily'!D20</f>
        <v>14508</v>
      </c>
      <c r="F17" s="35">
        <v>21.45</v>
      </c>
      <c r="G17" s="9">
        <f>'Otemachi Daily'!F20</f>
        <v>211.3</v>
      </c>
      <c r="H17" s="35">
        <v>71.197192134268477</v>
      </c>
      <c r="I17" s="9">
        <f>'Otemachi Daily'!H20</f>
        <v>1630.9638</v>
      </c>
      <c r="J17" s="35">
        <v>10.79</v>
      </c>
      <c r="K17" s="9">
        <f>'Otemachi Daily'!J20</f>
        <v>37755.242399999996</v>
      </c>
      <c r="L17" s="35">
        <v>7.22</v>
      </c>
      <c r="M17" s="9">
        <f>'Otemachi Daily'!L20</f>
        <v>198</v>
      </c>
      <c r="N17" s="35">
        <v>741</v>
      </c>
      <c r="O17" s="9">
        <f>'Otemachi Daily'!M20</f>
        <v>82</v>
      </c>
      <c r="P17" s="9">
        <f>'Otemachi Daily'!N20</f>
        <v>159</v>
      </c>
    </row>
    <row r="18" spans="1:16" ht="15">
      <c r="A18" s="6" t="s">
        <v>24</v>
      </c>
      <c r="B18" s="7">
        <f t="shared" si="0"/>
        <v>17</v>
      </c>
      <c r="C18" s="8">
        <v>12</v>
      </c>
      <c r="D18" s="7">
        <v>2020</v>
      </c>
      <c r="E18" s="9">
        <f>'Otemachi Daily'!D21</f>
        <v>14677</v>
      </c>
      <c r="F18" s="35">
        <v>21.45</v>
      </c>
      <c r="G18" s="9">
        <f>'Otemachi Daily'!F21</f>
        <v>202.1</v>
      </c>
      <c r="H18" s="35">
        <v>71.197192134268477</v>
      </c>
      <c r="I18" s="9">
        <f>'Otemachi Daily'!H21</f>
        <v>1628.7413999999999</v>
      </c>
      <c r="J18" s="35">
        <v>10.79</v>
      </c>
      <c r="K18" s="9">
        <f>'Otemachi Daily'!J21</f>
        <v>44087.693399999996</v>
      </c>
      <c r="L18" s="35">
        <v>7.22</v>
      </c>
      <c r="M18" s="9">
        <f>'Otemachi Daily'!L21</f>
        <v>227</v>
      </c>
      <c r="N18" s="35">
        <v>741</v>
      </c>
      <c r="O18" s="9">
        <f>'Otemachi Daily'!M21</f>
        <v>74</v>
      </c>
      <c r="P18" s="9">
        <f>'Otemachi Daily'!N21</f>
        <v>114</v>
      </c>
    </row>
    <row r="19" spans="1:16" ht="15">
      <c r="A19" s="6" t="s">
        <v>24</v>
      </c>
      <c r="B19" s="7">
        <f t="shared" si="0"/>
        <v>18</v>
      </c>
      <c r="C19" s="8">
        <v>12</v>
      </c>
      <c r="D19" s="7">
        <v>2020</v>
      </c>
      <c r="E19" s="9">
        <f>'Otemachi Daily'!D22</f>
        <v>14736</v>
      </c>
      <c r="F19" s="35">
        <v>21.45</v>
      </c>
      <c r="G19" s="9">
        <f>'Otemachi Daily'!F22</f>
        <v>226</v>
      </c>
      <c r="H19" s="35">
        <v>71.197192134268477</v>
      </c>
      <c r="I19" s="9">
        <f>'Otemachi Daily'!H22</f>
        <v>1743.7505999999998</v>
      </c>
      <c r="J19" s="35">
        <v>10.79</v>
      </c>
      <c r="K19" s="9">
        <f>'Otemachi Daily'!J22</f>
        <v>30505.495800000001</v>
      </c>
      <c r="L19" s="35">
        <v>7.22</v>
      </c>
      <c r="M19" s="9">
        <f>'Otemachi Daily'!L22</f>
        <v>199</v>
      </c>
      <c r="N19" s="35">
        <v>741</v>
      </c>
      <c r="O19" s="9">
        <f>'Otemachi Daily'!M22</f>
        <v>100</v>
      </c>
      <c r="P19" s="9">
        <f>'Otemachi Daily'!N22</f>
        <v>194</v>
      </c>
    </row>
    <row r="20" spans="1:16" ht="15">
      <c r="A20" s="6" t="s">
        <v>24</v>
      </c>
      <c r="B20" s="7">
        <f t="shared" si="0"/>
        <v>19</v>
      </c>
      <c r="C20" s="8">
        <v>12</v>
      </c>
      <c r="D20" s="7">
        <v>2020</v>
      </c>
      <c r="E20" s="9">
        <f>'Otemachi Daily'!D23</f>
        <v>15286</v>
      </c>
      <c r="F20" s="35">
        <v>21.45</v>
      </c>
      <c r="G20" s="9">
        <f>'Otemachi Daily'!F23</f>
        <v>220.2</v>
      </c>
      <c r="H20" s="35">
        <v>71.197192134268477</v>
      </c>
      <c r="I20" s="9">
        <f>'Otemachi Daily'!H23</f>
        <v>2103.5016000000001</v>
      </c>
      <c r="J20" s="35">
        <v>10.79</v>
      </c>
      <c r="K20" s="9">
        <f>'Otemachi Daily'!J23</f>
        <v>33947.993399999999</v>
      </c>
      <c r="L20" s="35">
        <v>7.22</v>
      </c>
      <c r="M20" s="9">
        <f>'Otemachi Daily'!L23</f>
        <v>256</v>
      </c>
      <c r="N20" s="35">
        <v>741</v>
      </c>
      <c r="O20" s="9">
        <f>'Otemachi Daily'!M23</f>
        <v>115</v>
      </c>
      <c r="P20" s="9">
        <f>'Otemachi Daily'!N23</f>
        <v>225</v>
      </c>
    </row>
    <row r="21" spans="1:16" ht="15">
      <c r="A21" s="6" t="s">
        <v>24</v>
      </c>
      <c r="B21" s="7">
        <f t="shared" si="0"/>
        <v>20</v>
      </c>
      <c r="C21" s="8">
        <v>12</v>
      </c>
      <c r="D21" s="7">
        <v>2020</v>
      </c>
      <c r="E21" s="9">
        <f>'Otemachi Daily'!D24</f>
        <v>15184</v>
      </c>
      <c r="F21" s="35">
        <v>21.45</v>
      </c>
      <c r="G21" s="9">
        <f>'Otemachi Daily'!F24</f>
        <v>204</v>
      </c>
      <c r="H21" s="35">
        <v>71.197192134268477</v>
      </c>
      <c r="I21" s="9">
        <f>'Otemachi Daily'!H24</f>
        <v>1515.6768</v>
      </c>
      <c r="J21" s="35">
        <v>10.79</v>
      </c>
      <c r="K21" s="9">
        <f>'Otemachi Daily'!J24</f>
        <v>33947.993399999999</v>
      </c>
      <c r="L21" s="35">
        <v>7.22</v>
      </c>
      <c r="M21" s="9">
        <f>'Otemachi Daily'!L24</f>
        <v>244</v>
      </c>
      <c r="N21" s="35">
        <v>741</v>
      </c>
      <c r="O21" s="9">
        <f>'Otemachi Daily'!M24</f>
        <v>85</v>
      </c>
      <c r="P21" s="9">
        <f>'Otemachi Daily'!N24</f>
        <v>162</v>
      </c>
    </row>
    <row r="22" spans="1:16" ht="15">
      <c r="A22" s="6" t="s">
        <v>24</v>
      </c>
      <c r="B22" s="7">
        <f t="shared" si="0"/>
        <v>21</v>
      </c>
      <c r="C22" s="8">
        <v>12</v>
      </c>
      <c r="D22" s="7">
        <v>2020</v>
      </c>
      <c r="E22" s="9">
        <f>'Otemachi Daily'!D25</f>
        <v>14727</v>
      </c>
      <c r="F22" s="35">
        <v>21.45</v>
      </c>
      <c r="G22" s="9">
        <f>'Otemachi Daily'!F25</f>
        <v>213</v>
      </c>
      <c r="H22" s="35">
        <v>71.197192134268477</v>
      </c>
      <c r="I22" s="9">
        <f>'Otemachi Daily'!H25</f>
        <v>1850.7036000000001</v>
      </c>
      <c r="J22" s="35">
        <v>10.79</v>
      </c>
      <c r="K22" s="9">
        <f>'Otemachi Daily'!J25</f>
        <v>30744.9594</v>
      </c>
      <c r="L22" s="35">
        <v>7.22</v>
      </c>
      <c r="M22" s="9">
        <f>'Otemachi Daily'!L25</f>
        <v>203</v>
      </c>
      <c r="N22" s="35">
        <v>741</v>
      </c>
      <c r="O22" s="9">
        <f>'Otemachi Daily'!M25</f>
        <v>48</v>
      </c>
      <c r="P22" s="9">
        <f>'Otemachi Daily'!N25</f>
        <v>88</v>
      </c>
    </row>
    <row r="23" spans="1:16" ht="15">
      <c r="A23" s="6" t="s">
        <v>24</v>
      </c>
      <c r="B23" s="7">
        <f t="shared" si="0"/>
        <v>22</v>
      </c>
      <c r="C23" s="8">
        <v>12</v>
      </c>
      <c r="D23" s="7">
        <v>2020</v>
      </c>
      <c r="E23" s="9">
        <f>'Otemachi Daily'!D26</f>
        <v>14133</v>
      </c>
      <c r="F23" s="35">
        <v>21.45</v>
      </c>
      <c r="G23" s="9">
        <f>'Otemachi Daily'!F26</f>
        <v>206.4</v>
      </c>
      <c r="H23" s="35">
        <v>71.197192134268477</v>
      </c>
      <c r="I23" s="9">
        <f>'Otemachi Daily'!H26</f>
        <v>1601.2392</v>
      </c>
      <c r="J23" s="35">
        <v>10.79</v>
      </c>
      <c r="K23" s="9">
        <f>'Otemachi Daily'!J26</f>
        <v>27263.569799999997</v>
      </c>
      <c r="L23" s="35">
        <v>7.22</v>
      </c>
      <c r="M23" s="9">
        <f>'Otemachi Daily'!L26</f>
        <v>155</v>
      </c>
      <c r="N23" s="35">
        <v>741</v>
      </c>
      <c r="O23" s="9">
        <f>'Otemachi Daily'!M26</f>
        <v>25</v>
      </c>
      <c r="P23" s="9">
        <f>'Otemachi Daily'!N26</f>
        <v>49</v>
      </c>
    </row>
    <row r="24" spans="1:16" ht="15">
      <c r="A24" s="6" t="s">
        <v>24</v>
      </c>
      <c r="B24" s="7">
        <f t="shared" si="0"/>
        <v>23</v>
      </c>
      <c r="C24" s="8">
        <v>12</v>
      </c>
      <c r="D24" s="7">
        <v>2020</v>
      </c>
      <c r="E24" s="9">
        <f>'Otemachi Daily'!D27</f>
        <v>13919</v>
      </c>
      <c r="F24" s="35">
        <v>21.45</v>
      </c>
      <c r="G24" s="9">
        <f>'Otemachi Daily'!F27</f>
        <v>208</v>
      </c>
      <c r="H24" s="35">
        <v>71.197192134268477</v>
      </c>
      <c r="I24" s="9">
        <f>'Otemachi Daily'!H27</f>
        <v>2046.8303999999998</v>
      </c>
      <c r="J24" s="35">
        <v>10.79</v>
      </c>
      <c r="K24" s="9">
        <f>'Otemachi Daily'!J27</f>
        <v>24627.803400000001</v>
      </c>
      <c r="L24" s="35">
        <v>7.22</v>
      </c>
      <c r="M24" s="9">
        <f>'Otemachi Daily'!L27</f>
        <v>181</v>
      </c>
      <c r="N24" s="35">
        <v>741</v>
      </c>
      <c r="O24" s="9">
        <f>'Otemachi Daily'!M27</f>
        <v>38</v>
      </c>
      <c r="P24" s="9">
        <f>'Otemachi Daily'!N27</f>
        <v>74</v>
      </c>
    </row>
    <row r="25" spans="1:16" ht="15">
      <c r="A25" s="6" t="s">
        <v>24</v>
      </c>
      <c r="B25" s="7">
        <f t="shared" si="0"/>
        <v>24</v>
      </c>
      <c r="C25" s="8">
        <v>12</v>
      </c>
      <c r="D25" s="7">
        <v>2020</v>
      </c>
      <c r="E25" s="9">
        <f>'Otemachi Daily'!D28</f>
        <v>14181</v>
      </c>
      <c r="F25" s="35">
        <v>21.45</v>
      </c>
      <c r="G25" s="9">
        <f>'Otemachi Daily'!F28</f>
        <v>192</v>
      </c>
      <c r="H25" s="35">
        <v>71.197192134268477</v>
      </c>
      <c r="I25" s="9">
        <f>'Otemachi Daily'!H28</f>
        <v>2107.9463999999998</v>
      </c>
      <c r="J25" s="35">
        <v>10.79</v>
      </c>
      <c r="K25" s="9">
        <f>'Otemachi Daily'!J28</f>
        <v>24794.483400000001</v>
      </c>
      <c r="L25" s="35">
        <v>7.22</v>
      </c>
      <c r="M25" s="9">
        <f>'Otemachi Daily'!L28</f>
        <v>169</v>
      </c>
      <c r="N25" s="35">
        <v>741</v>
      </c>
      <c r="O25" s="9">
        <f>'Otemachi Daily'!M28</f>
        <v>62</v>
      </c>
      <c r="P25" s="9">
        <f>'Otemachi Daily'!N28</f>
        <v>118</v>
      </c>
    </row>
    <row r="26" spans="1:16" ht="15">
      <c r="A26" s="6" t="s">
        <v>24</v>
      </c>
      <c r="B26" s="7">
        <f>B25+1</f>
        <v>25</v>
      </c>
      <c r="C26" s="8">
        <v>12</v>
      </c>
      <c r="D26" s="7">
        <v>2020</v>
      </c>
      <c r="E26" s="9">
        <f>'Otemachi Daily'!D29</f>
        <v>14312</v>
      </c>
      <c r="F26" s="35">
        <v>21.45</v>
      </c>
      <c r="G26" s="9">
        <f>'Otemachi Daily'!F29</f>
        <v>217</v>
      </c>
      <c r="H26" s="35">
        <v>71.197192134268477</v>
      </c>
      <c r="I26" s="9">
        <f>'Otemachi Daily'!H29</f>
        <v>2941.0686000000001</v>
      </c>
      <c r="J26" s="35">
        <v>10.79</v>
      </c>
      <c r="K26" s="9">
        <f>'Otemachi Daily'!J29</f>
        <v>25585.102199999998</v>
      </c>
      <c r="L26" s="35">
        <v>7.22</v>
      </c>
      <c r="M26" s="9">
        <f>'Otemachi Daily'!L29</f>
        <v>205</v>
      </c>
      <c r="N26" s="35">
        <v>741</v>
      </c>
      <c r="O26" s="9">
        <f>'Otemachi Daily'!M29</f>
        <v>62</v>
      </c>
      <c r="P26" s="9">
        <f>'Otemachi Daily'!N29</f>
        <v>117</v>
      </c>
    </row>
    <row r="27" spans="1:16" ht="15">
      <c r="A27" s="6" t="s">
        <v>24</v>
      </c>
      <c r="B27" s="7">
        <f t="shared" si="0"/>
        <v>26</v>
      </c>
      <c r="C27" s="8">
        <v>12</v>
      </c>
      <c r="D27" s="7">
        <v>2020</v>
      </c>
      <c r="E27" s="9">
        <f>'Otemachi Daily'!D30</f>
        <v>14151</v>
      </c>
      <c r="F27" s="35">
        <v>21.45</v>
      </c>
      <c r="G27" s="9">
        <f>'Otemachi Daily'!F30</f>
        <v>199</v>
      </c>
      <c r="H27" s="35">
        <v>71.197192134268477</v>
      </c>
      <c r="I27" s="9">
        <f>'Otemachi Daily'!H30</f>
        <v>2352.6882000000001</v>
      </c>
      <c r="J27" s="35">
        <v>10.79</v>
      </c>
      <c r="K27" s="9">
        <f>'Otemachi Daily'!J30</f>
        <v>27121.336199999998</v>
      </c>
      <c r="L27" s="35">
        <v>7.22</v>
      </c>
      <c r="M27" s="9">
        <f>'Otemachi Daily'!L30</f>
        <v>168</v>
      </c>
      <c r="N27" s="35">
        <v>741</v>
      </c>
      <c r="O27" s="9">
        <f>'Otemachi Daily'!M30</f>
        <v>62</v>
      </c>
      <c r="P27" s="9">
        <f>'Otemachi Daily'!N30</f>
        <v>117</v>
      </c>
    </row>
    <row r="28" spans="1:16" ht="15">
      <c r="A28" s="6" t="s">
        <v>24</v>
      </c>
      <c r="B28" s="7">
        <f t="shared" si="0"/>
        <v>27</v>
      </c>
      <c r="C28" s="8">
        <v>12</v>
      </c>
      <c r="D28" s="7">
        <v>2020</v>
      </c>
      <c r="E28" s="9">
        <f>'Otemachi Daily'!D31</f>
        <v>13809</v>
      </c>
      <c r="F28" s="35">
        <v>21.45</v>
      </c>
      <c r="G28" s="9">
        <f>'Otemachi Daily'!F31</f>
        <v>188.3</v>
      </c>
      <c r="H28" s="35">
        <v>71.197192134268477</v>
      </c>
      <c r="I28" s="9">
        <f>'Otemachi Daily'!H31</f>
        <v>2329.3530000000001</v>
      </c>
      <c r="J28" s="35">
        <v>10.79</v>
      </c>
      <c r="K28" s="9">
        <f>'Otemachi Daily'!J31</f>
        <v>26316.549599999998</v>
      </c>
      <c r="L28" s="35">
        <v>7.22</v>
      </c>
      <c r="M28" s="9">
        <f>'Otemachi Daily'!L31</f>
        <v>175</v>
      </c>
      <c r="N28" s="35">
        <v>741</v>
      </c>
      <c r="O28" s="9">
        <f>'Otemachi Daily'!M31</f>
        <v>59</v>
      </c>
      <c r="P28" s="9">
        <f>'Otemachi Daily'!N31</f>
        <v>111</v>
      </c>
    </row>
    <row r="29" spans="1:16" ht="15">
      <c r="A29" s="6" t="s">
        <v>24</v>
      </c>
      <c r="B29" s="7">
        <f t="shared" si="0"/>
        <v>28</v>
      </c>
      <c r="C29" s="8">
        <v>12</v>
      </c>
      <c r="D29" s="7">
        <v>2020</v>
      </c>
      <c r="E29" s="9">
        <f>'Otemachi Daily'!D32</f>
        <v>14068</v>
      </c>
      <c r="F29" s="35">
        <v>21.45</v>
      </c>
      <c r="G29" s="9">
        <f>'Otemachi Daily'!F32</f>
        <v>189</v>
      </c>
      <c r="H29" s="35">
        <v>71.197192134268477</v>
      </c>
      <c r="I29" s="9">
        <f>'Otemachi Daily'!H32</f>
        <v>2689.1039999999998</v>
      </c>
      <c r="J29" s="35">
        <v>10.79</v>
      </c>
      <c r="K29" s="9">
        <f>'Otemachi Daily'!J32</f>
        <v>23560.218000000001</v>
      </c>
      <c r="L29" s="35">
        <v>7.22</v>
      </c>
      <c r="M29" s="9">
        <f>'Otemachi Daily'!L32</f>
        <v>174</v>
      </c>
      <c r="N29" s="35">
        <v>741</v>
      </c>
      <c r="O29" s="9">
        <f>'Otemachi Daily'!M32</f>
        <v>55</v>
      </c>
      <c r="P29" s="9">
        <f>'Otemachi Daily'!N32</f>
        <v>105</v>
      </c>
    </row>
    <row r="30" spans="1:16" ht="15">
      <c r="A30" s="6" t="s">
        <v>24</v>
      </c>
      <c r="B30" s="7">
        <f t="shared" si="0"/>
        <v>29</v>
      </c>
      <c r="C30" s="8">
        <v>12</v>
      </c>
      <c r="D30" s="7">
        <v>2020</v>
      </c>
      <c r="E30" s="9">
        <f>'Otemachi Daily'!D33</f>
        <v>13912</v>
      </c>
      <c r="F30" s="35">
        <v>21.45</v>
      </c>
      <c r="G30" s="9">
        <f>'Otemachi Daily'!F33</f>
        <v>185</v>
      </c>
      <c r="H30" s="35">
        <v>71.197192134268477</v>
      </c>
      <c r="I30" s="9">
        <f>'Otemachi Daily'!H33</f>
        <v>2476.8647999999998</v>
      </c>
      <c r="J30" s="35">
        <v>10.79</v>
      </c>
      <c r="K30" s="9">
        <f>'Otemachi Daily'!J33</f>
        <v>22546.248</v>
      </c>
      <c r="L30" s="35">
        <v>7.22</v>
      </c>
      <c r="M30" s="9">
        <f>'Otemachi Daily'!L33</f>
        <v>167</v>
      </c>
      <c r="N30" s="35">
        <v>741</v>
      </c>
      <c r="O30" s="9">
        <f>'Otemachi Daily'!M33</f>
        <v>48</v>
      </c>
      <c r="P30" s="9">
        <f>'Otemachi Daily'!N33</f>
        <v>95</v>
      </c>
    </row>
    <row r="31" spans="1:16" ht="15">
      <c r="A31" s="6" t="s">
        <v>24</v>
      </c>
      <c r="B31" s="7">
        <f t="shared" si="0"/>
        <v>30</v>
      </c>
      <c r="C31" s="8">
        <v>12</v>
      </c>
      <c r="D31" s="7">
        <v>2020</v>
      </c>
      <c r="E31" s="9">
        <f>'Otemachi Daily'!D34</f>
        <v>14004</v>
      </c>
      <c r="F31" s="35">
        <v>21.45</v>
      </c>
      <c r="G31" s="9">
        <f>'Otemachi Daily'!F34</f>
        <v>212</v>
      </c>
      <c r="H31" s="35">
        <v>71.197192134268477</v>
      </c>
      <c r="I31" s="9">
        <f>'Otemachi Daily'!H34</f>
        <v>2190.7307999999998</v>
      </c>
      <c r="J31" s="35">
        <v>10.79</v>
      </c>
      <c r="K31" s="9">
        <f>'Otemachi Daily'!J34</f>
        <v>25102.285799999998</v>
      </c>
      <c r="L31" s="35">
        <v>7.22</v>
      </c>
      <c r="M31" s="9">
        <f>'Otemachi Daily'!L34</f>
        <v>156</v>
      </c>
      <c r="N31" s="35">
        <v>741</v>
      </c>
      <c r="O31" s="9">
        <f>'Otemachi Daily'!M34</f>
        <v>48</v>
      </c>
      <c r="P31" s="9">
        <f>'Otemachi Daily'!N34</f>
        <v>92</v>
      </c>
    </row>
    <row r="32" spans="1:16" ht="15">
      <c r="A32" s="6" t="s">
        <v>24</v>
      </c>
      <c r="B32" s="7">
        <f t="shared" si="0"/>
        <v>31</v>
      </c>
      <c r="C32" s="8">
        <v>12</v>
      </c>
      <c r="D32" s="7">
        <v>2020</v>
      </c>
      <c r="E32" s="9">
        <f>'Otemachi Daily'!D35</f>
        <v>14718</v>
      </c>
      <c r="F32" s="35">
        <v>21.45</v>
      </c>
      <c r="G32" s="9">
        <f>'Otemachi Daily'!F35</f>
        <v>211</v>
      </c>
      <c r="H32" s="35">
        <v>71.197192134268477</v>
      </c>
      <c r="I32" s="9">
        <f>'Otemachi Daily'!H35</f>
        <v>431.70119999999997</v>
      </c>
      <c r="J32" s="35">
        <v>10.79</v>
      </c>
      <c r="K32" s="9">
        <f>'Otemachi Daily'!J35</f>
        <v>32660.3904</v>
      </c>
      <c r="L32" s="35">
        <v>7.22</v>
      </c>
      <c r="M32" s="9">
        <f>'Otemachi Daily'!L35</f>
        <v>165</v>
      </c>
      <c r="N32" s="35">
        <v>741</v>
      </c>
      <c r="O32" s="9">
        <f>'Otemachi Daily'!M35</f>
        <v>67</v>
      </c>
      <c r="P32" s="9">
        <f>'Otemachi Daily'!N35</f>
        <v>136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H31" sqref="H31"/>
    </sheetView>
  </sheetViews>
  <sheetFormatPr defaultRowHeight="13.5"/>
  <cols>
    <col min="1" max="1" width="16.140625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5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44166</v>
      </c>
      <c r="B5" s="38"/>
      <c r="C5" s="36">
        <v>14068</v>
      </c>
      <c r="D5" s="36">
        <v>14068</v>
      </c>
      <c r="E5" s="36">
        <v>200.5</v>
      </c>
      <c r="F5" s="36">
        <v>200.5</v>
      </c>
      <c r="G5" s="36">
        <v>3530.8379999999997</v>
      </c>
      <c r="H5" s="36">
        <v>3530.8379999999997</v>
      </c>
      <c r="I5" s="36">
        <v>23391.593399999998</v>
      </c>
      <c r="J5" s="36">
        <v>23391.593399999998</v>
      </c>
      <c r="K5" s="36">
        <v>204</v>
      </c>
      <c r="L5" s="36">
        <v>204</v>
      </c>
      <c r="M5" s="29">
        <v>49</v>
      </c>
      <c r="N5" s="29">
        <v>88</v>
      </c>
      <c r="O5" s="26"/>
    </row>
    <row r="6" spans="1:15" ht="45" customHeight="1">
      <c r="A6" s="28">
        <v>44167</v>
      </c>
      <c r="B6" s="38"/>
      <c r="C6" s="36">
        <v>13939</v>
      </c>
      <c r="D6" s="36">
        <v>13939</v>
      </c>
      <c r="E6" s="36">
        <v>194</v>
      </c>
      <c r="F6" s="36">
        <v>194</v>
      </c>
      <c r="G6" s="36">
        <v>2407.9703999999997</v>
      </c>
      <c r="H6" s="36">
        <v>2407.9703999999997</v>
      </c>
      <c r="I6" s="36">
        <v>26682.134399999999</v>
      </c>
      <c r="J6" s="36">
        <v>26682.134399999999</v>
      </c>
      <c r="K6" s="36">
        <v>173</v>
      </c>
      <c r="L6" s="36">
        <v>173</v>
      </c>
      <c r="M6" s="12">
        <v>55</v>
      </c>
      <c r="N6" s="12">
        <v>98</v>
      </c>
      <c r="O6" s="26"/>
    </row>
    <row r="7" spans="1:15" ht="45" customHeight="1">
      <c r="A7" s="28">
        <v>44168</v>
      </c>
      <c r="B7" s="38"/>
      <c r="C7" s="36">
        <v>13965</v>
      </c>
      <c r="D7" s="36">
        <v>13965</v>
      </c>
      <c r="E7" s="36">
        <v>209</v>
      </c>
      <c r="F7" s="36">
        <v>209</v>
      </c>
      <c r="G7" s="36">
        <v>2179.0632000000001</v>
      </c>
      <c r="H7" s="36">
        <v>2179.0632000000001</v>
      </c>
      <c r="I7" s="36">
        <v>24602.5236</v>
      </c>
      <c r="J7" s="36">
        <v>24602.5236</v>
      </c>
      <c r="K7" s="36">
        <v>185</v>
      </c>
      <c r="L7" s="36">
        <v>185</v>
      </c>
      <c r="M7" s="12">
        <v>54</v>
      </c>
      <c r="N7" s="12">
        <v>89</v>
      </c>
    </row>
    <row r="8" spans="1:15" ht="45" customHeight="1">
      <c r="A8" s="28">
        <v>44169</v>
      </c>
      <c r="B8" s="38"/>
      <c r="C8" s="36">
        <v>14633</v>
      </c>
      <c r="D8" s="36">
        <v>14633</v>
      </c>
      <c r="E8" s="36">
        <v>214.6</v>
      </c>
      <c r="F8" s="36">
        <v>214.6</v>
      </c>
      <c r="G8" s="36">
        <v>3067.4675999999999</v>
      </c>
      <c r="H8" s="36">
        <v>3067.4675999999999</v>
      </c>
      <c r="I8" s="36">
        <v>27542.2032</v>
      </c>
      <c r="J8" s="36">
        <v>27542.2032</v>
      </c>
      <c r="K8" s="36">
        <v>231</v>
      </c>
      <c r="L8" s="36">
        <v>231</v>
      </c>
      <c r="M8" s="12">
        <v>114</v>
      </c>
      <c r="N8" s="12">
        <v>223</v>
      </c>
    </row>
    <row r="9" spans="1:15" ht="45" customHeight="1">
      <c r="A9" s="28">
        <v>44170</v>
      </c>
      <c r="B9" s="38"/>
      <c r="C9" s="36">
        <v>14856</v>
      </c>
      <c r="D9" s="36">
        <v>14856</v>
      </c>
      <c r="E9" s="36">
        <v>217.2</v>
      </c>
      <c r="F9" s="36">
        <v>217.2</v>
      </c>
      <c r="G9" s="36">
        <v>1990.1591999999998</v>
      </c>
      <c r="H9" s="36">
        <v>1990.1591999999998</v>
      </c>
      <c r="I9" s="36">
        <v>30913.306199999999</v>
      </c>
      <c r="J9" s="36">
        <v>30913.306199999999</v>
      </c>
      <c r="K9" s="36">
        <v>216</v>
      </c>
      <c r="L9" s="36">
        <v>216</v>
      </c>
      <c r="M9" s="12">
        <v>105</v>
      </c>
      <c r="N9" s="12">
        <v>231</v>
      </c>
    </row>
    <row r="10" spans="1:15" ht="45" customHeight="1">
      <c r="A10" s="28">
        <v>44171</v>
      </c>
      <c r="B10" s="38"/>
      <c r="C10" s="36">
        <v>14442</v>
      </c>
      <c r="D10" s="36">
        <v>14442</v>
      </c>
      <c r="E10" s="36">
        <v>195</v>
      </c>
      <c r="F10" s="36">
        <v>195</v>
      </c>
      <c r="G10" s="36">
        <v>3157.4748</v>
      </c>
      <c r="H10" s="36">
        <v>3157.4748</v>
      </c>
      <c r="I10" s="36">
        <v>27189.1194</v>
      </c>
      <c r="J10" s="36">
        <v>27189.1194</v>
      </c>
      <c r="K10" s="36">
        <v>220</v>
      </c>
      <c r="L10" s="36">
        <v>220</v>
      </c>
      <c r="M10" s="12">
        <v>96</v>
      </c>
      <c r="N10" s="12">
        <v>199</v>
      </c>
    </row>
    <row r="11" spans="1:15" ht="45" customHeight="1">
      <c r="A11" s="28">
        <v>44172</v>
      </c>
      <c r="B11" s="38"/>
      <c r="C11" s="36">
        <v>14000</v>
      </c>
      <c r="D11" s="36">
        <v>14000</v>
      </c>
      <c r="E11" s="36">
        <v>201</v>
      </c>
      <c r="F11" s="36">
        <v>201</v>
      </c>
      <c r="G11" s="36">
        <v>3684.1835999999998</v>
      </c>
      <c r="H11" s="36">
        <v>3684.1835999999998</v>
      </c>
      <c r="I11" s="36">
        <v>22299.005999999998</v>
      </c>
      <c r="J11" s="36">
        <v>22299.005999999998</v>
      </c>
      <c r="K11" s="36">
        <v>199</v>
      </c>
      <c r="L11" s="36">
        <v>199</v>
      </c>
      <c r="M11" s="12">
        <v>60</v>
      </c>
      <c r="N11" s="12">
        <v>113</v>
      </c>
    </row>
    <row r="12" spans="1:15" ht="45" customHeight="1">
      <c r="A12" s="28">
        <v>44173</v>
      </c>
      <c r="B12" s="38"/>
      <c r="C12" s="36">
        <v>13493</v>
      </c>
      <c r="D12" s="36">
        <v>13493</v>
      </c>
      <c r="E12" s="36">
        <v>203</v>
      </c>
      <c r="F12" s="36">
        <v>203</v>
      </c>
      <c r="G12" s="36">
        <v>3295.2635999999998</v>
      </c>
      <c r="H12" s="36">
        <v>3295.2635999999998</v>
      </c>
      <c r="I12" s="36">
        <v>18825.394799999998</v>
      </c>
      <c r="J12" s="36">
        <v>18825.394799999998</v>
      </c>
      <c r="K12" s="36">
        <v>176</v>
      </c>
      <c r="L12" s="36">
        <v>176</v>
      </c>
      <c r="M12" s="12">
        <v>62</v>
      </c>
      <c r="N12" s="12">
        <v>116</v>
      </c>
    </row>
    <row r="13" spans="1:15" ht="45" customHeight="1">
      <c r="A13" s="28">
        <v>44174</v>
      </c>
      <c r="B13" s="38"/>
      <c r="C13" s="36">
        <v>13575</v>
      </c>
      <c r="D13" s="36">
        <v>13575</v>
      </c>
      <c r="E13" s="36">
        <v>199</v>
      </c>
      <c r="F13" s="36">
        <v>199</v>
      </c>
      <c r="G13" s="36">
        <v>2599.9301999999998</v>
      </c>
      <c r="H13" s="36">
        <v>2599.9301999999998</v>
      </c>
      <c r="I13" s="36">
        <v>24510.571799999998</v>
      </c>
      <c r="J13" s="36">
        <v>24510.571799999998</v>
      </c>
      <c r="K13" s="36">
        <v>169</v>
      </c>
      <c r="L13" s="36">
        <v>169</v>
      </c>
      <c r="M13" s="12">
        <v>51</v>
      </c>
      <c r="N13" s="12">
        <v>93</v>
      </c>
    </row>
    <row r="14" spans="1:15" ht="45" customHeight="1">
      <c r="A14" s="28">
        <v>44175</v>
      </c>
      <c r="B14" s="38"/>
      <c r="C14" s="36">
        <v>13854</v>
      </c>
      <c r="D14" s="36">
        <v>13854</v>
      </c>
      <c r="E14" s="36">
        <v>205.3</v>
      </c>
      <c r="F14" s="36">
        <v>205.3</v>
      </c>
      <c r="G14" s="36">
        <v>2542.9811999999997</v>
      </c>
      <c r="H14" s="36">
        <v>2542.9811999999997</v>
      </c>
      <c r="I14" s="36">
        <v>23437.430399999997</v>
      </c>
      <c r="J14" s="36">
        <v>23437.430399999997</v>
      </c>
      <c r="K14" s="36">
        <v>160</v>
      </c>
      <c r="L14" s="36">
        <v>160</v>
      </c>
      <c r="M14" s="12">
        <v>50</v>
      </c>
      <c r="N14" s="12">
        <v>91</v>
      </c>
    </row>
    <row r="15" spans="1:15" ht="45" customHeight="1">
      <c r="A15" s="28">
        <v>44176</v>
      </c>
      <c r="B15" s="38"/>
      <c r="C15" s="36">
        <v>13677</v>
      </c>
      <c r="D15" s="36">
        <v>13677</v>
      </c>
      <c r="E15" s="36">
        <v>202</v>
      </c>
      <c r="F15" s="36">
        <v>202</v>
      </c>
      <c r="G15" s="36">
        <v>2886.6197999999999</v>
      </c>
      <c r="H15" s="36">
        <v>2886.6197999999999</v>
      </c>
      <c r="I15" s="36">
        <v>19881.590400000001</v>
      </c>
      <c r="J15" s="36">
        <v>19881.590400000001</v>
      </c>
      <c r="K15" s="36">
        <v>174</v>
      </c>
      <c r="L15" s="36">
        <v>174</v>
      </c>
      <c r="M15" s="12">
        <v>50</v>
      </c>
      <c r="N15" s="12">
        <v>91</v>
      </c>
    </row>
    <row r="16" spans="1:15" ht="45" customHeight="1">
      <c r="A16" s="28">
        <v>44177</v>
      </c>
      <c r="B16" s="38"/>
      <c r="C16" s="36">
        <v>14162</v>
      </c>
      <c r="D16" s="36">
        <v>14162</v>
      </c>
      <c r="E16" s="36">
        <v>215.3</v>
      </c>
      <c r="F16" s="36">
        <v>215.3</v>
      </c>
      <c r="G16" s="36">
        <v>3388.6043999999997</v>
      </c>
      <c r="H16" s="36">
        <v>3388.6043999999997</v>
      </c>
      <c r="I16" s="36">
        <v>20228.840400000001</v>
      </c>
      <c r="J16" s="36">
        <v>20228.840400000001</v>
      </c>
      <c r="K16" s="36">
        <v>206</v>
      </c>
      <c r="L16" s="36">
        <v>206</v>
      </c>
      <c r="M16" s="12">
        <v>100</v>
      </c>
      <c r="N16" s="12">
        <v>198</v>
      </c>
    </row>
    <row r="17" spans="1:26" ht="45" customHeight="1">
      <c r="A17" s="28">
        <v>44178</v>
      </c>
      <c r="B17" s="38"/>
      <c r="C17" s="36">
        <v>14221</v>
      </c>
      <c r="D17" s="36">
        <v>14221</v>
      </c>
      <c r="E17" s="36">
        <v>209</v>
      </c>
      <c r="F17" s="36">
        <v>209</v>
      </c>
      <c r="G17" s="36">
        <v>3586.3979999999997</v>
      </c>
      <c r="H17" s="36">
        <v>3586.3979999999997</v>
      </c>
      <c r="I17" s="36">
        <v>21830.635200000001</v>
      </c>
      <c r="J17" s="36">
        <v>21830.635200000001</v>
      </c>
      <c r="K17" s="36">
        <v>207</v>
      </c>
      <c r="L17" s="36">
        <v>207</v>
      </c>
      <c r="M17" s="12">
        <v>114</v>
      </c>
      <c r="N17" s="12">
        <v>218</v>
      </c>
    </row>
    <row r="18" spans="1:26" ht="45" customHeight="1">
      <c r="A18" s="28">
        <v>44179</v>
      </c>
      <c r="B18" s="38"/>
      <c r="C18" s="36">
        <v>14410</v>
      </c>
      <c r="D18" s="36">
        <v>14410</v>
      </c>
      <c r="E18" s="36">
        <v>224</v>
      </c>
      <c r="F18" s="36">
        <v>224</v>
      </c>
      <c r="G18" s="36">
        <v>3391.1046000000001</v>
      </c>
      <c r="H18" s="36">
        <v>3391.1046000000001</v>
      </c>
      <c r="I18" s="36">
        <v>27160.228199999998</v>
      </c>
      <c r="J18" s="36">
        <v>27160.228199999998</v>
      </c>
      <c r="K18" s="36">
        <v>205</v>
      </c>
      <c r="L18" s="36">
        <v>205</v>
      </c>
      <c r="M18" s="12">
        <v>81</v>
      </c>
      <c r="N18" s="12">
        <v>100</v>
      </c>
      <c r="Z18" s="37"/>
    </row>
    <row r="19" spans="1:26" ht="45" customHeight="1">
      <c r="A19" s="28">
        <v>44180</v>
      </c>
      <c r="B19" s="38"/>
      <c r="C19" s="36">
        <v>14808</v>
      </c>
      <c r="D19" s="36">
        <v>14808</v>
      </c>
      <c r="E19" s="36">
        <v>214</v>
      </c>
      <c r="F19" s="36">
        <v>214</v>
      </c>
      <c r="G19" s="36">
        <v>2663.2685999999999</v>
      </c>
      <c r="H19" s="36">
        <v>2663.2685999999999</v>
      </c>
      <c r="I19" s="36">
        <v>31714.203600000001</v>
      </c>
      <c r="J19" s="36">
        <v>31714.203600000001</v>
      </c>
      <c r="K19" s="36">
        <v>204</v>
      </c>
      <c r="L19" s="36">
        <v>204</v>
      </c>
      <c r="M19" s="12">
        <v>78</v>
      </c>
      <c r="N19" s="12">
        <v>146</v>
      </c>
    </row>
    <row r="20" spans="1:26" ht="45" customHeight="1">
      <c r="A20" s="28">
        <v>44181</v>
      </c>
      <c r="B20" s="38"/>
      <c r="C20" s="36">
        <v>14508</v>
      </c>
      <c r="D20" s="36">
        <v>14508</v>
      </c>
      <c r="E20" s="36">
        <v>211.3</v>
      </c>
      <c r="F20" s="36">
        <v>211.3</v>
      </c>
      <c r="G20" s="36">
        <v>1630.9638</v>
      </c>
      <c r="H20" s="36">
        <v>1630.9638</v>
      </c>
      <c r="I20" s="36">
        <v>37755.242399999996</v>
      </c>
      <c r="J20" s="36">
        <v>37755.242399999996</v>
      </c>
      <c r="K20" s="36">
        <v>198</v>
      </c>
      <c r="L20" s="36">
        <v>198</v>
      </c>
      <c r="M20" s="12">
        <v>82</v>
      </c>
      <c r="N20" s="12">
        <v>159</v>
      </c>
    </row>
    <row r="21" spans="1:26" ht="45" customHeight="1">
      <c r="A21" s="28">
        <v>44182</v>
      </c>
      <c r="B21" s="38"/>
      <c r="C21" s="36">
        <v>14677</v>
      </c>
      <c r="D21" s="36">
        <v>14677</v>
      </c>
      <c r="E21" s="36">
        <v>202.1</v>
      </c>
      <c r="F21" s="36">
        <v>202.1</v>
      </c>
      <c r="G21" s="36">
        <v>1628.7413999999999</v>
      </c>
      <c r="H21" s="36">
        <v>1628.7413999999999</v>
      </c>
      <c r="I21" s="36">
        <v>44087.693399999996</v>
      </c>
      <c r="J21" s="36">
        <v>44087.693399999996</v>
      </c>
      <c r="K21" s="36">
        <v>227</v>
      </c>
      <c r="L21" s="36">
        <v>227</v>
      </c>
      <c r="M21" s="12">
        <v>74</v>
      </c>
      <c r="N21" s="12">
        <v>114</v>
      </c>
    </row>
    <row r="22" spans="1:26" ht="45" customHeight="1">
      <c r="A22" s="28">
        <v>44183</v>
      </c>
      <c r="B22" s="38"/>
      <c r="C22" s="36">
        <v>14736</v>
      </c>
      <c r="D22" s="36">
        <v>14736</v>
      </c>
      <c r="E22" s="36">
        <v>226</v>
      </c>
      <c r="F22" s="36">
        <v>226</v>
      </c>
      <c r="G22" s="36">
        <v>1743.7505999999998</v>
      </c>
      <c r="H22" s="36">
        <v>1743.7505999999998</v>
      </c>
      <c r="I22" s="36">
        <v>30505.495800000001</v>
      </c>
      <c r="J22" s="36">
        <v>30505.495800000001</v>
      </c>
      <c r="K22" s="36">
        <v>199</v>
      </c>
      <c r="L22" s="36">
        <v>199</v>
      </c>
      <c r="M22" s="12">
        <v>100</v>
      </c>
      <c r="N22" s="12">
        <v>194</v>
      </c>
    </row>
    <row r="23" spans="1:26" ht="45" customHeight="1">
      <c r="A23" s="28">
        <v>44184</v>
      </c>
      <c r="B23" s="38"/>
      <c r="C23" s="36">
        <v>15286</v>
      </c>
      <c r="D23" s="36">
        <v>15286</v>
      </c>
      <c r="E23" s="36">
        <v>220.2</v>
      </c>
      <c r="F23" s="36">
        <v>220.2</v>
      </c>
      <c r="G23" s="36">
        <v>2103.5016000000001</v>
      </c>
      <c r="H23" s="36">
        <v>2103.5016000000001</v>
      </c>
      <c r="I23" s="36">
        <v>33947.993399999999</v>
      </c>
      <c r="J23" s="36">
        <v>33947.993399999999</v>
      </c>
      <c r="K23" s="36">
        <v>256</v>
      </c>
      <c r="L23" s="36">
        <v>256</v>
      </c>
      <c r="M23" s="12">
        <v>115</v>
      </c>
      <c r="N23" s="12">
        <v>225</v>
      </c>
    </row>
    <row r="24" spans="1:26" ht="45" customHeight="1">
      <c r="A24" s="28">
        <v>44185</v>
      </c>
      <c r="B24" s="38"/>
      <c r="C24" s="36">
        <v>15184</v>
      </c>
      <c r="D24" s="36">
        <v>15184</v>
      </c>
      <c r="E24" s="36">
        <v>204</v>
      </c>
      <c r="F24" s="36">
        <v>204</v>
      </c>
      <c r="G24" s="36">
        <v>1515.6768</v>
      </c>
      <c r="H24" s="36">
        <v>1515.6768</v>
      </c>
      <c r="I24" s="36">
        <v>33947.993399999999</v>
      </c>
      <c r="J24" s="36">
        <v>33947.993399999999</v>
      </c>
      <c r="K24" s="36">
        <v>244</v>
      </c>
      <c r="L24" s="36">
        <v>244</v>
      </c>
      <c r="M24" s="12">
        <v>85</v>
      </c>
      <c r="N24" s="12">
        <v>162</v>
      </c>
    </row>
    <row r="25" spans="1:26" ht="45" customHeight="1">
      <c r="A25" s="28">
        <v>44186</v>
      </c>
      <c r="B25" s="38"/>
      <c r="C25" s="36">
        <v>14727</v>
      </c>
      <c r="D25" s="36">
        <v>14727</v>
      </c>
      <c r="E25" s="36">
        <v>213</v>
      </c>
      <c r="F25" s="36">
        <v>213</v>
      </c>
      <c r="G25" s="36">
        <v>1850.7036000000001</v>
      </c>
      <c r="H25" s="36">
        <v>1850.7036000000001</v>
      </c>
      <c r="I25" s="36">
        <v>30744.9594</v>
      </c>
      <c r="J25" s="36">
        <v>30744.9594</v>
      </c>
      <c r="K25" s="36">
        <v>203</v>
      </c>
      <c r="L25" s="36">
        <v>203</v>
      </c>
      <c r="M25" s="12">
        <v>48</v>
      </c>
      <c r="N25" s="12">
        <v>88</v>
      </c>
    </row>
    <row r="26" spans="1:26" ht="45" customHeight="1">
      <c r="A26" s="28">
        <v>44187</v>
      </c>
      <c r="B26" s="38"/>
      <c r="C26" s="36">
        <v>14133</v>
      </c>
      <c r="D26" s="36">
        <v>14133</v>
      </c>
      <c r="E26" s="36">
        <v>206.4</v>
      </c>
      <c r="F26" s="36">
        <v>206.4</v>
      </c>
      <c r="G26" s="36">
        <v>1601.2392</v>
      </c>
      <c r="H26" s="36">
        <v>1601.2392</v>
      </c>
      <c r="I26" s="36">
        <v>27263.569799999997</v>
      </c>
      <c r="J26" s="36">
        <v>27263.569799999997</v>
      </c>
      <c r="K26" s="36">
        <v>155</v>
      </c>
      <c r="L26" s="36">
        <v>155</v>
      </c>
      <c r="M26" s="12">
        <v>25</v>
      </c>
      <c r="N26" s="12">
        <v>49</v>
      </c>
    </row>
    <row r="27" spans="1:26" ht="45" customHeight="1">
      <c r="A27" s="28">
        <v>44188</v>
      </c>
      <c r="B27" s="38"/>
      <c r="C27" s="36">
        <v>13919</v>
      </c>
      <c r="D27" s="36">
        <v>13919</v>
      </c>
      <c r="E27" s="36">
        <v>208</v>
      </c>
      <c r="F27" s="36">
        <v>208</v>
      </c>
      <c r="G27" s="36">
        <v>2046.8303999999998</v>
      </c>
      <c r="H27" s="36">
        <v>2046.8303999999998</v>
      </c>
      <c r="I27" s="36">
        <v>24627.803400000001</v>
      </c>
      <c r="J27" s="36">
        <v>24627.803400000001</v>
      </c>
      <c r="K27" s="36">
        <v>181</v>
      </c>
      <c r="L27" s="36">
        <v>181</v>
      </c>
      <c r="M27" s="12">
        <v>38</v>
      </c>
      <c r="N27" s="12">
        <v>74</v>
      </c>
    </row>
    <row r="28" spans="1:26" ht="45" customHeight="1">
      <c r="A28" s="28">
        <v>44189</v>
      </c>
      <c r="B28" s="38"/>
      <c r="C28" s="36">
        <v>14181</v>
      </c>
      <c r="D28" s="36">
        <v>14181</v>
      </c>
      <c r="E28" s="36">
        <v>192</v>
      </c>
      <c r="F28" s="36">
        <v>192</v>
      </c>
      <c r="G28" s="36">
        <v>2107.9463999999998</v>
      </c>
      <c r="H28" s="36">
        <v>2107.9463999999998</v>
      </c>
      <c r="I28" s="36">
        <v>24794.483400000001</v>
      </c>
      <c r="J28" s="36">
        <v>24794.483400000001</v>
      </c>
      <c r="K28" s="36">
        <v>169</v>
      </c>
      <c r="L28" s="36">
        <v>169</v>
      </c>
      <c r="M28" s="12">
        <v>62</v>
      </c>
      <c r="N28" s="12">
        <v>118</v>
      </c>
    </row>
    <row r="29" spans="1:26" ht="45" customHeight="1">
      <c r="A29" s="28">
        <v>44190</v>
      </c>
      <c r="B29" s="38"/>
      <c r="C29" s="36">
        <v>14312</v>
      </c>
      <c r="D29" s="36">
        <v>14312</v>
      </c>
      <c r="E29" s="36">
        <v>217</v>
      </c>
      <c r="F29" s="36">
        <v>217</v>
      </c>
      <c r="G29" s="36">
        <v>2941.0686000000001</v>
      </c>
      <c r="H29" s="36">
        <v>2941.0686000000001</v>
      </c>
      <c r="I29" s="36">
        <v>25585.102199999998</v>
      </c>
      <c r="J29" s="36">
        <v>25585.102199999998</v>
      </c>
      <c r="K29" s="36">
        <v>205</v>
      </c>
      <c r="L29" s="36">
        <v>205</v>
      </c>
      <c r="M29" s="12">
        <v>62</v>
      </c>
      <c r="N29" s="12">
        <v>117</v>
      </c>
    </row>
    <row r="30" spans="1:26" ht="45" customHeight="1">
      <c r="A30" s="28">
        <v>44191</v>
      </c>
      <c r="B30" s="38"/>
      <c r="C30" s="36">
        <v>14151</v>
      </c>
      <c r="D30" s="36">
        <v>14151</v>
      </c>
      <c r="E30" s="36">
        <v>199</v>
      </c>
      <c r="F30" s="36">
        <v>199</v>
      </c>
      <c r="G30" s="36">
        <v>2352.6882000000001</v>
      </c>
      <c r="H30" s="36">
        <v>2352.6882000000001</v>
      </c>
      <c r="I30" s="36">
        <v>27121.336199999998</v>
      </c>
      <c r="J30" s="36">
        <v>27121.336199999998</v>
      </c>
      <c r="K30" s="36">
        <v>168</v>
      </c>
      <c r="L30" s="36">
        <v>168</v>
      </c>
      <c r="M30" s="12">
        <v>62</v>
      </c>
      <c r="N30" s="12">
        <v>117</v>
      </c>
    </row>
    <row r="31" spans="1:26" ht="45" customHeight="1">
      <c r="A31" s="28">
        <v>44192</v>
      </c>
      <c r="B31" s="38"/>
      <c r="C31" s="36">
        <v>13809</v>
      </c>
      <c r="D31" s="36">
        <v>13809</v>
      </c>
      <c r="E31" s="36">
        <v>188.3</v>
      </c>
      <c r="F31" s="36">
        <v>188.3</v>
      </c>
      <c r="G31" s="36">
        <v>2329.3530000000001</v>
      </c>
      <c r="H31" s="36">
        <v>2329.3530000000001</v>
      </c>
      <c r="I31" s="36">
        <v>26316.549599999998</v>
      </c>
      <c r="J31" s="36">
        <v>26316.549599999998</v>
      </c>
      <c r="K31" s="36">
        <v>175</v>
      </c>
      <c r="L31" s="36">
        <v>175</v>
      </c>
      <c r="M31" s="12">
        <v>59</v>
      </c>
      <c r="N31" s="12">
        <v>111</v>
      </c>
    </row>
    <row r="32" spans="1:26" ht="45" customHeight="1">
      <c r="A32" s="28">
        <v>44193</v>
      </c>
      <c r="B32" s="38"/>
      <c r="C32" s="36">
        <v>14068</v>
      </c>
      <c r="D32" s="36">
        <v>14068</v>
      </c>
      <c r="E32" s="36">
        <v>189</v>
      </c>
      <c r="F32" s="36">
        <v>189</v>
      </c>
      <c r="G32" s="36">
        <v>2689.1039999999998</v>
      </c>
      <c r="H32" s="36">
        <v>2689.1039999999998</v>
      </c>
      <c r="I32" s="36">
        <v>23560.218000000001</v>
      </c>
      <c r="J32" s="36">
        <v>23560.218000000001</v>
      </c>
      <c r="K32" s="36">
        <v>174</v>
      </c>
      <c r="L32" s="36">
        <v>174</v>
      </c>
      <c r="M32" s="12">
        <v>55</v>
      </c>
      <c r="N32" s="12">
        <v>105</v>
      </c>
    </row>
    <row r="33" spans="1:14" ht="36" customHeight="1">
      <c r="A33" s="28">
        <v>44194</v>
      </c>
      <c r="C33" s="36">
        <v>13912</v>
      </c>
      <c r="D33" s="36">
        <v>13912</v>
      </c>
      <c r="E33" s="36">
        <v>185</v>
      </c>
      <c r="F33" s="36">
        <v>185</v>
      </c>
      <c r="G33" s="36">
        <v>2476.8647999999998</v>
      </c>
      <c r="H33" s="36">
        <v>2476.8647999999998</v>
      </c>
      <c r="I33" s="36">
        <v>22546.248</v>
      </c>
      <c r="J33" s="36">
        <v>22546.248</v>
      </c>
      <c r="K33" s="36">
        <v>167</v>
      </c>
      <c r="L33" s="36">
        <v>167</v>
      </c>
      <c r="M33" s="12">
        <v>48</v>
      </c>
      <c r="N33" s="12">
        <v>95</v>
      </c>
    </row>
    <row r="34" spans="1:14" ht="45.6" customHeight="1">
      <c r="A34" s="28">
        <v>44195</v>
      </c>
      <c r="C34" s="36">
        <v>14004</v>
      </c>
      <c r="D34" s="36">
        <v>14004</v>
      </c>
      <c r="E34" s="36">
        <v>212</v>
      </c>
      <c r="F34" s="36">
        <v>212</v>
      </c>
      <c r="G34" s="36">
        <v>2190.7307999999998</v>
      </c>
      <c r="H34" s="36">
        <v>2190.7307999999998</v>
      </c>
      <c r="I34" s="36">
        <v>25102.285799999998</v>
      </c>
      <c r="J34" s="36">
        <v>25102.285799999998</v>
      </c>
      <c r="K34" s="36">
        <v>156</v>
      </c>
      <c r="L34" s="36">
        <v>156</v>
      </c>
      <c r="M34" s="12">
        <v>48</v>
      </c>
      <c r="N34" s="12">
        <v>92</v>
      </c>
    </row>
    <row r="35" spans="1:14" ht="47.45" customHeight="1">
      <c r="A35" s="28">
        <v>44196</v>
      </c>
      <c r="C35" s="36">
        <v>14718</v>
      </c>
      <c r="D35" s="36">
        <v>14718</v>
      </c>
      <c r="E35" s="36">
        <v>211</v>
      </c>
      <c r="F35" s="36">
        <v>211</v>
      </c>
      <c r="G35" s="36">
        <v>431.70119999999997</v>
      </c>
      <c r="H35" s="36">
        <v>431.70119999999997</v>
      </c>
      <c r="I35" s="36">
        <v>32660.3904</v>
      </c>
      <c r="J35" s="36">
        <v>32660.3904</v>
      </c>
      <c r="K35" s="36">
        <v>165</v>
      </c>
      <c r="L35" s="36">
        <v>165</v>
      </c>
      <c r="M35" s="12">
        <v>67</v>
      </c>
      <c r="N35" s="12">
        <v>136</v>
      </c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2021-09-22T12:07:03Z</dcterms:modified>
</cp:coreProperties>
</file>