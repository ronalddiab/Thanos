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efaultThemeVersion="124226"/>
  <bookViews>
    <workbookView xWindow="-1296" yWindow="12" windowWidth="10752" windowHeight="13056"/>
  </bookViews>
  <sheets>
    <sheet name="TOTAL" sheetId="5" r:id="rId1"/>
    <sheet name="Submetering" sheetId="7" r:id="rId2"/>
    <sheet name="FS Budapest" sheetId="6" r:id="rId3"/>
  </sheets>
  <calcPr calcId="125725"/>
  <fileRecoveryPr autoRecover="0"/>
</workbook>
</file>

<file path=xl/calcChain.xml><?xml version="1.0" encoding="utf-8"?>
<calcChain xmlns="http://schemas.openxmlformats.org/spreadsheetml/2006/main">
  <c r="E35" i="5"/>
  <c r="F35"/>
  <c r="G35"/>
  <c r="H35"/>
  <c r="I35"/>
  <c r="J35"/>
  <c r="K35"/>
  <c r="L35"/>
  <c r="D35"/>
  <c r="B32" l="1"/>
  <c r="E32"/>
  <c r="G32"/>
  <c r="I32"/>
  <c r="J32"/>
  <c r="K32"/>
  <c r="L32"/>
  <c r="R2" i="7"/>
  <c r="Q3"/>
  <c r="Q5"/>
  <c r="G6"/>
  <c r="Q7"/>
  <c r="S8"/>
  <c r="R8"/>
  <c r="Q9"/>
  <c r="Q11"/>
  <c r="R11"/>
  <c r="Q13"/>
  <c r="R13"/>
  <c r="G14"/>
  <c r="Q15"/>
  <c r="R16"/>
  <c r="Q17"/>
  <c r="R17"/>
  <c r="Q19"/>
  <c r="R19"/>
  <c r="Q21"/>
  <c r="R21"/>
  <c r="G22"/>
  <c r="Q23"/>
  <c r="R23"/>
  <c r="R24"/>
  <c r="Q25"/>
  <c r="Q26"/>
  <c r="Q27"/>
  <c r="S28"/>
  <c r="Q29"/>
  <c r="R29"/>
  <c r="S30"/>
  <c r="R30"/>
  <c r="Q31"/>
  <c r="S32"/>
  <c r="Q2"/>
  <c r="Z29"/>
  <c r="Z28"/>
  <c r="R25"/>
  <c r="Z18"/>
  <c r="Z11"/>
  <c r="R10"/>
  <c r="Q8"/>
  <c r="Q6"/>
  <c r="R3"/>
  <c r="Z2"/>
  <c r="H7"/>
  <c r="H8"/>
  <c r="H9"/>
  <c r="H10"/>
  <c r="H11"/>
  <c r="H12"/>
  <c r="H13"/>
  <c r="H14"/>
  <c r="G32"/>
  <c r="R15"/>
  <c r="Q10"/>
  <c r="R9"/>
  <c r="E32"/>
  <c r="F32"/>
  <c r="H32"/>
  <c r="I32"/>
  <c r="J32"/>
  <c r="K32"/>
  <c r="L32"/>
  <c r="M32"/>
  <c r="N32"/>
  <c r="O32"/>
  <c r="P32"/>
  <c r="Q32"/>
  <c r="R32"/>
  <c r="T32"/>
  <c r="U32"/>
  <c r="V32"/>
  <c r="W32"/>
  <c r="X32"/>
  <c r="Y32"/>
  <c r="Z32"/>
  <c r="AA32"/>
  <c r="AB32"/>
  <c r="AC32"/>
  <c r="AD32"/>
  <c r="AE32"/>
  <c r="AF32"/>
  <c r="AG32"/>
  <c r="AF3"/>
  <c r="K3" i="5" s="1"/>
  <c r="AG3" i="7"/>
  <c r="L3" i="5" s="1"/>
  <c r="AF4" i="7"/>
  <c r="K4" i="5" s="1"/>
  <c r="AG4" i="7"/>
  <c r="L4" i="5" s="1"/>
  <c r="AF5" i="7"/>
  <c r="K5" i="5" s="1"/>
  <c r="AG5" i="7"/>
  <c r="L5" i="5" s="1"/>
  <c r="AF6" i="7"/>
  <c r="K6" i="5" s="1"/>
  <c r="AG6" i="7"/>
  <c r="L6" i="5" s="1"/>
  <c r="AF7" i="7"/>
  <c r="K7" i="5" s="1"/>
  <c r="AG7" i="7"/>
  <c r="L7" i="5" s="1"/>
  <c r="AF8" i="7"/>
  <c r="K8" i="5" s="1"/>
  <c r="AG8" i="7"/>
  <c r="L8" i="5" s="1"/>
  <c r="AF9" i="7"/>
  <c r="K9" i="5" s="1"/>
  <c r="AG9" i="7"/>
  <c r="L9" i="5" s="1"/>
  <c r="AF10" i="7"/>
  <c r="K10" i="5" s="1"/>
  <c r="AG10" i="7"/>
  <c r="L10" i="5" s="1"/>
  <c r="AF11" i="7"/>
  <c r="K11" i="5" s="1"/>
  <c r="AG11" i="7"/>
  <c r="L11" i="5" s="1"/>
  <c r="AF12" i="7"/>
  <c r="K12" i="5" s="1"/>
  <c r="AG12" i="7"/>
  <c r="L12" i="5" s="1"/>
  <c r="AF13" i="7"/>
  <c r="K13" i="5" s="1"/>
  <c r="AG13" i="7"/>
  <c r="L13" i="5" s="1"/>
  <c r="AF14" i="7"/>
  <c r="K14" i="5" s="1"/>
  <c r="AG14" i="7"/>
  <c r="L14" i="5" s="1"/>
  <c r="AF15" i="7"/>
  <c r="K15" i="5" s="1"/>
  <c r="AG15" i="7"/>
  <c r="L15" i="5" s="1"/>
  <c r="AF16" i="7"/>
  <c r="K16" i="5" s="1"/>
  <c r="AG16" i="7"/>
  <c r="L16" i="5" s="1"/>
  <c r="AF17" i="7"/>
  <c r="K17" i="5" s="1"/>
  <c r="AG17" i="7"/>
  <c r="L17" i="5" s="1"/>
  <c r="AF18" i="7"/>
  <c r="K18" i="5" s="1"/>
  <c r="AG18" i="7"/>
  <c r="L18" i="5" s="1"/>
  <c r="AF19" i="7"/>
  <c r="K19" i="5" s="1"/>
  <c r="AG19" i="7"/>
  <c r="L19" i="5" s="1"/>
  <c r="AF20" i="7"/>
  <c r="K20" i="5" s="1"/>
  <c r="AG20" i="7"/>
  <c r="L20" i="5" s="1"/>
  <c r="AF21" i="7"/>
  <c r="K21" i="5" s="1"/>
  <c r="AG21" i="7"/>
  <c r="L21" i="5" s="1"/>
  <c r="AF22" i="7"/>
  <c r="K22" i="5" s="1"/>
  <c r="AG22" i="7"/>
  <c r="L22" i="5" s="1"/>
  <c r="AF23" i="7"/>
  <c r="K23" i="5" s="1"/>
  <c r="AG23" i="7"/>
  <c r="L23" i="5" s="1"/>
  <c r="AF24" i="7"/>
  <c r="K24" i="5" s="1"/>
  <c r="AG24" i="7"/>
  <c r="L24" i="5" s="1"/>
  <c r="AF25" i="7"/>
  <c r="K25" i="5" s="1"/>
  <c r="AG25" i="7"/>
  <c r="L25" i="5"/>
  <c r="AF26" i="7"/>
  <c r="K26" i="5"/>
  <c r="AG26" i="7"/>
  <c r="L26" i="5"/>
  <c r="AF27" i="7"/>
  <c r="K27" i="5" s="1"/>
  <c r="AG27" i="7"/>
  <c r="L27" i="5" s="1"/>
  <c r="AF28" i="7"/>
  <c r="K28" i="5"/>
  <c r="AG28" i="7"/>
  <c r="L28" i="5"/>
  <c r="AF29" i="7"/>
  <c r="K29" i="5"/>
  <c r="AG29" i="7"/>
  <c r="L29" i="5"/>
  <c r="AF30" i="7"/>
  <c r="K30" i="5"/>
  <c r="AG30" i="7"/>
  <c r="L30" i="5"/>
  <c r="AF31" i="7"/>
  <c r="K31" i="5"/>
  <c r="AG31" i="7"/>
  <c r="L31" i="5"/>
  <c r="AG2" i="7"/>
  <c r="L2" i="5"/>
  <c r="AF2" i="7"/>
  <c r="K2" i="5"/>
  <c r="X3" i="7"/>
  <c r="Y3"/>
  <c r="AB3"/>
  <c r="AD3"/>
  <c r="AE3"/>
  <c r="X4"/>
  <c r="Y4"/>
  <c r="AB4"/>
  <c r="AD4"/>
  <c r="AE4"/>
  <c r="X5"/>
  <c r="Y5"/>
  <c r="E5" i="5" s="1"/>
  <c r="AB5" i="7"/>
  <c r="AD5"/>
  <c r="AE5"/>
  <c r="X6"/>
  <c r="Y6"/>
  <c r="AB6"/>
  <c r="AD6"/>
  <c r="AE6"/>
  <c r="X7"/>
  <c r="Y7"/>
  <c r="E7" i="5" s="1"/>
  <c r="AB7" i="7"/>
  <c r="AD7"/>
  <c r="AE7"/>
  <c r="X8"/>
  <c r="Y8"/>
  <c r="AB8"/>
  <c r="AD8"/>
  <c r="AE8"/>
  <c r="X9"/>
  <c r="Y9"/>
  <c r="AB9"/>
  <c r="AD9"/>
  <c r="AE9"/>
  <c r="X10"/>
  <c r="Y10"/>
  <c r="AB10"/>
  <c r="AD10"/>
  <c r="AE10"/>
  <c r="X11"/>
  <c r="Y11"/>
  <c r="E11" i="5" s="1"/>
  <c r="AB11" i="7"/>
  <c r="AD11"/>
  <c r="AE11"/>
  <c r="X12"/>
  <c r="Y12"/>
  <c r="AB12"/>
  <c r="AD12"/>
  <c r="AE12"/>
  <c r="X13"/>
  <c r="Y13"/>
  <c r="E13" i="5" s="1"/>
  <c r="AB13" i="7"/>
  <c r="AD13"/>
  <c r="AE13"/>
  <c r="X14"/>
  <c r="Y14"/>
  <c r="AB14"/>
  <c r="AD14"/>
  <c r="AE14"/>
  <c r="X15"/>
  <c r="Y15"/>
  <c r="AB15"/>
  <c r="AD15"/>
  <c r="AE15"/>
  <c r="X16"/>
  <c r="Y16"/>
  <c r="AB16"/>
  <c r="AD16"/>
  <c r="AE16"/>
  <c r="X17"/>
  <c r="Y17"/>
  <c r="E17" i="5" s="1"/>
  <c r="AB17" i="7"/>
  <c r="AD17"/>
  <c r="AE17"/>
  <c r="X18"/>
  <c r="Y18"/>
  <c r="AB18"/>
  <c r="AD18"/>
  <c r="AE18"/>
  <c r="X19"/>
  <c r="Y19"/>
  <c r="AB19"/>
  <c r="AD19"/>
  <c r="AE19"/>
  <c r="X20"/>
  <c r="Y20"/>
  <c r="E20" i="5" s="1"/>
  <c r="AB20" i="7"/>
  <c r="AD20"/>
  <c r="AE20"/>
  <c r="X21"/>
  <c r="Y21"/>
  <c r="AB21"/>
  <c r="AD21"/>
  <c r="AE21"/>
  <c r="X22"/>
  <c r="Y22"/>
  <c r="AB22"/>
  <c r="AD22"/>
  <c r="AE22"/>
  <c r="X23"/>
  <c r="Y23"/>
  <c r="E23" i="5" s="1"/>
  <c r="AB23" i="7"/>
  <c r="AD23"/>
  <c r="AE23"/>
  <c r="X24"/>
  <c r="Y24"/>
  <c r="E24" i="5" s="1"/>
  <c r="AB24" i="7"/>
  <c r="AD24"/>
  <c r="AE24"/>
  <c r="X25"/>
  <c r="Y25"/>
  <c r="AB25"/>
  <c r="AD25"/>
  <c r="AE25"/>
  <c r="X26"/>
  <c r="Y26"/>
  <c r="AB26"/>
  <c r="AD26"/>
  <c r="AE26"/>
  <c r="X27"/>
  <c r="Y27"/>
  <c r="E27" i="5" s="1"/>
  <c r="AB27" i="7"/>
  <c r="AD27"/>
  <c r="AE27"/>
  <c r="X28"/>
  <c r="Y28"/>
  <c r="AB28"/>
  <c r="AD28"/>
  <c r="AE28"/>
  <c r="X29"/>
  <c r="Y29"/>
  <c r="E29" i="5" s="1"/>
  <c r="AB29" i="7"/>
  <c r="AD29"/>
  <c r="AE29"/>
  <c r="X30"/>
  <c r="Y30"/>
  <c r="E30" i="5" s="1"/>
  <c r="AB30" i="7"/>
  <c r="AD30"/>
  <c r="AE30"/>
  <c r="X31"/>
  <c r="Y31"/>
  <c r="AB31"/>
  <c r="AD31"/>
  <c r="AE31"/>
  <c r="AE2"/>
  <c r="AD2"/>
  <c r="AB2"/>
  <c r="Y2"/>
  <c r="X2"/>
  <c r="M3"/>
  <c r="N3"/>
  <c r="O3"/>
  <c r="P3"/>
  <c r="T3"/>
  <c r="U3"/>
  <c r="G3" i="5" s="1"/>
  <c r="V3" i="7"/>
  <c r="W3"/>
  <c r="M4"/>
  <c r="N4"/>
  <c r="O4"/>
  <c r="P4"/>
  <c r="Q4"/>
  <c r="R4"/>
  <c r="T4"/>
  <c r="U4"/>
  <c r="V4"/>
  <c r="W4"/>
  <c r="M5"/>
  <c r="N5"/>
  <c r="O5"/>
  <c r="P5"/>
  <c r="R5"/>
  <c r="T5"/>
  <c r="U5"/>
  <c r="G5" i="5" s="1"/>
  <c r="V5" i="7"/>
  <c r="W5"/>
  <c r="M6"/>
  <c r="N6"/>
  <c r="O6"/>
  <c r="P6"/>
  <c r="R6"/>
  <c r="T6"/>
  <c r="U6"/>
  <c r="G6" i="5" s="1"/>
  <c r="V6" i="7"/>
  <c r="W6"/>
  <c r="M7"/>
  <c r="N7"/>
  <c r="O7"/>
  <c r="P7"/>
  <c r="R7"/>
  <c r="T7"/>
  <c r="U7"/>
  <c r="V7"/>
  <c r="W7"/>
  <c r="M8"/>
  <c r="N8"/>
  <c r="O8"/>
  <c r="P8"/>
  <c r="T8"/>
  <c r="U8"/>
  <c r="V8"/>
  <c r="W8"/>
  <c r="M9"/>
  <c r="N9"/>
  <c r="O9"/>
  <c r="P9"/>
  <c r="T9"/>
  <c r="U9"/>
  <c r="V9"/>
  <c r="W9"/>
  <c r="M10"/>
  <c r="N10"/>
  <c r="O10"/>
  <c r="P10"/>
  <c r="T10"/>
  <c r="U10"/>
  <c r="G10" i="5" s="1"/>
  <c r="V10" i="7"/>
  <c r="W10"/>
  <c r="M11"/>
  <c r="N11"/>
  <c r="O11"/>
  <c r="P11"/>
  <c r="T11"/>
  <c r="U11"/>
  <c r="G11" i="5" s="1"/>
  <c r="V11" i="7"/>
  <c r="W11"/>
  <c r="M12"/>
  <c r="N12"/>
  <c r="O12"/>
  <c r="P12"/>
  <c r="Q12"/>
  <c r="R12"/>
  <c r="T12"/>
  <c r="U12"/>
  <c r="V12"/>
  <c r="W12"/>
  <c r="M13"/>
  <c r="N13"/>
  <c r="O13"/>
  <c r="P13"/>
  <c r="T13"/>
  <c r="U13"/>
  <c r="V13"/>
  <c r="W13"/>
  <c r="M14"/>
  <c r="N14"/>
  <c r="O14"/>
  <c r="P14"/>
  <c r="Q14"/>
  <c r="R14"/>
  <c r="T14"/>
  <c r="U14"/>
  <c r="V14"/>
  <c r="W14"/>
  <c r="M15"/>
  <c r="N15"/>
  <c r="O15"/>
  <c r="P15"/>
  <c r="T15"/>
  <c r="U15"/>
  <c r="V15"/>
  <c r="W15"/>
  <c r="M16"/>
  <c r="N16"/>
  <c r="O16"/>
  <c r="P16"/>
  <c r="Q16"/>
  <c r="T16"/>
  <c r="U16"/>
  <c r="V16"/>
  <c r="W16"/>
  <c r="M17"/>
  <c r="N17"/>
  <c r="O17"/>
  <c r="P17"/>
  <c r="T17"/>
  <c r="U17"/>
  <c r="G17" i="5" s="1"/>
  <c r="V17" i="7"/>
  <c r="W17"/>
  <c r="M18"/>
  <c r="N18"/>
  <c r="O18"/>
  <c r="P18"/>
  <c r="Q18"/>
  <c r="R18"/>
  <c r="T18"/>
  <c r="U18"/>
  <c r="V18"/>
  <c r="W18"/>
  <c r="M19"/>
  <c r="N19"/>
  <c r="O19"/>
  <c r="P19"/>
  <c r="T19"/>
  <c r="U19"/>
  <c r="V19"/>
  <c r="W19"/>
  <c r="M20"/>
  <c r="N20"/>
  <c r="O20"/>
  <c r="P20"/>
  <c r="Q20"/>
  <c r="R20"/>
  <c r="T20"/>
  <c r="U20"/>
  <c r="G20" i="5" s="1"/>
  <c r="V20" i="7"/>
  <c r="W20"/>
  <c r="M21"/>
  <c r="N21"/>
  <c r="O21"/>
  <c r="P21"/>
  <c r="T21"/>
  <c r="U21"/>
  <c r="G21" i="5" s="1"/>
  <c r="V21" i="7"/>
  <c r="W21"/>
  <c r="M22"/>
  <c r="N22"/>
  <c r="O22"/>
  <c r="P22"/>
  <c r="Q22"/>
  <c r="R22"/>
  <c r="T22"/>
  <c r="U22"/>
  <c r="G22" i="5" s="1"/>
  <c r="V22" i="7"/>
  <c r="W22"/>
  <c r="M23"/>
  <c r="N23"/>
  <c r="O23"/>
  <c r="P23"/>
  <c r="T23"/>
  <c r="U23"/>
  <c r="G23" i="5" s="1"/>
  <c r="V23" i="7"/>
  <c r="W23"/>
  <c r="M24"/>
  <c r="N24"/>
  <c r="O24"/>
  <c r="P24"/>
  <c r="Q24"/>
  <c r="T24"/>
  <c r="U24"/>
  <c r="V24"/>
  <c r="W24"/>
  <c r="M25"/>
  <c r="N25"/>
  <c r="O25"/>
  <c r="P25"/>
  <c r="T25"/>
  <c r="U25"/>
  <c r="V25"/>
  <c r="W25"/>
  <c r="M26"/>
  <c r="N26"/>
  <c r="O26"/>
  <c r="P26"/>
  <c r="R26"/>
  <c r="T26"/>
  <c r="U26"/>
  <c r="V26"/>
  <c r="W26"/>
  <c r="M27"/>
  <c r="N27"/>
  <c r="O27"/>
  <c r="P27"/>
  <c r="R27"/>
  <c r="T27"/>
  <c r="U27"/>
  <c r="G27" i="5"/>
  <c r="V27" i="7"/>
  <c r="W27"/>
  <c r="M28"/>
  <c r="N28"/>
  <c r="O28"/>
  <c r="P28"/>
  <c r="Q28"/>
  <c r="R28"/>
  <c r="T28"/>
  <c r="U28"/>
  <c r="V28"/>
  <c r="W28"/>
  <c r="M29"/>
  <c r="N29"/>
  <c r="O29"/>
  <c r="P29"/>
  <c r="T29"/>
  <c r="U29"/>
  <c r="V29"/>
  <c r="W29"/>
  <c r="M30"/>
  <c r="N30"/>
  <c r="O30"/>
  <c r="P30"/>
  <c r="Q30"/>
  <c r="T30"/>
  <c r="U30"/>
  <c r="V30"/>
  <c r="W30"/>
  <c r="M31"/>
  <c r="N31"/>
  <c r="O31"/>
  <c r="P31"/>
  <c r="R31"/>
  <c r="T31"/>
  <c r="U31"/>
  <c r="V31"/>
  <c r="W31"/>
  <c r="V2"/>
  <c r="W2"/>
  <c r="U2"/>
  <c r="T2"/>
  <c r="P2"/>
  <c r="O2"/>
  <c r="N2"/>
  <c r="M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2"/>
  <c r="H3"/>
  <c r="H4"/>
  <c r="H5"/>
  <c r="H6"/>
  <c r="H15"/>
  <c r="H16"/>
  <c r="H17"/>
  <c r="H18"/>
  <c r="H19"/>
  <c r="H20"/>
  <c r="H21"/>
  <c r="H22"/>
  <c r="H23"/>
  <c r="H24"/>
  <c r="H25"/>
  <c r="H26"/>
  <c r="H27"/>
  <c r="H28"/>
  <c r="H29"/>
  <c r="H30"/>
  <c r="H31"/>
  <c r="H2"/>
  <c r="G3"/>
  <c r="G4"/>
  <c r="G8"/>
  <c r="G12"/>
  <c r="G13"/>
  <c r="G16"/>
  <c r="G30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2"/>
  <c r="E3"/>
  <c r="E4"/>
  <c r="E5"/>
  <c r="I5" i="5" s="1"/>
  <c r="E6" i="7"/>
  <c r="I6" i="5" s="1"/>
  <c r="E7" i="7"/>
  <c r="I7" i="5"/>
  <c r="E8" i="7"/>
  <c r="I8" i="5" s="1"/>
  <c r="E9" i="7"/>
  <c r="I9" i="5"/>
  <c r="E10" i="7"/>
  <c r="I10" i="5" s="1"/>
  <c r="E11" i="7"/>
  <c r="E12"/>
  <c r="I12" i="5"/>
  <c r="E13" i="7"/>
  <c r="I13" i="5" s="1"/>
  <c r="E14" i="7"/>
  <c r="E15"/>
  <c r="I15" i="5" s="1"/>
  <c r="E16" i="7"/>
  <c r="I16" i="5" s="1"/>
  <c r="E17" i="7"/>
  <c r="I17" i="5" s="1"/>
  <c r="E18" i="7"/>
  <c r="I18" i="5" s="1"/>
  <c r="E19" i="7"/>
  <c r="I19" i="5" s="1"/>
  <c r="E20" i="7"/>
  <c r="E21"/>
  <c r="I21" i="5"/>
  <c r="E22" i="7"/>
  <c r="I22" i="5" s="1"/>
  <c r="E23" i="7"/>
  <c r="I23" i="5" s="1"/>
  <c r="E24" i="7"/>
  <c r="E25"/>
  <c r="I25" i="5"/>
  <c r="E26" i="7"/>
  <c r="I26" i="5" s="1"/>
  <c r="E27" i="7"/>
  <c r="I27" i="5"/>
  <c r="E28" i="7"/>
  <c r="I28" i="5" s="1"/>
  <c r="E29" i="7"/>
  <c r="I29" i="5"/>
  <c r="E30" i="7"/>
  <c r="I30" i="5" s="1"/>
  <c r="E31" i="7"/>
  <c r="E2"/>
  <c r="B3"/>
  <c r="B4" s="1"/>
  <c r="B5"/>
  <c r="B6" s="1"/>
  <c r="B7"/>
  <c r="B8" s="1"/>
  <c r="B9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J3" i="5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B3"/>
  <c r="B4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26"/>
  <c r="G9"/>
  <c r="E6"/>
  <c r="E26"/>
  <c r="E25"/>
  <c r="E22"/>
  <c r="E16"/>
  <c r="E14"/>
  <c r="G23" i="7"/>
  <c r="AA13"/>
  <c r="E28" i="5"/>
  <c r="G16"/>
  <c r="Z30" i="7"/>
  <c r="Z20"/>
  <c r="AC20"/>
  <c r="G8" i="5"/>
  <c r="E19"/>
  <c r="E2"/>
  <c r="G31"/>
  <c r="G4"/>
  <c r="G2" i="7"/>
  <c r="G20"/>
  <c r="G15"/>
  <c r="G18"/>
  <c r="Z7"/>
  <c r="G26"/>
  <c r="G12" i="5"/>
  <c r="AA10" i="7"/>
  <c r="AA12"/>
  <c r="AA25"/>
  <c r="AA23"/>
  <c r="AC25"/>
  <c r="Z5"/>
  <c r="AA5"/>
  <c r="AA22"/>
  <c r="AC22"/>
  <c r="Z22"/>
  <c r="AA8"/>
  <c r="Z8"/>
  <c r="Z19"/>
  <c r="AA19"/>
  <c r="AC24"/>
  <c r="AA29"/>
  <c r="AA3"/>
  <c r="Z3"/>
  <c r="AC7"/>
  <c r="Z10"/>
  <c r="AA16"/>
  <c r="Z16"/>
  <c r="Z13"/>
  <c r="AA4"/>
  <c r="Z4"/>
  <c r="AC18"/>
  <c r="AA21"/>
  <c r="Z21"/>
  <c r="Z9"/>
  <c r="AA9"/>
  <c r="AA15"/>
  <c r="Z15"/>
  <c r="AA28"/>
  <c r="Z17"/>
  <c r="AA17"/>
  <c r="AA6"/>
  <c r="Z6"/>
  <c r="Z12"/>
  <c r="AA31"/>
  <c r="Z31"/>
  <c r="Z25"/>
  <c r="Z23"/>
  <c r="Z24"/>
  <c r="AA7"/>
  <c r="AA24"/>
  <c r="G15" i="5"/>
  <c r="G13"/>
  <c r="G28"/>
  <c r="G17" i="7"/>
  <c r="G28"/>
  <c r="G24"/>
  <c r="S22"/>
  <c r="S18"/>
  <c r="S16"/>
  <c r="S10"/>
  <c r="S4"/>
  <c r="S2"/>
  <c r="S14"/>
  <c r="S12"/>
  <c r="S6"/>
  <c r="S25"/>
  <c r="S23"/>
  <c r="S15"/>
  <c r="S31"/>
  <c r="S29"/>
  <c r="S27"/>
  <c r="S21"/>
  <c r="S19"/>
  <c r="S17"/>
  <c r="S26"/>
  <c r="S13"/>
  <c r="S11"/>
  <c r="S9"/>
  <c r="S7"/>
  <c r="S24"/>
  <c r="S5"/>
  <c r="S3"/>
  <c r="S20"/>
  <c r="I20" i="5"/>
  <c r="G31" i="7"/>
  <c r="G27"/>
  <c r="G9"/>
  <c r="I14" i="5"/>
  <c r="G29" i="7"/>
  <c r="I3" i="5"/>
  <c r="G19" i="7"/>
  <c r="I11" i="5"/>
  <c r="I4"/>
  <c r="G21" i="7"/>
  <c r="I2" i="5"/>
  <c r="G5" i="7"/>
  <c r="AC2"/>
  <c r="AC4"/>
  <c r="AC16"/>
  <c r="AC27"/>
  <c r="AC3"/>
  <c r="AC14"/>
  <c r="AC15"/>
  <c r="AC21"/>
  <c r="AC10"/>
  <c r="AC26"/>
  <c r="AC13"/>
  <c r="AC19"/>
  <c r="AC31"/>
  <c r="AC6"/>
  <c r="AC29"/>
  <c r="AC8"/>
  <c r="AC5"/>
  <c r="AC12"/>
  <c r="AC28"/>
  <c r="AC17"/>
  <c r="G7" i="5" l="1"/>
  <c r="E3"/>
  <c r="I24"/>
  <c r="E4"/>
  <c r="I31"/>
  <c r="G2"/>
  <c r="G30"/>
  <c r="G25"/>
  <c r="G24"/>
  <c r="G19"/>
  <c r="G18"/>
  <c r="G14"/>
  <c r="E31"/>
  <c r="E21"/>
  <c r="E18"/>
  <c r="E15"/>
  <c r="E12"/>
  <c r="E10"/>
  <c r="E9"/>
  <c r="E8"/>
  <c r="AC30" i="7"/>
  <c r="AA30"/>
  <c r="Z27"/>
  <c r="AA27"/>
  <c r="G11"/>
  <c r="G10"/>
  <c r="G7"/>
  <c r="AC9"/>
  <c r="AA11"/>
  <c r="AA14"/>
  <c r="Z14"/>
  <c r="AA26"/>
  <c r="Z26"/>
  <c r="AC23"/>
  <c r="G29" i="5"/>
  <c r="G25" i="7"/>
  <c r="AA18"/>
  <c r="AA20"/>
  <c r="AA2"/>
  <c r="AC11" l="1"/>
</calcChain>
</file>

<file path=xl/sharedStrings.xml><?xml version="1.0" encoding="utf-8"?>
<sst xmlns="http://schemas.openxmlformats.org/spreadsheetml/2006/main" count="274" uniqueCount="129">
  <si>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</si>
  <si>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</si>
  <si>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</si>
  <si>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</si>
  <si>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</si>
  <si>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</si>
  <si>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</si>
  <si>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</si>
  <si>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</si>
  <si>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</si>
  <si>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</si>
  <si>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</si>
  <si>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Budapest</t>
  </si>
  <si>
    <t>B074 Nagy - m3</t>
  </si>
  <si>
    <t>B074  Hotel napi+torony-m3</t>
  </si>
  <si>
    <t>B074  Hotel napi-torony -m3</t>
  </si>
  <si>
    <t>B057 Nagy - m3</t>
  </si>
  <si>
    <t>B074 mosoda víz-m3</t>
  </si>
  <si>
    <t>B054 konyha -m3</t>
  </si>
  <si>
    <t>HMV konyha -m3</t>
  </si>
  <si>
    <t>HMV Hotel -m3</t>
  </si>
  <si>
    <t>B 105 Gozakna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</si>
  <si>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</si>
  <si>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</si>
  <si>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</si>
  <si>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</si>
  <si>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</si>
  <si>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</si>
  <si>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</si>
  <si>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</si>
  <si>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</si>
  <si>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</si>
  <si>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Elec. Supply 1 - Kwh</t>
  </si>
  <si>
    <t>Elec. Supply 2 - Kwh</t>
  </si>
  <si>
    <t>Hotel Absolute Daily -KWh</t>
  </si>
  <si>
    <t>Hotel Absolut napi fogyasztas-hutok -KWh</t>
  </si>
  <si>
    <t>18 GARAGE -KWh</t>
  </si>
  <si>
    <t>GARAGE + PALACE SUMMA DAYLI - KWh</t>
  </si>
  <si>
    <t>Chiller 1  -KWh</t>
  </si>
  <si>
    <t>Chiller 2  -KWh</t>
  </si>
  <si>
    <t>WATER (Víz)&amp; SEWAGE</t>
  </si>
  <si>
    <t>GAS (Gáz)</t>
  </si>
  <si>
    <t xml:space="preserve">Villany / Electricity  </t>
  </si>
  <si>
    <t>Room Nights</t>
  </si>
  <si>
    <t>1. supply water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</si>
  <si>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</si>
  <si>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</si>
  <si>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</si>
  <si>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</si>
  <si>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</si>
  <si>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</si>
  <si>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</si>
  <si>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</si>
  <si>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</si>
  <si>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</si>
  <si>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</si>
  <si>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</si>
  <si>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</si>
  <si>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</si>
  <si>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</si>
  <si>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</si>
  <si>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</si>
  <si>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</si>
  <si>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</si>
  <si>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Elec supply1.</t>
  </si>
  <si>
    <t>Elec supply2.</t>
  </si>
  <si>
    <t>garage</t>
  </si>
  <si>
    <t>chiller1</t>
  </si>
  <si>
    <t>chiller2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</si>
  <si>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</si>
  <si>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</si>
  <si>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</si>
  <si>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</si>
  <si>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</si>
  <si>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</si>
  <si>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</si>
  <si>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</si>
  <si>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</si>
  <si>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</si>
  <si>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</si>
  <si>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</si>
  <si>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</si>
  <si>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</si>
  <si>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</si>
  <si>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</si>
  <si>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</si>
  <si>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</si>
  <si>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</si>
  <si>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</si>
  <si>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</si>
  <si>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</si>
  <si>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</si>
  <si>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</si>
  <si>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</si>
  <si>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</si>
  <si>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</si>
  <si>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</si>
  <si>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</si>
  <si>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</si>
  <si>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</si>
  <si>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</si>
  <si>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 mérő</t>
  </si>
  <si>
    <t>1-es mérő napi fogy.</t>
  </si>
  <si>
    <t>2 mérő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</si>
  <si>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</si>
  <si>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</si>
  <si>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</si>
  <si>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</si>
  <si>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</si>
  <si>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</si>
  <si>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</si>
  <si>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</si>
  <si>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</si>
  <si>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</si>
  <si>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</si>
  <si>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</si>
  <si>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</si>
  <si>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</si>
  <si>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</si>
  <si>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</si>
  <si>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</si>
  <si>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</si>
  <si>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</si>
  <si>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</si>
  <si>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</si>
  <si>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</si>
  <si>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# Guests</t>
  </si>
  <si>
    <t> </t>
  </si>
  <si>
    <t>30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</si>
</sst>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\ _F_t"/>
  </numFmts>
  <fonts count="39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  <font>
      <sz val="14"/>
      <name val="Arial"/>
      <family val="2"/>
    </font>
    <font>
      <sz val="14"/>
      <color rgb="FFFF0000"/>
      <name val="Arial"/>
      <family val="2"/>
    </font>
    <font>
      <sz val="14"/>
      <color rgb="FFD7253E"/>
      <name val="Arial"/>
      <family val="2"/>
      <charset val="238"/>
    </font>
    <font>
      <sz val="14"/>
      <color rgb="FF3366FF"/>
      <name val="Arial"/>
      <family val="2"/>
      <charset val="238"/>
    </font>
    <font>
      <sz val="14"/>
      <color rgb="FF000000"/>
      <name val="Arial"/>
      <family val="2"/>
      <charset val="238"/>
    </font>
    <font>
      <sz val="16"/>
      <name val="Arial"/>
      <family val="2"/>
      <charset val="238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4"/>
      <color rgb="FF339966"/>
      <name val="Arial"/>
      <family val="2"/>
      <charset val="238"/>
    </font>
    <font>
      <sz val="14"/>
      <color rgb="FFFF00FF"/>
      <name val="Arial"/>
      <family val="2"/>
      <charset val="238"/>
    </font>
    <font>
      <b/>
      <sz val="14"/>
      <color rgb="FF3366FF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0000"/>
      <name val="Arial"/>
      <family val="2"/>
    </font>
    <font>
      <sz val="14"/>
      <color rgb="FF000000"/>
      <name val="Calibri"/>
      <family val="2"/>
    </font>
    <font>
      <sz val="12"/>
      <name val="Arial"/>
      <family val="2"/>
      <charset val="238"/>
    </font>
  </fonts>
  <fills count="8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CCFF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5A8AC6"/>
        <bgColor rgb="FF000000"/>
      </patternFill>
    </fill>
    <fill>
      <patternFill patternType="solid">
        <fgColor rgb="FF60B5CC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FFE583"/>
        <bgColor rgb="FF000000"/>
      </patternFill>
    </fill>
    <fill>
      <patternFill patternType="solid">
        <fgColor rgb="FFFFE984"/>
        <bgColor rgb="FF000000"/>
      </patternFill>
    </fill>
    <fill>
      <patternFill patternType="solid">
        <fgColor rgb="FFF9776E"/>
        <bgColor rgb="FF000000"/>
      </patternFill>
    </fill>
    <fill>
      <patternFill patternType="solid">
        <fgColor rgb="FFFFE082"/>
        <bgColor rgb="FF000000"/>
      </patternFill>
    </fill>
    <fill>
      <patternFill patternType="solid">
        <fgColor rgb="FFFDC27D"/>
        <bgColor rgb="FF000000"/>
      </patternFill>
    </fill>
    <fill>
      <patternFill patternType="solid">
        <fgColor rgb="FFF0E683"/>
        <bgColor rgb="FF000000"/>
      </patternFill>
    </fill>
    <fill>
      <patternFill patternType="solid">
        <fgColor rgb="FFACBAA5"/>
        <bgColor rgb="FF000000"/>
      </patternFill>
    </fill>
    <fill>
      <patternFill patternType="solid">
        <fgColor rgb="FFFFE784"/>
        <bgColor rgb="FF000000"/>
      </patternFill>
    </fill>
    <fill>
      <patternFill patternType="solid">
        <fgColor rgb="FFFFEF9C"/>
        <bgColor rgb="FF000000"/>
      </patternFill>
    </fill>
    <fill>
      <patternFill patternType="solid">
        <fgColor rgb="FF70C27D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A0D2E0"/>
        <bgColor rgb="FF000000"/>
      </patternFill>
    </fill>
    <fill>
      <patternFill patternType="solid">
        <fgColor rgb="FF7DC68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E093"/>
        <bgColor rgb="FF000000"/>
      </patternFill>
    </fill>
    <fill>
      <patternFill patternType="solid">
        <fgColor rgb="FF98A0B2"/>
        <bgColor rgb="FF000000"/>
      </patternFill>
    </fill>
    <fill>
      <patternFill patternType="solid">
        <fgColor rgb="FF76C47F"/>
        <bgColor rgb="FF000000"/>
      </patternFill>
    </fill>
    <fill>
      <patternFill patternType="solid">
        <fgColor rgb="FFFFE884"/>
        <bgColor rgb="FF000000"/>
      </patternFill>
    </fill>
    <fill>
      <patternFill patternType="solid">
        <fgColor rgb="FFFCB37A"/>
        <bgColor rgb="FF000000"/>
      </patternFill>
    </fill>
    <fill>
      <patternFill patternType="solid">
        <fgColor rgb="FFFFE383"/>
        <bgColor rgb="FF000000"/>
      </patternFill>
    </fill>
    <fill>
      <patternFill patternType="solid">
        <fgColor rgb="FFFFE283"/>
        <bgColor rgb="FF000000"/>
      </patternFill>
    </fill>
    <fill>
      <patternFill patternType="solid">
        <fgColor rgb="FFFFE183"/>
        <bgColor rgb="FF000000"/>
      </patternFill>
    </fill>
    <fill>
      <patternFill patternType="solid">
        <fgColor rgb="FFFDC37D"/>
        <bgColor rgb="FF000000"/>
      </patternFill>
    </fill>
    <fill>
      <patternFill patternType="solid">
        <fgColor rgb="FFFED380"/>
        <bgColor rgb="FF000000"/>
      </patternFill>
    </fill>
    <fill>
      <patternFill patternType="solid">
        <fgColor rgb="FFBED880"/>
        <bgColor rgb="FF000000"/>
      </patternFill>
    </fill>
    <fill>
      <patternFill patternType="solid">
        <fgColor rgb="FFFB9C75"/>
        <bgColor rgb="FF000000"/>
      </patternFill>
    </fill>
    <fill>
      <patternFill patternType="solid">
        <fgColor rgb="FFFFDC82"/>
        <bgColor rgb="FF000000"/>
      </patternFill>
    </fill>
    <fill>
      <patternFill patternType="solid">
        <fgColor rgb="FFCBDE91"/>
        <bgColor rgb="FF000000"/>
      </patternFill>
    </fill>
    <fill>
      <patternFill patternType="solid">
        <fgColor rgb="FF69C07C"/>
        <bgColor rgb="FF000000"/>
      </patternFill>
    </fill>
    <fill>
      <patternFill patternType="solid">
        <fgColor rgb="FFF9E983"/>
        <bgColor rgb="FF000000"/>
      </patternFill>
    </fill>
    <fill>
      <patternFill patternType="solid">
        <fgColor rgb="FFFA8270"/>
        <bgColor rgb="FF000000"/>
      </patternFill>
    </fill>
    <fill>
      <patternFill patternType="solid">
        <fgColor rgb="FFF97A6F"/>
        <bgColor rgb="FF000000"/>
      </patternFill>
    </fill>
    <fill>
      <patternFill patternType="solid">
        <fgColor rgb="FFF6E883"/>
        <bgColor rgb="FF000000"/>
      </patternFill>
    </fill>
    <fill>
      <patternFill patternType="solid">
        <fgColor rgb="FFF8E983"/>
        <bgColor rgb="FF000000"/>
      </patternFill>
    </fill>
    <fill>
      <patternFill patternType="solid">
        <fgColor rgb="FFFCAA78"/>
        <bgColor rgb="FF000000"/>
      </patternFill>
    </fill>
    <fill>
      <patternFill patternType="solid">
        <fgColor rgb="FFFAE983"/>
        <bgColor rgb="FF000000"/>
      </patternFill>
    </fill>
    <fill>
      <patternFill patternType="solid">
        <fgColor rgb="FFFB9A75"/>
        <bgColor rgb="FF000000"/>
      </patternFill>
    </fill>
    <fill>
      <patternFill patternType="solid">
        <fgColor rgb="FFF1E683"/>
        <bgColor rgb="FF000000"/>
      </patternFill>
    </fill>
    <fill>
      <patternFill patternType="solid">
        <fgColor rgb="FF00D9F0"/>
        <bgColor rgb="FF000000"/>
      </patternFill>
    </fill>
    <fill>
      <patternFill patternType="solid">
        <fgColor rgb="FFBFD880"/>
        <bgColor rgb="FF000000"/>
      </patternFill>
    </fill>
    <fill>
      <patternFill patternType="solid">
        <fgColor rgb="FFB7D67F"/>
        <bgColor rgb="FF000000"/>
      </patternFill>
    </fill>
    <fill>
      <patternFill patternType="solid">
        <fgColor rgb="FFEDE582"/>
        <bgColor rgb="FF000000"/>
      </patternFill>
    </fill>
    <fill>
      <patternFill patternType="solid">
        <fgColor rgb="FFC4DC8F"/>
        <bgColor rgb="FF000000"/>
      </patternFill>
    </fill>
    <fill>
      <patternFill patternType="solid">
        <fgColor rgb="FFD1E092"/>
        <bgColor rgb="FF000000"/>
      </patternFill>
    </fill>
    <fill>
      <patternFill patternType="solid">
        <fgColor rgb="FFF1E783"/>
        <bgColor rgb="FF000000"/>
      </patternFill>
    </fill>
    <fill>
      <patternFill patternType="solid">
        <fgColor rgb="FFFB9273"/>
        <bgColor rgb="FF000000"/>
      </patternFill>
    </fill>
    <fill>
      <patternFill patternType="solid">
        <fgColor rgb="FFF7E883"/>
        <bgColor rgb="FF000000"/>
      </patternFill>
    </fill>
    <fill>
      <patternFill patternType="solid">
        <fgColor rgb="FFFCEA83"/>
        <bgColor rgb="FF000000"/>
      </patternFill>
    </fill>
    <fill>
      <patternFill patternType="solid">
        <fgColor rgb="FF87C87D"/>
        <bgColor rgb="FF000000"/>
      </patternFill>
    </fill>
    <fill>
      <patternFill patternType="solid">
        <fgColor rgb="FFC5DA80"/>
        <bgColor rgb="FF000000"/>
      </patternFill>
    </fill>
    <fill>
      <patternFill patternType="solid">
        <fgColor rgb="FFAFD47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9900"/>
        <bgColor rgb="FF000000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5">
    <xf numFmtId="0" fontId="0" fillId="0" borderId="0" xfId="0"/>
    <xf numFmtId="0" fontId="13" fillId="0" borderId="0" xfId="0" applyFont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top" wrapText="1"/>
    </xf>
    <xf numFmtId="1" fontId="17" fillId="0" borderId="0" xfId="0" applyNumberFormat="1" applyFont="1" applyAlignment="1">
      <alignment horizontal="center"/>
    </xf>
    <xf numFmtId="0" fontId="18" fillId="0" borderId="1" xfId="0" applyFont="1" applyBorder="1" applyAlignment="1">
      <alignment horizontal="center" vertical="top"/>
    </xf>
    <xf numFmtId="0" fontId="1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165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13" borderId="0" xfId="0" applyFont="1" applyFill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right"/>
    </xf>
    <xf numFmtId="165" fontId="1" fillId="2" borderId="9" xfId="0" applyNumberFormat="1" applyFont="1" applyFill="1" applyBorder="1" applyAlignment="1">
      <alignment horizontal="center"/>
    </xf>
    <xf numFmtId="2" fontId="1" fillId="2" borderId="9" xfId="0" applyNumberFormat="1" applyFont="1" applyFill="1" applyBorder="1" applyAlignment="1">
      <alignment horizontal="center"/>
    </xf>
    <xf numFmtId="0" fontId="3" fillId="0" borderId="9" xfId="0" applyFont="1" applyBorder="1"/>
    <xf numFmtId="0" fontId="3" fillId="0" borderId="0" xfId="0" applyFont="1"/>
    <xf numFmtId="0" fontId="3" fillId="0" borderId="10" xfId="0" applyFont="1" applyBorder="1" applyAlignment="1"/>
    <xf numFmtId="0" fontId="3" fillId="0" borderId="7" xfId="0" applyFont="1" applyBorder="1" applyAlignment="1"/>
    <xf numFmtId="0" fontId="3" fillId="0" borderId="11" xfId="0" applyFont="1" applyBorder="1" applyAlignment="1"/>
    <xf numFmtId="0" fontId="1" fillId="2" borderId="1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1" fontId="1" fillId="2" borderId="9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2" fontId="1" fillId="10" borderId="17" xfId="0" applyNumberFormat="1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3" fillId="10" borderId="17" xfId="0" applyFont="1" applyFill="1" applyBorder="1"/>
    <xf numFmtId="0" fontId="18" fillId="0" borderId="1" xfId="0" applyFont="1" applyBorder="1" applyAlignment="1">
      <alignment horizontal="center" vertical="top" wrapText="1"/>
    </xf>
    <xf numFmtId="0" fontId="13" fillId="0" borderId="0" xfId="0" applyFont="1" applyAlignment="1">
      <alignment wrapText="1"/>
    </xf>
    <xf numFmtId="0" fontId="3" fillId="15" borderId="17" xfId="0" applyFont="1" applyFill="1" applyBorder="1"/>
    <xf numFmtId="0" fontId="1" fillId="15" borderId="4" xfId="0" applyNumberFormat="1" applyFont="1" applyFill="1" applyBorder="1" applyAlignment="1">
      <alignment horizontal="center" vertical="center" wrapText="1"/>
    </xf>
    <xf numFmtId="0" fontId="21" fillId="15" borderId="6" xfId="0" applyNumberFormat="1" applyFont="1" applyFill="1" applyBorder="1" applyAlignment="1">
      <alignment horizontal="center" vertical="center"/>
    </xf>
    <xf numFmtId="164" fontId="14" fillId="0" borderId="0" xfId="0" applyNumberFormat="1" applyFont="1" applyFill="1"/>
    <xf numFmtId="0" fontId="22" fillId="22" borderId="22" xfId="0" applyFont="1" applyFill="1" applyBorder="1" applyAlignment="1">
      <alignment wrapText="1"/>
    </xf>
    <xf numFmtId="0" fontId="8" fillId="25" borderId="22" xfId="0" applyFont="1" applyFill="1" applyBorder="1" applyAlignment="1">
      <alignment wrapText="1"/>
    </xf>
    <xf numFmtId="0" fontId="8" fillId="26" borderId="22" xfId="0" applyFont="1" applyFill="1" applyBorder="1" applyAlignment="1">
      <alignment wrapText="1"/>
    </xf>
    <xf numFmtId="0" fontId="22" fillId="24" borderId="22" xfId="0" applyFont="1" applyFill="1" applyBorder="1" applyAlignment="1">
      <alignment wrapText="1"/>
    </xf>
    <xf numFmtId="0" fontId="8" fillId="0" borderId="22" xfId="0" applyFont="1" applyFill="1" applyBorder="1" applyAlignment="1">
      <alignment wrapText="1"/>
    </xf>
    <xf numFmtId="0" fontId="8" fillId="24" borderId="22" xfId="0" applyFont="1" applyFill="1" applyBorder="1" applyAlignment="1">
      <alignment wrapText="1"/>
    </xf>
    <xf numFmtId="0" fontId="8" fillId="29" borderId="22" xfId="0" applyFont="1" applyFill="1" applyBorder="1" applyAlignment="1">
      <alignment wrapText="1"/>
    </xf>
    <xf numFmtId="0" fontId="8" fillId="32" borderId="22" xfId="0" applyFont="1" applyFill="1" applyBorder="1" applyAlignment="1">
      <alignment wrapText="1"/>
    </xf>
    <xf numFmtId="0" fontId="8" fillId="0" borderId="24" xfId="0" applyFont="1" applyFill="1" applyBorder="1" applyAlignment="1">
      <alignment wrapText="1"/>
    </xf>
    <xf numFmtId="0" fontId="8" fillId="16" borderId="25" xfId="0" applyFont="1" applyFill="1" applyBorder="1" applyAlignment="1">
      <alignment wrapText="1"/>
    </xf>
    <xf numFmtId="0" fontId="8" fillId="17" borderId="25" xfId="0" applyFont="1" applyFill="1" applyBorder="1" applyAlignment="1">
      <alignment wrapText="1"/>
    </xf>
    <xf numFmtId="0" fontId="8" fillId="18" borderId="25" xfId="0" applyFont="1" applyFill="1" applyBorder="1" applyAlignment="1">
      <alignment wrapText="1"/>
    </xf>
    <xf numFmtId="0" fontId="24" fillId="33" borderId="6" xfId="0" applyFont="1" applyFill="1" applyBorder="1" applyAlignment="1">
      <alignment wrapText="1"/>
    </xf>
    <xf numFmtId="0" fontId="8" fillId="20" borderId="25" xfId="0" applyFont="1" applyFill="1" applyBorder="1" applyAlignment="1">
      <alignment wrapText="1"/>
    </xf>
    <xf numFmtId="0" fontId="22" fillId="22" borderId="25" xfId="0" applyFont="1" applyFill="1" applyBorder="1" applyAlignment="1">
      <alignment wrapText="1"/>
    </xf>
    <xf numFmtId="0" fontId="22" fillId="23" borderId="25" xfId="0" applyFont="1" applyFill="1" applyBorder="1" applyAlignment="1">
      <alignment wrapText="1"/>
    </xf>
    <xf numFmtId="0" fontId="26" fillId="18" borderId="25" xfId="0" applyFont="1" applyFill="1" applyBorder="1" applyAlignment="1">
      <alignment wrapText="1"/>
    </xf>
    <xf numFmtId="0" fontId="27" fillId="24" borderId="25" xfId="0" applyFont="1" applyFill="1" applyBorder="1" applyAlignment="1">
      <alignment wrapText="1"/>
    </xf>
    <xf numFmtId="0" fontId="8" fillId="25" borderId="25" xfId="0" applyFont="1" applyFill="1" applyBorder="1" applyAlignment="1">
      <alignment wrapText="1"/>
    </xf>
    <xf numFmtId="0" fontId="28" fillId="0" borderId="25" xfId="0" applyFont="1" applyFill="1" applyBorder="1" applyAlignment="1">
      <alignment wrapText="1"/>
    </xf>
    <xf numFmtId="0" fontId="8" fillId="26" borderId="25" xfId="0" applyFont="1" applyFill="1" applyBorder="1" applyAlignment="1">
      <alignment wrapText="1"/>
    </xf>
    <xf numFmtId="0" fontId="22" fillId="26" borderId="25" xfId="0" applyFont="1" applyFill="1" applyBorder="1" applyAlignment="1">
      <alignment wrapText="1"/>
    </xf>
    <xf numFmtId="0" fontId="22" fillId="24" borderId="25" xfId="0" applyFont="1" applyFill="1" applyBorder="1" applyAlignment="1">
      <alignment wrapText="1"/>
    </xf>
    <xf numFmtId="0" fontId="8" fillId="27" borderId="25" xfId="0" applyFont="1" applyFill="1" applyBorder="1" applyAlignment="1">
      <alignment wrapText="1"/>
    </xf>
    <xf numFmtId="0" fontId="8" fillId="28" borderId="25" xfId="0" applyFont="1" applyFill="1" applyBorder="1" applyAlignment="1">
      <alignment wrapText="1"/>
    </xf>
    <xf numFmtId="0" fontId="8" fillId="0" borderId="25" xfId="0" applyFont="1" applyFill="1" applyBorder="1" applyAlignment="1">
      <alignment wrapText="1"/>
    </xf>
    <xf numFmtId="0" fontId="8" fillId="24" borderId="25" xfId="0" applyFont="1" applyFill="1" applyBorder="1" applyAlignment="1">
      <alignment wrapText="1"/>
    </xf>
    <xf numFmtId="0" fontId="8" fillId="29" borderId="25" xfId="0" applyFont="1" applyFill="1" applyBorder="1" applyAlignment="1">
      <alignment wrapText="1"/>
    </xf>
    <xf numFmtId="0" fontId="8" fillId="30" borderId="25" xfId="0" applyFont="1" applyFill="1" applyBorder="1" applyAlignment="1">
      <alignment wrapText="1"/>
    </xf>
    <xf numFmtId="0" fontId="28" fillId="31" borderId="25" xfId="0" applyFont="1" applyFill="1" applyBorder="1" applyAlignment="1">
      <alignment wrapText="1"/>
    </xf>
    <xf numFmtId="0" fontId="8" fillId="32" borderId="25" xfId="0" applyFont="1" applyFill="1" applyBorder="1" applyAlignment="1">
      <alignment wrapText="1"/>
    </xf>
    <xf numFmtId="0" fontId="22" fillId="20" borderId="19" xfId="0" applyFont="1" applyFill="1" applyBorder="1" applyAlignment="1">
      <alignment wrapText="1"/>
    </xf>
    <xf numFmtId="0" fontId="25" fillId="44" borderId="18" xfId="0" applyFont="1" applyFill="1" applyBorder="1" applyAlignment="1">
      <alignment wrapText="1"/>
    </xf>
    <xf numFmtId="0" fontId="8" fillId="45" borderId="24" xfId="0" applyFont="1" applyFill="1" applyBorder="1" applyAlignment="1">
      <alignment wrapText="1"/>
    </xf>
    <xf numFmtId="0" fontId="8" fillId="22" borderId="25" xfId="0" applyFont="1" applyFill="1" applyBorder="1" applyAlignment="1">
      <alignment wrapText="1"/>
    </xf>
    <xf numFmtId="0" fontId="8" fillId="46" borderId="25" xfId="0" applyFont="1" applyFill="1" applyBorder="1" applyAlignment="1">
      <alignment wrapText="1"/>
    </xf>
    <xf numFmtId="0" fontId="1" fillId="16" borderId="22" xfId="0" applyFont="1" applyFill="1" applyBorder="1" applyAlignment="1">
      <alignment wrapText="1"/>
    </xf>
    <xf numFmtId="0" fontId="1" fillId="17" borderId="22" xfId="0" applyFont="1" applyFill="1" applyBorder="1" applyAlignment="1">
      <alignment wrapText="1"/>
    </xf>
    <xf numFmtId="0" fontId="1" fillId="22" borderId="22" xfId="0" applyFont="1" applyFill="1" applyBorder="1" applyAlignment="1">
      <alignment wrapText="1"/>
    </xf>
    <xf numFmtId="0" fontId="30" fillId="47" borderId="6" xfId="0" applyFont="1" applyFill="1" applyBorder="1" applyAlignment="1">
      <alignment wrapText="1"/>
    </xf>
    <xf numFmtId="0" fontId="1" fillId="25" borderId="22" xfId="0" applyFont="1" applyFill="1" applyBorder="1" applyAlignment="1">
      <alignment wrapText="1"/>
    </xf>
    <xf numFmtId="0" fontId="21" fillId="25" borderId="19" xfId="0" applyFont="1" applyFill="1" applyBorder="1" applyAlignment="1">
      <alignment wrapText="1"/>
    </xf>
    <xf numFmtId="0" fontId="31" fillId="40" borderId="18" xfId="0" applyFont="1" applyFill="1" applyBorder="1" applyAlignment="1">
      <alignment wrapText="1"/>
    </xf>
    <xf numFmtId="0" fontId="32" fillId="22" borderId="22" xfId="0" applyFont="1" applyFill="1" applyBorder="1" applyAlignment="1">
      <alignment wrapText="1"/>
    </xf>
    <xf numFmtId="0" fontId="32" fillId="23" borderId="23" xfId="0" applyFont="1" applyFill="1" applyBorder="1" applyAlignment="1">
      <alignment wrapText="1"/>
    </xf>
    <xf numFmtId="0" fontId="8" fillId="22" borderId="22" xfId="0" applyFont="1" applyFill="1" applyBorder="1" applyAlignment="1">
      <alignment wrapText="1"/>
    </xf>
    <xf numFmtId="0" fontId="33" fillId="22" borderId="22" xfId="0" applyFont="1" applyFill="1" applyBorder="1" applyAlignment="1">
      <alignment wrapText="1"/>
    </xf>
    <xf numFmtId="0" fontId="35" fillId="0" borderId="23" xfId="0" applyFont="1" applyFill="1" applyBorder="1" applyAlignment="1">
      <alignment wrapText="1"/>
    </xf>
    <xf numFmtId="0" fontId="8" fillId="26" borderId="23" xfId="0" applyFont="1" applyFill="1" applyBorder="1" applyAlignment="1">
      <alignment wrapText="1"/>
    </xf>
    <xf numFmtId="0" fontId="8" fillId="0" borderId="23" xfId="0" applyFont="1" applyFill="1" applyBorder="1" applyAlignment="1">
      <alignment wrapText="1"/>
    </xf>
    <xf numFmtId="0" fontId="8" fillId="24" borderId="23" xfId="0" applyFont="1" applyFill="1" applyBorder="1" applyAlignment="1">
      <alignment wrapText="1"/>
    </xf>
    <xf numFmtId="0" fontId="1" fillId="24" borderId="22" xfId="0" applyFont="1" applyFill="1" applyBorder="1" applyAlignment="1">
      <alignment wrapText="1"/>
    </xf>
    <xf numFmtId="0" fontId="36" fillId="41" borderId="6" xfId="0" applyFont="1" applyFill="1" applyBorder="1" applyAlignment="1">
      <alignment wrapText="1"/>
    </xf>
    <xf numFmtId="0" fontId="35" fillId="49" borderId="23" xfId="0" applyFont="1" applyFill="1" applyBorder="1" applyAlignment="1">
      <alignment wrapText="1"/>
    </xf>
    <xf numFmtId="0" fontId="1" fillId="0" borderId="27" xfId="0" applyFont="1" applyFill="1" applyBorder="1" applyAlignment="1">
      <alignment wrapText="1"/>
    </xf>
    <xf numFmtId="0" fontId="1" fillId="50" borderId="23" xfId="0" applyFont="1" applyFill="1" applyBorder="1" applyAlignment="1">
      <alignment wrapText="1"/>
    </xf>
    <xf numFmtId="0" fontId="1" fillId="16" borderId="23" xfId="0" applyFont="1" applyFill="1" applyBorder="1" applyAlignment="1">
      <alignment wrapText="1"/>
    </xf>
    <xf numFmtId="0" fontId="1" fillId="17" borderId="23" xfId="0" applyFont="1" applyFill="1" applyBorder="1" applyAlignment="1">
      <alignment wrapText="1"/>
    </xf>
    <xf numFmtId="0" fontId="1" fillId="22" borderId="23" xfId="0" applyFont="1" applyFill="1" applyBorder="1" applyAlignment="1">
      <alignment wrapText="1"/>
    </xf>
    <xf numFmtId="0" fontId="30" fillId="51" borderId="5" xfId="0" applyFont="1" applyFill="1" applyBorder="1" applyAlignment="1">
      <alignment wrapText="1"/>
    </xf>
    <xf numFmtId="0" fontId="1" fillId="25" borderId="23" xfId="0" applyFont="1" applyFill="1" applyBorder="1" applyAlignment="1">
      <alignment wrapText="1"/>
    </xf>
    <xf numFmtId="0" fontId="21" fillId="25" borderId="23" xfId="0" applyFont="1" applyFill="1" applyBorder="1" applyAlignment="1">
      <alignment wrapText="1"/>
    </xf>
    <xf numFmtId="0" fontId="31" fillId="33" borderId="5" xfId="0" applyFont="1" applyFill="1" applyBorder="1" applyAlignment="1">
      <alignment wrapText="1"/>
    </xf>
    <xf numFmtId="0" fontId="32" fillId="22" borderId="23" xfId="0" applyFont="1" applyFill="1" applyBorder="1" applyAlignment="1">
      <alignment wrapText="1"/>
    </xf>
    <xf numFmtId="0" fontId="22" fillId="23" borderId="23" xfId="0" applyFont="1" applyFill="1" applyBorder="1" applyAlignment="1">
      <alignment wrapText="1"/>
    </xf>
    <xf numFmtId="0" fontId="8" fillId="22" borderId="23" xfId="0" applyFont="1" applyFill="1" applyBorder="1" applyAlignment="1">
      <alignment wrapText="1"/>
    </xf>
    <xf numFmtId="0" fontId="22" fillId="22" borderId="23" xfId="0" applyFont="1" applyFill="1" applyBorder="1" applyAlignment="1">
      <alignment wrapText="1"/>
    </xf>
    <xf numFmtId="0" fontId="33" fillId="22" borderId="23" xfId="0" applyFont="1" applyFill="1" applyBorder="1" applyAlignment="1">
      <alignment wrapText="1"/>
    </xf>
    <xf numFmtId="0" fontId="34" fillId="24" borderId="23" xfId="0" applyFont="1" applyFill="1" applyBorder="1" applyAlignment="1">
      <alignment wrapText="1"/>
    </xf>
    <xf numFmtId="0" fontId="22" fillId="26" borderId="23" xfId="0" applyFont="1" applyFill="1" applyBorder="1" applyAlignment="1">
      <alignment wrapText="1"/>
    </xf>
    <xf numFmtId="0" fontId="22" fillId="24" borderId="23" xfId="0" applyFont="1" applyFill="1" applyBorder="1" applyAlignment="1">
      <alignment wrapText="1"/>
    </xf>
    <xf numFmtId="0" fontId="8" fillId="27" borderId="23" xfId="0" applyFont="1" applyFill="1" applyBorder="1" applyAlignment="1">
      <alignment wrapText="1"/>
    </xf>
    <xf numFmtId="0" fontId="8" fillId="29" borderId="23" xfId="0" applyFont="1" applyFill="1" applyBorder="1" applyAlignment="1">
      <alignment wrapText="1"/>
    </xf>
    <xf numFmtId="0" fontId="1" fillId="24" borderId="23" xfId="0" applyFont="1" applyFill="1" applyBorder="1" applyAlignment="1">
      <alignment wrapText="1"/>
    </xf>
    <xf numFmtId="0" fontId="1" fillId="29" borderId="23" xfId="0" applyFont="1" applyFill="1" applyBorder="1" applyAlignment="1">
      <alignment wrapText="1"/>
    </xf>
    <xf numFmtId="0" fontId="1" fillId="30" borderId="23" xfId="0" applyFont="1" applyFill="1" applyBorder="1" applyAlignment="1">
      <alignment wrapText="1"/>
    </xf>
    <xf numFmtId="0" fontId="36" fillId="21" borderId="6" xfId="0" applyFont="1" applyFill="1" applyBorder="1" applyAlignment="1">
      <alignment wrapText="1"/>
    </xf>
    <xf numFmtId="0" fontId="1" fillId="0" borderId="24" xfId="0" applyFont="1" applyFill="1" applyBorder="1" applyAlignment="1">
      <alignment wrapText="1"/>
    </xf>
    <xf numFmtId="0" fontId="1" fillId="16" borderId="25" xfId="0" applyFont="1" applyFill="1" applyBorder="1" applyAlignment="1">
      <alignment wrapText="1"/>
    </xf>
    <xf numFmtId="0" fontId="1" fillId="17" borderId="25" xfId="0" applyFont="1" applyFill="1" applyBorder="1" applyAlignment="1">
      <alignment wrapText="1"/>
    </xf>
    <xf numFmtId="0" fontId="1" fillId="22" borderId="25" xfId="0" applyFont="1" applyFill="1" applyBorder="1" applyAlignment="1">
      <alignment wrapText="1"/>
    </xf>
    <xf numFmtId="0" fontId="30" fillId="43" borderId="6" xfId="0" applyFont="1" applyFill="1" applyBorder="1" applyAlignment="1">
      <alignment wrapText="1"/>
    </xf>
    <xf numFmtId="0" fontId="1" fillId="25" borderId="25" xfId="0" applyFont="1" applyFill="1" applyBorder="1" applyAlignment="1">
      <alignment wrapText="1"/>
    </xf>
    <xf numFmtId="0" fontId="21" fillId="25" borderId="26" xfId="0" applyFont="1" applyFill="1" applyBorder="1" applyAlignment="1">
      <alignment wrapText="1"/>
    </xf>
    <xf numFmtId="0" fontId="32" fillId="22" borderId="25" xfId="0" applyFont="1" applyFill="1" applyBorder="1" applyAlignment="1">
      <alignment wrapText="1"/>
    </xf>
    <xf numFmtId="0" fontId="32" fillId="23" borderId="25" xfId="0" applyFont="1" applyFill="1" applyBorder="1" applyAlignment="1">
      <alignment wrapText="1"/>
    </xf>
    <xf numFmtId="0" fontId="33" fillId="22" borderId="25" xfId="0" applyFont="1" applyFill="1" applyBorder="1" applyAlignment="1">
      <alignment wrapText="1"/>
    </xf>
    <xf numFmtId="0" fontId="34" fillId="24" borderId="25" xfId="0" applyFont="1" applyFill="1" applyBorder="1" applyAlignment="1">
      <alignment wrapText="1"/>
    </xf>
    <xf numFmtId="0" fontId="1" fillId="24" borderId="25" xfId="0" applyFont="1" applyFill="1" applyBorder="1" applyAlignment="1">
      <alignment wrapText="1"/>
    </xf>
    <xf numFmtId="0" fontId="1" fillId="29" borderId="25" xfId="0" applyFont="1" applyFill="1" applyBorder="1" applyAlignment="1">
      <alignment wrapText="1"/>
    </xf>
    <xf numFmtId="0" fontId="1" fillId="30" borderId="25" xfId="0" applyFont="1" applyFill="1" applyBorder="1" applyAlignment="1">
      <alignment wrapText="1"/>
    </xf>
    <xf numFmtId="0" fontId="36" fillId="52" borderId="6" xfId="0" applyFont="1" applyFill="1" applyBorder="1" applyAlignment="1">
      <alignment wrapText="1"/>
    </xf>
    <xf numFmtId="0" fontId="35" fillId="0" borderId="25" xfId="0" applyFont="1" applyFill="1" applyBorder="1" applyAlignment="1">
      <alignment wrapText="1"/>
    </xf>
    <xf numFmtId="0" fontId="1" fillId="25" borderId="26" xfId="0" applyFont="1" applyFill="1" applyBorder="1" applyAlignment="1">
      <alignment wrapText="1"/>
    </xf>
    <xf numFmtId="0" fontId="31" fillId="53" borderId="18" xfId="0" applyFont="1" applyFill="1" applyBorder="1" applyAlignment="1">
      <alignment wrapText="1"/>
    </xf>
    <xf numFmtId="0" fontId="36" fillId="54" borderId="6" xfId="0" applyFont="1" applyFill="1" applyBorder="1" applyAlignment="1">
      <alignment wrapText="1"/>
    </xf>
    <xf numFmtId="0" fontId="12" fillId="25" borderId="25" xfId="0" applyFont="1" applyFill="1" applyBorder="1" applyAlignment="1">
      <alignment wrapText="1"/>
    </xf>
    <xf numFmtId="0" fontId="31" fillId="33" borderId="18" xfId="0" applyFont="1" applyFill="1" applyBorder="1" applyAlignment="1">
      <alignment wrapText="1"/>
    </xf>
    <xf numFmtId="0" fontId="36" fillId="55" borderId="6" xfId="0" applyFont="1" applyFill="1" applyBorder="1" applyAlignment="1">
      <alignment wrapText="1"/>
    </xf>
    <xf numFmtId="0" fontId="36" fillId="56" borderId="6" xfId="0" applyFont="1" applyFill="1" applyBorder="1" applyAlignment="1">
      <alignment wrapText="1"/>
    </xf>
    <xf numFmtId="0" fontId="31" fillId="57" borderId="18" xfId="0" applyFont="1" applyFill="1" applyBorder="1" applyAlignment="1">
      <alignment wrapText="1"/>
    </xf>
    <xf numFmtId="0" fontId="36" fillId="37" borderId="6" xfId="0" applyFont="1" applyFill="1" applyBorder="1" applyAlignment="1">
      <alignment wrapText="1"/>
    </xf>
    <xf numFmtId="0" fontId="31" fillId="58" borderId="18" xfId="0" applyFont="1" applyFill="1" applyBorder="1" applyAlignment="1">
      <alignment wrapText="1"/>
    </xf>
    <xf numFmtId="0" fontId="36" fillId="59" borderId="6" xfId="0" applyFont="1" applyFill="1" applyBorder="1" applyAlignment="1">
      <alignment wrapText="1"/>
    </xf>
    <xf numFmtId="0" fontId="12" fillId="25" borderId="28" xfId="0" applyFont="1" applyFill="1" applyBorder="1" applyAlignment="1">
      <alignment wrapText="1"/>
    </xf>
    <xf numFmtId="0" fontId="31" fillId="54" borderId="18" xfId="0" applyFont="1" applyFill="1" applyBorder="1" applyAlignment="1">
      <alignment wrapText="1"/>
    </xf>
    <xf numFmtId="0" fontId="36" fillId="34" borderId="6" xfId="0" applyFont="1" applyFill="1" applyBorder="1" applyAlignment="1">
      <alignment wrapText="1"/>
    </xf>
    <xf numFmtId="0" fontId="12" fillId="25" borderId="23" xfId="0" applyFont="1" applyFill="1" applyBorder="1" applyAlignment="1">
      <alignment wrapText="1"/>
    </xf>
    <xf numFmtId="0" fontId="36" fillId="60" borderId="6" xfId="0" applyFont="1" applyFill="1" applyBorder="1" applyAlignment="1">
      <alignment wrapText="1"/>
    </xf>
    <xf numFmtId="0" fontId="30" fillId="42" borderId="6" xfId="0" applyFont="1" applyFill="1" applyBorder="1" applyAlignment="1">
      <alignment wrapText="1"/>
    </xf>
    <xf numFmtId="0" fontId="12" fillId="25" borderId="26" xfId="0" applyFont="1" applyFill="1" applyBorder="1" applyAlignment="1">
      <alignment wrapText="1"/>
    </xf>
    <xf numFmtId="0" fontId="36" fillId="61" borderId="6" xfId="0" applyFont="1" applyFill="1" applyBorder="1" applyAlignment="1">
      <alignment wrapText="1"/>
    </xf>
    <xf numFmtId="0" fontId="30" fillId="62" borderId="6" xfId="0" applyFont="1" applyFill="1" applyBorder="1" applyAlignment="1">
      <alignment wrapText="1"/>
    </xf>
    <xf numFmtId="0" fontId="36" fillId="35" borderId="6" xfId="0" applyFont="1" applyFill="1" applyBorder="1" applyAlignment="1">
      <alignment wrapText="1"/>
    </xf>
    <xf numFmtId="0" fontId="30" fillId="63" borderId="6" xfId="0" applyFont="1" applyFill="1" applyBorder="1" applyAlignment="1">
      <alignment wrapText="1"/>
    </xf>
    <xf numFmtId="0" fontId="36" fillId="64" borderId="6" xfId="0" applyFont="1" applyFill="1" applyBorder="1" applyAlignment="1">
      <alignment wrapText="1"/>
    </xf>
    <xf numFmtId="0" fontId="36" fillId="39" borderId="6" xfId="0" applyFont="1" applyFill="1" applyBorder="1" applyAlignment="1">
      <alignment wrapText="1"/>
    </xf>
    <xf numFmtId="0" fontId="31" fillId="65" borderId="18" xfId="0" applyFont="1" applyFill="1" applyBorder="1" applyAlignment="1">
      <alignment wrapText="1"/>
    </xf>
    <xf numFmtId="0" fontId="31" fillId="66" borderId="18" xfId="0" applyFont="1" applyFill="1" applyBorder="1" applyAlignment="1">
      <alignment wrapText="1"/>
    </xf>
    <xf numFmtId="0" fontId="32" fillId="46" borderId="25" xfId="0" applyFont="1" applyFill="1" applyBorder="1" applyAlignment="1">
      <alignment wrapText="1"/>
    </xf>
    <xf numFmtId="0" fontId="22" fillId="46" borderId="25" xfId="0" applyFont="1" applyFill="1" applyBorder="1" applyAlignment="1">
      <alignment wrapText="1"/>
    </xf>
    <xf numFmtId="0" fontId="36" fillId="67" borderId="6" xfId="0" applyFont="1" applyFill="1" applyBorder="1" applyAlignment="1">
      <alignment wrapText="1"/>
    </xf>
    <xf numFmtId="0" fontId="31" fillId="21" borderId="18" xfId="0" applyFont="1" applyFill="1" applyBorder="1" applyAlignment="1">
      <alignment wrapText="1"/>
    </xf>
    <xf numFmtId="0" fontId="36" fillId="68" borderId="6" xfId="0" applyFont="1" applyFill="1" applyBorder="1" applyAlignment="1">
      <alignment wrapText="1"/>
    </xf>
    <xf numFmtId="0" fontId="30" fillId="44" borderId="6" xfId="0" applyFont="1" applyFill="1" applyBorder="1" applyAlignment="1">
      <alignment wrapText="1"/>
    </xf>
    <xf numFmtId="0" fontId="31" fillId="69" borderId="18" xfId="0" applyFont="1" applyFill="1" applyBorder="1" applyAlignment="1">
      <alignment wrapText="1"/>
    </xf>
    <xf numFmtId="0" fontId="32" fillId="48" borderId="25" xfId="0" applyFont="1" applyFill="1" applyBorder="1" applyAlignment="1">
      <alignment wrapText="1"/>
    </xf>
    <xf numFmtId="0" fontId="36" fillId="70" borderId="6" xfId="0" applyFont="1" applyFill="1" applyBorder="1" applyAlignment="1">
      <alignment wrapText="1"/>
    </xf>
    <xf numFmtId="0" fontId="31" fillId="71" borderId="18" xfId="0" applyFont="1" applyFill="1" applyBorder="1" applyAlignment="1">
      <alignment wrapText="1"/>
    </xf>
    <xf numFmtId="0" fontId="36" fillId="72" borderId="6" xfId="0" applyFont="1" applyFill="1" applyBorder="1" applyAlignment="1">
      <alignment wrapText="1"/>
    </xf>
    <xf numFmtId="0" fontId="1" fillId="26" borderId="27" xfId="0" applyFont="1" applyFill="1" applyBorder="1" applyAlignment="1">
      <alignment wrapText="1"/>
    </xf>
    <xf numFmtId="0" fontId="1" fillId="26" borderId="25" xfId="0" applyFont="1" applyFill="1" applyBorder="1" applyAlignment="1">
      <alignment wrapText="1"/>
    </xf>
    <xf numFmtId="0" fontId="12" fillId="73" borderId="25" xfId="0" applyFont="1" applyFill="1" applyBorder="1" applyAlignment="1">
      <alignment wrapText="1"/>
    </xf>
    <xf numFmtId="0" fontId="32" fillId="26" borderId="23" xfId="0" applyFont="1" applyFill="1" applyBorder="1" applyAlignment="1">
      <alignment wrapText="1"/>
    </xf>
    <xf numFmtId="0" fontId="32" fillId="26" borderId="25" xfId="0" applyFont="1" applyFill="1" applyBorder="1" applyAlignment="1">
      <alignment wrapText="1"/>
    </xf>
    <xf numFmtId="0" fontId="33" fillId="26" borderId="25" xfId="0" applyFont="1" applyFill="1" applyBorder="1" applyAlignment="1">
      <alignment wrapText="1"/>
    </xf>
    <xf numFmtId="0" fontId="34" fillId="26" borderId="25" xfId="0" applyFont="1" applyFill="1" applyBorder="1" applyAlignment="1">
      <alignment wrapText="1"/>
    </xf>
    <xf numFmtId="0" fontId="35" fillId="26" borderId="23" xfId="0" applyFont="1" applyFill="1" applyBorder="1" applyAlignment="1">
      <alignment wrapText="1"/>
    </xf>
    <xf numFmtId="0" fontId="36" fillId="74" borderId="6" xfId="0" applyFont="1" applyFill="1" applyBorder="1" applyAlignment="1">
      <alignment wrapText="1"/>
    </xf>
    <xf numFmtId="0" fontId="1" fillId="18" borderId="25" xfId="0" applyFont="1" applyFill="1" applyBorder="1" applyAlignment="1">
      <alignment wrapText="1"/>
    </xf>
    <xf numFmtId="0" fontId="36" fillId="75" borderId="6" xfId="0" applyFont="1" applyFill="1" applyBorder="1" applyAlignment="1">
      <alignment wrapText="1"/>
    </xf>
    <xf numFmtId="0" fontId="12" fillId="26" borderId="25" xfId="0" applyFont="1" applyFill="1" applyBorder="1" applyAlignment="1">
      <alignment wrapText="1"/>
    </xf>
    <xf numFmtId="0" fontId="31" fillId="19" borderId="18" xfId="0" applyFont="1" applyFill="1" applyBorder="1" applyAlignment="1">
      <alignment wrapText="1"/>
    </xf>
    <xf numFmtId="0" fontId="1" fillId="26" borderId="24" xfId="0" applyFont="1" applyFill="1" applyBorder="1" applyAlignment="1">
      <alignment wrapText="1"/>
    </xf>
    <xf numFmtId="0" fontId="36" fillId="76" borderId="6" xfId="0" applyFont="1" applyFill="1" applyBorder="1" applyAlignment="1">
      <alignment wrapText="1"/>
    </xf>
    <xf numFmtId="0" fontId="36" fillId="38" borderId="6" xfId="0" applyFont="1" applyFill="1" applyBorder="1" applyAlignment="1">
      <alignment wrapText="1"/>
    </xf>
    <xf numFmtId="0" fontId="30" fillId="77" borderId="6" xfId="0" applyFont="1" applyFill="1" applyBorder="1" applyAlignment="1">
      <alignment wrapText="1"/>
    </xf>
    <xf numFmtId="0" fontId="36" fillId="44" borderId="6" xfId="0" applyFont="1" applyFill="1" applyBorder="1" applyAlignment="1">
      <alignment wrapText="1"/>
    </xf>
    <xf numFmtId="0" fontId="30" fillId="78" borderId="6" xfId="0" applyFont="1" applyFill="1" applyBorder="1" applyAlignment="1">
      <alignment wrapText="1"/>
    </xf>
    <xf numFmtId="0" fontId="36" fillId="36" borderId="6" xfId="0" applyFont="1" applyFill="1" applyBorder="1" applyAlignment="1">
      <alignment wrapText="1"/>
    </xf>
    <xf numFmtId="0" fontId="36" fillId="79" borderId="6" xfId="0" applyFont="1" applyFill="1" applyBorder="1" applyAlignment="1">
      <alignment wrapText="1"/>
    </xf>
    <xf numFmtId="0" fontId="31" fillId="80" borderId="18" xfId="0" applyFont="1" applyFill="1" applyBorder="1" applyAlignment="1">
      <alignment wrapText="1"/>
    </xf>
    <xf numFmtId="0" fontId="36" fillId="81" borderId="6" xfId="0" applyFont="1" applyFill="1" applyBorder="1" applyAlignment="1">
      <alignment wrapText="1"/>
    </xf>
    <xf numFmtId="0" fontId="36" fillId="82" borderId="6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1" fillId="50" borderId="22" xfId="0" applyFont="1" applyFill="1" applyBorder="1" applyAlignment="1">
      <alignment wrapText="1"/>
    </xf>
    <xf numFmtId="0" fontId="1" fillId="17" borderId="19" xfId="0" applyFont="1" applyFill="1" applyBorder="1" applyAlignment="1">
      <alignment wrapText="1"/>
    </xf>
    <xf numFmtId="0" fontId="1" fillId="22" borderId="19" xfId="0" applyFont="1" applyFill="1" applyBorder="1" applyAlignment="1">
      <alignment wrapText="1"/>
    </xf>
    <xf numFmtId="0" fontId="1" fillId="25" borderId="19" xfId="0" applyFont="1" applyFill="1" applyBorder="1" applyAlignment="1">
      <alignment wrapText="1"/>
    </xf>
    <xf numFmtId="0" fontId="22" fillId="25" borderId="19" xfId="0" applyFont="1" applyFill="1" applyBorder="1" applyAlignment="1">
      <alignment wrapText="1"/>
    </xf>
    <xf numFmtId="0" fontId="29" fillId="25" borderId="22" xfId="0" applyFont="1" applyFill="1" applyBorder="1" applyAlignment="1">
      <alignment wrapText="1"/>
    </xf>
    <xf numFmtId="0" fontId="31" fillId="44" borderId="18" xfId="0" applyFont="1" applyFill="1" applyBorder="1" applyAlignment="1">
      <alignment wrapText="1"/>
    </xf>
    <xf numFmtId="0" fontId="22" fillId="22" borderId="19" xfId="0" applyFont="1" applyFill="1" applyBorder="1" applyAlignment="1">
      <alignment wrapText="1"/>
    </xf>
    <xf numFmtId="0" fontId="22" fillId="23" borderId="19" xfId="0" applyFont="1" applyFill="1" applyBorder="1" applyAlignment="1">
      <alignment wrapText="1"/>
    </xf>
    <xf numFmtId="0" fontId="32" fillId="23" borderId="22" xfId="0" applyFont="1" applyFill="1" applyBorder="1" applyAlignment="1">
      <alignment wrapText="1"/>
    </xf>
    <xf numFmtId="0" fontId="34" fillId="24" borderId="19" xfId="0" applyFont="1" applyFill="1" applyBorder="1" applyAlignment="1">
      <alignment wrapText="1"/>
    </xf>
    <xf numFmtId="0" fontId="30" fillId="83" borderId="18" xfId="0" applyFont="1" applyFill="1" applyBorder="1" applyAlignment="1">
      <alignment wrapText="1"/>
    </xf>
    <xf numFmtId="0" fontId="36" fillId="21" borderId="18" xfId="0" applyFont="1" applyFill="1" applyBorder="1" applyAlignment="1">
      <alignment wrapText="1"/>
    </xf>
    <xf numFmtId="0" fontId="35" fillId="0" borderId="19" xfId="0" applyFont="1" applyFill="1" applyBorder="1" applyAlignment="1">
      <alignment wrapText="1"/>
    </xf>
    <xf numFmtId="0" fontId="8" fillId="26" borderId="19" xfId="0" applyFont="1" applyFill="1" applyBorder="1" applyAlignment="1">
      <alignment wrapText="1"/>
    </xf>
    <xf numFmtId="0" fontId="22" fillId="26" borderId="19" xfId="0" applyFont="1" applyFill="1" applyBorder="1" applyAlignment="1">
      <alignment wrapText="1"/>
    </xf>
    <xf numFmtId="0" fontId="22" fillId="24" borderId="19" xfId="0" applyFont="1" applyFill="1" applyBorder="1" applyAlignment="1">
      <alignment wrapText="1"/>
    </xf>
    <xf numFmtId="0" fontId="24" fillId="84" borderId="18" xfId="0" applyFont="1" applyFill="1" applyBorder="1" applyAlignment="1">
      <alignment wrapText="1"/>
    </xf>
    <xf numFmtId="0" fontId="36" fillId="33" borderId="5" xfId="0" applyFont="1" applyFill="1" applyBorder="1" applyAlignment="1">
      <alignment wrapText="1"/>
    </xf>
    <xf numFmtId="0" fontId="8" fillId="29" borderId="19" xfId="0" applyFont="1" applyFill="1" applyBorder="1" applyAlignment="1">
      <alignment wrapText="1"/>
    </xf>
    <xf numFmtId="0" fontId="8" fillId="0" borderId="19" xfId="0" applyFont="1" applyFill="1" applyBorder="1" applyAlignment="1">
      <alignment wrapText="1"/>
    </xf>
    <xf numFmtId="0" fontId="8" fillId="24" borderId="19" xfId="0" applyFont="1" applyFill="1" applyBorder="1" applyAlignment="1">
      <alignment wrapText="1"/>
    </xf>
    <xf numFmtId="0" fontId="1" fillId="24" borderId="19" xfId="0" applyFont="1" applyFill="1" applyBorder="1" applyAlignment="1">
      <alignment wrapText="1"/>
    </xf>
    <xf numFmtId="0" fontId="1" fillId="29" borderId="19" xfId="0" applyFont="1" applyFill="1" applyBorder="1" applyAlignment="1">
      <alignment wrapText="1"/>
    </xf>
    <xf numFmtId="0" fontId="1" fillId="30" borderId="19" xfId="0" applyFont="1" applyFill="1" applyBorder="1" applyAlignment="1">
      <alignment wrapText="1"/>
    </xf>
    <xf numFmtId="0" fontId="36" fillId="85" borderId="18" xfId="0" applyFont="1" applyFill="1" applyBorder="1" applyAlignment="1">
      <alignment wrapText="1"/>
    </xf>
    <xf numFmtId="0" fontId="30" fillId="44" borderId="18" xfId="0" applyFont="1" applyFill="1" applyBorder="1" applyAlignment="1">
      <alignment wrapText="1"/>
    </xf>
    <xf numFmtId="0" fontId="1" fillId="86" borderId="22" xfId="0" applyFont="1" applyFill="1" applyBorder="1" applyAlignment="1">
      <alignment wrapText="1"/>
    </xf>
    <xf numFmtId="0" fontId="37" fillId="87" borderId="22" xfId="0" applyFont="1" applyFill="1" applyBorder="1" applyAlignment="1">
      <alignment wrapText="1"/>
    </xf>
    <xf numFmtId="0" fontId="38" fillId="23" borderId="22" xfId="0" applyFont="1" applyFill="1" applyBorder="1" applyAlignment="1">
      <alignment wrapText="1"/>
    </xf>
    <xf numFmtId="0" fontId="8" fillId="24" borderId="0" xfId="0" applyFont="1" applyFill="1" applyBorder="1" applyAlignment="1">
      <alignment wrapText="1"/>
    </xf>
    <xf numFmtId="0" fontId="37" fillId="24" borderId="0" xfId="0" applyFont="1" applyFill="1" applyBorder="1" applyAlignment="1">
      <alignment wrapText="1"/>
    </xf>
    <xf numFmtId="0" fontId="37" fillId="86" borderId="0" xfId="0" applyFont="1" applyFill="1" applyBorder="1" applyAlignment="1">
      <alignment wrapText="1"/>
    </xf>
    <xf numFmtId="0" fontId="1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/>
    <xf numFmtId="0" fontId="3" fillId="9" borderId="14" xfId="0" applyFont="1" applyFill="1" applyBorder="1" applyAlignment="1"/>
    <xf numFmtId="0" fontId="1" fillId="10" borderId="20" xfId="0" applyFont="1" applyFill="1" applyBorder="1" applyAlignment="1">
      <alignment horizontal="center"/>
    </xf>
    <xf numFmtId="0" fontId="3" fillId="10" borderId="17" xfId="0" applyFont="1" applyFill="1" applyBorder="1" applyAlignment="1"/>
    <xf numFmtId="0" fontId="3" fillId="10" borderId="21" xfId="0" applyFont="1" applyFill="1" applyBorder="1" applyAlignme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/>
  </sheetPr>
  <dimension ref="A1:L35"/>
  <sheetViews>
    <sheetView tabSelected="1" zoomScale="85" zoomScaleNormal="85" workbookViewId="0">
      <selection activeCell="O24" sqref="O24"/>
    </sheetView>
  </sheetViews>
  <sheetFormatPr defaultColWidth="11.5546875" defaultRowHeight="14.4"/>
  <cols>
    <col min="1" max="2" width="11.5546875" style="2"/>
    <col min="3" max="3" width="11.5546875" style="11"/>
    <col min="4" max="4" width="13.44140625" style="2" customWidth="1"/>
    <col min="5" max="5" width="13" style="9" customWidth="1"/>
    <col min="6" max="6" width="12.5546875" style="11" customWidth="1"/>
    <col min="7" max="7" width="13" style="4" customWidth="1"/>
    <col min="8" max="8" width="11.5546875" style="11"/>
    <col min="9" max="9" width="11.5546875" style="2"/>
    <col min="10" max="10" width="11.5546875" style="11"/>
    <col min="11" max="11" width="11.5546875" style="2"/>
  </cols>
  <sheetData>
    <row r="1" spans="1:12" s="1" customFormat="1" ht="43.2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79" t="s">
        <v>5</v>
      </c>
      <c r="G1" s="7" t="s">
        <v>6</v>
      </c>
      <c r="H1" s="79" t="s">
        <v>7</v>
      </c>
      <c r="I1" s="6" t="s">
        <v>8</v>
      </c>
      <c r="J1" s="79" t="s">
        <v>9</v>
      </c>
      <c r="K1" s="6" t="s">
        <v>10</v>
      </c>
      <c r="L1" s="6" t="s">
        <v>11</v>
      </c>
    </row>
    <row r="2" spans="1:12" s="14" customFormat="1">
      <c r="A2" s="12" t="s">
        <v>12</v>
      </c>
      <c r="B2" s="12">
        <v>1</v>
      </c>
      <c r="C2" s="3">
        <v>10</v>
      </c>
      <c r="D2" s="12">
        <v>2020</v>
      </c>
      <c r="E2" s="13">
        <f>Submetering!X2+Submetering!Y2</f>
        <v>14343.99999999996</v>
      </c>
      <c r="F2" s="3">
        <v>7.7909227967643713E-2</v>
      </c>
      <c r="G2" s="13">
        <f>Submetering!T2+Submetering!U2</f>
        <v>1141</v>
      </c>
      <c r="H2" s="3">
        <v>0.24162482260951298</v>
      </c>
      <c r="I2" s="13">
        <f>Submetering!E2+Submetering!H2</f>
        <v>60</v>
      </c>
      <c r="J2" s="84">
        <v>1.686569936015061</v>
      </c>
      <c r="K2" s="12">
        <f>Submetering!AF2</f>
        <v>10</v>
      </c>
      <c r="L2" s="12">
        <f>Submetering!AG2</f>
        <v>11</v>
      </c>
    </row>
    <row r="3" spans="1:12" s="16" customFormat="1">
      <c r="A3" s="12" t="s">
        <v>12</v>
      </c>
      <c r="B3" s="15">
        <f>B2+1</f>
        <v>2</v>
      </c>
      <c r="C3" s="3">
        <v>10</v>
      </c>
      <c r="D3" s="12">
        <v>2020</v>
      </c>
      <c r="E3" s="13">
        <f>Submetering!X3+Submetering!Y3</f>
        <v>14564.000000000011</v>
      </c>
      <c r="F3" s="3">
        <v>7.7909227967643713E-2</v>
      </c>
      <c r="G3" s="13">
        <f>Submetering!T3+Submetering!U3</f>
        <v>1027</v>
      </c>
      <c r="H3" s="3">
        <v>0.24162482260951298</v>
      </c>
      <c r="I3" s="13">
        <f>Submetering!E3+Submetering!H3</f>
        <v>75</v>
      </c>
      <c r="J3" s="84">
        <f>J2</f>
        <v>1.686569936015061</v>
      </c>
      <c r="K3" s="12">
        <f>Submetering!AF3</f>
        <v>15</v>
      </c>
      <c r="L3" s="12">
        <f>Submetering!AG3</f>
        <v>20</v>
      </c>
    </row>
    <row r="4" spans="1:12" s="16" customFormat="1">
      <c r="A4" s="12" t="s">
        <v>12</v>
      </c>
      <c r="B4" s="15">
        <f t="shared" ref="B4:B32" si="0">B3+1</f>
        <v>3</v>
      </c>
      <c r="C4" s="3">
        <v>10</v>
      </c>
      <c r="D4" s="12">
        <v>2020</v>
      </c>
      <c r="E4" s="13">
        <f>Submetering!X4+Submetering!Y4</f>
        <v>15004.000000000109</v>
      </c>
      <c r="F4" s="3">
        <v>7.7909227967643713E-2</v>
      </c>
      <c r="G4" s="13">
        <f>Submetering!T4+Submetering!U4</f>
        <v>895</v>
      </c>
      <c r="H4" s="3">
        <v>0.24162482260951298</v>
      </c>
      <c r="I4" s="13">
        <f>Submetering!E4+Submetering!H4</f>
        <v>70</v>
      </c>
      <c r="J4" s="84">
        <f t="shared" ref="J4:J32" si="1">J3</f>
        <v>1.686569936015061</v>
      </c>
      <c r="K4" s="12">
        <f>Submetering!AF4</f>
        <v>12</v>
      </c>
      <c r="L4" s="12">
        <f>Submetering!AG4</f>
        <v>14</v>
      </c>
    </row>
    <row r="5" spans="1:12" s="16" customFormat="1">
      <c r="A5" s="12" t="s">
        <v>12</v>
      </c>
      <c r="B5" s="15">
        <f t="shared" si="0"/>
        <v>4</v>
      </c>
      <c r="C5" s="3">
        <v>10</v>
      </c>
      <c r="D5" s="12">
        <v>2020</v>
      </c>
      <c r="E5" s="13">
        <f>Submetering!X5+Submetering!Y5</f>
        <v>13991.99999999978</v>
      </c>
      <c r="F5" s="3">
        <v>7.7909227967643713E-2</v>
      </c>
      <c r="G5" s="13">
        <f>Submetering!T5+Submetering!U5</f>
        <v>995</v>
      </c>
      <c r="H5" s="3">
        <v>0.24162482260951298</v>
      </c>
      <c r="I5" s="13">
        <f>Submetering!E5+Submetering!H5</f>
        <v>68</v>
      </c>
      <c r="J5" s="84">
        <f t="shared" si="1"/>
        <v>1.686569936015061</v>
      </c>
      <c r="K5" s="12">
        <f>Submetering!AF5</f>
        <v>12</v>
      </c>
      <c r="L5" s="12">
        <f>Submetering!AG5</f>
        <v>14</v>
      </c>
    </row>
    <row r="6" spans="1:12" s="16" customFormat="1">
      <c r="A6" s="12" t="s">
        <v>12</v>
      </c>
      <c r="B6" s="15">
        <f t="shared" si="0"/>
        <v>5</v>
      </c>
      <c r="C6" s="3">
        <v>10</v>
      </c>
      <c r="D6" s="12">
        <v>2020</v>
      </c>
      <c r="E6" s="13">
        <f>Submetering!X6+Submetering!Y6</f>
        <v>14608.00000000022</v>
      </c>
      <c r="F6" s="3">
        <v>7.7909227967643713E-2</v>
      </c>
      <c r="G6" s="13">
        <f>Submetering!T6+Submetering!U6</f>
        <v>978</v>
      </c>
      <c r="H6" s="3">
        <v>0.24162482260951298</v>
      </c>
      <c r="I6" s="13">
        <f>Submetering!E6+Submetering!H6</f>
        <v>67</v>
      </c>
      <c r="J6" s="84">
        <f t="shared" si="1"/>
        <v>1.686569936015061</v>
      </c>
      <c r="K6" s="12">
        <f>Submetering!AF6</f>
        <v>18</v>
      </c>
      <c r="L6" s="12">
        <f>Submetering!AG6</f>
        <v>21</v>
      </c>
    </row>
    <row r="7" spans="1:12" s="16" customFormat="1">
      <c r="A7" s="12" t="s">
        <v>12</v>
      </c>
      <c r="B7" s="15">
        <f t="shared" si="0"/>
        <v>6</v>
      </c>
      <c r="C7" s="3">
        <v>10</v>
      </c>
      <c r="D7" s="12">
        <v>2020</v>
      </c>
      <c r="E7" s="13">
        <f>Submetering!X7+Submetering!Y7</f>
        <v>14123.999999999909</v>
      </c>
      <c r="F7" s="3">
        <v>7.7909227967643713E-2</v>
      </c>
      <c r="G7" s="13">
        <f>Submetering!T7+Submetering!U7</f>
        <v>1021</v>
      </c>
      <c r="H7" s="3">
        <v>0.24162482260951298</v>
      </c>
      <c r="I7" s="13">
        <f>Submetering!E7+Submetering!H7</f>
        <v>68</v>
      </c>
      <c r="J7" s="84">
        <f t="shared" si="1"/>
        <v>1.686569936015061</v>
      </c>
      <c r="K7" s="12">
        <f>Submetering!AF7</f>
        <v>22</v>
      </c>
      <c r="L7" s="12">
        <f>Submetering!AG7</f>
        <v>27</v>
      </c>
    </row>
    <row r="8" spans="1:12" s="16" customFormat="1">
      <c r="A8" s="12" t="s">
        <v>12</v>
      </c>
      <c r="B8" s="15">
        <f t="shared" si="0"/>
        <v>7</v>
      </c>
      <c r="C8" s="3">
        <v>10</v>
      </c>
      <c r="D8" s="12">
        <v>2020</v>
      </c>
      <c r="E8" s="13">
        <f>Submetering!X8+Submetering!Y8</f>
        <v>13815.99999999994</v>
      </c>
      <c r="F8" s="3">
        <v>7.7909227967643713E-2</v>
      </c>
      <c r="G8" s="13">
        <f>Submetering!T8+Submetering!U8</f>
        <v>1079</v>
      </c>
      <c r="H8" s="3">
        <v>0.24162482260951298</v>
      </c>
      <c r="I8" s="13">
        <f>Submetering!E8+Submetering!H8</f>
        <v>63</v>
      </c>
      <c r="J8" s="84">
        <f t="shared" si="1"/>
        <v>1.686569936015061</v>
      </c>
      <c r="K8" s="12">
        <f>Submetering!AF8</f>
        <v>19</v>
      </c>
      <c r="L8" s="12">
        <f>Submetering!AG8</f>
        <v>22</v>
      </c>
    </row>
    <row r="9" spans="1:12" s="16" customFormat="1">
      <c r="A9" s="12" t="s">
        <v>12</v>
      </c>
      <c r="B9" s="15">
        <f t="shared" si="0"/>
        <v>8</v>
      </c>
      <c r="C9" s="3">
        <v>10</v>
      </c>
      <c r="D9" s="12">
        <v>2020</v>
      </c>
      <c r="E9" s="13">
        <f>Submetering!X9+Submetering!Y9</f>
        <v>14168.00000000012</v>
      </c>
      <c r="F9" s="3">
        <v>7.7909227967643713E-2</v>
      </c>
      <c r="G9" s="13">
        <f>Submetering!T9+Submetering!U9</f>
        <v>1109</v>
      </c>
      <c r="H9" s="3">
        <v>0.24162482260951298</v>
      </c>
      <c r="I9" s="13">
        <f>Submetering!E9+Submetering!H9</f>
        <v>67</v>
      </c>
      <c r="J9" s="84">
        <f t="shared" si="1"/>
        <v>1.686569936015061</v>
      </c>
      <c r="K9" s="12">
        <f>Submetering!AF9</f>
        <v>27</v>
      </c>
      <c r="L9" s="12">
        <f>Submetering!AG9</f>
        <v>33</v>
      </c>
    </row>
    <row r="10" spans="1:12" s="16" customFormat="1">
      <c r="A10" s="12" t="s">
        <v>12</v>
      </c>
      <c r="B10" s="15">
        <f t="shared" si="0"/>
        <v>9</v>
      </c>
      <c r="C10" s="3">
        <v>10</v>
      </c>
      <c r="D10" s="12">
        <v>2020</v>
      </c>
      <c r="E10" s="13">
        <f>Submetering!X10+Submetering!Y10</f>
        <v>13903.99999999986</v>
      </c>
      <c r="F10" s="3">
        <v>7.7909227967643713E-2</v>
      </c>
      <c r="G10" s="13">
        <f>Submetering!T10+Submetering!U10</f>
        <v>1070</v>
      </c>
      <c r="H10" s="3">
        <v>0.24162482260951298</v>
      </c>
      <c r="I10" s="13">
        <f>Submetering!E10+Submetering!H10</f>
        <v>75</v>
      </c>
      <c r="J10" s="84">
        <f t="shared" si="1"/>
        <v>1.686569936015061</v>
      </c>
      <c r="K10" s="12">
        <f>Submetering!AF10</f>
        <v>15</v>
      </c>
      <c r="L10" s="12">
        <f>Submetering!AG10</f>
        <v>21</v>
      </c>
    </row>
    <row r="11" spans="1:12" s="16" customFormat="1">
      <c r="A11" s="12" t="s">
        <v>12</v>
      </c>
      <c r="B11" s="15">
        <f t="shared" si="0"/>
        <v>10</v>
      </c>
      <c r="C11" s="3">
        <v>10</v>
      </c>
      <c r="D11" s="12">
        <v>2020</v>
      </c>
      <c r="E11" s="13">
        <f>Submetering!X11+Submetering!Y11</f>
        <v>15268.00000000012</v>
      </c>
      <c r="F11" s="3">
        <v>7.7909227967643713E-2</v>
      </c>
      <c r="G11" s="13">
        <f>Submetering!T11+Submetering!U11</f>
        <v>1221</v>
      </c>
      <c r="H11" s="3">
        <v>0.24162482260951298</v>
      </c>
      <c r="I11" s="13">
        <f>Submetering!E11+Submetering!H11</f>
        <v>68</v>
      </c>
      <c r="J11" s="84">
        <f t="shared" si="1"/>
        <v>1.686569936015061</v>
      </c>
      <c r="K11" s="12">
        <f>Submetering!AF11</f>
        <v>13</v>
      </c>
      <c r="L11" s="12">
        <f>Submetering!AG11</f>
        <v>19</v>
      </c>
    </row>
    <row r="12" spans="1:12" s="16" customFormat="1">
      <c r="A12" s="12" t="s">
        <v>12</v>
      </c>
      <c r="B12" s="15">
        <f t="shared" si="0"/>
        <v>11</v>
      </c>
      <c r="C12" s="3">
        <v>10</v>
      </c>
      <c r="D12" s="12">
        <v>2020</v>
      </c>
      <c r="E12" s="13">
        <f>Submetering!X12+Submetering!Y12</f>
        <v>14387.99999999992</v>
      </c>
      <c r="F12" s="3">
        <v>7.7909227967643713E-2</v>
      </c>
      <c r="G12" s="13">
        <f>Submetering!T12+Submetering!U12</f>
        <v>1220</v>
      </c>
      <c r="H12" s="3">
        <v>0.24162482260951298</v>
      </c>
      <c r="I12" s="13">
        <f>Submetering!E12+Submetering!H12</f>
        <v>65</v>
      </c>
      <c r="J12" s="84">
        <f t="shared" si="1"/>
        <v>1.686569936015061</v>
      </c>
      <c r="K12" s="12">
        <f>Submetering!AF12</f>
        <v>11</v>
      </c>
      <c r="L12" s="12">
        <f>Submetering!AG12</f>
        <v>15</v>
      </c>
    </row>
    <row r="13" spans="1:12" s="16" customFormat="1">
      <c r="A13" s="12" t="s">
        <v>12</v>
      </c>
      <c r="B13" s="15">
        <f t="shared" si="0"/>
        <v>12</v>
      </c>
      <c r="C13" s="3">
        <v>10</v>
      </c>
      <c r="D13" s="12">
        <v>2020</v>
      </c>
      <c r="E13" s="13">
        <f>Submetering!X13+Submetering!Y13</f>
        <v>8756.00000000004</v>
      </c>
      <c r="F13" s="3">
        <v>7.7909227967643713E-2</v>
      </c>
      <c r="G13" s="13">
        <f>Submetering!T13+Submetering!U13</f>
        <v>920</v>
      </c>
      <c r="H13" s="3">
        <v>0.24162482260951298</v>
      </c>
      <c r="I13" s="13">
        <f>Submetering!E13+Submetering!H13</f>
        <v>42</v>
      </c>
      <c r="J13" s="84">
        <f t="shared" si="1"/>
        <v>1.686569936015061</v>
      </c>
      <c r="K13" s="12">
        <f>Submetering!AF13</f>
        <v>11</v>
      </c>
      <c r="L13" s="12">
        <f>Submetering!AG13</f>
        <v>16</v>
      </c>
    </row>
    <row r="14" spans="1:12" s="16" customFormat="1">
      <c r="A14" s="12" t="s">
        <v>12</v>
      </c>
      <c r="B14" s="15">
        <f t="shared" si="0"/>
        <v>13</v>
      </c>
      <c r="C14" s="3">
        <v>10</v>
      </c>
      <c r="D14" s="12">
        <v>2020</v>
      </c>
      <c r="E14" s="13">
        <f>Submetering!X14+Submetering!Y14</f>
        <v>14387.99999999992</v>
      </c>
      <c r="F14" s="3">
        <v>7.7909227967643713E-2</v>
      </c>
      <c r="G14" s="13">
        <f>Submetering!T14+Submetering!U14</f>
        <v>1807</v>
      </c>
      <c r="H14" s="3">
        <v>0.24162482260951298</v>
      </c>
      <c r="I14" s="13">
        <f>Submetering!E14+Submetering!H14</f>
        <v>52</v>
      </c>
      <c r="J14" s="84">
        <f t="shared" si="1"/>
        <v>1.686569936015061</v>
      </c>
      <c r="K14" s="12">
        <f>Submetering!AF14</f>
        <v>11</v>
      </c>
      <c r="L14" s="12">
        <f>Submetering!AG14</f>
        <v>16</v>
      </c>
    </row>
    <row r="15" spans="1:12" s="16" customFormat="1">
      <c r="A15" s="12" t="s">
        <v>12</v>
      </c>
      <c r="B15" s="15">
        <f t="shared" si="0"/>
        <v>14</v>
      </c>
      <c r="C15" s="3">
        <v>10</v>
      </c>
      <c r="D15" s="12">
        <v>2020</v>
      </c>
      <c r="E15" s="13">
        <f>Submetering!X15+Submetering!Y15</f>
        <v>16456.00000000004</v>
      </c>
      <c r="F15" s="3">
        <v>7.7909227967643713E-2</v>
      </c>
      <c r="G15" s="13">
        <f>Submetering!T15+Submetering!U15</f>
        <v>2915</v>
      </c>
      <c r="H15" s="3">
        <v>0.24162482260951298</v>
      </c>
      <c r="I15" s="13">
        <f>Submetering!E15+Submetering!H15</f>
        <v>112</v>
      </c>
      <c r="J15" s="84">
        <f t="shared" si="1"/>
        <v>1.686569936015061</v>
      </c>
      <c r="K15" s="12">
        <f>Submetering!AF15</f>
        <v>13</v>
      </c>
      <c r="L15" s="12">
        <f>Submetering!AG15</f>
        <v>20</v>
      </c>
    </row>
    <row r="16" spans="1:12" s="16" customFormat="1">
      <c r="A16" s="12" t="s">
        <v>12</v>
      </c>
      <c r="B16" s="15">
        <f t="shared" si="0"/>
        <v>15</v>
      </c>
      <c r="C16" s="3">
        <v>10</v>
      </c>
      <c r="D16" s="12">
        <v>2020</v>
      </c>
      <c r="E16" s="13">
        <f>Submetering!X16+Submetering!Y16</f>
        <v>12759.9999999999</v>
      </c>
      <c r="F16" s="3">
        <v>7.7909227967643713E-2</v>
      </c>
      <c r="G16" s="13">
        <f>Submetering!T16+Submetering!U16</f>
        <v>2033</v>
      </c>
      <c r="H16" s="3">
        <v>0.24162482260951298</v>
      </c>
      <c r="I16" s="13">
        <f>Submetering!E16+Submetering!H16</f>
        <v>88</v>
      </c>
      <c r="J16" s="84">
        <f t="shared" si="1"/>
        <v>1.686569936015061</v>
      </c>
      <c r="K16" s="12">
        <f>Submetering!AF16</f>
        <v>5</v>
      </c>
      <c r="L16" s="12">
        <f>Submetering!AG16</f>
        <v>7</v>
      </c>
    </row>
    <row r="17" spans="1:12" s="16" customFormat="1">
      <c r="A17" s="12" t="s">
        <v>12</v>
      </c>
      <c r="B17" s="15">
        <f t="shared" si="0"/>
        <v>16</v>
      </c>
      <c r="C17" s="3">
        <v>10</v>
      </c>
      <c r="D17" s="12">
        <v>2020</v>
      </c>
      <c r="E17" s="13">
        <f>Submetering!X17+Submetering!Y17</f>
        <v>12715.99999999994</v>
      </c>
      <c r="F17" s="3">
        <v>7.7909227967643713E-2</v>
      </c>
      <c r="G17" s="13">
        <f>Submetering!T17+Submetering!U17</f>
        <v>1800</v>
      </c>
      <c r="H17" s="3">
        <v>0.24162482260951298</v>
      </c>
      <c r="I17" s="13">
        <f>Submetering!E17+Submetering!H17</f>
        <v>68</v>
      </c>
      <c r="J17" s="84">
        <f t="shared" si="1"/>
        <v>1.686569936015061</v>
      </c>
      <c r="K17" s="12">
        <f>Submetering!AF17</f>
        <v>3</v>
      </c>
      <c r="L17" s="12">
        <f>Submetering!AG17</f>
        <v>7</v>
      </c>
    </row>
    <row r="18" spans="1:12" s="16" customFormat="1">
      <c r="A18" s="12" t="s">
        <v>12</v>
      </c>
      <c r="B18" s="15">
        <f t="shared" si="0"/>
        <v>17</v>
      </c>
      <c r="C18" s="3">
        <v>10</v>
      </c>
      <c r="D18" s="12">
        <v>2020</v>
      </c>
      <c r="E18" s="13">
        <f>Submetering!X18+Submetering!Y18</f>
        <v>11660.0000000004</v>
      </c>
      <c r="F18" s="3">
        <v>7.7909227967643713E-2</v>
      </c>
      <c r="G18" s="13">
        <f>Submetering!T18+Submetering!U18</f>
        <v>1150</v>
      </c>
      <c r="H18" s="3">
        <v>0.24162482260951298</v>
      </c>
      <c r="I18" s="13">
        <f>Submetering!E18+Submetering!H18</f>
        <v>54</v>
      </c>
      <c r="J18" s="84">
        <f t="shared" si="1"/>
        <v>1.686569936015061</v>
      </c>
      <c r="K18" s="12">
        <f>Submetering!AF18</f>
        <v>4</v>
      </c>
      <c r="L18" s="12">
        <f>Submetering!AG18</f>
        <v>10</v>
      </c>
    </row>
    <row r="19" spans="1:12" s="16" customFormat="1">
      <c r="A19" s="12" t="s">
        <v>12</v>
      </c>
      <c r="B19" s="15">
        <f t="shared" si="0"/>
        <v>18</v>
      </c>
      <c r="C19" s="3">
        <v>10</v>
      </c>
      <c r="D19" s="12">
        <v>2020</v>
      </c>
      <c r="E19" s="13">
        <f>Submetering!X19+Submetering!Y19</f>
        <v>12539.9999999996</v>
      </c>
      <c r="F19" s="3">
        <v>7.7909227967643713E-2</v>
      </c>
      <c r="G19" s="13">
        <f>Submetering!T19+Submetering!U19</f>
        <v>2120</v>
      </c>
      <c r="H19" s="3">
        <v>0.24162482260951298</v>
      </c>
      <c r="I19" s="13">
        <f>Submetering!E19+Submetering!H19</f>
        <v>55</v>
      </c>
      <c r="J19" s="84">
        <f t="shared" si="1"/>
        <v>1.686569936015061</v>
      </c>
      <c r="K19" s="12">
        <f>Submetering!AF19</f>
        <v>2</v>
      </c>
      <c r="L19" s="12">
        <f>Submetering!AG19</f>
        <v>4</v>
      </c>
    </row>
    <row r="20" spans="1:12" s="16" customFormat="1">
      <c r="A20" s="12" t="s">
        <v>12</v>
      </c>
      <c r="B20" s="15">
        <f t="shared" si="0"/>
        <v>19</v>
      </c>
      <c r="C20" s="3">
        <v>10</v>
      </c>
      <c r="D20" s="12">
        <v>2020</v>
      </c>
      <c r="E20" s="13">
        <f>Submetering!X20+Submetering!Y20</f>
        <v>8536.0000000002401</v>
      </c>
      <c r="F20" s="3">
        <v>7.7909227967643713E-2</v>
      </c>
      <c r="G20" s="13">
        <f>Submetering!T20+Submetering!U20</f>
        <v>1557</v>
      </c>
      <c r="H20" s="3">
        <v>0.24162482260951298</v>
      </c>
      <c r="I20" s="13">
        <f>Submetering!E20+Submetering!H20</f>
        <v>33</v>
      </c>
      <c r="J20" s="84">
        <f t="shared" si="1"/>
        <v>1.686569936015061</v>
      </c>
      <c r="K20" s="12">
        <f>Submetering!AF20</f>
        <v>6</v>
      </c>
      <c r="L20" s="12">
        <f>Submetering!AG20</f>
        <v>8</v>
      </c>
    </row>
    <row r="21" spans="1:12" s="16" customFormat="1">
      <c r="A21" s="12" t="s">
        <v>12</v>
      </c>
      <c r="B21" s="15">
        <f t="shared" si="0"/>
        <v>20</v>
      </c>
      <c r="C21" s="3">
        <v>10</v>
      </c>
      <c r="D21" s="12">
        <v>2020</v>
      </c>
      <c r="E21" s="13">
        <f>Submetering!X21+Submetering!Y21</f>
        <v>15663.99999999976</v>
      </c>
      <c r="F21" s="3">
        <v>7.7909227967643713E-2</v>
      </c>
      <c r="G21" s="13">
        <f>Submetering!T21+Submetering!U21</f>
        <v>1878</v>
      </c>
      <c r="H21" s="3">
        <v>0.24162482260951298</v>
      </c>
      <c r="I21" s="13">
        <f>Submetering!E21+Submetering!H21</f>
        <v>62</v>
      </c>
      <c r="J21" s="84">
        <f t="shared" si="1"/>
        <v>1.686569936015061</v>
      </c>
      <c r="K21" s="12">
        <f>Submetering!AF21</f>
        <v>7</v>
      </c>
      <c r="L21" s="12">
        <f>Submetering!AG21</f>
        <v>9</v>
      </c>
    </row>
    <row r="22" spans="1:12" s="16" customFormat="1">
      <c r="A22" s="12" t="s">
        <v>12</v>
      </c>
      <c r="B22" s="15">
        <f t="shared" si="0"/>
        <v>21</v>
      </c>
      <c r="C22" s="3">
        <v>10</v>
      </c>
      <c r="D22" s="12">
        <v>2020</v>
      </c>
      <c r="E22" s="13">
        <f>Submetering!X22+Submetering!Y22</f>
        <v>12276.00000000034</v>
      </c>
      <c r="F22" s="3">
        <v>7.7909227967643713E-2</v>
      </c>
      <c r="G22" s="13">
        <f>Submetering!T22+Submetering!U22</f>
        <v>2316</v>
      </c>
      <c r="H22" s="3">
        <v>0.24162482260951298</v>
      </c>
      <c r="I22" s="13">
        <f>Submetering!E22+Submetering!H22</f>
        <v>105</v>
      </c>
      <c r="J22" s="84">
        <f t="shared" si="1"/>
        <v>1.686569936015061</v>
      </c>
      <c r="K22" s="12">
        <f>Submetering!AF22</f>
        <v>6</v>
      </c>
      <c r="L22" s="12">
        <f>Submetering!AG22</f>
        <v>6</v>
      </c>
    </row>
    <row r="23" spans="1:12" s="16" customFormat="1">
      <c r="A23" s="12" t="s">
        <v>12</v>
      </c>
      <c r="B23" s="15">
        <f t="shared" si="0"/>
        <v>22</v>
      </c>
      <c r="C23" s="3">
        <v>10</v>
      </c>
      <c r="D23" s="12">
        <v>2020</v>
      </c>
      <c r="E23" s="13">
        <f>Submetering!X23+Submetering!Y23</f>
        <v>12187.99999999992</v>
      </c>
      <c r="F23" s="3">
        <v>7.7909227967643713E-2</v>
      </c>
      <c r="G23" s="13">
        <f>Submetering!T23+Submetering!U23</f>
        <v>1643</v>
      </c>
      <c r="H23" s="3">
        <v>0.24162482260951298</v>
      </c>
      <c r="I23" s="13">
        <f>Submetering!E23+Submetering!H23</f>
        <v>72</v>
      </c>
      <c r="J23" s="84">
        <f t="shared" si="1"/>
        <v>1.686569936015061</v>
      </c>
      <c r="K23" s="12">
        <f>Submetering!AF23</f>
        <v>7</v>
      </c>
      <c r="L23" s="12">
        <f>Submetering!AG23</f>
        <v>8</v>
      </c>
    </row>
    <row r="24" spans="1:12" s="16" customFormat="1">
      <c r="A24" s="12" t="s">
        <v>12</v>
      </c>
      <c r="B24" s="15">
        <f t="shared" si="0"/>
        <v>23</v>
      </c>
      <c r="C24" s="3">
        <v>10</v>
      </c>
      <c r="D24" s="12">
        <v>2020</v>
      </c>
      <c r="E24" s="13">
        <f>Submetering!X24+Submetering!Y24</f>
        <v>12319.9999999998</v>
      </c>
      <c r="F24" s="3">
        <v>7.7909227967643713E-2</v>
      </c>
      <c r="G24" s="13">
        <f>Submetering!T24+Submetering!U24</f>
        <v>1649</v>
      </c>
      <c r="H24" s="3">
        <v>0.24162482260951298</v>
      </c>
      <c r="I24" s="13">
        <f>Submetering!E24+Submetering!H24</f>
        <v>49</v>
      </c>
      <c r="J24" s="84">
        <f t="shared" si="1"/>
        <v>1.686569936015061</v>
      </c>
      <c r="K24" s="12">
        <f>Submetering!AF24</f>
        <v>15</v>
      </c>
      <c r="L24" s="12">
        <f>Submetering!AG24</f>
        <v>23</v>
      </c>
    </row>
    <row r="25" spans="1:12" s="16" customFormat="1">
      <c r="A25" s="12" t="s">
        <v>12</v>
      </c>
      <c r="B25" s="15">
        <f t="shared" si="0"/>
        <v>24</v>
      </c>
      <c r="C25" s="3">
        <v>10</v>
      </c>
      <c r="D25" s="12">
        <v>2020</v>
      </c>
      <c r="E25" s="13">
        <f>Submetering!X25+Submetering!Y25</f>
        <v>12584.00000000006</v>
      </c>
      <c r="F25" s="3">
        <v>7.7909227967643713E-2</v>
      </c>
      <c r="G25" s="13">
        <f>Submetering!T25+Submetering!U25</f>
        <v>1650</v>
      </c>
      <c r="H25" s="3">
        <v>0.24162482260951298</v>
      </c>
      <c r="I25" s="13">
        <f>Submetering!E25+Submetering!H25</f>
        <v>60</v>
      </c>
      <c r="J25" s="84">
        <f t="shared" si="1"/>
        <v>1.686569936015061</v>
      </c>
      <c r="K25" s="12">
        <f>Submetering!AF25</f>
        <v>18</v>
      </c>
      <c r="L25" s="12">
        <f>Submetering!AG25</f>
        <v>29</v>
      </c>
    </row>
    <row r="26" spans="1:12" s="16" customFormat="1">
      <c r="A26" s="12" t="s">
        <v>12</v>
      </c>
      <c r="B26" s="15">
        <f>B25+1</f>
        <v>25</v>
      </c>
      <c r="C26" s="3">
        <v>10</v>
      </c>
      <c r="D26" s="12">
        <v>2020</v>
      </c>
      <c r="E26" s="13">
        <f>Submetering!X26+Submetering!Y26</f>
        <v>12056.00000000004</v>
      </c>
      <c r="F26" s="3">
        <v>7.7909227967643713E-2</v>
      </c>
      <c r="G26" s="13">
        <f>Submetering!T26+Submetering!U26</f>
        <v>1456</v>
      </c>
      <c r="H26" s="3">
        <v>0.24162482260951298</v>
      </c>
      <c r="I26" s="13">
        <f>Submetering!E26+Submetering!H26</f>
        <v>52</v>
      </c>
      <c r="J26" s="84">
        <f t="shared" si="1"/>
        <v>1.686569936015061</v>
      </c>
      <c r="K26" s="12">
        <f>Submetering!AF26</f>
        <v>14</v>
      </c>
      <c r="L26" s="12">
        <f>Submetering!AG26</f>
        <v>18</v>
      </c>
    </row>
    <row r="27" spans="1:12" s="16" customFormat="1">
      <c r="A27" s="12" t="s">
        <v>12</v>
      </c>
      <c r="B27" s="15">
        <f t="shared" si="0"/>
        <v>26</v>
      </c>
      <c r="C27" s="3">
        <v>10</v>
      </c>
      <c r="D27" s="12">
        <v>2020</v>
      </c>
      <c r="E27" s="13">
        <f>Submetering!X27+Submetering!Y27</f>
        <v>10912.00000000008</v>
      </c>
      <c r="F27" s="3">
        <v>7.7909227967643713E-2</v>
      </c>
      <c r="G27" s="13">
        <f>Submetering!T27+Submetering!U27</f>
        <v>913</v>
      </c>
      <c r="H27" s="3">
        <v>0.24162482260951298</v>
      </c>
      <c r="I27" s="13">
        <f>Submetering!E27+Submetering!H27</f>
        <v>39</v>
      </c>
      <c r="J27" s="84">
        <f t="shared" si="1"/>
        <v>1.686569936015061</v>
      </c>
      <c r="K27" s="12">
        <f>Submetering!AF27</f>
        <v>11</v>
      </c>
      <c r="L27" s="12">
        <f>Submetering!AG27</f>
        <v>16</v>
      </c>
    </row>
    <row r="28" spans="1:12" s="16" customFormat="1">
      <c r="A28" s="12" t="s">
        <v>12</v>
      </c>
      <c r="B28" s="15">
        <f t="shared" si="0"/>
        <v>27</v>
      </c>
      <c r="C28" s="3">
        <v>10</v>
      </c>
      <c r="D28" s="12">
        <v>2020</v>
      </c>
      <c r="E28" s="13">
        <f>Submetering!X28+Submetering!Y28</f>
        <v>8712.00000000008</v>
      </c>
      <c r="F28" s="3">
        <v>7.7909227967643713E-2</v>
      </c>
      <c r="G28" s="13">
        <f>Submetering!T28+Submetering!U28</f>
        <v>1572</v>
      </c>
      <c r="H28" s="3">
        <v>0.24162482260951298</v>
      </c>
      <c r="I28" s="13">
        <f>Submetering!E28+Submetering!H28</f>
        <v>87</v>
      </c>
      <c r="J28" s="84">
        <f t="shared" si="1"/>
        <v>1.686569936015061</v>
      </c>
      <c r="K28" s="12">
        <f>Submetering!AF28</f>
        <v>14</v>
      </c>
      <c r="L28" s="12">
        <f>Submetering!AG28</f>
        <v>20</v>
      </c>
    </row>
    <row r="29" spans="1:12" s="16" customFormat="1">
      <c r="A29" s="12" t="s">
        <v>12</v>
      </c>
      <c r="B29" s="15">
        <f t="shared" si="0"/>
        <v>28</v>
      </c>
      <c r="C29" s="3">
        <v>10</v>
      </c>
      <c r="D29" s="12">
        <v>2020</v>
      </c>
      <c r="E29" s="13">
        <f>Submetering!X29+Submetering!Y29</f>
        <v>16279.9999999997</v>
      </c>
      <c r="F29" s="3">
        <v>7.7909227967643713E-2</v>
      </c>
      <c r="G29" s="13">
        <f>Submetering!T29+Submetering!U29</f>
        <v>2127</v>
      </c>
      <c r="H29" s="3">
        <v>0.24162482260951298</v>
      </c>
      <c r="I29" s="13">
        <f>Submetering!E29+Submetering!H29</f>
        <v>107</v>
      </c>
      <c r="J29" s="84">
        <f t="shared" si="1"/>
        <v>1.686569936015061</v>
      </c>
      <c r="K29" s="12">
        <f>Submetering!AF29</f>
        <v>14</v>
      </c>
      <c r="L29" s="12">
        <f>Submetering!AG29</f>
        <v>20</v>
      </c>
    </row>
    <row r="30" spans="1:12" s="16" customFormat="1">
      <c r="A30" s="12" t="s">
        <v>12</v>
      </c>
      <c r="B30" s="15">
        <f t="shared" si="0"/>
        <v>29</v>
      </c>
      <c r="C30" s="3">
        <v>10</v>
      </c>
      <c r="D30" s="12">
        <v>2020</v>
      </c>
      <c r="E30" s="13">
        <f>Submetering!X30+Submetering!Y30</f>
        <v>12804.00000000036</v>
      </c>
      <c r="F30" s="3">
        <v>7.7909227967643713E-2</v>
      </c>
      <c r="G30" s="13">
        <f>Submetering!T30+Submetering!U30</f>
        <v>1543</v>
      </c>
      <c r="H30" s="3">
        <v>0.24162482260951298</v>
      </c>
      <c r="I30" s="13">
        <f>Submetering!E30+Submetering!H30</f>
        <v>97</v>
      </c>
      <c r="J30" s="84">
        <f t="shared" si="1"/>
        <v>1.686569936015061</v>
      </c>
      <c r="K30" s="12">
        <f>Submetering!AF30</f>
        <v>17</v>
      </c>
      <c r="L30" s="12">
        <f>Submetering!AG30</f>
        <v>22</v>
      </c>
    </row>
    <row r="31" spans="1:12" s="14" customFormat="1">
      <c r="A31" s="12" t="s">
        <v>12</v>
      </c>
      <c r="B31" s="15">
        <f t="shared" si="0"/>
        <v>30</v>
      </c>
      <c r="C31" s="3">
        <v>10</v>
      </c>
      <c r="D31" s="12">
        <v>2020</v>
      </c>
      <c r="E31" s="13">
        <f>Submetering!X31+Submetering!Y31</f>
        <v>13331.99999999988</v>
      </c>
      <c r="F31" s="3">
        <v>7.7909227967643713E-2</v>
      </c>
      <c r="G31" s="13">
        <f>Submetering!T31+Submetering!U31</f>
        <v>1440</v>
      </c>
      <c r="H31" s="3">
        <v>0.24162482260951298</v>
      </c>
      <c r="I31" s="13">
        <f>Submetering!E31+Submetering!H31</f>
        <v>41</v>
      </c>
      <c r="J31" s="84">
        <f t="shared" si="1"/>
        <v>1.686569936015061</v>
      </c>
      <c r="K31" s="12">
        <f>Submetering!AF31</f>
        <v>8</v>
      </c>
      <c r="L31" s="12">
        <f>Submetering!AG31</f>
        <v>10</v>
      </c>
    </row>
    <row r="32" spans="1:12">
      <c r="A32" s="12" t="s">
        <v>12</v>
      </c>
      <c r="B32" s="15">
        <f t="shared" si="0"/>
        <v>31</v>
      </c>
      <c r="C32" s="3">
        <v>10</v>
      </c>
      <c r="D32" s="12">
        <v>2020</v>
      </c>
      <c r="E32" s="13">
        <f>Submetering!X32+Submetering!Y32</f>
        <v>12628.00000000002</v>
      </c>
      <c r="F32" s="3">
        <v>1.0779092279676401</v>
      </c>
      <c r="G32" s="13">
        <f>Submetering!T32+Submetering!U32</f>
        <v>1403</v>
      </c>
      <c r="H32" s="3">
        <v>1.2416248226095099</v>
      </c>
      <c r="I32" s="13">
        <f>Submetering!E32+Submetering!H32</f>
        <v>58</v>
      </c>
      <c r="J32" s="84">
        <f t="shared" si="1"/>
        <v>1.686569936015061</v>
      </c>
      <c r="K32" s="12">
        <f>Submetering!AF32</f>
        <v>7</v>
      </c>
      <c r="L32" s="12">
        <f>Submetering!AG32</f>
        <v>11</v>
      </c>
    </row>
    <row r="35" spans="4:12">
      <c r="D35" s="2">
        <f>SUM(D2:D34)</f>
        <v>62620</v>
      </c>
      <c r="E35" s="2">
        <f t="shared" ref="E35:L35" si="2">SUM(E2:E34)</f>
        <v>407748.00000000006</v>
      </c>
      <c r="F35" s="2">
        <f t="shared" si="2"/>
        <v>3.4151860669969514</v>
      </c>
      <c r="G35" s="2">
        <f t="shared" si="2"/>
        <v>45648</v>
      </c>
      <c r="H35" s="2">
        <f t="shared" si="2"/>
        <v>8.4903695008948947</v>
      </c>
      <c r="I35" s="2">
        <f t="shared" si="2"/>
        <v>2079</v>
      </c>
      <c r="J35" s="2">
        <f t="shared" si="2"/>
        <v>52.283668016466898</v>
      </c>
      <c r="K35" s="2">
        <f t="shared" si="2"/>
        <v>367</v>
      </c>
      <c r="L35" s="2">
        <f t="shared" si="2"/>
        <v>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A1:AG57"/>
  <sheetViews>
    <sheetView zoomScale="85" zoomScaleNormal="85" workbookViewId="0">
      <selection activeCell="G36" sqref="G36"/>
    </sheetView>
  </sheetViews>
  <sheetFormatPr defaultColWidth="11.5546875" defaultRowHeight="14.4"/>
  <cols>
    <col min="1" max="2" width="11.5546875" style="2"/>
    <col min="3" max="3" width="11.5546875" style="11"/>
    <col min="4" max="20" width="13.44140625" style="2" customWidth="1"/>
    <col min="21" max="21" width="13" style="9" customWidth="1"/>
    <col min="22" max="22" width="12.5546875" style="2" customWidth="1"/>
    <col min="23" max="27" width="13" style="4" customWidth="1"/>
    <col min="28" max="32" width="11.5546875" style="2"/>
  </cols>
  <sheetData>
    <row r="1" spans="1:33" s="80" customFormat="1" ht="57.6">
      <c r="A1" s="6" t="s">
        <v>0</v>
      </c>
      <c r="B1" s="6" t="s">
        <v>1</v>
      </c>
      <c r="C1" s="79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10</v>
      </c>
      <c r="AG1" s="6" t="s">
        <v>11</v>
      </c>
    </row>
    <row r="2" spans="1:33" s="14" customFormat="1" ht="13.2">
      <c r="A2" s="12" t="s">
        <v>12</v>
      </c>
      <c r="B2" s="12">
        <v>1</v>
      </c>
      <c r="C2" s="3">
        <v>10</v>
      </c>
      <c r="D2" s="12">
        <v>2020</v>
      </c>
      <c r="E2" s="12">
        <f>IF(('FS Budapest'!C5-'FS Budapest'!C4)&lt;0,"0",('FS Budapest'!C5-'FS Budapest'!C4))</f>
        <v>60</v>
      </c>
      <c r="F2" s="12">
        <f>IF(('FS Budapest'!D5-'FS Budapest'!D4)&lt;0,"0",('FS Budapest'!D5-'FS Budapest'!D4))</f>
        <v>32</v>
      </c>
      <c r="G2" s="12">
        <f>IF(('FS Budapest'!E5-'FS Budapest'!Y5)&lt;0,"0",('FS Budapest'!E5-'FS Budapest'!Y5))</f>
        <v>17</v>
      </c>
      <c r="H2" s="12">
        <f>IF(('FS Budapest'!H5-'FS Budapest'!H4)&lt;0,"0",('FS Budapest'!H5-'FS Budapest'!H4))</f>
        <v>0</v>
      </c>
      <c r="I2" s="12">
        <f>IF(('FS Budapest'!I5-'FS Budapest'!I4)&lt;0,"0",('FS Budapest'!I5-'FS Budapest'!I4))</f>
        <v>3</v>
      </c>
      <c r="J2" s="12">
        <f>IF(('FS Budapest'!K5-'FS Budapest'!K4)&lt;0,"0",('FS Budapest'!K5-'FS Budapest'!K4))</f>
        <v>5</v>
      </c>
      <c r="K2" s="12">
        <f>IF(('FS Budapest'!M5-'FS Budapest'!M4)&lt;0,"0",('FS Budapest'!M5-'FS Budapest'!M4))</f>
        <v>5</v>
      </c>
      <c r="L2" s="12">
        <f>IF(('FS Budapest'!O5-'FS Budapest'!O4)&lt;0,"0",('FS Budapest'!O5-'FS Budapest'!O4))</f>
        <v>2</v>
      </c>
      <c r="M2" s="12">
        <f>IF(('FS Budapest'!Q5-'FS Budapest'!Q4)&lt;0,"0",('FS Budapest'!Q5-'FS Budapest'!Q4))</f>
        <v>1</v>
      </c>
      <c r="N2" s="12">
        <f>IF(('FS Budapest'!S5-'FS Budapest'!S4)&lt;0,"0",('FS Budapest'!S5-'FS Budapest'!S4))</f>
        <v>0</v>
      </c>
      <c r="O2" s="12">
        <f>IF(('FS Budapest'!V5-'FS Budapest'!V4)&lt;0,"0",('FS Budapest'!V5-'FS Budapest'!V4))</f>
        <v>0</v>
      </c>
      <c r="P2" s="12">
        <f>IF(('FS Budapest'!X5-'FS Budapest'!X4)&lt;0,"0",('FS Budapest'!X5-'FS Budapest'!X4))</f>
        <v>15</v>
      </c>
      <c r="Q2" s="12">
        <f>'FS Budapest'!AB5</f>
        <v>3</v>
      </c>
      <c r="R2" s="12">
        <f>'FS Budapest'!AE5</f>
        <v>1</v>
      </c>
      <c r="S2" s="12">
        <f>'FS Budapest'!AF5</f>
        <v>1</v>
      </c>
      <c r="T2" s="12">
        <f>IF(('FS Budapest'!AK5-'FS Budapest'!AK4)&lt;0,"0",('FS Budapest'!AK5-'FS Budapest'!AK4))</f>
        <v>1108</v>
      </c>
      <c r="U2" s="12">
        <f>IF(('FS Budapest'!AM5-'FS Budapest'!AM4)&lt;0,"0",('FS Budapest'!AM5-'FS Budapest'!AM4))</f>
        <v>33</v>
      </c>
      <c r="V2" s="12">
        <f>IF(('FS Budapest'!AO5-'FS Budapest'!AO4)&lt;0,"0",('FS Budapest'!AO5-'FS Budapest'!AO4))</f>
        <v>0</v>
      </c>
      <c r="W2" s="12">
        <f>IF(('FS Budapest'!AQ5-'FS Budapest'!AQ4)&lt;0,"0",('FS Budapest'!AQ5-'FS Budapest'!AQ4))</f>
        <v>335</v>
      </c>
      <c r="X2" s="12">
        <f>'FS Budapest'!AY5</f>
        <v>0</v>
      </c>
      <c r="Y2" s="12">
        <f>IF(('FS Budapest'!BA5-'FS Budapest'!BA4)&lt;0,"0",('FS Budapest'!BA5-'FS Budapest'!BA4)*4400)</f>
        <v>14343.99999999996</v>
      </c>
      <c r="Z2" s="12">
        <f>'FS Budapest'!BI5</f>
        <v>14343.99999999996</v>
      </c>
      <c r="AA2" s="12">
        <f>'FS Budapest'!BJ5</f>
        <v>12560.99999999996</v>
      </c>
      <c r="AB2" s="12">
        <f>IF(('FS Budapest'!BK5-'FS Budapest'!BK4)&lt;0,"0",('FS Budapest'!BK5-'FS Budapest'!BK4)*100)</f>
        <v>581.99999999999363</v>
      </c>
      <c r="AC2" s="12">
        <f>'FS Budapest'!BM5</f>
        <v>14925.999999999953</v>
      </c>
      <c r="AD2" s="12">
        <f>IF(('FS Budapest'!BP5-'FS Budapest'!BP4)&lt;0,"0",('FS Budapest'!BP5-'FS Budapest'!BP4))</f>
        <v>20</v>
      </c>
      <c r="AE2" s="12">
        <f>IF(('FS Budapest'!BR5-'FS Budapest'!BR4)&lt;0,"0",('FS Budapest'!BR5-'FS Budapest'!BR4))</f>
        <v>1763</v>
      </c>
      <c r="AF2" s="12">
        <f>'FS Budapest'!BU5</f>
        <v>10</v>
      </c>
      <c r="AG2" s="12">
        <f>'FS Budapest'!BV5</f>
        <v>11</v>
      </c>
    </row>
    <row r="3" spans="1:33" s="16" customFormat="1">
      <c r="A3" s="12" t="s">
        <v>12</v>
      </c>
      <c r="B3" s="15">
        <f>B2+1</f>
        <v>2</v>
      </c>
      <c r="C3" s="3">
        <v>10</v>
      </c>
      <c r="D3" s="12">
        <v>2020</v>
      </c>
      <c r="E3" s="12">
        <f>IF(('FS Budapest'!C6-'FS Budapest'!C5)&lt;0,"0",('FS Budapest'!C6-'FS Budapest'!C5))</f>
        <v>75</v>
      </c>
      <c r="F3" s="12">
        <f>IF(('FS Budapest'!D6-'FS Budapest'!D5)&lt;0,"0",('FS Budapest'!D6-'FS Budapest'!D5))</f>
        <v>38</v>
      </c>
      <c r="G3" s="12">
        <f>IF(('FS Budapest'!E6-'FS Budapest'!Y6)&lt;0,"0",('FS Budapest'!E6-'FS Budapest'!Y6))</f>
        <v>17</v>
      </c>
      <c r="H3" s="12">
        <f>IF(('FS Budapest'!H6-'FS Budapest'!H5)&lt;0,"0",('FS Budapest'!H6-'FS Budapest'!H5))</f>
        <v>0</v>
      </c>
      <c r="I3" s="12">
        <f>IF(('FS Budapest'!I6-'FS Budapest'!I5)&lt;0,"0",('FS Budapest'!I6-'FS Budapest'!I5))</f>
        <v>2</v>
      </c>
      <c r="J3" s="12">
        <f>IF(('FS Budapest'!K6-'FS Budapest'!K5)&lt;0,"0",('FS Budapest'!K6-'FS Budapest'!K5))</f>
        <v>4</v>
      </c>
      <c r="K3" s="12">
        <f>IF(('FS Budapest'!M6-'FS Budapest'!M5)&lt;0,"0",('FS Budapest'!M6-'FS Budapest'!M5))</f>
        <v>5</v>
      </c>
      <c r="L3" s="12">
        <f>IF(('FS Budapest'!O6-'FS Budapest'!O5)&lt;0,"0",('FS Budapest'!O6-'FS Budapest'!O5))</f>
        <v>2</v>
      </c>
      <c r="M3" s="12">
        <f>IF(('FS Budapest'!Q6-'FS Budapest'!Q5)&lt;0,"0",('FS Budapest'!Q6-'FS Budapest'!Q5))</f>
        <v>0</v>
      </c>
      <c r="N3" s="12">
        <f>IF(('FS Budapest'!S6-'FS Budapest'!S5)&lt;0,"0",('FS Budapest'!S6-'FS Budapest'!S5))</f>
        <v>0</v>
      </c>
      <c r="O3" s="12">
        <f>IF(('FS Budapest'!V6-'FS Budapest'!V5)&lt;0,"0",('FS Budapest'!V6-'FS Budapest'!V5))</f>
        <v>0</v>
      </c>
      <c r="P3" s="12">
        <f>IF(('FS Budapest'!X6-'FS Budapest'!X5)&lt;0,"0",('FS Budapest'!X6-'FS Budapest'!X5))</f>
        <v>21</v>
      </c>
      <c r="Q3" s="12">
        <f>'FS Budapest'!AB6</f>
        <v>3</v>
      </c>
      <c r="R3" s="12">
        <f>'FS Budapest'!AE6</f>
        <v>4</v>
      </c>
      <c r="S3" s="12">
        <f>'FS Budapest'!AF6</f>
        <v>0</v>
      </c>
      <c r="T3" s="12">
        <f>IF(('FS Budapest'!AK6-'FS Budapest'!AK5)&lt;0,"0",('FS Budapest'!AK6-'FS Budapest'!AK5))</f>
        <v>996</v>
      </c>
      <c r="U3" s="12">
        <f>IF(('FS Budapest'!AM6-'FS Budapest'!AM5)&lt;0,"0",('FS Budapest'!AM6-'FS Budapest'!AM5))</f>
        <v>31</v>
      </c>
      <c r="V3" s="12">
        <f>IF(('FS Budapest'!AO6-'FS Budapest'!AO5)&lt;0,"0",('FS Budapest'!AO6-'FS Budapest'!AO5))</f>
        <v>0</v>
      </c>
      <c r="W3" s="12">
        <f>IF(('FS Budapest'!AQ6-'FS Budapest'!AQ5)&lt;0,"0",('FS Budapest'!AQ6-'FS Budapest'!AQ5))</f>
        <v>0</v>
      </c>
      <c r="X3" s="12">
        <f>'FS Budapest'!AY6</f>
        <v>0</v>
      </c>
      <c r="Y3" s="12">
        <f>IF(('FS Budapest'!BA6-'FS Budapest'!BA5)&lt;0,"0",('FS Budapest'!BA6-'FS Budapest'!BA5)*4400)</f>
        <v>14564.000000000011</v>
      </c>
      <c r="Z3" s="12">
        <f>'FS Budapest'!BI6</f>
        <v>14564.000000000011</v>
      </c>
      <c r="AA3" s="12">
        <f>'FS Budapest'!BJ6</f>
        <v>12421.000000000011</v>
      </c>
      <c r="AB3" s="12">
        <f>IF(('FS Budapest'!BK6-'FS Budapest'!BK5)&lt;0,"0",('FS Budapest'!BK6-'FS Budapest'!BK5)*100)</f>
        <v>596.00000000000364</v>
      </c>
      <c r="AC3" s="12">
        <f>'FS Budapest'!BM6</f>
        <v>15160.000000000015</v>
      </c>
      <c r="AD3" s="12">
        <f>IF(('FS Budapest'!BP6-'FS Budapest'!BP5)&lt;0,"0",('FS Budapest'!BP6-'FS Budapest'!BP5))</f>
        <v>20</v>
      </c>
      <c r="AE3" s="12">
        <f>IF(('FS Budapest'!BR6-'FS Budapest'!BR5)&lt;0,"0",('FS Budapest'!BR6-'FS Budapest'!BR5))</f>
        <v>2123</v>
      </c>
      <c r="AF3" s="12">
        <f>'FS Budapest'!BU6</f>
        <v>15</v>
      </c>
      <c r="AG3" s="12">
        <f>'FS Budapest'!BV6</f>
        <v>20</v>
      </c>
    </row>
    <row r="4" spans="1:33" s="16" customFormat="1">
      <c r="A4" s="12" t="s">
        <v>12</v>
      </c>
      <c r="B4" s="15">
        <f t="shared" ref="B4:B32" si="0">B3+1</f>
        <v>3</v>
      </c>
      <c r="C4" s="3">
        <v>10</v>
      </c>
      <c r="D4" s="12">
        <v>2020</v>
      </c>
      <c r="E4" s="12">
        <f>IF(('FS Budapest'!C7-'FS Budapest'!C6)&lt;0,"0",('FS Budapest'!C7-'FS Budapest'!C6))</f>
        <v>70</v>
      </c>
      <c r="F4" s="12">
        <f>IF(('FS Budapest'!D7-'FS Budapest'!D6)&lt;0,"0",('FS Budapest'!D7-'FS Budapest'!D6))</f>
        <v>42</v>
      </c>
      <c r="G4" s="12">
        <f>IF(('FS Budapest'!E7-'FS Budapest'!Y7)&lt;0,"0",('FS Budapest'!E7-'FS Budapest'!Y7))</f>
        <v>15</v>
      </c>
      <c r="H4" s="12">
        <f>IF(('FS Budapest'!H7-'FS Budapest'!H6)&lt;0,"0",('FS Budapest'!H7-'FS Budapest'!H6))</f>
        <v>0</v>
      </c>
      <c r="I4" s="12">
        <f>IF(('FS Budapest'!I7-'FS Budapest'!I6)&lt;0,"0",('FS Budapest'!I7-'FS Budapest'!I6))</f>
        <v>4</v>
      </c>
      <c r="J4" s="12">
        <f>IF(('FS Budapest'!K7-'FS Budapest'!K6)&lt;0,"0",('FS Budapest'!K7-'FS Budapest'!K6))</f>
        <v>4</v>
      </c>
      <c r="K4" s="12">
        <f>IF(('FS Budapest'!M7-'FS Budapest'!M6)&lt;0,"0",('FS Budapest'!M7-'FS Budapest'!M6))</f>
        <v>5</v>
      </c>
      <c r="L4" s="12">
        <f>IF(('FS Budapest'!O7-'FS Budapest'!O6)&lt;0,"0",('FS Budapest'!O7-'FS Budapest'!O6))</f>
        <v>2</v>
      </c>
      <c r="M4" s="12">
        <f>IF(('FS Budapest'!Q7-'FS Budapest'!Q6)&lt;0,"0",('FS Budapest'!Q7-'FS Budapest'!Q6))</f>
        <v>0</v>
      </c>
      <c r="N4" s="12">
        <f>IF(('FS Budapest'!S7-'FS Budapest'!S6)&lt;0,"0",('FS Budapest'!S7-'FS Budapest'!S6))</f>
        <v>0</v>
      </c>
      <c r="O4" s="12">
        <f>IF(('FS Budapest'!V7-'FS Budapest'!V6)&lt;0,"0",('FS Budapest'!V7-'FS Budapest'!V6))</f>
        <v>0</v>
      </c>
      <c r="P4" s="12">
        <f>IF(('FS Budapest'!X7-'FS Budapest'!X6)&lt;0,"0",('FS Budapest'!X7-'FS Budapest'!X6))</f>
        <v>27</v>
      </c>
      <c r="Q4" s="12">
        <f>'FS Budapest'!AB7</f>
        <v>3</v>
      </c>
      <c r="R4" s="12">
        <f>'FS Budapest'!AE7</f>
        <v>1</v>
      </c>
      <c r="S4" s="12">
        <f>'FS Budapest'!AF7</f>
        <v>0</v>
      </c>
      <c r="T4" s="12">
        <f>IF(('FS Budapest'!AK7-'FS Budapest'!AK6)&lt;0,"0",('FS Budapest'!AK7-'FS Budapest'!AK6))</f>
        <v>866</v>
      </c>
      <c r="U4" s="12">
        <f>IF(('FS Budapest'!AM7-'FS Budapest'!AM6)&lt;0,"0",('FS Budapest'!AM7-'FS Budapest'!AM6))</f>
        <v>29</v>
      </c>
      <c r="V4" s="12">
        <f>IF(('FS Budapest'!AO7-'FS Budapest'!AO6)&lt;0,"0",('FS Budapest'!AO7-'FS Budapest'!AO6))</f>
        <v>0</v>
      </c>
      <c r="W4" s="12">
        <f>IF(('FS Budapest'!AQ7-'FS Budapest'!AQ6)&lt;0,"0",('FS Budapest'!AQ7-'FS Budapest'!AQ6))</f>
        <v>0</v>
      </c>
      <c r="X4" s="12">
        <f>'FS Budapest'!AY7</f>
        <v>0</v>
      </c>
      <c r="Y4" s="12">
        <f>IF(('FS Budapest'!BA7-'FS Budapest'!BA6)&lt;0,"0",('FS Budapest'!BA7-'FS Budapest'!BA6)*4400)</f>
        <v>15004.000000000109</v>
      </c>
      <c r="Z4" s="12">
        <f>'FS Budapest'!BI7</f>
        <v>15004.000000000109</v>
      </c>
      <c r="AA4" s="12">
        <f>'FS Budapest'!BJ7</f>
        <v>12384.000000000109</v>
      </c>
      <c r="AB4" s="12">
        <f>IF(('FS Budapest'!BK7-'FS Budapest'!BK6)&lt;0,"0",('FS Budapest'!BK7-'FS Budapest'!BK6)*100)</f>
        <v>469.99999999999318</v>
      </c>
      <c r="AC4" s="12">
        <f>'FS Budapest'!BM7</f>
        <v>15474.000000000102</v>
      </c>
      <c r="AD4" s="12">
        <f>IF(('FS Budapest'!BP7-'FS Budapest'!BP6)&lt;0,"0",('FS Budapest'!BP7-'FS Budapest'!BP6))</f>
        <v>19</v>
      </c>
      <c r="AE4" s="12">
        <f>IF(('FS Budapest'!BR7-'FS Budapest'!BR6)&lt;0,"0",('FS Budapest'!BR7-'FS Budapest'!BR6))</f>
        <v>2601</v>
      </c>
      <c r="AF4" s="12">
        <f>'FS Budapest'!BU7</f>
        <v>12</v>
      </c>
      <c r="AG4" s="12">
        <f>'FS Budapest'!BV7</f>
        <v>14</v>
      </c>
    </row>
    <row r="5" spans="1:33" s="16" customFormat="1">
      <c r="A5" s="12" t="s">
        <v>12</v>
      </c>
      <c r="B5" s="15">
        <f t="shared" si="0"/>
        <v>4</v>
      </c>
      <c r="C5" s="3">
        <v>10</v>
      </c>
      <c r="D5" s="12">
        <v>2020</v>
      </c>
      <c r="E5" s="12">
        <f>IF(('FS Budapest'!C8-'FS Budapest'!C7)&lt;0,"0",('FS Budapest'!C8-'FS Budapest'!C7))</f>
        <v>68</v>
      </c>
      <c r="F5" s="12">
        <f>IF(('FS Budapest'!D8-'FS Budapest'!D7)&lt;0,"0",('FS Budapest'!D8-'FS Budapest'!D7))</f>
        <v>41</v>
      </c>
      <c r="G5" s="12">
        <f>IF(('FS Budapest'!E8-'FS Budapest'!Y8)&lt;0,"0",('FS Budapest'!E8-'FS Budapest'!Y8))</f>
        <v>20</v>
      </c>
      <c r="H5" s="12">
        <f>IF(('FS Budapest'!H8-'FS Budapest'!H7)&lt;0,"0",('FS Budapest'!H8-'FS Budapest'!H7))</f>
        <v>0</v>
      </c>
      <c r="I5" s="12">
        <f>IF(('FS Budapest'!I8-'FS Budapest'!I7)&lt;0,"0",('FS Budapest'!I8-'FS Budapest'!I7))</f>
        <v>3</v>
      </c>
      <c r="J5" s="12">
        <f>IF(('FS Budapest'!K8-'FS Budapest'!K7)&lt;0,"0",('FS Budapest'!K8-'FS Budapest'!K7))</f>
        <v>5</v>
      </c>
      <c r="K5" s="12">
        <f>IF(('FS Budapest'!M8-'FS Budapest'!M7)&lt;0,"0",('FS Budapest'!M8-'FS Budapest'!M7))</f>
        <v>5</v>
      </c>
      <c r="L5" s="12">
        <f>IF(('FS Budapest'!O8-'FS Budapest'!O7)&lt;0,"0",('FS Budapest'!O8-'FS Budapest'!O7))</f>
        <v>2</v>
      </c>
      <c r="M5" s="12">
        <f>IF(('FS Budapest'!Q8-'FS Budapest'!Q7)&lt;0,"0",('FS Budapest'!Q8-'FS Budapest'!Q7))</f>
        <v>0</v>
      </c>
      <c r="N5" s="12">
        <f>IF(('FS Budapest'!S8-'FS Budapest'!S7)&lt;0,"0",('FS Budapest'!S8-'FS Budapest'!S7))</f>
        <v>0</v>
      </c>
      <c r="O5" s="12">
        <f>IF(('FS Budapest'!V8-'FS Budapest'!V7)&lt;0,"0",('FS Budapest'!V8-'FS Budapest'!V7))</f>
        <v>0</v>
      </c>
      <c r="P5" s="12">
        <f>IF(('FS Budapest'!X8-'FS Budapest'!X7)&lt;0,"0",('FS Budapest'!X8-'FS Budapest'!X7))</f>
        <v>21</v>
      </c>
      <c r="Q5" s="12">
        <f>'FS Budapest'!AB8</f>
        <v>4</v>
      </c>
      <c r="R5" s="12">
        <f>'FS Budapest'!AE8</f>
        <v>2</v>
      </c>
      <c r="S5" s="12">
        <f>'FS Budapest'!AF8</f>
        <v>0</v>
      </c>
      <c r="T5" s="12">
        <f>IF(('FS Budapest'!AK8-'FS Budapest'!AK7)&lt;0,"0",('FS Budapest'!AK8-'FS Budapest'!AK7))</f>
        <v>963</v>
      </c>
      <c r="U5" s="12">
        <f>IF(('FS Budapest'!AM8-'FS Budapest'!AM7)&lt;0,"0",('FS Budapest'!AM8-'FS Budapest'!AM7))</f>
        <v>32</v>
      </c>
      <c r="V5" s="12">
        <f>IF(('FS Budapest'!AO8-'FS Budapest'!AO7)&lt;0,"0",('FS Budapest'!AO8-'FS Budapest'!AO7))</f>
        <v>0</v>
      </c>
      <c r="W5" s="12">
        <f>IF(('FS Budapest'!AQ8-'FS Budapest'!AQ7)&lt;0,"0",('FS Budapest'!AQ8-'FS Budapest'!AQ7))</f>
        <v>0</v>
      </c>
      <c r="X5" s="12">
        <f>'FS Budapest'!AY8</f>
        <v>0</v>
      </c>
      <c r="Y5" s="12">
        <f>IF(('FS Budapest'!BA8-'FS Budapest'!BA7)&lt;0,"0",('FS Budapest'!BA8-'FS Budapest'!BA7)*4400)</f>
        <v>13991.99999999978</v>
      </c>
      <c r="Z5" s="12">
        <f>'FS Budapest'!BI8</f>
        <v>13991.99999999978</v>
      </c>
      <c r="AA5" s="12">
        <f>'FS Budapest'!BJ8</f>
        <v>11869.99999999978</v>
      </c>
      <c r="AB5" s="12">
        <f>IF(('FS Budapest'!BK8-'FS Budapest'!BK7)&lt;0,"0",('FS Budapest'!BK8-'FS Budapest'!BK7)*100)</f>
        <v>460.00000000000227</v>
      </c>
      <c r="AC5" s="12">
        <f>'FS Budapest'!BM8</f>
        <v>14451.999999999782</v>
      </c>
      <c r="AD5" s="12">
        <f>IF(('FS Budapest'!BP8-'FS Budapest'!BP7)&lt;0,"0",('FS Budapest'!BP8-'FS Budapest'!BP7))</f>
        <v>19</v>
      </c>
      <c r="AE5" s="12">
        <f>IF(('FS Budapest'!BR8-'FS Budapest'!BR7)&lt;0,"0",('FS Budapest'!BR8-'FS Budapest'!BR7))</f>
        <v>2103</v>
      </c>
      <c r="AF5" s="12">
        <f>'FS Budapest'!BU8</f>
        <v>12</v>
      </c>
      <c r="AG5" s="12">
        <f>'FS Budapest'!BV8</f>
        <v>14</v>
      </c>
    </row>
    <row r="6" spans="1:33" s="16" customFormat="1">
      <c r="A6" s="12" t="s">
        <v>12</v>
      </c>
      <c r="B6" s="15">
        <f t="shared" si="0"/>
        <v>5</v>
      </c>
      <c r="C6" s="3">
        <v>10</v>
      </c>
      <c r="D6" s="12">
        <v>2020</v>
      </c>
      <c r="E6" s="12">
        <f>IF(('FS Budapest'!C9-'FS Budapest'!C8)&lt;0,"0",('FS Budapest'!C9-'FS Budapest'!C8))</f>
        <v>67</v>
      </c>
      <c r="F6" s="12">
        <f>IF(('FS Budapest'!D9-'FS Budapest'!D8)&lt;0,"0",('FS Budapest'!D9-'FS Budapest'!D8))</f>
        <v>37</v>
      </c>
      <c r="G6" s="12">
        <f>IF(('FS Budapest'!E9-'FS Budapest'!Y9)&lt;0,"0",('FS Budapest'!E9-'FS Budapest'!Y9))</f>
        <v>16</v>
      </c>
      <c r="H6" s="12">
        <f>IF(('FS Budapest'!H9-'FS Budapest'!H8)&lt;0,"0",('FS Budapest'!H9-'FS Budapest'!H8))</f>
        <v>0</v>
      </c>
      <c r="I6" s="12">
        <f>IF(('FS Budapest'!I9-'FS Budapest'!I8)&lt;0,"0",('FS Budapest'!I9-'FS Budapest'!I8))</f>
        <v>3</v>
      </c>
      <c r="J6" s="12">
        <f>IF(('FS Budapest'!K9-'FS Budapest'!K8)&lt;0,"0",('FS Budapest'!K9-'FS Budapest'!K8))</f>
        <v>2</v>
      </c>
      <c r="K6" s="12">
        <f>IF(('FS Budapest'!M9-'FS Budapest'!M8)&lt;0,"0",('FS Budapest'!M9-'FS Budapest'!M8))</f>
        <v>6</v>
      </c>
      <c r="L6" s="12">
        <f>IF(('FS Budapest'!O9-'FS Budapest'!O8)&lt;0,"0",('FS Budapest'!O9-'FS Budapest'!O8))</f>
        <v>2</v>
      </c>
      <c r="M6" s="12">
        <f>IF(('FS Budapest'!Q9-'FS Budapest'!Q8)&lt;0,"0",('FS Budapest'!Q9-'FS Budapest'!Q8))</f>
        <v>0</v>
      </c>
      <c r="N6" s="12">
        <f>IF(('FS Budapest'!S9-'FS Budapest'!S8)&lt;0,"0",('FS Budapest'!S9-'FS Budapest'!S8))</f>
        <v>0</v>
      </c>
      <c r="O6" s="12">
        <f>IF(('FS Budapest'!V9-'FS Budapest'!V8)&lt;0,"0",('FS Budapest'!V9-'FS Budapest'!V8))</f>
        <v>0</v>
      </c>
      <c r="P6" s="12">
        <f>IF(('FS Budapest'!X9-'FS Budapest'!X8)&lt;0,"0",('FS Budapest'!X9-'FS Budapest'!X8))</f>
        <v>21</v>
      </c>
      <c r="Q6" s="12">
        <f>'FS Budapest'!AB9</f>
        <v>4</v>
      </c>
      <c r="R6" s="12">
        <f>'FS Budapest'!AE9</f>
        <v>5</v>
      </c>
      <c r="S6" s="12">
        <f>'FS Budapest'!AF9</f>
        <v>0</v>
      </c>
      <c r="T6" s="12">
        <f>IF(('FS Budapest'!AK9-'FS Budapest'!AK8)&lt;0,"0",('FS Budapest'!AK9-'FS Budapest'!AK8))</f>
        <v>959</v>
      </c>
      <c r="U6" s="12">
        <f>IF(('FS Budapest'!AM9-'FS Budapest'!AM8)&lt;0,"0",('FS Budapest'!AM9-'FS Budapest'!AM8))</f>
        <v>19</v>
      </c>
      <c r="V6" s="12">
        <f>IF(('FS Budapest'!AO9-'FS Budapest'!AO8)&lt;0,"0",('FS Budapest'!AO9-'FS Budapest'!AO8))</f>
        <v>0</v>
      </c>
      <c r="W6" s="12">
        <f>IF(('FS Budapest'!AQ9-'FS Budapest'!AQ8)&lt;0,"0",('FS Budapest'!AQ9-'FS Budapest'!AQ8))</f>
        <v>0</v>
      </c>
      <c r="X6" s="12">
        <f>'FS Budapest'!AY9</f>
        <v>0</v>
      </c>
      <c r="Y6" s="12">
        <f>IF(('FS Budapest'!BA9-'FS Budapest'!BA8)&lt;0,"0",('FS Budapest'!BA9-'FS Budapest'!BA8)*4400)</f>
        <v>14608.00000000022</v>
      </c>
      <c r="Z6" s="12">
        <f>'FS Budapest'!BI9</f>
        <v>14608.00000000022</v>
      </c>
      <c r="AA6" s="12">
        <f>'FS Budapest'!BJ9</f>
        <v>12458.00000000022</v>
      </c>
      <c r="AB6" s="12">
        <f>IF(('FS Budapest'!BK9-'FS Budapest'!BK8)&lt;0,"0",('FS Budapest'!BK9-'FS Budapest'!BK8)*100)</f>
        <v>537.99999999999955</v>
      </c>
      <c r="AC6" s="12">
        <f>'FS Budapest'!BM9</f>
        <v>15146.00000000022</v>
      </c>
      <c r="AD6" s="12">
        <f>IF(('FS Budapest'!BP9-'FS Budapest'!BP8)&lt;0,"0",('FS Budapest'!BP9-'FS Budapest'!BP8))</f>
        <v>20</v>
      </c>
      <c r="AE6" s="12">
        <f>IF(('FS Budapest'!BR9-'FS Budapest'!BR8)&lt;0,"0",('FS Budapest'!BR9-'FS Budapest'!BR8))</f>
        <v>2130</v>
      </c>
      <c r="AF6" s="12">
        <f>'FS Budapest'!BU9</f>
        <v>18</v>
      </c>
      <c r="AG6" s="12">
        <f>'FS Budapest'!BV9</f>
        <v>21</v>
      </c>
    </row>
    <row r="7" spans="1:33" s="16" customFormat="1">
      <c r="A7" s="12" t="s">
        <v>12</v>
      </c>
      <c r="B7" s="15">
        <f t="shared" si="0"/>
        <v>6</v>
      </c>
      <c r="C7" s="3">
        <v>10</v>
      </c>
      <c r="D7" s="12">
        <v>2020</v>
      </c>
      <c r="E7" s="12">
        <f>IF(('FS Budapest'!C10-'FS Budapest'!C9)&lt;0,"0",('FS Budapest'!C10-'FS Budapest'!C9))</f>
        <v>68</v>
      </c>
      <c r="F7" s="12">
        <f>IF(('FS Budapest'!D10-'FS Budapest'!D9)&lt;0,"0",('FS Budapest'!D10-'FS Budapest'!D9))</f>
        <v>35</v>
      </c>
      <c r="G7" s="12">
        <f>IF(('FS Budapest'!E10-'FS Budapest'!Y10)&lt;0,"0",('FS Budapest'!E10-'FS Budapest'!Y10))</f>
        <v>15</v>
      </c>
      <c r="H7" s="12">
        <f>IF(('FS Budapest'!H10-'FS Budapest'!H9)&lt;0,"0",('FS Budapest'!H10-'FS Budapest'!H9))</f>
        <v>0</v>
      </c>
      <c r="I7" s="12">
        <f>IF(('FS Budapest'!I10-'FS Budapest'!I9)&lt;0,"0",('FS Budapest'!I10-'FS Budapest'!I9))</f>
        <v>3</v>
      </c>
      <c r="J7" s="12">
        <f>IF(('FS Budapest'!K10-'FS Budapest'!K9)&lt;0,"0",('FS Budapest'!K10-'FS Budapest'!K9))</f>
        <v>4</v>
      </c>
      <c r="K7" s="12">
        <f>IF(('FS Budapest'!M10-'FS Budapest'!M9)&lt;0,"0",('FS Budapest'!M10-'FS Budapest'!M9))</f>
        <v>4</v>
      </c>
      <c r="L7" s="12">
        <f>IF(('FS Budapest'!O10-'FS Budapest'!O9)&lt;0,"0",('FS Budapest'!O10-'FS Budapest'!O9))</f>
        <v>3</v>
      </c>
      <c r="M7" s="12">
        <f>IF(('FS Budapest'!Q10-'FS Budapest'!Q9)&lt;0,"0",('FS Budapest'!Q10-'FS Budapest'!Q9))</f>
        <v>0</v>
      </c>
      <c r="N7" s="12">
        <f>IF(('FS Budapest'!S10-'FS Budapest'!S9)&lt;0,"0",('FS Budapest'!S10-'FS Budapest'!S9))</f>
        <v>0</v>
      </c>
      <c r="O7" s="12">
        <f>IF(('FS Budapest'!V10-'FS Budapest'!V9)&lt;0,"0",('FS Budapest'!V10-'FS Budapest'!V9))</f>
        <v>0</v>
      </c>
      <c r="P7" s="12">
        <f>IF(('FS Budapest'!X10-'FS Budapest'!X9)&lt;0,"0",('FS Budapest'!X10-'FS Budapest'!X9))</f>
        <v>20</v>
      </c>
      <c r="Q7" s="12">
        <f>'FS Budapest'!AB10</f>
        <v>3</v>
      </c>
      <c r="R7" s="12">
        <f>'FS Budapest'!AE10</f>
        <v>2</v>
      </c>
      <c r="S7" s="12">
        <f>'FS Budapest'!AF10</f>
        <v>0</v>
      </c>
      <c r="T7" s="12">
        <f>IF(('FS Budapest'!AK10-'FS Budapest'!AK9)&lt;0,"0",('FS Budapest'!AK10-'FS Budapest'!AK9))</f>
        <v>994</v>
      </c>
      <c r="U7" s="12">
        <f>IF(('FS Budapest'!AM10-'FS Budapest'!AM9)&lt;0,"0",('FS Budapest'!AM10-'FS Budapest'!AM9))</f>
        <v>27</v>
      </c>
      <c r="V7" s="12">
        <f>IF(('FS Budapest'!AO10-'FS Budapest'!AO9)&lt;0,"0",('FS Budapest'!AO10-'FS Budapest'!AO9))</f>
        <v>0</v>
      </c>
      <c r="W7" s="12">
        <f>IF(('FS Budapest'!AQ10-'FS Budapest'!AQ9)&lt;0,"0",('FS Budapest'!AQ10-'FS Budapest'!AQ9))</f>
        <v>0</v>
      </c>
      <c r="X7" s="12">
        <f>'FS Budapest'!AY10</f>
        <v>0</v>
      </c>
      <c r="Y7" s="12">
        <f>IF(('FS Budapest'!BA10-'FS Budapest'!BA9)&lt;0,"0",('FS Budapest'!BA10-'FS Budapest'!BA9)*4400)</f>
        <v>14123.999999999909</v>
      </c>
      <c r="Z7" s="12">
        <f>'FS Budapest'!BI10</f>
        <v>14123.999999999909</v>
      </c>
      <c r="AA7" s="12">
        <f>'FS Budapest'!BJ10</f>
        <v>12103.999999999909</v>
      </c>
      <c r="AB7" s="12">
        <f>IF(('FS Budapest'!BK10-'FS Budapest'!BK9)&lt;0,"0",('FS Budapest'!BK10-'FS Budapest'!BK9)*100)</f>
        <v>537.99999999999955</v>
      </c>
      <c r="AC7" s="12">
        <f>'FS Budapest'!BM10</f>
        <v>14661.999999999909</v>
      </c>
      <c r="AD7" s="12">
        <f>IF(('FS Budapest'!BP10-'FS Budapest'!BP9)&lt;0,"0",('FS Budapest'!BP10-'FS Budapest'!BP9))</f>
        <v>19</v>
      </c>
      <c r="AE7" s="12">
        <f>IF(('FS Budapest'!BR10-'FS Budapest'!BR9)&lt;0,"0",('FS Budapest'!BR10-'FS Budapest'!BR9))</f>
        <v>2001</v>
      </c>
      <c r="AF7" s="12">
        <f>'FS Budapest'!BU10</f>
        <v>22</v>
      </c>
      <c r="AG7" s="12">
        <f>'FS Budapest'!BV10</f>
        <v>27</v>
      </c>
    </row>
    <row r="8" spans="1:33" s="16" customFormat="1">
      <c r="A8" s="12" t="s">
        <v>12</v>
      </c>
      <c r="B8" s="15">
        <f t="shared" si="0"/>
        <v>7</v>
      </c>
      <c r="C8" s="3">
        <v>10</v>
      </c>
      <c r="D8" s="12">
        <v>2020</v>
      </c>
      <c r="E8" s="12">
        <f>IF(('FS Budapest'!C11-'FS Budapest'!C10)&lt;0,"0",('FS Budapest'!C11-'FS Budapest'!C10))</f>
        <v>63</v>
      </c>
      <c r="F8" s="12">
        <f>IF(('FS Budapest'!D11-'FS Budapest'!D10)&lt;0,"0",('FS Budapest'!D11-'FS Budapest'!D10))</f>
        <v>35</v>
      </c>
      <c r="G8" s="12">
        <f>IF(('FS Budapest'!E11-'FS Budapest'!Y11)&lt;0,"0",('FS Budapest'!E11-'FS Budapest'!Y11))</f>
        <v>19</v>
      </c>
      <c r="H8" s="12">
        <f>IF(('FS Budapest'!H11-'FS Budapest'!H10)&lt;0,"0",('FS Budapest'!H11-'FS Budapest'!H10))</f>
        <v>0</v>
      </c>
      <c r="I8" s="12">
        <f>IF(('FS Budapest'!I11-'FS Budapest'!I10)&lt;0,"0",('FS Budapest'!I11-'FS Budapest'!I10))</f>
        <v>3</v>
      </c>
      <c r="J8" s="12">
        <f>IF(('FS Budapest'!K11-'FS Budapest'!K10)&lt;0,"0",('FS Budapest'!K11-'FS Budapest'!K10))</f>
        <v>5</v>
      </c>
      <c r="K8" s="12">
        <f>IF(('FS Budapest'!M11-'FS Budapest'!M10)&lt;0,"0",('FS Budapest'!M11-'FS Budapest'!M10))</f>
        <v>6</v>
      </c>
      <c r="L8" s="12">
        <f>IF(('FS Budapest'!O11-'FS Budapest'!O10)&lt;0,"0",('FS Budapest'!O11-'FS Budapest'!O10))</f>
        <v>3</v>
      </c>
      <c r="M8" s="12">
        <f>IF(('FS Budapest'!Q11-'FS Budapest'!Q10)&lt;0,"0",('FS Budapest'!Q11-'FS Budapest'!Q10))</f>
        <v>0</v>
      </c>
      <c r="N8" s="12">
        <f>IF(('FS Budapest'!S11-'FS Budapest'!S10)&lt;0,"0",('FS Budapest'!S11-'FS Budapest'!S10))</f>
        <v>0</v>
      </c>
      <c r="O8" s="12">
        <f>IF(('FS Budapest'!V11-'FS Budapest'!V10)&lt;0,"0",('FS Budapest'!V11-'FS Budapest'!V10))</f>
        <v>0</v>
      </c>
      <c r="P8" s="12">
        <f>IF(('FS Budapest'!X11-'FS Budapest'!X10)&lt;0,"0",('FS Budapest'!X11-'FS Budapest'!X10))</f>
        <v>16</v>
      </c>
      <c r="Q8" s="12">
        <f>'FS Budapest'!AB11</f>
        <v>3</v>
      </c>
      <c r="R8" s="12">
        <f>'FS Budapest'!AE11</f>
        <v>3</v>
      </c>
      <c r="S8" s="12">
        <f>'FS Budapest'!AF11</f>
        <v>0</v>
      </c>
      <c r="T8" s="12">
        <f>IF(('FS Budapest'!AK11-'FS Budapest'!AK10)&lt;0,"0",('FS Budapest'!AK11-'FS Budapest'!AK10))</f>
        <v>1055</v>
      </c>
      <c r="U8" s="12">
        <f>IF(('FS Budapest'!AM11-'FS Budapest'!AM10)&lt;0,"0",('FS Budapest'!AM11-'FS Budapest'!AM10))</f>
        <v>24</v>
      </c>
      <c r="V8" s="12">
        <f>IF(('FS Budapest'!AO11-'FS Budapest'!AO10)&lt;0,"0",('FS Budapest'!AO11-'FS Budapest'!AO10))</f>
        <v>0</v>
      </c>
      <c r="W8" s="12">
        <f>IF(('FS Budapest'!AQ11-'FS Budapest'!AQ10)&lt;0,"0",('FS Budapest'!AQ11-'FS Budapest'!AQ10))</f>
        <v>0</v>
      </c>
      <c r="X8" s="12">
        <f>'FS Budapest'!AY11</f>
        <v>0</v>
      </c>
      <c r="Y8" s="12">
        <f>IF(('FS Budapest'!BA11-'FS Budapest'!BA10)&lt;0,"0",('FS Budapest'!BA11-'FS Budapest'!BA10)*4400)</f>
        <v>13815.99999999994</v>
      </c>
      <c r="Z8" s="12">
        <f>'FS Budapest'!BI11</f>
        <v>13815.99999999994</v>
      </c>
      <c r="AA8" s="12">
        <f>'FS Budapest'!BJ11</f>
        <v>12023.99999999994</v>
      </c>
      <c r="AB8" s="12">
        <f>IF(('FS Budapest'!BK11-'FS Budapest'!BK10)&lt;0,"0",('FS Budapest'!BK11-'FS Budapest'!BK10)*100)</f>
        <v>605.00000000000682</v>
      </c>
      <c r="AC8" s="12">
        <f>'FS Budapest'!BM11</f>
        <v>14420.999999999947</v>
      </c>
      <c r="AD8" s="12">
        <f>IF(('FS Budapest'!BP11-'FS Budapest'!BP10)&lt;0,"0",('FS Budapest'!BP11-'FS Budapest'!BP10))</f>
        <v>19</v>
      </c>
      <c r="AE8" s="12">
        <f>IF(('FS Budapest'!BR11-'FS Budapest'!BR10)&lt;0,"0",('FS Budapest'!BR11-'FS Budapest'!BR10))</f>
        <v>1773</v>
      </c>
      <c r="AF8" s="12">
        <f>'FS Budapest'!BU11</f>
        <v>19</v>
      </c>
      <c r="AG8" s="12">
        <f>'FS Budapest'!BV11</f>
        <v>22</v>
      </c>
    </row>
    <row r="9" spans="1:33" s="16" customFormat="1">
      <c r="A9" s="12" t="s">
        <v>12</v>
      </c>
      <c r="B9" s="15">
        <f t="shared" si="0"/>
        <v>8</v>
      </c>
      <c r="C9" s="3">
        <v>10</v>
      </c>
      <c r="D9" s="12">
        <v>2020</v>
      </c>
      <c r="E9" s="12">
        <f>IF(('FS Budapest'!C12-'FS Budapest'!C11)&lt;0,"0",('FS Budapest'!C12-'FS Budapest'!C11))</f>
        <v>67</v>
      </c>
      <c r="F9" s="12">
        <f>IF(('FS Budapest'!D12-'FS Budapest'!D11)&lt;0,"0",('FS Budapest'!D12-'FS Budapest'!D11))</f>
        <v>35</v>
      </c>
      <c r="G9" s="12">
        <f>IF(('FS Budapest'!E12-'FS Budapest'!Y12)&lt;0,"0",('FS Budapest'!E12-'FS Budapest'!Y12))</f>
        <v>18</v>
      </c>
      <c r="H9" s="12">
        <f>IF(('FS Budapest'!H12-'FS Budapest'!H11)&lt;0,"0",('FS Budapest'!H12-'FS Budapest'!H11))</f>
        <v>0</v>
      </c>
      <c r="I9" s="12">
        <f>IF(('FS Budapest'!I12-'FS Budapest'!I11)&lt;0,"0",('FS Budapest'!I12-'FS Budapest'!I11))</f>
        <v>3</v>
      </c>
      <c r="J9" s="12">
        <f>IF(('FS Budapest'!K12-'FS Budapest'!K11)&lt;0,"0",('FS Budapest'!K12-'FS Budapest'!K11))</f>
        <v>4</v>
      </c>
      <c r="K9" s="12">
        <f>IF(('FS Budapest'!M12-'FS Budapest'!M11)&lt;0,"0",('FS Budapest'!M12-'FS Budapest'!M11))</f>
        <v>6</v>
      </c>
      <c r="L9" s="12">
        <f>IF(('FS Budapest'!O12-'FS Budapest'!O11)&lt;0,"0",('FS Budapest'!O12-'FS Budapest'!O11))</f>
        <v>3</v>
      </c>
      <c r="M9" s="12">
        <f>IF(('FS Budapest'!Q12-'FS Budapest'!Q11)&lt;0,"0",('FS Budapest'!Q12-'FS Budapest'!Q11))</f>
        <v>0</v>
      </c>
      <c r="N9" s="12">
        <f>IF(('FS Budapest'!S12-'FS Budapest'!S11)&lt;0,"0",('FS Budapest'!S12-'FS Budapest'!S11))</f>
        <v>0</v>
      </c>
      <c r="O9" s="12">
        <f>IF(('FS Budapest'!V12-'FS Budapest'!V11)&lt;0,"0",('FS Budapest'!V12-'FS Budapest'!V11))</f>
        <v>0</v>
      </c>
      <c r="P9" s="12">
        <f>IF(('FS Budapest'!X12-'FS Budapest'!X11)&lt;0,"0",('FS Budapest'!X12-'FS Budapest'!X11))</f>
        <v>17</v>
      </c>
      <c r="Q9" s="12">
        <f>'FS Budapest'!AB12</f>
        <v>3</v>
      </c>
      <c r="R9" s="12">
        <f>'FS Budapest'!AE12</f>
        <v>4</v>
      </c>
      <c r="S9" s="12">
        <f>'FS Budapest'!AF12</f>
        <v>0</v>
      </c>
      <c r="T9" s="12">
        <f>IF(('FS Budapest'!AK12-'FS Budapest'!AK11)&lt;0,"0",('FS Budapest'!AK12-'FS Budapest'!AK11))</f>
        <v>1077</v>
      </c>
      <c r="U9" s="12">
        <f>IF(('FS Budapest'!AM12-'FS Budapest'!AM11)&lt;0,"0",('FS Budapest'!AM12-'FS Budapest'!AM11))</f>
        <v>32</v>
      </c>
      <c r="V9" s="12">
        <f>IF(('FS Budapest'!AO12-'FS Budapest'!AO11)&lt;0,"0",('FS Budapest'!AO12-'FS Budapest'!AO11))</f>
        <v>0</v>
      </c>
      <c r="W9" s="12">
        <f>IF(('FS Budapest'!AQ12-'FS Budapest'!AQ11)&lt;0,"0",('FS Budapest'!AQ12-'FS Budapest'!AQ11))</f>
        <v>0</v>
      </c>
      <c r="X9" s="12">
        <f>'FS Budapest'!AY12</f>
        <v>0</v>
      </c>
      <c r="Y9" s="12">
        <f>IF(('FS Budapest'!BA12-'FS Budapest'!BA11)&lt;0,"0",('FS Budapest'!BA12-'FS Budapest'!BA11)*4400)</f>
        <v>14168.00000000012</v>
      </c>
      <c r="Z9" s="12">
        <f>'FS Budapest'!BI12</f>
        <v>14168.00000000012</v>
      </c>
      <c r="AA9" s="12">
        <f>'FS Budapest'!BJ12</f>
        <v>12241.00000000012</v>
      </c>
      <c r="AB9" s="12">
        <f>IF(('FS Budapest'!BK12-'FS Budapest'!BK11)&lt;0,"0",('FS Budapest'!BK12-'FS Budapest'!BK11)*100)</f>
        <v>601.99999999999818</v>
      </c>
      <c r="AC9" s="12">
        <f>'FS Budapest'!BM12</f>
        <v>14770.000000000118</v>
      </c>
      <c r="AD9" s="12">
        <f>IF(('FS Budapest'!BP12-'FS Budapest'!BP11)&lt;0,"0",('FS Budapest'!BP12-'FS Budapest'!BP11))</f>
        <v>20</v>
      </c>
      <c r="AE9" s="12">
        <f>IF(('FS Budapest'!BR12-'FS Budapest'!BR11)&lt;0,"0",('FS Budapest'!BR12-'FS Budapest'!BR11))</f>
        <v>1907</v>
      </c>
      <c r="AF9" s="12">
        <f>'FS Budapest'!BU12</f>
        <v>27</v>
      </c>
      <c r="AG9" s="12">
        <f>'FS Budapest'!BV12</f>
        <v>33</v>
      </c>
    </row>
    <row r="10" spans="1:33" s="16" customFormat="1">
      <c r="A10" s="12" t="s">
        <v>12</v>
      </c>
      <c r="B10" s="15">
        <f t="shared" si="0"/>
        <v>9</v>
      </c>
      <c r="C10" s="3">
        <v>10</v>
      </c>
      <c r="D10" s="12">
        <v>2020</v>
      </c>
      <c r="E10" s="12">
        <f>IF(('FS Budapest'!C13-'FS Budapest'!C12)&lt;0,"0",('FS Budapest'!C13-'FS Budapest'!C12))</f>
        <v>75</v>
      </c>
      <c r="F10" s="12">
        <f>IF(('FS Budapest'!D13-'FS Budapest'!D12)&lt;0,"0",('FS Budapest'!D13-'FS Budapest'!D12))</f>
        <v>40</v>
      </c>
      <c r="G10" s="12">
        <f>IF(('FS Budapest'!E13-'FS Budapest'!Y13)&lt;0,"0",('FS Budapest'!E13-'FS Budapest'!Y13))</f>
        <v>19</v>
      </c>
      <c r="H10" s="12">
        <f>IF(('FS Budapest'!H13-'FS Budapest'!H12)&lt;0,"0",('FS Budapest'!H13-'FS Budapest'!H12))</f>
        <v>0</v>
      </c>
      <c r="I10" s="12">
        <f>IF(('FS Budapest'!I13-'FS Budapest'!I12)&lt;0,"0",('FS Budapest'!I13-'FS Budapest'!I12))</f>
        <v>3</v>
      </c>
      <c r="J10" s="12">
        <f>IF(('FS Budapest'!K13-'FS Budapest'!K12)&lt;0,"0",('FS Budapest'!K13-'FS Budapest'!K12))</f>
        <v>4</v>
      </c>
      <c r="K10" s="12">
        <f>IF(('FS Budapest'!M13-'FS Budapest'!M12)&lt;0,"0",('FS Budapest'!M13-'FS Budapest'!M12))</f>
        <v>6</v>
      </c>
      <c r="L10" s="12">
        <f>IF(('FS Budapest'!O13-'FS Budapest'!O12)&lt;0,"0",('FS Budapest'!O13-'FS Budapest'!O12))</f>
        <v>4</v>
      </c>
      <c r="M10" s="12">
        <f>IF(('FS Budapest'!Q13-'FS Budapest'!Q12)&lt;0,"0",('FS Budapest'!Q13-'FS Budapest'!Q12))</f>
        <v>0</v>
      </c>
      <c r="N10" s="12">
        <f>IF(('FS Budapest'!S13-'FS Budapest'!S12)&lt;0,"0",('FS Budapest'!S13-'FS Budapest'!S12))</f>
        <v>0</v>
      </c>
      <c r="O10" s="12">
        <f>IF(('FS Budapest'!V13-'FS Budapest'!V12)&lt;0,"0",('FS Budapest'!V13-'FS Budapest'!V12))</f>
        <v>0</v>
      </c>
      <c r="P10" s="12">
        <f>IF(('FS Budapest'!X13-'FS Budapest'!X12)&lt;0,"0",('FS Budapest'!X13-'FS Budapest'!X12))</f>
        <v>21</v>
      </c>
      <c r="Q10" s="12">
        <f>'FS Budapest'!AB13</f>
        <v>3</v>
      </c>
      <c r="R10" s="12">
        <f>'FS Budapest'!AE13</f>
        <v>3</v>
      </c>
      <c r="S10" s="12">
        <f>'FS Budapest'!AF13</f>
        <v>0</v>
      </c>
      <c r="T10" s="12">
        <f>IF(('FS Budapest'!AK13-'FS Budapest'!AK12)&lt;0,"0",('FS Budapest'!AK13-'FS Budapest'!AK12))</f>
        <v>1039</v>
      </c>
      <c r="U10" s="12">
        <f>IF(('FS Budapest'!AM13-'FS Budapest'!AM12)&lt;0,"0",('FS Budapest'!AM13-'FS Budapest'!AM12))</f>
        <v>31</v>
      </c>
      <c r="V10" s="12">
        <f>IF(('FS Budapest'!AO13-'FS Budapest'!AO12)&lt;0,"0",('FS Budapest'!AO13-'FS Budapest'!AO12))</f>
        <v>0</v>
      </c>
      <c r="W10" s="12">
        <f>IF(('FS Budapest'!AQ13-'FS Budapest'!AQ12)&lt;0,"0",('FS Budapest'!AQ13-'FS Budapest'!AQ12))</f>
        <v>0</v>
      </c>
      <c r="X10" s="12">
        <f>'FS Budapest'!AY13</f>
        <v>0</v>
      </c>
      <c r="Y10" s="12">
        <f>IF(('FS Budapest'!BA13-'FS Budapest'!BA12)&lt;0,"0",('FS Budapest'!BA13-'FS Budapest'!BA12)*4400)</f>
        <v>13903.99999999986</v>
      </c>
      <c r="Z10" s="12">
        <f>'FS Budapest'!BI13</f>
        <v>13903.99999999986</v>
      </c>
      <c r="AA10" s="12">
        <f>'FS Budapest'!BJ13</f>
        <v>12001.99999999986</v>
      </c>
      <c r="AB10" s="12">
        <f>IF(('FS Budapest'!BK13-'FS Budapest'!BK12)&lt;0,"0",('FS Budapest'!BK13-'FS Budapest'!BK12)*100)</f>
        <v>585.00000000000227</v>
      </c>
      <c r="AC10" s="12">
        <f>'FS Budapest'!BM13</f>
        <v>14488.999999999862</v>
      </c>
      <c r="AD10" s="12">
        <f>IF(('FS Budapest'!BP13-'FS Budapest'!BP12)&lt;0,"0",('FS Budapest'!BP13-'FS Budapest'!BP12))</f>
        <v>18</v>
      </c>
      <c r="AE10" s="12">
        <f>IF(('FS Budapest'!BR13-'FS Budapest'!BR12)&lt;0,"0",('FS Budapest'!BR13-'FS Budapest'!BR12))</f>
        <v>1884</v>
      </c>
      <c r="AF10" s="12">
        <f>'FS Budapest'!BU13</f>
        <v>15</v>
      </c>
      <c r="AG10" s="12">
        <f>'FS Budapest'!BV13</f>
        <v>21</v>
      </c>
    </row>
    <row r="11" spans="1:33" s="16" customFormat="1">
      <c r="A11" s="12" t="s">
        <v>12</v>
      </c>
      <c r="B11" s="15">
        <f t="shared" si="0"/>
        <v>10</v>
      </c>
      <c r="C11" s="3">
        <v>10</v>
      </c>
      <c r="D11" s="12">
        <v>2020</v>
      </c>
      <c r="E11" s="12">
        <f>IF(('FS Budapest'!C14-'FS Budapest'!C13)&lt;0,"0",('FS Budapest'!C14-'FS Budapest'!C13))</f>
        <v>68</v>
      </c>
      <c r="F11" s="12">
        <f>IF(('FS Budapest'!D14-'FS Budapest'!D13)&lt;0,"0",('FS Budapest'!D14-'FS Budapest'!D13))</f>
        <v>37</v>
      </c>
      <c r="G11" s="12">
        <f>IF(('FS Budapest'!E14-'FS Budapest'!Y14)&lt;0,"0",('FS Budapest'!E14-'FS Budapest'!Y14))</f>
        <v>17</v>
      </c>
      <c r="H11" s="12">
        <f>IF(('FS Budapest'!H14-'FS Budapest'!H13)&lt;0,"0",('FS Budapest'!H14-'FS Budapest'!H13))</f>
        <v>0</v>
      </c>
      <c r="I11" s="12">
        <f>IF(('FS Budapest'!I14-'FS Budapest'!I13)&lt;0,"0",('FS Budapest'!I14-'FS Budapest'!I13))</f>
        <v>3</v>
      </c>
      <c r="J11" s="12">
        <f>IF(('FS Budapest'!K14-'FS Budapest'!K13)&lt;0,"0",('FS Budapest'!K14-'FS Budapest'!K13))</f>
        <v>6</v>
      </c>
      <c r="K11" s="12">
        <f>IF(('FS Budapest'!M14-'FS Budapest'!M13)&lt;0,"0",('FS Budapest'!M14-'FS Budapest'!M13))</f>
        <v>7</v>
      </c>
      <c r="L11" s="12">
        <f>IF(('FS Budapest'!O14-'FS Budapest'!O13)&lt;0,"0",('FS Budapest'!O14-'FS Budapest'!O13))</f>
        <v>2</v>
      </c>
      <c r="M11" s="12">
        <f>IF(('FS Budapest'!Q14-'FS Budapest'!Q13)&lt;0,"0",('FS Budapest'!Q14-'FS Budapest'!Q13))</f>
        <v>0</v>
      </c>
      <c r="N11" s="12">
        <f>IF(('FS Budapest'!S14-'FS Budapest'!S13)&lt;0,"0",('FS Budapest'!S14-'FS Budapest'!S13))</f>
        <v>0</v>
      </c>
      <c r="O11" s="12">
        <f>IF(('FS Budapest'!V14-'FS Budapest'!V13)&lt;0,"0",('FS Budapest'!V14-'FS Budapest'!V13))</f>
        <v>0</v>
      </c>
      <c r="P11" s="12">
        <f>IF(('FS Budapest'!X14-'FS Budapest'!X13)&lt;0,"0",('FS Budapest'!X14-'FS Budapest'!X13))</f>
        <v>20</v>
      </c>
      <c r="Q11" s="12">
        <f>'FS Budapest'!AB14</f>
        <v>3</v>
      </c>
      <c r="R11" s="12">
        <f>'FS Budapest'!AE14</f>
        <v>1</v>
      </c>
      <c r="S11" s="12">
        <f>'FS Budapest'!AF14</f>
        <v>0</v>
      </c>
      <c r="T11" s="12">
        <f>IF(('FS Budapest'!AK14-'FS Budapest'!AK13)&lt;0,"0",('FS Budapest'!AK14-'FS Budapest'!AK13))</f>
        <v>1186</v>
      </c>
      <c r="U11" s="12">
        <f>IF(('FS Budapest'!AM14-'FS Budapest'!AM13)&lt;0,"0",('FS Budapest'!AM14-'FS Budapest'!AM13))</f>
        <v>35</v>
      </c>
      <c r="V11" s="12">
        <f>IF(('FS Budapest'!AO14-'FS Budapest'!AO13)&lt;0,"0",('FS Budapest'!AO14-'FS Budapest'!AO13))</f>
        <v>0</v>
      </c>
      <c r="W11" s="12">
        <f>IF(('FS Budapest'!AQ14-'FS Budapest'!AQ13)&lt;0,"0",('FS Budapest'!AQ14-'FS Budapest'!AQ13))</f>
        <v>0</v>
      </c>
      <c r="X11" s="12">
        <f>'FS Budapest'!AY14</f>
        <v>0</v>
      </c>
      <c r="Y11" s="12">
        <f>IF(('FS Budapest'!BA14-'FS Budapest'!BA13)&lt;0,"0",('FS Budapest'!BA14-'FS Budapest'!BA13)*4400)</f>
        <v>15268.00000000012</v>
      </c>
      <c r="Z11" s="12">
        <f>'FS Budapest'!BI14</f>
        <v>15268.00000000012</v>
      </c>
      <c r="AA11" s="12">
        <f>'FS Budapest'!BJ14</f>
        <v>13105.00000000012</v>
      </c>
      <c r="AB11" s="12">
        <f>IF(('FS Budapest'!BK14-'FS Budapest'!BK13)&lt;0,"0",('FS Budapest'!BK14-'FS Budapest'!BK13)*100)</f>
        <v>551.99999999999818</v>
      </c>
      <c r="AC11" s="12">
        <f>'FS Budapest'!BM14</f>
        <v>15820.000000000118</v>
      </c>
      <c r="AD11" s="12">
        <f>IF(('FS Budapest'!BP14-'FS Budapest'!BP13)&lt;0,"0",('FS Budapest'!BP14-'FS Budapest'!BP13))</f>
        <v>21</v>
      </c>
      <c r="AE11" s="12">
        <f>IF(('FS Budapest'!BR14-'FS Budapest'!BR13)&lt;0,"0",('FS Budapest'!BR14-'FS Budapest'!BR13))</f>
        <v>2142</v>
      </c>
      <c r="AF11" s="12">
        <f>'FS Budapest'!BU14</f>
        <v>13</v>
      </c>
      <c r="AG11" s="12">
        <f>'FS Budapest'!BV14</f>
        <v>19</v>
      </c>
    </row>
    <row r="12" spans="1:33" s="16" customFormat="1">
      <c r="A12" s="12" t="s">
        <v>12</v>
      </c>
      <c r="B12" s="15">
        <f t="shared" si="0"/>
        <v>11</v>
      </c>
      <c r="C12" s="3">
        <v>10</v>
      </c>
      <c r="D12" s="12">
        <v>2020</v>
      </c>
      <c r="E12" s="12">
        <f>IF(('FS Budapest'!C15-'FS Budapest'!C14)&lt;0,"0",('FS Budapest'!C15-'FS Budapest'!C14))</f>
        <v>65</v>
      </c>
      <c r="F12" s="12">
        <f>IF(('FS Budapest'!D15-'FS Budapest'!D14)&lt;0,"0",('FS Budapest'!D15-'FS Budapest'!D14))</f>
        <v>29</v>
      </c>
      <c r="G12" s="12">
        <f>IF(('FS Budapest'!E15-'FS Budapest'!Y15)&lt;0,"0",('FS Budapest'!E15-'FS Budapest'!Y15))</f>
        <v>15</v>
      </c>
      <c r="H12" s="12">
        <f>IF(('FS Budapest'!H15-'FS Budapest'!H14)&lt;0,"0",('FS Budapest'!H15-'FS Budapest'!H14))</f>
        <v>0</v>
      </c>
      <c r="I12" s="12">
        <f>IF(('FS Budapest'!I15-'FS Budapest'!I14)&lt;0,"0",('FS Budapest'!I15-'FS Budapest'!I14))</f>
        <v>3</v>
      </c>
      <c r="J12" s="12">
        <f>IF(('FS Budapest'!K15-'FS Budapest'!K14)&lt;0,"0",('FS Budapest'!K15-'FS Budapest'!K14))</f>
        <v>4</v>
      </c>
      <c r="K12" s="12">
        <f>IF(('FS Budapest'!M15-'FS Budapest'!M14)&lt;0,"0",('FS Budapest'!M15-'FS Budapest'!M14))</f>
        <v>5</v>
      </c>
      <c r="L12" s="12">
        <f>IF(('FS Budapest'!O15-'FS Budapest'!O14)&lt;0,"0",('FS Budapest'!O15-'FS Budapest'!O14))</f>
        <v>1</v>
      </c>
      <c r="M12" s="12">
        <f>IF(('FS Budapest'!Q15-'FS Budapest'!Q14)&lt;0,"0",('FS Budapest'!Q15-'FS Budapest'!Q14))</f>
        <v>0</v>
      </c>
      <c r="N12" s="12">
        <f>IF(('FS Budapest'!S15-'FS Budapest'!S14)&lt;0,"0",('FS Budapest'!S15-'FS Budapest'!S14))</f>
        <v>0</v>
      </c>
      <c r="O12" s="12">
        <f>IF(('FS Budapest'!V15-'FS Budapest'!V14)&lt;0,"0",('FS Budapest'!V15-'FS Budapest'!V14))</f>
        <v>0</v>
      </c>
      <c r="P12" s="12">
        <f>IF(('FS Budapest'!X15-'FS Budapest'!X14)&lt;0,"0",('FS Budapest'!X15-'FS Budapest'!X14))</f>
        <v>14</v>
      </c>
      <c r="Q12" s="12">
        <f>'FS Budapest'!AB15</f>
        <v>2</v>
      </c>
      <c r="R12" s="12">
        <f>'FS Budapest'!AE15</f>
        <v>2</v>
      </c>
      <c r="S12" s="12">
        <f>'FS Budapest'!AF15</f>
        <v>0</v>
      </c>
      <c r="T12" s="12">
        <f>IF(('FS Budapest'!AK15-'FS Budapest'!AK14)&lt;0,"0",('FS Budapest'!AK15-'FS Budapest'!AK14))</f>
        <v>1180</v>
      </c>
      <c r="U12" s="12">
        <f>IF(('FS Budapest'!AM15-'FS Budapest'!AM14)&lt;0,"0",('FS Budapest'!AM15-'FS Budapest'!AM14))</f>
        <v>40</v>
      </c>
      <c r="V12" s="12">
        <f>IF(('FS Budapest'!AO15-'FS Budapest'!AO14)&lt;0,"0",('FS Budapest'!AO15-'FS Budapest'!AO14))</f>
        <v>0</v>
      </c>
      <c r="W12" s="12">
        <f>IF(('FS Budapest'!AQ15-'FS Budapest'!AQ14)&lt;0,"0",('FS Budapest'!AQ15-'FS Budapest'!AQ14))</f>
        <v>0</v>
      </c>
      <c r="X12" s="12">
        <f>'FS Budapest'!AY15</f>
        <v>0</v>
      </c>
      <c r="Y12" s="12">
        <f>IF(('FS Budapest'!BA15-'FS Budapest'!BA14)&lt;0,"0",('FS Budapest'!BA15-'FS Budapest'!BA14)*4400)</f>
        <v>14387.99999999992</v>
      </c>
      <c r="Z12" s="12">
        <f>'FS Budapest'!BI15</f>
        <v>14387.99999999992</v>
      </c>
      <c r="AA12" s="12">
        <f>'FS Budapest'!BJ15</f>
        <v>12622.99999999992</v>
      </c>
      <c r="AB12" s="12">
        <f>IF(('FS Budapest'!BK15-'FS Budapest'!BK14)&lt;0,"0",('FS Budapest'!BK15-'FS Budapest'!BK14)*100)</f>
        <v>533.00000000000409</v>
      </c>
      <c r="AC12" s="12">
        <f>'FS Budapest'!BM15</f>
        <v>14920.999999999924</v>
      </c>
      <c r="AD12" s="12">
        <f>IF(('FS Budapest'!BP15-'FS Budapest'!BP14)&lt;0,"0",('FS Budapest'!BP15-'FS Budapest'!BP14))</f>
        <v>20</v>
      </c>
      <c r="AE12" s="12">
        <f>IF(('FS Budapest'!BR15-'FS Budapest'!BR14)&lt;0,"0",('FS Budapest'!BR15-'FS Budapest'!BR14))</f>
        <v>1745</v>
      </c>
      <c r="AF12" s="12">
        <f>'FS Budapest'!BU15</f>
        <v>11</v>
      </c>
      <c r="AG12" s="12">
        <f>'FS Budapest'!BV15</f>
        <v>15</v>
      </c>
    </row>
    <row r="13" spans="1:33" s="16" customFormat="1">
      <c r="A13" s="12" t="s">
        <v>12</v>
      </c>
      <c r="B13" s="15">
        <f t="shared" si="0"/>
        <v>12</v>
      </c>
      <c r="C13" s="3">
        <v>10</v>
      </c>
      <c r="D13" s="12">
        <v>2020</v>
      </c>
      <c r="E13" s="12">
        <f>IF(('FS Budapest'!C16-'FS Budapest'!C15)&lt;0,"0",('FS Budapest'!C16-'FS Budapest'!C15))</f>
        <v>42</v>
      </c>
      <c r="F13" s="12">
        <f>IF(('FS Budapest'!D16-'FS Budapest'!D15)&lt;0,"0",('FS Budapest'!D16-'FS Budapest'!D15))</f>
        <v>19</v>
      </c>
      <c r="G13" s="12">
        <f>IF(('FS Budapest'!E16-'FS Budapest'!Y16)&lt;0,"0",('FS Budapest'!E16-'FS Budapest'!Y16))</f>
        <v>17</v>
      </c>
      <c r="H13" s="12">
        <f>IF(('FS Budapest'!H16-'FS Budapest'!H15)&lt;0,"0",('FS Budapest'!H16-'FS Budapest'!H15))</f>
        <v>0</v>
      </c>
      <c r="I13" s="12">
        <f>IF(('FS Budapest'!I16-'FS Budapest'!I15)&lt;0,"0",('FS Budapest'!I16-'FS Budapest'!I15))</f>
        <v>3</v>
      </c>
      <c r="J13" s="12">
        <f>IF(('FS Budapest'!K16-'FS Budapest'!K15)&lt;0,"0",('FS Budapest'!K16-'FS Budapest'!K15))</f>
        <v>2</v>
      </c>
      <c r="K13" s="12">
        <f>IF(('FS Budapest'!M16-'FS Budapest'!M15)&lt;0,"0",('FS Budapest'!M16-'FS Budapest'!M15))</f>
        <v>3</v>
      </c>
      <c r="L13" s="12">
        <f>IF(('FS Budapest'!O16-'FS Budapest'!O15)&lt;0,"0",('FS Budapest'!O16-'FS Budapest'!O15))</f>
        <v>2</v>
      </c>
      <c r="M13" s="12">
        <f>IF(('FS Budapest'!Q16-'FS Budapest'!Q15)&lt;0,"0",('FS Budapest'!Q16-'FS Budapest'!Q15))</f>
        <v>1</v>
      </c>
      <c r="N13" s="12">
        <f>IF(('FS Budapest'!S16-'FS Budapest'!S15)&lt;0,"0",('FS Budapest'!S16-'FS Budapest'!S15))</f>
        <v>0</v>
      </c>
      <c r="O13" s="12">
        <f>IF(('FS Budapest'!V16-'FS Budapest'!V15)&lt;0,"0",('FS Budapest'!V16-'FS Budapest'!V15))</f>
        <v>0</v>
      </c>
      <c r="P13" s="12">
        <f>IF(('FS Budapest'!X16-'FS Budapest'!X15)&lt;0,"0",('FS Budapest'!X16-'FS Budapest'!X15))</f>
        <v>2</v>
      </c>
      <c r="Q13" s="12">
        <f>'FS Budapest'!AB16</f>
        <v>4</v>
      </c>
      <c r="R13" s="12">
        <f>'FS Budapest'!AE16</f>
        <v>2</v>
      </c>
      <c r="S13" s="12">
        <f>'FS Budapest'!AF16</f>
        <v>1</v>
      </c>
      <c r="T13" s="12">
        <f>IF(('FS Budapest'!AK16-'FS Budapest'!AK15)&lt;0,"0",('FS Budapest'!AK16-'FS Budapest'!AK15))</f>
        <v>896</v>
      </c>
      <c r="U13" s="12">
        <f>IF(('FS Budapest'!AM16-'FS Budapest'!AM15)&lt;0,"0",('FS Budapest'!AM16-'FS Budapest'!AM15))</f>
        <v>24</v>
      </c>
      <c r="V13" s="12">
        <f>IF(('FS Budapest'!AO16-'FS Budapest'!AO15)&lt;0,"0",('FS Budapest'!AO16-'FS Budapest'!AO15))</f>
        <v>0</v>
      </c>
      <c r="W13" s="12">
        <f>IF(('FS Budapest'!AQ16-'FS Budapest'!AQ15)&lt;0,"0",('FS Budapest'!AQ16-'FS Budapest'!AQ15))</f>
        <v>0</v>
      </c>
      <c r="X13" s="12">
        <f>'FS Budapest'!AY16</f>
        <v>0</v>
      </c>
      <c r="Y13" s="12">
        <f>IF(('FS Budapest'!BA16-'FS Budapest'!BA15)&lt;0,"0",('FS Budapest'!BA16-'FS Budapest'!BA15)*4400)</f>
        <v>8756.00000000004</v>
      </c>
      <c r="Z13" s="12">
        <f>'FS Budapest'!BI16</f>
        <v>8756.00000000004</v>
      </c>
      <c r="AA13" s="12">
        <f>'FS Budapest'!BJ16</f>
        <v>8044.00000000004</v>
      </c>
      <c r="AB13" s="12">
        <f>IF(('FS Budapest'!BK16-'FS Budapest'!BK15)&lt;0,"0",('FS Budapest'!BK16-'FS Budapest'!BK15)*100)</f>
        <v>427.99999999999727</v>
      </c>
      <c r="AC13" s="12">
        <f>'FS Budapest'!BM16</f>
        <v>9184.0000000000364</v>
      </c>
      <c r="AD13" s="12">
        <f>IF(('FS Budapest'!BP16-'FS Budapest'!BP15)&lt;0,"0",('FS Budapest'!BP16-'FS Budapest'!BP15))</f>
        <v>12</v>
      </c>
      <c r="AE13" s="12">
        <f>IF(('FS Budapest'!BR16-'FS Budapest'!BR15)&lt;0,"0",('FS Budapest'!BR16-'FS Budapest'!BR15))</f>
        <v>700</v>
      </c>
      <c r="AF13" s="12">
        <f>'FS Budapest'!BU16</f>
        <v>11</v>
      </c>
      <c r="AG13" s="12">
        <f>'FS Budapest'!BV16</f>
        <v>16</v>
      </c>
    </row>
    <row r="14" spans="1:33" s="16" customFormat="1">
      <c r="A14" s="12" t="s">
        <v>12</v>
      </c>
      <c r="B14" s="15">
        <f t="shared" si="0"/>
        <v>13</v>
      </c>
      <c r="C14" s="3">
        <v>10</v>
      </c>
      <c r="D14" s="12">
        <v>2020</v>
      </c>
      <c r="E14" s="12">
        <f>IF(('FS Budapest'!C17-'FS Budapest'!C16)&lt;0,"0",('FS Budapest'!C17-'FS Budapest'!C16))</f>
        <v>52</v>
      </c>
      <c r="F14" s="12">
        <f>IF(('FS Budapest'!D17-'FS Budapest'!D16)&lt;0,"0",('FS Budapest'!D17-'FS Budapest'!D16))</f>
        <v>21</v>
      </c>
      <c r="G14" s="12">
        <f>IF(('FS Budapest'!E17-'FS Budapest'!Y17)&lt;0,"0",('FS Budapest'!E17-'FS Budapest'!Y17))</f>
        <v>8</v>
      </c>
      <c r="H14" s="12">
        <f>IF(('FS Budapest'!H17-'FS Budapest'!H16)&lt;0,"0",('FS Budapest'!H17-'FS Budapest'!H16))</f>
        <v>0</v>
      </c>
      <c r="I14" s="12">
        <f>IF(('FS Budapest'!I17-'FS Budapest'!I16)&lt;0,"0",('FS Budapest'!I17-'FS Budapest'!I16))</f>
        <v>3</v>
      </c>
      <c r="J14" s="12">
        <f>IF(('FS Budapest'!K17-'FS Budapest'!K16)&lt;0,"0",('FS Budapest'!K17-'FS Budapest'!K16))</f>
        <v>3</v>
      </c>
      <c r="K14" s="12">
        <f>IF(('FS Budapest'!M17-'FS Budapest'!M16)&lt;0,"0",('FS Budapest'!M17-'FS Budapest'!M16))</f>
        <v>5</v>
      </c>
      <c r="L14" s="12">
        <f>IF(('FS Budapest'!O17-'FS Budapest'!O16)&lt;0,"0",('FS Budapest'!O17-'FS Budapest'!O16))</f>
        <v>2</v>
      </c>
      <c r="M14" s="12">
        <f>IF(('FS Budapest'!Q17-'FS Budapest'!Q16)&lt;0,"0",('FS Budapest'!Q17-'FS Budapest'!Q16))</f>
        <v>0</v>
      </c>
      <c r="N14" s="12">
        <f>IF(('FS Budapest'!S17-'FS Budapest'!S16)&lt;0,"0",('FS Budapest'!S17-'FS Budapest'!S16))</f>
        <v>0</v>
      </c>
      <c r="O14" s="12">
        <f>IF(('FS Budapest'!V17-'FS Budapest'!V16)&lt;0,"0",('FS Budapest'!V17-'FS Budapest'!V16))</f>
        <v>1</v>
      </c>
      <c r="P14" s="12">
        <f>IF(('FS Budapest'!X17-'FS Budapest'!X16)&lt;0,"0",('FS Budapest'!X17-'FS Budapest'!X16))</f>
        <v>13</v>
      </c>
      <c r="Q14" s="12">
        <f>'FS Budapest'!AB17</f>
        <v>4</v>
      </c>
      <c r="R14" s="12">
        <f>'FS Budapest'!AE17</f>
        <v>1</v>
      </c>
      <c r="S14" s="12">
        <f>'FS Budapest'!AF17</f>
        <v>2</v>
      </c>
      <c r="T14" s="12">
        <f>IF(('FS Budapest'!AK17-'FS Budapest'!AK16)&lt;0,"0",('FS Budapest'!AK17-'FS Budapest'!AK16))</f>
        <v>1779</v>
      </c>
      <c r="U14" s="12">
        <f>IF(('FS Budapest'!AM17-'FS Budapest'!AM16)&lt;0,"0",('FS Budapest'!AM17-'FS Budapest'!AM16))</f>
        <v>28</v>
      </c>
      <c r="V14" s="12">
        <f>IF(('FS Budapest'!AO17-'FS Budapest'!AO16)&lt;0,"0",('FS Budapest'!AO17-'FS Budapest'!AO16))</f>
        <v>93</v>
      </c>
      <c r="W14" s="12">
        <f>IF(('FS Budapest'!AQ17-'FS Budapest'!AQ16)&lt;0,"0",('FS Budapest'!AQ17-'FS Budapest'!AQ16))</f>
        <v>87</v>
      </c>
      <c r="X14" s="12">
        <f>'FS Budapest'!AY17</f>
        <v>0</v>
      </c>
      <c r="Y14" s="12">
        <f>IF(('FS Budapest'!BA17-'FS Budapest'!BA16)&lt;0,"0",('FS Budapest'!BA17-'FS Budapest'!BA16)*4400)</f>
        <v>14387.99999999992</v>
      </c>
      <c r="Z14" s="12">
        <f>'FS Budapest'!BI17</f>
        <v>14387.99999999992</v>
      </c>
      <c r="AA14" s="12">
        <f>'FS Budapest'!BJ17</f>
        <v>14352.99999999992</v>
      </c>
      <c r="AB14" s="12">
        <f>IF(('FS Budapest'!BK17-'FS Budapest'!BK16)&lt;0,"0",('FS Budapest'!BK17-'FS Budapest'!BK16)*100)</f>
        <v>424.00000000000091</v>
      </c>
      <c r="AC14" s="12">
        <f>'FS Budapest'!BM17</f>
        <v>14811.99999999992</v>
      </c>
      <c r="AD14" s="12">
        <f>IF(('FS Budapest'!BP17-'FS Budapest'!BP16)&lt;0,"0",('FS Budapest'!BP17-'FS Budapest'!BP16))</f>
        <v>20</v>
      </c>
      <c r="AE14" s="12">
        <f>IF(('FS Budapest'!BR17-'FS Budapest'!BR16)&lt;0,"0",('FS Budapest'!BR17-'FS Budapest'!BR16))</f>
        <v>15</v>
      </c>
      <c r="AF14" s="12">
        <f>'FS Budapest'!BU17</f>
        <v>11</v>
      </c>
      <c r="AG14" s="12">
        <f>'FS Budapest'!BV17</f>
        <v>16</v>
      </c>
    </row>
    <row r="15" spans="1:33" s="16" customFormat="1">
      <c r="A15" s="12" t="s">
        <v>12</v>
      </c>
      <c r="B15" s="15">
        <f t="shared" si="0"/>
        <v>14</v>
      </c>
      <c r="C15" s="3">
        <v>10</v>
      </c>
      <c r="D15" s="12">
        <v>2020</v>
      </c>
      <c r="E15" s="12">
        <f>IF(('FS Budapest'!C18-'FS Budapest'!C17)&lt;0,"0",('FS Budapest'!C18-'FS Budapest'!C17))</f>
        <v>112</v>
      </c>
      <c r="F15" s="12">
        <f>IF(('FS Budapest'!D18-'FS Budapest'!D17)&lt;0,"0",('FS Budapest'!D18-'FS Budapest'!D17))</f>
        <v>31</v>
      </c>
      <c r="G15" s="12">
        <f>IF(('FS Budapest'!E18-'FS Budapest'!Y18)&lt;0,"0",('FS Budapest'!E18-'FS Budapest'!Y18))</f>
        <v>19</v>
      </c>
      <c r="H15" s="12">
        <f>IF(('FS Budapest'!H18-'FS Budapest'!H17)&lt;0,"0",('FS Budapest'!H18-'FS Budapest'!H17))</f>
        <v>0</v>
      </c>
      <c r="I15" s="12">
        <f>IF(('FS Budapest'!I18-'FS Budapest'!I17)&lt;0,"0",('FS Budapest'!I18-'FS Budapest'!I17))</f>
        <v>24</v>
      </c>
      <c r="J15" s="12">
        <f>IF(('FS Budapest'!K18-'FS Budapest'!K17)&lt;0,"0",('FS Budapest'!K18-'FS Budapest'!K17))</f>
        <v>6</v>
      </c>
      <c r="K15" s="12">
        <f>IF(('FS Budapest'!M18-'FS Budapest'!M17)&lt;0,"0",('FS Budapest'!M18-'FS Budapest'!M17))</f>
        <v>7</v>
      </c>
      <c r="L15" s="12">
        <f>IF(('FS Budapest'!O18-'FS Budapest'!O17)&lt;0,"0",('FS Budapest'!O18-'FS Budapest'!O17))</f>
        <v>2</v>
      </c>
      <c r="M15" s="12">
        <f>IF(('FS Budapest'!Q18-'FS Budapest'!Q17)&lt;0,"0",('FS Budapest'!Q18-'FS Budapest'!Q17))</f>
        <v>14</v>
      </c>
      <c r="N15" s="12">
        <f>IF(('FS Budapest'!S18-'FS Budapest'!S17)&lt;0,"0",('FS Budapest'!S18-'FS Budapest'!S17))</f>
        <v>1</v>
      </c>
      <c r="O15" s="12">
        <f>IF(('FS Budapest'!V18-'FS Budapest'!V17)&lt;0,"0",('FS Budapest'!V18-'FS Budapest'!V17))</f>
        <v>0</v>
      </c>
      <c r="P15" s="12">
        <f>IF(('FS Budapest'!X18-'FS Budapest'!X17)&lt;0,"0",('FS Budapest'!X18-'FS Budapest'!X17))</f>
        <v>12</v>
      </c>
      <c r="Q15" s="12">
        <f>'FS Budapest'!AB18</f>
        <v>4</v>
      </c>
      <c r="R15" s="12">
        <f>'FS Budapest'!AE18</f>
        <v>2</v>
      </c>
      <c r="S15" s="12">
        <f>'FS Budapest'!AF18</f>
        <v>22</v>
      </c>
      <c r="T15" s="12">
        <f>IF(('FS Budapest'!AK18-'FS Budapest'!AK17)&lt;0,"0",('FS Budapest'!AK18-'FS Budapest'!AK17))</f>
        <v>2883</v>
      </c>
      <c r="U15" s="12">
        <f>IF(('FS Budapest'!AM18-'FS Budapest'!AM17)&lt;0,"0",('FS Budapest'!AM18-'FS Budapest'!AM17))</f>
        <v>32</v>
      </c>
      <c r="V15" s="12">
        <f>IF(('FS Budapest'!AO18-'FS Budapest'!AO17)&lt;0,"0",('FS Budapest'!AO18-'FS Budapest'!AO17))</f>
        <v>681</v>
      </c>
      <c r="W15" s="12">
        <f>IF(('FS Budapest'!AQ18-'FS Budapest'!AQ17)&lt;0,"0",('FS Budapest'!AQ18-'FS Budapest'!AQ17))</f>
        <v>0</v>
      </c>
      <c r="X15" s="12">
        <f>'FS Budapest'!AY18</f>
        <v>0</v>
      </c>
      <c r="Y15" s="12">
        <f>IF(('FS Budapest'!BA18-'FS Budapest'!BA17)&lt;0,"0",('FS Budapest'!BA18-'FS Budapest'!BA17)*4400)</f>
        <v>16456.00000000004</v>
      </c>
      <c r="Z15" s="12">
        <f>'FS Budapest'!BI18</f>
        <v>16456.00000000004</v>
      </c>
      <c r="AA15" s="12">
        <f>'FS Budapest'!BJ18</f>
        <v>15234.00000000004</v>
      </c>
      <c r="AB15" s="12">
        <f>IF(('FS Budapest'!BK18-'FS Budapest'!BK17)&lt;0,"0",('FS Budapest'!BK18-'FS Budapest'!BK17)*100)</f>
        <v>1102.9999999999973</v>
      </c>
      <c r="AC15" s="12">
        <f>'FS Budapest'!BM18</f>
        <v>17559.000000000036</v>
      </c>
      <c r="AD15" s="12">
        <f>IF(('FS Budapest'!BP18-'FS Budapest'!BP17)&lt;0,"0",('FS Budapest'!BP18-'FS Budapest'!BP17))</f>
        <v>1139</v>
      </c>
      <c r="AE15" s="12">
        <f>IF(('FS Budapest'!BR18-'FS Budapest'!BR17)&lt;0,"0",('FS Budapest'!BR18-'FS Budapest'!BR17))</f>
        <v>83</v>
      </c>
      <c r="AF15" s="12">
        <f>'FS Budapest'!BU18</f>
        <v>13</v>
      </c>
      <c r="AG15" s="12">
        <f>'FS Budapest'!BV18</f>
        <v>20</v>
      </c>
    </row>
    <row r="16" spans="1:33" s="16" customFormat="1">
      <c r="A16" s="12" t="s">
        <v>12</v>
      </c>
      <c r="B16" s="15">
        <f t="shared" si="0"/>
        <v>15</v>
      </c>
      <c r="C16" s="3">
        <v>10</v>
      </c>
      <c r="D16" s="12">
        <v>2020</v>
      </c>
      <c r="E16" s="12">
        <f>IF(('FS Budapest'!C19-'FS Budapest'!C18)&lt;0,"0",('FS Budapest'!C19-'FS Budapest'!C18))</f>
        <v>88</v>
      </c>
      <c r="F16" s="12">
        <f>IF(('FS Budapest'!D19-'FS Budapest'!D18)&lt;0,"0",('FS Budapest'!D19-'FS Budapest'!D18))</f>
        <v>28</v>
      </c>
      <c r="G16" s="12">
        <f>IF(('FS Budapest'!E19-'FS Budapest'!Y19)&lt;0,"0",('FS Budapest'!E19-'FS Budapest'!Y19))</f>
        <v>18</v>
      </c>
      <c r="H16" s="12">
        <f>IF(('FS Budapest'!H19-'FS Budapest'!H18)&lt;0,"0",('FS Budapest'!H19-'FS Budapest'!H18))</f>
        <v>0</v>
      </c>
      <c r="I16" s="12">
        <f>IF(('FS Budapest'!I19-'FS Budapest'!I18)&lt;0,"0",('FS Budapest'!I19-'FS Budapest'!I18))</f>
        <v>20</v>
      </c>
      <c r="J16" s="12">
        <f>IF(('FS Budapest'!K19-'FS Budapest'!K18)&lt;0,"0",('FS Budapest'!K19-'FS Budapest'!K18))</f>
        <v>4</v>
      </c>
      <c r="K16" s="12">
        <f>IF(('FS Budapest'!M19-'FS Budapest'!M18)&lt;0,"0",('FS Budapest'!M19-'FS Budapest'!M18))</f>
        <v>7</v>
      </c>
      <c r="L16" s="12">
        <f>IF(('FS Budapest'!O19-'FS Budapest'!O18)&lt;0,"0",('FS Budapest'!O19-'FS Budapest'!O18))</f>
        <v>2</v>
      </c>
      <c r="M16" s="12">
        <f>IF(('FS Budapest'!Q19-'FS Budapest'!Q18)&lt;0,"0",('FS Budapest'!Q19-'FS Budapest'!Q18))</f>
        <v>9</v>
      </c>
      <c r="N16" s="12">
        <f>IF(('FS Budapest'!S19-'FS Budapest'!S18)&lt;0,"0",('FS Budapest'!S19-'FS Budapest'!S18))</f>
        <v>1</v>
      </c>
      <c r="O16" s="12">
        <f>IF(('FS Budapest'!V19-'FS Budapest'!V18)&lt;0,"0",('FS Budapest'!V19-'FS Budapest'!V18))</f>
        <v>0</v>
      </c>
      <c r="P16" s="12">
        <f>IF(('FS Budapest'!X19-'FS Budapest'!X18)&lt;0,"0",('FS Budapest'!X19-'FS Budapest'!X18))</f>
        <v>10</v>
      </c>
      <c r="Q16" s="12">
        <f>'FS Budapest'!AB19</f>
        <v>2</v>
      </c>
      <c r="R16" s="12">
        <f>'FS Budapest'!AE19</f>
        <v>2</v>
      </c>
      <c r="S16" s="12">
        <f>'FS Budapest'!AF19</f>
        <v>16</v>
      </c>
      <c r="T16" s="12">
        <f>IF(('FS Budapest'!AK19-'FS Budapest'!AK18)&lt;0,"0",('FS Budapest'!AK19-'FS Budapest'!AK18))</f>
        <v>2001</v>
      </c>
      <c r="U16" s="12">
        <f>IF(('FS Budapest'!AM19-'FS Budapest'!AM18)&lt;0,"0",('FS Budapest'!AM19-'FS Budapest'!AM18))</f>
        <v>32</v>
      </c>
      <c r="V16" s="12">
        <f>IF(('FS Budapest'!AO19-'FS Budapest'!AO18)&lt;0,"0",('FS Budapest'!AO19-'FS Budapest'!AO18))</f>
        <v>502</v>
      </c>
      <c r="W16" s="12">
        <f>IF(('FS Budapest'!AQ19-'FS Budapest'!AQ18)&lt;0,"0",('FS Budapest'!AQ19-'FS Budapest'!AQ18))</f>
        <v>0</v>
      </c>
      <c r="X16" s="12">
        <f>'FS Budapest'!AY19</f>
        <v>0</v>
      </c>
      <c r="Y16" s="12">
        <f>IF(('FS Budapest'!BA19-'FS Budapest'!BA18)&lt;0,"0",('FS Budapest'!BA19-'FS Budapest'!BA18)*4400)</f>
        <v>12759.9999999999</v>
      </c>
      <c r="Z16" s="12">
        <f>'FS Budapest'!BI19</f>
        <v>12759.9999999999</v>
      </c>
      <c r="AA16" s="12">
        <f>'FS Budapest'!BJ19</f>
        <v>12486.9999999999</v>
      </c>
      <c r="AB16" s="12">
        <f>IF(('FS Budapest'!BK19-'FS Budapest'!BK18)&lt;0,"0",('FS Budapest'!BK19-'FS Budapest'!BK18)*100)</f>
        <v>712.00000000000045</v>
      </c>
      <c r="AC16" s="12">
        <f>'FS Budapest'!BM19</f>
        <v>13471.9999999999</v>
      </c>
      <c r="AD16" s="12">
        <f>IF(('FS Budapest'!BP19-'FS Budapest'!BP18)&lt;0,"0",('FS Budapest'!BP19-'FS Budapest'!BP18))</f>
        <v>257</v>
      </c>
      <c r="AE16" s="12">
        <f>IF(('FS Budapest'!BR19-'FS Budapest'!BR18)&lt;0,"0",('FS Budapest'!BR19-'FS Budapest'!BR18))</f>
        <v>16</v>
      </c>
      <c r="AF16" s="12">
        <f>'FS Budapest'!BU19</f>
        <v>5</v>
      </c>
      <c r="AG16" s="12">
        <f>'FS Budapest'!BV19</f>
        <v>7</v>
      </c>
    </row>
    <row r="17" spans="1:33" s="16" customFormat="1">
      <c r="A17" s="12" t="s">
        <v>12</v>
      </c>
      <c r="B17" s="15">
        <f t="shared" si="0"/>
        <v>16</v>
      </c>
      <c r="C17" s="3">
        <v>10</v>
      </c>
      <c r="D17" s="12">
        <v>2020</v>
      </c>
      <c r="E17" s="12">
        <f>IF(('FS Budapest'!C20-'FS Budapest'!C19)&lt;0,"0",('FS Budapest'!C20-'FS Budapest'!C19))</f>
        <v>68</v>
      </c>
      <c r="F17" s="12">
        <f>IF(('FS Budapest'!D20-'FS Budapest'!D19)&lt;0,"0",('FS Budapest'!D20-'FS Budapest'!D19))</f>
        <v>36</v>
      </c>
      <c r="G17" s="12">
        <f>IF(('FS Budapest'!E20-'FS Budapest'!Y20)&lt;0,"0",('FS Budapest'!E20-'FS Budapest'!Y20))</f>
        <v>28</v>
      </c>
      <c r="H17" s="12">
        <f>IF(('FS Budapest'!H20-'FS Budapest'!H19)&lt;0,"0",('FS Budapest'!H20-'FS Budapest'!H19))</f>
        <v>0</v>
      </c>
      <c r="I17" s="12">
        <f>IF(('FS Budapest'!I20-'FS Budapest'!I19)&lt;0,"0",('FS Budapest'!I20-'FS Budapest'!I19))</f>
        <v>3</v>
      </c>
      <c r="J17" s="12">
        <f>IF(('FS Budapest'!K20-'FS Budapest'!K19)&lt;0,"0",('FS Budapest'!K20-'FS Budapest'!K19))</f>
        <v>5</v>
      </c>
      <c r="K17" s="12">
        <f>IF(('FS Budapest'!M20-'FS Budapest'!M19)&lt;0,"0",('FS Budapest'!M20-'FS Budapest'!M19))</f>
        <v>6</v>
      </c>
      <c r="L17" s="12">
        <f>IF(('FS Budapest'!O20-'FS Budapest'!O19)&lt;0,"0",('FS Budapest'!O20-'FS Budapest'!O19))</f>
        <v>5</v>
      </c>
      <c r="M17" s="12">
        <f>IF(('FS Budapest'!Q20-'FS Budapest'!Q19)&lt;0,"0",('FS Budapest'!Q20-'FS Budapest'!Q19))</f>
        <v>1</v>
      </c>
      <c r="N17" s="12">
        <f>IF(('FS Budapest'!S20-'FS Budapest'!S19)&lt;0,"0",('FS Budapest'!S20-'FS Budapest'!S19))</f>
        <v>0</v>
      </c>
      <c r="O17" s="12">
        <f>IF(('FS Budapest'!V20-'FS Budapest'!V19)&lt;0,"0",('FS Budapest'!V20-'FS Budapest'!V19))</f>
        <v>0</v>
      </c>
      <c r="P17" s="12">
        <f>IF(('FS Budapest'!X20-'FS Budapest'!X19)&lt;0,"0",('FS Budapest'!X20-'FS Budapest'!X19))</f>
        <v>8</v>
      </c>
      <c r="Q17" s="12">
        <f>'FS Budapest'!AB20</f>
        <v>9</v>
      </c>
      <c r="R17" s="12">
        <f>'FS Budapest'!AE20</f>
        <v>1</v>
      </c>
      <c r="S17" s="12">
        <f>'FS Budapest'!AF20</f>
        <v>2</v>
      </c>
      <c r="T17" s="12">
        <f>IF(('FS Budapest'!AK20-'FS Budapest'!AK19)&lt;0,"0",('FS Budapest'!AK20-'FS Budapest'!AK19))</f>
        <v>1762</v>
      </c>
      <c r="U17" s="12">
        <f>IF(('FS Budapest'!AM20-'FS Budapest'!AM19)&lt;0,"0",('FS Budapest'!AM20-'FS Budapest'!AM19))</f>
        <v>38</v>
      </c>
      <c r="V17" s="12">
        <f>IF(('FS Budapest'!AO20-'FS Budapest'!AO19)&lt;0,"0",('FS Budapest'!AO20-'FS Budapest'!AO19))</f>
        <v>82</v>
      </c>
      <c r="W17" s="12">
        <f>IF(('FS Budapest'!AQ20-'FS Budapest'!AQ19)&lt;0,"0",('FS Budapest'!AQ20-'FS Budapest'!AQ19))</f>
        <v>0</v>
      </c>
      <c r="X17" s="12">
        <f>'FS Budapest'!AY20</f>
        <v>0</v>
      </c>
      <c r="Y17" s="12">
        <f>IF(('FS Budapest'!BA20-'FS Budapest'!BA19)&lt;0,"0",('FS Budapest'!BA20-'FS Budapest'!BA19)*4400)</f>
        <v>12715.99999999994</v>
      </c>
      <c r="Z17" s="12">
        <f>'FS Budapest'!BI20</f>
        <v>12715.99999999994</v>
      </c>
      <c r="AA17" s="12">
        <f>'FS Budapest'!BJ20</f>
        <v>12688.99999999994</v>
      </c>
      <c r="AB17" s="12">
        <f>IF(('FS Budapest'!BK20-'FS Budapest'!BK19)&lt;0,"0",('FS Budapest'!BK20-'FS Budapest'!BK19)*100)</f>
        <v>712.99999999999955</v>
      </c>
      <c r="AC17" s="12">
        <f>'FS Budapest'!BM20</f>
        <v>13428.99999999994</v>
      </c>
      <c r="AD17" s="12">
        <f>IF(('FS Budapest'!BP20-'FS Budapest'!BP19)&lt;0,"0",('FS Budapest'!BP20-'FS Budapest'!BP19))</f>
        <v>11</v>
      </c>
      <c r="AE17" s="12">
        <f>IF(('FS Budapest'!BR20-'FS Budapest'!BR19)&lt;0,"0",('FS Budapest'!BR20-'FS Budapest'!BR19))</f>
        <v>16</v>
      </c>
      <c r="AF17" s="12">
        <f>'FS Budapest'!BU20</f>
        <v>3</v>
      </c>
      <c r="AG17" s="12">
        <f>'FS Budapest'!BV20</f>
        <v>7</v>
      </c>
    </row>
    <row r="18" spans="1:33" s="16" customFormat="1">
      <c r="A18" s="12" t="s">
        <v>12</v>
      </c>
      <c r="B18" s="15">
        <f t="shared" si="0"/>
        <v>17</v>
      </c>
      <c r="C18" s="3">
        <v>10</v>
      </c>
      <c r="D18" s="12">
        <v>2020</v>
      </c>
      <c r="E18" s="12">
        <f>IF(('FS Budapest'!C21-'FS Budapest'!C20)&lt;0,"0",('FS Budapest'!C21-'FS Budapest'!C20))</f>
        <v>54</v>
      </c>
      <c r="F18" s="12">
        <f>IF(('FS Budapest'!D21-'FS Budapest'!D20)&lt;0,"0",('FS Budapest'!D21-'FS Budapest'!D20))</f>
        <v>20</v>
      </c>
      <c r="G18" s="12">
        <f>IF(('FS Budapest'!E21-'FS Budapest'!Y21)&lt;0,"0",('FS Budapest'!E21-'FS Budapest'!Y21))</f>
        <v>11</v>
      </c>
      <c r="H18" s="12">
        <f>IF(('FS Budapest'!H21-'FS Budapest'!H20)&lt;0,"0",('FS Budapest'!H21-'FS Budapest'!H20))</f>
        <v>0</v>
      </c>
      <c r="I18" s="12">
        <f>IF(('FS Budapest'!I21-'FS Budapest'!I20)&lt;0,"0",('FS Budapest'!I21-'FS Budapest'!I20))</f>
        <v>3</v>
      </c>
      <c r="J18" s="12">
        <f>IF(('FS Budapest'!K21-'FS Budapest'!K20)&lt;0,"0",('FS Budapest'!K21-'FS Budapest'!K20))</f>
        <v>4</v>
      </c>
      <c r="K18" s="12">
        <f>IF(('FS Budapest'!M21-'FS Budapest'!M20)&lt;0,"0",('FS Budapest'!M21-'FS Budapest'!M20))</f>
        <v>6</v>
      </c>
      <c r="L18" s="12">
        <f>IF(('FS Budapest'!O21-'FS Budapest'!O20)&lt;0,"0",('FS Budapest'!O21-'FS Budapest'!O20))</f>
        <v>2</v>
      </c>
      <c r="M18" s="12">
        <f>IF(('FS Budapest'!Q21-'FS Budapest'!Q20)&lt;0,"0",('FS Budapest'!Q21-'FS Budapest'!Q20))</f>
        <v>0</v>
      </c>
      <c r="N18" s="12">
        <f>IF(('FS Budapest'!S21-'FS Budapest'!S20)&lt;0,"0",('FS Budapest'!S21-'FS Budapest'!S20))</f>
        <v>0</v>
      </c>
      <c r="O18" s="12">
        <f>IF(('FS Budapest'!V21-'FS Budapest'!V20)&lt;0,"0",('FS Budapest'!V21-'FS Budapest'!V20))</f>
        <v>0</v>
      </c>
      <c r="P18" s="12">
        <f>IF(('FS Budapest'!X21-'FS Budapest'!X20)&lt;0,"0",('FS Budapest'!X21-'FS Budapest'!X20))</f>
        <v>9</v>
      </c>
      <c r="Q18" s="12">
        <f>'FS Budapest'!AB21</f>
        <v>1</v>
      </c>
      <c r="R18" s="12">
        <f>'FS Budapest'!AE21</f>
        <v>1</v>
      </c>
      <c r="S18" s="12">
        <f>'FS Budapest'!AF21</f>
        <v>0</v>
      </c>
      <c r="T18" s="12">
        <f>IF(('FS Budapest'!AK21-'FS Budapest'!AK20)&lt;0,"0",('FS Budapest'!AK21-'FS Budapest'!AK20))</f>
        <v>1116</v>
      </c>
      <c r="U18" s="12">
        <f>IF(('FS Budapest'!AM21-'FS Budapest'!AM20)&lt;0,"0",('FS Budapest'!AM21-'FS Budapest'!AM20))</f>
        <v>34</v>
      </c>
      <c r="V18" s="12">
        <f>IF(('FS Budapest'!AO21-'FS Budapest'!AO20)&lt;0,"0",('FS Budapest'!AO21-'FS Budapest'!AO20))</f>
        <v>0</v>
      </c>
      <c r="W18" s="12">
        <f>IF(('FS Budapest'!AQ21-'FS Budapest'!AQ20)&lt;0,"0",('FS Budapest'!AQ21-'FS Budapest'!AQ20))</f>
        <v>0</v>
      </c>
      <c r="X18" s="12">
        <f>'FS Budapest'!AY21</f>
        <v>0</v>
      </c>
      <c r="Y18" s="12">
        <f>IF(('FS Budapest'!BA21-'FS Budapest'!BA20)&lt;0,"0",('FS Budapest'!BA21-'FS Budapest'!BA20)*4400)</f>
        <v>11660.0000000004</v>
      </c>
      <c r="Z18" s="12">
        <f>'FS Budapest'!BI21</f>
        <v>11660.0000000004</v>
      </c>
      <c r="AA18" s="12">
        <f>'FS Budapest'!BJ21</f>
        <v>11618.0000000004</v>
      </c>
      <c r="AB18" s="12">
        <f>IF(('FS Budapest'!BK21-'FS Budapest'!BK20)&lt;0,"0",('FS Budapest'!BK21-'FS Budapest'!BK20)*100)</f>
        <v>580.99999999999454</v>
      </c>
      <c r="AC18" s="12">
        <f>'FS Budapest'!BM21</f>
        <v>12241.000000000395</v>
      </c>
      <c r="AD18" s="12">
        <f>IF(('FS Budapest'!BP21-'FS Budapest'!BP20)&lt;0,"0",('FS Budapest'!BP21-'FS Budapest'!BP20))</f>
        <v>27</v>
      </c>
      <c r="AE18" s="12">
        <f>IF(('FS Budapest'!BR21-'FS Budapest'!BR20)&lt;0,"0",('FS Budapest'!BR21-'FS Budapest'!BR20))</f>
        <v>15</v>
      </c>
      <c r="AF18" s="12">
        <f>'FS Budapest'!BU21</f>
        <v>4</v>
      </c>
      <c r="AG18" s="12">
        <f>'FS Budapest'!BV21</f>
        <v>10</v>
      </c>
    </row>
    <row r="19" spans="1:33" s="16" customFormat="1">
      <c r="A19" s="12" t="s">
        <v>12</v>
      </c>
      <c r="B19" s="15">
        <f t="shared" si="0"/>
        <v>18</v>
      </c>
      <c r="C19" s="3">
        <v>10</v>
      </c>
      <c r="D19" s="12">
        <v>2020</v>
      </c>
      <c r="E19" s="12">
        <f>IF(('FS Budapest'!C22-'FS Budapest'!C21)&lt;0,"0",('FS Budapest'!C22-'FS Budapest'!C21))</f>
        <v>55</v>
      </c>
      <c r="F19" s="12">
        <f>IF(('FS Budapest'!D22-'FS Budapest'!D21)&lt;0,"0",('FS Budapest'!D22-'FS Budapest'!D21))</f>
        <v>25</v>
      </c>
      <c r="G19" s="12">
        <f>IF(('FS Budapest'!E22-'FS Budapest'!Y22)&lt;0,"0",('FS Budapest'!E22-'FS Budapest'!Y22))</f>
        <v>15</v>
      </c>
      <c r="H19" s="12">
        <f>IF(('FS Budapest'!H22-'FS Budapest'!H21)&lt;0,"0",('FS Budapest'!H22-'FS Budapest'!H21))</f>
        <v>0</v>
      </c>
      <c r="I19" s="12">
        <f>IF(('FS Budapest'!I22-'FS Budapest'!I21)&lt;0,"0",('FS Budapest'!I22-'FS Budapest'!I21))</f>
        <v>3</v>
      </c>
      <c r="J19" s="12">
        <f>IF(('FS Budapest'!K22-'FS Budapest'!K21)&lt;0,"0",('FS Budapest'!K22-'FS Budapest'!K21))</f>
        <v>7</v>
      </c>
      <c r="K19" s="12">
        <f>IF(('FS Budapest'!M22-'FS Budapest'!M21)&lt;0,"0",('FS Budapest'!M22-'FS Budapest'!M21))</f>
        <v>6</v>
      </c>
      <c r="L19" s="12">
        <f>IF(('FS Budapest'!O22-'FS Budapest'!O21)&lt;0,"0",('FS Budapest'!O22-'FS Budapest'!O21))</f>
        <v>2</v>
      </c>
      <c r="M19" s="12">
        <f>IF(('FS Budapest'!Q22-'FS Budapest'!Q21)&lt;0,"0",('FS Budapest'!Q22-'FS Budapest'!Q21))</f>
        <v>1</v>
      </c>
      <c r="N19" s="12">
        <f>IF(('FS Budapest'!S22-'FS Budapest'!S21)&lt;0,"0",('FS Budapest'!S22-'FS Budapest'!S21))</f>
        <v>0</v>
      </c>
      <c r="O19" s="12">
        <f>IF(('FS Budapest'!V22-'FS Budapest'!V21)&lt;0,"0",('FS Budapest'!V22-'FS Budapest'!V21))</f>
        <v>0</v>
      </c>
      <c r="P19" s="12">
        <f>IF(('FS Budapest'!X22-'FS Budapest'!X21)&lt;0,"0",('FS Budapest'!X22-'FS Budapest'!X21))</f>
        <v>10</v>
      </c>
      <c r="Q19" s="12">
        <f>'FS Budapest'!AB22</f>
        <v>2</v>
      </c>
      <c r="R19" s="12">
        <f>'FS Budapest'!AE22</f>
        <v>2</v>
      </c>
      <c r="S19" s="12">
        <f>'FS Budapest'!AF22</f>
        <v>1</v>
      </c>
      <c r="T19" s="12">
        <f>IF(('FS Budapest'!AK22-'FS Budapest'!AK21)&lt;0,"0",('FS Budapest'!AK22-'FS Budapest'!AK21))</f>
        <v>2082</v>
      </c>
      <c r="U19" s="12">
        <f>IF(('FS Budapest'!AM22-'FS Budapest'!AM21)&lt;0,"0",('FS Budapest'!AM22-'FS Budapest'!AM21))</f>
        <v>38</v>
      </c>
      <c r="V19" s="12">
        <f>IF(('FS Budapest'!AO22-'FS Budapest'!AO21)&lt;0,"0",('FS Budapest'!AO22-'FS Budapest'!AO21))</f>
        <v>0</v>
      </c>
      <c r="W19" s="12">
        <f>IF(('FS Budapest'!AQ22-'FS Budapest'!AQ21)&lt;0,"0",('FS Budapest'!AQ22-'FS Budapest'!AQ21))</f>
        <v>0</v>
      </c>
      <c r="X19" s="12">
        <f>'FS Budapest'!AY22</f>
        <v>0</v>
      </c>
      <c r="Y19" s="12">
        <f>IF(('FS Budapest'!BA22-'FS Budapest'!BA21)&lt;0,"0",('FS Budapest'!BA22-'FS Budapest'!BA21)*4400)</f>
        <v>12539.9999999996</v>
      </c>
      <c r="Z19" s="12">
        <f>'FS Budapest'!BI22</f>
        <v>12539.9999999996</v>
      </c>
      <c r="AA19" s="12">
        <f>'FS Budapest'!BJ22</f>
        <v>12503.9999999996</v>
      </c>
      <c r="AB19" s="12">
        <f>IF(('FS Budapest'!BK22-'FS Budapest'!BK21)&lt;0,"0",('FS Budapest'!BK22-'FS Budapest'!BK21)*100)</f>
        <v>602.99999999999727</v>
      </c>
      <c r="AC19" s="12">
        <f>'FS Budapest'!BM22</f>
        <v>13142.999999999596</v>
      </c>
      <c r="AD19" s="12">
        <f>IF(('FS Budapest'!BP22-'FS Budapest'!BP21)&lt;0,"0",('FS Budapest'!BP22-'FS Budapest'!BP21))</f>
        <v>20</v>
      </c>
      <c r="AE19" s="12">
        <f>IF(('FS Budapest'!BR22-'FS Budapest'!BR21)&lt;0,"0",('FS Budapest'!BR22-'FS Budapest'!BR21))</f>
        <v>16</v>
      </c>
      <c r="AF19" s="12">
        <f>'FS Budapest'!BU22</f>
        <v>2</v>
      </c>
      <c r="AG19" s="12">
        <f>'FS Budapest'!BV22</f>
        <v>4</v>
      </c>
    </row>
    <row r="20" spans="1:33" s="16" customFormat="1">
      <c r="A20" s="12" t="s">
        <v>12</v>
      </c>
      <c r="B20" s="15">
        <f t="shared" si="0"/>
        <v>19</v>
      </c>
      <c r="C20" s="3">
        <v>10</v>
      </c>
      <c r="D20" s="12">
        <v>2020</v>
      </c>
      <c r="E20" s="12">
        <f>IF(('FS Budapest'!C23-'FS Budapest'!C22)&lt;0,"0",('FS Budapest'!C23-'FS Budapest'!C22))</f>
        <v>10</v>
      </c>
      <c r="F20" s="12">
        <f>IF(('FS Budapest'!D23-'FS Budapest'!D22)&lt;0,"0",('FS Budapest'!D23-'FS Budapest'!D22))</f>
        <v>16</v>
      </c>
      <c r="G20" s="12">
        <f>IF(('FS Budapest'!E23-'FS Budapest'!Y23)&lt;0,"0",('FS Budapest'!E23-'FS Budapest'!Y23))</f>
        <v>8</v>
      </c>
      <c r="H20" s="12">
        <f>IF(('FS Budapest'!H23-'FS Budapest'!H22)&lt;0,"0",('FS Budapest'!H23-'FS Budapest'!H22))</f>
        <v>23</v>
      </c>
      <c r="I20" s="12">
        <f>IF(('FS Budapest'!I23-'FS Budapest'!I22)&lt;0,"0",('FS Budapest'!I23-'FS Budapest'!I22))</f>
        <v>0</v>
      </c>
      <c r="J20" s="12" t="str">
        <f>IF(('FS Budapest'!K23-'FS Budapest'!K22)&lt;0,"0",('FS Budapest'!K23-'FS Budapest'!K22))</f>
        <v>0</v>
      </c>
      <c r="K20" s="12">
        <f>IF(('FS Budapest'!M23-'FS Budapest'!M22)&lt;0,"0",('FS Budapest'!M23-'FS Budapest'!M22))</f>
        <v>4</v>
      </c>
      <c r="L20" s="12">
        <f>IF(('FS Budapest'!O23-'FS Budapest'!O22)&lt;0,"0",('FS Budapest'!O23-'FS Budapest'!O22))</f>
        <v>1</v>
      </c>
      <c r="M20" s="12">
        <f>IF(('FS Budapest'!Q23-'FS Budapest'!Q22)&lt;0,"0",('FS Budapest'!Q23-'FS Budapest'!Q22))</f>
        <v>0</v>
      </c>
      <c r="N20" s="12">
        <f>IF(('FS Budapest'!S23-'FS Budapest'!S22)&lt;0,"0",('FS Budapest'!S23-'FS Budapest'!S22))</f>
        <v>0</v>
      </c>
      <c r="O20" s="12">
        <f>IF(('FS Budapest'!V23-'FS Budapest'!V22)&lt;0,"0",('FS Budapest'!V23-'FS Budapest'!V22))</f>
        <v>0</v>
      </c>
      <c r="P20" s="12">
        <f>IF(('FS Budapest'!X23-'FS Budapest'!X22)&lt;0,"0",('FS Budapest'!X23-'FS Budapest'!X22))</f>
        <v>8</v>
      </c>
      <c r="Q20" s="12">
        <f>'FS Budapest'!AB23</f>
        <v>1</v>
      </c>
      <c r="R20" s="12">
        <f>'FS Budapest'!AE23</f>
        <v>3</v>
      </c>
      <c r="S20" s="12">
        <f>'FS Budapest'!AF23</f>
        <v>0</v>
      </c>
      <c r="T20" s="12">
        <f>IF(('FS Budapest'!AK23-'FS Budapest'!AK22)&lt;0,"0",('FS Budapest'!AK23-'FS Budapest'!AK22))</f>
        <v>1538</v>
      </c>
      <c r="U20" s="12">
        <f>IF(('FS Budapest'!AM23-'FS Budapest'!AM22)&lt;0,"0",('FS Budapest'!AM23-'FS Budapest'!AM22))</f>
        <v>19</v>
      </c>
      <c r="V20" s="12">
        <f>IF(('FS Budapest'!AO23-'FS Budapest'!AO22)&lt;0,"0",('FS Budapest'!AO23-'FS Budapest'!AO22))</f>
        <v>0</v>
      </c>
      <c r="W20" s="12">
        <f>IF(('FS Budapest'!AQ23-'FS Budapest'!AQ22)&lt;0,"0",('FS Budapest'!AQ23-'FS Budapest'!AQ22))</f>
        <v>0</v>
      </c>
      <c r="X20" s="12">
        <f>'FS Budapest'!AY23</f>
        <v>0</v>
      </c>
      <c r="Y20" s="12">
        <f>IF(('FS Budapest'!BA23-'FS Budapest'!BA22)&lt;0,"0",('FS Budapest'!BA23-'FS Budapest'!BA22)*4400)</f>
        <v>8536.0000000002401</v>
      </c>
      <c r="Z20" s="12">
        <f>'FS Budapest'!BI23</f>
        <v>8536.0000000002401</v>
      </c>
      <c r="AA20" s="12">
        <f>'FS Budapest'!BJ23</f>
        <v>8514.0000000002401</v>
      </c>
      <c r="AB20" s="12">
        <f>IF(('FS Budapest'!BK23-'FS Budapest'!BK22)&lt;0,"0",('FS Budapest'!BK23-'FS Budapest'!BK22)*100)</f>
        <v>488.00000000001091</v>
      </c>
      <c r="AC20" s="12">
        <f>'FS Budapest'!BM23</f>
        <v>9024.000000000251</v>
      </c>
      <c r="AD20" s="12">
        <f>IF(('FS Budapest'!BP23-'FS Budapest'!BP22)&lt;0,"0",('FS Budapest'!BP23-'FS Budapest'!BP22))</f>
        <v>13</v>
      </c>
      <c r="AE20" s="12">
        <f>IF(('FS Budapest'!BR23-'FS Budapest'!BR22)&lt;0,"0",('FS Budapest'!BR23-'FS Budapest'!BR22))</f>
        <v>9</v>
      </c>
      <c r="AF20" s="12">
        <f>'FS Budapest'!BU23</f>
        <v>6</v>
      </c>
      <c r="AG20" s="12">
        <f>'FS Budapest'!BV23</f>
        <v>8</v>
      </c>
    </row>
    <row r="21" spans="1:33" s="16" customFormat="1">
      <c r="A21" s="12" t="s">
        <v>12</v>
      </c>
      <c r="B21" s="15">
        <f t="shared" si="0"/>
        <v>20</v>
      </c>
      <c r="C21" s="3">
        <v>10</v>
      </c>
      <c r="D21" s="12">
        <v>2020</v>
      </c>
      <c r="E21" s="12">
        <f>IF(('FS Budapest'!C24-'FS Budapest'!C23)&lt;0,"0",('FS Budapest'!C24-'FS Budapest'!C23))</f>
        <v>0</v>
      </c>
      <c r="F21" s="12">
        <f>IF(('FS Budapest'!D24-'FS Budapest'!D23)&lt;0,"0",('FS Budapest'!D24-'FS Budapest'!D23))</f>
        <v>24</v>
      </c>
      <c r="G21" s="12">
        <f>IF(('FS Budapest'!E24-'FS Budapest'!Y24)&lt;0,"0",('FS Budapest'!E24-'FS Budapest'!Y24))</f>
        <v>15</v>
      </c>
      <c r="H21" s="12">
        <f>IF(('FS Budapest'!H24-'FS Budapest'!H23)&lt;0,"0",('FS Budapest'!H24-'FS Budapest'!H23))</f>
        <v>62</v>
      </c>
      <c r="I21" s="12">
        <f>IF(('FS Budapest'!I24-'FS Budapest'!I23)&lt;0,"0",('FS Budapest'!I24-'FS Budapest'!I23))</f>
        <v>4</v>
      </c>
      <c r="J21" s="12">
        <f>IF(('FS Budapest'!K24-'FS Budapest'!K23)&lt;0,"0",('FS Budapest'!K24-'FS Budapest'!K23))</f>
        <v>3</v>
      </c>
      <c r="K21" s="12">
        <f>IF(('FS Budapest'!M24-'FS Budapest'!M23)&lt;0,"0",('FS Budapest'!M24-'FS Budapest'!M23))</f>
        <v>3</v>
      </c>
      <c r="L21" s="12">
        <f>IF(('FS Budapest'!O24-'FS Budapest'!O23)&lt;0,"0",('FS Budapest'!O24-'FS Budapest'!O23))</f>
        <v>1</v>
      </c>
      <c r="M21" s="12">
        <f>IF(('FS Budapest'!Q24-'FS Budapest'!Q23)&lt;0,"0",('FS Budapest'!Q24-'FS Budapest'!Q23))</f>
        <v>0</v>
      </c>
      <c r="N21" s="12">
        <f>IF(('FS Budapest'!S24-'FS Budapest'!S23)&lt;0,"0",('FS Budapest'!S24-'FS Budapest'!S23))</f>
        <v>0</v>
      </c>
      <c r="O21" s="12">
        <f>IF(('FS Budapest'!V24-'FS Budapest'!V23)&lt;0,"0",('FS Budapest'!V24-'FS Budapest'!V23))</f>
        <v>0</v>
      </c>
      <c r="P21" s="12">
        <f>IF(('FS Budapest'!X24-'FS Budapest'!X23)&lt;0,"0",('FS Budapest'!X24-'FS Budapest'!X23))</f>
        <v>9</v>
      </c>
      <c r="Q21" s="12">
        <f>'FS Budapest'!AB24</f>
        <v>2</v>
      </c>
      <c r="R21" s="12">
        <f>'FS Budapest'!AE24</f>
        <v>2</v>
      </c>
      <c r="S21" s="12">
        <f>'FS Budapest'!AF24</f>
        <v>0</v>
      </c>
      <c r="T21" s="12">
        <f>IF(('FS Budapest'!AK24-'FS Budapest'!AK23)&lt;0,"0",('FS Budapest'!AK24-'FS Budapest'!AK23))</f>
        <v>1854</v>
      </c>
      <c r="U21" s="12">
        <f>IF(('FS Budapest'!AM24-'FS Budapest'!AM23)&lt;0,"0",('FS Budapest'!AM24-'FS Budapest'!AM23))</f>
        <v>24</v>
      </c>
      <c r="V21" s="12">
        <f>IF(('FS Budapest'!AO24-'FS Budapest'!AO23)&lt;0,"0",('FS Budapest'!AO24-'FS Budapest'!AO23))</f>
        <v>0</v>
      </c>
      <c r="W21" s="12">
        <f>IF(('FS Budapest'!AQ24-'FS Budapest'!AQ23)&lt;0,"0",('FS Budapest'!AQ24-'FS Budapest'!AQ23))</f>
        <v>0</v>
      </c>
      <c r="X21" s="12">
        <f>'FS Budapest'!AY24</f>
        <v>0</v>
      </c>
      <c r="Y21" s="12">
        <f>IF(('FS Budapest'!BA24-'FS Budapest'!BA23)&lt;0,"0",('FS Budapest'!BA24-'FS Budapest'!BA23)*4400)</f>
        <v>15663.99999999976</v>
      </c>
      <c r="Z21" s="12">
        <f>'FS Budapest'!BI24</f>
        <v>15663.99999999976</v>
      </c>
      <c r="AA21" s="12">
        <f>'FS Budapest'!BJ24</f>
        <v>15630.99999999976</v>
      </c>
      <c r="AB21" s="12">
        <f>IF(('FS Budapest'!BK24-'FS Budapest'!BK23)&lt;0,"0",('FS Budapest'!BK24-'FS Budapest'!BK23)*100)</f>
        <v>679.99999999999545</v>
      </c>
      <c r="AC21" s="12">
        <f>'FS Budapest'!BM24</f>
        <v>16343.999999999756</v>
      </c>
      <c r="AD21" s="12">
        <f>IF(('FS Budapest'!BP24-'FS Budapest'!BP23)&lt;0,"0",('FS Budapest'!BP24-'FS Budapest'!BP23))</f>
        <v>20</v>
      </c>
      <c r="AE21" s="12">
        <f>IF(('FS Budapest'!BR24-'FS Budapest'!BR23)&lt;0,"0",('FS Budapest'!BR24-'FS Budapest'!BR23))</f>
        <v>13</v>
      </c>
      <c r="AF21" s="12">
        <f>'FS Budapest'!BU24</f>
        <v>7</v>
      </c>
      <c r="AG21" s="12">
        <f>'FS Budapest'!BV24</f>
        <v>9</v>
      </c>
    </row>
    <row r="22" spans="1:33" s="16" customFormat="1">
      <c r="A22" s="12" t="s">
        <v>12</v>
      </c>
      <c r="B22" s="15">
        <f t="shared" si="0"/>
        <v>21</v>
      </c>
      <c r="C22" s="3">
        <v>10</v>
      </c>
      <c r="D22" s="12">
        <v>2020</v>
      </c>
      <c r="E22" s="12">
        <f>IF(('FS Budapest'!C25-'FS Budapest'!C24)&lt;0,"0",('FS Budapest'!C25-'FS Budapest'!C24))</f>
        <v>0</v>
      </c>
      <c r="F22" s="12">
        <f>IF(('FS Budapest'!D25-'FS Budapest'!D24)&lt;0,"0",('FS Budapest'!D25-'FS Budapest'!D24))</f>
        <v>83</v>
      </c>
      <c r="G22" s="12">
        <f>IF(('FS Budapest'!E25-'FS Budapest'!Y25)&lt;0,"0",('FS Budapest'!E25-'FS Budapest'!Y25))</f>
        <v>66</v>
      </c>
      <c r="H22" s="12">
        <f>IF(('FS Budapest'!H25-'FS Budapest'!H24)&lt;0,"0",('FS Budapest'!H25-'FS Budapest'!H24))</f>
        <v>105</v>
      </c>
      <c r="I22" s="12">
        <f>IF(('FS Budapest'!I25-'FS Budapest'!I24)&lt;0,"0",('FS Budapest'!I25-'FS Budapest'!I24))</f>
        <v>3</v>
      </c>
      <c r="J22" s="12" t="str">
        <f>IF(('FS Budapest'!K25-'FS Budapest'!K24)&lt;0,"0",('FS Budapest'!K25-'FS Budapest'!K24))</f>
        <v>0</v>
      </c>
      <c r="K22" s="12">
        <f>IF(('FS Budapest'!M25-'FS Budapest'!M24)&lt;0,"0",('FS Budapest'!M25-'FS Budapest'!M24))</f>
        <v>8</v>
      </c>
      <c r="L22" s="12">
        <f>IF(('FS Budapest'!O25-'FS Budapest'!O24)&lt;0,"0",('FS Budapest'!O25-'FS Budapest'!O24))</f>
        <v>4</v>
      </c>
      <c r="M22" s="12">
        <f>IF(('FS Budapest'!Q25-'FS Budapest'!Q24)&lt;0,"0",('FS Budapest'!Q25-'FS Budapest'!Q24))</f>
        <v>0</v>
      </c>
      <c r="N22" s="12">
        <f>IF(('FS Budapest'!S25-'FS Budapest'!S24)&lt;0,"0",('FS Budapest'!S25-'FS Budapest'!S24))</f>
        <v>0</v>
      </c>
      <c r="O22" s="12">
        <f>IF(('FS Budapest'!V25-'FS Budapest'!V24)&lt;0,"0",('FS Budapest'!V25-'FS Budapest'!V24))</f>
        <v>0</v>
      </c>
      <c r="P22" s="12">
        <f>IF(('FS Budapest'!X25-'FS Budapest'!X24)&lt;0,"0",('FS Budapest'!X25-'FS Budapest'!X24))</f>
        <v>17</v>
      </c>
      <c r="Q22" s="12">
        <f>'FS Budapest'!AB25</f>
        <v>53</v>
      </c>
      <c r="R22" s="12">
        <f>'FS Budapest'!AE25</f>
        <v>5</v>
      </c>
      <c r="S22" s="12">
        <f>'FS Budapest'!AF25</f>
        <v>0</v>
      </c>
      <c r="T22" s="12">
        <f>IF(('FS Budapest'!AK25-'FS Budapest'!AK24)&lt;0,"0",('FS Budapest'!AK25-'FS Budapest'!AK24))</f>
        <v>2187</v>
      </c>
      <c r="U22" s="12">
        <f>IF(('FS Budapest'!AM25-'FS Budapest'!AM24)&lt;0,"0",('FS Budapest'!AM25-'FS Budapest'!AM24))</f>
        <v>129</v>
      </c>
      <c r="V22" s="12" t="str">
        <f>IF(('FS Budapest'!AO25-'FS Budapest'!AO24)&lt;0,"0",('FS Budapest'!AO25-'FS Budapest'!AO24))</f>
        <v>0</v>
      </c>
      <c r="W22" s="12">
        <f>IF(('FS Budapest'!AQ25-'FS Budapest'!AQ24)&lt;0,"0",('FS Budapest'!AQ25-'FS Budapest'!AQ24))</f>
        <v>0</v>
      </c>
      <c r="X22" s="12">
        <f>'FS Budapest'!AY25</f>
        <v>0</v>
      </c>
      <c r="Y22" s="12">
        <f>IF(('FS Budapest'!BA25-'FS Budapest'!BA24)&lt;0,"0",('FS Budapest'!BA25-'FS Budapest'!BA24)*4400)</f>
        <v>12276.00000000034</v>
      </c>
      <c r="Z22" s="12">
        <f>'FS Budapest'!BI25</f>
        <v>12276.00000000034</v>
      </c>
      <c r="AA22" s="12">
        <f>'FS Budapest'!BJ25</f>
        <v>12225.00000000034</v>
      </c>
      <c r="AB22" s="12">
        <f>IF(('FS Budapest'!BK25-'FS Budapest'!BK24)&lt;0,"0",('FS Budapest'!BK25-'FS Budapest'!BK24)*100)</f>
        <v>1013.0000000000109</v>
      </c>
      <c r="AC22" s="12">
        <f>'FS Budapest'!BM25</f>
        <v>13289.000000000351</v>
      </c>
      <c r="AD22" s="12">
        <f>IF(('FS Budapest'!BP25-'FS Budapest'!BP24)&lt;0,"0",('FS Budapest'!BP25-'FS Budapest'!BP24))</f>
        <v>28</v>
      </c>
      <c r="AE22" s="12">
        <f>IF(('FS Budapest'!BR25-'FS Budapest'!BR24)&lt;0,"0",('FS Budapest'!BR25-'FS Budapest'!BR24))</f>
        <v>23</v>
      </c>
      <c r="AF22" s="12">
        <f>'FS Budapest'!BU25</f>
        <v>6</v>
      </c>
      <c r="AG22" s="12">
        <f>'FS Budapest'!BV25</f>
        <v>6</v>
      </c>
    </row>
    <row r="23" spans="1:33" s="16" customFormat="1">
      <c r="A23" s="12" t="s">
        <v>12</v>
      </c>
      <c r="B23" s="15">
        <f t="shared" si="0"/>
        <v>22</v>
      </c>
      <c r="C23" s="3">
        <v>10</v>
      </c>
      <c r="D23" s="12">
        <v>2020</v>
      </c>
      <c r="E23" s="12">
        <f>IF(('FS Budapest'!C26-'FS Budapest'!C25)&lt;0,"0",('FS Budapest'!C26-'FS Budapest'!C25))</f>
        <v>0</v>
      </c>
      <c r="F23" s="12">
        <f>IF(('FS Budapest'!D26-'FS Budapest'!D25)&lt;0,"0",('FS Budapest'!D26-'FS Budapest'!D25))</f>
        <v>39</v>
      </c>
      <c r="G23" s="12">
        <f>IF(('FS Budapest'!E26-'FS Budapest'!Y26)&lt;0,"0",('FS Budapest'!E26-'FS Budapest'!Y26))</f>
        <v>28</v>
      </c>
      <c r="H23" s="12">
        <f>IF(('FS Budapest'!H26-'FS Budapest'!H25)&lt;0,"0",('FS Budapest'!H26-'FS Budapest'!H25))</f>
        <v>72</v>
      </c>
      <c r="I23" s="12">
        <f>IF(('FS Budapest'!I26-'FS Budapest'!I25)&lt;0,"0",('FS Budapest'!I26-'FS Budapest'!I25))</f>
        <v>2</v>
      </c>
      <c r="J23" s="12">
        <f>IF(('FS Budapest'!K26-'FS Budapest'!K25)&lt;0,"0",('FS Budapest'!K26-'FS Budapest'!K25))</f>
        <v>14</v>
      </c>
      <c r="K23" s="12">
        <f>IF(('FS Budapest'!M26-'FS Budapest'!M25)&lt;0,"0",('FS Budapest'!M26-'FS Budapest'!M25))</f>
        <v>6</v>
      </c>
      <c r="L23" s="12">
        <f>IF(('FS Budapest'!O26-'FS Budapest'!O25)&lt;0,"0",('FS Budapest'!O26-'FS Budapest'!O25))</f>
        <v>5</v>
      </c>
      <c r="M23" s="12">
        <f>IF(('FS Budapest'!Q26-'FS Budapest'!Q25)&lt;0,"0",('FS Budapest'!Q26-'FS Budapest'!Q25))</f>
        <v>0</v>
      </c>
      <c r="N23" s="12">
        <f>IF(('FS Budapest'!S26-'FS Budapest'!S25)&lt;0,"0",('FS Budapest'!S26-'FS Budapest'!S25))</f>
        <v>0</v>
      </c>
      <c r="O23" s="12">
        <f>IF(('FS Budapest'!V26-'FS Budapest'!V25)&lt;0,"0",('FS Budapest'!V26-'FS Budapest'!V25))</f>
        <v>0</v>
      </c>
      <c r="P23" s="12">
        <f>IF(('FS Budapest'!X26-'FS Budapest'!X25)&lt;0,"0",('FS Budapest'!X26-'FS Budapest'!X25))</f>
        <v>11</v>
      </c>
      <c r="Q23" s="12">
        <f>'FS Budapest'!AB26</f>
        <v>2</v>
      </c>
      <c r="R23" s="12">
        <f>'FS Budapest'!AE26</f>
        <v>3</v>
      </c>
      <c r="S23" s="12">
        <f>'FS Budapest'!AF26</f>
        <v>0</v>
      </c>
      <c r="T23" s="12">
        <f>IF(('FS Budapest'!AK26-'FS Budapest'!AK25)&lt;0,"0",('FS Budapest'!AK26-'FS Budapest'!AK25))</f>
        <v>1643</v>
      </c>
      <c r="U23" s="12" t="str">
        <f>IF(('FS Budapest'!AM26-'FS Budapest'!AM25)&lt;0,"0",('FS Budapest'!AM26-'FS Budapest'!AM25))</f>
        <v>0</v>
      </c>
      <c r="V23" s="12">
        <f>IF(('FS Budapest'!AO26-'FS Budapest'!AO25)&lt;0,"0",('FS Budapest'!AO26-'FS Budapest'!AO25))</f>
        <v>0</v>
      </c>
      <c r="W23" s="12">
        <f>IF(('FS Budapest'!AQ26-'FS Budapest'!AQ25)&lt;0,"0",('FS Budapest'!AQ26-'FS Budapest'!AQ25))</f>
        <v>0</v>
      </c>
      <c r="X23" s="12">
        <f>'FS Budapest'!AY26</f>
        <v>0</v>
      </c>
      <c r="Y23" s="12">
        <f>IF(('FS Budapest'!BA26-'FS Budapest'!BA25)&lt;0,"0",('FS Budapest'!BA26-'FS Budapest'!BA25)*4400)</f>
        <v>12187.99999999992</v>
      </c>
      <c r="Z23" s="12">
        <f>'FS Budapest'!BI26</f>
        <v>12187.99999999992</v>
      </c>
      <c r="AA23" s="12">
        <f>'FS Budapest'!BJ26</f>
        <v>12155.99999999992</v>
      </c>
      <c r="AB23" s="12">
        <f>IF(('FS Budapest'!BK26-'FS Budapest'!BK25)&lt;0,"0",('FS Budapest'!BK26-'FS Budapest'!BK25)*100)</f>
        <v>675</v>
      </c>
      <c r="AC23" s="12">
        <f>'FS Budapest'!BM26</f>
        <v>12862.99999999992</v>
      </c>
      <c r="AD23" s="12">
        <f>IF(('FS Budapest'!BP26-'FS Budapest'!BP25)&lt;0,"0",('FS Budapest'!BP26-'FS Budapest'!BP25))</f>
        <v>19</v>
      </c>
      <c r="AE23" s="12">
        <f>IF(('FS Budapest'!BR26-'FS Budapest'!BR25)&lt;0,"0",('FS Budapest'!BR26-'FS Budapest'!BR25))</f>
        <v>13</v>
      </c>
      <c r="AF23" s="12">
        <f>'FS Budapest'!BU26</f>
        <v>7</v>
      </c>
      <c r="AG23" s="12">
        <f>'FS Budapest'!BV26</f>
        <v>8</v>
      </c>
    </row>
    <row r="24" spans="1:33" s="16" customFormat="1">
      <c r="A24" s="12" t="s">
        <v>12</v>
      </c>
      <c r="B24" s="15">
        <f t="shared" si="0"/>
        <v>23</v>
      </c>
      <c r="C24" s="3">
        <v>10</v>
      </c>
      <c r="D24" s="12">
        <v>2020</v>
      </c>
      <c r="E24" s="12">
        <f>IF(('FS Budapest'!C27-'FS Budapest'!C26)&lt;0,"0",('FS Budapest'!C27-'FS Budapest'!C26))</f>
        <v>0</v>
      </c>
      <c r="F24" s="12">
        <f>IF(('FS Budapest'!D27-'FS Budapest'!D26)&lt;0,"0",('FS Budapest'!D27-'FS Budapest'!D26))</f>
        <v>23</v>
      </c>
      <c r="G24" s="12">
        <f>IF(('FS Budapest'!E27-'FS Budapest'!Y27)&lt;0,"0",('FS Budapest'!E27-'FS Budapest'!Y27))</f>
        <v>14</v>
      </c>
      <c r="H24" s="12">
        <f>IF(('FS Budapest'!H27-'FS Budapest'!H26)&lt;0,"0",('FS Budapest'!H27-'FS Budapest'!H26))</f>
        <v>49</v>
      </c>
      <c r="I24" s="12">
        <f>IF(('FS Budapest'!I27-'FS Budapest'!I26)&lt;0,"0",('FS Budapest'!I27-'FS Budapest'!I26))</f>
        <v>2</v>
      </c>
      <c r="J24" s="12">
        <f>IF(('FS Budapest'!K27-'FS Budapest'!K26)&lt;0,"0",('FS Budapest'!K27-'FS Budapest'!K26))</f>
        <v>4</v>
      </c>
      <c r="K24" s="12">
        <f>IF(('FS Budapest'!M27-'FS Budapest'!M26)&lt;0,"0",('FS Budapest'!M27-'FS Budapest'!M26))</f>
        <v>5</v>
      </c>
      <c r="L24" s="12">
        <f>IF(('FS Budapest'!O27-'FS Budapest'!O26)&lt;0,"0",('FS Budapest'!O27-'FS Budapest'!O26))</f>
        <v>1</v>
      </c>
      <c r="M24" s="12">
        <f>IF(('FS Budapest'!Q27-'FS Budapest'!Q26)&lt;0,"0",('FS Budapest'!Q27-'FS Budapest'!Q26))</f>
        <v>0</v>
      </c>
      <c r="N24" s="12">
        <f>IF(('FS Budapest'!S27-'FS Budapest'!S26)&lt;0,"0",('FS Budapest'!S27-'FS Budapest'!S26))</f>
        <v>0</v>
      </c>
      <c r="O24" s="12">
        <f>IF(('FS Budapest'!V27-'FS Budapest'!V26)&lt;0,"0",('FS Budapest'!V27-'FS Budapest'!V26))</f>
        <v>0</v>
      </c>
      <c r="P24" s="12">
        <f>IF(('FS Budapest'!X27-'FS Budapest'!X26)&lt;0,"0",('FS Budapest'!X27-'FS Budapest'!X26))</f>
        <v>9</v>
      </c>
      <c r="Q24" s="12">
        <f>'FS Budapest'!AB27</f>
        <v>3</v>
      </c>
      <c r="R24" s="12">
        <f>'FS Budapest'!AE27</f>
        <v>0</v>
      </c>
      <c r="S24" s="12">
        <f>'FS Budapest'!AF27</f>
        <v>0</v>
      </c>
      <c r="T24" s="12">
        <f>IF(('FS Budapest'!AK27-'FS Budapest'!AK26)&lt;0,"0",('FS Budapest'!AK27-'FS Budapest'!AK26))</f>
        <v>1619</v>
      </c>
      <c r="U24" s="12">
        <f>IF(('FS Budapest'!AM27-'FS Budapest'!AM26)&lt;0,"0",('FS Budapest'!AM27-'FS Budapest'!AM26))</f>
        <v>30</v>
      </c>
      <c r="V24" s="12">
        <f>IF(('FS Budapest'!AO27-'FS Budapest'!AO26)&lt;0,"0",('FS Budapest'!AO27-'FS Budapest'!AO26))</f>
        <v>0</v>
      </c>
      <c r="W24" s="12">
        <f>IF(('FS Budapest'!AQ27-'FS Budapest'!AQ26)&lt;0,"0",('FS Budapest'!AQ27-'FS Budapest'!AQ26))</f>
        <v>0</v>
      </c>
      <c r="X24" s="12">
        <f>'FS Budapest'!AY27</f>
        <v>0</v>
      </c>
      <c r="Y24" s="12">
        <f>IF(('FS Budapest'!BA27-'FS Budapest'!BA26)&lt;0,"0",('FS Budapest'!BA27-'FS Budapest'!BA26)*4400)</f>
        <v>12319.9999999998</v>
      </c>
      <c r="Z24" s="12">
        <f>'FS Budapest'!BI27</f>
        <v>12319.9999999998</v>
      </c>
      <c r="AA24" s="12">
        <f>'FS Budapest'!BJ27</f>
        <v>12282.9999999998</v>
      </c>
      <c r="AB24" s="12">
        <f>IF(('FS Budapest'!BK27-'FS Budapest'!BK26)&lt;0,"0",('FS Budapest'!BK27-'FS Budapest'!BK26)*100)</f>
        <v>495.9999999999809</v>
      </c>
      <c r="AC24" s="12">
        <f>'FS Budapest'!BM27</f>
        <v>12815.999999999782</v>
      </c>
      <c r="AD24" s="12">
        <f>IF(('FS Budapest'!BP27-'FS Budapest'!BP26)&lt;0,"0",('FS Budapest'!BP27-'FS Budapest'!BP26))</f>
        <v>21</v>
      </c>
      <c r="AE24" s="12">
        <f>IF(('FS Budapest'!BR27-'FS Budapest'!BR26)&lt;0,"0",('FS Budapest'!BR27-'FS Budapest'!BR26))</f>
        <v>16</v>
      </c>
      <c r="AF24" s="12">
        <f>'FS Budapest'!BU27</f>
        <v>15</v>
      </c>
      <c r="AG24" s="12">
        <f>'FS Budapest'!BV27</f>
        <v>23</v>
      </c>
    </row>
    <row r="25" spans="1:33" s="16" customFormat="1">
      <c r="A25" s="12" t="s">
        <v>12</v>
      </c>
      <c r="B25" s="15">
        <f t="shared" si="0"/>
        <v>24</v>
      </c>
      <c r="C25" s="3">
        <v>10</v>
      </c>
      <c r="D25" s="12">
        <v>2020</v>
      </c>
      <c r="E25" s="12">
        <f>IF(('FS Budapest'!C28-'FS Budapest'!C27)&lt;0,"0",('FS Budapest'!C28-'FS Budapest'!C27))</f>
        <v>0</v>
      </c>
      <c r="F25" s="12">
        <f>IF(('FS Budapest'!D28-'FS Budapest'!D27)&lt;0,"0",('FS Budapest'!D28-'FS Budapest'!D27))</f>
        <v>25</v>
      </c>
      <c r="G25" s="12">
        <f>IF(('FS Budapest'!E28-'FS Budapest'!Y28)&lt;0,"0",('FS Budapest'!E28-'FS Budapest'!Y28))</f>
        <v>16</v>
      </c>
      <c r="H25" s="12">
        <f>IF(('FS Budapest'!H28-'FS Budapest'!H27)&lt;0,"0",('FS Budapest'!H28-'FS Budapest'!H27))</f>
        <v>60</v>
      </c>
      <c r="I25" s="12">
        <f>IF(('FS Budapest'!I28-'FS Budapest'!I27)&lt;0,"0",('FS Budapest'!I28-'FS Budapest'!I27))</f>
        <v>3</v>
      </c>
      <c r="J25" s="12">
        <f>IF(('FS Budapest'!K28-'FS Budapest'!K27)&lt;0,"0",('FS Budapest'!K28-'FS Budapest'!K27))</f>
        <v>4</v>
      </c>
      <c r="K25" s="12">
        <f>IF(('FS Budapest'!M28-'FS Budapest'!M27)&lt;0,"0",('FS Budapest'!M28-'FS Budapest'!M27))</f>
        <v>6</v>
      </c>
      <c r="L25" s="12">
        <f>IF(('FS Budapest'!O28-'FS Budapest'!O27)&lt;0,"0",('FS Budapest'!O28-'FS Budapest'!O27))</f>
        <v>2</v>
      </c>
      <c r="M25" s="12">
        <f>IF(('FS Budapest'!Q28-'FS Budapest'!Q27)&lt;0,"0",('FS Budapest'!Q28-'FS Budapest'!Q27))</f>
        <v>1</v>
      </c>
      <c r="N25" s="12">
        <f>IF(('FS Budapest'!S28-'FS Budapest'!S27)&lt;0,"0",('FS Budapest'!S28-'FS Budapest'!S27))</f>
        <v>0</v>
      </c>
      <c r="O25" s="12">
        <f>IF(('FS Budapest'!V28-'FS Budapest'!V27)&lt;0,"0",('FS Budapest'!V28-'FS Budapest'!V27))</f>
        <v>0</v>
      </c>
      <c r="P25" s="12">
        <f>IF(('FS Budapest'!X28-'FS Budapest'!X27)&lt;0,"0",('FS Budapest'!X28-'FS Budapest'!X27))</f>
        <v>9</v>
      </c>
      <c r="Q25" s="12">
        <f>'FS Budapest'!AB28</f>
        <v>2</v>
      </c>
      <c r="R25" s="12">
        <f>'FS Budapest'!AE28</f>
        <v>2</v>
      </c>
      <c r="S25" s="12">
        <f>'FS Budapest'!AF28</f>
        <v>1</v>
      </c>
      <c r="T25" s="12">
        <f>IF(('FS Budapest'!AK28-'FS Budapest'!AK27)&lt;0,"0",('FS Budapest'!AK28-'FS Budapest'!AK27))</f>
        <v>1614</v>
      </c>
      <c r="U25" s="12">
        <f>IF(('FS Budapest'!AM28-'FS Budapest'!AM27)&lt;0,"0",('FS Budapest'!AM28-'FS Budapest'!AM27))</f>
        <v>36</v>
      </c>
      <c r="V25" s="12">
        <f>IF(('FS Budapest'!AO28-'FS Budapest'!AO27)&lt;0,"0",('FS Budapest'!AO28-'FS Budapest'!AO27))</f>
        <v>0</v>
      </c>
      <c r="W25" s="12">
        <f>IF(('FS Budapest'!AQ28-'FS Budapest'!AQ27)&lt;0,"0",('FS Budapest'!AQ28-'FS Budapest'!AQ27))</f>
        <v>0</v>
      </c>
      <c r="X25" s="12">
        <f>'FS Budapest'!AY28</f>
        <v>0</v>
      </c>
      <c r="Y25" s="12">
        <f>IF(('FS Budapest'!BA28-'FS Budapest'!BA27)&lt;0,"0",('FS Budapest'!BA28-'FS Budapest'!BA27)*4400)</f>
        <v>12584.00000000006</v>
      </c>
      <c r="Z25" s="12">
        <f>'FS Budapest'!BI28</f>
        <v>12584.00000000006</v>
      </c>
      <c r="AA25" s="12">
        <f>'FS Budapest'!BJ28</f>
        <v>12550.00000000006</v>
      </c>
      <c r="AB25" s="12">
        <f>IF(('FS Budapest'!BK28-'FS Budapest'!BK27)&lt;0,"0",('FS Budapest'!BK28-'FS Budapest'!BK27)*100)</f>
        <v>615.00000000000909</v>
      </c>
      <c r="AC25" s="12">
        <f>'FS Budapest'!BM28</f>
        <v>13199.000000000069</v>
      </c>
      <c r="AD25" s="12">
        <f>IF(('FS Budapest'!BP28-'FS Budapest'!BP27)&lt;0,"0",('FS Budapest'!BP28-'FS Budapest'!BP27))</f>
        <v>21</v>
      </c>
      <c r="AE25" s="12">
        <f>IF(('FS Budapest'!BR28-'FS Budapest'!BR27)&lt;0,"0",('FS Budapest'!BR28-'FS Budapest'!BR27))</f>
        <v>13</v>
      </c>
      <c r="AF25" s="12">
        <f>'FS Budapest'!BU28</f>
        <v>18</v>
      </c>
      <c r="AG25" s="12">
        <f>'FS Budapest'!BV28</f>
        <v>29</v>
      </c>
    </row>
    <row r="26" spans="1:33" s="16" customFormat="1">
      <c r="A26" s="12" t="s">
        <v>12</v>
      </c>
      <c r="B26" s="15">
        <f>B25+1</f>
        <v>25</v>
      </c>
      <c r="C26" s="3">
        <v>10</v>
      </c>
      <c r="D26" s="12">
        <v>2020</v>
      </c>
      <c r="E26" s="12">
        <f>IF(('FS Budapest'!C29-'FS Budapest'!C28)&lt;0,"0",('FS Budapest'!C29-'FS Budapest'!C28))</f>
        <v>0</v>
      </c>
      <c r="F26" s="12">
        <f>IF(('FS Budapest'!D29-'FS Budapest'!D28)&lt;0,"0",('FS Budapest'!D29-'FS Budapest'!D28))</f>
        <v>20</v>
      </c>
      <c r="G26" s="12">
        <f>IF(('FS Budapest'!E29-'FS Budapest'!Y29)&lt;0,"0",('FS Budapest'!E29-'FS Budapest'!Y29))</f>
        <v>13</v>
      </c>
      <c r="H26" s="12">
        <f>IF(('FS Budapest'!H29-'FS Budapest'!H28)&lt;0,"0",('FS Budapest'!H29-'FS Budapest'!H28))</f>
        <v>52</v>
      </c>
      <c r="I26" s="12">
        <f>IF(('FS Budapest'!I29-'FS Budapest'!I28)&lt;0,"0",('FS Budapest'!I29-'FS Budapest'!I28))</f>
        <v>3</v>
      </c>
      <c r="J26" s="12">
        <f>IF(('FS Budapest'!K29-'FS Budapest'!K28)&lt;0,"0",('FS Budapest'!K29-'FS Budapest'!K28))</f>
        <v>3</v>
      </c>
      <c r="K26" s="12">
        <f>IF(('FS Budapest'!M29-'FS Budapest'!M28)&lt;0,"0",('FS Budapest'!M29-'FS Budapest'!M28))</f>
        <v>5</v>
      </c>
      <c r="L26" s="12">
        <f>IF(('FS Budapest'!O29-'FS Budapest'!O28)&lt;0,"0",('FS Budapest'!O29-'FS Budapest'!O28))</f>
        <v>2</v>
      </c>
      <c r="M26" s="12">
        <f>IF(('FS Budapest'!Q29-'FS Budapest'!Q28)&lt;0,"0",('FS Budapest'!Q29-'FS Budapest'!Q28))</f>
        <v>0</v>
      </c>
      <c r="N26" s="12">
        <f>IF(('FS Budapest'!S29-'FS Budapest'!S28)&lt;0,"0",('FS Budapest'!S29-'FS Budapest'!S28))</f>
        <v>0</v>
      </c>
      <c r="O26" s="12">
        <f>IF(('FS Budapest'!V29-'FS Budapest'!V28)&lt;0,"0",('FS Budapest'!V29-'FS Budapest'!V28))</f>
        <v>0</v>
      </c>
      <c r="P26" s="12">
        <f>IF(('FS Budapest'!X29-'FS Budapest'!X28)&lt;0,"0",('FS Budapest'!X29-'FS Budapest'!X28))</f>
        <v>7</v>
      </c>
      <c r="Q26" s="12">
        <f>'FS Budapest'!AB29</f>
        <v>3</v>
      </c>
      <c r="R26" s="12">
        <f>'FS Budapest'!AE29</f>
        <v>1</v>
      </c>
      <c r="S26" s="12">
        <f>'FS Budapest'!AF29</f>
        <v>0</v>
      </c>
      <c r="T26" s="12">
        <f>IF(('FS Budapest'!AK29-'FS Budapest'!AK28)&lt;0,"0",('FS Budapest'!AK29-'FS Budapest'!AK28))</f>
        <v>1420</v>
      </c>
      <c r="U26" s="12">
        <f>IF(('FS Budapest'!AM29-'FS Budapest'!AM28)&lt;0,"0",('FS Budapest'!AM29-'FS Budapest'!AM28))</f>
        <v>36</v>
      </c>
      <c r="V26" s="12">
        <f>IF(('FS Budapest'!AO29-'FS Budapest'!AO28)&lt;0,"0",('FS Budapest'!AO29-'FS Budapest'!AO28))</f>
        <v>0</v>
      </c>
      <c r="W26" s="12">
        <f>IF(('FS Budapest'!AQ29-'FS Budapest'!AQ28)&lt;0,"0",('FS Budapest'!AQ29-'FS Budapest'!AQ28))</f>
        <v>0</v>
      </c>
      <c r="X26" s="12">
        <f>'FS Budapest'!AY29</f>
        <v>0</v>
      </c>
      <c r="Y26" s="12">
        <f>IF(('FS Budapest'!BA29-'FS Budapest'!BA28)&lt;0,"0",('FS Budapest'!BA29-'FS Budapest'!BA28)*4400)</f>
        <v>12056.00000000004</v>
      </c>
      <c r="Z26" s="12">
        <f>'FS Budapest'!BI29</f>
        <v>12056.00000000004</v>
      </c>
      <c r="AA26" s="12">
        <f>'FS Budapest'!BJ29</f>
        <v>12025.00000000004</v>
      </c>
      <c r="AB26" s="12">
        <f>IF(('FS Budapest'!BK29-'FS Budapest'!BK28)&lt;0,"0",('FS Budapest'!BK29-'FS Budapest'!BK28)*100)</f>
        <v>550</v>
      </c>
      <c r="AC26" s="12">
        <f>'FS Budapest'!BM29</f>
        <v>12606.00000000004</v>
      </c>
      <c r="AD26" s="12">
        <f>IF(('FS Budapest'!BP29-'FS Budapest'!BP28)&lt;0,"0",('FS Budapest'!BP29-'FS Budapest'!BP28))</f>
        <v>20</v>
      </c>
      <c r="AE26" s="12">
        <f>IF(('FS Budapest'!BR29-'FS Budapest'!BR28)&lt;0,"0",('FS Budapest'!BR29-'FS Budapest'!BR28))</f>
        <v>11</v>
      </c>
      <c r="AF26" s="12">
        <f>'FS Budapest'!BU29</f>
        <v>14</v>
      </c>
      <c r="AG26" s="12">
        <f>'FS Budapest'!BV29</f>
        <v>18</v>
      </c>
    </row>
    <row r="27" spans="1:33" s="16" customFormat="1">
      <c r="A27" s="12" t="s">
        <v>12</v>
      </c>
      <c r="B27" s="15">
        <f t="shared" si="0"/>
        <v>26</v>
      </c>
      <c r="C27" s="3">
        <v>10</v>
      </c>
      <c r="D27" s="12">
        <v>2020</v>
      </c>
      <c r="E27" s="12">
        <f>IF(('FS Budapest'!C30-'FS Budapest'!C29)&lt;0,"0",('FS Budapest'!C30-'FS Budapest'!C29))</f>
        <v>0</v>
      </c>
      <c r="F27" s="12">
        <f>IF(('FS Budapest'!D30-'FS Budapest'!D29)&lt;0,"0",('FS Budapest'!D30-'FS Budapest'!D29))</f>
        <v>17</v>
      </c>
      <c r="G27" s="12">
        <f>IF(('FS Budapest'!E30-'FS Budapest'!Y30)&lt;0,"0",('FS Budapest'!E30-'FS Budapest'!Y30))</f>
        <v>12</v>
      </c>
      <c r="H27" s="12">
        <f>IF(('FS Budapest'!H30-'FS Budapest'!H29)&lt;0,"0",('FS Budapest'!H30-'FS Budapest'!H29))</f>
        <v>39</v>
      </c>
      <c r="I27" s="12">
        <f>IF(('FS Budapest'!I30-'FS Budapest'!I29)&lt;0,"0",('FS Budapest'!I30-'FS Budapest'!I29))</f>
        <v>3</v>
      </c>
      <c r="J27" s="12">
        <f>IF(('FS Budapest'!K30-'FS Budapest'!K29)&lt;0,"0",('FS Budapest'!K30-'FS Budapest'!K29))</f>
        <v>3</v>
      </c>
      <c r="K27" s="12">
        <f>IF(('FS Budapest'!M30-'FS Budapest'!M29)&lt;0,"0",('FS Budapest'!M30-'FS Budapest'!M29))</f>
        <v>5</v>
      </c>
      <c r="L27" s="12">
        <f>IF(('FS Budapest'!O30-'FS Budapest'!O29)&lt;0,"0",('FS Budapest'!O30-'FS Budapest'!O29))</f>
        <v>1</v>
      </c>
      <c r="M27" s="12">
        <f>IF(('FS Budapest'!Q30-'FS Budapest'!Q29)&lt;0,"0",('FS Budapest'!Q30-'FS Budapest'!Q29))</f>
        <v>1</v>
      </c>
      <c r="N27" s="12">
        <f>IF(('FS Budapest'!S30-'FS Budapest'!S29)&lt;0,"0",('FS Budapest'!S30-'FS Budapest'!S29))</f>
        <v>0</v>
      </c>
      <c r="O27" s="12">
        <f>IF(('FS Budapest'!V30-'FS Budapest'!V29)&lt;0,"0",('FS Budapest'!V30-'FS Budapest'!V29))</f>
        <v>1</v>
      </c>
      <c r="P27" s="12">
        <f>IF(('FS Budapest'!X30-'FS Budapest'!X29)&lt;0,"0",('FS Budapest'!X30-'FS Budapest'!X29))</f>
        <v>5</v>
      </c>
      <c r="Q27" s="12">
        <f>'FS Budapest'!AB30</f>
        <v>2</v>
      </c>
      <c r="R27" s="12">
        <f>'FS Budapest'!AE30</f>
        <v>0</v>
      </c>
      <c r="S27" s="12">
        <f>'FS Budapest'!AF30</f>
        <v>2</v>
      </c>
      <c r="T27" s="12">
        <f>IF(('FS Budapest'!AK30-'FS Budapest'!AK29)&lt;0,"0",('FS Budapest'!AK30-'FS Budapest'!AK29))</f>
        <v>891</v>
      </c>
      <c r="U27" s="12">
        <f>IF(('FS Budapest'!AM30-'FS Budapest'!AM29)&lt;0,"0",('FS Budapest'!AM30-'FS Budapest'!AM29))</f>
        <v>22</v>
      </c>
      <c r="V27" s="12">
        <f>IF(('FS Budapest'!AO30-'FS Budapest'!AO29)&lt;0,"0",('FS Budapest'!AO30-'FS Budapest'!AO29))</f>
        <v>0</v>
      </c>
      <c r="W27" s="12">
        <f>IF(('FS Budapest'!AQ30-'FS Budapest'!AQ29)&lt;0,"0",('FS Budapest'!AQ30-'FS Budapest'!AQ29))</f>
        <v>0</v>
      </c>
      <c r="X27" s="12">
        <f>'FS Budapest'!AY30</f>
        <v>0</v>
      </c>
      <c r="Y27" s="12">
        <f>IF(('FS Budapest'!BA30-'FS Budapest'!BA29)&lt;0,"0",('FS Budapest'!BA30-'FS Budapest'!BA29)*4400)</f>
        <v>10912.00000000008</v>
      </c>
      <c r="Z27" s="12">
        <f>'FS Budapest'!BI30</f>
        <v>10912.00000000008</v>
      </c>
      <c r="AA27" s="12">
        <f>'FS Budapest'!BJ30</f>
        <v>10894.00000000008</v>
      </c>
      <c r="AB27" s="12">
        <f>IF(('FS Budapest'!BK30-'FS Budapest'!BK29)&lt;0,"0",('FS Budapest'!BK30-'FS Budapest'!BK29)*100)</f>
        <v>730.99999999999454</v>
      </c>
      <c r="AC27" s="12">
        <f>'FS Budapest'!BM30</f>
        <v>11643.000000000075</v>
      </c>
      <c r="AD27" s="12">
        <f>IF(('FS Budapest'!BP30-'FS Budapest'!BP29)&lt;0,"0",('FS Budapest'!BP30-'FS Budapest'!BP29))</f>
        <v>11</v>
      </c>
      <c r="AE27" s="12">
        <f>IF(('FS Budapest'!BR30-'FS Budapest'!BR29)&lt;0,"0",('FS Budapest'!BR30-'FS Budapest'!BR29))</f>
        <v>7</v>
      </c>
      <c r="AF27" s="12">
        <f>'FS Budapest'!BU30</f>
        <v>11</v>
      </c>
      <c r="AG27" s="12">
        <f>'FS Budapest'!BV30</f>
        <v>16</v>
      </c>
    </row>
    <row r="28" spans="1:33" s="16" customFormat="1">
      <c r="A28" s="12" t="s">
        <v>12</v>
      </c>
      <c r="B28" s="15">
        <f t="shared" si="0"/>
        <v>27</v>
      </c>
      <c r="C28" s="3">
        <v>10</v>
      </c>
      <c r="D28" s="12">
        <v>2020</v>
      </c>
      <c r="E28" s="12">
        <f>IF(('FS Budapest'!C31-'FS Budapest'!C30)&lt;0,"0",('FS Budapest'!C31-'FS Budapest'!C30))</f>
        <v>0</v>
      </c>
      <c r="F28" s="12">
        <f>IF(('FS Budapest'!D31-'FS Budapest'!D30)&lt;0,"0",('FS Budapest'!D31-'FS Budapest'!D30))</f>
        <v>28</v>
      </c>
      <c r="G28" s="12">
        <f>IF(('FS Budapest'!E31-'FS Budapest'!Y31)&lt;0,"0",('FS Budapest'!E31-'FS Budapest'!Y31))</f>
        <v>12</v>
      </c>
      <c r="H28" s="12">
        <f>IF(('FS Budapest'!H31-'FS Budapest'!H30)&lt;0,"0",('FS Budapest'!H31-'FS Budapest'!H30))</f>
        <v>87</v>
      </c>
      <c r="I28" s="12">
        <f>IF(('FS Budapest'!I31-'FS Budapest'!I30)&lt;0,"0",('FS Budapest'!I31-'FS Budapest'!I30))</f>
        <v>22</v>
      </c>
      <c r="J28" s="12">
        <f>IF(('FS Budapest'!K31-'FS Budapest'!K30)&lt;0,"0",('FS Budapest'!K31-'FS Budapest'!K30))</f>
        <v>3</v>
      </c>
      <c r="K28" s="12">
        <f>IF(('FS Budapest'!M31-'FS Budapest'!M30)&lt;0,"0",('FS Budapest'!M31-'FS Budapest'!M30))</f>
        <v>3</v>
      </c>
      <c r="L28" s="12">
        <f>IF(('FS Budapest'!O31-'FS Budapest'!O30)&lt;0,"0",('FS Budapest'!O31-'FS Budapest'!O30))</f>
        <v>3</v>
      </c>
      <c r="M28" s="12">
        <f>IF(('FS Budapest'!Q31-'FS Budapest'!Q30)&lt;0,"0",('FS Budapest'!Q31-'FS Budapest'!Q30))</f>
        <v>9</v>
      </c>
      <c r="N28" s="12">
        <f>IF(('FS Budapest'!S31-'FS Budapest'!S30)&lt;0,"0",('FS Budapest'!S31-'FS Budapest'!S30))</f>
        <v>0</v>
      </c>
      <c r="O28" s="12">
        <f>IF(('FS Budapest'!V31-'FS Budapest'!V30)&lt;0,"0",('FS Budapest'!V31-'FS Budapest'!V30))</f>
        <v>6</v>
      </c>
      <c r="P28" s="12">
        <f>IF(('FS Budapest'!X31-'FS Budapest'!X30)&lt;0,"0",('FS Budapest'!X31-'FS Budapest'!X30))</f>
        <v>16</v>
      </c>
      <c r="Q28" s="12">
        <f>'FS Budapest'!AB31</f>
        <v>3</v>
      </c>
      <c r="R28" s="12">
        <f>'FS Budapest'!AE31</f>
        <v>4</v>
      </c>
      <c r="S28" s="12">
        <f>'FS Budapest'!AF31</f>
        <v>15</v>
      </c>
      <c r="T28" s="12">
        <f>IF(('FS Budapest'!AK31-'FS Budapest'!AK30)&lt;0,"0",('FS Budapest'!AK31-'FS Budapest'!AK30))</f>
        <v>1541</v>
      </c>
      <c r="U28" s="12">
        <f>IF(('FS Budapest'!AM31-'FS Budapest'!AM30)&lt;0,"0",('FS Budapest'!AM31-'FS Budapest'!AM30))</f>
        <v>31</v>
      </c>
      <c r="V28" s="12">
        <f>IF(('FS Budapest'!AO31-'FS Budapest'!AO30)&lt;0,"0",('FS Budapest'!AO31-'FS Budapest'!AO30))</f>
        <v>0</v>
      </c>
      <c r="W28" s="12">
        <f>IF(('FS Budapest'!AQ31-'FS Budapest'!AQ30)&lt;0,"0",('FS Budapest'!AQ31-'FS Budapest'!AQ30))</f>
        <v>629</v>
      </c>
      <c r="X28" s="12">
        <f>'FS Budapest'!AY31</f>
        <v>0</v>
      </c>
      <c r="Y28" s="12">
        <f>IF(('FS Budapest'!BA31-'FS Budapest'!BA30)&lt;0,"0",('FS Budapest'!BA31-'FS Budapest'!BA30)*4400)</f>
        <v>8712.00000000008</v>
      </c>
      <c r="Z28" s="12">
        <f>'FS Budapest'!BI31</f>
        <v>8712.00000000008</v>
      </c>
      <c r="AA28" s="12">
        <f>'FS Budapest'!BJ31</f>
        <v>8680.00000000008</v>
      </c>
      <c r="AB28" s="12">
        <f>IF(('FS Budapest'!BK31-'FS Budapest'!BK30)&lt;0,"0",('FS Budapest'!BK31-'FS Budapest'!BK30)*100)</f>
        <v>293.00000000000637</v>
      </c>
      <c r="AC28" s="12">
        <f>'FS Budapest'!BM31</f>
        <v>9005.0000000000873</v>
      </c>
      <c r="AD28" s="12">
        <f>IF(('FS Budapest'!BP31-'FS Budapest'!BP30)&lt;0,"0",('FS Budapest'!BP31-'FS Budapest'!BP30))</f>
        <v>20</v>
      </c>
      <c r="AE28" s="12">
        <f>IF(('FS Budapest'!BR31-'FS Budapest'!BR30)&lt;0,"0",('FS Budapest'!BR31-'FS Budapest'!BR30))</f>
        <v>12</v>
      </c>
      <c r="AF28" s="12">
        <f>'FS Budapest'!BU31</f>
        <v>14</v>
      </c>
      <c r="AG28" s="12">
        <f>'FS Budapest'!BV31</f>
        <v>20</v>
      </c>
    </row>
    <row r="29" spans="1:33" s="16" customFormat="1">
      <c r="A29" s="12" t="s">
        <v>12</v>
      </c>
      <c r="B29" s="15">
        <f t="shared" si="0"/>
        <v>28</v>
      </c>
      <c r="C29" s="3">
        <v>10</v>
      </c>
      <c r="D29" s="12">
        <v>2020</v>
      </c>
      <c r="E29" s="12">
        <f>IF(('FS Budapest'!C32-'FS Budapest'!C31)&lt;0,"0",('FS Budapest'!C32-'FS Budapest'!C31))</f>
        <v>0</v>
      </c>
      <c r="F29" s="12">
        <f>IF(('FS Budapest'!D32-'FS Budapest'!D31)&lt;0,"0",('FS Budapest'!D32-'FS Budapest'!D31))</f>
        <v>41</v>
      </c>
      <c r="G29" s="12">
        <f>IF(('FS Budapest'!E32-'FS Budapest'!Y32)&lt;0,"0",('FS Budapest'!E32-'FS Budapest'!Y32))</f>
        <v>34</v>
      </c>
      <c r="H29" s="12">
        <f>IF(('FS Budapest'!H32-'FS Budapest'!H31)&lt;0,"0",('FS Budapest'!H32-'FS Budapest'!H31))</f>
        <v>107</v>
      </c>
      <c r="I29" s="12">
        <f>IF(('FS Budapest'!I32-'FS Budapest'!I31)&lt;0,"0",('FS Budapest'!I32-'FS Budapest'!I31))</f>
        <v>15</v>
      </c>
      <c r="J29" s="12">
        <f>IF(('FS Budapest'!K32-'FS Budapest'!K31)&lt;0,"0",('FS Budapest'!K32-'FS Budapest'!K31))</f>
        <v>5</v>
      </c>
      <c r="K29" s="12">
        <f>IF(('FS Budapest'!M32-'FS Budapest'!M31)&lt;0,"0",('FS Budapest'!M32-'FS Budapest'!M31))</f>
        <v>8</v>
      </c>
      <c r="L29" s="12">
        <f>IF(('FS Budapest'!O32-'FS Budapest'!O31)&lt;0,"0",('FS Budapest'!O32-'FS Budapest'!O31))</f>
        <v>2</v>
      </c>
      <c r="M29" s="12">
        <f>IF(('FS Budapest'!Q32-'FS Budapest'!Q31)&lt;0,"0",('FS Budapest'!Q32-'FS Budapest'!Q31))</f>
        <v>3</v>
      </c>
      <c r="N29" s="12">
        <f>IF(('FS Budapest'!S32-'FS Budapest'!S31)&lt;0,"0",('FS Budapest'!S32-'FS Budapest'!S31))</f>
        <v>0</v>
      </c>
      <c r="O29" s="12">
        <f>IF(('FS Budapest'!V32-'FS Budapest'!V31)&lt;0,"0",('FS Budapest'!V32-'FS Budapest'!V31))</f>
        <v>7</v>
      </c>
      <c r="P29" s="12">
        <f>IF(('FS Budapest'!X32-'FS Budapest'!X31)&lt;0,"0",('FS Budapest'!X32-'FS Budapest'!X31))</f>
        <v>7</v>
      </c>
      <c r="Q29" s="12">
        <f>'FS Budapest'!AB32</f>
        <v>2</v>
      </c>
      <c r="R29" s="12">
        <f>'FS Budapest'!AE32</f>
        <v>2</v>
      </c>
      <c r="S29" s="12">
        <f>'FS Budapest'!AF32</f>
        <v>10</v>
      </c>
      <c r="T29" s="12">
        <f>IF(('FS Budapest'!AK32-'FS Budapest'!AK31)&lt;0,"0",('FS Budapest'!AK32-'FS Budapest'!AK31))</f>
        <v>2096</v>
      </c>
      <c r="U29" s="12">
        <f>IF(('FS Budapest'!AM32-'FS Budapest'!AM31)&lt;0,"0",('FS Budapest'!AM32-'FS Budapest'!AM31))</f>
        <v>31</v>
      </c>
      <c r="V29" s="12">
        <f>IF(('FS Budapest'!AO32-'FS Budapest'!AO31)&lt;0,"0",('FS Budapest'!AO32-'FS Budapest'!AO31))</f>
        <v>50</v>
      </c>
      <c r="W29" s="12">
        <f>IF(('FS Budapest'!AQ32-'FS Budapest'!AQ31)&lt;0,"0",('FS Budapest'!AQ32-'FS Budapest'!AQ31))</f>
        <v>544</v>
      </c>
      <c r="X29" s="12">
        <f>'FS Budapest'!AY32</f>
        <v>0</v>
      </c>
      <c r="Y29" s="12">
        <f>IF(('FS Budapest'!BA32-'FS Budapest'!BA31)&lt;0,"0",('FS Budapest'!BA32-'FS Budapest'!BA31)*4400)</f>
        <v>16279.9999999997</v>
      </c>
      <c r="Z29" s="12">
        <f>'FS Budapest'!BI32</f>
        <v>16279.9999999997</v>
      </c>
      <c r="AA29" s="12">
        <f>'FS Budapest'!BJ32</f>
        <v>16231.9999999997</v>
      </c>
      <c r="AB29" s="12">
        <f>IF(('FS Budapest'!BK32-'FS Budapest'!BK31)&lt;0,"0",('FS Budapest'!BK32-'FS Budapest'!BK31)*100)</f>
        <v>848.00000000000182</v>
      </c>
      <c r="AC29" s="12">
        <f>'FS Budapest'!BM32</f>
        <v>17127.999999999702</v>
      </c>
      <c r="AD29" s="12">
        <f>IF(('FS Budapest'!BP32-'FS Budapest'!BP31)&lt;0,"0",('FS Budapest'!BP32-'FS Budapest'!BP31))</f>
        <v>27</v>
      </c>
      <c r="AE29" s="12">
        <f>IF(('FS Budapest'!BR32-'FS Budapest'!BR31)&lt;0,"0",('FS Budapest'!BR32-'FS Budapest'!BR31))</f>
        <v>21</v>
      </c>
      <c r="AF29" s="12">
        <f>'FS Budapest'!BU32</f>
        <v>14</v>
      </c>
      <c r="AG29" s="12">
        <f>'FS Budapest'!BV32</f>
        <v>20</v>
      </c>
    </row>
    <row r="30" spans="1:33" s="16" customFormat="1">
      <c r="A30" s="12" t="s">
        <v>12</v>
      </c>
      <c r="B30" s="15">
        <f t="shared" si="0"/>
        <v>29</v>
      </c>
      <c r="C30" s="3">
        <v>10</v>
      </c>
      <c r="D30" s="12">
        <v>2020</v>
      </c>
      <c r="E30" s="12">
        <f>IF(('FS Budapest'!C33-'FS Budapest'!C32)&lt;0,"0",('FS Budapest'!C33-'FS Budapest'!C32))</f>
        <v>0</v>
      </c>
      <c r="F30" s="12">
        <f>IF(('FS Budapest'!D33-'FS Budapest'!D32)&lt;0,"0",('FS Budapest'!D33-'FS Budapest'!D32))</f>
        <v>17</v>
      </c>
      <c r="G30" s="12">
        <f>IF(('FS Budapest'!E33-'FS Budapest'!Y33)&lt;0,"0",('FS Budapest'!E33-'FS Budapest'!Y33))</f>
        <v>6</v>
      </c>
      <c r="H30" s="12">
        <f>IF(('FS Budapest'!H33-'FS Budapest'!H32)&lt;0,"0",('FS Budapest'!H33-'FS Budapest'!H32))</f>
        <v>97</v>
      </c>
      <c r="I30" s="12">
        <f>IF(('FS Budapest'!I33-'FS Budapest'!I32)&lt;0,"0",('FS Budapest'!I33-'FS Budapest'!I32))</f>
        <v>3</v>
      </c>
      <c r="J30" s="12">
        <f>IF(('FS Budapest'!K33-'FS Budapest'!K32)&lt;0,"0",('FS Budapest'!K33-'FS Budapest'!K32))</f>
        <v>4</v>
      </c>
      <c r="K30" s="12">
        <f>IF(('FS Budapest'!M33-'FS Budapest'!M32)&lt;0,"0",('FS Budapest'!M33-'FS Budapest'!M32))</f>
        <v>5</v>
      </c>
      <c r="L30" s="12">
        <f>IF(('FS Budapest'!O33-'FS Budapest'!O32)&lt;0,"0",('FS Budapest'!O33-'FS Budapest'!O32))</f>
        <v>2</v>
      </c>
      <c r="M30" s="12">
        <f>IF(('FS Budapest'!Q33-'FS Budapest'!Q32)&lt;0,"0",('FS Budapest'!Q33-'FS Budapest'!Q32))</f>
        <v>0</v>
      </c>
      <c r="N30" s="12">
        <f>IF(('FS Budapest'!S33-'FS Budapest'!S32)&lt;0,"0",('FS Budapest'!S33-'FS Budapest'!S32))</f>
        <v>0</v>
      </c>
      <c r="O30" s="12">
        <f>IF(('FS Budapest'!V33-'FS Budapest'!V32)&lt;0,"0",('FS Budapest'!V33-'FS Budapest'!V32))</f>
        <v>0</v>
      </c>
      <c r="P30" s="12">
        <f>IF(('FS Budapest'!X33-'FS Budapest'!X32)&lt;0,"0",('FS Budapest'!X33-'FS Budapest'!X32))</f>
        <v>11</v>
      </c>
      <c r="Q30" s="12">
        <f>'FS Budapest'!AB33</f>
        <v>3</v>
      </c>
      <c r="R30" s="12">
        <f>'FS Budapest'!AE33</f>
        <v>3</v>
      </c>
      <c r="S30" s="12">
        <f>'FS Budapest'!AF33</f>
        <v>0</v>
      </c>
      <c r="T30" s="12">
        <f>IF(('FS Budapest'!AK33-'FS Budapest'!AK32)&lt;0,"0",('FS Budapest'!AK33-'FS Budapest'!AK32))</f>
        <v>1514</v>
      </c>
      <c r="U30" s="12">
        <f>IF(('FS Budapest'!AM33-'FS Budapest'!AM32)&lt;0,"0",('FS Budapest'!AM33-'FS Budapest'!AM32))</f>
        <v>29</v>
      </c>
      <c r="V30" s="12">
        <f>IF(('FS Budapest'!AO33-'FS Budapest'!AO32)&lt;0,"0",('FS Budapest'!AO33-'FS Budapest'!AO32))</f>
        <v>0</v>
      </c>
      <c r="W30" s="12">
        <f>IF(('FS Budapest'!AQ33-'FS Budapest'!AQ32)&lt;0,"0",('FS Budapest'!AQ33-'FS Budapest'!AQ32))</f>
        <v>0</v>
      </c>
      <c r="X30" s="12">
        <f>'FS Budapest'!AY33</f>
        <v>0</v>
      </c>
      <c r="Y30" s="12">
        <f>IF(('FS Budapest'!BA33-'FS Budapest'!BA32)&lt;0,"0",('FS Budapest'!BA33-'FS Budapest'!BA32)*4400)</f>
        <v>12804.00000000036</v>
      </c>
      <c r="Z30" s="12">
        <f>'FS Budapest'!BI33</f>
        <v>12804.00000000036</v>
      </c>
      <c r="AA30" s="12">
        <f>'FS Budapest'!BJ33</f>
        <v>12773.00000000036</v>
      </c>
      <c r="AB30" s="12">
        <f>IF(('FS Budapest'!BK33-'FS Budapest'!BK32)&lt;0,"0",('FS Budapest'!BK33-'FS Budapest'!BK32)*100)</f>
        <v>625</v>
      </c>
      <c r="AC30" s="12">
        <f>'FS Budapest'!BM33</f>
        <v>13429.00000000036</v>
      </c>
      <c r="AD30" s="12">
        <f>IF(('FS Budapest'!BP33-'FS Budapest'!BP32)&lt;0,"0",('FS Budapest'!BP33-'FS Budapest'!BP32))</f>
        <v>19</v>
      </c>
      <c r="AE30" s="12">
        <f>IF(('FS Budapest'!BR33-'FS Budapest'!BR32)&lt;0,"0",('FS Budapest'!BR33-'FS Budapest'!BR32))</f>
        <v>12</v>
      </c>
      <c r="AF30" s="12">
        <f>'FS Budapest'!BU33</f>
        <v>17</v>
      </c>
      <c r="AG30" s="12">
        <f>'FS Budapest'!BV33</f>
        <v>22</v>
      </c>
    </row>
    <row r="31" spans="1:33" s="14" customFormat="1">
      <c r="A31" s="12" t="s">
        <v>12</v>
      </c>
      <c r="B31" s="15">
        <f t="shared" si="0"/>
        <v>30</v>
      </c>
      <c r="C31" s="3">
        <v>10</v>
      </c>
      <c r="D31" s="12">
        <v>2020</v>
      </c>
      <c r="E31" s="12">
        <f>IF(('FS Budapest'!C34-'FS Budapest'!C33)&lt;0,"0",('FS Budapest'!C34-'FS Budapest'!C33))</f>
        <v>0</v>
      </c>
      <c r="F31" s="12">
        <f>IF(('FS Budapest'!D34-'FS Budapest'!D33)&lt;0,"0",('FS Budapest'!D34-'FS Budapest'!D33))</f>
        <v>56</v>
      </c>
      <c r="G31" s="12">
        <f>IF(('FS Budapest'!E34-'FS Budapest'!Y34)&lt;0,"0",('FS Budapest'!E34-'FS Budapest'!Y34))</f>
        <v>27</v>
      </c>
      <c r="H31" s="12">
        <f>IF(('FS Budapest'!H34-'FS Budapest'!H33)&lt;0,"0",('FS Budapest'!H34-'FS Budapest'!H33))</f>
        <v>41</v>
      </c>
      <c r="I31" s="12">
        <f>IF(('FS Budapest'!I34-'FS Budapest'!I33)&lt;0,"0",('FS Budapest'!I34-'FS Budapest'!I33))</f>
        <v>3</v>
      </c>
      <c r="J31" s="12">
        <f>IF(('FS Budapest'!K34-'FS Budapest'!K33)&lt;0,"0",('FS Budapest'!K34-'FS Budapest'!K33))</f>
        <v>6</v>
      </c>
      <c r="K31" s="12">
        <f>IF(('FS Budapest'!M34-'FS Budapest'!M33)&lt;0,"0",('FS Budapest'!M34-'FS Budapest'!M33))</f>
        <v>7</v>
      </c>
      <c r="L31" s="12">
        <f>IF(('FS Budapest'!O34-'FS Budapest'!O33)&lt;0,"0",('FS Budapest'!O34-'FS Budapest'!O33))</f>
        <v>8</v>
      </c>
      <c r="M31" s="12">
        <f>IF(('FS Budapest'!Q34-'FS Budapest'!Q33)&lt;0,"0",('FS Budapest'!Q34-'FS Budapest'!Q33))</f>
        <v>10</v>
      </c>
      <c r="N31" s="12">
        <f>IF(('FS Budapest'!S34-'FS Budapest'!S33)&lt;0,"0",('FS Budapest'!S34-'FS Budapest'!S33))</f>
        <v>0</v>
      </c>
      <c r="O31" s="12">
        <f>IF(('FS Budapest'!V34-'FS Budapest'!V33)&lt;0,"0",('FS Budapest'!V34-'FS Budapest'!V33))</f>
        <v>0</v>
      </c>
      <c r="P31" s="12">
        <f>IF(('FS Budapest'!X34-'FS Budapest'!X33)&lt;0,"0",('FS Budapest'!X34-'FS Budapest'!X33))</f>
        <v>29</v>
      </c>
      <c r="Q31" s="12">
        <f>'FS Budapest'!AB34</f>
        <v>1</v>
      </c>
      <c r="R31" s="12">
        <f>'FS Budapest'!AE34</f>
        <v>1</v>
      </c>
      <c r="S31" s="12">
        <f>'FS Budapest'!AF34</f>
        <v>10</v>
      </c>
      <c r="T31" s="12">
        <f>IF(('FS Budapest'!AK34-'FS Budapest'!AK33)&lt;0,"0",('FS Budapest'!AK34-'FS Budapest'!AK33))</f>
        <v>1409</v>
      </c>
      <c r="U31" s="12">
        <f>IF(('FS Budapest'!AM34-'FS Budapest'!AM33)&lt;0,"0",('FS Budapest'!AM34-'FS Budapest'!AM33))</f>
        <v>31</v>
      </c>
      <c r="V31" s="12">
        <f>IF(('FS Budapest'!AO34-'FS Budapest'!AO33)&lt;0,"0",('FS Budapest'!AO34-'FS Budapest'!AO33))</f>
        <v>0</v>
      </c>
      <c r="W31" s="12">
        <f>IF(('FS Budapest'!AQ34-'FS Budapest'!AQ33)&lt;0,"0",('FS Budapest'!AQ34-'FS Budapest'!AQ33))</f>
        <v>0</v>
      </c>
      <c r="X31" s="12">
        <f>'FS Budapest'!AY34</f>
        <v>0</v>
      </c>
      <c r="Y31" s="12">
        <f>IF(('FS Budapest'!BA34-'FS Budapest'!BA33)&lt;0,"0",('FS Budapest'!BA34-'FS Budapest'!BA33)*4400)</f>
        <v>13331.99999999988</v>
      </c>
      <c r="Z31" s="12">
        <f>'FS Budapest'!BI34</f>
        <v>13331.99999999988</v>
      </c>
      <c r="AA31" s="12">
        <f>'FS Budapest'!BJ34</f>
        <v>13297.99999999988</v>
      </c>
      <c r="AB31" s="12">
        <f>IF(('FS Budapest'!BK34-'FS Budapest'!BK33)&lt;0,"0",('FS Budapest'!BK34-'FS Budapest'!BK33)*100)</f>
        <v>659.99999999999091</v>
      </c>
      <c r="AC31" s="12">
        <f>'FS Budapest'!BM34</f>
        <v>13991.999999999871</v>
      </c>
      <c r="AD31" s="12">
        <f>IF(('FS Budapest'!BP34-'FS Budapest'!BP33)&lt;0,"0",('FS Budapest'!BP34-'FS Budapest'!BP33))</f>
        <v>20</v>
      </c>
      <c r="AE31" s="12">
        <f>IF(('FS Budapest'!BR34-'FS Budapest'!BR33)&lt;0,"0",('FS Budapest'!BR34-'FS Budapest'!BR33))</f>
        <v>14</v>
      </c>
      <c r="AF31" s="12">
        <f>'FS Budapest'!BU34</f>
        <v>8</v>
      </c>
      <c r="AG31" s="12">
        <f>'FS Budapest'!BV34</f>
        <v>10</v>
      </c>
    </row>
    <row r="32" spans="1:33">
      <c r="A32" s="12" t="s">
        <v>12</v>
      </c>
      <c r="B32" s="15">
        <f t="shared" si="0"/>
        <v>31</v>
      </c>
      <c r="C32" s="3">
        <v>10</v>
      </c>
      <c r="D32" s="12">
        <v>2020</v>
      </c>
      <c r="E32" s="12">
        <f>IF(('FS Budapest'!C35-'FS Budapest'!C34)&lt;0,"0",('FS Budapest'!C35-'FS Budapest'!C34))</f>
        <v>0</v>
      </c>
      <c r="F32" s="12">
        <f>IF(('FS Budapest'!D35-'FS Budapest'!D34)&lt;0,"0",('FS Budapest'!D35-'FS Budapest'!D34))</f>
        <v>26</v>
      </c>
      <c r="G32" s="12">
        <f>IF(('FS Budapest'!E35-'FS Budapest'!Y35)&lt;0,"0",('FS Budapest'!E35-'FS Budapest'!Y35))</f>
        <v>13</v>
      </c>
      <c r="H32" s="12">
        <f>IF(('FS Budapest'!H35-'FS Budapest'!H34)&lt;0,"0",('FS Budapest'!H35-'FS Budapest'!H34))</f>
        <v>58</v>
      </c>
      <c r="I32" s="12">
        <f>IF(('FS Budapest'!I35-'FS Budapest'!I34)&lt;0,"0",('FS Budapest'!I35-'FS Budapest'!I34))</f>
        <v>3</v>
      </c>
      <c r="J32" s="12">
        <f>IF(('FS Budapest'!K35-'FS Budapest'!K34)&lt;0,"0",('FS Budapest'!K35-'FS Budapest'!K34))</f>
        <v>3</v>
      </c>
      <c r="K32" s="12">
        <f>IF(('FS Budapest'!M35-'FS Budapest'!M34)&lt;0,"0",('FS Budapest'!M35-'FS Budapest'!M34))</f>
        <v>5</v>
      </c>
      <c r="L32" s="12">
        <f>IF(('FS Budapest'!O35-'FS Budapest'!O34)&lt;0,"0",('FS Budapest'!O35-'FS Budapest'!O34))</f>
        <v>1</v>
      </c>
      <c r="M32" s="12">
        <f>IF(('FS Budapest'!Q35-'FS Budapest'!Q34)&lt;0,"0",('FS Budapest'!Q35-'FS Budapest'!Q34))</f>
        <v>0</v>
      </c>
      <c r="N32" s="12">
        <f>IF(('FS Budapest'!S35-'FS Budapest'!S34)&lt;0,"0",('FS Budapest'!S35-'FS Budapest'!S34))</f>
        <v>0</v>
      </c>
      <c r="O32" s="12">
        <f>IF(('FS Budapest'!V35-'FS Budapest'!V34)&lt;0,"0",('FS Budapest'!V35-'FS Budapest'!V34))</f>
        <v>0</v>
      </c>
      <c r="P32" s="12">
        <f>IF(('FS Budapest'!X35-'FS Budapest'!X34)&lt;0,"0",('FS Budapest'!X35-'FS Budapest'!X34))</f>
        <v>13</v>
      </c>
      <c r="Q32" s="12">
        <f>'FS Budapest'!AB35</f>
        <v>1</v>
      </c>
      <c r="R32" s="12">
        <f>'FS Budapest'!AE35</f>
        <v>4</v>
      </c>
      <c r="S32" s="12">
        <f>'FS Budapest'!AF35</f>
        <v>0</v>
      </c>
      <c r="T32" s="12">
        <f>IF(('FS Budapest'!AK35-'FS Budapest'!AK34)&lt;0,"0",('FS Budapest'!AK35-'FS Budapest'!AK34))</f>
        <v>1378</v>
      </c>
      <c r="U32" s="12">
        <f>IF(('FS Budapest'!AM35-'FS Budapest'!AM34)&lt;0,"0",('FS Budapest'!AM35-'FS Budapest'!AM34))</f>
        <v>25</v>
      </c>
      <c r="V32" s="12">
        <f>IF(('FS Budapest'!AO35-'FS Budapest'!AO34)&lt;0,"0",('FS Budapest'!AO35-'FS Budapest'!AO34))</f>
        <v>0</v>
      </c>
      <c r="W32" s="12">
        <f>IF(('FS Budapest'!AQ35-'FS Budapest'!AQ34)&lt;0,"0",('FS Budapest'!AQ35-'FS Budapest'!AQ34))</f>
        <v>0</v>
      </c>
      <c r="X32" s="12">
        <f>'FS Budapest'!AY35</f>
        <v>0</v>
      </c>
      <c r="Y32" s="12">
        <f>IF(('FS Budapest'!BA35-'FS Budapest'!BA34)&lt;0,"0",('FS Budapest'!BA35-'FS Budapest'!BA34)*4400)</f>
        <v>12628.00000000002</v>
      </c>
      <c r="Z32" s="12">
        <f>'FS Budapest'!BI35</f>
        <v>12628.00000000002</v>
      </c>
      <c r="AA32" s="12">
        <f>'FS Budapest'!BJ35</f>
        <v>12613.00000000002</v>
      </c>
      <c r="AB32" s="12">
        <f>IF(('FS Budapest'!BK35-'FS Budapest'!BK34)&lt;0,"0",('FS Budapest'!BK35-'FS Budapest'!BK34)*100)</f>
        <v>567.00000000000728</v>
      </c>
      <c r="AC32" s="12">
        <f>'FS Budapest'!BM35</f>
        <v>13195.000000000027</v>
      </c>
      <c r="AD32" s="12">
        <f>IF(('FS Budapest'!BP35-'FS Budapest'!BP34)&lt;0,"0",('FS Budapest'!BP35-'FS Budapest'!BP34))</f>
        <v>0</v>
      </c>
      <c r="AE32" s="12">
        <f>IF(('FS Budapest'!BR35-'FS Budapest'!BR34)&lt;0,"0",('FS Budapest'!BR35-'FS Budapest'!BR34))</f>
        <v>15</v>
      </c>
      <c r="AF32" s="12">
        <f>'FS Budapest'!BU35</f>
        <v>7</v>
      </c>
      <c r="AG32" s="12">
        <f>'FS Budapest'!BV35</f>
        <v>11</v>
      </c>
    </row>
    <row r="33" spans="4:4">
      <c r="D33" s="12"/>
    </row>
    <row r="34" spans="4:4">
      <c r="D34" s="12"/>
    </row>
    <row r="35" spans="4:4">
      <c r="D35" s="12"/>
    </row>
    <row r="36" spans="4:4">
      <c r="D36" s="12"/>
    </row>
    <row r="37" spans="4:4">
      <c r="D37" s="12"/>
    </row>
    <row r="38" spans="4:4">
      <c r="D38" s="12"/>
    </row>
    <row r="39" spans="4:4">
      <c r="D39" s="12"/>
    </row>
    <row r="40" spans="4:4">
      <c r="D40" s="12"/>
    </row>
    <row r="41" spans="4:4">
      <c r="D41" s="12"/>
    </row>
    <row r="42" spans="4:4">
      <c r="D42" s="12"/>
    </row>
    <row r="43" spans="4:4">
      <c r="D43" s="12"/>
    </row>
    <row r="44" spans="4:4">
      <c r="D44" s="12"/>
    </row>
    <row r="45" spans="4:4">
      <c r="D45" s="12"/>
    </row>
    <row r="46" spans="4:4">
      <c r="D46" s="12"/>
    </row>
    <row r="47" spans="4:4">
      <c r="D47" s="12"/>
    </row>
    <row r="48" spans="4:4">
      <c r="D48" s="12"/>
    </row>
    <row r="49" spans="4:4">
      <c r="D49" s="12"/>
    </row>
    <row r="50" spans="4:4">
      <c r="D50" s="12"/>
    </row>
    <row r="51" spans="4:4">
      <c r="D51" s="12"/>
    </row>
    <row r="52" spans="4:4">
      <c r="D52" s="12"/>
    </row>
    <row r="53" spans="4:4">
      <c r="D53" s="12"/>
    </row>
    <row r="54" spans="4:4">
      <c r="D54" s="12"/>
    </row>
    <row r="55" spans="4:4">
      <c r="D55" s="12"/>
    </row>
    <row r="56" spans="4:4">
      <c r="D56" s="12"/>
    </row>
    <row r="57" spans="4:4">
      <c r="D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EH36"/>
  <sheetViews>
    <sheetView zoomScale="40" zoomScaleNormal="40" workbookViewId="0">
      <selection activeCell="BW18" sqref="BW18"/>
    </sheetView>
  </sheetViews>
  <sheetFormatPr defaultColWidth="9.109375" defaultRowHeight="18"/>
  <cols>
    <col min="1" max="1" width="4.44140625" style="51" customWidth="1"/>
    <col min="2" max="2" width="15" style="18" customWidth="1"/>
    <col min="3" max="3" width="18.88671875" style="18" customWidth="1"/>
    <col min="4" max="4" width="20.109375" style="18" customWidth="1"/>
    <col min="5" max="5" width="20.33203125" style="18" customWidth="1"/>
    <col min="6" max="6" width="28.109375" style="18" customWidth="1"/>
    <col min="7" max="8" width="15" style="18" customWidth="1"/>
    <col min="9" max="10" width="23.5546875" style="18" customWidth="1"/>
    <col min="11" max="11" width="18.109375" style="18" customWidth="1"/>
    <col min="12" max="12" width="24.88671875" style="18" customWidth="1"/>
    <col min="13" max="13" width="17.6640625" style="18" customWidth="1"/>
    <col min="14" max="14" width="6" style="52" customWidth="1"/>
    <col min="15" max="15" width="19.33203125" style="53" customWidth="1"/>
    <col min="16" max="16" width="6" style="52" customWidth="1"/>
    <col min="17" max="17" width="21" style="54" customWidth="1"/>
    <col min="18" max="18" width="25.6640625" style="18" customWidth="1"/>
    <col min="19" max="19" width="20.109375" style="18" customWidth="1"/>
    <col min="20" max="20" width="26.88671875" style="18" customWidth="1"/>
    <col min="21" max="21" width="24" style="18" customWidth="1"/>
    <col min="22" max="22" width="24.88671875" style="18" customWidth="1"/>
    <col min="23" max="23" width="25.44140625" style="18" customWidth="1"/>
    <col min="24" max="24" width="15.44140625" style="18" customWidth="1"/>
    <col min="25" max="25" width="22" style="18" customWidth="1"/>
    <col min="26" max="26" width="20.6640625" style="18" customWidth="1"/>
    <col min="27" max="27" width="24.5546875" style="18" customWidth="1"/>
    <col min="28" max="28" width="15.5546875" style="18" customWidth="1"/>
    <col min="29" max="30" width="19.5546875" style="18" customWidth="1"/>
    <col min="31" max="31" width="16.44140625" style="18" customWidth="1"/>
    <col min="32" max="32" width="13.88671875" style="18" customWidth="1"/>
    <col min="33" max="33" width="10.88671875" style="18" customWidth="1"/>
    <col min="34" max="34" width="9.33203125" style="18" bestFit="1" customWidth="1"/>
    <col min="35" max="35" width="13.44140625" style="18" customWidth="1"/>
    <col min="36" max="36" width="17.109375" style="18" customWidth="1"/>
    <col min="37" max="37" width="17" style="18" customWidth="1"/>
    <col min="38" max="38" width="18.109375" style="18" customWidth="1"/>
    <col min="39" max="39" width="17" style="18" customWidth="1"/>
    <col min="40" max="40" width="15.88671875" style="18" customWidth="1"/>
    <col min="41" max="41" width="19" style="18" customWidth="1"/>
    <col min="42" max="42" width="13.33203125" style="18" bestFit="1" customWidth="1"/>
    <col min="43" max="43" width="19" style="18" customWidth="1"/>
    <col min="44" max="44" width="6" style="18" customWidth="1"/>
    <col min="45" max="45" width="12.44140625" style="18" customWidth="1"/>
    <col min="46" max="46" width="9.33203125" style="18" bestFit="1" customWidth="1"/>
    <col min="47" max="47" width="13.44140625" style="18" customWidth="1"/>
    <col min="48" max="48" width="17.109375" style="18" customWidth="1"/>
    <col min="49" max="49" width="5.109375" style="18" customWidth="1"/>
    <col min="50" max="50" width="11" style="18" customWidth="1"/>
    <col min="51" max="51" width="14.33203125" style="18" customWidth="1"/>
    <col min="52" max="52" width="5.109375" style="18" customWidth="1"/>
    <col min="53" max="53" width="14.109375" style="18" customWidth="1"/>
    <col min="54" max="54" width="23.5546875" style="18" customWidth="1"/>
    <col min="55" max="55" width="11.44140625" style="18" customWidth="1"/>
    <col min="56" max="56" width="39.5546875" style="18" customWidth="1"/>
    <col min="57" max="57" width="41.6640625" style="18" customWidth="1"/>
    <col min="58" max="58" width="17.33203125" style="55" customWidth="1"/>
    <col min="59" max="59" width="44.44140625" style="56" customWidth="1"/>
    <col min="60" max="60" width="40.6640625" style="56" customWidth="1"/>
    <col min="61" max="61" width="40.33203125" style="18" bestFit="1" customWidth="1"/>
    <col min="62" max="62" width="48.6640625" style="18" bestFit="1" customWidth="1"/>
    <col min="63" max="63" width="17.33203125" style="18" customWidth="1"/>
    <col min="64" max="64" width="26.88671875" style="18" bestFit="1" customWidth="1"/>
    <col min="65" max="65" width="28.109375" style="18" bestFit="1" customWidth="1"/>
    <col min="66" max="66" width="13.44140625" style="18" customWidth="1"/>
    <col min="67" max="67" width="13.88671875" style="18" bestFit="1" customWidth="1"/>
    <col min="68" max="68" width="12.44140625" style="18" customWidth="1"/>
    <col min="69" max="69" width="18.5546875" style="18" bestFit="1" customWidth="1"/>
    <col min="70" max="70" width="12.44140625" style="18" customWidth="1"/>
    <col min="71" max="71" width="18.5546875" style="18" bestFit="1" customWidth="1"/>
    <col min="72" max="72" width="21.5546875" style="18" bestFit="1" customWidth="1"/>
    <col min="73" max="73" width="18.5546875" style="18" bestFit="1" customWidth="1"/>
    <col min="74" max="74" width="15.6640625" style="18" bestFit="1" customWidth="1"/>
    <col min="75" max="84" width="75.6640625" style="18" customWidth="1"/>
    <col min="85" max="16384" width="9.109375" style="18"/>
  </cols>
  <sheetData>
    <row r="1" spans="1:138" s="65" customFormat="1" ht="30" customHeight="1" thickBot="1">
      <c r="A1" s="57"/>
      <c r="B1" s="276" t="s">
        <v>40</v>
      </c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8"/>
      <c r="AK1" s="279" t="s">
        <v>41</v>
      </c>
      <c r="AL1" s="280"/>
      <c r="AM1" s="280"/>
      <c r="AN1" s="280"/>
      <c r="AO1" s="280"/>
      <c r="AP1" s="280"/>
      <c r="AQ1" s="280"/>
      <c r="AR1" s="280"/>
      <c r="AS1" s="280"/>
      <c r="AT1" s="280"/>
      <c r="AU1" s="280"/>
      <c r="AV1" s="281"/>
      <c r="AW1" s="282" t="s">
        <v>42</v>
      </c>
      <c r="AX1" s="283"/>
      <c r="AY1" s="283"/>
      <c r="AZ1" s="283"/>
      <c r="BA1" s="283"/>
      <c r="BB1" s="283"/>
      <c r="BC1" s="283"/>
      <c r="BD1" s="283"/>
      <c r="BE1" s="283"/>
      <c r="BF1" s="283"/>
      <c r="BG1" s="283"/>
      <c r="BH1" s="283"/>
      <c r="BI1" s="283"/>
      <c r="BJ1" s="283"/>
      <c r="BK1" s="283"/>
      <c r="BL1" s="283"/>
      <c r="BM1" s="283"/>
      <c r="BN1" s="284"/>
      <c r="BO1" s="76"/>
      <c r="BP1" s="77"/>
      <c r="BQ1" s="77"/>
      <c r="BR1" s="77"/>
      <c r="BS1" s="77"/>
      <c r="BT1" s="78"/>
      <c r="BU1" s="81" t="s">
        <v>43</v>
      </c>
      <c r="BV1" s="81" t="s">
        <v>43</v>
      </c>
    </row>
    <row r="2" spans="1:138" s="65" customFormat="1" ht="30" customHeight="1" thickBot="1">
      <c r="A2" s="57"/>
      <c r="B2" s="66"/>
      <c r="C2" s="67" t="s">
        <v>44</v>
      </c>
      <c r="D2" s="67"/>
      <c r="E2" s="67" t="s">
        <v>45</v>
      </c>
      <c r="F2" s="67"/>
      <c r="G2" s="67"/>
      <c r="H2" s="67" t="s">
        <v>46</v>
      </c>
      <c r="I2" s="67" t="s">
        <v>47</v>
      </c>
      <c r="J2" s="67"/>
      <c r="K2" s="67" t="s">
        <v>48</v>
      </c>
      <c r="L2" s="67"/>
      <c r="M2" s="67" t="s">
        <v>49</v>
      </c>
      <c r="N2" s="67"/>
      <c r="O2" s="67" t="s">
        <v>50</v>
      </c>
      <c r="P2" s="67"/>
      <c r="Q2" s="67" t="s">
        <v>51</v>
      </c>
      <c r="R2" s="67"/>
      <c r="S2" s="67" t="s">
        <v>52</v>
      </c>
      <c r="T2" s="67"/>
      <c r="U2" s="67" t="s">
        <v>53</v>
      </c>
      <c r="V2" s="67" t="s">
        <v>54</v>
      </c>
      <c r="W2" s="67"/>
      <c r="X2" s="67" t="s">
        <v>55</v>
      </c>
      <c r="Y2" s="67"/>
      <c r="Z2" s="67" t="s">
        <v>56</v>
      </c>
      <c r="AA2" s="67" t="s">
        <v>57</v>
      </c>
      <c r="AB2" s="67"/>
      <c r="AC2" s="67" t="s">
        <v>58</v>
      </c>
      <c r="AD2" s="67" t="s">
        <v>59</v>
      </c>
      <c r="AE2" s="67"/>
      <c r="AF2" s="67"/>
      <c r="AG2" s="67"/>
      <c r="AH2" s="68"/>
      <c r="AI2" s="69"/>
      <c r="AJ2" s="17"/>
      <c r="AK2" s="70" t="s">
        <v>60</v>
      </c>
      <c r="AL2" s="70"/>
      <c r="AM2" s="70" t="s">
        <v>61</v>
      </c>
      <c r="AN2" s="70"/>
      <c r="AO2" s="70" t="s">
        <v>62</v>
      </c>
      <c r="AP2" s="70"/>
      <c r="AQ2" s="70" t="s">
        <v>63</v>
      </c>
      <c r="AR2" s="17"/>
      <c r="AS2" s="19"/>
      <c r="AT2" s="19"/>
      <c r="AU2" s="58"/>
      <c r="AV2" s="58"/>
      <c r="AW2" s="273" t="s">
        <v>64</v>
      </c>
      <c r="AX2" s="274"/>
      <c r="AY2" s="275"/>
      <c r="AZ2" s="273" t="s">
        <v>65</v>
      </c>
      <c r="BA2" s="274"/>
      <c r="BB2" s="275"/>
      <c r="BC2" s="59"/>
      <c r="BD2" s="60"/>
      <c r="BE2" s="61"/>
      <c r="BF2" s="62"/>
      <c r="BG2" s="60"/>
      <c r="BH2" s="71"/>
      <c r="BI2" s="72"/>
      <c r="BJ2" s="72"/>
      <c r="BK2" s="73" t="s">
        <v>66</v>
      </c>
      <c r="BL2" s="74"/>
      <c r="BM2" s="59"/>
      <c r="BN2" s="75"/>
      <c r="BO2" s="63"/>
      <c r="BP2" s="60" t="s">
        <v>67</v>
      </c>
      <c r="BQ2" s="60"/>
      <c r="BR2" s="60" t="s">
        <v>68</v>
      </c>
      <c r="BS2" s="60"/>
      <c r="BT2" s="64"/>
    </row>
    <row r="3" spans="1:138" ht="63.75" customHeight="1">
      <c r="A3" s="20"/>
      <c r="B3" s="21"/>
      <c r="C3" s="22" t="s">
        <v>69</v>
      </c>
      <c r="D3" s="22" t="s">
        <v>70</v>
      </c>
      <c r="E3" s="23" t="s">
        <v>71</v>
      </c>
      <c r="F3" s="23" t="s">
        <v>72</v>
      </c>
      <c r="G3" s="22"/>
      <c r="H3" s="22" t="s">
        <v>73</v>
      </c>
      <c r="I3" s="24" t="s">
        <v>74</v>
      </c>
      <c r="J3" s="24" t="s">
        <v>75</v>
      </c>
      <c r="K3" s="25" t="s">
        <v>76</v>
      </c>
      <c r="L3" s="25" t="s">
        <v>77</v>
      </c>
      <c r="M3" s="25" t="s">
        <v>78</v>
      </c>
      <c r="N3" s="26" t="s">
        <v>79</v>
      </c>
      <c r="O3" s="27" t="s">
        <v>80</v>
      </c>
      <c r="P3" s="28" t="s">
        <v>79</v>
      </c>
      <c r="Q3" s="29" t="s">
        <v>81</v>
      </c>
      <c r="R3" s="30" t="s">
        <v>82</v>
      </c>
      <c r="S3" s="31" t="s">
        <v>83</v>
      </c>
      <c r="T3" s="32" t="s">
        <v>84</v>
      </c>
      <c r="U3" s="33" t="s">
        <v>85</v>
      </c>
      <c r="V3" s="33" t="s">
        <v>86</v>
      </c>
      <c r="W3" s="30" t="s">
        <v>87</v>
      </c>
      <c r="X3" s="31" t="s">
        <v>88</v>
      </c>
      <c r="Y3" s="32" t="s">
        <v>89</v>
      </c>
      <c r="Z3" s="34" t="s">
        <v>90</v>
      </c>
      <c r="AA3" s="35" t="s">
        <v>91</v>
      </c>
      <c r="AB3" s="34" t="s">
        <v>92</v>
      </c>
      <c r="AC3" s="31" t="s">
        <v>93</v>
      </c>
      <c r="AD3" s="31" t="s">
        <v>94</v>
      </c>
      <c r="AE3" s="32" t="s">
        <v>95</v>
      </c>
      <c r="AF3" s="36" t="s">
        <v>96</v>
      </c>
      <c r="AG3" s="37" t="s">
        <v>97</v>
      </c>
      <c r="AH3" s="25" t="s">
        <v>98</v>
      </c>
      <c r="AI3" s="37" t="s">
        <v>99</v>
      </c>
      <c r="AJ3" s="37" t="s">
        <v>100</v>
      </c>
      <c r="AK3" s="38" t="s">
        <v>101</v>
      </c>
      <c r="AL3" s="38" t="s">
        <v>102</v>
      </c>
      <c r="AM3" s="38" t="s">
        <v>103</v>
      </c>
      <c r="AN3" s="38" t="s">
        <v>104</v>
      </c>
      <c r="AO3" s="39" t="s">
        <v>105</v>
      </c>
      <c r="AP3" s="39"/>
      <c r="AQ3" s="39" t="s">
        <v>106</v>
      </c>
      <c r="AR3" s="39"/>
      <c r="AS3" s="39" t="s">
        <v>97</v>
      </c>
      <c r="AT3" s="40" t="s">
        <v>98</v>
      </c>
      <c r="AU3" s="37" t="s">
        <v>99</v>
      </c>
      <c r="AV3" s="37" t="s">
        <v>100</v>
      </c>
      <c r="AW3" s="41" t="s">
        <v>107</v>
      </c>
      <c r="AX3" s="42">
        <v>18</v>
      </c>
      <c r="AY3" s="43" t="s">
        <v>108</v>
      </c>
      <c r="AZ3" s="41" t="s">
        <v>107</v>
      </c>
      <c r="BA3" s="42">
        <v>18</v>
      </c>
      <c r="BB3" s="43" t="s">
        <v>109</v>
      </c>
      <c r="BC3" s="44" t="s">
        <v>110</v>
      </c>
      <c r="BD3" s="39" t="s">
        <v>111</v>
      </c>
      <c r="BE3" s="39" t="s">
        <v>112</v>
      </c>
      <c r="BF3" s="45" t="s">
        <v>113</v>
      </c>
      <c r="BG3" s="46" t="s">
        <v>114</v>
      </c>
      <c r="BH3" s="46" t="s">
        <v>115</v>
      </c>
      <c r="BI3" s="47" t="s">
        <v>116</v>
      </c>
      <c r="BJ3" s="48" t="s">
        <v>117</v>
      </c>
      <c r="BK3" s="39" t="s">
        <v>118</v>
      </c>
      <c r="BL3" s="39" t="s">
        <v>119</v>
      </c>
      <c r="BM3" s="49" t="s">
        <v>120</v>
      </c>
      <c r="BN3" s="37" t="s">
        <v>99</v>
      </c>
      <c r="BO3" s="37" t="s">
        <v>100</v>
      </c>
      <c r="BP3" s="50" t="s">
        <v>121</v>
      </c>
      <c r="BQ3" s="50" t="s">
        <v>122</v>
      </c>
      <c r="BR3" s="50" t="s">
        <v>123</v>
      </c>
      <c r="BS3" s="50" t="s">
        <v>124</v>
      </c>
      <c r="BT3" s="50" t="s">
        <v>125</v>
      </c>
      <c r="BU3" s="82" t="s">
        <v>43</v>
      </c>
      <c r="BV3" s="82" t="s">
        <v>126</v>
      </c>
    </row>
    <row r="4" spans="1:138" s="65" customFormat="1" ht="30" customHeight="1">
      <c r="A4" s="239" t="s">
        <v>128</v>
      </c>
      <c r="B4" s="240"/>
      <c r="C4" s="121">
        <v>73843</v>
      </c>
      <c r="D4" s="121">
        <v>238184</v>
      </c>
      <c r="E4" s="241">
        <v>27</v>
      </c>
      <c r="F4" s="241">
        <v>12</v>
      </c>
      <c r="G4" s="240"/>
      <c r="H4" s="121">
        <v>135966</v>
      </c>
      <c r="I4" s="123">
        <v>78191</v>
      </c>
      <c r="J4" s="242">
        <v>16</v>
      </c>
      <c r="K4" s="125">
        <v>15179</v>
      </c>
      <c r="L4" s="243">
        <v>4</v>
      </c>
      <c r="M4" s="86">
        <v>581</v>
      </c>
      <c r="N4" s="244">
        <v>5</v>
      </c>
      <c r="O4" s="245">
        <v>542</v>
      </c>
      <c r="P4" s="246">
        <v>2</v>
      </c>
      <c r="Q4" s="128">
        <v>57396</v>
      </c>
      <c r="R4" s="247">
        <v>10</v>
      </c>
      <c r="S4" s="129">
        <v>25357</v>
      </c>
      <c r="T4" s="248">
        <v>0</v>
      </c>
      <c r="U4" s="150">
        <v>9716</v>
      </c>
      <c r="V4" s="130">
        <v>1727</v>
      </c>
      <c r="W4" s="247">
        <v>6</v>
      </c>
      <c r="X4" s="249">
        <v>37007</v>
      </c>
      <c r="Y4" s="248">
        <v>15</v>
      </c>
      <c r="Z4" s="131">
        <v>8063</v>
      </c>
      <c r="AA4" s="131">
        <v>7151</v>
      </c>
      <c r="AB4" s="247">
        <v>3</v>
      </c>
      <c r="AC4" s="249">
        <v>2412</v>
      </c>
      <c r="AD4" s="249">
        <v>1709</v>
      </c>
      <c r="AE4" s="248">
        <v>3</v>
      </c>
      <c r="AF4" s="250">
        <v>16</v>
      </c>
      <c r="AG4" s="89">
        <v>209809</v>
      </c>
      <c r="AH4" s="251">
        <v>88</v>
      </c>
      <c r="AI4" s="252">
        <v>180</v>
      </c>
      <c r="AJ4" s="253">
        <v>92</v>
      </c>
      <c r="AK4" s="87">
        <v>1798213</v>
      </c>
      <c r="AL4" s="254">
        <v>1258</v>
      </c>
      <c r="AM4" s="87">
        <v>64621</v>
      </c>
      <c r="AN4" s="255">
        <v>21</v>
      </c>
      <c r="AO4" s="90">
        <v>133514</v>
      </c>
      <c r="AP4" s="256">
        <v>0</v>
      </c>
      <c r="AQ4" s="90">
        <v>133904</v>
      </c>
      <c r="AR4" s="256">
        <v>390</v>
      </c>
      <c r="AS4" s="88">
        <v>1864092</v>
      </c>
      <c r="AT4" s="257">
        <v>1279</v>
      </c>
      <c r="AU4" s="258">
        <v>1300</v>
      </c>
      <c r="AV4" s="253">
        <v>21</v>
      </c>
      <c r="AW4" s="259">
        <v>0</v>
      </c>
      <c r="AX4" s="259">
        <v>0</v>
      </c>
      <c r="AY4" s="259">
        <v>0</v>
      </c>
      <c r="AZ4" s="259">
        <v>0</v>
      </c>
      <c r="BA4" s="91">
        <v>479.93</v>
      </c>
      <c r="BB4" s="259">
        <v>14035.999999999989</v>
      </c>
      <c r="BC4" s="260">
        <v>0</v>
      </c>
      <c r="BD4" s="261">
        <v>0</v>
      </c>
      <c r="BE4" s="262">
        <v>0</v>
      </c>
      <c r="BF4" s="90">
        <v>479.93</v>
      </c>
      <c r="BG4" s="261">
        <v>3.1899999999999977</v>
      </c>
      <c r="BH4" s="262">
        <v>14035.999999999989</v>
      </c>
      <c r="BI4" s="263">
        <v>14035.999999999989</v>
      </c>
      <c r="BJ4" s="264">
        <v>12199.999999999989</v>
      </c>
      <c r="BK4" s="136">
        <v>931.08</v>
      </c>
      <c r="BL4" s="262">
        <v>579.00000000000773</v>
      </c>
      <c r="BM4" s="265">
        <v>14614.999999999996</v>
      </c>
      <c r="BN4" s="258">
        <v>19000</v>
      </c>
      <c r="BO4" s="253">
        <v>4385.0000000000036</v>
      </c>
      <c r="BP4" s="123">
        <v>2853558</v>
      </c>
      <c r="BQ4" s="242">
        <v>20</v>
      </c>
      <c r="BR4" s="123">
        <v>4128927</v>
      </c>
      <c r="BS4" s="242">
        <v>1816</v>
      </c>
      <c r="BT4" s="266">
        <v>1836</v>
      </c>
      <c r="BU4" s="267"/>
      <c r="BV4" s="268"/>
      <c r="BW4" s="269"/>
      <c r="BX4" s="270"/>
      <c r="BY4" s="270"/>
      <c r="BZ4" s="271"/>
      <c r="CA4" s="271"/>
      <c r="CB4" s="271"/>
      <c r="CC4" s="271"/>
      <c r="CD4" s="271"/>
      <c r="CE4" s="271"/>
      <c r="CF4" s="271"/>
      <c r="CG4" s="271"/>
      <c r="CH4" s="271"/>
      <c r="CI4" s="271"/>
      <c r="CJ4" s="271"/>
      <c r="CK4" s="271"/>
      <c r="CL4" s="271"/>
      <c r="CM4" s="271"/>
      <c r="CN4" s="271"/>
      <c r="CO4" s="271"/>
      <c r="CP4" s="271"/>
      <c r="CQ4" s="271"/>
      <c r="CR4" s="271"/>
      <c r="CS4" s="271"/>
      <c r="CT4" s="271"/>
      <c r="CU4" s="271"/>
      <c r="CV4" s="271"/>
      <c r="CW4" s="271"/>
      <c r="CX4" s="271"/>
      <c r="CY4" s="271"/>
      <c r="CZ4" s="271"/>
      <c r="DA4" s="271"/>
      <c r="DB4" s="271"/>
      <c r="DC4" s="271"/>
      <c r="DD4" s="271"/>
      <c r="DE4" s="271"/>
      <c r="DF4" s="271"/>
      <c r="DG4" s="271"/>
      <c r="DH4" s="271"/>
      <c r="DI4" s="271"/>
      <c r="DJ4" s="271"/>
      <c r="DK4" s="271"/>
      <c r="DL4" s="271"/>
      <c r="DM4" s="271"/>
      <c r="DN4" s="271"/>
      <c r="DO4" s="271"/>
      <c r="DP4" s="271"/>
      <c r="DQ4" s="271"/>
      <c r="DR4" s="271"/>
      <c r="DS4" s="271"/>
      <c r="DT4" s="271"/>
      <c r="DU4" s="271"/>
      <c r="DV4" s="271"/>
      <c r="DW4" s="271"/>
      <c r="DX4" s="271"/>
      <c r="DY4" s="271"/>
      <c r="DZ4" s="271"/>
      <c r="EA4" s="271"/>
      <c r="EB4" s="271"/>
      <c r="EC4" s="271"/>
      <c r="ED4" s="271"/>
      <c r="EE4" s="271"/>
      <c r="EF4" s="271"/>
      <c r="EG4" s="271"/>
      <c r="EH4" s="272"/>
    </row>
    <row r="5" spans="1:138" ht="24.9" customHeight="1">
      <c r="A5" s="139">
        <v>1</v>
      </c>
      <c r="B5" s="140"/>
      <c r="C5" s="141">
        <v>73903</v>
      </c>
      <c r="D5" s="121">
        <v>238216</v>
      </c>
      <c r="E5" s="122">
        <v>32</v>
      </c>
      <c r="F5" s="142">
        <v>17</v>
      </c>
      <c r="G5" s="121"/>
      <c r="H5" s="121">
        <v>135966</v>
      </c>
      <c r="I5" s="143">
        <v>78194</v>
      </c>
      <c r="J5" s="144">
        <v>3</v>
      </c>
      <c r="K5" s="145">
        <v>15184</v>
      </c>
      <c r="L5" s="145">
        <v>5</v>
      </c>
      <c r="M5" s="145">
        <v>586</v>
      </c>
      <c r="N5" s="146">
        <v>5</v>
      </c>
      <c r="O5" s="145">
        <v>544</v>
      </c>
      <c r="P5" s="147">
        <v>2</v>
      </c>
      <c r="Q5" s="148">
        <v>57397</v>
      </c>
      <c r="R5" s="85">
        <v>1</v>
      </c>
      <c r="S5" s="129">
        <v>25357</v>
      </c>
      <c r="T5" s="149">
        <v>0</v>
      </c>
      <c r="U5" s="150">
        <v>9716</v>
      </c>
      <c r="V5" s="130">
        <v>1727</v>
      </c>
      <c r="W5" s="151">
        <v>0</v>
      </c>
      <c r="X5" s="129">
        <v>37022</v>
      </c>
      <c r="Y5" s="149">
        <v>15</v>
      </c>
      <c r="Z5" s="152">
        <v>8065</v>
      </c>
      <c r="AA5" s="152">
        <v>7152</v>
      </c>
      <c r="AB5" s="151">
        <v>3</v>
      </c>
      <c r="AC5" s="129">
        <v>2412</v>
      </c>
      <c r="AD5" s="129">
        <v>1710</v>
      </c>
      <c r="AE5" s="149">
        <v>1</v>
      </c>
      <c r="AF5" s="153">
        <v>1</v>
      </c>
      <c r="AG5" s="134">
        <v>209869</v>
      </c>
      <c r="AH5" s="145">
        <v>60</v>
      </c>
      <c r="AI5" s="132">
        <v>170</v>
      </c>
      <c r="AJ5" s="132">
        <v>110</v>
      </c>
      <c r="AK5" s="133">
        <v>1799321</v>
      </c>
      <c r="AL5" s="133">
        <v>1108</v>
      </c>
      <c r="AM5" s="133">
        <v>64654</v>
      </c>
      <c r="AN5" s="154">
        <v>33</v>
      </c>
      <c r="AO5" s="135">
        <v>133514</v>
      </c>
      <c r="AP5" s="155">
        <v>0</v>
      </c>
      <c r="AQ5" s="90">
        <v>134239</v>
      </c>
      <c r="AR5" s="155">
        <v>335</v>
      </c>
      <c r="AS5" s="90">
        <v>1865083</v>
      </c>
      <c r="AT5" s="156">
        <v>1141</v>
      </c>
      <c r="AU5" s="132">
        <v>1700</v>
      </c>
      <c r="AV5" s="132">
        <v>559</v>
      </c>
      <c r="AW5" s="157">
        <v>0</v>
      </c>
      <c r="AX5" s="157">
        <v>0</v>
      </c>
      <c r="AY5" s="157">
        <v>0</v>
      </c>
      <c r="AZ5" s="157">
        <v>0</v>
      </c>
      <c r="BA5" s="157">
        <v>483.19</v>
      </c>
      <c r="BB5" s="91">
        <v>14343.99999999996</v>
      </c>
      <c r="BC5" s="134">
        <v>0</v>
      </c>
      <c r="BD5" s="135">
        <v>0</v>
      </c>
      <c r="BE5" s="158">
        <v>0</v>
      </c>
      <c r="BF5" s="135">
        <v>483.19</v>
      </c>
      <c r="BG5" s="135">
        <v>3.2599999999999909</v>
      </c>
      <c r="BH5" s="158">
        <v>14343.99999999996</v>
      </c>
      <c r="BI5" s="159">
        <v>14343.99999999996</v>
      </c>
      <c r="BJ5" s="160">
        <v>12560.99999999996</v>
      </c>
      <c r="BK5" s="158">
        <v>936.9</v>
      </c>
      <c r="BL5" s="158">
        <v>581.99999999999363</v>
      </c>
      <c r="BM5" s="161">
        <v>14925.999999999953</v>
      </c>
      <c r="BN5" s="138">
        <v>17500</v>
      </c>
      <c r="BO5" s="132">
        <v>2574.0000000000473</v>
      </c>
      <c r="BP5" s="143">
        <v>2853578</v>
      </c>
      <c r="BQ5" s="143">
        <v>20</v>
      </c>
      <c r="BR5" s="143">
        <v>4130690</v>
      </c>
      <c r="BS5" s="143">
        <v>1763</v>
      </c>
      <c r="BT5" s="92">
        <v>1783</v>
      </c>
      <c r="BU5" s="2">
        <v>10</v>
      </c>
      <c r="BV5" s="2">
        <v>11</v>
      </c>
    </row>
    <row r="6" spans="1:138" ht="24.9" customHeight="1">
      <c r="A6" s="162">
        <v>2</v>
      </c>
      <c r="B6" s="163"/>
      <c r="C6" s="163">
        <v>73978</v>
      </c>
      <c r="D6" s="163">
        <v>238254</v>
      </c>
      <c r="E6" s="164">
        <v>38</v>
      </c>
      <c r="F6" s="164">
        <v>17</v>
      </c>
      <c r="G6" s="163"/>
      <c r="H6" s="163">
        <v>135966</v>
      </c>
      <c r="I6" s="165">
        <v>78196</v>
      </c>
      <c r="J6" s="166">
        <v>2</v>
      </c>
      <c r="K6" s="167">
        <v>15188</v>
      </c>
      <c r="L6" s="167">
        <v>4</v>
      </c>
      <c r="M6" s="145">
        <v>591</v>
      </c>
      <c r="N6" s="168">
        <v>5</v>
      </c>
      <c r="O6" s="145">
        <v>546</v>
      </c>
      <c r="P6" s="127">
        <v>2</v>
      </c>
      <c r="Q6" s="169">
        <v>57397</v>
      </c>
      <c r="R6" s="99">
        <v>0</v>
      </c>
      <c r="S6" s="129">
        <v>25357</v>
      </c>
      <c r="T6" s="100">
        <v>0</v>
      </c>
      <c r="U6" s="119">
        <v>9716</v>
      </c>
      <c r="V6" s="119">
        <v>1727</v>
      </c>
      <c r="W6" s="99">
        <v>0</v>
      </c>
      <c r="X6" s="170">
        <v>37043</v>
      </c>
      <c r="Y6" s="100">
        <v>21</v>
      </c>
      <c r="Z6" s="171">
        <v>8066</v>
      </c>
      <c r="AA6" s="171">
        <v>7154</v>
      </c>
      <c r="AB6" s="99">
        <v>3</v>
      </c>
      <c r="AC6" s="170">
        <v>2414</v>
      </c>
      <c r="AD6" s="129">
        <v>1712</v>
      </c>
      <c r="AE6" s="100">
        <v>4</v>
      </c>
      <c r="AF6" s="172">
        <v>0</v>
      </c>
      <c r="AG6" s="110">
        <v>209944</v>
      </c>
      <c r="AH6" s="167">
        <v>75</v>
      </c>
      <c r="AI6" s="132">
        <v>170</v>
      </c>
      <c r="AJ6" s="132">
        <v>95</v>
      </c>
      <c r="AK6" s="105">
        <v>1800317</v>
      </c>
      <c r="AL6" s="105">
        <v>996</v>
      </c>
      <c r="AM6" s="105">
        <v>64685</v>
      </c>
      <c r="AN6" s="106">
        <v>31</v>
      </c>
      <c r="AO6" s="135">
        <v>133514</v>
      </c>
      <c r="AP6" s="107">
        <v>0</v>
      </c>
      <c r="AQ6" s="111">
        <v>134239</v>
      </c>
      <c r="AR6" s="107">
        <v>0</v>
      </c>
      <c r="AS6" s="111">
        <v>1865998</v>
      </c>
      <c r="AT6" s="108">
        <v>1027</v>
      </c>
      <c r="AU6" s="132">
        <v>1700</v>
      </c>
      <c r="AV6" s="132">
        <v>673</v>
      </c>
      <c r="AW6" s="157">
        <v>0</v>
      </c>
      <c r="AX6" s="112">
        <v>0</v>
      </c>
      <c r="AY6" s="112">
        <v>0</v>
      </c>
      <c r="AZ6" s="112">
        <v>0</v>
      </c>
      <c r="BA6" s="112">
        <v>486.5</v>
      </c>
      <c r="BB6" s="112">
        <v>14564.000000000011</v>
      </c>
      <c r="BC6" s="134">
        <v>0</v>
      </c>
      <c r="BD6" s="135">
        <v>0</v>
      </c>
      <c r="BE6" s="173">
        <v>0</v>
      </c>
      <c r="BF6" s="111">
        <v>486.5</v>
      </c>
      <c r="BG6" s="111">
        <v>3.3100000000000023</v>
      </c>
      <c r="BH6" s="173">
        <v>14564.000000000011</v>
      </c>
      <c r="BI6" s="174">
        <v>14564.000000000011</v>
      </c>
      <c r="BJ6" s="175">
        <v>12421.000000000011</v>
      </c>
      <c r="BK6" s="173">
        <v>942.86</v>
      </c>
      <c r="BL6" s="173">
        <v>596.00000000000364</v>
      </c>
      <c r="BM6" s="176">
        <v>15160.000000000015</v>
      </c>
      <c r="BN6" s="138">
        <v>17500</v>
      </c>
      <c r="BO6" s="177">
        <v>2339.9999999999854</v>
      </c>
      <c r="BP6" s="165">
        <v>2853598</v>
      </c>
      <c r="BQ6" s="165">
        <v>20</v>
      </c>
      <c r="BR6" s="165">
        <v>4132813</v>
      </c>
      <c r="BS6" s="165">
        <v>2123</v>
      </c>
      <c r="BT6" s="115">
        <v>2143</v>
      </c>
      <c r="BU6" s="2">
        <v>15</v>
      </c>
      <c r="BV6" s="2">
        <v>20</v>
      </c>
    </row>
    <row r="7" spans="1:138" ht="24.9" customHeight="1">
      <c r="A7" s="139">
        <v>3</v>
      </c>
      <c r="B7" s="163"/>
      <c r="C7" s="163">
        <v>74048</v>
      </c>
      <c r="D7" s="163">
        <v>238296</v>
      </c>
      <c r="E7" s="164">
        <v>42</v>
      </c>
      <c r="F7" s="164">
        <v>15</v>
      </c>
      <c r="G7" s="163"/>
      <c r="H7" s="163">
        <v>135966</v>
      </c>
      <c r="I7" s="165">
        <v>78200</v>
      </c>
      <c r="J7" s="166">
        <v>4</v>
      </c>
      <c r="K7" s="167">
        <v>15192</v>
      </c>
      <c r="L7" s="167">
        <v>4</v>
      </c>
      <c r="M7" s="178">
        <v>596</v>
      </c>
      <c r="N7" s="126">
        <v>5</v>
      </c>
      <c r="O7" s="178">
        <v>548</v>
      </c>
      <c r="P7" s="179">
        <v>2</v>
      </c>
      <c r="Q7" s="169">
        <v>57397</v>
      </c>
      <c r="R7" s="99">
        <v>0</v>
      </c>
      <c r="S7" s="129">
        <v>25357</v>
      </c>
      <c r="T7" s="100">
        <v>0</v>
      </c>
      <c r="U7" s="119">
        <v>9716</v>
      </c>
      <c r="V7" s="119">
        <v>1727</v>
      </c>
      <c r="W7" s="99">
        <v>0</v>
      </c>
      <c r="X7" s="170">
        <v>37070</v>
      </c>
      <c r="Y7" s="100">
        <v>27</v>
      </c>
      <c r="Z7" s="171">
        <v>8068</v>
      </c>
      <c r="AA7" s="171">
        <v>7155</v>
      </c>
      <c r="AB7" s="99">
        <v>3</v>
      </c>
      <c r="AC7" s="170">
        <v>2415</v>
      </c>
      <c r="AD7" s="129">
        <v>1712</v>
      </c>
      <c r="AE7" s="100">
        <v>1</v>
      </c>
      <c r="AF7" s="172">
        <v>0</v>
      </c>
      <c r="AG7" s="110">
        <v>210014</v>
      </c>
      <c r="AH7" s="167">
        <v>70</v>
      </c>
      <c r="AI7" s="132">
        <v>170</v>
      </c>
      <c r="AJ7" s="132">
        <v>100</v>
      </c>
      <c r="AK7" s="105">
        <v>1801183</v>
      </c>
      <c r="AL7" s="105">
        <v>866</v>
      </c>
      <c r="AM7" s="105">
        <v>64714</v>
      </c>
      <c r="AN7" s="106">
        <v>29</v>
      </c>
      <c r="AO7" s="135">
        <v>133514</v>
      </c>
      <c r="AP7" s="107">
        <v>0</v>
      </c>
      <c r="AQ7" s="111">
        <v>134239</v>
      </c>
      <c r="AR7" s="107">
        <v>0</v>
      </c>
      <c r="AS7" s="111">
        <v>1866763</v>
      </c>
      <c r="AT7" s="108">
        <v>895</v>
      </c>
      <c r="AU7" s="132">
        <v>1700</v>
      </c>
      <c r="AV7" s="132">
        <v>805</v>
      </c>
      <c r="AW7" s="157">
        <v>0</v>
      </c>
      <c r="AX7" s="112">
        <v>0</v>
      </c>
      <c r="AY7" s="112">
        <v>0</v>
      </c>
      <c r="AZ7" s="112">
        <v>0</v>
      </c>
      <c r="BA7" s="112">
        <v>489.91</v>
      </c>
      <c r="BB7" s="112">
        <v>15004.000000000109</v>
      </c>
      <c r="BC7" s="134">
        <v>0</v>
      </c>
      <c r="BD7" s="135">
        <v>0</v>
      </c>
      <c r="BE7" s="173">
        <v>0</v>
      </c>
      <c r="BF7" s="111">
        <v>489.91</v>
      </c>
      <c r="BG7" s="111">
        <v>3.410000000000025</v>
      </c>
      <c r="BH7" s="173">
        <v>15004.000000000109</v>
      </c>
      <c r="BI7" s="174">
        <v>15004.000000000109</v>
      </c>
      <c r="BJ7" s="175">
        <v>12384.000000000109</v>
      </c>
      <c r="BK7" s="173">
        <v>947.56</v>
      </c>
      <c r="BL7" s="173">
        <v>469.99999999999318</v>
      </c>
      <c r="BM7" s="180">
        <v>15474.000000000102</v>
      </c>
      <c r="BN7" s="138">
        <v>17500</v>
      </c>
      <c r="BO7" s="177">
        <v>2025.9999999998981</v>
      </c>
      <c r="BP7" s="165">
        <v>2853617</v>
      </c>
      <c r="BQ7" s="165">
        <v>19</v>
      </c>
      <c r="BR7" s="165">
        <v>4135414</v>
      </c>
      <c r="BS7" s="165">
        <v>2601</v>
      </c>
      <c r="BT7" s="115">
        <v>2620</v>
      </c>
      <c r="BU7" s="2">
        <v>12</v>
      </c>
      <c r="BV7" s="2">
        <v>14</v>
      </c>
    </row>
    <row r="8" spans="1:138" ht="24.9" customHeight="1">
      <c r="A8" s="162">
        <v>4</v>
      </c>
      <c r="B8" s="163"/>
      <c r="C8" s="163">
        <v>74116</v>
      </c>
      <c r="D8" s="163">
        <v>238337</v>
      </c>
      <c r="E8" s="164">
        <v>41</v>
      </c>
      <c r="F8" s="164">
        <v>20</v>
      </c>
      <c r="G8" s="163"/>
      <c r="H8" s="163">
        <v>135966</v>
      </c>
      <c r="I8" s="165">
        <v>78203</v>
      </c>
      <c r="J8" s="166">
        <v>3</v>
      </c>
      <c r="K8" s="167">
        <v>15197</v>
      </c>
      <c r="L8" s="167">
        <v>5</v>
      </c>
      <c r="M8" s="167">
        <v>601</v>
      </c>
      <c r="N8" s="126">
        <v>5</v>
      </c>
      <c r="O8" s="181">
        <v>550</v>
      </c>
      <c r="P8" s="182">
        <v>2</v>
      </c>
      <c r="Q8" s="169">
        <v>57397</v>
      </c>
      <c r="R8" s="99">
        <v>0</v>
      </c>
      <c r="S8" s="129">
        <v>25357</v>
      </c>
      <c r="T8" s="100">
        <v>0</v>
      </c>
      <c r="U8" s="119">
        <v>9716</v>
      </c>
      <c r="V8" s="119">
        <v>1727</v>
      </c>
      <c r="W8" s="99">
        <v>0</v>
      </c>
      <c r="X8" s="170">
        <v>37091</v>
      </c>
      <c r="Y8" s="100">
        <v>21</v>
      </c>
      <c r="Z8" s="171">
        <v>8071</v>
      </c>
      <c r="AA8" s="171">
        <v>7156</v>
      </c>
      <c r="AB8" s="99">
        <v>4</v>
      </c>
      <c r="AC8" s="170">
        <v>2416</v>
      </c>
      <c r="AD8" s="129">
        <v>1713</v>
      </c>
      <c r="AE8" s="100">
        <v>2</v>
      </c>
      <c r="AF8" s="172">
        <v>0</v>
      </c>
      <c r="AG8" s="110">
        <v>210082</v>
      </c>
      <c r="AH8" s="167">
        <v>68</v>
      </c>
      <c r="AI8" s="132">
        <v>170</v>
      </c>
      <c r="AJ8" s="132">
        <v>102</v>
      </c>
      <c r="AK8" s="105">
        <v>1802146</v>
      </c>
      <c r="AL8" s="105">
        <v>963</v>
      </c>
      <c r="AM8" s="105">
        <v>64746</v>
      </c>
      <c r="AN8" s="106">
        <v>32</v>
      </c>
      <c r="AO8" s="135">
        <v>133514</v>
      </c>
      <c r="AP8" s="107">
        <v>0</v>
      </c>
      <c r="AQ8" s="111">
        <v>134239</v>
      </c>
      <c r="AR8" s="107">
        <v>0</v>
      </c>
      <c r="AS8" s="111">
        <v>1867855</v>
      </c>
      <c r="AT8" s="108">
        <v>995</v>
      </c>
      <c r="AU8" s="132">
        <v>1700</v>
      </c>
      <c r="AV8" s="132">
        <v>705</v>
      </c>
      <c r="AW8" s="157">
        <v>0</v>
      </c>
      <c r="AX8" s="112">
        <v>0</v>
      </c>
      <c r="AY8" s="112">
        <v>0</v>
      </c>
      <c r="AZ8" s="112">
        <v>0</v>
      </c>
      <c r="BA8" s="112">
        <v>493.09</v>
      </c>
      <c r="BB8" s="112">
        <v>13991.99999999978</v>
      </c>
      <c r="BC8" s="134">
        <v>0</v>
      </c>
      <c r="BD8" s="135">
        <v>0</v>
      </c>
      <c r="BE8" s="173">
        <v>0</v>
      </c>
      <c r="BF8" s="111">
        <v>493.09</v>
      </c>
      <c r="BG8" s="111">
        <v>3.17999999999995</v>
      </c>
      <c r="BH8" s="173">
        <v>13991.99999999978</v>
      </c>
      <c r="BI8" s="174">
        <v>13991.99999999978</v>
      </c>
      <c r="BJ8" s="175">
        <v>11869.99999999978</v>
      </c>
      <c r="BK8" s="173">
        <v>952.16</v>
      </c>
      <c r="BL8" s="173">
        <v>460.00000000000227</v>
      </c>
      <c r="BM8" s="183">
        <v>14451.999999999782</v>
      </c>
      <c r="BN8" s="138">
        <v>17500</v>
      </c>
      <c r="BO8" s="177">
        <v>3048.0000000002183</v>
      </c>
      <c r="BP8" s="165">
        <v>2853636</v>
      </c>
      <c r="BQ8" s="165">
        <v>19</v>
      </c>
      <c r="BR8" s="165">
        <v>4137517</v>
      </c>
      <c r="BS8" s="165">
        <v>2103</v>
      </c>
      <c r="BT8" s="115">
        <v>2122</v>
      </c>
      <c r="BU8" s="2">
        <v>12</v>
      </c>
      <c r="BV8" s="2">
        <v>14</v>
      </c>
    </row>
    <row r="9" spans="1:138" ht="24.9" customHeight="1">
      <c r="A9" s="139">
        <v>5</v>
      </c>
      <c r="B9" s="163"/>
      <c r="C9" s="163">
        <v>74183</v>
      </c>
      <c r="D9" s="163">
        <v>238374</v>
      </c>
      <c r="E9" s="164">
        <v>37</v>
      </c>
      <c r="F9" s="164">
        <v>16</v>
      </c>
      <c r="G9" s="163"/>
      <c r="H9" s="163">
        <v>135966</v>
      </c>
      <c r="I9" s="165">
        <v>78206</v>
      </c>
      <c r="J9" s="166">
        <v>3</v>
      </c>
      <c r="K9" s="167">
        <v>15199</v>
      </c>
      <c r="L9" s="167">
        <v>2</v>
      </c>
      <c r="M9" s="167">
        <v>607</v>
      </c>
      <c r="N9" s="126">
        <v>6</v>
      </c>
      <c r="O9" s="181">
        <v>552</v>
      </c>
      <c r="P9" s="127">
        <v>2</v>
      </c>
      <c r="Q9" s="169">
        <v>57397</v>
      </c>
      <c r="R9" s="99">
        <v>0</v>
      </c>
      <c r="S9" s="129">
        <v>25357</v>
      </c>
      <c r="T9" s="100">
        <v>0</v>
      </c>
      <c r="U9" s="119">
        <v>9716</v>
      </c>
      <c r="V9" s="119">
        <v>1727</v>
      </c>
      <c r="W9" s="99">
        <v>0</v>
      </c>
      <c r="X9" s="170">
        <v>37112</v>
      </c>
      <c r="Y9" s="100">
        <v>21</v>
      </c>
      <c r="Z9" s="171">
        <v>8073</v>
      </c>
      <c r="AA9" s="171">
        <v>7158</v>
      </c>
      <c r="AB9" s="99">
        <v>4</v>
      </c>
      <c r="AC9" s="170">
        <v>2418</v>
      </c>
      <c r="AD9" s="129">
        <v>1716</v>
      </c>
      <c r="AE9" s="100">
        <v>5</v>
      </c>
      <c r="AF9" s="172">
        <v>0</v>
      </c>
      <c r="AG9" s="110">
        <v>210149</v>
      </c>
      <c r="AH9" s="167">
        <v>67</v>
      </c>
      <c r="AI9" s="132">
        <v>170</v>
      </c>
      <c r="AJ9" s="132">
        <v>103</v>
      </c>
      <c r="AK9" s="105">
        <v>1803105</v>
      </c>
      <c r="AL9" s="105">
        <v>959</v>
      </c>
      <c r="AM9" s="105">
        <v>64765</v>
      </c>
      <c r="AN9" s="106">
        <v>19</v>
      </c>
      <c r="AO9" s="135">
        <v>133514</v>
      </c>
      <c r="AP9" s="107">
        <v>0</v>
      </c>
      <c r="AQ9" s="111">
        <v>134239</v>
      </c>
      <c r="AR9" s="107">
        <v>0</v>
      </c>
      <c r="AS9" s="111">
        <v>1868829</v>
      </c>
      <c r="AT9" s="108">
        <v>978</v>
      </c>
      <c r="AU9" s="132">
        <v>1700</v>
      </c>
      <c r="AV9" s="132">
        <v>722</v>
      </c>
      <c r="AW9" s="157">
        <v>0</v>
      </c>
      <c r="AX9" s="112">
        <v>0</v>
      </c>
      <c r="AY9" s="112">
        <v>0</v>
      </c>
      <c r="AZ9" s="112">
        <v>0</v>
      </c>
      <c r="BA9" s="112">
        <v>496.41</v>
      </c>
      <c r="BB9" s="112">
        <v>14608.00000000022</v>
      </c>
      <c r="BC9" s="134">
        <v>0</v>
      </c>
      <c r="BD9" s="135">
        <v>0</v>
      </c>
      <c r="BE9" s="173">
        <v>0</v>
      </c>
      <c r="BF9" s="111">
        <v>496.41</v>
      </c>
      <c r="BG9" s="111">
        <v>3.32000000000005</v>
      </c>
      <c r="BH9" s="173">
        <v>14608.00000000022</v>
      </c>
      <c r="BI9" s="174">
        <v>14608.00000000022</v>
      </c>
      <c r="BJ9" s="175">
        <v>12458.00000000022</v>
      </c>
      <c r="BK9" s="173">
        <v>957.54</v>
      </c>
      <c r="BL9" s="173">
        <v>537.99999999999955</v>
      </c>
      <c r="BM9" s="184">
        <v>15146.00000000022</v>
      </c>
      <c r="BN9" s="138">
        <v>17500</v>
      </c>
      <c r="BO9" s="177">
        <v>2353.9999999997799</v>
      </c>
      <c r="BP9" s="165">
        <v>2853656</v>
      </c>
      <c r="BQ9" s="165">
        <v>20</v>
      </c>
      <c r="BR9" s="165">
        <v>4139647</v>
      </c>
      <c r="BS9" s="165">
        <v>2130</v>
      </c>
      <c r="BT9" s="115">
        <v>2150</v>
      </c>
      <c r="BU9" s="2">
        <v>18</v>
      </c>
      <c r="BV9" s="2">
        <v>21</v>
      </c>
    </row>
    <row r="10" spans="1:138" ht="24.9" customHeight="1">
      <c r="A10" s="162">
        <v>6</v>
      </c>
      <c r="B10" s="163"/>
      <c r="C10" s="163">
        <v>74251</v>
      </c>
      <c r="D10" s="163">
        <v>238409</v>
      </c>
      <c r="E10" s="164">
        <v>35</v>
      </c>
      <c r="F10" s="164">
        <v>15</v>
      </c>
      <c r="G10" s="163"/>
      <c r="H10" s="163">
        <v>135966</v>
      </c>
      <c r="I10" s="165">
        <v>78209</v>
      </c>
      <c r="J10" s="166">
        <v>3</v>
      </c>
      <c r="K10" s="167">
        <v>15203</v>
      </c>
      <c r="L10" s="167">
        <v>4</v>
      </c>
      <c r="M10" s="181">
        <v>611</v>
      </c>
      <c r="N10" s="126">
        <v>4</v>
      </c>
      <c r="O10" s="181">
        <v>555</v>
      </c>
      <c r="P10" s="185">
        <v>3</v>
      </c>
      <c r="Q10" s="169">
        <v>57397</v>
      </c>
      <c r="R10" s="99">
        <v>0</v>
      </c>
      <c r="S10" s="129">
        <v>25357</v>
      </c>
      <c r="T10" s="100">
        <v>0</v>
      </c>
      <c r="U10" s="119">
        <v>9716</v>
      </c>
      <c r="V10" s="119">
        <v>1727</v>
      </c>
      <c r="W10" s="99">
        <v>0</v>
      </c>
      <c r="X10" s="170">
        <v>37132</v>
      </c>
      <c r="Y10" s="100">
        <v>20</v>
      </c>
      <c r="Z10" s="171">
        <v>8075</v>
      </c>
      <c r="AA10" s="171">
        <v>7159</v>
      </c>
      <c r="AB10" s="99">
        <v>3</v>
      </c>
      <c r="AC10" s="170">
        <v>2420</v>
      </c>
      <c r="AD10" s="170">
        <v>1716</v>
      </c>
      <c r="AE10" s="100">
        <v>2</v>
      </c>
      <c r="AF10" s="172">
        <v>0</v>
      </c>
      <c r="AG10" s="110">
        <v>210217</v>
      </c>
      <c r="AH10" s="167">
        <v>68</v>
      </c>
      <c r="AI10" s="132">
        <v>170</v>
      </c>
      <c r="AJ10" s="132">
        <v>102</v>
      </c>
      <c r="AK10" s="105">
        <v>1804099</v>
      </c>
      <c r="AL10" s="105">
        <v>994</v>
      </c>
      <c r="AM10" s="105">
        <v>64792</v>
      </c>
      <c r="AN10" s="106">
        <v>27</v>
      </c>
      <c r="AO10" s="135">
        <v>133514</v>
      </c>
      <c r="AP10" s="107">
        <v>0</v>
      </c>
      <c r="AQ10" s="111">
        <v>134239</v>
      </c>
      <c r="AR10" s="107">
        <v>0</v>
      </c>
      <c r="AS10" s="111">
        <v>1869885</v>
      </c>
      <c r="AT10" s="108">
        <v>1021</v>
      </c>
      <c r="AU10" s="132">
        <v>1700</v>
      </c>
      <c r="AV10" s="132">
        <v>679</v>
      </c>
      <c r="AW10" s="157">
        <v>0</v>
      </c>
      <c r="AX10" s="112">
        <v>0</v>
      </c>
      <c r="AY10" s="112">
        <v>0</v>
      </c>
      <c r="AZ10" s="112">
        <v>0</v>
      </c>
      <c r="BA10" s="112">
        <v>499.62</v>
      </c>
      <c r="BB10" s="112">
        <v>14123.999999999909</v>
      </c>
      <c r="BC10" s="134">
        <v>0</v>
      </c>
      <c r="BD10" s="135">
        <v>0</v>
      </c>
      <c r="BE10" s="173">
        <v>0</v>
      </c>
      <c r="BF10" s="111">
        <v>499.62</v>
      </c>
      <c r="BG10" s="111">
        <v>3.2099999999999795</v>
      </c>
      <c r="BH10" s="173">
        <v>14123.999999999909</v>
      </c>
      <c r="BI10" s="174">
        <v>14123.999999999909</v>
      </c>
      <c r="BJ10" s="175">
        <v>12103.999999999909</v>
      </c>
      <c r="BK10" s="173">
        <v>962.92</v>
      </c>
      <c r="BL10" s="173">
        <v>537.99999999999955</v>
      </c>
      <c r="BM10" s="186">
        <v>14661.999999999909</v>
      </c>
      <c r="BN10" s="138">
        <v>17500</v>
      </c>
      <c r="BO10" s="177">
        <v>2838.0000000000909</v>
      </c>
      <c r="BP10" s="165">
        <v>2853675</v>
      </c>
      <c r="BQ10" s="165">
        <v>19</v>
      </c>
      <c r="BR10" s="165">
        <v>4141648</v>
      </c>
      <c r="BS10" s="165">
        <v>2001</v>
      </c>
      <c r="BT10" s="115">
        <v>2020</v>
      </c>
      <c r="BU10" s="2">
        <v>22</v>
      </c>
      <c r="BV10" s="2">
        <v>27</v>
      </c>
    </row>
    <row r="11" spans="1:138" ht="24.9" customHeight="1">
      <c r="A11" s="139">
        <v>7</v>
      </c>
      <c r="B11" s="163"/>
      <c r="C11" s="163">
        <v>74314</v>
      </c>
      <c r="D11" s="163">
        <v>238444</v>
      </c>
      <c r="E11" s="164">
        <v>35</v>
      </c>
      <c r="F11" s="164">
        <v>19</v>
      </c>
      <c r="G11" s="163"/>
      <c r="H11" s="163">
        <v>135966</v>
      </c>
      <c r="I11" s="165">
        <v>78212</v>
      </c>
      <c r="J11" s="166">
        <v>3</v>
      </c>
      <c r="K11" s="167">
        <v>15208</v>
      </c>
      <c r="L11" s="167">
        <v>5</v>
      </c>
      <c r="M11" s="181">
        <v>617</v>
      </c>
      <c r="N11" s="126">
        <v>6</v>
      </c>
      <c r="O11" s="181">
        <v>558</v>
      </c>
      <c r="P11" s="187">
        <v>3</v>
      </c>
      <c r="Q11" s="169">
        <v>57397</v>
      </c>
      <c r="R11" s="99">
        <v>0</v>
      </c>
      <c r="S11" s="129">
        <v>25357</v>
      </c>
      <c r="T11" s="100">
        <v>0</v>
      </c>
      <c r="U11" s="119">
        <v>9716</v>
      </c>
      <c r="V11" s="119">
        <v>1727</v>
      </c>
      <c r="W11" s="99">
        <v>0</v>
      </c>
      <c r="X11" s="170">
        <v>37148</v>
      </c>
      <c r="Y11" s="100">
        <v>16</v>
      </c>
      <c r="Z11" s="171">
        <v>8076</v>
      </c>
      <c r="AA11" s="171">
        <v>7161</v>
      </c>
      <c r="AB11" s="99">
        <v>3</v>
      </c>
      <c r="AC11" s="170">
        <v>2422</v>
      </c>
      <c r="AD11" s="170">
        <v>1717</v>
      </c>
      <c r="AE11" s="100">
        <v>3</v>
      </c>
      <c r="AF11" s="172">
        <v>0</v>
      </c>
      <c r="AG11" s="110">
        <v>210280</v>
      </c>
      <c r="AH11" s="167">
        <v>63</v>
      </c>
      <c r="AI11" s="132">
        <v>170</v>
      </c>
      <c r="AJ11" s="132">
        <v>107</v>
      </c>
      <c r="AK11" s="105">
        <v>1805154</v>
      </c>
      <c r="AL11" s="105">
        <v>1055</v>
      </c>
      <c r="AM11" s="105">
        <v>64816</v>
      </c>
      <c r="AN11" s="106">
        <v>24</v>
      </c>
      <c r="AO11" s="135">
        <v>133514</v>
      </c>
      <c r="AP11" s="107">
        <v>0</v>
      </c>
      <c r="AQ11" s="111">
        <v>134239</v>
      </c>
      <c r="AR11" s="107">
        <v>0</v>
      </c>
      <c r="AS11" s="111">
        <v>1871025</v>
      </c>
      <c r="AT11" s="108">
        <v>1079</v>
      </c>
      <c r="AU11" s="132">
        <v>1700</v>
      </c>
      <c r="AV11" s="132">
        <v>621</v>
      </c>
      <c r="AW11" s="157">
        <v>0</v>
      </c>
      <c r="AX11" s="112">
        <v>0</v>
      </c>
      <c r="AY11" s="112">
        <v>0</v>
      </c>
      <c r="AZ11" s="112">
        <v>0</v>
      </c>
      <c r="BA11" s="112">
        <v>502.76</v>
      </c>
      <c r="BB11" s="112">
        <v>13815.99999999994</v>
      </c>
      <c r="BC11" s="134">
        <v>0</v>
      </c>
      <c r="BD11" s="135">
        <v>0</v>
      </c>
      <c r="BE11" s="173">
        <v>0</v>
      </c>
      <c r="BF11" s="111">
        <v>502.76</v>
      </c>
      <c r="BG11" s="111">
        <v>3.1399999999999864</v>
      </c>
      <c r="BH11" s="173">
        <v>13815.99999999994</v>
      </c>
      <c r="BI11" s="174">
        <v>13815.99999999994</v>
      </c>
      <c r="BJ11" s="175">
        <v>12023.99999999994</v>
      </c>
      <c r="BK11" s="173">
        <v>968.97</v>
      </c>
      <c r="BL11" s="173">
        <v>605.00000000000682</v>
      </c>
      <c r="BM11" s="188">
        <v>14420.999999999947</v>
      </c>
      <c r="BN11" s="138">
        <v>17500</v>
      </c>
      <c r="BO11" s="177">
        <v>3079.0000000000528</v>
      </c>
      <c r="BP11" s="165">
        <v>2853694</v>
      </c>
      <c r="BQ11" s="165">
        <v>19</v>
      </c>
      <c r="BR11" s="165">
        <v>4143421</v>
      </c>
      <c r="BS11" s="165">
        <v>1773</v>
      </c>
      <c r="BT11" s="115">
        <v>1792</v>
      </c>
      <c r="BU11" s="2">
        <v>19</v>
      </c>
      <c r="BV11" s="2">
        <v>22</v>
      </c>
    </row>
    <row r="12" spans="1:138" ht="24.9" customHeight="1">
      <c r="A12" s="162">
        <v>8</v>
      </c>
      <c r="B12" s="163"/>
      <c r="C12" s="163">
        <v>74381</v>
      </c>
      <c r="D12" s="163">
        <v>238479</v>
      </c>
      <c r="E12" s="164">
        <v>35</v>
      </c>
      <c r="F12" s="164">
        <v>18</v>
      </c>
      <c r="G12" s="163"/>
      <c r="H12" s="163">
        <v>135966</v>
      </c>
      <c r="I12" s="165">
        <v>78215</v>
      </c>
      <c r="J12" s="166">
        <v>3</v>
      </c>
      <c r="K12" s="167">
        <v>15212</v>
      </c>
      <c r="L12" s="167">
        <v>4</v>
      </c>
      <c r="M12" s="181">
        <v>623</v>
      </c>
      <c r="N12" s="126">
        <v>6</v>
      </c>
      <c r="O12" s="189">
        <v>561</v>
      </c>
      <c r="P12" s="190">
        <v>3</v>
      </c>
      <c r="Q12" s="169">
        <v>57397</v>
      </c>
      <c r="R12" s="99">
        <v>0</v>
      </c>
      <c r="S12" s="129">
        <v>25357</v>
      </c>
      <c r="T12" s="100">
        <v>0</v>
      </c>
      <c r="U12" s="119">
        <v>9716</v>
      </c>
      <c r="V12" s="119">
        <v>1727</v>
      </c>
      <c r="W12" s="99">
        <v>0</v>
      </c>
      <c r="X12" s="170">
        <v>37165</v>
      </c>
      <c r="Y12" s="100">
        <v>17</v>
      </c>
      <c r="Z12" s="171">
        <v>8078</v>
      </c>
      <c r="AA12" s="171">
        <v>7162</v>
      </c>
      <c r="AB12" s="99">
        <v>3</v>
      </c>
      <c r="AC12" s="170">
        <v>2425</v>
      </c>
      <c r="AD12" s="170">
        <v>1718</v>
      </c>
      <c r="AE12" s="100">
        <v>4</v>
      </c>
      <c r="AF12" s="172">
        <v>0</v>
      </c>
      <c r="AG12" s="110">
        <v>210347</v>
      </c>
      <c r="AH12" s="167">
        <v>67</v>
      </c>
      <c r="AI12" s="132">
        <v>170</v>
      </c>
      <c r="AJ12" s="132">
        <v>103</v>
      </c>
      <c r="AK12" s="105">
        <v>1806231</v>
      </c>
      <c r="AL12" s="105">
        <v>1077</v>
      </c>
      <c r="AM12" s="105">
        <v>64848</v>
      </c>
      <c r="AN12" s="106">
        <v>32</v>
      </c>
      <c r="AO12" s="135">
        <v>133514</v>
      </c>
      <c r="AP12" s="107">
        <v>0</v>
      </c>
      <c r="AQ12" s="111">
        <v>134239</v>
      </c>
      <c r="AR12" s="107">
        <v>0</v>
      </c>
      <c r="AS12" s="111">
        <v>1872156</v>
      </c>
      <c r="AT12" s="108">
        <v>1109</v>
      </c>
      <c r="AU12" s="132">
        <v>1700</v>
      </c>
      <c r="AV12" s="132">
        <v>591</v>
      </c>
      <c r="AW12" s="157">
        <v>0</v>
      </c>
      <c r="AX12" s="112">
        <v>0</v>
      </c>
      <c r="AY12" s="112">
        <v>0</v>
      </c>
      <c r="AZ12" s="112">
        <v>0</v>
      </c>
      <c r="BA12" s="112">
        <v>505.98</v>
      </c>
      <c r="BB12" s="112">
        <v>14168.00000000012</v>
      </c>
      <c r="BC12" s="134">
        <v>0</v>
      </c>
      <c r="BD12" s="135">
        <v>0</v>
      </c>
      <c r="BE12" s="173">
        <v>0</v>
      </c>
      <c r="BF12" s="111">
        <v>505.98</v>
      </c>
      <c r="BG12" s="111">
        <v>3.2200000000000273</v>
      </c>
      <c r="BH12" s="173">
        <v>14168.00000000012</v>
      </c>
      <c r="BI12" s="174">
        <v>14168.00000000012</v>
      </c>
      <c r="BJ12" s="175">
        <v>12241.00000000012</v>
      </c>
      <c r="BK12" s="173">
        <v>974.99</v>
      </c>
      <c r="BL12" s="173">
        <v>601.99999999999818</v>
      </c>
      <c r="BM12" s="191">
        <v>14770.000000000118</v>
      </c>
      <c r="BN12" s="138">
        <v>17500</v>
      </c>
      <c r="BO12" s="177">
        <v>2729.9999999998818</v>
      </c>
      <c r="BP12" s="165">
        <v>2853714</v>
      </c>
      <c r="BQ12" s="165">
        <v>20</v>
      </c>
      <c r="BR12" s="165">
        <v>4145328</v>
      </c>
      <c r="BS12" s="165">
        <v>1907</v>
      </c>
      <c r="BT12" s="115">
        <v>1927</v>
      </c>
      <c r="BU12" s="2">
        <v>27</v>
      </c>
      <c r="BV12" s="2">
        <v>33</v>
      </c>
    </row>
    <row r="13" spans="1:138" ht="24.9" customHeight="1">
      <c r="A13" s="139">
        <v>9</v>
      </c>
      <c r="B13" s="163"/>
      <c r="C13" s="163">
        <v>74456</v>
      </c>
      <c r="D13" s="163">
        <v>238519</v>
      </c>
      <c r="E13" s="164">
        <v>40</v>
      </c>
      <c r="F13" s="164">
        <v>19</v>
      </c>
      <c r="G13" s="163"/>
      <c r="H13" s="163">
        <v>135966</v>
      </c>
      <c r="I13" s="165">
        <v>78218</v>
      </c>
      <c r="J13" s="166">
        <v>3</v>
      </c>
      <c r="K13" s="167">
        <v>15216</v>
      </c>
      <c r="L13" s="167">
        <v>4</v>
      </c>
      <c r="M13" s="189">
        <v>629</v>
      </c>
      <c r="N13" s="126">
        <v>6</v>
      </c>
      <c r="O13" s="192">
        <v>565</v>
      </c>
      <c r="P13" s="182">
        <v>4</v>
      </c>
      <c r="Q13" s="169">
        <v>57397</v>
      </c>
      <c r="R13" s="99">
        <v>0</v>
      </c>
      <c r="S13" s="129">
        <v>25357</v>
      </c>
      <c r="T13" s="100">
        <v>0</v>
      </c>
      <c r="U13" s="119">
        <v>9716</v>
      </c>
      <c r="V13" s="119">
        <v>1727</v>
      </c>
      <c r="W13" s="99">
        <v>0</v>
      </c>
      <c r="X13" s="170">
        <v>37186</v>
      </c>
      <c r="Y13" s="100">
        <v>21</v>
      </c>
      <c r="Z13" s="171">
        <v>8080</v>
      </c>
      <c r="AA13" s="171">
        <v>7163</v>
      </c>
      <c r="AB13" s="99">
        <v>3</v>
      </c>
      <c r="AC13" s="170">
        <v>2427</v>
      </c>
      <c r="AD13" s="170">
        <v>1719</v>
      </c>
      <c r="AE13" s="100">
        <v>3</v>
      </c>
      <c r="AF13" s="172">
        <v>0</v>
      </c>
      <c r="AG13" s="110">
        <v>210422</v>
      </c>
      <c r="AH13" s="167">
        <v>75</v>
      </c>
      <c r="AI13" s="132">
        <v>170</v>
      </c>
      <c r="AJ13" s="132">
        <v>95</v>
      </c>
      <c r="AK13" s="105">
        <v>1807270</v>
      </c>
      <c r="AL13" s="105">
        <v>1039</v>
      </c>
      <c r="AM13" s="105">
        <v>64879</v>
      </c>
      <c r="AN13" s="106">
        <v>31</v>
      </c>
      <c r="AO13" s="135">
        <v>133514</v>
      </c>
      <c r="AP13" s="107">
        <v>0</v>
      </c>
      <c r="AQ13" s="111">
        <v>134239</v>
      </c>
      <c r="AR13" s="107">
        <v>0</v>
      </c>
      <c r="AS13" s="111">
        <v>1873188</v>
      </c>
      <c r="AT13" s="108">
        <v>1070</v>
      </c>
      <c r="AU13" s="132">
        <v>1700</v>
      </c>
      <c r="AV13" s="132">
        <v>630</v>
      </c>
      <c r="AW13" s="157">
        <v>0</v>
      </c>
      <c r="AX13" s="112">
        <v>0</v>
      </c>
      <c r="AY13" s="112">
        <v>0</v>
      </c>
      <c r="AZ13" s="112">
        <v>0</v>
      </c>
      <c r="BA13" s="112">
        <v>509.14</v>
      </c>
      <c r="BB13" s="112">
        <v>13903.99999999986</v>
      </c>
      <c r="BC13" s="134">
        <v>0</v>
      </c>
      <c r="BD13" s="135">
        <v>0</v>
      </c>
      <c r="BE13" s="173">
        <v>0</v>
      </c>
      <c r="BF13" s="111">
        <v>509.14</v>
      </c>
      <c r="BG13" s="111">
        <v>3.1599999999999682</v>
      </c>
      <c r="BH13" s="173">
        <v>13903.99999999986</v>
      </c>
      <c r="BI13" s="174">
        <v>13903.99999999986</v>
      </c>
      <c r="BJ13" s="175">
        <v>12001.99999999986</v>
      </c>
      <c r="BK13" s="173">
        <v>980.84</v>
      </c>
      <c r="BL13" s="173">
        <v>585.00000000000227</v>
      </c>
      <c r="BM13" s="193">
        <v>14488.999999999862</v>
      </c>
      <c r="BN13" s="138">
        <v>17500</v>
      </c>
      <c r="BO13" s="177">
        <v>3011.0000000001382</v>
      </c>
      <c r="BP13" s="165">
        <v>2853732</v>
      </c>
      <c r="BQ13" s="165">
        <v>18</v>
      </c>
      <c r="BR13" s="165">
        <v>4147212</v>
      </c>
      <c r="BS13" s="165">
        <v>1884</v>
      </c>
      <c r="BT13" s="115">
        <v>1902</v>
      </c>
      <c r="BU13" s="2">
        <v>15</v>
      </c>
      <c r="BV13" s="2">
        <v>21</v>
      </c>
    </row>
    <row r="14" spans="1:138" ht="24.9" customHeight="1">
      <c r="A14" s="162">
        <v>10</v>
      </c>
      <c r="B14" s="163"/>
      <c r="C14" s="163">
        <v>74524</v>
      </c>
      <c r="D14" s="163">
        <v>238556</v>
      </c>
      <c r="E14" s="164">
        <v>37</v>
      </c>
      <c r="F14" s="164">
        <v>17</v>
      </c>
      <c r="G14" s="163"/>
      <c r="H14" s="163">
        <v>135966</v>
      </c>
      <c r="I14" s="165">
        <v>78221</v>
      </c>
      <c r="J14" s="194">
        <v>3</v>
      </c>
      <c r="K14" s="167">
        <v>15222</v>
      </c>
      <c r="L14" s="167">
        <v>6</v>
      </c>
      <c r="M14" s="192">
        <v>636</v>
      </c>
      <c r="N14" s="126">
        <v>7</v>
      </c>
      <c r="O14" s="195">
        <v>567</v>
      </c>
      <c r="P14" s="190">
        <v>2</v>
      </c>
      <c r="Q14" s="169">
        <v>57397</v>
      </c>
      <c r="R14" s="99">
        <v>0</v>
      </c>
      <c r="S14" s="129">
        <v>25357</v>
      </c>
      <c r="T14" s="100">
        <v>0</v>
      </c>
      <c r="U14" s="119">
        <v>9716</v>
      </c>
      <c r="V14" s="119">
        <v>1727</v>
      </c>
      <c r="W14" s="99">
        <v>0</v>
      </c>
      <c r="X14" s="170">
        <v>37206</v>
      </c>
      <c r="Y14" s="100">
        <v>20</v>
      </c>
      <c r="Z14" s="171">
        <v>8081</v>
      </c>
      <c r="AA14" s="171">
        <v>7165</v>
      </c>
      <c r="AB14" s="99">
        <v>3</v>
      </c>
      <c r="AC14" s="170">
        <v>2428</v>
      </c>
      <c r="AD14" s="170">
        <v>1719</v>
      </c>
      <c r="AE14" s="100">
        <v>1</v>
      </c>
      <c r="AF14" s="172">
        <v>0</v>
      </c>
      <c r="AG14" s="110">
        <v>210490</v>
      </c>
      <c r="AH14" s="167">
        <v>68</v>
      </c>
      <c r="AI14" s="132">
        <v>170</v>
      </c>
      <c r="AJ14" s="132">
        <v>102</v>
      </c>
      <c r="AK14" s="105">
        <v>1808456</v>
      </c>
      <c r="AL14" s="105">
        <v>1186</v>
      </c>
      <c r="AM14" s="105">
        <v>64914</v>
      </c>
      <c r="AN14" s="106">
        <v>35</v>
      </c>
      <c r="AO14" s="135">
        <v>133514</v>
      </c>
      <c r="AP14" s="107">
        <v>0</v>
      </c>
      <c r="AQ14" s="111">
        <v>134239</v>
      </c>
      <c r="AR14" s="107">
        <v>0</v>
      </c>
      <c r="AS14" s="111">
        <v>1874556</v>
      </c>
      <c r="AT14" s="108">
        <v>1221</v>
      </c>
      <c r="AU14" s="132">
        <v>1700</v>
      </c>
      <c r="AV14" s="132">
        <v>479</v>
      </c>
      <c r="AW14" s="157">
        <v>0</v>
      </c>
      <c r="AX14" s="112">
        <v>0</v>
      </c>
      <c r="AY14" s="112">
        <v>0</v>
      </c>
      <c r="AZ14" s="112">
        <v>0</v>
      </c>
      <c r="BA14" s="112">
        <v>512.61</v>
      </c>
      <c r="BB14" s="112">
        <v>15268.00000000012</v>
      </c>
      <c r="BC14" s="134">
        <v>0</v>
      </c>
      <c r="BD14" s="135">
        <v>0</v>
      </c>
      <c r="BE14" s="173">
        <v>0</v>
      </c>
      <c r="BF14" s="111">
        <v>512.61</v>
      </c>
      <c r="BG14" s="111">
        <v>3.4700000000000273</v>
      </c>
      <c r="BH14" s="173">
        <v>15268.00000000012</v>
      </c>
      <c r="BI14" s="174">
        <v>15268.00000000012</v>
      </c>
      <c r="BJ14" s="175">
        <v>13105.00000000012</v>
      </c>
      <c r="BK14" s="173">
        <v>986.36</v>
      </c>
      <c r="BL14" s="173">
        <v>551.99999999999818</v>
      </c>
      <c r="BM14" s="196">
        <v>15820.000000000118</v>
      </c>
      <c r="BN14" s="138">
        <v>17500</v>
      </c>
      <c r="BO14" s="177">
        <v>1679.9999999998818</v>
      </c>
      <c r="BP14" s="165">
        <v>2853753</v>
      </c>
      <c r="BQ14" s="165">
        <v>21</v>
      </c>
      <c r="BR14" s="165">
        <v>4149354</v>
      </c>
      <c r="BS14" s="165">
        <v>2142</v>
      </c>
      <c r="BT14" s="115">
        <v>2163</v>
      </c>
      <c r="BU14" s="2">
        <v>13</v>
      </c>
      <c r="BV14" s="2">
        <v>19</v>
      </c>
    </row>
    <row r="15" spans="1:138" ht="24.9" customHeight="1">
      <c r="A15" s="139">
        <v>11</v>
      </c>
      <c r="B15" s="163"/>
      <c r="C15" s="163">
        <v>74589</v>
      </c>
      <c r="D15" s="163">
        <v>238585</v>
      </c>
      <c r="E15" s="164">
        <v>29</v>
      </c>
      <c r="F15" s="164">
        <v>15</v>
      </c>
      <c r="G15" s="163"/>
      <c r="H15" s="163">
        <v>135966</v>
      </c>
      <c r="I15" s="165">
        <v>78224</v>
      </c>
      <c r="J15" s="197">
        <v>3</v>
      </c>
      <c r="K15" s="167">
        <v>15226</v>
      </c>
      <c r="L15" s="167">
        <v>4</v>
      </c>
      <c r="M15" s="195">
        <v>641</v>
      </c>
      <c r="N15" s="126">
        <v>5</v>
      </c>
      <c r="O15" s="181">
        <v>568</v>
      </c>
      <c r="P15" s="127">
        <v>1</v>
      </c>
      <c r="Q15" s="169">
        <v>57397</v>
      </c>
      <c r="R15" s="99">
        <v>0</v>
      </c>
      <c r="S15" s="129">
        <v>25357</v>
      </c>
      <c r="T15" s="100">
        <v>0</v>
      </c>
      <c r="U15" s="119">
        <v>9716</v>
      </c>
      <c r="V15" s="119">
        <v>1727</v>
      </c>
      <c r="W15" s="99">
        <v>0</v>
      </c>
      <c r="X15" s="170">
        <v>37220</v>
      </c>
      <c r="Y15" s="100">
        <v>14</v>
      </c>
      <c r="Z15" s="171">
        <v>8082</v>
      </c>
      <c r="AA15" s="171">
        <v>7166</v>
      </c>
      <c r="AB15" s="99">
        <v>2</v>
      </c>
      <c r="AC15" s="170">
        <v>2429</v>
      </c>
      <c r="AD15" s="170">
        <v>1720</v>
      </c>
      <c r="AE15" s="100">
        <v>2</v>
      </c>
      <c r="AF15" s="172">
        <v>0</v>
      </c>
      <c r="AG15" s="110">
        <v>210555</v>
      </c>
      <c r="AH15" s="167">
        <v>65</v>
      </c>
      <c r="AI15" s="132">
        <v>170</v>
      </c>
      <c r="AJ15" s="132">
        <v>105</v>
      </c>
      <c r="AK15" s="105">
        <v>1809636</v>
      </c>
      <c r="AL15" s="105">
        <v>1180</v>
      </c>
      <c r="AM15" s="105">
        <v>64954</v>
      </c>
      <c r="AN15" s="106">
        <v>40</v>
      </c>
      <c r="AO15" s="111">
        <v>133514</v>
      </c>
      <c r="AP15" s="107">
        <v>0</v>
      </c>
      <c r="AQ15" s="111">
        <v>134239</v>
      </c>
      <c r="AR15" s="107">
        <v>0</v>
      </c>
      <c r="AS15" s="111">
        <v>1875770</v>
      </c>
      <c r="AT15" s="108">
        <v>1220</v>
      </c>
      <c r="AU15" s="132">
        <v>1700</v>
      </c>
      <c r="AV15" s="132">
        <v>480</v>
      </c>
      <c r="AW15" s="157">
        <v>0</v>
      </c>
      <c r="AX15" s="112">
        <v>0</v>
      </c>
      <c r="AY15" s="112">
        <v>0</v>
      </c>
      <c r="AZ15" s="112">
        <v>0</v>
      </c>
      <c r="BA15" s="112">
        <v>515.88</v>
      </c>
      <c r="BB15" s="112">
        <v>14387.99999999992</v>
      </c>
      <c r="BC15" s="134">
        <v>0</v>
      </c>
      <c r="BD15" s="135">
        <v>0</v>
      </c>
      <c r="BE15" s="173">
        <v>0</v>
      </c>
      <c r="BF15" s="111">
        <v>515.88</v>
      </c>
      <c r="BG15" s="111">
        <v>3.2699999999999818</v>
      </c>
      <c r="BH15" s="173">
        <v>14387.99999999992</v>
      </c>
      <c r="BI15" s="174">
        <v>14387.99999999992</v>
      </c>
      <c r="BJ15" s="175">
        <v>12622.99999999992</v>
      </c>
      <c r="BK15" s="173">
        <v>991.69</v>
      </c>
      <c r="BL15" s="173">
        <v>533.00000000000409</v>
      </c>
      <c r="BM15" s="198">
        <v>14920.999999999924</v>
      </c>
      <c r="BN15" s="138">
        <v>17500</v>
      </c>
      <c r="BO15" s="177">
        <v>2579.0000000000764</v>
      </c>
      <c r="BP15" s="165">
        <v>2853773</v>
      </c>
      <c r="BQ15" s="165">
        <v>20</v>
      </c>
      <c r="BR15" s="165">
        <v>4151099</v>
      </c>
      <c r="BS15" s="165">
        <v>1745</v>
      </c>
      <c r="BT15" s="115">
        <v>1765</v>
      </c>
      <c r="BU15" s="2">
        <v>11</v>
      </c>
      <c r="BV15" s="2">
        <v>15</v>
      </c>
    </row>
    <row r="16" spans="1:138" ht="24.9" customHeight="1">
      <c r="A16" s="162">
        <v>12</v>
      </c>
      <c r="B16" s="163"/>
      <c r="C16" s="163">
        <v>74631</v>
      </c>
      <c r="D16" s="163">
        <v>238604</v>
      </c>
      <c r="E16" s="164">
        <v>19</v>
      </c>
      <c r="F16" s="164">
        <v>17</v>
      </c>
      <c r="G16" s="163"/>
      <c r="H16" s="163">
        <v>135966</v>
      </c>
      <c r="I16" s="165">
        <v>78227</v>
      </c>
      <c r="J16" s="199">
        <v>3</v>
      </c>
      <c r="K16" s="167">
        <v>15228</v>
      </c>
      <c r="L16" s="167">
        <v>2</v>
      </c>
      <c r="M16" s="181">
        <v>644</v>
      </c>
      <c r="N16" s="126">
        <v>3</v>
      </c>
      <c r="O16" s="181">
        <v>570</v>
      </c>
      <c r="P16" s="182">
        <v>2</v>
      </c>
      <c r="Q16" s="169">
        <v>57398</v>
      </c>
      <c r="R16" s="99">
        <v>1</v>
      </c>
      <c r="S16" s="129">
        <v>25357</v>
      </c>
      <c r="T16" s="100">
        <v>0</v>
      </c>
      <c r="U16" s="119">
        <v>9716</v>
      </c>
      <c r="V16" s="119">
        <v>1727</v>
      </c>
      <c r="W16" s="99">
        <v>0</v>
      </c>
      <c r="X16" s="170">
        <v>37222</v>
      </c>
      <c r="Y16" s="100">
        <v>2</v>
      </c>
      <c r="Z16" s="171">
        <v>8084</v>
      </c>
      <c r="AA16" s="171">
        <v>7168</v>
      </c>
      <c r="AB16" s="99">
        <v>4</v>
      </c>
      <c r="AC16" s="170">
        <v>2430</v>
      </c>
      <c r="AD16" s="170">
        <v>1721</v>
      </c>
      <c r="AE16" s="100">
        <v>2</v>
      </c>
      <c r="AF16" s="172">
        <v>1</v>
      </c>
      <c r="AG16" s="110">
        <v>210597</v>
      </c>
      <c r="AH16" s="167">
        <v>42</v>
      </c>
      <c r="AI16" s="132">
        <v>170</v>
      </c>
      <c r="AJ16" s="132">
        <v>128</v>
      </c>
      <c r="AK16" s="105">
        <v>1810532</v>
      </c>
      <c r="AL16" s="105">
        <v>896</v>
      </c>
      <c r="AM16" s="105">
        <v>64978</v>
      </c>
      <c r="AN16" s="106">
        <v>24</v>
      </c>
      <c r="AO16" s="111">
        <v>133514</v>
      </c>
      <c r="AP16" s="107">
        <v>0</v>
      </c>
      <c r="AQ16" s="111">
        <v>134239</v>
      </c>
      <c r="AR16" s="107">
        <v>0</v>
      </c>
      <c r="AS16" s="111">
        <v>1876406</v>
      </c>
      <c r="AT16" s="108">
        <v>920</v>
      </c>
      <c r="AU16" s="132">
        <v>1700</v>
      </c>
      <c r="AV16" s="132">
        <v>780</v>
      </c>
      <c r="AW16" s="157">
        <v>0</v>
      </c>
      <c r="AX16" s="112">
        <v>0</v>
      </c>
      <c r="AY16" s="112">
        <v>0</v>
      </c>
      <c r="AZ16" s="112">
        <v>0</v>
      </c>
      <c r="BA16" s="112">
        <v>517.87</v>
      </c>
      <c r="BB16" s="112">
        <v>8756.00000000004</v>
      </c>
      <c r="BC16" s="134">
        <v>0</v>
      </c>
      <c r="BD16" s="135">
        <v>0</v>
      </c>
      <c r="BE16" s="173">
        <v>0</v>
      </c>
      <c r="BF16" s="111">
        <v>517.87</v>
      </c>
      <c r="BG16" s="111">
        <v>1.9900000000000091</v>
      </c>
      <c r="BH16" s="173">
        <v>8756.00000000004</v>
      </c>
      <c r="BI16" s="174">
        <v>8756.00000000004</v>
      </c>
      <c r="BJ16" s="175">
        <v>8044.00000000004</v>
      </c>
      <c r="BK16" s="173">
        <v>995.97</v>
      </c>
      <c r="BL16" s="173">
        <v>427.99999999999727</v>
      </c>
      <c r="BM16" s="200">
        <v>9184.0000000000364</v>
      </c>
      <c r="BN16" s="138">
        <v>17500</v>
      </c>
      <c r="BO16" s="177">
        <v>8315.9999999999636</v>
      </c>
      <c r="BP16" s="165">
        <v>2853785</v>
      </c>
      <c r="BQ16" s="165">
        <v>12</v>
      </c>
      <c r="BR16" s="165">
        <v>4151799</v>
      </c>
      <c r="BS16" s="165">
        <v>700</v>
      </c>
      <c r="BT16" s="115">
        <v>712</v>
      </c>
      <c r="BU16" s="2">
        <v>11</v>
      </c>
      <c r="BV16" s="2">
        <v>16</v>
      </c>
    </row>
    <row r="17" spans="1:74" ht="24.9" customHeight="1">
      <c r="A17" s="139">
        <v>13</v>
      </c>
      <c r="B17" s="163"/>
      <c r="C17" s="163">
        <v>74683</v>
      </c>
      <c r="D17" s="163">
        <v>238625</v>
      </c>
      <c r="E17" s="164">
        <v>21</v>
      </c>
      <c r="F17" s="164">
        <v>8</v>
      </c>
      <c r="G17" s="163"/>
      <c r="H17" s="163">
        <v>135966</v>
      </c>
      <c r="I17" s="165">
        <v>78230</v>
      </c>
      <c r="J17" s="166">
        <v>3</v>
      </c>
      <c r="K17" s="167">
        <v>15231</v>
      </c>
      <c r="L17" s="167">
        <v>3</v>
      </c>
      <c r="M17" s="181">
        <v>649</v>
      </c>
      <c r="N17" s="126">
        <v>5</v>
      </c>
      <c r="O17" s="181">
        <v>572</v>
      </c>
      <c r="P17" s="127">
        <v>2</v>
      </c>
      <c r="Q17" s="169">
        <v>57398</v>
      </c>
      <c r="R17" s="99">
        <v>0</v>
      </c>
      <c r="S17" s="129">
        <v>25357</v>
      </c>
      <c r="T17" s="100">
        <v>0</v>
      </c>
      <c r="U17" s="119">
        <v>9717</v>
      </c>
      <c r="V17" s="119">
        <v>1728</v>
      </c>
      <c r="W17" s="99">
        <v>2</v>
      </c>
      <c r="X17" s="170">
        <v>37235</v>
      </c>
      <c r="Y17" s="100">
        <v>13</v>
      </c>
      <c r="Z17" s="171">
        <v>8087</v>
      </c>
      <c r="AA17" s="171">
        <v>7169</v>
      </c>
      <c r="AB17" s="99">
        <v>4</v>
      </c>
      <c r="AC17" s="170">
        <v>2431</v>
      </c>
      <c r="AD17" s="170">
        <v>1721</v>
      </c>
      <c r="AE17" s="100">
        <v>1</v>
      </c>
      <c r="AF17" s="172">
        <v>2</v>
      </c>
      <c r="AG17" s="110">
        <v>210649</v>
      </c>
      <c r="AH17" s="167">
        <v>52</v>
      </c>
      <c r="AI17" s="132">
        <v>170</v>
      </c>
      <c r="AJ17" s="132">
        <v>118</v>
      </c>
      <c r="AK17" s="105">
        <v>1812311</v>
      </c>
      <c r="AL17" s="105">
        <v>1779</v>
      </c>
      <c r="AM17" s="105">
        <v>65006</v>
      </c>
      <c r="AN17" s="106">
        <v>28</v>
      </c>
      <c r="AO17" s="111">
        <v>133607</v>
      </c>
      <c r="AP17" s="107">
        <v>93</v>
      </c>
      <c r="AQ17" s="111">
        <v>134326</v>
      </c>
      <c r="AR17" s="107">
        <v>87</v>
      </c>
      <c r="AS17" s="111">
        <v>1879096</v>
      </c>
      <c r="AT17" s="108">
        <v>1807</v>
      </c>
      <c r="AU17" s="132">
        <v>1700</v>
      </c>
      <c r="AV17" s="132">
        <v>-107</v>
      </c>
      <c r="AW17" s="157">
        <v>0</v>
      </c>
      <c r="AX17" s="112">
        <v>0</v>
      </c>
      <c r="AY17" s="112">
        <v>0</v>
      </c>
      <c r="AZ17" s="112">
        <v>0</v>
      </c>
      <c r="BA17" s="112">
        <v>521.14</v>
      </c>
      <c r="BB17" s="112">
        <v>14387.99999999992</v>
      </c>
      <c r="BC17" s="134">
        <v>0</v>
      </c>
      <c r="BD17" s="135">
        <v>0</v>
      </c>
      <c r="BE17" s="173">
        <v>0</v>
      </c>
      <c r="BF17" s="111">
        <v>521.14</v>
      </c>
      <c r="BG17" s="111">
        <v>3.2699999999999818</v>
      </c>
      <c r="BH17" s="173">
        <v>14387.99999999992</v>
      </c>
      <c r="BI17" s="174">
        <v>14387.99999999992</v>
      </c>
      <c r="BJ17" s="175">
        <v>14352.99999999992</v>
      </c>
      <c r="BK17" s="173">
        <v>1000.21</v>
      </c>
      <c r="BL17" s="173">
        <v>424.00000000000091</v>
      </c>
      <c r="BM17" s="201">
        <v>14811.99999999992</v>
      </c>
      <c r="BN17" s="138">
        <v>17500</v>
      </c>
      <c r="BO17" s="177">
        <v>2688.00000000008</v>
      </c>
      <c r="BP17" s="165">
        <v>2853805</v>
      </c>
      <c r="BQ17" s="165">
        <v>20</v>
      </c>
      <c r="BR17" s="165">
        <v>4151814</v>
      </c>
      <c r="BS17" s="165">
        <v>15</v>
      </c>
      <c r="BT17" s="115">
        <v>35</v>
      </c>
      <c r="BU17" s="2">
        <v>11</v>
      </c>
      <c r="BV17" s="2">
        <v>16</v>
      </c>
    </row>
    <row r="18" spans="1:74" ht="24.9" customHeight="1">
      <c r="A18" s="139">
        <v>14</v>
      </c>
      <c r="B18" s="163"/>
      <c r="C18" s="163">
        <v>74795</v>
      </c>
      <c r="D18" s="163">
        <v>238656</v>
      </c>
      <c r="E18" s="164">
        <v>31</v>
      </c>
      <c r="F18" s="164">
        <v>19</v>
      </c>
      <c r="G18" s="163"/>
      <c r="H18" s="163">
        <v>135966</v>
      </c>
      <c r="I18" s="165">
        <v>78254</v>
      </c>
      <c r="J18" s="166">
        <v>24</v>
      </c>
      <c r="K18" s="167">
        <v>15237</v>
      </c>
      <c r="L18" s="167">
        <v>6</v>
      </c>
      <c r="M18" s="181">
        <v>656</v>
      </c>
      <c r="N18" s="126">
        <v>7</v>
      </c>
      <c r="O18" s="181">
        <v>574</v>
      </c>
      <c r="P18" s="202">
        <v>2</v>
      </c>
      <c r="Q18" s="169">
        <v>57412</v>
      </c>
      <c r="R18" s="99">
        <v>14</v>
      </c>
      <c r="S18" s="129">
        <v>25358</v>
      </c>
      <c r="T18" s="100">
        <v>1</v>
      </c>
      <c r="U18" s="119">
        <v>9724</v>
      </c>
      <c r="V18" s="119">
        <v>1728</v>
      </c>
      <c r="W18" s="99">
        <v>7</v>
      </c>
      <c r="X18" s="170">
        <v>37247</v>
      </c>
      <c r="Y18" s="100">
        <v>12</v>
      </c>
      <c r="Z18" s="171">
        <v>8089</v>
      </c>
      <c r="AA18" s="171">
        <v>7171</v>
      </c>
      <c r="AB18" s="99">
        <v>4</v>
      </c>
      <c r="AC18" s="170">
        <v>2433</v>
      </c>
      <c r="AD18" s="170">
        <v>1721</v>
      </c>
      <c r="AE18" s="100">
        <v>2</v>
      </c>
      <c r="AF18" s="172">
        <v>22</v>
      </c>
      <c r="AG18" s="110">
        <v>210761</v>
      </c>
      <c r="AH18" s="167">
        <v>112</v>
      </c>
      <c r="AI18" s="132">
        <v>170</v>
      </c>
      <c r="AJ18" s="132">
        <v>58</v>
      </c>
      <c r="AK18" s="105">
        <v>1815194</v>
      </c>
      <c r="AL18" s="105">
        <v>2883</v>
      </c>
      <c r="AM18" s="105">
        <v>65038</v>
      </c>
      <c r="AN18" s="106">
        <v>32</v>
      </c>
      <c r="AO18" s="111">
        <v>134288</v>
      </c>
      <c r="AP18" s="107">
        <v>681</v>
      </c>
      <c r="AQ18" s="111">
        <v>134326</v>
      </c>
      <c r="AR18" s="107">
        <v>0</v>
      </c>
      <c r="AS18" s="111">
        <v>1883115</v>
      </c>
      <c r="AT18" s="108">
        <v>2915</v>
      </c>
      <c r="AU18" s="132">
        <v>1700</v>
      </c>
      <c r="AV18" s="132">
        <v>-1215</v>
      </c>
      <c r="AW18" s="157">
        <v>0</v>
      </c>
      <c r="AX18" s="112">
        <v>0</v>
      </c>
      <c r="AY18" s="112">
        <v>0</v>
      </c>
      <c r="AZ18" s="112">
        <v>0</v>
      </c>
      <c r="BA18" s="112">
        <v>524.88</v>
      </c>
      <c r="BB18" s="112">
        <v>16456.00000000004</v>
      </c>
      <c r="BC18" s="134">
        <v>0</v>
      </c>
      <c r="BD18" s="135">
        <v>0</v>
      </c>
      <c r="BE18" s="173">
        <v>0</v>
      </c>
      <c r="BF18" s="111">
        <v>524.88</v>
      </c>
      <c r="BG18" s="111">
        <v>3.7400000000000091</v>
      </c>
      <c r="BH18" s="173">
        <v>16456.00000000004</v>
      </c>
      <c r="BI18" s="174">
        <v>16456.00000000004</v>
      </c>
      <c r="BJ18" s="175">
        <v>15234.00000000004</v>
      </c>
      <c r="BK18" s="173">
        <v>1011.24</v>
      </c>
      <c r="BL18" s="173">
        <v>1102.9999999999973</v>
      </c>
      <c r="BM18" s="137">
        <v>17559.000000000036</v>
      </c>
      <c r="BN18" s="138">
        <v>17500</v>
      </c>
      <c r="BO18" s="177">
        <v>-59.00000000003638</v>
      </c>
      <c r="BP18" s="165">
        <v>2854944</v>
      </c>
      <c r="BQ18" s="165">
        <v>1139</v>
      </c>
      <c r="BR18" s="165">
        <v>4151897</v>
      </c>
      <c r="BS18" s="165">
        <v>83</v>
      </c>
      <c r="BT18" s="115">
        <v>1222</v>
      </c>
      <c r="BU18" s="2">
        <v>13</v>
      </c>
      <c r="BV18" s="2">
        <v>20</v>
      </c>
    </row>
    <row r="19" spans="1:74" ht="24.9" customHeight="1">
      <c r="A19" s="162">
        <v>15</v>
      </c>
      <c r="B19" s="163"/>
      <c r="C19" s="163">
        <v>74883</v>
      </c>
      <c r="D19" s="163">
        <v>238684</v>
      </c>
      <c r="E19" s="164">
        <v>28</v>
      </c>
      <c r="F19" s="164">
        <v>18</v>
      </c>
      <c r="G19" s="163"/>
      <c r="H19" s="163">
        <v>135966</v>
      </c>
      <c r="I19" s="165">
        <v>78274</v>
      </c>
      <c r="J19" s="199">
        <v>20</v>
      </c>
      <c r="K19" s="167">
        <v>15241</v>
      </c>
      <c r="L19" s="167">
        <v>4</v>
      </c>
      <c r="M19" s="181">
        <v>663</v>
      </c>
      <c r="N19" s="126">
        <v>7</v>
      </c>
      <c r="O19" s="181">
        <v>576</v>
      </c>
      <c r="P19" s="203">
        <v>2</v>
      </c>
      <c r="Q19" s="204">
        <v>57421</v>
      </c>
      <c r="R19" s="205">
        <v>9</v>
      </c>
      <c r="S19" s="129">
        <v>25359</v>
      </c>
      <c r="T19" s="100">
        <v>1</v>
      </c>
      <c r="U19" s="119">
        <v>9730</v>
      </c>
      <c r="V19" s="119">
        <v>1728</v>
      </c>
      <c r="W19" s="99">
        <v>6</v>
      </c>
      <c r="X19" s="170">
        <v>37257</v>
      </c>
      <c r="Y19" s="100">
        <v>10</v>
      </c>
      <c r="Z19" s="171">
        <v>8090</v>
      </c>
      <c r="AA19" s="171">
        <v>7172</v>
      </c>
      <c r="AB19" s="99">
        <v>2</v>
      </c>
      <c r="AC19" s="170">
        <v>2434</v>
      </c>
      <c r="AD19" s="170">
        <v>1722</v>
      </c>
      <c r="AE19" s="100">
        <v>2</v>
      </c>
      <c r="AF19" s="172">
        <v>16</v>
      </c>
      <c r="AG19" s="110">
        <v>210849</v>
      </c>
      <c r="AH19" s="167">
        <v>88</v>
      </c>
      <c r="AI19" s="132">
        <v>170</v>
      </c>
      <c r="AJ19" s="132">
        <v>82</v>
      </c>
      <c r="AK19" s="105">
        <v>1817195</v>
      </c>
      <c r="AL19" s="105">
        <v>2001</v>
      </c>
      <c r="AM19" s="105">
        <v>65070</v>
      </c>
      <c r="AN19" s="106">
        <v>32</v>
      </c>
      <c r="AO19" s="111">
        <v>134790</v>
      </c>
      <c r="AP19" s="107">
        <v>502</v>
      </c>
      <c r="AQ19" s="111">
        <v>134326</v>
      </c>
      <c r="AR19" s="107">
        <v>0</v>
      </c>
      <c r="AS19" s="111">
        <v>1884266</v>
      </c>
      <c r="AT19" s="108">
        <v>2033</v>
      </c>
      <c r="AU19" s="132">
        <v>1700</v>
      </c>
      <c r="AV19" s="132">
        <v>-333</v>
      </c>
      <c r="AW19" s="157">
        <v>0</v>
      </c>
      <c r="AX19" s="112">
        <v>0</v>
      </c>
      <c r="AY19" s="112">
        <v>0</v>
      </c>
      <c r="AZ19" s="112">
        <v>0</v>
      </c>
      <c r="BA19" s="112">
        <v>527.78</v>
      </c>
      <c r="BB19" s="112">
        <v>12759.9999999999</v>
      </c>
      <c r="BC19" s="134">
        <v>0</v>
      </c>
      <c r="BD19" s="135">
        <v>0</v>
      </c>
      <c r="BE19" s="173">
        <v>0</v>
      </c>
      <c r="BF19" s="111">
        <v>527.78</v>
      </c>
      <c r="BG19" s="111">
        <v>2.8999999999999773</v>
      </c>
      <c r="BH19" s="173">
        <v>12759.9999999999</v>
      </c>
      <c r="BI19" s="174">
        <v>12759.9999999999</v>
      </c>
      <c r="BJ19" s="175">
        <v>12486.9999999999</v>
      </c>
      <c r="BK19" s="173">
        <v>1018.36</v>
      </c>
      <c r="BL19" s="173">
        <v>712.00000000000045</v>
      </c>
      <c r="BM19" s="206">
        <v>13471.9999999999</v>
      </c>
      <c r="BN19" s="138">
        <v>17500</v>
      </c>
      <c r="BO19" s="177">
        <v>4028.0000000001</v>
      </c>
      <c r="BP19" s="165">
        <v>2855201</v>
      </c>
      <c r="BQ19" s="165">
        <v>257</v>
      </c>
      <c r="BR19" s="165">
        <v>4151913</v>
      </c>
      <c r="BS19" s="165">
        <v>16</v>
      </c>
      <c r="BT19" s="115">
        <v>273</v>
      </c>
      <c r="BU19" s="2">
        <v>5</v>
      </c>
      <c r="BV19" s="2">
        <v>7</v>
      </c>
    </row>
    <row r="20" spans="1:74" ht="24.9" customHeight="1">
      <c r="A20" s="139">
        <v>16</v>
      </c>
      <c r="B20" s="163"/>
      <c r="C20" s="163">
        <v>74951</v>
      </c>
      <c r="D20" s="163">
        <v>238720</v>
      </c>
      <c r="E20" s="164">
        <v>36</v>
      </c>
      <c r="F20" s="164">
        <v>28</v>
      </c>
      <c r="G20" s="163"/>
      <c r="H20" s="163">
        <v>135966</v>
      </c>
      <c r="I20" s="165">
        <v>78277</v>
      </c>
      <c r="J20" s="199">
        <v>3</v>
      </c>
      <c r="K20" s="167">
        <v>15246</v>
      </c>
      <c r="L20" s="167">
        <v>5</v>
      </c>
      <c r="M20" s="181">
        <v>669</v>
      </c>
      <c r="N20" s="126">
        <v>6</v>
      </c>
      <c r="O20" s="181">
        <v>581</v>
      </c>
      <c r="P20" s="207">
        <v>5</v>
      </c>
      <c r="Q20" s="204">
        <v>57422</v>
      </c>
      <c r="R20" s="205">
        <v>1</v>
      </c>
      <c r="S20" s="129">
        <v>25359</v>
      </c>
      <c r="T20" s="100">
        <v>0</v>
      </c>
      <c r="U20" s="119">
        <v>9731</v>
      </c>
      <c r="V20" s="119">
        <v>1728</v>
      </c>
      <c r="W20" s="99">
        <v>1</v>
      </c>
      <c r="X20" s="170">
        <v>37265</v>
      </c>
      <c r="Y20" s="100">
        <v>8</v>
      </c>
      <c r="Z20" s="171">
        <v>8091</v>
      </c>
      <c r="AA20" s="171">
        <v>7180</v>
      </c>
      <c r="AB20" s="99">
        <v>9</v>
      </c>
      <c r="AC20" s="170">
        <v>2435</v>
      </c>
      <c r="AD20" s="170">
        <v>1722</v>
      </c>
      <c r="AE20" s="100">
        <v>1</v>
      </c>
      <c r="AF20" s="172">
        <v>2</v>
      </c>
      <c r="AG20" s="110">
        <v>210917</v>
      </c>
      <c r="AH20" s="167">
        <v>68</v>
      </c>
      <c r="AI20" s="132">
        <v>170</v>
      </c>
      <c r="AJ20" s="132">
        <v>102</v>
      </c>
      <c r="AK20" s="105">
        <v>1818957</v>
      </c>
      <c r="AL20" s="105">
        <v>1762</v>
      </c>
      <c r="AM20" s="105">
        <v>65108</v>
      </c>
      <c r="AN20" s="106">
        <v>38</v>
      </c>
      <c r="AO20" s="111">
        <v>134872</v>
      </c>
      <c r="AP20" s="107">
        <v>82</v>
      </c>
      <c r="AQ20" s="111">
        <v>134326</v>
      </c>
      <c r="AR20" s="107">
        <v>0</v>
      </c>
      <c r="AS20" s="111">
        <v>1885827</v>
      </c>
      <c r="AT20" s="108">
        <v>1800</v>
      </c>
      <c r="AU20" s="132">
        <v>1700</v>
      </c>
      <c r="AV20" s="132">
        <v>-100</v>
      </c>
      <c r="AW20" s="157">
        <v>0</v>
      </c>
      <c r="AX20" s="112">
        <v>0</v>
      </c>
      <c r="AY20" s="112">
        <v>0</v>
      </c>
      <c r="AZ20" s="112">
        <v>0</v>
      </c>
      <c r="BA20" s="112">
        <v>530.66999999999996</v>
      </c>
      <c r="BB20" s="112">
        <v>12715.99999999994</v>
      </c>
      <c r="BC20" s="134">
        <v>0</v>
      </c>
      <c r="BD20" s="135">
        <v>0</v>
      </c>
      <c r="BE20" s="173">
        <v>0</v>
      </c>
      <c r="BF20" s="111">
        <v>530.66999999999996</v>
      </c>
      <c r="BG20" s="111">
        <v>2.8899999999999864</v>
      </c>
      <c r="BH20" s="173">
        <v>12715.99999999994</v>
      </c>
      <c r="BI20" s="174">
        <v>12715.99999999994</v>
      </c>
      <c r="BJ20" s="175">
        <v>12688.99999999994</v>
      </c>
      <c r="BK20" s="173">
        <v>1025.49</v>
      </c>
      <c r="BL20" s="173">
        <v>712.99999999999955</v>
      </c>
      <c r="BM20" s="208">
        <v>13428.99999999994</v>
      </c>
      <c r="BN20" s="138">
        <v>17500</v>
      </c>
      <c r="BO20" s="177">
        <v>4071.00000000006</v>
      </c>
      <c r="BP20" s="165">
        <v>2855212</v>
      </c>
      <c r="BQ20" s="165">
        <v>11</v>
      </c>
      <c r="BR20" s="165">
        <v>4151929</v>
      </c>
      <c r="BS20" s="165">
        <v>16</v>
      </c>
      <c r="BT20" s="115">
        <v>27</v>
      </c>
      <c r="BU20" s="2">
        <v>3</v>
      </c>
      <c r="BV20" s="2">
        <v>7</v>
      </c>
    </row>
    <row r="21" spans="1:74" ht="24.9" customHeight="1">
      <c r="A21" s="162">
        <v>17</v>
      </c>
      <c r="B21" s="163"/>
      <c r="C21" s="163">
        <v>75005</v>
      </c>
      <c r="D21" s="163">
        <v>238740</v>
      </c>
      <c r="E21" s="164">
        <v>20</v>
      </c>
      <c r="F21" s="164">
        <v>11</v>
      </c>
      <c r="G21" s="163"/>
      <c r="H21" s="163">
        <v>135966</v>
      </c>
      <c r="I21" s="165">
        <v>78280</v>
      </c>
      <c r="J21" s="209">
        <v>3</v>
      </c>
      <c r="K21" s="167">
        <v>15250</v>
      </c>
      <c r="L21" s="167">
        <v>4</v>
      </c>
      <c r="M21" s="181">
        <v>675</v>
      </c>
      <c r="N21" s="126">
        <v>6</v>
      </c>
      <c r="O21" s="181">
        <v>583</v>
      </c>
      <c r="P21" s="210">
        <v>2</v>
      </c>
      <c r="Q21" s="204">
        <v>57422</v>
      </c>
      <c r="R21" s="205">
        <v>0</v>
      </c>
      <c r="S21" s="129">
        <v>25359</v>
      </c>
      <c r="T21" s="100">
        <v>0</v>
      </c>
      <c r="U21" s="119">
        <v>9731</v>
      </c>
      <c r="V21" s="119">
        <v>1728</v>
      </c>
      <c r="W21" s="99">
        <v>0</v>
      </c>
      <c r="X21" s="170">
        <v>37274</v>
      </c>
      <c r="Y21" s="100">
        <v>9</v>
      </c>
      <c r="Z21" s="171">
        <v>8092</v>
      </c>
      <c r="AA21" s="171">
        <v>7180</v>
      </c>
      <c r="AB21" s="99">
        <v>1</v>
      </c>
      <c r="AC21" s="211">
        <v>2436</v>
      </c>
      <c r="AD21" s="170">
        <v>1722</v>
      </c>
      <c r="AE21" s="100">
        <v>1</v>
      </c>
      <c r="AF21" s="172">
        <v>0</v>
      </c>
      <c r="AG21" s="110">
        <v>210971</v>
      </c>
      <c r="AH21" s="167">
        <v>54</v>
      </c>
      <c r="AI21" s="132">
        <v>170</v>
      </c>
      <c r="AJ21" s="132">
        <v>116</v>
      </c>
      <c r="AK21" s="105">
        <v>1820073</v>
      </c>
      <c r="AL21" s="105">
        <v>1116</v>
      </c>
      <c r="AM21" s="105">
        <v>65142</v>
      </c>
      <c r="AN21" s="106">
        <v>34</v>
      </c>
      <c r="AO21" s="111">
        <v>134872</v>
      </c>
      <c r="AP21" s="107">
        <v>0</v>
      </c>
      <c r="AQ21" s="111">
        <v>134326</v>
      </c>
      <c r="AR21" s="107">
        <v>0</v>
      </c>
      <c r="AS21" s="111">
        <v>1886331</v>
      </c>
      <c r="AT21" s="108">
        <v>1150</v>
      </c>
      <c r="AU21" s="132">
        <v>1700</v>
      </c>
      <c r="AV21" s="132">
        <v>550</v>
      </c>
      <c r="AW21" s="157">
        <v>0</v>
      </c>
      <c r="AX21" s="112">
        <v>0</v>
      </c>
      <c r="AY21" s="112">
        <v>0</v>
      </c>
      <c r="AZ21" s="112">
        <v>0</v>
      </c>
      <c r="BA21" s="112">
        <v>533.32000000000005</v>
      </c>
      <c r="BB21" s="112">
        <v>11660.0000000004</v>
      </c>
      <c r="BC21" s="134">
        <v>0</v>
      </c>
      <c r="BD21" s="135">
        <v>0</v>
      </c>
      <c r="BE21" s="173">
        <v>0</v>
      </c>
      <c r="BF21" s="111">
        <v>533.32000000000005</v>
      </c>
      <c r="BG21" s="111">
        <v>2.6500000000000909</v>
      </c>
      <c r="BH21" s="173">
        <v>11660.0000000004</v>
      </c>
      <c r="BI21" s="174">
        <v>11660.0000000004</v>
      </c>
      <c r="BJ21" s="175">
        <v>11618.0000000004</v>
      </c>
      <c r="BK21" s="173">
        <v>1031.3</v>
      </c>
      <c r="BL21" s="173">
        <v>580.99999999999454</v>
      </c>
      <c r="BM21" s="212">
        <v>12241.000000000395</v>
      </c>
      <c r="BN21" s="138">
        <v>17500</v>
      </c>
      <c r="BO21" s="177">
        <v>5258.9999999996053</v>
      </c>
      <c r="BP21" s="165">
        <v>2855239</v>
      </c>
      <c r="BQ21" s="165">
        <v>27</v>
      </c>
      <c r="BR21" s="165">
        <v>4151944</v>
      </c>
      <c r="BS21" s="165">
        <v>15</v>
      </c>
      <c r="BT21" s="115">
        <v>42</v>
      </c>
      <c r="BU21" s="2">
        <v>4</v>
      </c>
      <c r="BV21" s="2">
        <v>10</v>
      </c>
    </row>
    <row r="22" spans="1:74" ht="24.9" customHeight="1">
      <c r="A22" s="139">
        <v>18</v>
      </c>
      <c r="B22" s="163"/>
      <c r="C22" s="163">
        <v>75060</v>
      </c>
      <c r="D22" s="163">
        <v>238765</v>
      </c>
      <c r="E22" s="164">
        <v>25</v>
      </c>
      <c r="F22" s="164">
        <v>15</v>
      </c>
      <c r="G22" s="163"/>
      <c r="H22" s="163">
        <v>135966</v>
      </c>
      <c r="I22" s="165">
        <v>78283</v>
      </c>
      <c r="J22" s="166">
        <v>3</v>
      </c>
      <c r="K22" s="167">
        <v>15257</v>
      </c>
      <c r="L22" s="167">
        <v>7</v>
      </c>
      <c r="M22" s="181">
        <v>681</v>
      </c>
      <c r="N22" s="126">
        <v>6</v>
      </c>
      <c r="O22" s="181">
        <v>585</v>
      </c>
      <c r="P22" s="213">
        <v>2</v>
      </c>
      <c r="Q22" s="204">
        <v>57423</v>
      </c>
      <c r="R22" s="205">
        <v>1</v>
      </c>
      <c r="S22" s="129">
        <v>25359</v>
      </c>
      <c r="T22" s="100">
        <v>0</v>
      </c>
      <c r="U22" s="119">
        <v>9731</v>
      </c>
      <c r="V22" s="119">
        <v>1728</v>
      </c>
      <c r="W22" s="99">
        <v>0</v>
      </c>
      <c r="X22" s="170">
        <v>37284</v>
      </c>
      <c r="Y22" s="100">
        <v>10</v>
      </c>
      <c r="Z22" s="171">
        <v>8094</v>
      </c>
      <c r="AA22" s="171">
        <v>7180</v>
      </c>
      <c r="AB22" s="99">
        <v>2</v>
      </c>
      <c r="AC22" s="211">
        <v>2437</v>
      </c>
      <c r="AD22" s="170">
        <v>1723</v>
      </c>
      <c r="AE22" s="100">
        <v>2</v>
      </c>
      <c r="AF22" s="172">
        <v>1</v>
      </c>
      <c r="AG22" s="110">
        <v>211026</v>
      </c>
      <c r="AH22" s="167">
        <v>55</v>
      </c>
      <c r="AI22" s="132">
        <v>170</v>
      </c>
      <c r="AJ22" s="132">
        <v>115</v>
      </c>
      <c r="AK22" s="105">
        <v>1822155</v>
      </c>
      <c r="AL22" s="105">
        <v>2082</v>
      </c>
      <c r="AM22" s="105">
        <v>65180</v>
      </c>
      <c r="AN22" s="106">
        <v>38</v>
      </c>
      <c r="AO22" s="111">
        <v>134872</v>
      </c>
      <c r="AP22" s="107">
        <v>0</v>
      </c>
      <c r="AQ22" s="111">
        <v>134326</v>
      </c>
      <c r="AR22" s="107">
        <v>0</v>
      </c>
      <c r="AS22" s="111">
        <v>1889417</v>
      </c>
      <c r="AT22" s="108">
        <v>2120</v>
      </c>
      <c r="AU22" s="132">
        <v>1700</v>
      </c>
      <c r="AV22" s="132">
        <v>-420</v>
      </c>
      <c r="AW22" s="157">
        <v>0</v>
      </c>
      <c r="AX22" s="112">
        <v>0</v>
      </c>
      <c r="AY22" s="112">
        <v>0</v>
      </c>
      <c r="AZ22" s="112">
        <v>0</v>
      </c>
      <c r="BA22" s="112">
        <v>536.16999999999996</v>
      </c>
      <c r="BB22" s="112">
        <v>12539.9999999996</v>
      </c>
      <c r="BC22" s="134">
        <v>0</v>
      </c>
      <c r="BD22" s="135">
        <v>0</v>
      </c>
      <c r="BE22" s="173">
        <v>0</v>
      </c>
      <c r="BF22" s="111">
        <v>536.16999999999996</v>
      </c>
      <c r="BG22" s="111">
        <v>2.8499999999999091</v>
      </c>
      <c r="BH22" s="173">
        <v>12539.9999999996</v>
      </c>
      <c r="BI22" s="174">
        <v>12539.9999999996</v>
      </c>
      <c r="BJ22" s="175">
        <v>12503.9999999996</v>
      </c>
      <c r="BK22" s="173">
        <v>1037.33</v>
      </c>
      <c r="BL22" s="173">
        <v>602.99999999999727</v>
      </c>
      <c r="BM22" s="214">
        <v>13142.999999999596</v>
      </c>
      <c r="BN22" s="138">
        <v>17500</v>
      </c>
      <c r="BO22" s="177">
        <v>4357.0000000004038</v>
      </c>
      <c r="BP22" s="165">
        <v>2855259</v>
      </c>
      <c r="BQ22" s="165">
        <v>20</v>
      </c>
      <c r="BR22" s="165">
        <v>4151960</v>
      </c>
      <c r="BS22" s="165">
        <v>16</v>
      </c>
      <c r="BT22" s="115">
        <v>36</v>
      </c>
      <c r="BU22" s="2">
        <v>2</v>
      </c>
      <c r="BV22" s="2">
        <v>4</v>
      </c>
    </row>
    <row r="23" spans="1:74" ht="24.9" customHeight="1">
      <c r="A23" s="215">
        <v>19</v>
      </c>
      <c r="B23" s="216"/>
      <c r="C23" s="216">
        <v>75070</v>
      </c>
      <c r="D23" s="216">
        <v>238781</v>
      </c>
      <c r="E23" s="216">
        <v>16</v>
      </c>
      <c r="F23" s="216">
        <v>8</v>
      </c>
      <c r="G23" s="163"/>
      <c r="H23" s="216">
        <v>135989</v>
      </c>
      <c r="I23" s="216">
        <v>78283</v>
      </c>
      <c r="J23" s="199">
        <v>0</v>
      </c>
      <c r="K23" s="216">
        <v>15256</v>
      </c>
      <c r="L23" s="167">
        <v>-1</v>
      </c>
      <c r="M23" s="217">
        <v>685</v>
      </c>
      <c r="N23" s="126">
        <v>4</v>
      </c>
      <c r="O23" s="217">
        <v>586</v>
      </c>
      <c r="P23" s="187">
        <v>1</v>
      </c>
      <c r="Q23" s="204">
        <v>57423</v>
      </c>
      <c r="R23" s="205">
        <v>0</v>
      </c>
      <c r="S23" s="218">
        <v>25359</v>
      </c>
      <c r="T23" s="106">
        <v>0</v>
      </c>
      <c r="U23" s="105">
        <v>9731</v>
      </c>
      <c r="V23" s="105">
        <v>1728</v>
      </c>
      <c r="W23" s="106">
        <v>0</v>
      </c>
      <c r="X23" s="219">
        <v>37292</v>
      </c>
      <c r="Y23" s="106">
        <v>8</v>
      </c>
      <c r="Z23" s="220">
        <v>8095</v>
      </c>
      <c r="AA23" s="220">
        <v>7180</v>
      </c>
      <c r="AB23" s="106">
        <v>1</v>
      </c>
      <c r="AC23" s="219">
        <v>2438</v>
      </c>
      <c r="AD23" s="219">
        <v>1725</v>
      </c>
      <c r="AE23" s="106">
        <v>3</v>
      </c>
      <c r="AF23" s="221">
        <v>0</v>
      </c>
      <c r="AG23" s="105">
        <v>211059</v>
      </c>
      <c r="AH23" s="167">
        <v>33</v>
      </c>
      <c r="AI23" s="222">
        <v>170</v>
      </c>
      <c r="AJ23" s="222">
        <v>137</v>
      </c>
      <c r="AK23" s="105">
        <v>1823693</v>
      </c>
      <c r="AL23" s="105">
        <v>1538</v>
      </c>
      <c r="AM23" s="105">
        <v>65199</v>
      </c>
      <c r="AN23" s="106">
        <v>19</v>
      </c>
      <c r="AO23" s="105">
        <v>134872</v>
      </c>
      <c r="AP23" s="106">
        <v>0</v>
      </c>
      <c r="AQ23" s="105">
        <v>134326</v>
      </c>
      <c r="AR23" s="106">
        <v>0</v>
      </c>
      <c r="AS23" s="105">
        <v>1890430</v>
      </c>
      <c r="AT23" s="108">
        <v>1557</v>
      </c>
      <c r="AU23" s="132">
        <v>1700</v>
      </c>
      <c r="AV23" s="132">
        <v>143</v>
      </c>
      <c r="AW23" s="133">
        <v>0</v>
      </c>
      <c r="AX23" s="105">
        <v>0</v>
      </c>
      <c r="AY23" s="105">
        <v>0</v>
      </c>
      <c r="AZ23" s="105">
        <v>0</v>
      </c>
      <c r="BA23" s="105">
        <v>538.11</v>
      </c>
      <c r="BB23" s="105">
        <v>8536.0000000002401</v>
      </c>
      <c r="BC23" s="133">
        <v>0</v>
      </c>
      <c r="BD23" s="133">
        <v>0</v>
      </c>
      <c r="BE23" s="216">
        <v>0</v>
      </c>
      <c r="BF23" s="111">
        <v>538.11</v>
      </c>
      <c r="BG23" s="105">
        <v>1.9400000000000546</v>
      </c>
      <c r="BH23" s="216">
        <v>8536.0000000002401</v>
      </c>
      <c r="BI23" s="216">
        <v>8536.0000000002401</v>
      </c>
      <c r="BJ23" s="216">
        <v>8514.0000000002401</v>
      </c>
      <c r="BK23" s="216">
        <v>1042.21</v>
      </c>
      <c r="BL23" s="173">
        <v>488.00000000001091</v>
      </c>
      <c r="BM23" s="223">
        <v>9024.000000000251</v>
      </c>
      <c r="BN23" s="138">
        <v>17500</v>
      </c>
      <c r="BO23" s="177">
        <v>8475.999999999749</v>
      </c>
      <c r="BP23" s="224">
        <v>2855272</v>
      </c>
      <c r="BQ23" s="224">
        <v>13</v>
      </c>
      <c r="BR23" s="224">
        <v>4151969</v>
      </c>
      <c r="BS23" s="224">
        <v>9</v>
      </c>
      <c r="BT23" s="115">
        <v>22</v>
      </c>
      <c r="BU23" s="2">
        <v>6</v>
      </c>
      <c r="BV23" s="2">
        <v>8</v>
      </c>
    </row>
    <row r="24" spans="1:74" ht="24.9" customHeight="1">
      <c r="A24" s="162">
        <v>20</v>
      </c>
      <c r="B24" s="163"/>
      <c r="C24" s="163">
        <v>75070</v>
      </c>
      <c r="D24" s="163">
        <v>238805</v>
      </c>
      <c r="E24" s="164">
        <v>24</v>
      </c>
      <c r="F24" s="164">
        <v>15</v>
      </c>
      <c r="G24" s="163"/>
      <c r="H24" s="163">
        <v>136051</v>
      </c>
      <c r="I24" s="165">
        <v>78287</v>
      </c>
      <c r="J24" s="199">
        <v>4</v>
      </c>
      <c r="K24" s="167">
        <v>15259</v>
      </c>
      <c r="L24" s="167">
        <v>3</v>
      </c>
      <c r="M24" s="181">
        <v>688</v>
      </c>
      <c r="N24" s="126">
        <v>3</v>
      </c>
      <c r="O24" s="181">
        <v>587</v>
      </c>
      <c r="P24" s="127">
        <v>1</v>
      </c>
      <c r="Q24" s="204">
        <v>57423</v>
      </c>
      <c r="R24" s="205">
        <v>0</v>
      </c>
      <c r="S24" s="129">
        <v>25359</v>
      </c>
      <c r="T24" s="100">
        <v>0</v>
      </c>
      <c r="U24" s="119">
        <v>9731</v>
      </c>
      <c r="V24" s="119">
        <v>1728</v>
      </c>
      <c r="W24" s="99">
        <v>0</v>
      </c>
      <c r="X24" s="170">
        <v>37301</v>
      </c>
      <c r="Y24" s="100">
        <v>9</v>
      </c>
      <c r="Z24" s="171">
        <v>8097</v>
      </c>
      <c r="AA24" s="171">
        <v>7180</v>
      </c>
      <c r="AB24" s="99">
        <v>2</v>
      </c>
      <c r="AC24" s="211">
        <v>2439</v>
      </c>
      <c r="AD24" s="170">
        <v>1726</v>
      </c>
      <c r="AE24" s="100">
        <v>2</v>
      </c>
      <c r="AF24" s="172">
        <v>0</v>
      </c>
      <c r="AG24" s="110">
        <v>211121</v>
      </c>
      <c r="AH24" s="167">
        <v>62</v>
      </c>
      <c r="AI24" s="132">
        <v>170</v>
      </c>
      <c r="AJ24" s="132">
        <v>108</v>
      </c>
      <c r="AK24" s="105">
        <v>1825547</v>
      </c>
      <c r="AL24" s="105">
        <v>1854</v>
      </c>
      <c r="AM24" s="105">
        <v>65223</v>
      </c>
      <c r="AN24" s="106">
        <v>24</v>
      </c>
      <c r="AO24" s="111">
        <v>134872</v>
      </c>
      <c r="AP24" s="107">
        <v>0</v>
      </c>
      <c r="AQ24" s="111">
        <v>134326</v>
      </c>
      <c r="AR24" s="107">
        <v>0</v>
      </c>
      <c r="AS24" s="111">
        <v>1892624</v>
      </c>
      <c r="AT24" s="108">
        <v>1878</v>
      </c>
      <c r="AU24" s="132">
        <v>1700</v>
      </c>
      <c r="AV24" s="132">
        <v>-178</v>
      </c>
      <c r="AW24" s="157">
        <v>0</v>
      </c>
      <c r="AX24" s="112">
        <v>0</v>
      </c>
      <c r="AY24" s="112">
        <v>0</v>
      </c>
      <c r="AZ24" s="112">
        <v>0</v>
      </c>
      <c r="BA24" s="112">
        <v>541.66999999999996</v>
      </c>
      <c r="BB24" s="112">
        <v>15663.99999999976</v>
      </c>
      <c r="BC24" s="134">
        <v>0</v>
      </c>
      <c r="BD24" s="135">
        <v>0</v>
      </c>
      <c r="BE24" s="173">
        <v>0</v>
      </c>
      <c r="BF24" s="111">
        <v>541.66999999999996</v>
      </c>
      <c r="BG24" s="111">
        <v>3.5599999999999454</v>
      </c>
      <c r="BH24" s="173">
        <v>15663.99999999976</v>
      </c>
      <c r="BI24" s="174">
        <v>15663.99999999976</v>
      </c>
      <c r="BJ24" s="175">
        <v>15630.99999999976</v>
      </c>
      <c r="BK24" s="173">
        <v>1049.01</v>
      </c>
      <c r="BL24" s="173">
        <v>679.99999999999545</v>
      </c>
      <c r="BM24" s="225">
        <v>16343.999999999756</v>
      </c>
      <c r="BN24" s="138">
        <v>17500</v>
      </c>
      <c r="BO24" s="177">
        <v>1156.0000000002437</v>
      </c>
      <c r="BP24" s="224">
        <v>2855292</v>
      </c>
      <c r="BQ24" s="224">
        <v>20</v>
      </c>
      <c r="BR24" s="224">
        <v>4151982</v>
      </c>
      <c r="BS24" s="224">
        <v>13</v>
      </c>
      <c r="BT24" s="115">
        <v>33</v>
      </c>
      <c r="BU24" s="2">
        <v>7</v>
      </c>
      <c r="BV24" s="2">
        <v>9</v>
      </c>
    </row>
    <row r="25" spans="1:74" ht="24.9" customHeight="1">
      <c r="A25" s="215">
        <v>21</v>
      </c>
      <c r="B25" s="216"/>
      <c r="C25" s="216">
        <v>75070</v>
      </c>
      <c r="D25" s="216">
        <v>238888</v>
      </c>
      <c r="E25" s="216">
        <v>83</v>
      </c>
      <c r="F25" s="216">
        <v>66</v>
      </c>
      <c r="G25" s="163"/>
      <c r="H25" s="216">
        <v>136156</v>
      </c>
      <c r="I25" s="216">
        <v>78290</v>
      </c>
      <c r="J25" s="199">
        <v>3</v>
      </c>
      <c r="K25" s="216">
        <v>15253</v>
      </c>
      <c r="L25" s="167">
        <v>-6</v>
      </c>
      <c r="M25" s="226">
        <v>696</v>
      </c>
      <c r="N25" s="126">
        <v>8</v>
      </c>
      <c r="O25" s="226">
        <v>591</v>
      </c>
      <c r="P25" s="227">
        <v>4</v>
      </c>
      <c r="Q25" s="219">
        <v>57423</v>
      </c>
      <c r="R25" s="106">
        <v>0</v>
      </c>
      <c r="S25" s="218">
        <v>25359</v>
      </c>
      <c r="T25" s="106">
        <v>0</v>
      </c>
      <c r="U25" s="105">
        <v>9731</v>
      </c>
      <c r="V25" s="105">
        <v>1728</v>
      </c>
      <c r="W25" s="106">
        <v>0</v>
      </c>
      <c r="X25" s="219">
        <v>37318</v>
      </c>
      <c r="Y25" s="106">
        <v>17</v>
      </c>
      <c r="Z25" s="220">
        <v>8099</v>
      </c>
      <c r="AA25" s="220">
        <v>7231</v>
      </c>
      <c r="AB25" s="106">
        <v>53</v>
      </c>
      <c r="AC25" s="219">
        <v>2442</v>
      </c>
      <c r="AD25" s="219">
        <v>1728</v>
      </c>
      <c r="AE25" s="106">
        <v>5</v>
      </c>
      <c r="AF25" s="221">
        <v>0</v>
      </c>
      <c r="AG25" s="105">
        <v>211226</v>
      </c>
      <c r="AH25" s="167">
        <v>105</v>
      </c>
      <c r="AI25" s="222">
        <v>171</v>
      </c>
      <c r="AJ25" s="222">
        <v>66</v>
      </c>
      <c r="AK25" s="105">
        <v>1827734</v>
      </c>
      <c r="AL25" s="105">
        <v>2187</v>
      </c>
      <c r="AM25" s="105">
        <v>65352</v>
      </c>
      <c r="AN25" s="106">
        <v>129</v>
      </c>
      <c r="AO25" s="105">
        <v>134822</v>
      </c>
      <c r="AP25" s="106">
        <v>-50</v>
      </c>
      <c r="AQ25" s="105">
        <v>134326</v>
      </c>
      <c r="AR25" s="106">
        <v>0</v>
      </c>
      <c r="AS25" s="105">
        <v>1895273</v>
      </c>
      <c r="AT25" s="108">
        <v>2316</v>
      </c>
      <c r="AU25" s="132">
        <v>1700</v>
      </c>
      <c r="AV25" s="132">
        <v>-616</v>
      </c>
      <c r="AW25" s="133">
        <v>0</v>
      </c>
      <c r="AX25" s="105">
        <v>0</v>
      </c>
      <c r="AY25" s="105">
        <v>0</v>
      </c>
      <c r="AZ25" s="105">
        <v>0</v>
      </c>
      <c r="BA25" s="105">
        <v>544.46</v>
      </c>
      <c r="BB25" s="105">
        <v>12276.00000000034</v>
      </c>
      <c r="BC25" s="133">
        <v>0</v>
      </c>
      <c r="BD25" s="133">
        <v>0</v>
      </c>
      <c r="BE25" s="216">
        <v>0</v>
      </c>
      <c r="BF25" s="111">
        <v>544.46</v>
      </c>
      <c r="BG25" s="105">
        <v>2.7900000000000773</v>
      </c>
      <c r="BH25" s="216">
        <v>12276.00000000034</v>
      </c>
      <c r="BI25" s="216">
        <v>12276.00000000034</v>
      </c>
      <c r="BJ25" s="216">
        <v>12225.00000000034</v>
      </c>
      <c r="BK25" s="216">
        <v>1059.1400000000001</v>
      </c>
      <c r="BL25" s="173">
        <v>1013.0000000000109</v>
      </c>
      <c r="BM25" s="161">
        <v>13289.000000000351</v>
      </c>
      <c r="BN25" s="138">
        <v>17500</v>
      </c>
      <c r="BO25" s="177">
        <v>4210.9999999996489</v>
      </c>
      <c r="BP25" s="224">
        <v>2855320</v>
      </c>
      <c r="BQ25" s="224">
        <v>28</v>
      </c>
      <c r="BR25" s="224">
        <v>4152005</v>
      </c>
      <c r="BS25" s="224">
        <v>23</v>
      </c>
      <c r="BT25" s="115">
        <v>51</v>
      </c>
      <c r="BU25" s="2">
        <v>6</v>
      </c>
      <c r="BV25" s="2">
        <v>6</v>
      </c>
    </row>
    <row r="26" spans="1:74" ht="24.9" customHeight="1">
      <c r="A26" s="228">
        <v>22</v>
      </c>
      <c r="B26" s="216"/>
      <c r="C26" s="216">
        <v>75070</v>
      </c>
      <c r="D26" s="216">
        <v>238927</v>
      </c>
      <c r="E26" s="216">
        <v>39</v>
      </c>
      <c r="F26" s="216">
        <v>28</v>
      </c>
      <c r="G26" s="163"/>
      <c r="H26" s="216">
        <v>136228</v>
      </c>
      <c r="I26" s="216">
        <v>78292</v>
      </c>
      <c r="J26" s="199">
        <v>2</v>
      </c>
      <c r="K26" s="216">
        <v>15267</v>
      </c>
      <c r="L26" s="167">
        <v>14</v>
      </c>
      <c r="M26" s="226">
        <v>702</v>
      </c>
      <c r="N26" s="126">
        <v>6</v>
      </c>
      <c r="O26" s="226">
        <v>596</v>
      </c>
      <c r="P26" s="182">
        <v>5</v>
      </c>
      <c r="Q26" s="219">
        <v>57423</v>
      </c>
      <c r="R26" s="106">
        <v>0</v>
      </c>
      <c r="S26" s="218">
        <v>25359</v>
      </c>
      <c r="T26" s="106">
        <v>0</v>
      </c>
      <c r="U26" s="105">
        <v>9731</v>
      </c>
      <c r="V26" s="105">
        <v>1728</v>
      </c>
      <c r="W26" s="106">
        <v>0</v>
      </c>
      <c r="X26" s="219">
        <v>37329</v>
      </c>
      <c r="Y26" s="106">
        <v>11</v>
      </c>
      <c r="Z26" s="220">
        <v>8100</v>
      </c>
      <c r="AA26" s="220">
        <v>7232</v>
      </c>
      <c r="AB26" s="106">
        <v>2</v>
      </c>
      <c r="AC26" s="219">
        <v>2443</v>
      </c>
      <c r="AD26" s="219">
        <v>1730</v>
      </c>
      <c r="AE26" s="106">
        <v>3</v>
      </c>
      <c r="AF26" s="221">
        <v>0</v>
      </c>
      <c r="AG26" s="105">
        <v>211298</v>
      </c>
      <c r="AH26" s="167">
        <v>72</v>
      </c>
      <c r="AI26" s="222">
        <v>172</v>
      </c>
      <c r="AJ26" s="222">
        <v>100</v>
      </c>
      <c r="AK26" s="105">
        <v>1829377</v>
      </c>
      <c r="AL26" s="105">
        <v>1643</v>
      </c>
      <c r="AM26" s="105">
        <v>65285</v>
      </c>
      <c r="AN26" s="106">
        <v>-67</v>
      </c>
      <c r="AO26" s="105">
        <v>134822</v>
      </c>
      <c r="AP26" s="106">
        <v>0</v>
      </c>
      <c r="AQ26" s="105">
        <v>134326</v>
      </c>
      <c r="AR26" s="106">
        <v>0</v>
      </c>
      <c r="AS26" s="105">
        <v>1896305</v>
      </c>
      <c r="AT26" s="108">
        <v>1576</v>
      </c>
      <c r="AU26" s="132">
        <v>1700</v>
      </c>
      <c r="AV26" s="132">
        <v>124</v>
      </c>
      <c r="AW26" s="133">
        <v>0</v>
      </c>
      <c r="AX26" s="105">
        <v>0</v>
      </c>
      <c r="AY26" s="105">
        <v>0</v>
      </c>
      <c r="AZ26" s="105">
        <v>0</v>
      </c>
      <c r="BA26" s="105">
        <v>547.23</v>
      </c>
      <c r="BB26" s="105">
        <v>12187.99999999992</v>
      </c>
      <c r="BC26" s="133">
        <v>0</v>
      </c>
      <c r="BD26" s="133">
        <v>0</v>
      </c>
      <c r="BE26" s="216">
        <v>0</v>
      </c>
      <c r="BF26" s="111">
        <v>547.23</v>
      </c>
      <c r="BG26" s="105">
        <v>2.7699999999999818</v>
      </c>
      <c r="BH26" s="216">
        <v>12187.99999999992</v>
      </c>
      <c r="BI26" s="216">
        <v>12187.99999999992</v>
      </c>
      <c r="BJ26" s="216">
        <v>12155.99999999992</v>
      </c>
      <c r="BK26" s="216">
        <v>1065.8900000000001</v>
      </c>
      <c r="BL26" s="173">
        <v>675</v>
      </c>
      <c r="BM26" s="229">
        <v>12862.99999999992</v>
      </c>
      <c r="BN26" s="138">
        <v>17500</v>
      </c>
      <c r="BO26" s="177">
        <v>4637.00000000008</v>
      </c>
      <c r="BP26" s="224">
        <v>2855339</v>
      </c>
      <c r="BQ26" s="224">
        <v>19</v>
      </c>
      <c r="BR26" s="224">
        <v>4152018</v>
      </c>
      <c r="BS26" s="224">
        <v>13</v>
      </c>
      <c r="BT26" s="115">
        <v>32</v>
      </c>
      <c r="BU26" s="2">
        <v>7</v>
      </c>
      <c r="BV26" s="2">
        <v>8</v>
      </c>
    </row>
    <row r="27" spans="1:74" ht="24.9" customHeight="1">
      <c r="A27" s="139">
        <v>23</v>
      </c>
      <c r="B27" s="163"/>
      <c r="C27" s="163">
        <v>75070</v>
      </c>
      <c r="D27" s="163">
        <v>238950</v>
      </c>
      <c r="E27" s="164">
        <v>23</v>
      </c>
      <c r="F27" s="164">
        <v>14</v>
      </c>
      <c r="G27" s="163"/>
      <c r="H27" s="163">
        <v>136277</v>
      </c>
      <c r="I27" s="165">
        <v>78294</v>
      </c>
      <c r="J27" s="199">
        <v>2</v>
      </c>
      <c r="K27" s="167">
        <v>15271</v>
      </c>
      <c r="L27" s="167">
        <v>4</v>
      </c>
      <c r="M27" s="181">
        <v>707</v>
      </c>
      <c r="N27" s="126">
        <v>5</v>
      </c>
      <c r="O27" s="181">
        <v>597</v>
      </c>
      <c r="P27" s="127">
        <v>1</v>
      </c>
      <c r="Q27" s="169">
        <v>57423</v>
      </c>
      <c r="R27" s="99">
        <v>0</v>
      </c>
      <c r="S27" s="129">
        <v>25359</v>
      </c>
      <c r="T27" s="100">
        <v>0</v>
      </c>
      <c r="U27" s="119">
        <v>9731</v>
      </c>
      <c r="V27" s="119">
        <v>1728</v>
      </c>
      <c r="W27" s="99">
        <v>0</v>
      </c>
      <c r="X27" s="211">
        <v>37338</v>
      </c>
      <c r="Y27" s="100">
        <v>9</v>
      </c>
      <c r="Z27" s="171">
        <v>8102</v>
      </c>
      <c r="AA27" s="171">
        <v>7233</v>
      </c>
      <c r="AB27" s="99">
        <v>3</v>
      </c>
      <c r="AC27" s="211">
        <v>2443</v>
      </c>
      <c r="AD27" s="170">
        <v>1730</v>
      </c>
      <c r="AE27" s="100">
        <v>0</v>
      </c>
      <c r="AF27" s="172">
        <v>0</v>
      </c>
      <c r="AG27" s="110">
        <v>211347</v>
      </c>
      <c r="AH27" s="167">
        <v>49</v>
      </c>
      <c r="AI27" s="132">
        <v>173</v>
      </c>
      <c r="AJ27" s="132">
        <v>124</v>
      </c>
      <c r="AK27" s="105">
        <v>1830996</v>
      </c>
      <c r="AL27" s="105">
        <v>1619</v>
      </c>
      <c r="AM27" s="105">
        <v>65315</v>
      </c>
      <c r="AN27" s="106">
        <v>30</v>
      </c>
      <c r="AO27" s="111">
        <v>134822</v>
      </c>
      <c r="AP27" s="107">
        <v>0</v>
      </c>
      <c r="AQ27" s="111">
        <v>134326</v>
      </c>
      <c r="AR27" s="107">
        <v>0</v>
      </c>
      <c r="AS27" s="111">
        <v>1897930</v>
      </c>
      <c r="AT27" s="108">
        <v>1649</v>
      </c>
      <c r="AU27" s="132">
        <v>1700</v>
      </c>
      <c r="AV27" s="132">
        <v>51</v>
      </c>
      <c r="AW27" s="133">
        <v>0</v>
      </c>
      <c r="AX27" s="105">
        <v>0</v>
      </c>
      <c r="AY27" s="105">
        <v>0</v>
      </c>
      <c r="AZ27" s="105">
        <v>0</v>
      </c>
      <c r="BA27" s="112">
        <v>550.03</v>
      </c>
      <c r="BB27" s="112">
        <v>12319.9999999998</v>
      </c>
      <c r="BC27" s="134">
        <v>0</v>
      </c>
      <c r="BD27" s="135">
        <v>0</v>
      </c>
      <c r="BE27" s="173">
        <v>0</v>
      </c>
      <c r="BF27" s="111">
        <v>550.03</v>
      </c>
      <c r="BG27" s="111">
        <v>2.7999999999999545</v>
      </c>
      <c r="BH27" s="173">
        <v>12319.9999999998</v>
      </c>
      <c r="BI27" s="174">
        <v>12319.9999999998</v>
      </c>
      <c r="BJ27" s="175">
        <v>12282.9999999998</v>
      </c>
      <c r="BK27" s="173">
        <v>1070.8499999999999</v>
      </c>
      <c r="BL27" s="173">
        <v>495.9999999999809</v>
      </c>
      <c r="BM27" s="230">
        <v>12815.999999999782</v>
      </c>
      <c r="BN27" s="138">
        <v>17500</v>
      </c>
      <c r="BO27" s="177">
        <v>4684.0000000002183</v>
      </c>
      <c r="BP27" s="224">
        <v>2855360</v>
      </c>
      <c r="BQ27" s="224">
        <v>21</v>
      </c>
      <c r="BR27" s="224">
        <v>4152034</v>
      </c>
      <c r="BS27" s="224">
        <v>16</v>
      </c>
      <c r="BT27" s="115">
        <v>37</v>
      </c>
      <c r="BU27" s="2">
        <v>15</v>
      </c>
      <c r="BV27" s="2">
        <v>23</v>
      </c>
    </row>
    <row r="28" spans="1:74" ht="24.9" customHeight="1">
      <c r="A28" s="139">
        <v>24</v>
      </c>
      <c r="B28" s="163"/>
      <c r="C28" s="163">
        <v>75070</v>
      </c>
      <c r="D28" s="163">
        <v>238975</v>
      </c>
      <c r="E28" s="164">
        <v>25</v>
      </c>
      <c r="F28" s="164">
        <v>16</v>
      </c>
      <c r="G28" s="163"/>
      <c r="H28" s="163">
        <v>136337</v>
      </c>
      <c r="I28" s="165">
        <v>78297</v>
      </c>
      <c r="J28" s="231">
        <v>3</v>
      </c>
      <c r="K28" s="167">
        <v>15275</v>
      </c>
      <c r="L28" s="167">
        <v>4</v>
      </c>
      <c r="M28" s="181">
        <v>713</v>
      </c>
      <c r="N28" s="126">
        <v>6</v>
      </c>
      <c r="O28" s="181">
        <v>599</v>
      </c>
      <c r="P28" s="127">
        <v>2</v>
      </c>
      <c r="Q28" s="169">
        <v>57424</v>
      </c>
      <c r="R28" s="99">
        <v>1</v>
      </c>
      <c r="S28" s="129">
        <v>25359</v>
      </c>
      <c r="T28" s="100">
        <v>0</v>
      </c>
      <c r="U28" s="119">
        <v>9731</v>
      </c>
      <c r="V28" s="119">
        <v>1728</v>
      </c>
      <c r="W28" s="99">
        <v>0</v>
      </c>
      <c r="X28" s="211">
        <v>37347</v>
      </c>
      <c r="Y28" s="100">
        <v>9</v>
      </c>
      <c r="Z28" s="171">
        <v>8103</v>
      </c>
      <c r="AA28" s="171">
        <v>7234</v>
      </c>
      <c r="AB28" s="99">
        <v>2</v>
      </c>
      <c r="AC28" s="211">
        <v>2444</v>
      </c>
      <c r="AD28" s="170">
        <v>1731</v>
      </c>
      <c r="AE28" s="100">
        <v>2</v>
      </c>
      <c r="AF28" s="172">
        <v>1</v>
      </c>
      <c r="AG28" s="110">
        <v>211407</v>
      </c>
      <c r="AH28" s="167">
        <v>60</v>
      </c>
      <c r="AI28" s="132">
        <v>174</v>
      </c>
      <c r="AJ28" s="132">
        <v>114</v>
      </c>
      <c r="AK28" s="105">
        <v>1832610</v>
      </c>
      <c r="AL28" s="105">
        <v>1614</v>
      </c>
      <c r="AM28" s="105">
        <v>65351</v>
      </c>
      <c r="AN28" s="106">
        <v>36</v>
      </c>
      <c r="AO28" s="111">
        <v>134822</v>
      </c>
      <c r="AP28" s="107">
        <v>0</v>
      </c>
      <c r="AQ28" s="111">
        <v>134326</v>
      </c>
      <c r="AR28" s="107">
        <v>0</v>
      </c>
      <c r="AS28" s="111">
        <v>1899575</v>
      </c>
      <c r="AT28" s="108">
        <v>1650</v>
      </c>
      <c r="AU28" s="132">
        <v>1700</v>
      </c>
      <c r="AV28" s="132">
        <v>50</v>
      </c>
      <c r="AW28" s="133">
        <v>0</v>
      </c>
      <c r="AX28" s="105">
        <v>0</v>
      </c>
      <c r="AY28" s="105">
        <v>0</v>
      </c>
      <c r="AZ28" s="105">
        <v>0</v>
      </c>
      <c r="BA28" s="112">
        <v>552.89</v>
      </c>
      <c r="BB28" s="112">
        <v>12584.00000000006</v>
      </c>
      <c r="BC28" s="134">
        <v>0</v>
      </c>
      <c r="BD28" s="135">
        <v>0</v>
      </c>
      <c r="BE28" s="173">
        <v>0</v>
      </c>
      <c r="BF28" s="111">
        <v>552.89</v>
      </c>
      <c r="BG28" s="111">
        <v>2.8600000000000136</v>
      </c>
      <c r="BH28" s="173">
        <v>12584.00000000006</v>
      </c>
      <c r="BI28" s="174">
        <v>12584.00000000006</v>
      </c>
      <c r="BJ28" s="175">
        <v>12550.00000000006</v>
      </c>
      <c r="BK28" s="173">
        <v>1077</v>
      </c>
      <c r="BL28" s="173">
        <v>615.00000000000909</v>
      </c>
      <c r="BM28" s="232">
        <v>13199.000000000069</v>
      </c>
      <c r="BN28" s="138">
        <v>17500</v>
      </c>
      <c r="BO28" s="177">
        <v>4300.9999999999309</v>
      </c>
      <c r="BP28" s="224">
        <v>2855381</v>
      </c>
      <c r="BQ28" s="224">
        <v>21</v>
      </c>
      <c r="BR28" s="224">
        <v>4152047</v>
      </c>
      <c r="BS28" s="224">
        <v>13</v>
      </c>
      <c r="BT28" s="115">
        <v>34</v>
      </c>
      <c r="BU28" s="2">
        <v>18</v>
      </c>
      <c r="BV28" s="2">
        <v>29</v>
      </c>
    </row>
    <row r="29" spans="1:74" ht="24.9" customHeight="1">
      <c r="A29" s="162">
        <v>25</v>
      </c>
      <c r="B29" s="163"/>
      <c r="C29" s="163">
        <v>75070</v>
      </c>
      <c r="D29" s="163">
        <v>238995</v>
      </c>
      <c r="E29" s="164">
        <v>20</v>
      </c>
      <c r="F29" s="164">
        <v>13</v>
      </c>
      <c r="G29" s="163"/>
      <c r="H29" s="163">
        <v>136389</v>
      </c>
      <c r="I29" s="165">
        <v>78300</v>
      </c>
      <c r="J29" s="233">
        <v>3</v>
      </c>
      <c r="K29" s="167">
        <v>15278</v>
      </c>
      <c r="L29" s="167">
        <v>3</v>
      </c>
      <c r="M29" s="181">
        <v>718</v>
      </c>
      <c r="N29" s="126">
        <v>5</v>
      </c>
      <c r="O29" s="181">
        <v>601</v>
      </c>
      <c r="P29" s="127">
        <v>2</v>
      </c>
      <c r="Q29" s="169">
        <v>57424</v>
      </c>
      <c r="R29" s="99">
        <v>0</v>
      </c>
      <c r="S29" s="129">
        <v>25359</v>
      </c>
      <c r="T29" s="100">
        <v>0</v>
      </c>
      <c r="U29" s="119">
        <v>9731</v>
      </c>
      <c r="V29" s="119">
        <v>1728</v>
      </c>
      <c r="W29" s="99">
        <v>0</v>
      </c>
      <c r="X29" s="211">
        <v>37354</v>
      </c>
      <c r="Y29" s="100">
        <v>7</v>
      </c>
      <c r="Z29" s="171">
        <v>8105</v>
      </c>
      <c r="AA29" s="171">
        <v>7235</v>
      </c>
      <c r="AB29" s="99">
        <v>3</v>
      </c>
      <c r="AC29" s="211">
        <v>2445</v>
      </c>
      <c r="AD29" s="170">
        <v>1731</v>
      </c>
      <c r="AE29" s="100">
        <v>1</v>
      </c>
      <c r="AF29" s="172">
        <v>0</v>
      </c>
      <c r="AG29" s="110">
        <v>211459</v>
      </c>
      <c r="AH29" s="167">
        <v>52</v>
      </c>
      <c r="AI29" s="132">
        <v>175</v>
      </c>
      <c r="AJ29" s="132">
        <v>123</v>
      </c>
      <c r="AK29" s="105">
        <v>1834030</v>
      </c>
      <c r="AL29" s="105">
        <v>1420</v>
      </c>
      <c r="AM29" s="105">
        <v>65387</v>
      </c>
      <c r="AN29" s="106">
        <v>36</v>
      </c>
      <c r="AO29" s="111">
        <v>134822</v>
      </c>
      <c r="AP29" s="107">
        <v>0</v>
      </c>
      <c r="AQ29" s="111">
        <v>134326</v>
      </c>
      <c r="AR29" s="107">
        <v>0</v>
      </c>
      <c r="AS29" s="111">
        <v>1900837</v>
      </c>
      <c r="AT29" s="108">
        <v>1456</v>
      </c>
      <c r="AU29" s="132">
        <v>1700</v>
      </c>
      <c r="AV29" s="132">
        <v>244</v>
      </c>
      <c r="AW29" s="133">
        <v>0</v>
      </c>
      <c r="AX29" s="105">
        <v>0</v>
      </c>
      <c r="AY29" s="105">
        <v>0</v>
      </c>
      <c r="AZ29" s="105">
        <v>0</v>
      </c>
      <c r="BA29" s="112">
        <v>555.63</v>
      </c>
      <c r="BB29" s="112">
        <v>12056.00000000004</v>
      </c>
      <c r="BC29" s="134">
        <v>0</v>
      </c>
      <c r="BD29" s="135">
        <v>0</v>
      </c>
      <c r="BE29" s="173">
        <v>0</v>
      </c>
      <c r="BF29" s="111">
        <v>555.63</v>
      </c>
      <c r="BG29" s="111">
        <v>2.7400000000000091</v>
      </c>
      <c r="BH29" s="173">
        <v>12056.00000000004</v>
      </c>
      <c r="BI29" s="174">
        <v>12056.00000000004</v>
      </c>
      <c r="BJ29" s="175">
        <v>12025.00000000004</v>
      </c>
      <c r="BK29" s="173">
        <v>1082.5</v>
      </c>
      <c r="BL29" s="173">
        <v>550</v>
      </c>
      <c r="BM29" s="234">
        <v>12606.00000000004</v>
      </c>
      <c r="BN29" s="138">
        <v>17500</v>
      </c>
      <c r="BO29" s="177">
        <v>4893.99999999996</v>
      </c>
      <c r="BP29" s="224">
        <v>2855401</v>
      </c>
      <c r="BQ29" s="224">
        <v>20</v>
      </c>
      <c r="BR29" s="224">
        <v>4152058</v>
      </c>
      <c r="BS29" s="224">
        <v>11</v>
      </c>
      <c r="BT29" s="115">
        <v>31</v>
      </c>
      <c r="BU29" s="2">
        <v>14</v>
      </c>
      <c r="BV29" s="2">
        <v>18</v>
      </c>
    </row>
    <row r="30" spans="1:74" ht="24.9" customHeight="1">
      <c r="A30" s="139">
        <v>26</v>
      </c>
      <c r="B30" s="163"/>
      <c r="C30" s="163">
        <v>75070</v>
      </c>
      <c r="D30" s="163">
        <v>239012</v>
      </c>
      <c r="E30" s="164">
        <v>17</v>
      </c>
      <c r="F30" s="164">
        <v>12</v>
      </c>
      <c r="G30" s="163"/>
      <c r="H30" s="163">
        <v>136428</v>
      </c>
      <c r="I30" s="165">
        <v>78303</v>
      </c>
      <c r="J30" s="199">
        <v>3</v>
      </c>
      <c r="K30" s="167">
        <v>15281</v>
      </c>
      <c r="L30" s="167">
        <v>3</v>
      </c>
      <c r="M30" s="181">
        <v>723</v>
      </c>
      <c r="N30" s="126">
        <v>5</v>
      </c>
      <c r="O30" s="181">
        <v>602</v>
      </c>
      <c r="P30" s="190">
        <v>1</v>
      </c>
      <c r="Q30" s="169">
        <v>57425</v>
      </c>
      <c r="R30" s="99">
        <v>1</v>
      </c>
      <c r="S30" s="129">
        <v>25359</v>
      </c>
      <c r="T30" s="100">
        <v>0</v>
      </c>
      <c r="U30" s="119">
        <v>9731</v>
      </c>
      <c r="V30" s="119">
        <v>1729</v>
      </c>
      <c r="W30" s="99">
        <v>1</v>
      </c>
      <c r="X30" s="211">
        <v>37359</v>
      </c>
      <c r="Y30" s="100">
        <v>5</v>
      </c>
      <c r="Z30" s="171">
        <v>8106</v>
      </c>
      <c r="AA30" s="171">
        <v>7236</v>
      </c>
      <c r="AB30" s="99">
        <v>2</v>
      </c>
      <c r="AC30" s="211">
        <v>2445</v>
      </c>
      <c r="AD30" s="170">
        <v>1731</v>
      </c>
      <c r="AE30" s="100">
        <v>0</v>
      </c>
      <c r="AF30" s="172">
        <v>2</v>
      </c>
      <c r="AG30" s="110">
        <v>211498</v>
      </c>
      <c r="AH30" s="167">
        <v>39</v>
      </c>
      <c r="AI30" s="132">
        <v>176</v>
      </c>
      <c r="AJ30" s="132">
        <v>137</v>
      </c>
      <c r="AK30" s="105">
        <v>1834921</v>
      </c>
      <c r="AL30" s="105">
        <v>891</v>
      </c>
      <c r="AM30" s="105">
        <v>65409</v>
      </c>
      <c r="AN30" s="106">
        <v>22</v>
      </c>
      <c r="AO30" s="111">
        <v>134822</v>
      </c>
      <c r="AP30" s="107">
        <v>0</v>
      </c>
      <c r="AQ30" s="111">
        <v>134326</v>
      </c>
      <c r="AR30" s="107">
        <v>0</v>
      </c>
      <c r="AS30" s="111">
        <v>1901221</v>
      </c>
      <c r="AT30" s="108">
        <v>913</v>
      </c>
      <c r="AU30" s="132">
        <v>1700</v>
      </c>
      <c r="AV30" s="132">
        <v>787</v>
      </c>
      <c r="AW30" s="133">
        <v>0</v>
      </c>
      <c r="AX30" s="105">
        <v>0</v>
      </c>
      <c r="AY30" s="105">
        <v>0</v>
      </c>
      <c r="AZ30" s="105">
        <v>0</v>
      </c>
      <c r="BA30" s="112">
        <v>558.11</v>
      </c>
      <c r="BB30" s="112">
        <v>10912.00000000008</v>
      </c>
      <c r="BC30" s="134">
        <v>0</v>
      </c>
      <c r="BD30" s="135">
        <v>0</v>
      </c>
      <c r="BE30" s="173">
        <v>0</v>
      </c>
      <c r="BF30" s="111">
        <v>558.11</v>
      </c>
      <c r="BG30" s="111">
        <v>2.4800000000000182</v>
      </c>
      <c r="BH30" s="173">
        <v>10912.00000000008</v>
      </c>
      <c r="BI30" s="174">
        <v>10912.00000000008</v>
      </c>
      <c r="BJ30" s="175">
        <v>10894.00000000008</v>
      </c>
      <c r="BK30" s="173">
        <v>1089.81</v>
      </c>
      <c r="BL30" s="173">
        <v>730.99999999999454</v>
      </c>
      <c r="BM30" s="235">
        <v>11643.000000000075</v>
      </c>
      <c r="BN30" s="138">
        <v>17500</v>
      </c>
      <c r="BO30" s="177">
        <v>5856.9999999999254</v>
      </c>
      <c r="BP30" s="165">
        <v>2855412</v>
      </c>
      <c r="BQ30" s="224">
        <v>11</v>
      </c>
      <c r="BR30" s="165">
        <v>4152065</v>
      </c>
      <c r="BS30" s="224">
        <v>7</v>
      </c>
      <c r="BT30" s="115">
        <v>18</v>
      </c>
      <c r="BU30" s="2">
        <v>11</v>
      </c>
      <c r="BV30" s="2">
        <v>16</v>
      </c>
    </row>
    <row r="31" spans="1:74" ht="24.9" customHeight="1">
      <c r="A31" s="139">
        <v>27</v>
      </c>
      <c r="B31" s="163"/>
      <c r="C31" s="163">
        <v>75070</v>
      </c>
      <c r="D31" s="163">
        <v>239040</v>
      </c>
      <c r="E31" s="164">
        <v>28</v>
      </c>
      <c r="F31" s="164">
        <v>12</v>
      </c>
      <c r="G31" s="163"/>
      <c r="H31" s="163">
        <v>136515</v>
      </c>
      <c r="I31" s="165">
        <v>78325</v>
      </c>
      <c r="J31" s="166">
        <v>22</v>
      </c>
      <c r="K31" s="167">
        <v>15284</v>
      </c>
      <c r="L31" s="167">
        <v>3</v>
      </c>
      <c r="M31" s="181">
        <v>726</v>
      </c>
      <c r="N31" s="126">
        <v>3</v>
      </c>
      <c r="O31" s="181">
        <v>605</v>
      </c>
      <c r="P31" s="236">
        <v>3</v>
      </c>
      <c r="Q31" s="169">
        <v>57434</v>
      </c>
      <c r="R31" s="99">
        <v>9</v>
      </c>
      <c r="S31" s="129">
        <v>25359</v>
      </c>
      <c r="T31" s="100">
        <v>0</v>
      </c>
      <c r="U31" s="119">
        <v>9731</v>
      </c>
      <c r="V31" s="119">
        <v>1735</v>
      </c>
      <c r="W31" s="99">
        <v>6</v>
      </c>
      <c r="X31" s="211">
        <v>37375</v>
      </c>
      <c r="Y31" s="100">
        <v>16</v>
      </c>
      <c r="Z31" s="171">
        <v>8108</v>
      </c>
      <c r="AA31" s="171">
        <v>7237</v>
      </c>
      <c r="AB31" s="99">
        <v>3</v>
      </c>
      <c r="AC31" s="211">
        <v>2447</v>
      </c>
      <c r="AD31" s="170">
        <v>1733</v>
      </c>
      <c r="AE31" s="100">
        <v>4</v>
      </c>
      <c r="AF31" s="172">
        <v>15</v>
      </c>
      <c r="AG31" s="110">
        <v>211585</v>
      </c>
      <c r="AH31" s="167">
        <v>87</v>
      </c>
      <c r="AI31" s="132">
        <v>177</v>
      </c>
      <c r="AJ31" s="132">
        <v>90</v>
      </c>
      <c r="AK31" s="105">
        <v>1836462</v>
      </c>
      <c r="AL31" s="105">
        <v>1541</v>
      </c>
      <c r="AM31" s="105">
        <v>65440</v>
      </c>
      <c r="AN31" s="106">
        <v>31</v>
      </c>
      <c r="AO31" s="111">
        <v>134822</v>
      </c>
      <c r="AP31" s="107">
        <v>0</v>
      </c>
      <c r="AQ31" s="111">
        <v>134955</v>
      </c>
      <c r="AR31" s="107">
        <v>629</v>
      </c>
      <c r="AS31" s="111">
        <v>1903443</v>
      </c>
      <c r="AT31" s="108">
        <v>1572</v>
      </c>
      <c r="AU31" s="132">
        <v>1700</v>
      </c>
      <c r="AV31" s="132">
        <v>128</v>
      </c>
      <c r="AW31" s="133">
        <v>0</v>
      </c>
      <c r="AX31" s="105">
        <v>0</v>
      </c>
      <c r="AY31" s="105">
        <v>0</v>
      </c>
      <c r="AZ31" s="105">
        <v>0</v>
      </c>
      <c r="BA31" s="112">
        <v>560.09</v>
      </c>
      <c r="BB31" s="112">
        <v>8712.00000000008</v>
      </c>
      <c r="BC31" s="134">
        <v>0</v>
      </c>
      <c r="BD31" s="135">
        <v>0</v>
      </c>
      <c r="BE31" s="173">
        <v>0</v>
      </c>
      <c r="BF31" s="111">
        <v>560.09</v>
      </c>
      <c r="BG31" s="111">
        <v>1.9800000000000182</v>
      </c>
      <c r="BH31" s="173">
        <v>8712.00000000008</v>
      </c>
      <c r="BI31" s="174">
        <v>8712.00000000008</v>
      </c>
      <c r="BJ31" s="175">
        <v>8680.00000000008</v>
      </c>
      <c r="BK31" s="173">
        <v>1092.74</v>
      </c>
      <c r="BL31" s="173">
        <v>293.00000000000637</v>
      </c>
      <c r="BM31" s="200">
        <v>9005.0000000000873</v>
      </c>
      <c r="BN31" s="138">
        <v>17500</v>
      </c>
      <c r="BO31" s="177">
        <v>8494.9999999999127</v>
      </c>
      <c r="BP31" s="165">
        <v>2855432</v>
      </c>
      <c r="BQ31" s="224">
        <v>20</v>
      </c>
      <c r="BR31" s="165">
        <v>4152077</v>
      </c>
      <c r="BS31" s="224">
        <v>12</v>
      </c>
      <c r="BT31" s="115">
        <v>32</v>
      </c>
      <c r="BU31" s="2">
        <v>14</v>
      </c>
      <c r="BV31" s="2">
        <v>20</v>
      </c>
    </row>
    <row r="32" spans="1:74" ht="24.9" customHeight="1">
      <c r="A32" s="162">
        <v>28</v>
      </c>
      <c r="B32" s="163"/>
      <c r="C32" s="163">
        <v>75070</v>
      </c>
      <c r="D32" s="163">
        <v>239081</v>
      </c>
      <c r="E32" s="164">
        <v>41</v>
      </c>
      <c r="F32" s="164">
        <v>34</v>
      </c>
      <c r="G32" s="163"/>
      <c r="H32" s="163">
        <v>136622</v>
      </c>
      <c r="I32" s="165">
        <v>78340</v>
      </c>
      <c r="J32" s="209">
        <v>15</v>
      </c>
      <c r="K32" s="167">
        <v>15289</v>
      </c>
      <c r="L32" s="167">
        <v>5</v>
      </c>
      <c r="M32" s="181">
        <v>734</v>
      </c>
      <c r="N32" s="126">
        <v>8</v>
      </c>
      <c r="O32" s="181">
        <v>607</v>
      </c>
      <c r="P32" s="127">
        <v>2</v>
      </c>
      <c r="Q32" s="169">
        <v>57437</v>
      </c>
      <c r="R32" s="99">
        <v>3</v>
      </c>
      <c r="S32" s="129">
        <v>25359</v>
      </c>
      <c r="T32" s="100">
        <v>0</v>
      </c>
      <c r="U32" s="119">
        <v>9731</v>
      </c>
      <c r="V32" s="119">
        <v>1742</v>
      </c>
      <c r="W32" s="99">
        <v>7</v>
      </c>
      <c r="X32" s="211">
        <v>37382</v>
      </c>
      <c r="Y32" s="100">
        <v>7</v>
      </c>
      <c r="Z32" s="171">
        <v>8110</v>
      </c>
      <c r="AA32" s="171">
        <v>7237</v>
      </c>
      <c r="AB32" s="99">
        <v>2</v>
      </c>
      <c r="AC32" s="211">
        <v>2448</v>
      </c>
      <c r="AD32" s="170">
        <v>1734</v>
      </c>
      <c r="AE32" s="100">
        <v>2</v>
      </c>
      <c r="AF32" s="172">
        <v>10</v>
      </c>
      <c r="AG32" s="110">
        <v>211692</v>
      </c>
      <c r="AH32" s="167">
        <v>107</v>
      </c>
      <c r="AI32" s="132">
        <v>177</v>
      </c>
      <c r="AJ32" s="132">
        <v>70</v>
      </c>
      <c r="AK32" s="105">
        <v>1838558</v>
      </c>
      <c r="AL32" s="105">
        <v>2096</v>
      </c>
      <c r="AM32" s="105">
        <v>65471</v>
      </c>
      <c r="AN32" s="106">
        <v>31</v>
      </c>
      <c r="AO32" s="111">
        <v>134872</v>
      </c>
      <c r="AP32" s="107">
        <v>50</v>
      </c>
      <c r="AQ32" s="111">
        <v>135499</v>
      </c>
      <c r="AR32" s="107">
        <v>544</v>
      </c>
      <c r="AS32" s="111">
        <v>1906125</v>
      </c>
      <c r="AT32" s="108">
        <v>2127</v>
      </c>
      <c r="AU32" s="132">
        <v>1700</v>
      </c>
      <c r="AV32" s="132">
        <v>-427</v>
      </c>
      <c r="AW32" s="133">
        <v>0</v>
      </c>
      <c r="AX32" s="105">
        <v>0</v>
      </c>
      <c r="AY32" s="105">
        <v>0</v>
      </c>
      <c r="AZ32" s="105">
        <v>0</v>
      </c>
      <c r="BA32" s="112">
        <v>563.79</v>
      </c>
      <c r="BB32" s="112">
        <v>16279.9999999997</v>
      </c>
      <c r="BC32" s="134">
        <v>0</v>
      </c>
      <c r="BD32" s="135">
        <v>0</v>
      </c>
      <c r="BE32" s="173">
        <v>0</v>
      </c>
      <c r="BF32" s="111">
        <v>563.79</v>
      </c>
      <c r="BG32" s="111">
        <v>3.6999999999999318</v>
      </c>
      <c r="BH32" s="173">
        <v>16279.9999999997</v>
      </c>
      <c r="BI32" s="174">
        <v>16279.9999999997</v>
      </c>
      <c r="BJ32" s="175">
        <v>16231.9999999997</v>
      </c>
      <c r="BK32" s="173">
        <v>1101.22</v>
      </c>
      <c r="BL32" s="173">
        <v>848.00000000000182</v>
      </c>
      <c r="BM32" s="237">
        <v>17127.999999999702</v>
      </c>
      <c r="BN32" s="138">
        <v>17500</v>
      </c>
      <c r="BO32" s="177">
        <v>372.00000000029831</v>
      </c>
      <c r="BP32" s="165">
        <v>2855459</v>
      </c>
      <c r="BQ32" s="224">
        <v>27</v>
      </c>
      <c r="BR32" s="165">
        <v>4152098</v>
      </c>
      <c r="BS32" s="224">
        <v>21</v>
      </c>
      <c r="BT32" s="115">
        <v>48</v>
      </c>
      <c r="BU32" s="2">
        <v>14</v>
      </c>
      <c r="BV32" s="2">
        <v>20</v>
      </c>
    </row>
    <row r="33" spans="1:74" ht="24.9" customHeight="1">
      <c r="A33" s="139">
        <v>29</v>
      </c>
      <c r="B33" s="163"/>
      <c r="C33" s="163">
        <v>75070</v>
      </c>
      <c r="D33" s="163">
        <v>239098</v>
      </c>
      <c r="E33" s="164">
        <v>17</v>
      </c>
      <c r="F33" s="164">
        <v>6</v>
      </c>
      <c r="G33" s="163"/>
      <c r="H33" s="163">
        <v>136719</v>
      </c>
      <c r="I33" s="165">
        <v>78343</v>
      </c>
      <c r="J33" s="166">
        <v>3</v>
      </c>
      <c r="K33" s="167">
        <v>15293</v>
      </c>
      <c r="L33" s="167">
        <v>4</v>
      </c>
      <c r="M33" s="181">
        <v>739</v>
      </c>
      <c r="N33" s="126">
        <v>5</v>
      </c>
      <c r="O33" s="181">
        <v>609</v>
      </c>
      <c r="P33" s="127">
        <v>2</v>
      </c>
      <c r="Q33" s="169">
        <v>57437</v>
      </c>
      <c r="R33" s="99">
        <v>0</v>
      </c>
      <c r="S33" s="129">
        <v>25359</v>
      </c>
      <c r="T33" s="100">
        <v>0</v>
      </c>
      <c r="U33" s="119">
        <v>9731</v>
      </c>
      <c r="V33" s="119">
        <v>1742</v>
      </c>
      <c r="W33" s="99">
        <v>0</v>
      </c>
      <c r="X33" s="211">
        <v>37393</v>
      </c>
      <c r="Y33" s="100">
        <v>11</v>
      </c>
      <c r="Z33" s="171">
        <v>8112</v>
      </c>
      <c r="AA33" s="171">
        <v>7238</v>
      </c>
      <c r="AB33" s="99">
        <v>3</v>
      </c>
      <c r="AC33" s="211">
        <v>2450</v>
      </c>
      <c r="AD33" s="170">
        <v>1735</v>
      </c>
      <c r="AE33" s="100">
        <v>3</v>
      </c>
      <c r="AF33" s="172">
        <v>0</v>
      </c>
      <c r="AG33" s="110">
        <v>211789</v>
      </c>
      <c r="AH33" s="167">
        <v>97</v>
      </c>
      <c r="AI33" s="132">
        <v>177</v>
      </c>
      <c r="AJ33" s="132">
        <v>80</v>
      </c>
      <c r="AK33" s="105">
        <v>1840072</v>
      </c>
      <c r="AL33" s="105">
        <v>1514</v>
      </c>
      <c r="AM33" s="105">
        <v>65500</v>
      </c>
      <c r="AN33" s="106">
        <v>29</v>
      </c>
      <c r="AO33" s="111">
        <v>134872</v>
      </c>
      <c r="AP33" s="107">
        <v>0</v>
      </c>
      <c r="AQ33" s="111">
        <v>135499</v>
      </c>
      <c r="AR33" s="107">
        <v>0</v>
      </c>
      <c r="AS33" s="111">
        <v>1907086</v>
      </c>
      <c r="AT33" s="108">
        <v>1543</v>
      </c>
      <c r="AU33" s="132">
        <v>1700</v>
      </c>
      <c r="AV33" s="132">
        <v>157</v>
      </c>
      <c r="AW33" s="133">
        <v>0</v>
      </c>
      <c r="AX33" s="105">
        <v>0</v>
      </c>
      <c r="AY33" s="105">
        <v>0</v>
      </c>
      <c r="AZ33" s="105">
        <v>0</v>
      </c>
      <c r="BA33" s="112">
        <v>566.70000000000005</v>
      </c>
      <c r="BB33" s="112">
        <v>12804.00000000036</v>
      </c>
      <c r="BC33" s="134">
        <v>0</v>
      </c>
      <c r="BD33" s="135">
        <v>0</v>
      </c>
      <c r="BE33" s="173">
        <v>0</v>
      </c>
      <c r="BF33" s="111">
        <v>566.70000000000005</v>
      </c>
      <c r="BG33" s="111">
        <v>2.9100000000000819</v>
      </c>
      <c r="BH33" s="173">
        <v>12804.00000000036</v>
      </c>
      <c r="BI33" s="174">
        <v>12804.00000000036</v>
      </c>
      <c r="BJ33" s="175">
        <v>12773.00000000036</v>
      </c>
      <c r="BK33" s="173">
        <v>1107.47</v>
      </c>
      <c r="BL33" s="173">
        <v>625</v>
      </c>
      <c r="BM33" s="238">
        <v>13429.00000000036</v>
      </c>
      <c r="BN33" s="138">
        <v>17500</v>
      </c>
      <c r="BO33" s="177">
        <v>4070.9999999996398</v>
      </c>
      <c r="BP33" s="165">
        <v>2855478</v>
      </c>
      <c r="BQ33" s="224">
        <v>19</v>
      </c>
      <c r="BR33" s="165">
        <v>4152110</v>
      </c>
      <c r="BS33" s="224">
        <v>12</v>
      </c>
      <c r="BT33" s="115">
        <v>31</v>
      </c>
      <c r="BU33" s="2">
        <v>17</v>
      </c>
      <c r="BV33" s="2">
        <v>22</v>
      </c>
    </row>
    <row r="34" spans="1:74" ht="24.9" customHeight="1">
      <c r="A34" s="162">
        <v>30</v>
      </c>
      <c r="B34" s="163"/>
      <c r="C34" s="163">
        <v>75070</v>
      </c>
      <c r="D34" s="163">
        <v>239154</v>
      </c>
      <c r="E34" s="164">
        <v>56</v>
      </c>
      <c r="F34" s="164">
        <v>27</v>
      </c>
      <c r="G34" s="163"/>
      <c r="H34" s="163">
        <v>136760</v>
      </c>
      <c r="I34" s="165">
        <v>78346</v>
      </c>
      <c r="J34" s="124">
        <v>3</v>
      </c>
      <c r="K34" s="167">
        <v>15299</v>
      </c>
      <c r="L34" s="167">
        <v>6</v>
      </c>
      <c r="M34" s="181">
        <v>746</v>
      </c>
      <c r="N34" s="126">
        <v>7</v>
      </c>
      <c r="O34" s="181">
        <v>617</v>
      </c>
      <c r="P34" s="127">
        <v>8</v>
      </c>
      <c r="Q34" s="169">
        <v>57447</v>
      </c>
      <c r="R34" s="99">
        <v>10</v>
      </c>
      <c r="S34" s="129">
        <v>25359</v>
      </c>
      <c r="T34" s="100">
        <v>0</v>
      </c>
      <c r="U34" s="119">
        <v>9731</v>
      </c>
      <c r="V34" s="119">
        <v>1742</v>
      </c>
      <c r="W34" s="99">
        <v>0</v>
      </c>
      <c r="X34" s="211">
        <v>37422</v>
      </c>
      <c r="Y34" s="100">
        <v>29</v>
      </c>
      <c r="Z34" s="171">
        <v>8113</v>
      </c>
      <c r="AA34" s="171">
        <v>7238</v>
      </c>
      <c r="AB34" s="99">
        <v>1</v>
      </c>
      <c r="AC34" s="211">
        <v>2450</v>
      </c>
      <c r="AD34" s="211">
        <v>1736</v>
      </c>
      <c r="AE34" s="100">
        <v>1</v>
      </c>
      <c r="AF34" s="172">
        <v>10</v>
      </c>
      <c r="AG34" s="110">
        <v>211830</v>
      </c>
      <c r="AH34" s="167">
        <v>41</v>
      </c>
      <c r="AI34" s="132">
        <v>177</v>
      </c>
      <c r="AJ34" s="132">
        <v>136</v>
      </c>
      <c r="AK34" s="105">
        <v>1841481</v>
      </c>
      <c r="AL34" s="105">
        <v>1409</v>
      </c>
      <c r="AM34" s="105">
        <v>65531</v>
      </c>
      <c r="AN34" s="106">
        <v>31</v>
      </c>
      <c r="AO34" s="111">
        <v>134872</v>
      </c>
      <c r="AP34" s="107">
        <v>0</v>
      </c>
      <c r="AQ34" s="111">
        <v>135499</v>
      </c>
      <c r="AR34" s="107">
        <v>0</v>
      </c>
      <c r="AS34" s="111">
        <v>1908421</v>
      </c>
      <c r="AT34" s="108">
        <v>1440</v>
      </c>
      <c r="AU34" s="132">
        <v>1700</v>
      </c>
      <c r="AV34" s="132">
        <v>260</v>
      </c>
      <c r="AW34" s="133">
        <v>0</v>
      </c>
      <c r="AX34" s="105">
        <v>0</v>
      </c>
      <c r="AY34" s="105">
        <v>0</v>
      </c>
      <c r="AZ34" s="105">
        <v>0</v>
      </c>
      <c r="BA34" s="112">
        <v>569.73</v>
      </c>
      <c r="BB34" s="112">
        <v>13331.99999999988</v>
      </c>
      <c r="BC34" s="134">
        <v>0</v>
      </c>
      <c r="BD34" s="135">
        <v>0</v>
      </c>
      <c r="BE34" s="173">
        <v>0</v>
      </c>
      <c r="BF34" s="111">
        <v>569.73</v>
      </c>
      <c r="BG34" s="111">
        <v>3.0299999999999727</v>
      </c>
      <c r="BH34" s="173">
        <v>13331.99999999988</v>
      </c>
      <c r="BI34" s="174">
        <v>13331.99999999988</v>
      </c>
      <c r="BJ34" s="175">
        <v>13297.99999999988</v>
      </c>
      <c r="BK34" s="173">
        <v>1114.07</v>
      </c>
      <c r="BL34" s="173">
        <v>659.99999999999091</v>
      </c>
      <c r="BM34" s="137">
        <v>13991.999999999871</v>
      </c>
      <c r="BN34" s="138">
        <v>17500</v>
      </c>
      <c r="BO34" s="177">
        <v>3508.0000000001291</v>
      </c>
      <c r="BP34" s="165">
        <v>2855498</v>
      </c>
      <c r="BQ34" s="224">
        <v>20</v>
      </c>
      <c r="BR34" s="165">
        <v>4152124</v>
      </c>
      <c r="BS34" s="224">
        <v>14</v>
      </c>
      <c r="BT34" s="115">
        <v>34</v>
      </c>
      <c r="BU34" s="2">
        <v>8</v>
      </c>
      <c r="BV34" s="2">
        <v>10</v>
      </c>
    </row>
    <row r="35" spans="1:74" ht="24.9" customHeight="1">
      <c r="A35" s="93">
        <v>31</v>
      </c>
      <c r="B35" s="94"/>
      <c r="C35" s="94">
        <v>75070</v>
      </c>
      <c r="D35" s="94">
        <v>239180</v>
      </c>
      <c r="E35" s="95">
        <v>26</v>
      </c>
      <c r="F35" s="97">
        <v>13</v>
      </c>
      <c r="G35" s="94"/>
      <c r="H35" s="96">
        <v>136818</v>
      </c>
      <c r="I35" s="96">
        <v>78349</v>
      </c>
      <c r="J35" s="97">
        <v>3</v>
      </c>
      <c r="K35" s="98">
        <v>15302</v>
      </c>
      <c r="L35" s="98">
        <v>3</v>
      </c>
      <c r="M35" s="98">
        <v>751</v>
      </c>
      <c r="N35" s="116">
        <v>5</v>
      </c>
      <c r="O35" s="98">
        <v>618</v>
      </c>
      <c r="P35" s="117">
        <v>1</v>
      </c>
      <c r="Q35" s="98">
        <v>57447</v>
      </c>
      <c r="R35" s="99">
        <v>0</v>
      </c>
      <c r="S35" s="96">
        <v>25359</v>
      </c>
      <c r="T35" s="100">
        <v>0</v>
      </c>
      <c r="U35" s="96">
        <v>9731</v>
      </c>
      <c r="V35" s="96">
        <v>1742</v>
      </c>
      <c r="W35" s="99">
        <v>0</v>
      </c>
      <c r="X35" s="96">
        <v>37435</v>
      </c>
      <c r="Y35" s="100">
        <v>13</v>
      </c>
      <c r="Z35" s="101">
        <v>8114</v>
      </c>
      <c r="AA35" s="101">
        <v>7238</v>
      </c>
      <c r="AB35" s="99">
        <v>1</v>
      </c>
      <c r="AC35" s="96">
        <v>2451</v>
      </c>
      <c r="AD35" s="96">
        <v>1739</v>
      </c>
      <c r="AE35" s="100">
        <v>4</v>
      </c>
      <c r="AF35" s="102">
        <v>0</v>
      </c>
      <c r="AG35" s="96">
        <v>211888</v>
      </c>
      <c r="AH35" s="103">
        <v>58</v>
      </c>
      <c r="AI35" s="104">
        <v>177</v>
      </c>
      <c r="AJ35" s="104">
        <v>119</v>
      </c>
      <c r="AK35" s="105">
        <v>1842859</v>
      </c>
      <c r="AL35" s="106">
        <v>1378</v>
      </c>
      <c r="AM35" s="105">
        <v>65556</v>
      </c>
      <c r="AN35" s="106">
        <v>25</v>
      </c>
      <c r="AO35" s="96">
        <v>134872</v>
      </c>
      <c r="AP35" s="107">
        <v>0</v>
      </c>
      <c r="AQ35" s="96">
        <v>135499</v>
      </c>
      <c r="AR35" s="107">
        <v>0</v>
      </c>
      <c r="AS35" s="96">
        <v>1909793</v>
      </c>
      <c r="AT35" s="108">
        <v>1403</v>
      </c>
      <c r="AU35" s="104">
        <v>1700</v>
      </c>
      <c r="AV35" s="104">
        <v>297</v>
      </c>
      <c r="AW35" s="109">
        <v>0</v>
      </c>
      <c r="AX35" s="109">
        <v>0</v>
      </c>
      <c r="AY35" s="109">
        <v>0</v>
      </c>
      <c r="AZ35" s="109">
        <v>0</v>
      </c>
      <c r="BA35" s="109">
        <v>572.6</v>
      </c>
      <c r="BB35" s="109">
        <v>12628.00000000002</v>
      </c>
      <c r="BC35" s="110">
        <v>0</v>
      </c>
      <c r="BD35" s="111">
        <v>0</v>
      </c>
      <c r="BE35" s="111">
        <v>0</v>
      </c>
      <c r="BF35" s="96">
        <v>572.6</v>
      </c>
      <c r="BG35" s="111">
        <v>2.8700000000000045</v>
      </c>
      <c r="BH35" s="111">
        <v>12628.00000000002</v>
      </c>
      <c r="BI35" s="112">
        <v>12628.00000000002</v>
      </c>
      <c r="BJ35" s="113">
        <v>12613.00000000002</v>
      </c>
      <c r="BK35" s="96">
        <v>1119.74</v>
      </c>
      <c r="BL35" s="111">
        <v>567.00000000000728</v>
      </c>
      <c r="BM35" s="114">
        <v>13195.000000000027</v>
      </c>
      <c r="BN35" s="104">
        <v>17500</v>
      </c>
      <c r="BO35" s="104">
        <v>4304.9999999999727</v>
      </c>
      <c r="BP35" s="123">
        <v>2855498</v>
      </c>
      <c r="BQ35" s="115">
        <v>0</v>
      </c>
      <c r="BR35" s="115">
        <v>4152139</v>
      </c>
      <c r="BS35" s="115">
        <v>15</v>
      </c>
      <c r="BT35" s="115">
        <v>15</v>
      </c>
      <c r="BU35" s="2">
        <v>7</v>
      </c>
      <c r="BV35" s="2">
        <v>11</v>
      </c>
    </row>
    <row r="36" spans="1:74">
      <c r="A36" s="118" t="s">
        <v>127</v>
      </c>
      <c r="B36" s="94" t="s">
        <v>127</v>
      </c>
      <c r="C36" s="94" t="s">
        <v>127</v>
      </c>
      <c r="D36" s="94" t="s">
        <v>127</v>
      </c>
      <c r="E36" s="95" t="s">
        <v>127</v>
      </c>
      <c r="F36" s="95" t="s">
        <v>127</v>
      </c>
      <c r="G36" s="94" t="s">
        <v>127</v>
      </c>
      <c r="H36" s="96" t="s">
        <v>127</v>
      </c>
      <c r="I36" s="96" t="s">
        <v>127</v>
      </c>
      <c r="J36" s="119" t="s">
        <v>127</v>
      </c>
      <c r="K36" s="120" t="s">
        <v>127</v>
      </c>
      <c r="L36" s="98" t="s">
        <v>127</v>
      </c>
      <c r="M36" s="120" t="s">
        <v>127</v>
      </c>
      <c r="N36" s="116" t="s">
        <v>127</v>
      </c>
      <c r="O36" s="120" t="s">
        <v>127</v>
      </c>
      <c r="P36" s="116" t="s">
        <v>127</v>
      </c>
      <c r="Q36" s="98" t="s">
        <v>127</v>
      </c>
      <c r="R36" s="99" t="s">
        <v>127</v>
      </c>
      <c r="S36" s="96" t="s">
        <v>127</v>
      </c>
      <c r="T36" s="100" t="s">
        <v>127</v>
      </c>
      <c r="U36" s="96" t="s">
        <v>127</v>
      </c>
      <c r="V36" s="96" t="s">
        <v>127</v>
      </c>
      <c r="W36" s="99" t="s">
        <v>127</v>
      </c>
      <c r="X36" s="96" t="s">
        <v>127</v>
      </c>
      <c r="Y36" s="100" t="s">
        <v>127</v>
      </c>
      <c r="Z36" s="101" t="s">
        <v>127</v>
      </c>
      <c r="AA36" s="101" t="s">
        <v>127</v>
      </c>
      <c r="AB36" s="99" t="s">
        <v>127</v>
      </c>
      <c r="AC36" s="96" t="s">
        <v>127</v>
      </c>
      <c r="AD36" s="96" t="s">
        <v>127</v>
      </c>
      <c r="AE36" s="100" t="s">
        <v>127</v>
      </c>
      <c r="AF36" s="102" t="s">
        <v>127</v>
      </c>
      <c r="AG36" s="96" t="s">
        <v>127</v>
      </c>
      <c r="AH36" s="103" t="s">
        <v>127</v>
      </c>
      <c r="AI36" s="104" t="s">
        <v>127</v>
      </c>
      <c r="AJ36" s="104">
        <v>0</v>
      </c>
      <c r="AK36" s="105" t="s">
        <v>127</v>
      </c>
      <c r="AL36" s="106">
        <v>-1971828</v>
      </c>
      <c r="AM36" s="105" t="s">
        <v>127</v>
      </c>
      <c r="AN36" s="106" t="s">
        <v>127</v>
      </c>
      <c r="AO36" s="96" t="s">
        <v>127</v>
      </c>
      <c r="AP36" s="107" t="s">
        <v>127</v>
      </c>
      <c r="AQ36" s="96" t="s">
        <v>127</v>
      </c>
      <c r="AR36" s="107" t="s">
        <v>127</v>
      </c>
      <c r="AS36" s="96" t="s">
        <v>127</v>
      </c>
      <c r="AT36" s="108" t="s">
        <v>127</v>
      </c>
      <c r="AU36" s="104" t="s">
        <v>127</v>
      </c>
      <c r="AV36" s="104" t="s">
        <v>127</v>
      </c>
      <c r="AW36" s="109" t="s">
        <v>127</v>
      </c>
      <c r="AX36" s="109" t="s">
        <v>127</v>
      </c>
      <c r="AY36" s="109" t="s">
        <v>127</v>
      </c>
      <c r="AZ36" s="109" t="s">
        <v>127</v>
      </c>
      <c r="BA36" s="109" t="s">
        <v>127</v>
      </c>
      <c r="BB36" s="109" t="s">
        <v>127</v>
      </c>
      <c r="BC36" s="110" t="s">
        <v>127</v>
      </c>
      <c r="BD36" s="111" t="s">
        <v>127</v>
      </c>
      <c r="BE36" s="111" t="s">
        <v>127</v>
      </c>
      <c r="BF36" s="96" t="s">
        <v>127</v>
      </c>
      <c r="BG36" s="111" t="s">
        <v>127</v>
      </c>
      <c r="BH36" s="111" t="s">
        <v>127</v>
      </c>
      <c r="BI36" s="112" t="s">
        <v>127</v>
      </c>
      <c r="BJ36" s="113" t="s">
        <v>127</v>
      </c>
      <c r="BK36" s="96" t="s">
        <v>127</v>
      </c>
      <c r="BL36" s="111" t="s">
        <v>127</v>
      </c>
      <c r="BM36" s="114" t="s">
        <v>127</v>
      </c>
      <c r="BN36" s="104" t="s">
        <v>127</v>
      </c>
      <c r="BO36" s="104" t="s">
        <v>127</v>
      </c>
      <c r="BP36" s="123"/>
      <c r="BQ36" s="115" t="s">
        <v>127</v>
      </c>
      <c r="BR36" s="115" t="s">
        <v>127</v>
      </c>
      <c r="BS36" s="115" t="s">
        <v>127</v>
      </c>
      <c r="BT36" s="115" t="s">
        <v>127</v>
      </c>
      <c r="BU36" s="83"/>
      <c r="BV36" s="83"/>
    </row>
  </sheetData>
  <mergeCells count="5">
    <mergeCell ref="AW2:AY2"/>
    <mergeCell ref="AZ2:BB2"/>
    <mergeCell ref="B1:AJ1"/>
    <mergeCell ref="AK1:AV1"/>
    <mergeCell ref="AW1:BN1"/>
  </mergeCells>
  <conditionalFormatting sqref="A1:XFD3 A37:XFD1048576 EI4:XFD4 BU5:XFD36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Manager/>
  <Company>Hewlett-Packard Company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greshem.szigma</cp:lastModifiedBy>
  <cp:revision/>
  <dcterms:created xsi:type="dcterms:W3CDTF">2017-05-22T13:08:25Z</dcterms:created>
  <dcterms:modified xsi:type="dcterms:W3CDTF">2021-01-14T16:00:05Z</dcterms:modified>
  <cp:category/>
  <cp:contentStatus/>
</cp:coreProperties>
</file>