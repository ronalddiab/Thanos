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" i="3" l="1"/>
  <c r="K32" i="1" l="1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V39" i="3" l="1"/>
  <c r="G32" i="1"/>
  <c r="Q39" i="3"/>
  <c r="R39" i="3"/>
  <c r="E32" i="1"/>
  <c r="I39" i="3"/>
  <c r="K39" i="3" s="1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<sst xmlns="http://schemas.openxmlformats.org/spreadsheetml/2006/main" count="309" uniqueCount="123">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</sst>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" workbookViewId="0">
      <selection activeCell="C3" sqref="C3:C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10</v>
      </c>
      <c r="D2" s="6">
        <v>2022</v>
      </c>
      <c r="E2" s="8">
        <f>Submetring!E2+Submetring!F2+Submetring!G2</f>
        <v>12397</v>
      </c>
      <c r="F2" s="6">
        <v>0.27700000000000002</v>
      </c>
      <c r="G2" s="8">
        <f>Submetring!H2+Submetring!I2</f>
        <v>1104</v>
      </c>
      <c r="H2" s="6">
        <v>0.56711199999999995</v>
      </c>
      <c r="I2" s="8">
        <f>Submetring!J2</f>
        <v>311</v>
      </c>
      <c r="J2" s="6">
        <v>3.03</v>
      </c>
      <c r="K2" s="8">
        <f>Hotel!Y9</f>
        <v>122</v>
      </c>
    </row>
    <row r="3" spans="1:11" x14ac:dyDescent="0.25">
      <c r="A3" s="6" t="s">
        <v>11</v>
      </c>
      <c r="B3" s="9">
        <f>B2+1</f>
        <v>2</v>
      </c>
      <c r="C3" s="7">
        <v>10</v>
      </c>
      <c r="D3" s="6">
        <v>2022</v>
      </c>
      <c r="E3" s="8">
        <f>Submetring!E3+Submetring!F3+Submetring!G3</f>
        <v>11173</v>
      </c>
      <c r="F3" s="6">
        <v>0.27700000000000002</v>
      </c>
      <c r="G3" s="8">
        <f>Submetring!H3+Submetring!I3</f>
        <v>1222</v>
      </c>
      <c r="H3" s="6">
        <v>0.56711199999999995</v>
      </c>
      <c r="I3" s="8">
        <f>Submetring!J3</f>
        <v>452</v>
      </c>
      <c r="J3" s="6">
        <v>3.03</v>
      </c>
      <c r="K3" s="8">
        <f>Hotel!Y10</f>
        <v>147</v>
      </c>
    </row>
    <row r="4" spans="1:11" x14ac:dyDescent="0.25">
      <c r="A4" s="6" t="s">
        <v>11</v>
      </c>
      <c r="B4" s="9">
        <f t="shared" ref="B4:B32" si="0">B3+1</f>
        <v>3</v>
      </c>
      <c r="C4" s="7">
        <v>10</v>
      </c>
      <c r="D4" s="6">
        <v>2022</v>
      </c>
      <c r="E4" s="8">
        <f>Submetring!E4+Submetring!F4+Submetring!G4</f>
        <v>11361</v>
      </c>
      <c r="F4" s="6">
        <v>0.27700000000000002</v>
      </c>
      <c r="G4" s="8">
        <f>Submetring!H4+Submetring!I4</f>
        <v>998</v>
      </c>
      <c r="H4" s="6">
        <v>0.56711199999999995</v>
      </c>
      <c r="I4" s="8">
        <f>Submetring!J4</f>
        <v>299</v>
      </c>
      <c r="J4" s="6">
        <v>3.03</v>
      </c>
      <c r="K4" s="8">
        <f>Hotel!Y11</f>
        <v>153</v>
      </c>
    </row>
    <row r="5" spans="1:11" x14ac:dyDescent="0.25">
      <c r="A5" s="6" t="s">
        <v>11</v>
      </c>
      <c r="B5" s="9">
        <f t="shared" si="0"/>
        <v>4</v>
      </c>
      <c r="C5" s="7">
        <v>10</v>
      </c>
      <c r="D5" s="6">
        <v>2022</v>
      </c>
      <c r="E5" s="8">
        <f>Submetring!E5+Submetring!F5+Submetring!G5</f>
        <v>11386</v>
      </c>
      <c r="F5" s="6">
        <v>0.27700000000000002</v>
      </c>
      <c r="G5" s="8">
        <f>Submetring!H5+Submetring!I5</f>
        <v>967</v>
      </c>
      <c r="H5" s="6">
        <v>0.56711199999999995</v>
      </c>
      <c r="I5" s="8">
        <f>Submetring!J5</f>
        <v>275</v>
      </c>
      <c r="J5" s="6">
        <v>3.03</v>
      </c>
      <c r="K5" s="8">
        <f>Hotel!Y12</f>
        <v>163</v>
      </c>
    </row>
    <row r="6" spans="1:11" x14ac:dyDescent="0.25">
      <c r="A6" s="6" t="s">
        <v>11</v>
      </c>
      <c r="B6" s="9">
        <f t="shared" si="0"/>
        <v>5</v>
      </c>
      <c r="C6" s="7">
        <v>10</v>
      </c>
      <c r="D6" s="6">
        <v>2022</v>
      </c>
      <c r="E6" s="8">
        <f>Submetring!E6+Submetring!F6+Submetring!G6</f>
        <v>11171</v>
      </c>
      <c r="F6" s="6">
        <v>0.27700000000000002</v>
      </c>
      <c r="G6" s="8">
        <f>Submetring!H6+Submetring!I6</f>
        <v>1034</v>
      </c>
      <c r="H6" s="6">
        <v>0.56711199999999995</v>
      </c>
      <c r="I6" s="8">
        <f>Submetring!J6</f>
        <v>329</v>
      </c>
      <c r="J6" s="6">
        <v>3.03</v>
      </c>
      <c r="K6" s="8">
        <f>Hotel!Y13</f>
        <v>88</v>
      </c>
    </row>
    <row r="7" spans="1:11" x14ac:dyDescent="0.25">
      <c r="A7" s="6" t="s">
        <v>11</v>
      </c>
      <c r="B7" s="9">
        <f t="shared" si="0"/>
        <v>6</v>
      </c>
      <c r="C7" s="7">
        <v>10</v>
      </c>
      <c r="D7" s="6">
        <v>2022</v>
      </c>
      <c r="E7" s="8">
        <f>Submetring!E7+Submetring!F7+Submetring!G7</f>
        <v>11566</v>
      </c>
      <c r="F7" s="6">
        <v>0.27700000000000002</v>
      </c>
      <c r="G7" s="8">
        <f>Submetring!H7+Submetring!I7</f>
        <v>973</v>
      </c>
      <c r="H7" s="6">
        <v>0.56711199999999995</v>
      </c>
      <c r="I7" s="8">
        <f>Submetring!J7</f>
        <v>345</v>
      </c>
      <c r="J7" s="6">
        <v>3.03</v>
      </c>
      <c r="K7" s="8">
        <f>Hotel!Y14</f>
        <v>113</v>
      </c>
    </row>
    <row r="8" spans="1:11" x14ac:dyDescent="0.25">
      <c r="A8" s="6" t="s">
        <v>11</v>
      </c>
      <c r="B8" s="9">
        <f t="shared" si="0"/>
        <v>7</v>
      </c>
      <c r="C8" s="7">
        <v>10</v>
      </c>
      <c r="D8" s="6">
        <v>2022</v>
      </c>
      <c r="E8" s="8">
        <f>Submetring!E8+Submetring!F8+Submetring!G8</f>
        <v>12044</v>
      </c>
      <c r="F8" s="6">
        <v>0.27700000000000002</v>
      </c>
      <c r="G8" s="8">
        <f>Submetring!H8+Submetring!I8</f>
        <v>1057</v>
      </c>
      <c r="H8" s="6">
        <v>0.56711199999999995</v>
      </c>
      <c r="I8" s="8">
        <f>Submetring!J8</f>
        <v>301</v>
      </c>
      <c r="J8" s="6">
        <v>3.03</v>
      </c>
      <c r="K8" s="8">
        <f>Hotel!Y15</f>
        <v>129</v>
      </c>
    </row>
    <row r="9" spans="1:11" x14ac:dyDescent="0.25">
      <c r="A9" s="6" t="s">
        <v>11</v>
      </c>
      <c r="B9" s="9">
        <f t="shared" si="0"/>
        <v>8</v>
      </c>
      <c r="C9" s="7">
        <v>10</v>
      </c>
      <c r="D9" s="6">
        <v>2022</v>
      </c>
      <c r="E9" s="8">
        <f>Submetring!E9+Submetring!F9+Submetring!G9</f>
        <v>11775</v>
      </c>
      <c r="F9" s="6">
        <v>0.27700000000000002</v>
      </c>
      <c r="G9" s="8">
        <f>Submetring!H9+Submetring!I9</f>
        <v>913</v>
      </c>
      <c r="H9" s="6">
        <v>0.56711199999999995</v>
      </c>
      <c r="I9" s="8">
        <f>Submetring!J9</f>
        <v>335</v>
      </c>
      <c r="J9" s="6">
        <v>3.03</v>
      </c>
      <c r="K9" s="8">
        <f>Hotel!Y16</f>
        <v>123</v>
      </c>
    </row>
    <row r="10" spans="1:11" x14ac:dyDescent="0.25">
      <c r="A10" s="6" t="s">
        <v>11</v>
      </c>
      <c r="B10" s="9">
        <f t="shared" si="0"/>
        <v>9</v>
      </c>
      <c r="C10" s="7">
        <v>10</v>
      </c>
      <c r="D10" s="6">
        <v>2022</v>
      </c>
      <c r="E10" s="8">
        <f>Submetring!E10+Submetring!F10+Submetring!G10</f>
        <v>12195</v>
      </c>
      <c r="F10" s="6">
        <v>0.27700000000000002</v>
      </c>
      <c r="G10" s="8">
        <f>Submetring!H10+Submetring!I10</f>
        <v>1090</v>
      </c>
      <c r="H10" s="6">
        <v>0.56711199999999995</v>
      </c>
      <c r="I10" s="8">
        <f>Submetring!J10</f>
        <v>297</v>
      </c>
      <c r="J10" s="6">
        <v>3.03</v>
      </c>
      <c r="K10" s="8">
        <f>Hotel!Y17</f>
        <v>83</v>
      </c>
    </row>
    <row r="11" spans="1:11" x14ac:dyDescent="0.25">
      <c r="A11" s="6" t="s">
        <v>11</v>
      </c>
      <c r="B11" s="9">
        <f t="shared" si="0"/>
        <v>10</v>
      </c>
      <c r="C11" s="7">
        <v>10</v>
      </c>
      <c r="D11" s="6">
        <v>2022</v>
      </c>
      <c r="E11" s="8">
        <f>Submetring!E11+Submetring!F11+Submetring!G11</f>
        <v>11504</v>
      </c>
      <c r="F11" s="6">
        <v>0.27700000000000002</v>
      </c>
      <c r="G11" s="8">
        <f>Submetring!H11+Submetring!I11</f>
        <v>1067</v>
      </c>
      <c r="H11" s="6">
        <v>0.56711199999999995</v>
      </c>
      <c r="I11" s="8">
        <f>Submetring!J11</f>
        <v>292</v>
      </c>
      <c r="J11" s="6">
        <v>3.03</v>
      </c>
      <c r="K11" s="8">
        <f>Hotel!Y18</f>
        <v>73</v>
      </c>
    </row>
    <row r="12" spans="1:11" x14ac:dyDescent="0.25">
      <c r="A12" s="6" t="s">
        <v>11</v>
      </c>
      <c r="B12" s="9">
        <f t="shared" si="0"/>
        <v>11</v>
      </c>
      <c r="C12" s="7">
        <v>10</v>
      </c>
      <c r="D12" s="6">
        <v>2022</v>
      </c>
      <c r="E12" s="8">
        <f>Submetring!E12+Submetring!F12+Submetring!G12</f>
        <v>11569</v>
      </c>
      <c r="F12" s="6">
        <v>0.27700000000000002</v>
      </c>
      <c r="G12" s="8">
        <f>Submetring!H12+Submetring!I12</f>
        <v>1082</v>
      </c>
      <c r="H12" s="6">
        <v>0.56711199999999995</v>
      </c>
      <c r="I12" s="8">
        <f>Submetring!J12</f>
        <v>242</v>
      </c>
      <c r="J12" s="6">
        <v>3.03</v>
      </c>
      <c r="K12" s="8">
        <f>Hotel!Y19</f>
        <v>88</v>
      </c>
    </row>
    <row r="13" spans="1:11" x14ac:dyDescent="0.25">
      <c r="A13" s="6" t="s">
        <v>11</v>
      </c>
      <c r="B13" s="9">
        <f t="shared" si="0"/>
        <v>12</v>
      </c>
      <c r="C13" s="7">
        <v>10</v>
      </c>
      <c r="D13" s="6">
        <v>2022</v>
      </c>
      <c r="E13" s="8">
        <f>Submetring!E13+Submetring!F13+Submetring!G13</f>
        <v>12092</v>
      </c>
      <c r="F13" s="6">
        <v>0.27700000000000002</v>
      </c>
      <c r="G13" s="8">
        <f>Submetring!H13+Submetring!I13</f>
        <v>1015</v>
      </c>
      <c r="H13" s="6">
        <v>0.56711199999999995</v>
      </c>
      <c r="I13" s="8">
        <f>Submetring!J13</f>
        <v>309</v>
      </c>
      <c r="J13" s="6">
        <v>3.03</v>
      </c>
      <c r="K13" s="8">
        <f>Hotel!Y20</f>
        <v>117</v>
      </c>
    </row>
    <row r="14" spans="1:11" x14ac:dyDescent="0.25">
      <c r="A14" s="6" t="s">
        <v>11</v>
      </c>
      <c r="B14" s="9">
        <f t="shared" si="0"/>
        <v>13</v>
      </c>
      <c r="C14" s="7">
        <v>10</v>
      </c>
      <c r="D14" s="6">
        <v>2022</v>
      </c>
      <c r="E14" s="8">
        <f>Submetring!E14+Submetring!F14+Submetring!G14</f>
        <v>11820</v>
      </c>
      <c r="F14" s="6">
        <v>0.27700000000000002</v>
      </c>
      <c r="G14" s="8">
        <f>Submetring!H14+Submetring!I14</f>
        <v>1170</v>
      </c>
      <c r="H14" s="6">
        <v>0.56711199999999995</v>
      </c>
      <c r="I14" s="8">
        <f>Submetring!J14</f>
        <v>331</v>
      </c>
      <c r="J14" s="6">
        <v>3.03</v>
      </c>
      <c r="K14" s="8">
        <f>Hotel!Y21</f>
        <v>132</v>
      </c>
    </row>
    <row r="15" spans="1:11" x14ac:dyDescent="0.25">
      <c r="A15" s="6" t="s">
        <v>11</v>
      </c>
      <c r="B15" s="9">
        <f t="shared" si="0"/>
        <v>14</v>
      </c>
      <c r="C15" s="7">
        <v>10</v>
      </c>
      <c r="D15" s="6">
        <v>2022</v>
      </c>
      <c r="E15" s="8">
        <f>Submetring!E15+Submetring!F15+Submetring!G15</f>
        <v>11746</v>
      </c>
      <c r="F15" s="6">
        <v>0.27700000000000002</v>
      </c>
      <c r="G15" s="8">
        <f>Submetring!H15+Submetring!I15</f>
        <v>1062</v>
      </c>
      <c r="H15" s="6">
        <v>0.56711199999999995</v>
      </c>
      <c r="I15" s="8">
        <f>Submetring!J15</f>
        <v>344</v>
      </c>
      <c r="J15" s="6">
        <v>3.03</v>
      </c>
      <c r="K15" s="8">
        <f>Hotel!Y22</f>
        <v>143</v>
      </c>
    </row>
    <row r="16" spans="1:11" x14ac:dyDescent="0.25">
      <c r="A16" s="6" t="s">
        <v>11</v>
      </c>
      <c r="B16" s="9">
        <f t="shared" si="0"/>
        <v>15</v>
      </c>
      <c r="C16" s="7">
        <v>10</v>
      </c>
      <c r="D16" s="6">
        <v>2022</v>
      </c>
      <c r="E16" s="8">
        <f>Submetring!E16+Submetring!F16+Submetring!G16</f>
        <v>11639</v>
      </c>
      <c r="F16" s="6">
        <v>0.27700000000000002</v>
      </c>
      <c r="G16" s="8">
        <f>Submetring!H16+Submetring!I16</f>
        <v>932</v>
      </c>
      <c r="H16" s="6">
        <v>0.56711199999999995</v>
      </c>
      <c r="I16" s="8">
        <f>Submetring!J16</f>
        <v>333</v>
      </c>
      <c r="J16" s="6">
        <v>3.03</v>
      </c>
      <c r="K16" s="8">
        <f>Hotel!Y23</f>
        <v>137</v>
      </c>
    </row>
    <row r="17" spans="1:11" x14ac:dyDescent="0.25">
      <c r="A17" s="6" t="s">
        <v>11</v>
      </c>
      <c r="B17" s="9">
        <f t="shared" si="0"/>
        <v>16</v>
      </c>
      <c r="C17" s="7">
        <v>10</v>
      </c>
      <c r="D17" s="6">
        <v>2022</v>
      </c>
      <c r="E17" s="8">
        <f>Submetring!E17+Submetring!F17+Submetring!G17</f>
        <v>11743</v>
      </c>
      <c r="F17" s="6">
        <v>0.27700000000000002</v>
      </c>
      <c r="G17" s="8">
        <f>Submetring!H17+Submetring!I17</f>
        <v>965</v>
      </c>
      <c r="H17" s="6">
        <v>0.56711199999999995</v>
      </c>
      <c r="I17" s="8">
        <f>Submetring!J17</f>
        <v>323</v>
      </c>
      <c r="J17" s="6">
        <v>3.03</v>
      </c>
      <c r="K17" s="8">
        <f>Hotel!Y24</f>
        <v>114</v>
      </c>
    </row>
    <row r="18" spans="1:11" x14ac:dyDescent="0.25">
      <c r="A18" s="6" t="s">
        <v>11</v>
      </c>
      <c r="B18" s="9">
        <f t="shared" si="0"/>
        <v>17</v>
      </c>
      <c r="C18" s="7">
        <v>10</v>
      </c>
      <c r="D18" s="6">
        <v>2022</v>
      </c>
      <c r="E18" s="8">
        <f>Submetring!E18+Submetring!F18+Submetring!G18</f>
        <v>11382</v>
      </c>
      <c r="F18" s="6">
        <v>0.27700000000000002</v>
      </c>
      <c r="G18" s="8">
        <f>Submetring!H18+Submetring!I18</f>
        <v>945</v>
      </c>
      <c r="H18" s="6">
        <v>0.56711199999999995</v>
      </c>
      <c r="I18" s="8">
        <f>Submetring!J18</f>
        <v>448</v>
      </c>
      <c r="J18" s="6">
        <v>3.03</v>
      </c>
      <c r="K18" s="8">
        <f>Hotel!Y25</f>
        <v>106</v>
      </c>
    </row>
    <row r="19" spans="1:11" x14ac:dyDescent="0.25">
      <c r="A19" s="6" t="s">
        <v>11</v>
      </c>
      <c r="B19" s="9">
        <f t="shared" si="0"/>
        <v>18</v>
      </c>
      <c r="C19" s="7">
        <v>10</v>
      </c>
      <c r="D19" s="6">
        <v>2022</v>
      </c>
      <c r="E19" s="8">
        <f>Submetring!E19+Submetring!F19+Submetring!G19</f>
        <v>11024</v>
      </c>
      <c r="F19" s="6">
        <v>0.27700000000000002</v>
      </c>
      <c r="G19" s="8">
        <f>Submetring!H19+Submetring!I19</f>
        <v>1053</v>
      </c>
      <c r="H19" s="6">
        <v>0.56711199999999995</v>
      </c>
      <c r="I19" s="8">
        <f>Submetring!J19</f>
        <v>259</v>
      </c>
      <c r="J19" s="6">
        <v>3.03</v>
      </c>
      <c r="K19" s="8">
        <f>Hotel!Y26</f>
        <v>79</v>
      </c>
    </row>
    <row r="20" spans="1:11" x14ac:dyDescent="0.25">
      <c r="A20" s="6" t="s">
        <v>11</v>
      </c>
      <c r="B20" s="9">
        <f t="shared" si="0"/>
        <v>19</v>
      </c>
      <c r="C20" s="7">
        <v>10</v>
      </c>
      <c r="D20" s="6">
        <v>2022</v>
      </c>
      <c r="E20" s="8">
        <f>Submetring!E20+Submetring!F20+Submetring!G20</f>
        <v>10949</v>
      </c>
      <c r="F20" s="6">
        <v>0.27700000000000002</v>
      </c>
      <c r="G20" s="8">
        <f>Submetring!H20+Submetring!I20</f>
        <v>1095</v>
      </c>
      <c r="H20" s="6">
        <v>0.56711199999999995</v>
      </c>
      <c r="I20" s="8">
        <f>Submetring!J20</f>
        <v>368</v>
      </c>
      <c r="J20" s="6">
        <v>3.03</v>
      </c>
      <c r="K20" s="8">
        <f>Hotel!Y27</f>
        <v>77</v>
      </c>
    </row>
    <row r="21" spans="1:11" x14ac:dyDescent="0.25">
      <c r="A21" s="6" t="s">
        <v>11</v>
      </c>
      <c r="B21" s="9">
        <f t="shared" si="0"/>
        <v>20</v>
      </c>
      <c r="C21" s="7">
        <v>10</v>
      </c>
      <c r="D21" s="6">
        <v>2022</v>
      </c>
      <c r="E21" s="8">
        <f>Submetring!E21+Submetring!F21+Submetring!G21</f>
        <v>10751</v>
      </c>
      <c r="F21" s="6">
        <v>0.27700000000000002</v>
      </c>
      <c r="G21" s="8">
        <f>Submetring!H21+Submetring!I21</f>
        <v>943</v>
      </c>
      <c r="H21" s="6">
        <v>0.56711199999999995</v>
      </c>
      <c r="I21" s="8">
        <f>Submetring!J21</f>
        <v>252</v>
      </c>
      <c r="J21" s="6">
        <v>3.03</v>
      </c>
      <c r="K21" s="8">
        <f>Hotel!Y28</f>
        <v>80</v>
      </c>
    </row>
    <row r="22" spans="1:11" x14ac:dyDescent="0.25">
      <c r="A22" s="6" t="s">
        <v>11</v>
      </c>
      <c r="B22" s="9">
        <f t="shared" si="0"/>
        <v>21</v>
      </c>
      <c r="C22" s="7">
        <v>10</v>
      </c>
      <c r="D22" s="6">
        <v>2022</v>
      </c>
      <c r="E22" s="8">
        <f>Submetring!E22+Submetring!F22+Submetring!G22</f>
        <v>11267</v>
      </c>
      <c r="F22" s="6">
        <v>0.27700000000000002</v>
      </c>
      <c r="G22" s="8">
        <f>Submetring!H22+Submetring!I22</f>
        <v>1061</v>
      </c>
      <c r="H22" s="6">
        <v>0.56711199999999995</v>
      </c>
      <c r="I22" s="8">
        <f>Submetring!J22</f>
        <v>344</v>
      </c>
      <c r="J22" s="6">
        <v>3.03</v>
      </c>
      <c r="K22" s="8">
        <f>Hotel!Y29</f>
        <v>91</v>
      </c>
    </row>
    <row r="23" spans="1:11" x14ac:dyDescent="0.25">
      <c r="A23" s="6" t="s">
        <v>11</v>
      </c>
      <c r="B23" s="9">
        <f t="shared" si="0"/>
        <v>22</v>
      </c>
      <c r="C23" s="7">
        <v>10</v>
      </c>
      <c r="D23" s="6">
        <v>2022</v>
      </c>
      <c r="E23" s="8">
        <f>Submetring!E23+Submetring!F23+Submetring!G23</f>
        <v>10900</v>
      </c>
      <c r="F23" s="6">
        <v>0.27700000000000002</v>
      </c>
      <c r="G23" s="8">
        <f>Submetring!H23+Submetring!I23</f>
        <v>1003</v>
      </c>
      <c r="H23" s="6">
        <v>0.56711199999999995</v>
      </c>
      <c r="I23" s="8">
        <f>Submetring!J23</f>
        <v>305</v>
      </c>
      <c r="J23" s="6">
        <v>3.03</v>
      </c>
      <c r="K23" s="8">
        <f>Hotel!Y30</f>
        <v>95</v>
      </c>
    </row>
    <row r="24" spans="1:11" x14ac:dyDescent="0.25">
      <c r="A24" s="6" t="s">
        <v>11</v>
      </c>
      <c r="B24" s="9">
        <f t="shared" si="0"/>
        <v>23</v>
      </c>
      <c r="C24" s="7">
        <v>10</v>
      </c>
      <c r="D24" s="6">
        <v>2022</v>
      </c>
      <c r="E24" s="8">
        <f>Submetring!E24+Submetring!F24+Submetring!G24</f>
        <v>11106</v>
      </c>
      <c r="F24" s="6">
        <v>0.27700000000000002</v>
      </c>
      <c r="G24" s="8">
        <f>Submetring!H24+Submetring!I24</f>
        <v>1058</v>
      </c>
      <c r="H24" s="6">
        <v>0.56711199999999995</v>
      </c>
      <c r="I24" s="8">
        <f>Submetring!J24</f>
        <v>450</v>
      </c>
      <c r="J24" s="6">
        <v>3.03</v>
      </c>
      <c r="K24" s="8">
        <f>Hotel!Y31</f>
        <v>95</v>
      </c>
    </row>
    <row r="25" spans="1:11" x14ac:dyDescent="0.25">
      <c r="A25" s="6" t="s">
        <v>11</v>
      </c>
      <c r="B25" s="9">
        <f t="shared" si="0"/>
        <v>24</v>
      </c>
      <c r="C25" s="7">
        <v>10</v>
      </c>
      <c r="D25" s="6">
        <v>2022</v>
      </c>
      <c r="E25" s="8">
        <f>Submetring!E25+Submetring!F25+Submetring!G25</f>
        <v>10416</v>
      </c>
      <c r="F25" s="6">
        <v>0.27700000000000002</v>
      </c>
      <c r="G25" s="8">
        <f>Submetring!H25+Submetring!I25</f>
        <v>976</v>
      </c>
      <c r="H25" s="6">
        <v>0.56711199999999995</v>
      </c>
      <c r="I25" s="8">
        <f>Submetring!J25</f>
        <v>272</v>
      </c>
      <c r="J25" s="6">
        <v>3.03</v>
      </c>
      <c r="K25" s="8">
        <f>Hotel!Y32</f>
        <v>107</v>
      </c>
    </row>
    <row r="26" spans="1:11" x14ac:dyDescent="0.25">
      <c r="A26" s="6" t="s">
        <v>11</v>
      </c>
      <c r="B26" s="9">
        <f>B25+1</f>
        <v>25</v>
      </c>
      <c r="C26" s="7">
        <v>10</v>
      </c>
      <c r="D26" s="6">
        <v>2022</v>
      </c>
      <c r="E26" s="8">
        <f>Submetring!E26+Submetring!F26+Submetring!G26</f>
        <v>0</v>
      </c>
      <c r="F26" s="6">
        <v>0.27700000000000002</v>
      </c>
      <c r="G26" s="8">
        <f>Submetring!H26+Submetring!I26</f>
        <v>0</v>
      </c>
      <c r="H26" s="6">
        <v>0.56711199999999995</v>
      </c>
      <c r="I26" s="8" t="str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10</v>
      </c>
      <c r="D27" s="6">
        <v>2022</v>
      </c>
      <c r="E27" s="8">
        <f>Submetring!E27+Submetring!F27+Submetring!G27</f>
        <v>0</v>
      </c>
      <c r="F27" s="6">
        <v>0.27700000000000002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10</v>
      </c>
      <c r="D28" s="6">
        <v>2022</v>
      </c>
      <c r="E28" s="8">
        <f>Submetring!E28+Submetring!F28+Submetring!G28</f>
        <v>0</v>
      </c>
      <c r="F28" s="6">
        <v>0.27700000000000002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10</v>
      </c>
      <c r="D29" s="6">
        <v>2022</v>
      </c>
      <c r="E29" s="8">
        <f>Submetring!E29+Submetring!F29+Submetring!G29</f>
        <v>0</v>
      </c>
      <c r="F29" s="6">
        <v>0.27700000000000002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10</v>
      </c>
      <c r="D30" s="6">
        <v>2022</v>
      </c>
      <c r="E30" s="8">
        <f>Submetring!E30+Submetring!F30+Submetring!G30</f>
        <v>0</v>
      </c>
      <c r="F30" s="6">
        <v>0.27700000000000002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10</v>
      </c>
      <c r="D31" s="6">
        <v>2022</v>
      </c>
      <c r="E31" s="8">
        <f>Submetring!E31+Submetring!F31+Submetring!G31</f>
        <v>0</v>
      </c>
      <c r="F31" s="6">
        <v>0.27700000000000002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10</v>
      </c>
      <c r="D32" s="6">
        <v>2022</v>
      </c>
      <c r="E32" s="8">
        <f>Submetring!E32+Submetring!F32+Submetring!G32</f>
        <v>0</v>
      </c>
      <c r="F32" s="6">
        <v>0.27700000000000002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M25" sqref="M25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10</v>
      </c>
      <c r="D2" s="10">
        <v>2022</v>
      </c>
      <c r="E2" s="11">
        <f>Hotel!D9</f>
        <v>4224</v>
      </c>
      <c r="F2" s="11">
        <f>Hotel!F9</f>
        <v>4149</v>
      </c>
      <c r="G2" s="11">
        <f>Hotel!H9</f>
        <v>4024</v>
      </c>
      <c r="H2" s="11">
        <f>Hotel!N9</f>
        <v>176</v>
      </c>
      <c r="I2" s="11">
        <f>Hotel!P9</f>
        <v>928</v>
      </c>
      <c r="J2" s="11">
        <f>Hotel!U9</f>
        <v>311</v>
      </c>
      <c r="K2" s="11">
        <f>Hotel!Y9</f>
        <v>122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10</v>
      </c>
      <c r="D3" s="10">
        <v>2022</v>
      </c>
      <c r="E3" s="11">
        <f>Hotel!D10</f>
        <v>3821</v>
      </c>
      <c r="F3" s="11">
        <f>Hotel!F10</f>
        <v>3748</v>
      </c>
      <c r="G3" s="11">
        <f>Hotel!H10</f>
        <v>3604</v>
      </c>
      <c r="H3" s="11">
        <f>Hotel!N10</f>
        <v>153</v>
      </c>
      <c r="I3" s="11">
        <f>Hotel!P10</f>
        <v>1069</v>
      </c>
      <c r="J3" s="11">
        <f>Hotel!U10</f>
        <v>452</v>
      </c>
      <c r="K3" s="11">
        <f>Hotel!Y10</f>
        <v>147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10</v>
      </c>
      <c r="D4" s="10">
        <v>2022</v>
      </c>
      <c r="E4" s="11">
        <f>Hotel!D11</f>
        <v>3879</v>
      </c>
      <c r="F4" s="11">
        <f>Hotel!F11</f>
        <v>3807</v>
      </c>
      <c r="G4" s="11">
        <f>Hotel!H11</f>
        <v>3675</v>
      </c>
      <c r="H4" s="11">
        <f>Hotel!N11</f>
        <v>142</v>
      </c>
      <c r="I4" s="11">
        <f>Hotel!P11</f>
        <v>856</v>
      </c>
      <c r="J4" s="11">
        <f>Hotel!U11</f>
        <v>299</v>
      </c>
      <c r="K4" s="11">
        <f>Hotel!Y11</f>
        <v>153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10</v>
      </c>
      <c r="D5" s="10">
        <v>2022</v>
      </c>
      <c r="E5" s="11">
        <f>Hotel!D12</f>
        <v>3875</v>
      </c>
      <c r="F5" s="11">
        <f>Hotel!F12</f>
        <v>3824</v>
      </c>
      <c r="G5" s="11">
        <f>Hotel!H12</f>
        <v>3687</v>
      </c>
      <c r="H5" s="11">
        <f>Hotel!N12</f>
        <v>178</v>
      </c>
      <c r="I5" s="11">
        <f>Hotel!P12</f>
        <v>789</v>
      </c>
      <c r="J5" s="11">
        <f>Hotel!U12</f>
        <v>275</v>
      </c>
      <c r="K5" s="11">
        <f>Hotel!Y12</f>
        <v>163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10</v>
      </c>
      <c r="D6" s="10">
        <v>2022</v>
      </c>
      <c r="E6" s="11">
        <f>Hotel!D13</f>
        <v>3819</v>
      </c>
      <c r="F6" s="11">
        <f>Hotel!F13</f>
        <v>3753</v>
      </c>
      <c r="G6" s="11">
        <f>Hotel!H13</f>
        <v>3599</v>
      </c>
      <c r="H6" s="11">
        <f>Hotel!N13</f>
        <v>165</v>
      </c>
      <c r="I6" s="11">
        <f>Hotel!P13</f>
        <v>869</v>
      </c>
      <c r="J6" s="11">
        <f>Hotel!U13</f>
        <v>329</v>
      </c>
      <c r="K6" s="11">
        <f>Hotel!Y13</f>
        <v>88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10</v>
      </c>
      <c r="D7" s="10">
        <v>2022</v>
      </c>
      <c r="E7" s="11">
        <f>Hotel!D14</f>
        <v>3981</v>
      </c>
      <c r="F7" s="11">
        <f>Hotel!F14</f>
        <v>3890</v>
      </c>
      <c r="G7" s="11">
        <f>Hotel!H14</f>
        <v>3695</v>
      </c>
      <c r="H7" s="11">
        <f>Hotel!N14</f>
        <v>177</v>
      </c>
      <c r="I7" s="11">
        <f>Hotel!P14</f>
        <v>796</v>
      </c>
      <c r="J7" s="11">
        <f>Hotel!U14</f>
        <v>345</v>
      </c>
      <c r="K7" s="11">
        <f>Hotel!Y14</f>
        <v>113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10</v>
      </c>
      <c r="D8" s="10">
        <v>2022</v>
      </c>
      <c r="E8" s="11">
        <f>Hotel!D15</f>
        <v>4068</v>
      </c>
      <c r="F8" s="11">
        <f>Hotel!F15</f>
        <v>4037</v>
      </c>
      <c r="G8" s="11">
        <f>Hotel!H15</f>
        <v>3939</v>
      </c>
      <c r="H8" s="11">
        <f>Hotel!N15</f>
        <v>105</v>
      </c>
      <c r="I8" s="11">
        <f>Hotel!P15</f>
        <v>952</v>
      </c>
      <c r="J8" s="11">
        <f>Hotel!U15</f>
        <v>301</v>
      </c>
      <c r="K8" s="11">
        <f>Hotel!Y15</f>
        <v>129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10</v>
      </c>
      <c r="D9" s="10">
        <v>2022</v>
      </c>
      <c r="E9" s="11">
        <f>Hotel!D16</f>
        <v>4013</v>
      </c>
      <c r="F9" s="11">
        <f>Hotel!F16</f>
        <v>3968</v>
      </c>
      <c r="G9" s="11">
        <f>Hotel!H16</f>
        <v>3794</v>
      </c>
      <c r="H9" s="11">
        <f>Hotel!N16</f>
        <v>133</v>
      </c>
      <c r="I9" s="11">
        <f>Hotel!P16</f>
        <v>780</v>
      </c>
      <c r="J9" s="11">
        <f>Hotel!U16</f>
        <v>335</v>
      </c>
      <c r="K9" s="11">
        <f>Hotel!Y16</f>
        <v>123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10</v>
      </c>
      <c r="D10" s="10">
        <v>2022</v>
      </c>
      <c r="E10" s="11">
        <f>Hotel!D17</f>
        <v>4161</v>
      </c>
      <c r="F10" s="11">
        <f>Hotel!F17</f>
        <v>4102</v>
      </c>
      <c r="G10" s="11">
        <f>Hotel!H17</f>
        <v>3932</v>
      </c>
      <c r="H10" s="11">
        <f>Hotel!N17</f>
        <v>167</v>
      </c>
      <c r="I10" s="11">
        <f>Hotel!P17</f>
        <v>923</v>
      </c>
      <c r="J10" s="11">
        <f>Hotel!U17</f>
        <v>297</v>
      </c>
      <c r="K10" s="11">
        <f>Hotel!Y17</f>
        <v>83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10</v>
      </c>
      <c r="D11" s="10">
        <v>2022</v>
      </c>
      <c r="E11" s="11">
        <f>Hotel!D18</f>
        <v>3912</v>
      </c>
      <c r="F11" s="11">
        <f>Hotel!F18</f>
        <v>3882</v>
      </c>
      <c r="G11" s="11">
        <f>Hotel!H18</f>
        <v>3710</v>
      </c>
      <c r="H11" s="11">
        <f>Hotel!N18</f>
        <v>122</v>
      </c>
      <c r="I11" s="11">
        <f>Hotel!P18</f>
        <v>945</v>
      </c>
      <c r="J11" s="11">
        <f>Hotel!U18</f>
        <v>292</v>
      </c>
      <c r="K11" s="11">
        <f>Hotel!Y18</f>
        <v>73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10</v>
      </c>
      <c r="D12" s="10">
        <v>2022</v>
      </c>
      <c r="E12" s="11">
        <f>Hotel!D19</f>
        <v>3933</v>
      </c>
      <c r="F12" s="11">
        <f>Hotel!F19</f>
        <v>3917</v>
      </c>
      <c r="G12" s="11">
        <f>Hotel!H19</f>
        <v>3719</v>
      </c>
      <c r="H12" s="11">
        <f>Hotel!N19</f>
        <v>157</v>
      </c>
      <c r="I12" s="11">
        <f>Hotel!P19</f>
        <v>925</v>
      </c>
      <c r="J12" s="11">
        <f>Hotel!U19</f>
        <v>242</v>
      </c>
      <c r="K12" s="11">
        <f>Hotel!Y19</f>
        <v>88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10</v>
      </c>
      <c r="D13" s="10">
        <v>2022</v>
      </c>
      <c r="E13" s="11">
        <f>Hotel!D20</f>
        <v>4115</v>
      </c>
      <c r="F13" s="11">
        <f>Hotel!F20</f>
        <v>4086</v>
      </c>
      <c r="G13" s="11">
        <f>Hotel!H20</f>
        <v>3891</v>
      </c>
      <c r="H13" s="11">
        <f>Hotel!N20</f>
        <v>139</v>
      </c>
      <c r="I13" s="11">
        <f>Hotel!P20</f>
        <v>876</v>
      </c>
      <c r="J13" s="11">
        <f>Hotel!U20</f>
        <v>309</v>
      </c>
      <c r="K13" s="11">
        <f>Hotel!Y20</f>
        <v>117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10</v>
      </c>
      <c r="D14" s="10">
        <v>2022</v>
      </c>
      <c r="E14" s="11">
        <f>Hotel!D21</f>
        <v>4033</v>
      </c>
      <c r="F14" s="11">
        <f>Hotel!F21</f>
        <v>3994</v>
      </c>
      <c r="G14" s="11">
        <f>Hotel!H21</f>
        <v>3793</v>
      </c>
      <c r="H14" s="11">
        <f>Hotel!N21</f>
        <v>156</v>
      </c>
      <c r="I14" s="11">
        <f>Hotel!P21</f>
        <v>1014</v>
      </c>
      <c r="J14" s="11">
        <f>Hotel!U21</f>
        <v>331</v>
      </c>
      <c r="K14" s="11">
        <f>Hotel!Y21</f>
        <v>132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10</v>
      </c>
      <c r="D15" s="10">
        <v>2022</v>
      </c>
      <c r="E15" s="11">
        <f>Hotel!D22</f>
        <v>4002</v>
      </c>
      <c r="F15" s="11">
        <f>Hotel!F22</f>
        <v>3970</v>
      </c>
      <c r="G15" s="11">
        <f>Hotel!H22</f>
        <v>3774</v>
      </c>
      <c r="H15" s="11">
        <f>Hotel!N22</f>
        <v>162</v>
      </c>
      <c r="I15" s="11">
        <f>Hotel!P22</f>
        <v>900</v>
      </c>
      <c r="J15" s="11">
        <f>Hotel!U22</f>
        <v>344</v>
      </c>
      <c r="K15" s="11">
        <f>Hotel!Y22</f>
        <v>143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10</v>
      </c>
      <c r="D16" s="10">
        <v>2022</v>
      </c>
      <c r="E16" s="11">
        <f>Hotel!D23</f>
        <v>3946</v>
      </c>
      <c r="F16" s="11">
        <f>Hotel!F23</f>
        <v>3942</v>
      </c>
      <c r="G16" s="11">
        <f>Hotel!H23</f>
        <v>3751</v>
      </c>
      <c r="H16" s="11">
        <f>Hotel!N23</f>
        <v>126</v>
      </c>
      <c r="I16" s="11">
        <f>Hotel!P23</f>
        <v>806</v>
      </c>
      <c r="J16" s="11">
        <f>Hotel!U23</f>
        <v>333</v>
      </c>
      <c r="K16" s="11">
        <f>Hotel!Y23</f>
        <v>137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10</v>
      </c>
      <c r="D17" s="10">
        <v>2022</v>
      </c>
      <c r="E17" s="11">
        <f>Hotel!D24</f>
        <v>3993</v>
      </c>
      <c r="F17" s="11">
        <f>Hotel!F24</f>
        <v>3974</v>
      </c>
      <c r="G17" s="11">
        <f>Hotel!H24</f>
        <v>3776</v>
      </c>
      <c r="H17" s="11">
        <f>Hotel!N24</f>
        <v>158</v>
      </c>
      <c r="I17" s="11">
        <f>Hotel!P24</f>
        <v>807</v>
      </c>
      <c r="J17" s="11">
        <f>Hotel!U24</f>
        <v>323</v>
      </c>
      <c r="K17" s="11">
        <f>Hotel!Y24</f>
        <v>114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10</v>
      </c>
      <c r="D18" s="10">
        <v>2022</v>
      </c>
      <c r="E18" s="11">
        <f>Hotel!D25</f>
        <v>3880</v>
      </c>
      <c r="F18" s="11">
        <f>Hotel!F25</f>
        <v>3845</v>
      </c>
      <c r="G18" s="11">
        <f>Hotel!H25</f>
        <v>3657</v>
      </c>
      <c r="H18" s="11">
        <f>Hotel!N25</f>
        <v>128</v>
      </c>
      <c r="I18" s="11">
        <f>Hotel!P25</f>
        <v>817</v>
      </c>
      <c r="J18" s="11">
        <f>Hotel!U25</f>
        <v>448</v>
      </c>
      <c r="K18" s="11">
        <f>Hotel!Y25</f>
        <v>106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10</v>
      </c>
      <c r="D19" s="10">
        <v>2022</v>
      </c>
      <c r="E19" s="11">
        <f>Hotel!D26</f>
        <v>3746</v>
      </c>
      <c r="F19" s="11">
        <f>Hotel!F26</f>
        <v>3730</v>
      </c>
      <c r="G19" s="11">
        <f>Hotel!H26</f>
        <v>3548</v>
      </c>
      <c r="H19" s="11">
        <f>Hotel!N26</f>
        <v>138</v>
      </c>
      <c r="I19" s="11">
        <f>Hotel!P26</f>
        <v>915</v>
      </c>
      <c r="J19" s="11">
        <f>Hotel!U26</f>
        <v>259</v>
      </c>
      <c r="K19" s="11">
        <f>Hotel!Y26</f>
        <v>79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10</v>
      </c>
      <c r="D20" s="10">
        <v>2022</v>
      </c>
      <c r="E20" s="11">
        <f>Hotel!D27</f>
        <v>3717</v>
      </c>
      <c r="F20" s="11">
        <f>Hotel!F27</f>
        <v>3716</v>
      </c>
      <c r="G20" s="11">
        <f>Hotel!H27</f>
        <v>3516</v>
      </c>
      <c r="H20" s="11">
        <f>Hotel!N27</f>
        <v>129</v>
      </c>
      <c r="I20" s="11">
        <f>Hotel!P27</f>
        <v>966</v>
      </c>
      <c r="J20" s="11">
        <f>Hotel!U27</f>
        <v>368</v>
      </c>
      <c r="K20" s="11">
        <f>Hotel!Y27</f>
        <v>77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10</v>
      </c>
      <c r="D21" s="10">
        <v>2022</v>
      </c>
      <c r="E21" s="11">
        <f>Hotel!D28</f>
        <v>3642</v>
      </c>
      <c r="F21" s="11">
        <f>Hotel!F28</f>
        <v>3646</v>
      </c>
      <c r="G21" s="11">
        <f>Hotel!H28</f>
        <v>3463</v>
      </c>
      <c r="H21" s="11">
        <f>Hotel!N28</f>
        <v>144</v>
      </c>
      <c r="I21" s="11">
        <f>Hotel!P28</f>
        <v>799</v>
      </c>
      <c r="J21" s="11">
        <f>Hotel!U28</f>
        <v>252</v>
      </c>
      <c r="K21" s="11">
        <f>Hotel!Y28</f>
        <v>80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10</v>
      </c>
      <c r="D22" s="10">
        <v>2022</v>
      </c>
      <c r="E22" s="11">
        <f>Hotel!D29</f>
        <v>3691</v>
      </c>
      <c r="F22" s="11">
        <f>Hotel!F29</f>
        <v>3908</v>
      </c>
      <c r="G22" s="11">
        <f>Hotel!H29</f>
        <v>3668</v>
      </c>
      <c r="H22" s="11">
        <f>Hotel!N29</f>
        <v>162</v>
      </c>
      <c r="I22" s="11">
        <f>Hotel!P29</f>
        <v>899</v>
      </c>
      <c r="J22" s="11">
        <f>Hotel!U29</f>
        <v>344</v>
      </c>
      <c r="K22" s="11">
        <f>Hotel!Y29</f>
        <v>91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10</v>
      </c>
      <c r="D23" s="10">
        <v>2022</v>
      </c>
      <c r="E23" s="11">
        <f>Hotel!D30</f>
        <v>3816</v>
      </c>
      <c r="F23" s="11">
        <f>Hotel!F30</f>
        <v>3599</v>
      </c>
      <c r="G23" s="11">
        <f>Hotel!H30</f>
        <v>3485</v>
      </c>
      <c r="H23" s="11">
        <f>Hotel!N30</f>
        <v>142</v>
      </c>
      <c r="I23" s="11">
        <f>Hotel!P30</f>
        <v>861</v>
      </c>
      <c r="J23" s="11">
        <f>Hotel!U30</f>
        <v>305</v>
      </c>
      <c r="K23" s="11">
        <f>Hotel!Y30</f>
        <v>95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10</v>
      </c>
      <c r="D24" s="10">
        <v>2022</v>
      </c>
      <c r="E24" s="11">
        <f>Hotel!D31</f>
        <v>3766</v>
      </c>
      <c r="F24" s="11">
        <f>Hotel!F31</f>
        <v>3760</v>
      </c>
      <c r="G24" s="11">
        <f>Hotel!H31</f>
        <v>3580</v>
      </c>
      <c r="H24" s="11">
        <f>Hotel!N31</f>
        <v>144</v>
      </c>
      <c r="I24" s="11">
        <f>Hotel!P31</f>
        <v>914</v>
      </c>
      <c r="J24" s="11">
        <f>Hotel!U31</f>
        <v>450</v>
      </c>
      <c r="K24" s="11">
        <f>Hotel!Y31</f>
        <v>95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10</v>
      </c>
      <c r="D25" s="10">
        <v>2022</v>
      </c>
      <c r="E25" s="11">
        <f>Hotel!D32</f>
        <v>3537</v>
      </c>
      <c r="F25" s="11">
        <f>Hotel!F32</f>
        <v>3530</v>
      </c>
      <c r="G25" s="11">
        <f>Hotel!H32</f>
        <v>3349</v>
      </c>
      <c r="H25" s="11">
        <f>Hotel!N32</f>
        <v>131</v>
      </c>
      <c r="I25" s="11">
        <f>Hotel!P32</f>
        <v>845</v>
      </c>
      <c r="J25" s="11">
        <f>Hotel!U32</f>
        <v>272</v>
      </c>
      <c r="K25" s="11">
        <f>Hotel!Y32</f>
        <v>107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10</v>
      </c>
      <c r="D26" s="10">
        <v>2022</v>
      </c>
      <c r="E26" s="11" t="str">
        <f>Hotel!D33</f>
        <v>0</v>
      </c>
      <c r="F26" s="11" t="str">
        <f>Hotel!F33</f>
        <v>0</v>
      </c>
      <c r="G26" s="11" t="str">
        <f>Hotel!H33</f>
        <v>0</v>
      </c>
      <c r="H26" s="11" t="str">
        <f>Hotel!N33</f>
        <v>0</v>
      </c>
      <c r="I26" s="11" t="str">
        <f>Hotel!P33</f>
        <v>0</v>
      </c>
      <c r="J26" s="11" t="str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10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10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10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10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10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10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F15" sqref="AF15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1"/>
      <c r="C1" s="121"/>
      <c r="D1" s="121"/>
      <c r="E1" s="121"/>
      <c r="F1" s="122" t="s">
        <v>95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W1" s="122" t="s">
        <v>122</v>
      </c>
      <c r="X1" s="123"/>
      <c r="Y1" s="123"/>
      <c r="Z1" s="124"/>
    </row>
    <row r="2" spans="1:27" x14ac:dyDescent="0.25">
      <c r="A2" s="10"/>
      <c r="B2" s="121"/>
      <c r="C2" s="121"/>
      <c r="D2" s="121"/>
      <c r="E2" s="121"/>
      <c r="F2" s="125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5"/>
      <c r="X2" s="126"/>
      <c r="Y2" s="126"/>
      <c r="Z2" s="127"/>
    </row>
    <row r="3" spans="1:27" x14ac:dyDescent="0.25">
      <c r="A3" s="10"/>
      <c r="B3" s="121"/>
      <c r="C3" s="121"/>
      <c r="D3" s="121"/>
      <c r="E3" s="121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5">
        <v>2022</v>
      </c>
      <c r="X3" s="126"/>
      <c r="Y3" s="126"/>
      <c r="Z3" s="127"/>
    </row>
    <row r="4" spans="1:27" x14ac:dyDescent="0.25">
      <c r="A4" s="10"/>
      <c r="B4" s="121"/>
      <c r="C4" s="121"/>
      <c r="D4" s="121"/>
      <c r="E4" s="121"/>
      <c r="F4" s="128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30"/>
      <c r="W4" s="128"/>
      <c r="X4" s="129"/>
      <c r="Y4" s="129"/>
      <c r="Z4" s="130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7366965</v>
      </c>
      <c r="D6" s="27"/>
      <c r="E6" s="28">
        <v>7301279</v>
      </c>
      <c r="F6" s="29"/>
      <c r="G6" s="113">
        <v>6911219</v>
      </c>
      <c r="H6" s="30">
        <f>G6-G5</f>
        <v>6911219</v>
      </c>
      <c r="I6" s="31"/>
      <c r="J6" s="32">
        <f>D6+F6+H6</f>
        <v>6911219</v>
      </c>
      <c r="K6" s="32" t="e">
        <f>D6*0.152+F6*0.238+H6*0.115+#REF!*0.218</f>
        <v>#REF!</v>
      </c>
      <c r="L6" s="33"/>
      <c r="M6" s="34">
        <v>204136</v>
      </c>
      <c r="N6" s="30" t="e">
        <f>M6-#REF!</f>
        <v>#REF!</v>
      </c>
      <c r="O6" s="35">
        <v>2871939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420854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31" t="s">
        <v>97</v>
      </c>
      <c r="D7" s="132"/>
      <c r="E7" s="132"/>
      <c r="F7" s="132"/>
      <c r="G7" s="132"/>
      <c r="H7" s="132"/>
      <c r="I7" s="132"/>
      <c r="J7" s="132"/>
      <c r="K7" s="133"/>
      <c r="L7" s="40"/>
      <c r="M7" s="131" t="s">
        <v>98</v>
      </c>
      <c r="N7" s="132"/>
      <c r="O7" s="132"/>
      <c r="P7" s="132"/>
      <c r="Q7" s="132"/>
      <c r="R7" s="133"/>
      <c r="S7" s="40"/>
      <c r="T7" s="134" t="s">
        <v>99</v>
      </c>
      <c r="U7" s="134"/>
      <c r="V7" s="135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61">
        <v>7371189</v>
      </c>
      <c r="D9" s="60">
        <f>IF((C9-C6&lt;0), "0",C9-C6)</f>
        <v>4224</v>
      </c>
      <c r="E9" s="61">
        <v>7305428</v>
      </c>
      <c r="F9" s="60">
        <f>IF((E9-E6&lt;0), "0",E9-E6)</f>
        <v>4149</v>
      </c>
      <c r="G9" s="59">
        <v>6915243</v>
      </c>
      <c r="H9" s="60">
        <f>IF((G9-G6&lt;0), "0",G9-G6)</f>
        <v>4024</v>
      </c>
      <c r="I9" s="59">
        <f>H9+F9+D9</f>
        <v>12397</v>
      </c>
      <c r="J9" s="62">
        <v>0.99</v>
      </c>
      <c r="K9" s="63">
        <f>I9*0.269</f>
        <v>3334.7930000000001</v>
      </c>
      <c r="L9" s="64"/>
      <c r="M9" s="59">
        <v>204312</v>
      </c>
      <c r="N9" s="60">
        <f>IF((M9-M6&lt;0), "0",M9-M6)</f>
        <v>176</v>
      </c>
      <c r="O9" s="59">
        <v>2872867</v>
      </c>
      <c r="P9" s="60">
        <f>IF((O9-O6&lt;0), "0",O9-O6)</f>
        <v>928</v>
      </c>
      <c r="Q9" s="65">
        <f t="shared" ref="Q9:Q39" si="0">N9+P9</f>
        <v>1104</v>
      </c>
      <c r="R9" s="66">
        <f>(P9+N9*1.2285)*0.056*10.127</f>
        <v>648.89862419199994</v>
      </c>
      <c r="S9" s="67"/>
      <c r="T9" s="68">
        <v>421165</v>
      </c>
      <c r="U9" s="60">
        <f>IF((T9-T6&lt;0), "0",T9-T6)</f>
        <v>311</v>
      </c>
      <c r="V9" s="69">
        <f>U9*(1.315+1.54)</f>
        <v>887.90499999999997</v>
      </c>
      <c r="W9" s="70"/>
      <c r="X9" s="71">
        <f t="shared" ref="X9:X39" si="1">K9+R9+V9</f>
        <v>4871.5966241919996</v>
      </c>
      <c r="Y9" s="72">
        <v>122</v>
      </c>
      <c r="Z9" s="73">
        <f>X9/Y9</f>
        <v>39.93111987042623</v>
      </c>
    </row>
    <row r="10" spans="1:27" x14ac:dyDescent="0.25">
      <c r="A10" s="10" t="s">
        <v>117</v>
      </c>
      <c r="B10" s="58">
        <f>B9+1</f>
        <v>2</v>
      </c>
      <c r="C10" s="61">
        <v>7375010</v>
      </c>
      <c r="D10" s="60">
        <f t="shared" ref="D10:D39" si="2">IF((C10-C9&lt;0), "0",C10-C9)</f>
        <v>3821</v>
      </c>
      <c r="E10" s="61">
        <v>7309176</v>
      </c>
      <c r="F10" s="60">
        <f>IF((E10-E9&lt;0), "0",E10-E9)</f>
        <v>3748</v>
      </c>
      <c r="G10" s="59">
        <v>6918847</v>
      </c>
      <c r="H10" s="60">
        <f t="shared" ref="H10:H39" si="3">IF((G10-G9&lt;0), "0",G10-G9)</f>
        <v>3604</v>
      </c>
      <c r="I10" s="59">
        <f t="shared" ref="I10:I39" si="4">H10+F10+D10</f>
        <v>11173</v>
      </c>
      <c r="J10" s="62">
        <v>0.99</v>
      </c>
      <c r="K10" s="63">
        <f t="shared" ref="K10:K39" si="5">I10*0.269</f>
        <v>3005.5370000000003</v>
      </c>
      <c r="L10" s="64"/>
      <c r="M10" s="59">
        <v>204465</v>
      </c>
      <c r="N10" s="60">
        <f>IF((M10-M9&lt;0), "0",M10-M9)</f>
        <v>153</v>
      </c>
      <c r="O10" s="59">
        <v>2873936</v>
      </c>
      <c r="P10" s="60">
        <f>IF((O10-O9&lt;0), "0",O10-O9)</f>
        <v>1069</v>
      </c>
      <c r="Q10" s="65">
        <f t="shared" si="0"/>
        <v>1222</v>
      </c>
      <c r="R10" s="66">
        <f t="shared" ref="R10:R39" si="6">(P10+N10*1.2285)*0.056*10.127</f>
        <v>712.83738307600004</v>
      </c>
      <c r="S10" s="67"/>
      <c r="T10" s="68">
        <v>421617</v>
      </c>
      <c r="U10" s="60">
        <f>IF((T10-T9&lt;0), "0",T10-T9)</f>
        <v>452</v>
      </c>
      <c r="V10" s="69">
        <f t="shared" ref="V10:V39" si="7">U10*(1.315+1.54)</f>
        <v>1290.46</v>
      </c>
      <c r="W10" s="70"/>
      <c r="X10" s="75">
        <f t="shared" si="1"/>
        <v>5008.8343830760004</v>
      </c>
      <c r="Y10" s="76">
        <v>147</v>
      </c>
      <c r="Z10" s="77">
        <f t="shared" ref="Z10:Z39" si="8">X10/Y10</f>
        <v>34.073703286231293</v>
      </c>
    </row>
    <row r="11" spans="1:27" x14ac:dyDescent="0.25">
      <c r="A11" s="10" t="s">
        <v>118</v>
      </c>
      <c r="B11" s="58">
        <f t="shared" ref="B11:B39" si="9">B10+1</f>
        <v>3</v>
      </c>
      <c r="C11" s="61">
        <v>7378889</v>
      </c>
      <c r="D11" s="60">
        <f t="shared" si="2"/>
        <v>3879</v>
      </c>
      <c r="E11" s="61">
        <v>7312983</v>
      </c>
      <c r="F11" s="60">
        <f t="shared" ref="F11:F39" si="10">IF((E11-E10&lt;0), "0",E11-E10)</f>
        <v>3807</v>
      </c>
      <c r="G11" s="59">
        <v>6922522</v>
      </c>
      <c r="H11" s="60">
        <f t="shared" si="3"/>
        <v>3675</v>
      </c>
      <c r="I11" s="59">
        <f t="shared" si="4"/>
        <v>11361</v>
      </c>
      <c r="J11" s="62">
        <v>0.99</v>
      </c>
      <c r="K11" s="63">
        <f t="shared" si="5"/>
        <v>3056.1090000000004</v>
      </c>
      <c r="L11" s="64"/>
      <c r="M11" s="59">
        <v>204607</v>
      </c>
      <c r="N11" s="60">
        <f t="shared" ref="N11:N39" si="11">IF((M11-M10&lt;0), "0",M11-M10)</f>
        <v>142</v>
      </c>
      <c r="O11" s="59">
        <v>2874792</v>
      </c>
      <c r="P11" s="60">
        <f t="shared" ref="P11:P39" si="12">IF((O11-O10&lt;0), "0",O11-O10)</f>
        <v>856</v>
      </c>
      <c r="Q11" s="65">
        <f t="shared" si="0"/>
        <v>998</v>
      </c>
      <c r="R11" s="66">
        <f t="shared" si="6"/>
        <v>584.37885906400015</v>
      </c>
      <c r="S11" s="67"/>
      <c r="T11" s="68">
        <v>421916</v>
      </c>
      <c r="U11" s="60">
        <f t="shared" ref="U11:U39" si="13">IF((T11-T10&lt;0), "0",T11-T10)</f>
        <v>299</v>
      </c>
      <c r="V11" s="69">
        <f t="shared" si="7"/>
        <v>853.64499999999998</v>
      </c>
      <c r="W11" s="70"/>
      <c r="X11" s="75">
        <f t="shared" si="1"/>
        <v>4494.1328590640005</v>
      </c>
      <c r="Y11" s="76">
        <v>153</v>
      </c>
      <c r="Z11" s="77">
        <f t="shared" si="8"/>
        <v>29.37341737950327</v>
      </c>
    </row>
    <row r="12" spans="1:27" x14ac:dyDescent="0.25">
      <c r="A12" s="10" t="s">
        <v>96</v>
      </c>
      <c r="B12" s="58">
        <f t="shared" si="9"/>
        <v>4</v>
      </c>
      <c r="C12" s="61">
        <v>7382764</v>
      </c>
      <c r="D12" s="60">
        <f t="shared" si="2"/>
        <v>3875</v>
      </c>
      <c r="E12" s="61">
        <v>7316807</v>
      </c>
      <c r="F12" s="60">
        <f t="shared" si="10"/>
        <v>3824</v>
      </c>
      <c r="G12" s="59">
        <v>6926209</v>
      </c>
      <c r="H12" s="60">
        <f t="shared" si="3"/>
        <v>3687</v>
      </c>
      <c r="I12" s="59">
        <f t="shared" si="4"/>
        <v>11386</v>
      </c>
      <c r="J12" s="62">
        <v>0.99</v>
      </c>
      <c r="K12" s="63">
        <f t="shared" si="5"/>
        <v>3062.8340000000003</v>
      </c>
      <c r="L12" s="64"/>
      <c r="M12" s="59">
        <v>204785</v>
      </c>
      <c r="N12" s="60">
        <f t="shared" si="11"/>
        <v>178</v>
      </c>
      <c r="O12" s="59">
        <v>2875581</v>
      </c>
      <c r="P12" s="60">
        <f t="shared" si="12"/>
        <v>789</v>
      </c>
      <c r="Q12" s="65">
        <f t="shared" si="0"/>
        <v>967</v>
      </c>
      <c r="R12" s="66">
        <f t="shared" si="6"/>
        <v>571.46345037599997</v>
      </c>
      <c r="S12" s="67"/>
      <c r="T12" s="68">
        <v>422191</v>
      </c>
      <c r="U12" s="60">
        <f t="shared" si="13"/>
        <v>275</v>
      </c>
      <c r="V12" s="69">
        <f t="shared" si="7"/>
        <v>785.125</v>
      </c>
      <c r="W12" s="70"/>
      <c r="X12" s="75">
        <f t="shared" si="1"/>
        <v>4419.4224503759997</v>
      </c>
      <c r="Y12" s="76">
        <v>163</v>
      </c>
      <c r="Z12" s="77">
        <f t="shared" si="8"/>
        <v>27.113021167950919</v>
      </c>
    </row>
    <row r="13" spans="1:27" x14ac:dyDescent="0.25">
      <c r="A13" s="10" t="s">
        <v>119</v>
      </c>
      <c r="B13" s="58">
        <f t="shared" si="9"/>
        <v>5</v>
      </c>
      <c r="C13" s="61">
        <v>7386583</v>
      </c>
      <c r="D13" s="60">
        <f t="shared" si="2"/>
        <v>3819</v>
      </c>
      <c r="E13" s="61">
        <v>7320560</v>
      </c>
      <c r="F13" s="60">
        <f t="shared" si="10"/>
        <v>3753</v>
      </c>
      <c r="G13" s="59">
        <v>6929808</v>
      </c>
      <c r="H13" s="60">
        <f t="shared" si="3"/>
        <v>3599</v>
      </c>
      <c r="I13" s="59">
        <f t="shared" si="4"/>
        <v>11171</v>
      </c>
      <c r="J13" s="62">
        <v>0.99</v>
      </c>
      <c r="K13" s="63">
        <f t="shared" si="5"/>
        <v>3004.9990000000003</v>
      </c>
      <c r="L13" s="64"/>
      <c r="M13" s="59">
        <v>204950</v>
      </c>
      <c r="N13" s="60">
        <f t="shared" si="11"/>
        <v>165</v>
      </c>
      <c r="O13" s="59">
        <v>2876450</v>
      </c>
      <c r="P13" s="60">
        <f t="shared" si="12"/>
        <v>869</v>
      </c>
      <c r="Q13" s="65">
        <f t="shared" si="0"/>
        <v>1034</v>
      </c>
      <c r="R13" s="66">
        <f t="shared" si="6"/>
        <v>607.77534818000004</v>
      </c>
      <c r="S13" s="67"/>
      <c r="T13" s="68">
        <v>422520</v>
      </c>
      <c r="U13" s="60">
        <f t="shared" si="13"/>
        <v>329</v>
      </c>
      <c r="V13" s="69">
        <f t="shared" si="7"/>
        <v>939.29499999999996</v>
      </c>
      <c r="W13" s="70"/>
      <c r="X13" s="75">
        <f t="shared" si="1"/>
        <v>4552.0693481799999</v>
      </c>
      <c r="Y13" s="76">
        <v>88</v>
      </c>
      <c r="Z13" s="77">
        <f t="shared" si="8"/>
        <v>51.728060774772729</v>
      </c>
    </row>
    <row r="14" spans="1:27" x14ac:dyDescent="0.25">
      <c r="A14" s="10" t="s">
        <v>120</v>
      </c>
      <c r="B14" s="58">
        <f t="shared" si="9"/>
        <v>6</v>
      </c>
      <c r="C14" s="61">
        <v>7390564</v>
      </c>
      <c r="D14" s="60">
        <f t="shared" si="2"/>
        <v>3981</v>
      </c>
      <c r="E14" s="61">
        <v>7324450</v>
      </c>
      <c r="F14" s="60">
        <f t="shared" si="10"/>
        <v>3890</v>
      </c>
      <c r="G14" s="59">
        <v>6933503</v>
      </c>
      <c r="H14" s="60">
        <f t="shared" si="3"/>
        <v>3695</v>
      </c>
      <c r="I14" s="59">
        <f t="shared" si="4"/>
        <v>11566</v>
      </c>
      <c r="J14" s="62">
        <v>0.99</v>
      </c>
      <c r="K14" s="63">
        <f t="shared" si="5"/>
        <v>3111.2540000000004</v>
      </c>
      <c r="L14" s="64"/>
      <c r="M14" s="59">
        <v>205127</v>
      </c>
      <c r="N14" s="60">
        <f t="shared" si="11"/>
        <v>177</v>
      </c>
      <c r="O14" s="59">
        <v>2877246</v>
      </c>
      <c r="P14" s="60">
        <f t="shared" si="12"/>
        <v>796</v>
      </c>
      <c r="Q14" s="65">
        <f t="shared" si="0"/>
        <v>973</v>
      </c>
      <c r="R14" s="66">
        <f t="shared" si="6"/>
        <v>574.73653728399995</v>
      </c>
      <c r="S14" s="67"/>
      <c r="T14" s="68">
        <v>422865</v>
      </c>
      <c r="U14" s="60">
        <f t="shared" si="13"/>
        <v>345</v>
      </c>
      <c r="V14" s="69">
        <f t="shared" si="7"/>
        <v>984.97500000000002</v>
      </c>
      <c r="W14" s="70"/>
      <c r="X14" s="75">
        <f t="shared" si="1"/>
        <v>4670.9655372840007</v>
      </c>
      <c r="Y14" s="76">
        <v>113</v>
      </c>
      <c r="Z14" s="77">
        <f t="shared" si="8"/>
        <v>41.335978206053106</v>
      </c>
    </row>
    <row r="15" spans="1:27" x14ac:dyDescent="0.25">
      <c r="A15" s="10" t="s">
        <v>121</v>
      </c>
      <c r="B15" s="58">
        <f t="shared" si="9"/>
        <v>7</v>
      </c>
      <c r="C15" s="61">
        <v>7394632</v>
      </c>
      <c r="D15" s="60">
        <f t="shared" si="2"/>
        <v>4068</v>
      </c>
      <c r="E15" s="61">
        <v>7328487</v>
      </c>
      <c r="F15" s="60">
        <f t="shared" si="10"/>
        <v>4037</v>
      </c>
      <c r="G15" s="59">
        <v>6937442</v>
      </c>
      <c r="H15" s="60">
        <f t="shared" si="3"/>
        <v>3939</v>
      </c>
      <c r="I15" s="59">
        <f t="shared" si="4"/>
        <v>12044</v>
      </c>
      <c r="J15" s="62">
        <v>0.99</v>
      </c>
      <c r="K15" s="63">
        <f t="shared" si="5"/>
        <v>3239.8360000000002</v>
      </c>
      <c r="L15" s="64"/>
      <c r="M15" s="59">
        <v>205232</v>
      </c>
      <c r="N15" s="60">
        <f t="shared" si="11"/>
        <v>105</v>
      </c>
      <c r="O15" s="59">
        <v>2878198</v>
      </c>
      <c r="P15" s="60">
        <f t="shared" si="12"/>
        <v>952</v>
      </c>
      <c r="Q15" s="65">
        <f t="shared" si="0"/>
        <v>1057</v>
      </c>
      <c r="R15" s="66">
        <f t="shared" si="6"/>
        <v>613.04381866000006</v>
      </c>
      <c r="S15" s="67"/>
      <c r="T15" s="68">
        <v>423166</v>
      </c>
      <c r="U15" s="60">
        <f t="shared" si="13"/>
        <v>301</v>
      </c>
      <c r="V15" s="69">
        <f t="shared" si="7"/>
        <v>859.35500000000002</v>
      </c>
      <c r="W15" s="70"/>
      <c r="X15" s="75">
        <f t="shared" si="1"/>
        <v>4712.2348186600002</v>
      </c>
      <c r="Y15" s="76">
        <v>129</v>
      </c>
      <c r="Z15" s="77">
        <f t="shared" si="8"/>
        <v>36.528952082635662</v>
      </c>
    </row>
    <row r="16" spans="1:27" x14ac:dyDescent="0.25">
      <c r="A16" s="10" t="s">
        <v>116</v>
      </c>
      <c r="B16" s="58">
        <f t="shared" si="9"/>
        <v>8</v>
      </c>
      <c r="C16" s="61">
        <v>7398645</v>
      </c>
      <c r="D16" s="60">
        <f t="shared" si="2"/>
        <v>4013</v>
      </c>
      <c r="E16" s="61">
        <v>7332455</v>
      </c>
      <c r="F16" s="60">
        <f t="shared" si="10"/>
        <v>3968</v>
      </c>
      <c r="G16" s="59">
        <v>6941236</v>
      </c>
      <c r="H16" s="60">
        <f t="shared" si="3"/>
        <v>3794</v>
      </c>
      <c r="I16" s="59">
        <f t="shared" si="4"/>
        <v>11775</v>
      </c>
      <c r="J16" s="62">
        <v>0.99</v>
      </c>
      <c r="K16" s="63">
        <f t="shared" si="5"/>
        <v>3167.4750000000004</v>
      </c>
      <c r="L16" s="64"/>
      <c r="M16" s="59">
        <v>205365</v>
      </c>
      <c r="N16" s="60">
        <f t="shared" si="11"/>
        <v>133</v>
      </c>
      <c r="O16" s="59">
        <v>2878978</v>
      </c>
      <c r="P16" s="60">
        <f t="shared" si="12"/>
        <v>780</v>
      </c>
      <c r="Q16" s="65">
        <f t="shared" si="0"/>
        <v>913</v>
      </c>
      <c r="R16" s="66">
        <f t="shared" si="6"/>
        <v>535.00807323599997</v>
      </c>
      <c r="S16" s="67"/>
      <c r="T16" s="68">
        <v>423501</v>
      </c>
      <c r="U16" s="60">
        <f t="shared" si="13"/>
        <v>335</v>
      </c>
      <c r="V16" s="69">
        <f t="shared" si="7"/>
        <v>956.42499999999995</v>
      </c>
      <c r="W16" s="70"/>
      <c r="X16" s="75">
        <f t="shared" si="1"/>
        <v>4658.9080732360007</v>
      </c>
      <c r="Y16" s="76">
        <v>123</v>
      </c>
      <c r="Z16" s="77">
        <f t="shared" si="8"/>
        <v>37.877301408422767</v>
      </c>
    </row>
    <row r="17" spans="1:26" x14ac:dyDescent="0.25">
      <c r="A17" s="10" t="s">
        <v>117</v>
      </c>
      <c r="B17" s="58">
        <v>9</v>
      </c>
      <c r="C17" s="61">
        <v>7402806</v>
      </c>
      <c r="D17" s="60">
        <f t="shared" si="2"/>
        <v>4161</v>
      </c>
      <c r="E17" s="61">
        <v>7336557</v>
      </c>
      <c r="F17" s="60">
        <f t="shared" si="10"/>
        <v>4102</v>
      </c>
      <c r="G17" s="59">
        <v>6945168</v>
      </c>
      <c r="H17" s="60">
        <f t="shared" si="3"/>
        <v>3932</v>
      </c>
      <c r="I17" s="59">
        <f t="shared" si="4"/>
        <v>12195</v>
      </c>
      <c r="J17" s="62">
        <v>0.99</v>
      </c>
      <c r="K17" s="63">
        <f t="shared" si="5"/>
        <v>3280.4550000000004</v>
      </c>
      <c r="L17" s="64"/>
      <c r="M17" s="59">
        <v>205532</v>
      </c>
      <c r="N17" s="60">
        <f t="shared" si="11"/>
        <v>167</v>
      </c>
      <c r="O17" s="59">
        <v>2879901</v>
      </c>
      <c r="P17" s="60">
        <f t="shared" si="12"/>
        <v>923</v>
      </c>
      <c r="Q17" s="65">
        <f t="shared" si="0"/>
        <v>1090</v>
      </c>
      <c r="R17" s="66">
        <f t="shared" si="6"/>
        <v>639.7927903640001</v>
      </c>
      <c r="S17" s="67"/>
      <c r="T17" s="68">
        <v>423798</v>
      </c>
      <c r="U17" s="60">
        <f t="shared" si="13"/>
        <v>297</v>
      </c>
      <c r="V17" s="69">
        <f t="shared" si="7"/>
        <v>847.93499999999995</v>
      </c>
      <c r="W17" s="70"/>
      <c r="X17" s="75">
        <f t="shared" si="1"/>
        <v>4768.1827903640005</v>
      </c>
      <c r="Y17" s="76">
        <v>83</v>
      </c>
      <c r="Z17" s="77">
        <f t="shared" si="8"/>
        <v>57.447985426072293</v>
      </c>
    </row>
    <row r="18" spans="1:26" x14ac:dyDescent="0.25">
      <c r="A18" s="10" t="s">
        <v>118</v>
      </c>
      <c r="B18" s="78">
        <f t="shared" si="9"/>
        <v>10</v>
      </c>
      <c r="C18" s="61">
        <v>7406718</v>
      </c>
      <c r="D18" s="60">
        <f t="shared" si="2"/>
        <v>3912</v>
      </c>
      <c r="E18" s="61">
        <v>7340439</v>
      </c>
      <c r="F18" s="60">
        <f t="shared" si="10"/>
        <v>3882</v>
      </c>
      <c r="G18" s="59">
        <v>6948878</v>
      </c>
      <c r="H18" s="60">
        <f t="shared" si="3"/>
        <v>3710</v>
      </c>
      <c r="I18" s="59">
        <f t="shared" si="4"/>
        <v>11504</v>
      </c>
      <c r="J18" s="62">
        <v>0.99</v>
      </c>
      <c r="K18" s="63">
        <f t="shared" si="5"/>
        <v>3094.576</v>
      </c>
      <c r="L18" s="79"/>
      <c r="M18" s="59">
        <v>205654</v>
      </c>
      <c r="N18" s="60">
        <f t="shared" si="11"/>
        <v>122</v>
      </c>
      <c r="O18" s="59">
        <v>2880846</v>
      </c>
      <c r="P18" s="60">
        <f t="shared" si="12"/>
        <v>945</v>
      </c>
      <c r="Q18" s="65">
        <f t="shared" si="0"/>
        <v>1067</v>
      </c>
      <c r="R18" s="66">
        <f t="shared" si="6"/>
        <v>620.91788522399997</v>
      </c>
      <c r="S18" s="80"/>
      <c r="T18" s="68">
        <v>424090</v>
      </c>
      <c r="U18" s="60">
        <f t="shared" si="13"/>
        <v>292</v>
      </c>
      <c r="V18" s="69">
        <f t="shared" si="7"/>
        <v>833.66</v>
      </c>
      <c r="W18" s="70"/>
      <c r="X18" s="75">
        <f t="shared" si="1"/>
        <v>4549.1538852240001</v>
      </c>
      <c r="Y18" s="76">
        <v>73</v>
      </c>
      <c r="Z18" s="81">
        <f t="shared" si="8"/>
        <v>62.317176509917807</v>
      </c>
    </row>
    <row r="19" spans="1:26" x14ac:dyDescent="0.25">
      <c r="A19" s="10" t="s">
        <v>96</v>
      </c>
      <c r="B19" s="82">
        <f t="shared" si="9"/>
        <v>11</v>
      </c>
      <c r="C19" s="61">
        <v>7410651</v>
      </c>
      <c r="D19" s="60">
        <f t="shared" si="2"/>
        <v>3933</v>
      </c>
      <c r="E19" s="61">
        <v>7344356</v>
      </c>
      <c r="F19" s="60">
        <f t="shared" si="10"/>
        <v>3917</v>
      </c>
      <c r="G19" s="59">
        <v>6952597</v>
      </c>
      <c r="H19" s="60">
        <f t="shared" si="3"/>
        <v>3719</v>
      </c>
      <c r="I19" s="59">
        <f t="shared" si="4"/>
        <v>11569</v>
      </c>
      <c r="J19" s="62">
        <v>0.99</v>
      </c>
      <c r="K19" s="63">
        <f t="shared" si="5"/>
        <v>3112.0610000000001</v>
      </c>
      <c r="L19" s="64"/>
      <c r="M19" s="59">
        <v>205811</v>
      </c>
      <c r="N19" s="60">
        <f t="shared" si="11"/>
        <v>157</v>
      </c>
      <c r="O19" s="59">
        <v>2881771</v>
      </c>
      <c r="P19" s="60">
        <f t="shared" si="12"/>
        <v>925</v>
      </c>
      <c r="Q19" s="65">
        <f t="shared" si="0"/>
        <v>1082</v>
      </c>
      <c r="R19" s="66">
        <f t="shared" si="6"/>
        <v>633.96004344400001</v>
      </c>
      <c r="S19" s="67"/>
      <c r="T19" s="68">
        <v>424332</v>
      </c>
      <c r="U19" s="60">
        <f t="shared" si="13"/>
        <v>242</v>
      </c>
      <c r="V19" s="69">
        <f t="shared" si="7"/>
        <v>690.91</v>
      </c>
      <c r="W19" s="70"/>
      <c r="X19" s="75">
        <f t="shared" si="1"/>
        <v>4436.9310434440004</v>
      </c>
      <c r="Y19" s="76">
        <v>88</v>
      </c>
      <c r="Z19" s="73">
        <f t="shared" si="8"/>
        <v>50.419670948227278</v>
      </c>
    </row>
    <row r="20" spans="1:26" x14ac:dyDescent="0.25">
      <c r="A20" s="10" t="s">
        <v>119</v>
      </c>
      <c r="B20" s="58">
        <f t="shared" si="9"/>
        <v>12</v>
      </c>
      <c r="C20" s="61">
        <v>7414766</v>
      </c>
      <c r="D20" s="60">
        <f t="shared" si="2"/>
        <v>4115</v>
      </c>
      <c r="E20" s="61">
        <v>7348442</v>
      </c>
      <c r="F20" s="60">
        <f t="shared" si="10"/>
        <v>4086</v>
      </c>
      <c r="G20" s="59">
        <v>6956488</v>
      </c>
      <c r="H20" s="60">
        <f t="shared" si="3"/>
        <v>3891</v>
      </c>
      <c r="I20" s="59">
        <f t="shared" si="4"/>
        <v>12092</v>
      </c>
      <c r="J20" s="62">
        <v>0.99</v>
      </c>
      <c r="K20" s="63">
        <f t="shared" si="5"/>
        <v>3252.748</v>
      </c>
      <c r="L20" s="64"/>
      <c r="M20" s="59">
        <v>205950</v>
      </c>
      <c r="N20" s="60">
        <f t="shared" si="11"/>
        <v>139</v>
      </c>
      <c r="O20" s="59">
        <v>2882647</v>
      </c>
      <c r="P20" s="60">
        <f t="shared" si="12"/>
        <v>876</v>
      </c>
      <c r="Q20" s="65">
        <f t="shared" si="0"/>
        <v>1015</v>
      </c>
      <c r="R20" s="66">
        <f t="shared" si="6"/>
        <v>593.63100778800003</v>
      </c>
      <c r="S20" s="67"/>
      <c r="T20" s="68">
        <v>424641</v>
      </c>
      <c r="U20" s="60">
        <f t="shared" si="13"/>
        <v>309</v>
      </c>
      <c r="V20" s="69">
        <f t="shared" si="7"/>
        <v>882.19500000000005</v>
      </c>
      <c r="W20" s="70"/>
      <c r="X20" s="75">
        <f t="shared" si="1"/>
        <v>4728.574007788</v>
      </c>
      <c r="Y20" s="76">
        <v>117</v>
      </c>
      <c r="Z20" s="77">
        <f t="shared" si="8"/>
        <v>40.415162459726496</v>
      </c>
    </row>
    <row r="21" spans="1:26" x14ac:dyDescent="0.25">
      <c r="A21" s="10" t="s">
        <v>120</v>
      </c>
      <c r="B21" s="58">
        <f t="shared" si="9"/>
        <v>13</v>
      </c>
      <c r="C21" s="61">
        <v>7418799</v>
      </c>
      <c r="D21" s="60">
        <f t="shared" si="2"/>
        <v>4033</v>
      </c>
      <c r="E21" s="61">
        <v>7352436</v>
      </c>
      <c r="F21" s="60">
        <f t="shared" si="10"/>
        <v>3994</v>
      </c>
      <c r="G21" s="59">
        <v>6960281</v>
      </c>
      <c r="H21" s="60">
        <f t="shared" si="3"/>
        <v>3793</v>
      </c>
      <c r="I21" s="59">
        <f t="shared" si="4"/>
        <v>11820</v>
      </c>
      <c r="J21" s="62">
        <v>0.99</v>
      </c>
      <c r="K21" s="63">
        <f t="shared" si="5"/>
        <v>3179.5800000000004</v>
      </c>
      <c r="L21" s="64"/>
      <c r="M21" s="59">
        <v>206106</v>
      </c>
      <c r="N21" s="60">
        <f t="shared" si="11"/>
        <v>156</v>
      </c>
      <c r="O21" s="59">
        <v>2883661</v>
      </c>
      <c r="P21" s="60">
        <f t="shared" si="12"/>
        <v>1014</v>
      </c>
      <c r="Q21" s="65">
        <f t="shared" si="0"/>
        <v>1170</v>
      </c>
      <c r="R21" s="66">
        <f t="shared" si="6"/>
        <v>683.73631435200002</v>
      </c>
      <c r="S21" s="67"/>
      <c r="T21" s="68">
        <v>424972</v>
      </c>
      <c r="U21" s="60">
        <f t="shared" si="13"/>
        <v>331</v>
      </c>
      <c r="V21" s="69">
        <f t="shared" si="7"/>
        <v>945.005</v>
      </c>
      <c r="W21" s="70"/>
      <c r="X21" s="75">
        <f t="shared" si="1"/>
        <v>4808.3213143520006</v>
      </c>
      <c r="Y21" s="76">
        <v>132</v>
      </c>
      <c r="Z21" s="77">
        <f t="shared" si="8"/>
        <v>36.426676623878791</v>
      </c>
    </row>
    <row r="22" spans="1:26" x14ac:dyDescent="0.25">
      <c r="A22" s="10" t="s">
        <v>121</v>
      </c>
      <c r="B22" s="58">
        <f t="shared" si="9"/>
        <v>14</v>
      </c>
      <c r="C22" s="61">
        <v>7422801</v>
      </c>
      <c r="D22" s="60">
        <f t="shared" si="2"/>
        <v>4002</v>
      </c>
      <c r="E22" s="61">
        <v>7356406</v>
      </c>
      <c r="F22" s="60">
        <f t="shared" si="10"/>
        <v>3970</v>
      </c>
      <c r="G22" s="59">
        <v>6964055</v>
      </c>
      <c r="H22" s="60">
        <f t="shared" si="3"/>
        <v>3774</v>
      </c>
      <c r="I22" s="59">
        <f t="shared" si="4"/>
        <v>11746</v>
      </c>
      <c r="J22" s="62">
        <v>0.99</v>
      </c>
      <c r="K22" s="63">
        <f t="shared" si="5"/>
        <v>3159.674</v>
      </c>
      <c r="L22" s="64"/>
      <c r="M22" s="59">
        <v>206268</v>
      </c>
      <c r="N22" s="60">
        <f t="shared" si="11"/>
        <v>162</v>
      </c>
      <c r="O22" s="59">
        <v>2884561</v>
      </c>
      <c r="P22" s="60">
        <f t="shared" si="12"/>
        <v>900</v>
      </c>
      <c r="Q22" s="65">
        <f t="shared" si="0"/>
        <v>1062</v>
      </c>
      <c r="R22" s="66">
        <f t="shared" si="6"/>
        <v>623.26572890400007</v>
      </c>
      <c r="S22" s="67"/>
      <c r="T22" s="68">
        <v>425316</v>
      </c>
      <c r="U22" s="60">
        <f t="shared" si="13"/>
        <v>344</v>
      </c>
      <c r="V22" s="69">
        <f t="shared" si="7"/>
        <v>982.12</v>
      </c>
      <c r="W22" s="70"/>
      <c r="X22" s="75">
        <f t="shared" si="1"/>
        <v>4765.0597289039997</v>
      </c>
      <c r="Y22" s="76">
        <v>143</v>
      </c>
      <c r="Z22" s="77">
        <f t="shared" si="8"/>
        <v>33.322096006321679</v>
      </c>
    </row>
    <row r="23" spans="1:26" x14ac:dyDescent="0.25">
      <c r="A23" s="10" t="s">
        <v>116</v>
      </c>
      <c r="B23" s="58">
        <f t="shared" si="9"/>
        <v>15</v>
      </c>
      <c r="C23" s="61">
        <v>7426747</v>
      </c>
      <c r="D23" s="60">
        <f t="shared" si="2"/>
        <v>3946</v>
      </c>
      <c r="E23" s="61">
        <v>7360348</v>
      </c>
      <c r="F23" s="60">
        <f t="shared" si="10"/>
        <v>3942</v>
      </c>
      <c r="G23" s="59">
        <v>6967806</v>
      </c>
      <c r="H23" s="60">
        <f t="shared" si="3"/>
        <v>3751</v>
      </c>
      <c r="I23" s="59">
        <f t="shared" si="4"/>
        <v>11639</v>
      </c>
      <c r="J23" s="62">
        <v>0.99</v>
      </c>
      <c r="K23" s="63">
        <f t="shared" si="5"/>
        <v>3130.8910000000001</v>
      </c>
      <c r="L23" s="64"/>
      <c r="M23" s="59">
        <v>206394</v>
      </c>
      <c r="N23" s="60">
        <f t="shared" si="11"/>
        <v>126</v>
      </c>
      <c r="O23" s="59">
        <v>2885367</v>
      </c>
      <c r="P23" s="60">
        <f t="shared" si="12"/>
        <v>806</v>
      </c>
      <c r="Q23" s="65">
        <f t="shared" si="0"/>
        <v>932</v>
      </c>
      <c r="R23" s="66">
        <f t="shared" si="6"/>
        <v>544.87610559200004</v>
      </c>
      <c r="S23" s="67"/>
      <c r="T23" s="68">
        <v>425649</v>
      </c>
      <c r="U23" s="60">
        <f t="shared" si="13"/>
        <v>333</v>
      </c>
      <c r="V23" s="69">
        <f t="shared" si="7"/>
        <v>950.71500000000003</v>
      </c>
      <c r="W23" s="70"/>
      <c r="X23" s="75">
        <f t="shared" si="1"/>
        <v>4626.4821055920002</v>
      </c>
      <c r="Y23" s="76">
        <v>137</v>
      </c>
      <c r="Z23" s="77">
        <f t="shared" si="8"/>
        <v>33.769942376583941</v>
      </c>
    </row>
    <row r="24" spans="1:26" x14ac:dyDescent="0.25">
      <c r="A24" s="10" t="s">
        <v>117</v>
      </c>
      <c r="B24" s="58">
        <f t="shared" si="9"/>
        <v>16</v>
      </c>
      <c r="C24" s="61">
        <v>7430740</v>
      </c>
      <c r="D24" s="60">
        <f t="shared" si="2"/>
        <v>3993</v>
      </c>
      <c r="E24" s="61">
        <v>7364322</v>
      </c>
      <c r="F24" s="60">
        <f t="shared" si="10"/>
        <v>3974</v>
      </c>
      <c r="G24" s="59">
        <v>6971582</v>
      </c>
      <c r="H24" s="60">
        <f t="shared" si="3"/>
        <v>3776</v>
      </c>
      <c r="I24" s="59">
        <f t="shared" si="4"/>
        <v>11743</v>
      </c>
      <c r="J24" s="62">
        <v>0.99</v>
      </c>
      <c r="K24" s="63">
        <f t="shared" si="5"/>
        <v>3158.8670000000002</v>
      </c>
      <c r="L24" s="64"/>
      <c r="M24" s="59">
        <v>206552</v>
      </c>
      <c r="N24" s="60">
        <f t="shared" si="11"/>
        <v>158</v>
      </c>
      <c r="O24" s="59">
        <v>2886174</v>
      </c>
      <c r="P24" s="60">
        <f t="shared" si="12"/>
        <v>807</v>
      </c>
      <c r="Q24" s="65">
        <f t="shared" si="0"/>
        <v>965</v>
      </c>
      <c r="R24" s="66">
        <f t="shared" si="6"/>
        <v>567.73752453600002</v>
      </c>
      <c r="S24" s="67"/>
      <c r="T24" s="68">
        <v>425972</v>
      </c>
      <c r="U24" s="60">
        <f t="shared" si="13"/>
        <v>323</v>
      </c>
      <c r="V24" s="69">
        <f t="shared" si="7"/>
        <v>922.16499999999996</v>
      </c>
      <c r="W24" s="70"/>
      <c r="X24" s="75">
        <f t="shared" si="1"/>
        <v>4648.7695245360001</v>
      </c>
      <c r="Y24" s="76">
        <v>114</v>
      </c>
      <c r="Z24" s="77">
        <f t="shared" si="8"/>
        <v>40.778680039789471</v>
      </c>
    </row>
    <row r="25" spans="1:26" x14ac:dyDescent="0.25">
      <c r="A25" s="10" t="s">
        <v>118</v>
      </c>
      <c r="B25" s="58">
        <f t="shared" si="9"/>
        <v>17</v>
      </c>
      <c r="C25" s="61">
        <v>7434620</v>
      </c>
      <c r="D25" s="60">
        <f t="shared" si="2"/>
        <v>3880</v>
      </c>
      <c r="E25" s="61">
        <v>7368167</v>
      </c>
      <c r="F25" s="60">
        <f t="shared" si="10"/>
        <v>3845</v>
      </c>
      <c r="G25" s="59">
        <v>6975239</v>
      </c>
      <c r="H25" s="60">
        <f t="shared" si="3"/>
        <v>3657</v>
      </c>
      <c r="I25" s="59">
        <f t="shared" si="4"/>
        <v>11382</v>
      </c>
      <c r="J25" s="62">
        <v>0.99</v>
      </c>
      <c r="K25" s="63">
        <f t="shared" si="5"/>
        <v>3061.7580000000003</v>
      </c>
      <c r="L25" s="64"/>
      <c r="M25" s="59">
        <v>206680</v>
      </c>
      <c r="N25" s="60">
        <f t="shared" si="11"/>
        <v>128</v>
      </c>
      <c r="O25" s="59">
        <v>2886991</v>
      </c>
      <c r="P25" s="60">
        <f t="shared" si="12"/>
        <v>817</v>
      </c>
      <c r="Q25" s="65">
        <f t="shared" si="0"/>
        <v>945</v>
      </c>
      <c r="R25" s="66">
        <f t="shared" si="6"/>
        <v>552.50773177600013</v>
      </c>
      <c r="S25" s="67"/>
      <c r="T25" s="68">
        <v>426420</v>
      </c>
      <c r="U25" s="60">
        <f t="shared" si="13"/>
        <v>448</v>
      </c>
      <c r="V25" s="69">
        <f t="shared" si="7"/>
        <v>1279.04</v>
      </c>
      <c r="W25" s="70"/>
      <c r="X25" s="75">
        <f t="shared" si="1"/>
        <v>4893.3057317760004</v>
      </c>
      <c r="Y25" s="76">
        <v>106</v>
      </c>
      <c r="Z25" s="77">
        <f t="shared" si="8"/>
        <v>46.163261620528303</v>
      </c>
    </row>
    <row r="26" spans="1:26" x14ac:dyDescent="0.25">
      <c r="A26" s="10" t="s">
        <v>96</v>
      </c>
      <c r="B26" s="58">
        <f t="shared" si="9"/>
        <v>18</v>
      </c>
      <c r="C26" s="61">
        <v>7438366</v>
      </c>
      <c r="D26" s="60">
        <f t="shared" si="2"/>
        <v>3746</v>
      </c>
      <c r="E26" s="61">
        <v>7371897</v>
      </c>
      <c r="F26" s="60">
        <f t="shared" si="10"/>
        <v>3730</v>
      </c>
      <c r="G26" s="59">
        <v>6978787</v>
      </c>
      <c r="H26" s="60">
        <f t="shared" si="3"/>
        <v>3548</v>
      </c>
      <c r="I26" s="59">
        <f t="shared" si="4"/>
        <v>11024</v>
      </c>
      <c r="J26" s="62">
        <v>0.99</v>
      </c>
      <c r="K26" s="63">
        <f t="shared" si="5"/>
        <v>2965.4560000000001</v>
      </c>
      <c r="L26" s="64"/>
      <c r="M26" s="59">
        <v>206818</v>
      </c>
      <c r="N26" s="60">
        <f t="shared" si="11"/>
        <v>138</v>
      </c>
      <c r="O26" s="59">
        <v>2887906</v>
      </c>
      <c r="P26" s="60">
        <f t="shared" si="12"/>
        <v>915</v>
      </c>
      <c r="Q26" s="65">
        <f t="shared" si="0"/>
        <v>1053</v>
      </c>
      <c r="R26" s="66">
        <f t="shared" si="6"/>
        <v>615.05167869599995</v>
      </c>
      <c r="S26" s="67"/>
      <c r="T26" s="68">
        <v>426679</v>
      </c>
      <c r="U26" s="60">
        <f t="shared" si="13"/>
        <v>259</v>
      </c>
      <c r="V26" s="69">
        <f t="shared" si="7"/>
        <v>739.44500000000005</v>
      </c>
      <c r="W26" s="70"/>
      <c r="X26" s="75">
        <f t="shared" si="1"/>
        <v>4319.9526786959996</v>
      </c>
      <c r="Y26" s="76">
        <v>79</v>
      </c>
      <c r="Z26" s="77">
        <f t="shared" si="8"/>
        <v>54.68294529994936</v>
      </c>
    </row>
    <row r="27" spans="1:26" x14ac:dyDescent="0.25">
      <c r="A27" s="10" t="s">
        <v>119</v>
      </c>
      <c r="B27" s="58">
        <f t="shared" si="9"/>
        <v>19</v>
      </c>
      <c r="C27" s="61">
        <v>7442083</v>
      </c>
      <c r="D27" s="60">
        <f t="shared" si="2"/>
        <v>3717</v>
      </c>
      <c r="E27" s="61">
        <v>7375613</v>
      </c>
      <c r="F27" s="60">
        <f t="shared" si="10"/>
        <v>3716</v>
      </c>
      <c r="G27" s="59">
        <v>6982303</v>
      </c>
      <c r="H27" s="60">
        <f t="shared" si="3"/>
        <v>3516</v>
      </c>
      <c r="I27" s="59">
        <f t="shared" si="4"/>
        <v>10949</v>
      </c>
      <c r="J27" s="62">
        <v>0.99</v>
      </c>
      <c r="K27" s="63">
        <f t="shared" si="5"/>
        <v>2945.2810000000004</v>
      </c>
      <c r="L27" s="83"/>
      <c r="M27" s="59">
        <v>206947</v>
      </c>
      <c r="N27" s="60">
        <f t="shared" si="11"/>
        <v>129</v>
      </c>
      <c r="O27" s="59">
        <v>2888872</v>
      </c>
      <c r="P27" s="60">
        <f t="shared" si="12"/>
        <v>966</v>
      </c>
      <c r="Q27" s="65">
        <f t="shared" si="0"/>
        <v>1095</v>
      </c>
      <c r="R27" s="66">
        <f t="shared" si="6"/>
        <v>637.70411686800003</v>
      </c>
      <c r="S27" s="67"/>
      <c r="T27" s="68">
        <v>427047</v>
      </c>
      <c r="U27" s="60">
        <f t="shared" si="13"/>
        <v>368</v>
      </c>
      <c r="V27" s="69">
        <f t="shared" si="7"/>
        <v>1050.6400000000001</v>
      </c>
      <c r="W27" s="70"/>
      <c r="X27" s="75">
        <f t="shared" si="1"/>
        <v>4633.625116868001</v>
      </c>
      <c r="Y27" s="76">
        <v>77</v>
      </c>
      <c r="Z27" s="77">
        <f t="shared" si="8"/>
        <v>60.176949569714296</v>
      </c>
    </row>
    <row r="28" spans="1:26" x14ac:dyDescent="0.25">
      <c r="A28" s="10" t="s">
        <v>120</v>
      </c>
      <c r="B28" s="78">
        <f t="shared" si="9"/>
        <v>20</v>
      </c>
      <c r="C28" s="61">
        <v>7445725</v>
      </c>
      <c r="D28" s="60">
        <f t="shared" si="2"/>
        <v>3642</v>
      </c>
      <c r="E28" s="61">
        <v>7379259</v>
      </c>
      <c r="F28" s="60">
        <f t="shared" si="10"/>
        <v>3646</v>
      </c>
      <c r="G28" s="59">
        <v>6985766</v>
      </c>
      <c r="H28" s="60">
        <f t="shared" si="3"/>
        <v>3463</v>
      </c>
      <c r="I28" s="59">
        <f t="shared" si="4"/>
        <v>10751</v>
      </c>
      <c r="J28" s="62">
        <v>0.99</v>
      </c>
      <c r="K28" s="63">
        <f t="shared" si="5"/>
        <v>2892.0190000000002</v>
      </c>
      <c r="L28" s="84"/>
      <c r="M28" s="59">
        <v>207091</v>
      </c>
      <c r="N28" s="60">
        <f t="shared" si="11"/>
        <v>144</v>
      </c>
      <c r="O28" s="59">
        <v>2889671</v>
      </c>
      <c r="P28" s="60">
        <f t="shared" si="12"/>
        <v>799</v>
      </c>
      <c r="Q28" s="65">
        <f t="shared" si="0"/>
        <v>943</v>
      </c>
      <c r="R28" s="66">
        <f t="shared" si="6"/>
        <v>553.4468692480001</v>
      </c>
      <c r="S28" s="74"/>
      <c r="T28" s="68">
        <v>427299</v>
      </c>
      <c r="U28" s="60">
        <f t="shared" si="13"/>
        <v>252</v>
      </c>
      <c r="V28" s="69">
        <f t="shared" si="7"/>
        <v>719.46</v>
      </c>
      <c r="W28" s="70"/>
      <c r="X28" s="85">
        <f t="shared" si="1"/>
        <v>4164.9258692479998</v>
      </c>
      <c r="Y28" s="76">
        <v>80</v>
      </c>
      <c r="Z28" s="81">
        <f t="shared" si="8"/>
        <v>52.061573365599997</v>
      </c>
    </row>
    <row r="29" spans="1:26" x14ac:dyDescent="0.25">
      <c r="A29" s="10" t="s">
        <v>121</v>
      </c>
      <c r="B29" s="82">
        <f t="shared" si="9"/>
        <v>21</v>
      </c>
      <c r="C29" s="61">
        <v>7449416</v>
      </c>
      <c r="D29" s="60">
        <f t="shared" si="2"/>
        <v>3691</v>
      </c>
      <c r="E29" s="61">
        <v>7383167</v>
      </c>
      <c r="F29" s="60">
        <f t="shared" si="10"/>
        <v>3908</v>
      </c>
      <c r="G29" s="59">
        <v>6989434</v>
      </c>
      <c r="H29" s="60">
        <f t="shared" si="3"/>
        <v>3668</v>
      </c>
      <c r="I29" s="59">
        <f t="shared" si="4"/>
        <v>11267</v>
      </c>
      <c r="J29" s="62">
        <v>0.99</v>
      </c>
      <c r="K29" s="63">
        <f t="shared" si="5"/>
        <v>3030.8230000000003</v>
      </c>
      <c r="L29" s="64"/>
      <c r="M29" s="59">
        <v>207253</v>
      </c>
      <c r="N29" s="60">
        <f t="shared" si="11"/>
        <v>162</v>
      </c>
      <c r="O29" s="59">
        <v>2890570</v>
      </c>
      <c r="P29" s="60">
        <f t="shared" si="12"/>
        <v>899</v>
      </c>
      <c r="Q29" s="65">
        <f t="shared" si="0"/>
        <v>1061</v>
      </c>
      <c r="R29" s="66">
        <f t="shared" si="6"/>
        <v>622.69861690400012</v>
      </c>
      <c r="S29" s="67"/>
      <c r="T29" s="68">
        <v>427643</v>
      </c>
      <c r="U29" s="60">
        <f t="shared" si="13"/>
        <v>344</v>
      </c>
      <c r="V29" s="69">
        <f t="shared" si="7"/>
        <v>982.12</v>
      </c>
      <c r="W29" s="70"/>
      <c r="X29" s="71">
        <f t="shared" si="1"/>
        <v>4635.6416169040003</v>
      </c>
      <c r="Y29" s="76">
        <v>91</v>
      </c>
      <c r="Z29" s="73">
        <f t="shared" si="8"/>
        <v>50.941116669274727</v>
      </c>
    </row>
    <row r="30" spans="1:26" x14ac:dyDescent="0.25">
      <c r="A30" s="10" t="s">
        <v>116</v>
      </c>
      <c r="B30" s="58">
        <f t="shared" si="9"/>
        <v>22</v>
      </c>
      <c r="C30" s="61">
        <v>7453232</v>
      </c>
      <c r="D30" s="60">
        <f t="shared" si="2"/>
        <v>3816</v>
      </c>
      <c r="E30" s="61">
        <v>7386766</v>
      </c>
      <c r="F30" s="60">
        <f t="shared" si="10"/>
        <v>3599</v>
      </c>
      <c r="G30" s="59">
        <v>6992919</v>
      </c>
      <c r="H30" s="60">
        <f t="shared" si="3"/>
        <v>3485</v>
      </c>
      <c r="I30" s="59">
        <f t="shared" si="4"/>
        <v>10900</v>
      </c>
      <c r="J30" s="62">
        <v>0.99</v>
      </c>
      <c r="K30" s="63">
        <f t="shared" si="5"/>
        <v>2932.1000000000004</v>
      </c>
      <c r="L30" s="64"/>
      <c r="M30" s="59">
        <v>207395</v>
      </c>
      <c r="N30" s="60">
        <f t="shared" si="11"/>
        <v>142</v>
      </c>
      <c r="O30" s="59">
        <v>2891431</v>
      </c>
      <c r="P30" s="60">
        <f t="shared" si="12"/>
        <v>861</v>
      </c>
      <c r="Q30" s="65">
        <f t="shared" si="0"/>
        <v>1003</v>
      </c>
      <c r="R30" s="66">
        <f t="shared" si="6"/>
        <v>587.21441906400014</v>
      </c>
      <c r="S30" s="67"/>
      <c r="T30" s="68">
        <v>427948</v>
      </c>
      <c r="U30" s="60">
        <f t="shared" si="13"/>
        <v>305</v>
      </c>
      <c r="V30" s="69">
        <f t="shared" si="7"/>
        <v>870.77499999999998</v>
      </c>
      <c r="W30" s="70"/>
      <c r="X30" s="75">
        <f t="shared" si="1"/>
        <v>4390.0894190640001</v>
      </c>
      <c r="Y30" s="76">
        <v>95</v>
      </c>
      <c r="Z30" s="77">
        <f t="shared" si="8"/>
        <v>46.211467569094737</v>
      </c>
    </row>
    <row r="31" spans="1:26" x14ac:dyDescent="0.25">
      <c r="A31" s="10" t="s">
        <v>117</v>
      </c>
      <c r="B31" s="58">
        <f t="shared" si="9"/>
        <v>23</v>
      </c>
      <c r="C31" s="61">
        <v>7456998</v>
      </c>
      <c r="D31" s="60">
        <f t="shared" si="2"/>
        <v>3766</v>
      </c>
      <c r="E31" s="61">
        <v>7390526</v>
      </c>
      <c r="F31" s="60">
        <f t="shared" si="10"/>
        <v>3760</v>
      </c>
      <c r="G31" s="59">
        <v>6996499</v>
      </c>
      <c r="H31" s="60">
        <f t="shared" si="3"/>
        <v>3580</v>
      </c>
      <c r="I31" s="59">
        <f t="shared" si="4"/>
        <v>11106</v>
      </c>
      <c r="J31" s="62">
        <v>0.99</v>
      </c>
      <c r="K31" s="63">
        <f t="shared" si="5"/>
        <v>2987.5140000000001</v>
      </c>
      <c r="L31" s="64"/>
      <c r="M31" s="59">
        <v>207539</v>
      </c>
      <c r="N31" s="60">
        <f t="shared" si="11"/>
        <v>144</v>
      </c>
      <c r="O31" s="59">
        <v>2892345</v>
      </c>
      <c r="P31" s="60">
        <f t="shared" si="12"/>
        <v>914</v>
      </c>
      <c r="Q31" s="65">
        <f t="shared" si="0"/>
        <v>1058</v>
      </c>
      <c r="R31" s="66">
        <f t="shared" si="6"/>
        <v>618.66474924800002</v>
      </c>
      <c r="S31" s="67"/>
      <c r="T31" s="68">
        <v>428398</v>
      </c>
      <c r="U31" s="60">
        <f t="shared" si="13"/>
        <v>450</v>
      </c>
      <c r="V31" s="69">
        <f t="shared" si="7"/>
        <v>1284.75</v>
      </c>
      <c r="W31" s="70"/>
      <c r="X31" s="75">
        <f t="shared" si="1"/>
        <v>4890.9287492479998</v>
      </c>
      <c r="Y31" s="76">
        <v>95</v>
      </c>
      <c r="Z31" s="77">
        <f t="shared" si="8"/>
        <v>51.483460518400001</v>
      </c>
    </row>
    <row r="32" spans="1:26" x14ac:dyDescent="0.25">
      <c r="A32" s="10" t="s">
        <v>118</v>
      </c>
      <c r="B32" s="58">
        <f t="shared" si="9"/>
        <v>24</v>
      </c>
      <c r="C32" s="61">
        <v>7460535</v>
      </c>
      <c r="D32" s="60">
        <f t="shared" si="2"/>
        <v>3537</v>
      </c>
      <c r="E32" s="61">
        <v>7394056</v>
      </c>
      <c r="F32" s="60">
        <f t="shared" si="10"/>
        <v>3530</v>
      </c>
      <c r="G32" s="59">
        <v>6999848</v>
      </c>
      <c r="H32" s="60">
        <f t="shared" si="3"/>
        <v>3349</v>
      </c>
      <c r="I32" s="59">
        <f t="shared" si="4"/>
        <v>10416</v>
      </c>
      <c r="J32" s="62">
        <v>0.99</v>
      </c>
      <c r="K32" s="63">
        <f t="shared" si="5"/>
        <v>2801.904</v>
      </c>
      <c r="L32" s="64"/>
      <c r="M32" s="59">
        <v>207670</v>
      </c>
      <c r="N32" s="60">
        <f t="shared" si="11"/>
        <v>131</v>
      </c>
      <c r="O32" s="59">
        <v>2893190</v>
      </c>
      <c r="P32" s="60">
        <f t="shared" si="12"/>
        <v>845</v>
      </c>
      <c r="Q32" s="65">
        <f t="shared" si="0"/>
        <v>976</v>
      </c>
      <c r="R32" s="66">
        <f t="shared" si="6"/>
        <v>570.47695905199998</v>
      </c>
      <c r="S32" s="67"/>
      <c r="T32" s="68">
        <v>428670</v>
      </c>
      <c r="U32" s="60">
        <f t="shared" si="13"/>
        <v>272</v>
      </c>
      <c r="V32" s="69">
        <f t="shared" si="7"/>
        <v>776.56</v>
      </c>
      <c r="W32" s="70"/>
      <c r="X32" s="75">
        <f t="shared" si="1"/>
        <v>4148.9409590519999</v>
      </c>
      <c r="Y32" s="76">
        <v>107</v>
      </c>
      <c r="Z32" s="77">
        <f t="shared" si="8"/>
        <v>38.775149150018692</v>
      </c>
    </row>
    <row r="33" spans="1:26" x14ac:dyDescent="0.25">
      <c r="A33" s="10" t="s">
        <v>96</v>
      </c>
      <c r="B33" s="58">
        <f t="shared" si="9"/>
        <v>25</v>
      </c>
      <c r="C33" s="61"/>
      <c r="D33" s="60" t="str">
        <f t="shared" si="2"/>
        <v>0</v>
      </c>
      <c r="E33" s="61"/>
      <c r="F33" s="60" t="str">
        <f t="shared" si="10"/>
        <v>0</v>
      </c>
      <c r="G33" s="59"/>
      <c r="H33" s="60" t="str">
        <f t="shared" si="3"/>
        <v>0</v>
      </c>
      <c r="I33" s="59">
        <f t="shared" si="4"/>
        <v>0</v>
      </c>
      <c r="J33" s="62">
        <v>0.99</v>
      </c>
      <c r="K33" s="63">
        <f t="shared" si="5"/>
        <v>0</v>
      </c>
      <c r="L33" s="64"/>
      <c r="M33" s="59"/>
      <c r="N33" s="60" t="str">
        <f t="shared" si="11"/>
        <v>0</v>
      </c>
      <c r="O33" s="59"/>
      <c r="P33" s="60" t="str">
        <f t="shared" si="12"/>
        <v>0</v>
      </c>
      <c r="Q33" s="65">
        <f t="shared" si="0"/>
        <v>0</v>
      </c>
      <c r="R33" s="66">
        <f t="shared" si="6"/>
        <v>0</v>
      </c>
      <c r="S33" s="67"/>
      <c r="T33" s="68"/>
      <c r="U33" s="60" t="str">
        <f t="shared" si="13"/>
        <v>0</v>
      </c>
      <c r="V33" s="69">
        <f t="shared" si="7"/>
        <v>0</v>
      </c>
      <c r="W33" s="70"/>
      <c r="X33" s="75">
        <f t="shared" si="1"/>
        <v>0</v>
      </c>
      <c r="Y33" s="76"/>
      <c r="Z33" s="77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61"/>
      <c r="D34" s="60">
        <f t="shared" si="2"/>
        <v>0</v>
      </c>
      <c r="E34" s="61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2">
        <v>0.99</v>
      </c>
      <c r="K34" s="63">
        <f t="shared" si="5"/>
        <v>0</v>
      </c>
      <c r="L34" s="64"/>
      <c r="M34" s="59"/>
      <c r="N34" s="60">
        <f t="shared" si="11"/>
        <v>0</v>
      </c>
      <c r="O34" s="59"/>
      <c r="P34" s="60">
        <f t="shared" si="12"/>
        <v>0</v>
      </c>
      <c r="Q34" s="65">
        <f t="shared" si="0"/>
        <v>0</v>
      </c>
      <c r="R34" s="66">
        <f t="shared" si="6"/>
        <v>0</v>
      </c>
      <c r="S34" s="67"/>
      <c r="T34" s="68"/>
      <c r="U34" s="60">
        <f t="shared" si="13"/>
        <v>0</v>
      </c>
      <c r="V34" s="69">
        <f t="shared" si="7"/>
        <v>0</v>
      </c>
      <c r="W34" s="70"/>
      <c r="X34" s="75">
        <f t="shared" si="1"/>
        <v>0</v>
      </c>
      <c r="Y34" s="76"/>
      <c r="Z34" s="77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61"/>
      <c r="D35" s="60">
        <f t="shared" si="2"/>
        <v>0</v>
      </c>
      <c r="E35" s="61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2">
        <v>0.99</v>
      </c>
      <c r="K35" s="63">
        <f t="shared" si="5"/>
        <v>0</v>
      </c>
      <c r="L35" s="64"/>
      <c r="M35" s="59"/>
      <c r="N35" s="60">
        <f t="shared" si="11"/>
        <v>0</v>
      </c>
      <c r="O35" s="59"/>
      <c r="P35" s="60">
        <f t="shared" si="12"/>
        <v>0</v>
      </c>
      <c r="Q35" s="65">
        <f t="shared" si="0"/>
        <v>0</v>
      </c>
      <c r="R35" s="66">
        <f t="shared" si="6"/>
        <v>0</v>
      </c>
      <c r="S35" s="67"/>
      <c r="T35" s="68"/>
      <c r="U35" s="60">
        <f t="shared" si="13"/>
        <v>0</v>
      </c>
      <c r="V35" s="69">
        <f t="shared" si="7"/>
        <v>0</v>
      </c>
      <c r="W35" s="70"/>
      <c r="X35" s="75">
        <f t="shared" si="1"/>
        <v>0</v>
      </c>
      <c r="Y35" s="76"/>
      <c r="Z35" s="77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61"/>
      <c r="D36" s="60">
        <f t="shared" si="2"/>
        <v>0</v>
      </c>
      <c r="E36" s="61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2">
        <v>0.99</v>
      </c>
      <c r="K36" s="63">
        <f t="shared" si="5"/>
        <v>0</v>
      </c>
      <c r="L36" s="64"/>
      <c r="M36" s="59"/>
      <c r="N36" s="60">
        <f t="shared" si="11"/>
        <v>0</v>
      </c>
      <c r="O36" s="59"/>
      <c r="P36" s="60">
        <f t="shared" si="12"/>
        <v>0</v>
      </c>
      <c r="Q36" s="65">
        <f t="shared" si="0"/>
        <v>0</v>
      </c>
      <c r="R36" s="66">
        <f t="shared" si="6"/>
        <v>0</v>
      </c>
      <c r="S36" s="67"/>
      <c r="T36" s="68"/>
      <c r="U36" s="60">
        <f t="shared" si="13"/>
        <v>0</v>
      </c>
      <c r="V36" s="69">
        <f t="shared" si="7"/>
        <v>0</v>
      </c>
      <c r="W36" s="70"/>
      <c r="X36" s="75">
        <f t="shared" si="1"/>
        <v>0</v>
      </c>
      <c r="Y36" s="76"/>
      <c r="Z36" s="77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61"/>
      <c r="D37" s="60">
        <f t="shared" si="2"/>
        <v>0</v>
      </c>
      <c r="E37" s="61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2">
        <v>0.99</v>
      </c>
      <c r="K37" s="63">
        <f t="shared" si="5"/>
        <v>0</v>
      </c>
      <c r="L37" s="64"/>
      <c r="M37" s="59"/>
      <c r="N37" s="60">
        <f t="shared" si="11"/>
        <v>0</v>
      </c>
      <c r="O37" s="59"/>
      <c r="P37" s="60">
        <f t="shared" si="12"/>
        <v>0</v>
      </c>
      <c r="Q37" s="65">
        <f t="shared" si="0"/>
        <v>0</v>
      </c>
      <c r="R37" s="66">
        <f t="shared" si="6"/>
        <v>0</v>
      </c>
      <c r="S37" s="67"/>
      <c r="T37" s="68"/>
      <c r="U37" s="60">
        <f t="shared" si="13"/>
        <v>0</v>
      </c>
      <c r="V37" s="69">
        <f t="shared" si="7"/>
        <v>0</v>
      </c>
      <c r="W37" s="70"/>
      <c r="X37" s="75">
        <f t="shared" si="1"/>
        <v>0</v>
      </c>
      <c r="Y37" s="70"/>
      <c r="Z37" s="77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61"/>
      <c r="D38" s="60">
        <f t="shared" si="2"/>
        <v>0</v>
      </c>
      <c r="E38" s="61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2">
        <v>0.99</v>
      </c>
      <c r="K38" s="63">
        <f t="shared" si="5"/>
        <v>0</v>
      </c>
      <c r="L38" s="64"/>
      <c r="M38" s="59"/>
      <c r="N38" s="60">
        <f t="shared" si="11"/>
        <v>0</v>
      </c>
      <c r="O38" s="59"/>
      <c r="P38" s="60">
        <f t="shared" si="12"/>
        <v>0</v>
      </c>
      <c r="Q38" s="65">
        <f t="shared" si="0"/>
        <v>0</v>
      </c>
      <c r="R38" s="66">
        <f t="shared" si="6"/>
        <v>0</v>
      </c>
      <c r="S38" s="67"/>
      <c r="T38" s="68"/>
      <c r="U38" s="60">
        <f t="shared" si="13"/>
        <v>0</v>
      </c>
      <c r="V38" s="69">
        <f t="shared" si="7"/>
        <v>0</v>
      </c>
      <c r="W38" s="70"/>
      <c r="X38" s="75">
        <f t="shared" si="1"/>
        <v>0</v>
      </c>
      <c r="Y38" s="70"/>
      <c r="Z38" s="77" t="e">
        <f t="shared" si="8"/>
        <v>#DIV/0!</v>
      </c>
    </row>
    <row r="39" spans="1:26" x14ac:dyDescent="0.25">
      <c r="A39" s="10"/>
      <c r="B39" s="58">
        <f t="shared" si="9"/>
        <v>31</v>
      </c>
      <c r="C39" s="61"/>
      <c r="D39" s="60">
        <f t="shared" si="2"/>
        <v>0</v>
      </c>
      <c r="E39" s="61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2">
        <v>0.99</v>
      </c>
      <c r="K39" s="63">
        <f t="shared" si="5"/>
        <v>0</v>
      </c>
      <c r="L39" s="64"/>
      <c r="M39" s="59"/>
      <c r="N39" s="60">
        <f t="shared" si="11"/>
        <v>0</v>
      </c>
      <c r="O39" s="59"/>
      <c r="P39" s="60">
        <f t="shared" si="12"/>
        <v>0</v>
      </c>
      <c r="Q39" s="65">
        <f t="shared" si="0"/>
        <v>0</v>
      </c>
      <c r="R39" s="66">
        <f t="shared" si="6"/>
        <v>0</v>
      </c>
      <c r="S39" s="67"/>
      <c r="T39" s="68"/>
      <c r="U39" s="60">
        <f t="shared" si="13"/>
        <v>0</v>
      </c>
      <c r="V39" s="69">
        <f t="shared" si="7"/>
        <v>0</v>
      </c>
      <c r="W39" s="70"/>
      <c r="X39" s="75">
        <f t="shared" si="1"/>
        <v>0</v>
      </c>
      <c r="Y39" s="70"/>
      <c r="Z39" s="77" t="e">
        <f t="shared" si="8"/>
        <v>#DIV/0!</v>
      </c>
    </row>
    <row r="40" spans="1:26" x14ac:dyDescent="0.25">
      <c r="A40" s="10"/>
      <c r="B40" s="86"/>
      <c r="C40" s="87">
        <f>SUMIF(D9:D36,"&gt;0")</f>
        <v>93570</v>
      </c>
      <c r="D40" s="88"/>
      <c r="E40" s="116">
        <f>SUMIF(F9:F36,"&gt;0")</f>
        <v>92777</v>
      </c>
      <c r="F40" s="117"/>
      <c r="G40" s="118">
        <f>SUMIF(H9:H36,"&gt;0")</f>
        <v>88629</v>
      </c>
      <c r="H40" s="117"/>
      <c r="I40" s="89">
        <f>SUMIF(I9:I36,"&gt;0")</f>
        <v>274976</v>
      </c>
      <c r="J40" s="90"/>
      <c r="K40" s="91">
        <f>SUMIF(K9:K38,"&gt;0")</f>
        <v>73968.544000000009</v>
      </c>
      <c r="L40" s="89"/>
      <c r="M40" s="118">
        <f>SUMIF(N9:N36,"&gt;0")</f>
        <v>3534</v>
      </c>
      <c r="N40" s="117"/>
      <c r="O40" s="118">
        <f>SUMIF(P9:P36,"&gt;0")</f>
        <v>21251</v>
      </c>
      <c r="P40" s="117"/>
      <c r="Q40" s="90">
        <f>SUMIF(Q9:Q36,"&gt;0")</f>
        <v>24785</v>
      </c>
      <c r="R40" s="91">
        <f>SUMIF(R9:R36,"&gt;0")</f>
        <v>14513.824635128003</v>
      </c>
      <c r="S40" s="92"/>
      <c r="T40" s="119">
        <f>SUMIF(U9:U36,"&gt;0")</f>
        <v>7816</v>
      </c>
      <c r="U40" s="120"/>
      <c r="V40" s="93">
        <f>SUMIF(V9:V36,"&gt;0")</f>
        <v>22314.68</v>
      </c>
      <c r="W40" s="94"/>
      <c r="X40" s="95">
        <f>SUMIF(X9:X36,"&gt;0")</f>
        <v>110797.048635128</v>
      </c>
      <c r="Y40" s="96">
        <f>SUM(Y9:Y39)</f>
        <v>2655</v>
      </c>
      <c r="Z40" s="97">
        <f>(SUMIF(Z9:Z36,"&gt;0")/31)</f>
        <v>33.979189300938508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8">
        <v>49433</v>
      </c>
      <c r="C6" s="99">
        <v>79236</v>
      </c>
      <c r="D6" s="100">
        <v>15207</v>
      </c>
      <c r="E6" s="100">
        <v>13719</v>
      </c>
      <c r="F6" s="100">
        <v>189420</v>
      </c>
      <c r="G6" s="100">
        <v>3495</v>
      </c>
      <c r="H6" s="99">
        <v>1485</v>
      </c>
      <c r="I6" s="100">
        <v>380288</v>
      </c>
      <c r="J6" s="100">
        <v>68377</v>
      </c>
      <c r="K6" s="100">
        <v>7921</v>
      </c>
      <c r="L6" s="100">
        <v>29890</v>
      </c>
      <c r="M6" s="100">
        <v>52115</v>
      </c>
      <c r="N6" s="100">
        <v>38542</v>
      </c>
      <c r="O6" s="100">
        <v>181658</v>
      </c>
      <c r="P6" s="100">
        <v>375920</v>
      </c>
      <c r="Q6" s="100">
        <v>2808</v>
      </c>
      <c r="R6" s="100">
        <v>18050</v>
      </c>
      <c r="S6" s="100">
        <v>25503</v>
      </c>
      <c r="T6" s="100">
        <v>278413</v>
      </c>
      <c r="U6" s="100">
        <v>375407</v>
      </c>
      <c r="V6" s="100">
        <v>40159</v>
      </c>
      <c r="W6" s="100">
        <v>5416</v>
      </c>
      <c r="X6" s="100">
        <v>13927</v>
      </c>
      <c r="Y6" s="100">
        <v>86195</v>
      </c>
      <c r="Z6" s="99">
        <v>540</v>
      </c>
      <c r="AA6" s="100">
        <v>170186</v>
      </c>
      <c r="AB6" s="100">
        <v>7562</v>
      </c>
      <c r="AC6" s="100">
        <v>1974</v>
      </c>
      <c r="AD6" s="100">
        <v>17975</v>
      </c>
      <c r="AE6" s="100">
        <v>76508</v>
      </c>
      <c r="AF6" s="100">
        <v>205359</v>
      </c>
      <c r="AG6" s="100">
        <v>1125790</v>
      </c>
      <c r="AH6" s="100">
        <v>11123</v>
      </c>
      <c r="AI6" s="100">
        <v>483379</v>
      </c>
      <c r="AJ6" s="100">
        <v>637743</v>
      </c>
      <c r="AK6" s="100">
        <v>9334</v>
      </c>
      <c r="AL6" s="101">
        <v>29315</v>
      </c>
      <c r="AM6" s="100">
        <v>28542</v>
      </c>
      <c r="AN6" s="100">
        <v>596531</v>
      </c>
      <c r="AO6" s="100">
        <v>5246</v>
      </c>
      <c r="AP6" s="99">
        <v>0</v>
      </c>
      <c r="AQ6" s="100">
        <v>109712</v>
      </c>
      <c r="AR6" s="100">
        <v>217210</v>
      </c>
      <c r="AS6" s="100">
        <v>63112</v>
      </c>
      <c r="AT6" s="100">
        <v>560</v>
      </c>
      <c r="AU6" s="100">
        <v>107079</v>
      </c>
      <c r="AV6" s="100">
        <v>44534</v>
      </c>
      <c r="AW6" s="100">
        <v>38275</v>
      </c>
      <c r="AX6" s="100">
        <v>175158</v>
      </c>
      <c r="AY6" s="102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3" t="s">
        <v>63</v>
      </c>
      <c r="BA7" s="103" t="s">
        <v>64</v>
      </c>
      <c r="BB7" s="103" t="s">
        <v>65</v>
      </c>
      <c r="BC7" s="103" t="s">
        <v>66</v>
      </c>
      <c r="BD7" s="103" t="s">
        <v>67</v>
      </c>
      <c r="BE7" s="103" t="s">
        <v>68</v>
      </c>
      <c r="BF7" s="103" t="s">
        <v>69</v>
      </c>
      <c r="BG7" s="103" t="s">
        <v>70</v>
      </c>
      <c r="BH7" s="103" t="s">
        <v>71</v>
      </c>
      <c r="BI7" s="103" t="s">
        <v>72</v>
      </c>
      <c r="BJ7" s="103" t="s">
        <v>73</v>
      </c>
      <c r="BK7" s="103" t="s">
        <v>74</v>
      </c>
      <c r="BL7" s="103" t="s">
        <v>75</v>
      </c>
      <c r="BM7" s="103" t="s">
        <v>76</v>
      </c>
      <c r="BN7" s="103" t="s">
        <v>77</v>
      </c>
      <c r="BO7" s="103" t="s">
        <v>78</v>
      </c>
      <c r="BP7" s="103" t="s">
        <v>79</v>
      </c>
      <c r="BQ7" s="103" t="s">
        <v>80</v>
      </c>
      <c r="BR7" s="103" t="s">
        <v>81</v>
      </c>
      <c r="BS7" s="104" t="s">
        <v>82</v>
      </c>
      <c r="BT7" s="104" t="s">
        <v>83</v>
      </c>
      <c r="BU7" s="104" t="s">
        <v>84</v>
      </c>
      <c r="BV7" s="104" t="s">
        <v>85</v>
      </c>
      <c r="BW7" s="104" t="s">
        <v>86</v>
      </c>
      <c r="BX7" s="104" t="s">
        <v>87</v>
      </c>
      <c r="BY7" s="104" t="s">
        <v>88</v>
      </c>
      <c r="BZ7" s="104" t="s">
        <v>89</v>
      </c>
      <c r="CA7" s="104" t="s">
        <v>90</v>
      </c>
      <c r="CB7" s="104" t="s">
        <v>91</v>
      </c>
      <c r="CC7" s="104" t="s">
        <v>92</v>
      </c>
      <c r="CD7" s="104" t="s">
        <v>93</v>
      </c>
      <c r="CE7" s="104" t="s">
        <v>94</v>
      </c>
    </row>
    <row r="8" spans="1:83" ht="15.75" thickBot="1" x14ac:dyDescent="0.3">
      <c r="A8">
        <v>1</v>
      </c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15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</row>
    <row r="9" spans="1:83" x14ac:dyDescent="0.25">
      <c r="A9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</row>
    <row r="10" spans="1:83" x14ac:dyDescent="0.25">
      <c r="A10">
        <v>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</row>
    <row r="11" spans="1:83" x14ac:dyDescent="0.25">
      <c r="A11">
        <v>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114"/>
      <c r="AJ11" s="99"/>
      <c r="AK11" s="99"/>
      <c r="AL11" s="99"/>
      <c r="AM11" s="114"/>
      <c r="AN11" s="109"/>
      <c r="AO11" s="99"/>
      <c r="AP11" s="99"/>
      <c r="AQ11" s="99"/>
      <c r="AR11" s="99"/>
      <c r="AS11" s="114"/>
      <c r="AT11" s="99"/>
      <c r="AU11" s="99"/>
      <c r="AV11" s="99"/>
      <c r="AW11" s="99"/>
      <c r="AX11" s="99"/>
      <c r="AY11" s="99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</row>
    <row r="12" spans="1:83" x14ac:dyDescent="0.25">
      <c r="A12">
        <v>5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1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</row>
    <row r="13" spans="1:83" x14ac:dyDescent="0.25">
      <c r="A13">
        <v>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</row>
    <row r="14" spans="1:83" x14ac:dyDescent="0.25">
      <c r="A14">
        <v>7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</row>
    <row r="15" spans="1:83" x14ac:dyDescent="0.25">
      <c r="A15">
        <v>8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</row>
    <row r="16" spans="1:83" x14ac:dyDescent="0.25">
      <c r="A16">
        <v>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</row>
    <row r="17" spans="1:83" x14ac:dyDescent="0.25">
      <c r="A17">
        <v>10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</row>
    <row r="18" spans="1:83" x14ac:dyDescent="0.25">
      <c r="A18">
        <v>11</v>
      </c>
      <c r="B18" s="99"/>
      <c r="C18" s="99"/>
      <c r="D18" s="99"/>
      <c r="E18" s="99"/>
      <c r="F18" s="99"/>
      <c r="G18" s="99"/>
      <c r="H18" s="99"/>
      <c r="I18" s="99"/>
      <c r="J18" s="114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114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</row>
    <row r="19" spans="1:83" x14ac:dyDescent="0.25">
      <c r="A19">
        <v>12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</row>
    <row r="20" spans="1:83" x14ac:dyDescent="0.25">
      <c r="A20">
        <v>13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</row>
    <row r="21" spans="1:83" x14ac:dyDescent="0.25">
      <c r="A21">
        <v>14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</row>
    <row r="22" spans="1:83" x14ac:dyDescent="0.25">
      <c r="A22">
        <v>15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</row>
    <row r="23" spans="1:83" x14ac:dyDescent="0.25">
      <c r="A23">
        <v>16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</row>
    <row r="24" spans="1:83" x14ac:dyDescent="0.25">
      <c r="A24">
        <v>17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14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114"/>
      <c r="AF24" s="99"/>
      <c r="AG24" s="99"/>
      <c r="AH24" s="99"/>
      <c r="AI24" s="99"/>
      <c r="AJ24" s="99"/>
      <c r="AK24" s="99"/>
      <c r="AL24" s="99"/>
      <c r="AM24" s="10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</row>
    <row r="25" spans="1:83" x14ac:dyDescent="0.25">
      <c r="A25">
        <v>18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</row>
    <row r="26" spans="1:83" x14ac:dyDescent="0.25">
      <c r="A26">
        <v>19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</row>
    <row r="27" spans="1:83" x14ac:dyDescent="0.25">
      <c r="A27">
        <v>20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</row>
    <row r="28" spans="1:83" x14ac:dyDescent="0.25">
      <c r="A28">
        <v>21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9"/>
      <c r="AM28" s="114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</row>
    <row r="29" spans="1:83" x14ac:dyDescent="0.25">
      <c r="A29">
        <v>22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</row>
    <row r="30" spans="1:83" x14ac:dyDescent="0.25">
      <c r="A30">
        <v>23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</row>
    <row r="31" spans="1:83" x14ac:dyDescent="0.25">
      <c r="A31">
        <v>24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</row>
    <row r="32" spans="1:83" x14ac:dyDescent="0.25">
      <c r="A32">
        <v>25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</row>
    <row r="33" spans="1:83" x14ac:dyDescent="0.25">
      <c r="A33">
        <v>26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114"/>
      <c r="AE33" s="99"/>
      <c r="AF33" s="99"/>
      <c r="AG33" s="99"/>
      <c r="AH33" s="99"/>
      <c r="AI33" s="99"/>
      <c r="AJ33" s="99"/>
      <c r="AK33" s="99"/>
      <c r="AL33" s="10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</row>
    <row r="34" spans="1:83" x14ac:dyDescent="0.25">
      <c r="A34">
        <v>27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22"/>
      <c r="AE34" s="99"/>
      <c r="AF34" s="99"/>
      <c r="AG34" s="99"/>
      <c r="AH34" s="99"/>
      <c r="AI34" s="99"/>
      <c r="AJ34" s="99"/>
      <c r="AK34" s="99"/>
      <c r="AL34" s="99"/>
      <c r="AM34" s="10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</row>
    <row r="35" spans="1:83" x14ac:dyDescent="0.25">
      <c r="A35">
        <v>28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10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</row>
    <row r="36" spans="1:83" x14ac:dyDescent="0.25">
      <c r="A36">
        <v>29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10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</row>
    <row r="37" spans="1:83" ht="15.75" thickBot="1" x14ac:dyDescent="0.3">
      <c r="A37">
        <v>30</v>
      </c>
      <c r="B37" s="110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10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111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</row>
    <row r="38" spans="1:83" ht="15.75" thickBot="1" x14ac:dyDescent="0.3">
      <c r="A38">
        <v>31</v>
      </c>
      <c r="B38" s="98"/>
      <c r="C38" s="99"/>
      <c r="D38" s="100"/>
      <c r="E38" s="100"/>
      <c r="F38" s="100"/>
      <c r="G38" s="100"/>
      <c r="H38" s="99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9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1"/>
      <c r="AM38" s="100"/>
      <c r="AN38" s="100"/>
      <c r="AO38" s="100"/>
      <c r="AP38" s="99"/>
      <c r="AQ38" s="100"/>
      <c r="AR38" s="100"/>
      <c r="AS38" s="100"/>
      <c r="AT38" s="100"/>
      <c r="AU38" s="100"/>
      <c r="AV38" s="100"/>
      <c r="AW38" s="100"/>
      <c r="AX38" s="100"/>
      <c r="AY38" s="102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Props1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2022-10-26T15:34:11Z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