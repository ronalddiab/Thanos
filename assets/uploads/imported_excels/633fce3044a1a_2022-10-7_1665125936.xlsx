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Waste record\"/>
    </mc:Choice>
  </mc:AlternateContent>
  <xr:revisionPtr revIDLastSave="0" documentId="13_ncr:1_{BE62D6B6-9615-4E26-AA30-D1C9379E31E3}" xr6:coauthVersionLast="36" xr6:coauthVersionMax="3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25" i="1" l="1"/>
  <c r="AG24" i="1"/>
  <c r="AG23" i="1"/>
  <c r="AE25" i="1"/>
  <c r="AE24" i="1"/>
  <c r="AE23" i="1"/>
  <c r="AA25" i="1"/>
  <c r="AA24" i="1"/>
  <c r="AA23" i="1"/>
  <c r="Y25" i="1"/>
  <c r="Y24" i="1"/>
  <c r="Y23" i="1"/>
  <c r="W25" i="1"/>
  <c r="W24" i="1"/>
  <c r="W23" i="1"/>
  <c r="U25" i="1"/>
  <c r="U24" i="1"/>
  <c r="U23" i="1"/>
  <c r="S25" i="1"/>
  <c r="S24" i="1"/>
  <c r="S23" i="1"/>
  <c r="M25" i="1"/>
  <c r="M24" i="1"/>
  <c r="M23" i="1"/>
  <c r="E25" i="1"/>
  <c r="E24" i="1"/>
  <c r="E23" i="1"/>
  <c r="K25" i="1"/>
  <c r="K24" i="1"/>
  <c r="K23" i="1"/>
  <c r="AG22" i="1"/>
  <c r="AE22" i="1"/>
  <c r="AA22" i="1"/>
  <c r="Y22" i="1"/>
  <c r="W22" i="1"/>
  <c r="U22" i="1"/>
  <c r="S22" i="1"/>
  <c r="M22" i="1"/>
  <c r="K22" i="1"/>
  <c r="E22" i="1"/>
  <c r="AG21" i="1"/>
  <c r="AE21" i="1"/>
  <c r="AA21" i="1"/>
  <c r="Y21" i="1"/>
  <c r="W21" i="1"/>
  <c r="U21" i="1"/>
  <c r="S21" i="1"/>
  <c r="M21" i="1"/>
  <c r="K21" i="1"/>
  <c r="E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Mitsuyoshi Yuki</author>
  </authors>
  <commentList>
    <comment ref="D1" authorId="0" shapeId="0" xr:uid="{136BC3B7-38C9-43EA-B18A-CAB3E1ECA1C9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ﾋﾞﾝ+カン</t>
        </r>
      </text>
    </comment>
    <comment ref="F1" authorId="0" shapeId="0" xr:uid="{75677A34-6C9F-4DF2-9803-1BF4D328F73A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段ボール</t>
        </r>
      </text>
    </comment>
    <comment ref="H1" authorId="0" shapeId="0" xr:uid="{CF6EDA61-4ADA-47D2-82E1-E69AC85E334D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新聞+雑誌+上質+ﾐｯｸｽ</t>
        </r>
      </text>
    </comment>
    <comment ref="J1" authorId="0" shapeId="0" xr:uid="{92BB3D24-6D34-45F1-8C12-9E51B44B335C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ﾍﾟｯﾄﾎﾞﾙ</t>
        </r>
      </text>
    </comment>
    <comment ref="L1" authorId="0" shapeId="0" xr:uid="{9F51AC74-2EA1-4CF3-B828-50F550DFE2B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発泡</t>
        </r>
      </text>
    </comment>
    <comment ref="N1" authorId="0" shapeId="0" xr:uid="{85749360-D3AC-4658-B185-8C4CFDB4F01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家電</t>
        </r>
      </text>
    </comment>
    <comment ref="P1" authorId="0" shapeId="0" xr:uid="{F518EC33-9D36-49DE-8C3E-9CC2715C244F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廃油</t>
        </r>
      </text>
    </comment>
    <comment ref="R1" authorId="0" shapeId="0" xr:uid="{F09DA310-88DA-4E2F-A46E-DCDFF8F50104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グリーストラップ</t>
        </r>
      </text>
    </comment>
    <comment ref="T1" authorId="0" shapeId="0" xr:uid="{F07C3192-4372-4676-A9AE-1B619214E62C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乾電池</t>
        </r>
      </text>
    </comment>
    <comment ref="V1" authorId="0" shapeId="0" xr:uid="{1D81A356-23A1-4C29-9D59-FC79D40D7F16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蛍光灯</t>
        </r>
      </text>
    </comment>
    <comment ref="X1" authorId="0" shapeId="0" xr:uid="{AB9500E7-2145-4CDF-A202-1497DC292996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生ごみ</t>
        </r>
      </text>
    </comment>
    <comment ref="Z1" authorId="0" shapeId="0" xr:uid="{9547E28B-0C10-474C-BF25-E1AD9662A23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一般廃棄物　可燃ｺﾞﾐ</t>
        </r>
      </text>
    </comment>
    <comment ref="AB1" authorId="0" shapeId="0" xr:uid="{18BE63F0-E804-44EF-826B-9E71DCCAD297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注射器</t>
        </r>
      </text>
    </comment>
    <comment ref="AD1" authorId="0" shapeId="0" xr:uid="{3834AA6E-6F24-4332-93E7-82D9C971B74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粗大</t>
        </r>
      </text>
    </comment>
    <comment ref="AF1" authorId="0" shapeId="0" xr:uid="{0D627862-81BF-4E79-80AD-D980BE96B47A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不燃ごみ</t>
        </r>
      </text>
    </comment>
  </commentList>
</comments>
</file>

<file path=xl/sharedStrings.xml><?xml version="1.0" encoding="utf-8"?>
<sst xmlns="http://schemas.openxmlformats.org/spreadsheetml/2006/main" count="57" uniqueCount="34">
  <si>
    <t>Site Name</t>
  </si>
  <si>
    <t>Month</t>
  </si>
  <si>
    <t>Year</t>
  </si>
  <si>
    <t>Total (per Unit) bottles cans</t>
  </si>
  <si>
    <t>Total cost bottles cans</t>
  </si>
  <si>
    <t>Total cost paper</t>
  </si>
  <si>
    <t>Total (per Unit) plastic pet</t>
  </si>
  <si>
    <t>Total cost plastic pet</t>
  </si>
  <si>
    <t>Total (per Unit) other plastics</t>
  </si>
  <si>
    <t>Total cost other plastics</t>
  </si>
  <si>
    <t>Total cost e waste</t>
  </si>
  <si>
    <t>Total cost liquid food waste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</si>
  <si>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</si>
  <si>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</si>
  <si>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</si>
  <si>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</si>
  <si>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</si>
  <si>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(per Unit) food waste</t>
  </si>
  <si>
    <t>Total (per Unit) hazardous and universal waste</t>
  </si>
  <si>
    <t>Total cost hazardous and universal waste</t>
  </si>
  <si>
    <t>Tokyo at Otemachi</t>
  </si>
  <si>
    <t>Total cost cardboard</t>
  </si>
  <si>
    <t>Total cost food waste</t>
  </si>
  <si>
    <t>Total cost general municipal solid waste</t>
  </si>
  <si>
    <t>Total (per Unit) liquid food waste</t>
    <phoneticPr fontId="1"/>
  </si>
  <si>
    <t>Total cost light bulbs</t>
    <phoneticPr fontId="1"/>
  </si>
  <si>
    <t>Total (per Unit) cardboard</t>
    <phoneticPr fontId="1"/>
  </si>
  <si>
    <t>Total (per Unit) paper</t>
    <phoneticPr fontId="1"/>
  </si>
  <si>
    <t>Total (per Unit) durable goods</t>
  </si>
  <si>
    <t>Total cost durable goods</t>
  </si>
  <si>
    <t>Total (per Unit) plastic hdpe</t>
  </si>
  <si>
    <t>Total cost plastic hdpe</t>
  </si>
  <si>
    <t>Total (per Unit) e waste</t>
    <phoneticPr fontId="1"/>
  </si>
  <si>
    <t>Total (per Unit) general municipal solid waste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</si>
</sst>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2"/>
      <scheme val="minor"/>
    </font>
    <font>
      <sz val="9"/>
      <color indexed="81"/>
      <name val="MS P ゴシック"/>
      <family val="2"/>
    </font>
    <font>
      <b/>
      <sz val="9"/>
      <color indexed="81"/>
      <name val="MS P ゴシック"/>
      <family val="2"/>
    </font>
    <font>
      <sz val="9"/>
      <color indexed="81"/>
      <name val="HGGothicE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0" fillId="0" borderId="0" xfId="0" applyFill="1"/>
    <xf numFmtId="0" fontId="2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2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8.%20Waste%20Records%20&#24259;&#26820;&#29289;&#25490;&#20986;&#35352;&#37682;/2022%20waste%20recor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lish"/>
      <sheetName val="Total Waste per Night Guests"/>
      <sheetName val="Food Waste per Food Cver"/>
    </sheetNames>
    <sheetDataSet>
      <sheetData sheetId="0">
        <row r="33">
          <cell r="D33">
            <v>127966</v>
          </cell>
          <cell r="E33">
            <v>272067</v>
          </cell>
          <cell r="G33">
            <v>98269</v>
          </cell>
          <cell r="H33">
            <v>24250</v>
          </cell>
          <cell r="I33">
            <v>1444</v>
          </cell>
          <cell r="J33">
            <v>0</v>
          </cell>
          <cell r="K33">
            <v>182</v>
          </cell>
          <cell r="L33">
            <v>2679</v>
          </cell>
          <cell r="Q33">
            <v>99425</v>
          </cell>
          <cell r="R33">
            <v>6810</v>
          </cell>
          <cell r="W33">
            <v>155454</v>
          </cell>
        </row>
        <row r="36">
          <cell r="D36">
            <v>149072</v>
          </cell>
          <cell r="E36">
            <v>221781</v>
          </cell>
          <cell r="G36">
            <v>94589</v>
          </cell>
          <cell r="H36">
            <v>52125</v>
          </cell>
          <cell r="I36">
            <v>929</v>
          </cell>
          <cell r="J36">
            <v>0</v>
          </cell>
          <cell r="K36">
            <v>208</v>
          </cell>
          <cell r="L36">
            <v>2449</v>
          </cell>
          <cell r="Q36">
            <v>96742</v>
          </cell>
          <cell r="R36">
            <v>6140</v>
          </cell>
          <cell r="W36">
            <v>146510</v>
          </cell>
        </row>
        <row r="39">
          <cell r="D39">
            <v>0</v>
          </cell>
          <cell r="E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Q39">
            <v>0</v>
          </cell>
          <cell r="R39">
            <v>0</v>
          </cell>
          <cell r="W39">
            <v>0</v>
          </cell>
        </row>
        <row r="42">
          <cell r="D42">
            <v>0</v>
          </cell>
          <cell r="E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Q42">
            <v>0</v>
          </cell>
          <cell r="R42">
            <v>0</v>
          </cell>
          <cell r="W42">
            <v>0</v>
          </cell>
        </row>
        <row r="45">
          <cell r="D45">
            <v>0</v>
          </cell>
          <cell r="E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Q45">
            <v>0</v>
          </cell>
          <cell r="R45">
            <v>0</v>
          </cell>
          <cell r="W45">
            <v>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6"/>
  <sheetViews>
    <sheetView tabSelected="1" workbookViewId="0">
      <pane ySplit="1" topLeftCell="A11" activePane="bottomLeft" state="frozen"/>
      <selection pane="bottomLeft" activeCell="G29" sqref="G29"/>
    </sheetView>
  </sheetViews>
  <sheetFormatPr defaultRowHeight="18.75"/>
  <cols>
    <col min="1" max="1" width="17.75" bestFit="1" customWidth="1"/>
    <col min="2" max="3" width="8.375" customWidth="1"/>
    <col min="4" max="29" width="9.375" style="3" customWidth="1"/>
  </cols>
  <sheetData>
    <row r="1" spans="1:33" s="6" customFormat="1" ht="95.25" customHeight="1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26</v>
      </c>
      <c r="G1" s="5" t="s">
        <v>21</v>
      </c>
      <c r="H1" s="5" t="s">
        <v>27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32</v>
      </c>
      <c r="O1" s="5" t="s">
        <v>10</v>
      </c>
      <c r="P1" s="5" t="s">
        <v>24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  <c r="V1" s="5" t="s">
        <v>16</v>
      </c>
      <c r="W1" s="5" t="s">
        <v>25</v>
      </c>
      <c r="X1" s="5" t="s">
        <v>17</v>
      </c>
      <c r="Y1" s="5" t="s">
        <v>22</v>
      </c>
      <c r="Z1" s="5" t="s">
        <v>33</v>
      </c>
      <c r="AA1" s="5" t="s">
        <v>23</v>
      </c>
      <c r="AB1" s="5" t="s">
        <v>18</v>
      </c>
      <c r="AC1" s="5" t="s">
        <v>19</v>
      </c>
      <c r="AD1" s="5" t="s">
        <v>28</v>
      </c>
      <c r="AE1" s="5" t="s">
        <v>29</v>
      </c>
      <c r="AF1" s="5" t="s">
        <v>30</v>
      </c>
      <c r="AG1" s="5" t="s">
        <v>31</v>
      </c>
    </row>
    <row r="2" spans="1:33">
      <c r="A2" t="s">
        <v>20</v>
      </c>
      <c r="B2" s="1">
        <v>1</v>
      </c>
      <c r="C2" s="1">
        <v>2021</v>
      </c>
      <c r="D2" s="3">
        <v>35</v>
      </c>
      <c r="E2" s="3">
        <v>38936</v>
      </c>
      <c r="F2" s="3">
        <v>0</v>
      </c>
      <c r="G2" s="3">
        <v>0</v>
      </c>
      <c r="H2" s="3">
        <v>0</v>
      </c>
      <c r="I2" s="3">
        <v>0</v>
      </c>
      <c r="J2" s="3">
        <v>15</v>
      </c>
      <c r="K2" s="3">
        <v>1449</v>
      </c>
      <c r="L2" s="3">
        <v>46</v>
      </c>
      <c r="M2" s="3">
        <v>381</v>
      </c>
      <c r="N2" s="3">
        <v>0</v>
      </c>
      <c r="O2" s="3">
        <v>0</v>
      </c>
      <c r="P2" s="3">
        <v>0</v>
      </c>
      <c r="Q2" s="3">
        <v>0</v>
      </c>
      <c r="R2" s="3">
        <v>260</v>
      </c>
      <c r="S2" s="3">
        <v>28262</v>
      </c>
      <c r="T2" s="3">
        <v>260</v>
      </c>
      <c r="U2" s="3">
        <v>1222</v>
      </c>
      <c r="V2" s="3">
        <v>260</v>
      </c>
      <c r="W2" s="3">
        <v>0</v>
      </c>
      <c r="X2" s="3">
        <v>30</v>
      </c>
      <c r="Y2" s="3">
        <v>149748</v>
      </c>
      <c r="Z2" s="3">
        <v>20</v>
      </c>
      <c r="AA2" s="3">
        <v>44912</v>
      </c>
      <c r="AB2" s="3">
        <v>0</v>
      </c>
      <c r="AC2" s="3">
        <v>0</v>
      </c>
      <c r="AD2" s="3">
        <v>250</v>
      </c>
      <c r="AE2" s="3">
        <v>10825</v>
      </c>
      <c r="AF2" s="3">
        <v>46</v>
      </c>
      <c r="AG2" s="3">
        <v>64542</v>
      </c>
    </row>
    <row r="3" spans="1:33">
      <c r="A3" t="s">
        <v>20</v>
      </c>
      <c r="B3" s="1">
        <v>2</v>
      </c>
      <c r="C3" s="1">
        <v>2021</v>
      </c>
      <c r="D3" s="3">
        <v>35</v>
      </c>
      <c r="E3" s="3">
        <v>39197</v>
      </c>
      <c r="F3" s="3">
        <v>0</v>
      </c>
      <c r="G3" s="3">
        <v>0</v>
      </c>
      <c r="H3" s="3">
        <v>0</v>
      </c>
      <c r="I3" s="3">
        <v>0</v>
      </c>
      <c r="J3" s="3">
        <v>15</v>
      </c>
      <c r="K3" s="3">
        <v>1243</v>
      </c>
      <c r="L3" s="3">
        <v>46</v>
      </c>
      <c r="M3" s="3">
        <v>299</v>
      </c>
      <c r="N3" s="3">
        <v>0</v>
      </c>
      <c r="O3" s="3">
        <v>0</v>
      </c>
      <c r="P3" s="3">
        <v>0</v>
      </c>
      <c r="Q3" s="3">
        <v>0</v>
      </c>
      <c r="R3" s="3">
        <v>260</v>
      </c>
      <c r="S3" s="3">
        <v>38896</v>
      </c>
      <c r="T3" s="3">
        <v>260</v>
      </c>
      <c r="U3" s="3">
        <v>0</v>
      </c>
      <c r="V3" s="3">
        <v>260</v>
      </c>
      <c r="W3" s="3">
        <v>0</v>
      </c>
      <c r="X3" s="3">
        <v>30</v>
      </c>
      <c r="Y3" s="3">
        <v>142839</v>
      </c>
      <c r="Z3" s="3">
        <v>20</v>
      </c>
      <c r="AA3" s="3">
        <v>47586</v>
      </c>
      <c r="AB3" s="3">
        <v>0</v>
      </c>
      <c r="AC3" s="3">
        <v>0</v>
      </c>
      <c r="AD3" s="3">
        <v>250</v>
      </c>
      <c r="AE3" s="3">
        <v>6275</v>
      </c>
      <c r="AF3" s="3">
        <v>46</v>
      </c>
      <c r="AG3" s="3">
        <v>49905</v>
      </c>
    </row>
    <row r="4" spans="1:33">
      <c r="A4" t="s">
        <v>20</v>
      </c>
      <c r="B4" s="1">
        <v>3</v>
      </c>
      <c r="C4" s="1">
        <v>2021</v>
      </c>
      <c r="D4" s="3">
        <v>35</v>
      </c>
      <c r="E4" s="3">
        <v>65252</v>
      </c>
      <c r="F4" s="3">
        <v>0</v>
      </c>
      <c r="G4" s="3">
        <v>0</v>
      </c>
      <c r="H4" s="3">
        <v>0</v>
      </c>
      <c r="I4" s="3">
        <v>0</v>
      </c>
      <c r="J4" s="3">
        <v>15</v>
      </c>
      <c r="K4" s="3">
        <v>1797</v>
      </c>
      <c r="L4" s="3">
        <v>46</v>
      </c>
      <c r="M4" s="3">
        <v>791</v>
      </c>
      <c r="N4" s="3">
        <v>0</v>
      </c>
      <c r="O4" s="3">
        <v>0</v>
      </c>
      <c r="P4" s="3">
        <v>0</v>
      </c>
      <c r="Q4" s="3">
        <v>0</v>
      </c>
      <c r="R4" s="3">
        <v>260</v>
      </c>
      <c r="S4" s="3">
        <v>52130</v>
      </c>
      <c r="T4" s="3">
        <v>260</v>
      </c>
      <c r="U4" s="3">
        <v>104</v>
      </c>
      <c r="V4" s="3">
        <v>260</v>
      </c>
      <c r="W4" s="3">
        <v>130</v>
      </c>
      <c r="X4" s="3">
        <v>30</v>
      </c>
      <c r="Y4" s="3">
        <v>209781</v>
      </c>
      <c r="Z4" s="3">
        <v>20</v>
      </c>
      <c r="AA4" s="3">
        <v>68880</v>
      </c>
      <c r="AB4" s="3">
        <v>0</v>
      </c>
      <c r="AC4" s="3">
        <v>0</v>
      </c>
      <c r="AD4" s="3">
        <v>250</v>
      </c>
      <c r="AE4" s="3">
        <v>22550</v>
      </c>
      <c r="AF4" s="3">
        <v>46</v>
      </c>
      <c r="AG4" s="3">
        <v>68710</v>
      </c>
    </row>
    <row r="5" spans="1:33">
      <c r="A5" t="s">
        <v>20</v>
      </c>
      <c r="B5" s="2">
        <v>4</v>
      </c>
      <c r="C5" s="1">
        <v>2021</v>
      </c>
      <c r="D5" s="3">
        <v>35</v>
      </c>
      <c r="E5" s="3">
        <v>79030</v>
      </c>
      <c r="F5" s="3">
        <v>0</v>
      </c>
      <c r="G5" s="3">
        <v>0</v>
      </c>
      <c r="H5" s="3">
        <v>0</v>
      </c>
      <c r="I5" s="3">
        <v>0</v>
      </c>
      <c r="J5" s="3">
        <v>15</v>
      </c>
      <c r="K5" s="3">
        <v>1900</v>
      </c>
      <c r="L5" s="3">
        <v>46</v>
      </c>
      <c r="M5" s="3">
        <v>979</v>
      </c>
      <c r="N5" s="3">
        <v>0</v>
      </c>
      <c r="O5" s="3">
        <v>0</v>
      </c>
      <c r="P5" s="3">
        <v>0</v>
      </c>
      <c r="Q5" s="3">
        <v>0</v>
      </c>
      <c r="R5" s="3">
        <v>260</v>
      </c>
      <c r="S5" s="3">
        <v>54496</v>
      </c>
      <c r="T5" s="3">
        <v>260</v>
      </c>
      <c r="U5" s="3">
        <v>3822</v>
      </c>
      <c r="V5" s="3">
        <v>260</v>
      </c>
      <c r="W5" s="3">
        <v>78</v>
      </c>
      <c r="X5" s="3">
        <v>30</v>
      </c>
      <c r="Y5" s="3">
        <v>216921</v>
      </c>
      <c r="Z5" s="3">
        <v>20</v>
      </c>
      <c r="AA5" s="3">
        <v>69634</v>
      </c>
      <c r="AB5" s="3">
        <v>0</v>
      </c>
      <c r="AC5" s="3">
        <v>0</v>
      </c>
      <c r="AD5" s="3">
        <v>250</v>
      </c>
      <c r="AE5">
        <v>11250</v>
      </c>
      <c r="AF5" s="3">
        <v>46</v>
      </c>
      <c r="AG5" s="3">
        <v>76033</v>
      </c>
    </row>
    <row r="6" spans="1:33">
      <c r="A6" t="s">
        <v>20</v>
      </c>
      <c r="B6" s="1">
        <v>5</v>
      </c>
      <c r="C6" s="1">
        <v>2021</v>
      </c>
      <c r="D6" s="3">
        <v>35</v>
      </c>
      <c r="E6" s="3">
        <v>62109</v>
      </c>
      <c r="F6" s="3">
        <v>0</v>
      </c>
      <c r="G6" s="3">
        <v>0</v>
      </c>
      <c r="H6" s="3">
        <v>0</v>
      </c>
      <c r="I6" s="3">
        <v>0</v>
      </c>
      <c r="J6" s="3">
        <v>15</v>
      </c>
      <c r="K6" s="3">
        <v>2301</v>
      </c>
      <c r="L6" s="3">
        <v>46</v>
      </c>
      <c r="M6" s="3">
        <v>280</v>
      </c>
      <c r="N6" s="3">
        <v>0</v>
      </c>
      <c r="O6" s="3">
        <v>0</v>
      </c>
      <c r="P6" s="3">
        <v>0</v>
      </c>
      <c r="Q6" s="3">
        <v>0</v>
      </c>
      <c r="R6" s="3">
        <v>260</v>
      </c>
      <c r="S6" s="3">
        <v>125450</v>
      </c>
      <c r="T6" s="3">
        <v>260</v>
      </c>
      <c r="U6" s="3">
        <v>572</v>
      </c>
      <c r="V6" s="3">
        <v>260</v>
      </c>
      <c r="W6" s="3">
        <v>0</v>
      </c>
      <c r="X6" s="3">
        <v>30</v>
      </c>
      <c r="Y6" s="3">
        <v>209658</v>
      </c>
      <c r="Z6" s="3">
        <v>20</v>
      </c>
      <c r="AA6" s="3">
        <v>82116</v>
      </c>
      <c r="AB6" s="3">
        <v>0</v>
      </c>
      <c r="AC6" s="3">
        <v>0</v>
      </c>
      <c r="AD6" s="3">
        <v>250</v>
      </c>
      <c r="AE6">
        <v>5350</v>
      </c>
      <c r="AF6" s="3">
        <v>46</v>
      </c>
      <c r="AG6" s="3">
        <v>85054</v>
      </c>
    </row>
    <row r="7" spans="1:33">
      <c r="A7" t="s">
        <v>20</v>
      </c>
      <c r="B7" s="1">
        <v>6</v>
      </c>
      <c r="C7" s="1">
        <v>2021</v>
      </c>
      <c r="D7" s="3">
        <v>35</v>
      </c>
      <c r="E7" s="3">
        <v>54874</v>
      </c>
      <c r="F7" s="3">
        <v>0</v>
      </c>
      <c r="G7" s="3">
        <v>0</v>
      </c>
      <c r="H7" s="3">
        <v>0</v>
      </c>
      <c r="I7" s="3">
        <v>0</v>
      </c>
      <c r="J7" s="3">
        <v>15</v>
      </c>
      <c r="K7" s="3">
        <v>3367</v>
      </c>
      <c r="L7" s="3">
        <v>46</v>
      </c>
      <c r="M7" s="3">
        <v>510</v>
      </c>
      <c r="N7" s="3">
        <v>0</v>
      </c>
      <c r="O7" s="3">
        <v>0</v>
      </c>
      <c r="P7" s="3">
        <v>0</v>
      </c>
      <c r="Q7" s="3">
        <v>0</v>
      </c>
      <c r="R7" s="3">
        <v>260</v>
      </c>
      <c r="S7" s="3">
        <v>87828</v>
      </c>
      <c r="T7" s="3">
        <v>260</v>
      </c>
      <c r="U7" s="3">
        <v>0</v>
      </c>
      <c r="V7" s="3">
        <v>260</v>
      </c>
      <c r="W7" s="3">
        <v>0</v>
      </c>
      <c r="X7" s="3">
        <v>30</v>
      </c>
      <c r="Y7" s="3">
        <v>188067</v>
      </c>
      <c r="Z7" s="3">
        <v>20</v>
      </c>
      <c r="AA7" s="3">
        <v>78002</v>
      </c>
      <c r="AB7" s="3">
        <v>0</v>
      </c>
      <c r="AC7" s="3">
        <v>0</v>
      </c>
      <c r="AD7" s="3">
        <v>250</v>
      </c>
      <c r="AE7">
        <v>12375</v>
      </c>
      <c r="AF7" s="3">
        <v>46</v>
      </c>
      <c r="AG7" s="3">
        <v>74142</v>
      </c>
    </row>
    <row r="8" spans="1:33">
      <c r="A8" t="s">
        <v>20</v>
      </c>
      <c r="B8" s="1">
        <v>7</v>
      </c>
      <c r="C8" s="1">
        <v>2021</v>
      </c>
      <c r="D8" s="3">
        <v>35</v>
      </c>
      <c r="E8" s="3">
        <v>66347</v>
      </c>
      <c r="F8" s="3">
        <v>0</v>
      </c>
      <c r="G8" s="3">
        <v>0</v>
      </c>
      <c r="H8" s="3">
        <v>0</v>
      </c>
      <c r="I8" s="3">
        <v>0</v>
      </c>
      <c r="J8" s="3">
        <v>15</v>
      </c>
      <c r="K8" s="3">
        <v>4830</v>
      </c>
      <c r="L8" s="3">
        <v>46</v>
      </c>
      <c r="M8" s="3">
        <v>910</v>
      </c>
      <c r="N8" s="3">
        <v>0</v>
      </c>
      <c r="O8" s="3">
        <v>0</v>
      </c>
      <c r="P8" s="3">
        <v>0</v>
      </c>
      <c r="Q8" s="3">
        <v>0</v>
      </c>
      <c r="R8" s="3">
        <v>260</v>
      </c>
      <c r="S8" s="3">
        <v>93444</v>
      </c>
      <c r="T8" s="3">
        <v>260</v>
      </c>
      <c r="U8" s="3">
        <v>494</v>
      </c>
      <c r="V8" s="3">
        <v>260</v>
      </c>
      <c r="W8" s="3">
        <v>0</v>
      </c>
      <c r="X8" s="3">
        <v>30</v>
      </c>
      <c r="Y8" s="3">
        <v>248508</v>
      </c>
      <c r="Z8" s="3">
        <v>20</v>
      </c>
      <c r="AA8" s="3">
        <v>93958</v>
      </c>
      <c r="AB8" s="3">
        <v>0</v>
      </c>
      <c r="AC8" s="3">
        <v>0</v>
      </c>
      <c r="AD8" s="3">
        <v>250</v>
      </c>
      <c r="AE8">
        <v>7400</v>
      </c>
      <c r="AF8" s="3">
        <v>46</v>
      </c>
      <c r="AG8" s="3">
        <v>83614</v>
      </c>
    </row>
    <row r="9" spans="1:33">
      <c r="A9" t="s">
        <v>20</v>
      </c>
      <c r="B9" s="1">
        <v>8</v>
      </c>
      <c r="C9" s="1">
        <v>2021</v>
      </c>
      <c r="D9" s="3">
        <v>35</v>
      </c>
      <c r="E9" s="3">
        <v>67550</v>
      </c>
      <c r="F9" s="3">
        <v>0</v>
      </c>
      <c r="G9" s="3">
        <v>0</v>
      </c>
      <c r="H9" s="3">
        <v>0</v>
      </c>
      <c r="I9" s="3">
        <v>0</v>
      </c>
      <c r="J9" s="3">
        <v>15</v>
      </c>
      <c r="K9" s="3">
        <v>6304</v>
      </c>
      <c r="L9" s="3">
        <v>46</v>
      </c>
      <c r="M9" s="3">
        <v>956</v>
      </c>
      <c r="N9" s="3">
        <v>0</v>
      </c>
      <c r="O9" s="3">
        <v>0</v>
      </c>
      <c r="P9" s="3">
        <v>0</v>
      </c>
      <c r="Q9" s="3">
        <v>0</v>
      </c>
      <c r="R9" s="3">
        <v>260</v>
      </c>
      <c r="S9" s="3">
        <v>113516</v>
      </c>
      <c r="T9" s="3">
        <v>260</v>
      </c>
      <c r="U9" s="3">
        <v>104</v>
      </c>
      <c r="V9" s="3">
        <v>260</v>
      </c>
      <c r="W9" s="3">
        <v>0</v>
      </c>
      <c r="X9" s="3">
        <v>30</v>
      </c>
      <c r="Y9" s="3">
        <v>235161</v>
      </c>
      <c r="Z9" s="3">
        <v>20</v>
      </c>
      <c r="AA9" s="3">
        <v>98968</v>
      </c>
      <c r="AB9" s="3">
        <v>0</v>
      </c>
      <c r="AC9" s="3">
        <v>0</v>
      </c>
      <c r="AD9" s="3">
        <v>250</v>
      </c>
      <c r="AE9">
        <v>4575</v>
      </c>
      <c r="AF9" s="3">
        <v>46</v>
      </c>
      <c r="AG9" s="3">
        <v>101319</v>
      </c>
    </row>
    <row r="10" spans="1:33">
      <c r="A10" t="s">
        <v>20</v>
      </c>
      <c r="B10" s="1">
        <v>9</v>
      </c>
      <c r="C10" s="1">
        <v>2021</v>
      </c>
      <c r="D10" s="3">
        <v>35</v>
      </c>
      <c r="E10" s="3">
        <v>64166</v>
      </c>
      <c r="F10" s="3">
        <v>0</v>
      </c>
      <c r="G10" s="3">
        <v>0</v>
      </c>
      <c r="H10" s="3">
        <v>0</v>
      </c>
      <c r="I10" s="3">
        <v>0</v>
      </c>
      <c r="J10" s="3">
        <v>15</v>
      </c>
      <c r="K10" s="3">
        <v>5370</v>
      </c>
      <c r="L10" s="3">
        <v>46</v>
      </c>
      <c r="M10" s="3">
        <v>989</v>
      </c>
      <c r="N10" s="3">
        <v>0</v>
      </c>
      <c r="O10" s="3">
        <v>0</v>
      </c>
      <c r="P10" s="3">
        <v>0</v>
      </c>
      <c r="Q10" s="3">
        <v>0</v>
      </c>
      <c r="R10" s="3">
        <v>260</v>
      </c>
      <c r="S10" s="3">
        <v>99788</v>
      </c>
      <c r="T10" s="3">
        <v>260</v>
      </c>
      <c r="U10" s="3">
        <v>364</v>
      </c>
      <c r="V10" s="3">
        <v>260</v>
      </c>
      <c r="W10" s="3">
        <v>0</v>
      </c>
      <c r="X10" s="3">
        <v>30</v>
      </c>
      <c r="Y10" s="3">
        <v>205170</v>
      </c>
      <c r="Z10" s="3">
        <v>20</v>
      </c>
      <c r="AA10" s="3">
        <v>93452</v>
      </c>
      <c r="AB10" s="3">
        <v>0</v>
      </c>
      <c r="AC10" s="3">
        <v>0</v>
      </c>
      <c r="AD10" s="3">
        <v>250</v>
      </c>
      <c r="AE10">
        <v>11675</v>
      </c>
      <c r="AF10" s="3">
        <v>46</v>
      </c>
      <c r="AG10" s="3">
        <v>88301</v>
      </c>
    </row>
    <row r="11" spans="1:33">
      <c r="A11" t="s">
        <v>20</v>
      </c>
      <c r="B11" s="1">
        <v>10</v>
      </c>
      <c r="C11" s="1">
        <v>2021</v>
      </c>
      <c r="D11" s="3">
        <v>35</v>
      </c>
      <c r="E11" s="7">
        <v>84901</v>
      </c>
      <c r="F11" s="3">
        <v>0</v>
      </c>
      <c r="G11" s="3">
        <v>0</v>
      </c>
      <c r="H11" s="3">
        <v>0</v>
      </c>
      <c r="I11" s="3">
        <v>0</v>
      </c>
      <c r="J11" s="3">
        <v>15</v>
      </c>
      <c r="K11" s="7">
        <v>6640</v>
      </c>
      <c r="L11" s="3">
        <v>46</v>
      </c>
      <c r="M11" s="7">
        <v>1021</v>
      </c>
      <c r="N11" s="3">
        <v>0</v>
      </c>
      <c r="O11" s="3">
        <v>0</v>
      </c>
      <c r="P11" s="3">
        <v>0</v>
      </c>
      <c r="Q11" s="3">
        <v>0</v>
      </c>
      <c r="R11" s="3">
        <v>260</v>
      </c>
      <c r="S11" s="7">
        <v>107978</v>
      </c>
      <c r="T11" s="3">
        <v>260</v>
      </c>
      <c r="U11" s="7">
        <v>0</v>
      </c>
      <c r="V11" s="3">
        <v>260</v>
      </c>
      <c r="W11" s="7">
        <v>0</v>
      </c>
      <c r="X11" s="3">
        <v>30</v>
      </c>
      <c r="Y11" s="7">
        <v>241251</v>
      </c>
      <c r="Z11" s="3">
        <v>20</v>
      </c>
      <c r="AA11" s="7">
        <v>102634</v>
      </c>
      <c r="AB11" s="3">
        <v>0</v>
      </c>
      <c r="AC11" s="3">
        <v>0</v>
      </c>
      <c r="AD11" s="3">
        <v>250</v>
      </c>
      <c r="AE11" s="7">
        <v>7225</v>
      </c>
      <c r="AF11" s="3">
        <v>46</v>
      </c>
      <c r="AG11" s="7">
        <v>104222</v>
      </c>
    </row>
    <row r="12" spans="1:33">
      <c r="A12" t="s">
        <v>20</v>
      </c>
      <c r="B12" s="1">
        <v>11</v>
      </c>
      <c r="C12" s="1">
        <v>2021</v>
      </c>
      <c r="D12" s="3">
        <v>35</v>
      </c>
      <c r="E12" s="7">
        <v>88323</v>
      </c>
      <c r="F12" s="3">
        <v>0</v>
      </c>
      <c r="G12" s="3">
        <v>0</v>
      </c>
      <c r="H12" s="3">
        <v>0</v>
      </c>
      <c r="I12" s="3">
        <v>0</v>
      </c>
      <c r="J12" s="3">
        <v>15</v>
      </c>
      <c r="K12" s="7">
        <v>7642</v>
      </c>
      <c r="L12" s="3">
        <v>46</v>
      </c>
      <c r="M12" s="7">
        <v>552</v>
      </c>
      <c r="N12" s="3">
        <v>0</v>
      </c>
      <c r="O12" s="3">
        <v>0</v>
      </c>
      <c r="P12" s="3">
        <v>0</v>
      </c>
      <c r="Q12" s="3">
        <v>0</v>
      </c>
      <c r="R12" s="3">
        <v>260</v>
      </c>
      <c r="S12" s="7">
        <v>120458</v>
      </c>
      <c r="T12" s="3">
        <v>260</v>
      </c>
      <c r="U12" s="7">
        <v>0</v>
      </c>
      <c r="V12" s="3">
        <v>260</v>
      </c>
      <c r="W12" s="7">
        <v>0</v>
      </c>
      <c r="X12" s="3">
        <v>30</v>
      </c>
      <c r="Y12" s="7">
        <v>254955</v>
      </c>
      <c r="Z12" s="3">
        <v>20</v>
      </c>
      <c r="AA12" s="7">
        <v>105242</v>
      </c>
      <c r="AB12" s="3">
        <v>0</v>
      </c>
      <c r="AC12" s="3">
        <v>0</v>
      </c>
      <c r="AD12" s="3">
        <v>250</v>
      </c>
      <c r="AE12" s="7">
        <v>38250</v>
      </c>
      <c r="AF12" s="3">
        <v>46</v>
      </c>
      <c r="AG12" s="7">
        <v>104309</v>
      </c>
    </row>
    <row r="13" spans="1:33">
      <c r="A13" t="s">
        <v>20</v>
      </c>
      <c r="B13" s="1">
        <v>12</v>
      </c>
      <c r="C13" s="1">
        <v>2021</v>
      </c>
      <c r="D13" s="3">
        <v>35</v>
      </c>
      <c r="E13" s="7">
        <v>104860</v>
      </c>
      <c r="F13" s="3">
        <v>0</v>
      </c>
      <c r="G13" s="3">
        <v>0</v>
      </c>
      <c r="H13" s="3">
        <v>0</v>
      </c>
      <c r="I13" s="3">
        <v>0</v>
      </c>
      <c r="J13" s="3">
        <v>15</v>
      </c>
      <c r="K13" s="7">
        <v>7527</v>
      </c>
      <c r="L13" s="3">
        <v>46</v>
      </c>
      <c r="M13" s="7">
        <v>740</v>
      </c>
      <c r="N13" s="3">
        <v>0</v>
      </c>
      <c r="O13" s="3">
        <v>0</v>
      </c>
      <c r="P13" s="3">
        <v>0</v>
      </c>
      <c r="Q13" s="3">
        <v>0</v>
      </c>
      <c r="R13" s="3">
        <v>260</v>
      </c>
      <c r="S13" s="7">
        <v>131872</v>
      </c>
      <c r="T13" s="3">
        <v>260</v>
      </c>
      <c r="U13" s="7">
        <v>104</v>
      </c>
      <c r="V13" s="3">
        <v>260</v>
      </c>
      <c r="W13" s="7">
        <v>0</v>
      </c>
      <c r="X13" s="3">
        <v>30</v>
      </c>
      <c r="Y13" s="7">
        <v>258390</v>
      </c>
      <c r="Z13" s="3">
        <v>20</v>
      </c>
      <c r="AA13" s="7">
        <v>121920</v>
      </c>
      <c r="AB13" s="3">
        <v>0</v>
      </c>
      <c r="AC13" s="3">
        <v>0</v>
      </c>
      <c r="AD13" s="3">
        <v>250</v>
      </c>
      <c r="AE13" s="7">
        <v>4875</v>
      </c>
      <c r="AF13" s="3">
        <v>46</v>
      </c>
      <c r="AG13" s="7">
        <v>106697</v>
      </c>
    </row>
    <row r="14" spans="1:33">
      <c r="A14" t="s">
        <v>20</v>
      </c>
      <c r="B14" s="1">
        <v>1</v>
      </c>
      <c r="C14" s="1">
        <v>2022</v>
      </c>
      <c r="D14" s="3">
        <v>35</v>
      </c>
      <c r="E14" s="7">
        <v>75199</v>
      </c>
      <c r="F14" s="3">
        <v>0</v>
      </c>
      <c r="G14" s="3">
        <v>0</v>
      </c>
      <c r="H14" s="3">
        <v>0</v>
      </c>
      <c r="I14" s="3">
        <v>0</v>
      </c>
      <c r="J14" s="3">
        <v>15</v>
      </c>
      <c r="K14" s="7">
        <v>392.2</v>
      </c>
      <c r="L14" s="3">
        <v>46</v>
      </c>
      <c r="M14" s="7">
        <v>593</v>
      </c>
      <c r="N14" s="3">
        <v>0</v>
      </c>
      <c r="O14" s="3">
        <v>0</v>
      </c>
      <c r="P14" s="3">
        <v>0</v>
      </c>
      <c r="Q14" s="3">
        <v>0</v>
      </c>
      <c r="R14" s="3">
        <v>260</v>
      </c>
      <c r="S14" s="7">
        <v>101842</v>
      </c>
      <c r="T14" s="3">
        <v>260</v>
      </c>
      <c r="U14" s="7">
        <v>624</v>
      </c>
      <c r="V14" s="3">
        <v>260</v>
      </c>
      <c r="W14" s="7">
        <v>0</v>
      </c>
      <c r="X14" s="3">
        <v>30</v>
      </c>
      <c r="Y14" s="7">
        <v>203823</v>
      </c>
      <c r="Z14" s="3">
        <v>20</v>
      </c>
      <c r="AA14" s="7">
        <v>91628</v>
      </c>
      <c r="AB14" s="3">
        <v>0</v>
      </c>
      <c r="AC14" s="3">
        <v>0</v>
      </c>
      <c r="AD14" s="3">
        <v>250</v>
      </c>
      <c r="AE14" s="7">
        <v>7875</v>
      </c>
      <c r="AF14" s="3">
        <v>46</v>
      </c>
      <c r="AG14" s="7">
        <v>91590</v>
      </c>
    </row>
    <row r="15" spans="1:33">
      <c r="A15" t="s">
        <v>20</v>
      </c>
      <c r="B15" s="1">
        <v>2</v>
      </c>
      <c r="C15" s="1">
        <v>2022</v>
      </c>
      <c r="D15" s="3">
        <v>35</v>
      </c>
      <c r="E15" s="7">
        <v>63591</v>
      </c>
      <c r="F15" s="3">
        <v>0</v>
      </c>
      <c r="G15" s="3">
        <v>0</v>
      </c>
      <c r="H15" s="3">
        <v>0</v>
      </c>
      <c r="I15" s="3">
        <v>0</v>
      </c>
      <c r="J15" s="3">
        <v>15</v>
      </c>
      <c r="K15" s="7">
        <v>367</v>
      </c>
      <c r="L15" s="3">
        <v>46</v>
      </c>
      <c r="M15" s="7">
        <v>322</v>
      </c>
      <c r="N15" s="3">
        <v>0</v>
      </c>
      <c r="O15" s="3">
        <v>0</v>
      </c>
      <c r="P15" s="3">
        <v>0</v>
      </c>
      <c r="Q15" s="3">
        <v>0</v>
      </c>
      <c r="R15" s="3">
        <v>260</v>
      </c>
      <c r="S15" s="7">
        <v>95862</v>
      </c>
      <c r="T15" s="3">
        <v>260</v>
      </c>
      <c r="U15" s="7">
        <v>1196</v>
      </c>
      <c r="V15" s="3">
        <v>260</v>
      </c>
      <c r="W15" s="7">
        <v>0</v>
      </c>
      <c r="X15" s="3">
        <v>30</v>
      </c>
      <c r="Y15" s="7">
        <v>181680</v>
      </c>
      <c r="Z15" s="3">
        <v>20</v>
      </c>
      <c r="AA15" s="7">
        <v>86608</v>
      </c>
      <c r="AB15" s="3">
        <v>0</v>
      </c>
      <c r="AC15" s="3">
        <v>0</v>
      </c>
      <c r="AD15" s="3">
        <v>250</v>
      </c>
      <c r="AE15" s="7">
        <v>22200</v>
      </c>
      <c r="AF15" s="3">
        <v>46</v>
      </c>
      <c r="AG15" s="7">
        <v>87045</v>
      </c>
    </row>
    <row r="16" spans="1:33">
      <c r="A16" t="s">
        <v>20</v>
      </c>
      <c r="B16" s="1">
        <v>3</v>
      </c>
      <c r="C16" s="1">
        <v>2022</v>
      </c>
      <c r="D16" s="3">
        <v>35</v>
      </c>
      <c r="E16" s="7">
        <v>89193</v>
      </c>
      <c r="F16" s="3">
        <v>0</v>
      </c>
      <c r="G16" s="3">
        <v>0</v>
      </c>
      <c r="H16" s="3">
        <v>0</v>
      </c>
      <c r="I16" s="3">
        <v>0</v>
      </c>
      <c r="J16" s="3">
        <v>15</v>
      </c>
      <c r="K16" s="7">
        <v>5026</v>
      </c>
      <c r="L16" s="3">
        <v>46</v>
      </c>
      <c r="M16" s="7">
        <v>473</v>
      </c>
      <c r="N16" s="3">
        <v>0</v>
      </c>
      <c r="O16" s="3">
        <v>0</v>
      </c>
      <c r="P16" s="3">
        <v>0</v>
      </c>
      <c r="Q16" s="3">
        <v>0</v>
      </c>
      <c r="R16" s="3">
        <v>260</v>
      </c>
      <c r="S16" s="7">
        <v>128414</v>
      </c>
      <c r="T16" s="3">
        <v>260</v>
      </c>
      <c r="U16" s="7">
        <v>130</v>
      </c>
      <c r="V16" s="3">
        <v>260</v>
      </c>
      <c r="W16" s="7">
        <v>0</v>
      </c>
      <c r="X16" s="3">
        <v>30</v>
      </c>
      <c r="Y16" s="7">
        <v>231510</v>
      </c>
      <c r="Z16" s="3">
        <v>20</v>
      </c>
      <c r="AA16" s="7">
        <v>109150</v>
      </c>
      <c r="AB16" s="3">
        <v>0</v>
      </c>
      <c r="AC16" s="3">
        <v>0</v>
      </c>
      <c r="AD16" s="3">
        <v>250</v>
      </c>
      <c r="AE16" s="7">
        <v>23425</v>
      </c>
      <c r="AF16" s="3">
        <v>46</v>
      </c>
      <c r="AG16" s="7">
        <v>110073</v>
      </c>
    </row>
    <row r="17" spans="1:33">
      <c r="A17" t="s">
        <v>20</v>
      </c>
      <c r="B17" s="1">
        <v>4</v>
      </c>
      <c r="C17" s="1">
        <v>2022</v>
      </c>
      <c r="D17" s="3">
        <v>35</v>
      </c>
      <c r="E17" s="7">
        <v>94462</v>
      </c>
      <c r="F17" s="3">
        <v>0</v>
      </c>
      <c r="G17" s="3">
        <v>0</v>
      </c>
      <c r="H17" s="3">
        <v>0</v>
      </c>
      <c r="I17" s="3">
        <v>0</v>
      </c>
      <c r="J17" s="3">
        <v>15</v>
      </c>
      <c r="K17" s="7">
        <v>2163</v>
      </c>
      <c r="L17" s="3">
        <v>46</v>
      </c>
      <c r="M17" s="7">
        <v>1476</v>
      </c>
      <c r="N17" s="3">
        <v>0</v>
      </c>
      <c r="O17" s="3">
        <v>0</v>
      </c>
      <c r="P17" s="3">
        <v>0</v>
      </c>
      <c r="Q17" s="3">
        <v>0</v>
      </c>
      <c r="R17" s="3">
        <v>260</v>
      </c>
      <c r="S17" s="7">
        <v>117000</v>
      </c>
      <c r="T17" s="3">
        <v>260</v>
      </c>
      <c r="U17" s="7">
        <v>13364</v>
      </c>
      <c r="V17" s="3">
        <v>260</v>
      </c>
      <c r="W17" s="7">
        <v>0</v>
      </c>
      <c r="X17" s="3">
        <v>30</v>
      </c>
      <c r="Y17" s="7">
        <v>232134</v>
      </c>
      <c r="Z17" s="3">
        <v>20</v>
      </c>
      <c r="AA17" s="7">
        <v>105818</v>
      </c>
      <c r="AB17" s="3">
        <v>0</v>
      </c>
      <c r="AC17" s="3">
        <v>0</v>
      </c>
      <c r="AD17" s="3">
        <v>250</v>
      </c>
      <c r="AE17" s="7">
        <v>10325</v>
      </c>
      <c r="AF17" s="3">
        <v>46</v>
      </c>
      <c r="AG17" s="7">
        <v>108592</v>
      </c>
    </row>
    <row r="18" spans="1:33">
      <c r="A18" t="s">
        <v>20</v>
      </c>
      <c r="B18" s="1">
        <v>5</v>
      </c>
      <c r="C18" s="1">
        <v>2022</v>
      </c>
      <c r="D18" s="3">
        <v>35</v>
      </c>
      <c r="E18" s="7">
        <v>108736</v>
      </c>
      <c r="F18" s="3">
        <v>0</v>
      </c>
      <c r="G18" s="3">
        <v>0</v>
      </c>
      <c r="H18" s="3">
        <v>0</v>
      </c>
      <c r="I18" s="3">
        <v>0</v>
      </c>
      <c r="J18" s="3">
        <v>15</v>
      </c>
      <c r="K18" s="7">
        <v>2461</v>
      </c>
      <c r="L18" s="3">
        <v>46</v>
      </c>
      <c r="M18" s="7">
        <v>961</v>
      </c>
      <c r="N18" s="3">
        <v>0</v>
      </c>
      <c r="O18" s="3">
        <v>0</v>
      </c>
      <c r="P18" s="3">
        <v>0</v>
      </c>
      <c r="Q18" s="3">
        <v>0</v>
      </c>
      <c r="R18" s="3">
        <v>260</v>
      </c>
      <c r="S18" s="7">
        <v>137644</v>
      </c>
      <c r="T18" s="3">
        <v>260</v>
      </c>
      <c r="U18" s="7">
        <v>4108</v>
      </c>
      <c r="V18" s="3">
        <v>260</v>
      </c>
      <c r="W18" s="7">
        <v>442</v>
      </c>
      <c r="X18" s="3">
        <v>30</v>
      </c>
      <c r="Y18" s="7">
        <v>284118</v>
      </c>
      <c r="Z18" s="3">
        <v>20</v>
      </c>
      <c r="AA18" s="7">
        <v>116088</v>
      </c>
      <c r="AB18" s="3">
        <v>0</v>
      </c>
      <c r="AC18" s="3">
        <v>0</v>
      </c>
      <c r="AD18" s="3">
        <v>250</v>
      </c>
      <c r="AE18" s="7">
        <v>18900</v>
      </c>
      <c r="AF18" s="3">
        <v>46</v>
      </c>
      <c r="AG18" s="7">
        <v>124522</v>
      </c>
    </row>
    <row r="19" spans="1:33">
      <c r="A19" t="s">
        <v>20</v>
      </c>
      <c r="B19" s="1">
        <v>6</v>
      </c>
      <c r="C19" s="1">
        <v>2022</v>
      </c>
      <c r="D19" s="3">
        <v>35</v>
      </c>
      <c r="E19" s="7">
        <v>98426</v>
      </c>
      <c r="F19" s="3">
        <v>0</v>
      </c>
      <c r="G19" s="3">
        <v>0</v>
      </c>
      <c r="H19" s="3">
        <v>0</v>
      </c>
      <c r="I19" s="3">
        <v>0</v>
      </c>
      <c r="J19" s="3">
        <v>15</v>
      </c>
      <c r="K19" s="7">
        <v>3442</v>
      </c>
      <c r="L19" s="3">
        <v>46</v>
      </c>
      <c r="M19" s="7">
        <v>975</v>
      </c>
      <c r="N19" s="3">
        <v>0</v>
      </c>
      <c r="O19" s="3">
        <v>0</v>
      </c>
      <c r="P19" s="3">
        <v>0</v>
      </c>
      <c r="Q19" s="3">
        <v>0</v>
      </c>
      <c r="R19" s="3">
        <v>260</v>
      </c>
      <c r="S19" s="7">
        <v>136838</v>
      </c>
      <c r="T19" s="3">
        <v>260</v>
      </c>
      <c r="U19" s="7">
        <v>26</v>
      </c>
      <c r="V19" s="3">
        <v>260</v>
      </c>
      <c r="W19" s="7">
        <v>52</v>
      </c>
      <c r="X19" s="3">
        <v>30</v>
      </c>
      <c r="Y19" s="7">
        <v>266913</v>
      </c>
      <c r="Z19" s="3">
        <v>20</v>
      </c>
      <c r="AA19" s="7">
        <v>112404</v>
      </c>
      <c r="AB19" s="3">
        <v>0</v>
      </c>
      <c r="AC19" s="3">
        <v>0</v>
      </c>
      <c r="AD19" s="3">
        <v>250</v>
      </c>
      <c r="AE19" s="7">
        <v>19100</v>
      </c>
      <c r="AF19" s="3">
        <v>46</v>
      </c>
      <c r="AG19" s="7">
        <v>99714</v>
      </c>
    </row>
    <row r="20" spans="1:33">
      <c r="A20" t="s">
        <v>20</v>
      </c>
      <c r="B20" s="1">
        <v>7</v>
      </c>
      <c r="C20" s="1">
        <v>2022</v>
      </c>
      <c r="D20" s="3">
        <v>35</v>
      </c>
      <c r="E20" s="7">
        <v>107744</v>
      </c>
      <c r="F20" s="3">
        <v>0</v>
      </c>
      <c r="G20" s="3">
        <v>0</v>
      </c>
      <c r="H20" s="3">
        <v>0</v>
      </c>
      <c r="I20" s="3">
        <v>0</v>
      </c>
      <c r="J20" s="3">
        <v>15</v>
      </c>
      <c r="K20" s="7">
        <v>2482</v>
      </c>
      <c r="L20" s="3">
        <v>46</v>
      </c>
      <c r="M20" s="7">
        <v>1596</v>
      </c>
      <c r="N20" s="3">
        <v>0</v>
      </c>
      <c r="O20" s="3">
        <v>0</v>
      </c>
      <c r="P20" s="3">
        <v>0</v>
      </c>
      <c r="Q20" s="3">
        <v>0</v>
      </c>
      <c r="R20" s="3">
        <v>260</v>
      </c>
      <c r="S20" s="7">
        <v>148980</v>
      </c>
      <c r="T20" s="3">
        <v>260</v>
      </c>
      <c r="U20" s="7">
        <v>2210</v>
      </c>
      <c r="V20" s="3">
        <v>260</v>
      </c>
      <c r="W20" s="7">
        <v>1898</v>
      </c>
      <c r="X20" s="3">
        <v>30</v>
      </c>
      <c r="Y20" s="7">
        <v>269742</v>
      </c>
      <c r="Z20" s="3">
        <v>20</v>
      </c>
      <c r="AA20" s="7">
        <v>115492</v>
      </c>
      <c r="AB20" s="3">
        <v>0</v>
      </c>
      <c r="AC20" s="3">
        <v>0</v>
      </c>
      <c r="AD20" s="3">
        <v>250</v>
      </c>
      <c r="AE20" s="7">
        <v>18275</v>
      </c>
      <c r="AF20" s="3">
        <v>46</v>
      </c>
      <c r="AG20" s="7">
        <v>96034</v>
      </c>
    </row>
    <row r="21" spans="1:33">
      <c r="A21" t="s">
        <v>20</v>
      </c>
      <c r="B21" s="1">
        <v>8</v>
      </c>
      <c r="C21" s="1">
        <v>2022</v>
      </c>
      <c r="D21" s="3">
        <v>35</v>
      </c>
      <c r="E21" s="7">
        <f>[1]English!$Q$33+[1]English!$R$33</f>
        <v>106235</v>
      </c>
      <c r="F21" s="3">
        <v>0</v>
      </c>
      <c r="G21" s="3">
        <v>0</v>
      </c>
      <c r="H21" s="3">
        <v>0</v>
      </c>
      <c r="I21" s="3">
        <v>0</v>
      </c>
      <c r="J21" s="3">
        <v>15</v>
      </c>
      <c r="K21" s="7">
        <f>[1]English!$L$33</f>
        <v>2679</v>
      </c>
      <c r="L21" s="3">
        <v>46</v>
      </c>
      <c r="M21" s="7">
        <f>[1]English!$I$33</f>
        <v>1444</v>
      </c>
      <c r="N21" s="3">
        <v>0</v>
      </c>
      <c r="O21" s="3">
        <v>0</v>
      </c>
      <c r="P21" s="3">
        <v>0</v>
      </c>
      <c r="Q21" s="3">
        <v>0</v>
      </c>
      <c r="R21" s="3">
        <v>260</v>
      </c>
      <c r="S21" s="7">
        <f>[1]English!$W$33</f>
        <v>155454</v>
      </c>
      <c r="T21" s="3">
        <v>260</v>
      </c>
      <c r="U21" s="7">
        <f>[1]English!$K$33</f>
        <v>182</v>
      </c>
      <c r="V21" s="3">
        <v>260</v>
      </c>
      <c r="W21" s="7">
        <f>[1]English!$J$33</f>
        <v>0</v>
      </c>
      <c r="X21" s="3">
        <v>30</v>
      </c>
      <c r="Y21" s="7">
        <f>[1]English!$E$33</f>
        <v>272067</v>
      </c>
      <c r="Z21" s="3">
        <v>20</v>
      </c>
      <c r="AA21" s="7">
        <f>[1]English!$D$33</f>
        <v>127966</v>
      </c>
      <c r="AB21" s="3">
        <v>0</v>
      </c>
      <c r="AC21" s="3">
        <v>0</v>
      </c>
      <c r="AD21" s="3">
        <v>250</v>
      </c>
      <c r="AE21" s="7">
        <f>[1]English!$H$33</f>
        <v>24250</v>
      </c>
      <c r="AF21" s="3">
        <v>46</v>
      </c>
      <c r="AG21" s="7">
        <f>[1]English!$G$33</f>
        <v>98269</v>
      </c>
    </row>
    <row r="22" spans="1:33">
      <c r="A22" t="s">
        <v>20</v>
      </c>
      <c r="B22" s="1">
        <v>9</v>
      </c>
      <c r="C22" s="1">
        <v>2022</v>
      </c>
      <c r="D22" s="3">
        <v>35</v>
      </c>
      <c r="E22" s="7">
        <f>[1]English!$Q$36+[1]English!$R$36</f>
        <v>102882</v>
      </c>
      <c r="F22" s="3">
        <v>0</v>
      </c>
      <c r="G22" s="3">
        <v>0</v>
      </c>
      <c r="H22" s="3">
        <v>0</v>
      </c>
      <c r="I22" s="3">
        <v>0</v>
      </c>
      <c r="J22" s="3">
        <v>15</v>
      </c>
      <c r="K22" s="7">
        <f>[1]English!$L$36</f>
        <v>2449</v>
      </c>
      <c r="L22" s="3">
        <v>46</v>
      </c>
      <c r="M22" s="7">
        <f>[1]English!$I$36</f>
        <v>929</v>
      </c>
      <c r="N22" s="3">
        <v>0</v>
      </c>
      <c r="O22" s="3">
        <v>0</v>
      </c>
      <c r="P22" s="3">
        <v>0</v>
      </c>
      <c r="Q22" s="3">
        <v>0</v>
      </c>
      <c r="R22" s="3">
        <v>260</v>
      </c>
      <c r="S22" s="7">
        <f>[1]English!$W$36</f>
        <v>146510</v>
      </c>
      <c r="T22" s="3">
        <v>260</v>
      </c>
      <c r="U22" s="7">
        <f>[1]English!$K$36</f>
        <v>208</v>
      </c>
      <c r="V22" s="3">
        <v>260</v>
      </c>
      <c r="W22" s="7">
        <f>[1]English!$J$36</f>
        <v>0</v>
      </c>
      <c r="X22" s="3">
        <v>30</v>
      </c>
      <c r="Y22" s="7">
        <f>[1]English!$E$36</f>
        <v>221781</v>
      </c>
      <c r="Z22" s="3">
        <v>20</v>
      </c>
      <c r="AA22" s="7">
        <f>[1]English!$D$36</f>
        <v>149072</v>
      </c>
      <c r="AB22" s="3">
        <v>0</v>
      </c>
      <c r="AC22" s="3">
        <v>0</v>
      </c>
      <c r="AD22" s="3">
        <v>250</v>
      </c>
      <c r="AE22" s="7">
        <f>[1]English!$H$36</f>
        <v>52125</v>
      </c>
      <c r="AF22" s="3">
        <v>46</v>
      </c>
      <c r="AG22" s="7">
        <f>[1]English!$G$36</f>
        <v>94589</v>
      </c>
    </row>
    <row r="23" spans="1:33">
      <c r="A23" t="s">
        <v>20</v>
      </c>
      <c r="B23" s="1">
        <v>10</v>
      </c>
      <c r="C23" s="1">
        <v>2023</v>
      </c>
      <c r="D23" s="3">
        <v>35</v>
      </c>
      <c r="E23" s="7">
        <f>[1]English!$Q$39+[1]English!$R$39</f>
        <v>0</v>
      </c>
      <c r="F23" s="3">
        <v>0</v>
      </c>
      <c r="G23" s="3">
        <v>0</v>
      </c>
      <c r="H23" s="3">
        <v>0</v>
      </c>
      <c r="I23" s="3">
        <v>0</v>
      </c>
      <c r="J23" s="3">
        <v>15</v>
      </c>
      <c r="K23" s="7">
        <f>[1]English!$L$39</f>
        <v>0</v>
      </c>
      <c r="L23" s="3">
        <v>46</v>
      </c>
      <c r="M23" s="7">
        <f>[1]English!$I$39</f>
        <v>0</v>
      </c>
      <c r="N23" s="3">
        <v>0</v>
      </c>
      <c r="O23" s="3">
        <v>0</v>
      </c>
      <c r="P23" s="3">
        <v>0</v>
      </c>
      <c r="Q23" s="3">
        <v>0</v>
      </c>
      <c r="R23" s="3">
        <v>260</v>
      </c>
      <c r="S23" s="7">
        <f>[1]English!$W$39</f>
        <v>0</v>
      </c>
      <c r="T23" s="3">
        <v>260</v>
      </c>
      <c r="U23" s="7">
        <f>[1]English!$K$39</f>
        <v>0</v>
      </c>
      <c r="V23" s="3">
        <v>260</v>
      </c>
      <c r="W23" s="7">
        <f>[1]English!$J$39</f>
        <v>0</v>
      </c>
      <c r="X23" s="3">
        <v>30</v>
      </c>
      <c r="Y23" s="7">
        <f>[1]English!$E$39</f>
        <v>0</v>
      </c>
      <c r="Z23" s="3">
        <v>20</v>
      </c>
      <c r="AA23" s="7">
        <f>[1]English!$D$39</f>
        <v>0</v>
      </c>
      <c r="AB23" s="3">
        <v>0</v>
      </c>
      <c r="AC23" s="3">
        <v>0</v>
      </c>
      <c r="AD23" s="3">
        <v>250</v>
      </c>
      <c r="AE23" s="7">
        <f>[1]English!$H$39</f>
        <v>0</v>
      </c>
      <c r="AF23" s="3">
        <v>46</v>
      </c>
      <c r="AG23" s="7">
        <f>[1]English!$G$39</f>
        <v>0</v>
      </c>
    </row>
    <row r="24" spans="1:33">
      <c r="A24" t="s">
        <v>20</v>
      </c>
      <c r="B24" s="1">
        <v>11</v>
      </c>
      <c r="C24" s="1">
        <v>2024</v>
      </c>
      <c r="D24" s="3">
        <v>35</v>
      </c>
      <c r="E24" s="7">
        <f>[1]English!$Q$42+[1]English!$R$42</f>
        <v>0</v>
      </c>
      <c r="F24" s="3">
        <v>0</v>
      </c>
      <c r="G24" s="3">
        <v>0</v>
      </c>
      <c r="H24" s="3">
        <v>0</v>
      </c>
      <c r="I24" s="3">
        <v>0</v>
      </c>
      <c r="J24" s="3">
        <v>15</v>
      </c>
      <c r="K24" s="7">
        <f>[1]English!$L$42</f>
        <v>0</v>
      </c>
      <c r="L24" s="3">
        <v>46</v>
      </c>
      <c r="M24" s="7">
        <f>[1]English!$I$42</f>
        <v>0</v>
      </c>
      <c r="N24" s="3">
        <v>0</v>
      </c>
      <c r="O24" s="3">
        <v>0</v>
      </c>
      <c r="P24" s="3">
        <v>0</v>
      </c>
      <c r="Q24" s="3">
        <v>0</v>
      </c>
      <c r="R24" s="3">
        <v>260</v>
      </c>
      <c r="S24" s="7">
        <f>[1]English!$W$42</f>
        <v>0</v>
      </c>
      <c r="T24" s="3">
        <v>260</v>
      </c>
      <c r="U24" s="7">
        <f>[1]English!$K$42</f>
        <v>0</v>
      </c>
      <c r="V24" s="3">
        <v>260</v>
      </c>
      <c r="W24" s="7">
        <f>[1]English!$J$42</f>
        <v>0</v>
      </c>
      <c r="X24" s="3">
        <v>30</v>
      </c>
      <c r="Y24" s="7">
        <f>[1]English!$E$42</f>
        <v>0</v>
      </c>
      <c r="Z24" s="3">
        <v>20</v>
      </c>
      <c r="AA24" s="7">
        <f>[1]English!$D$42</f>
        <v>0</v>
      </c>
      <c r="AB24" s="3">
        <v>0</v>
      </c>
      <c r="AC24" s="3">
        <v>0</v>
      </c>
      <c r="AD24" s="3">
        <v>250</v>
      </c>
      <c r="AE24" s="7">
        <f>[1]English!$H$42</f>
        <v>0</v>
      </c>
      <c r="AF24" s="3">
        <v>46</v>
      </c>
      <c r="AG24" s="7">
        <f>[1]English!$G$42</f>
        <v>0</v>
      </c>
    </row>
    <row r="25" spans="1:33">
      <c r="A25" t="s">
        <v>20</v>
      </c>
      <c r="B25" s="1">
        <v>12</v>
      </c>
      <c r="C25" s="1">
        <v>2025</v>
      </c>
      <c r="D25" s="3">
        <v>35</v>
      </c>
      <c r="E25" s="7">
        <f>[1]English!$Q$45+[1]English!$R$45</f>
        <v>0</v>
      </c>
      <c r="F25" s="3">
        <v>0</v>
      </c>
      <c r="G25" s="3">
        <v>0</v>
      </c>
      <c r="H25" s="3">
        <v>0</v>
      </c>
      <c r="I25" s="3">
        <v>0</v>
      </c>
      <c r="J25" s="3">
        <v>15</v>
      </c>
      <c r="K25" s="7">
        <f>[1]English!$L$45</f>
        <v>0</v>
      </c>
      <c r="L25" s="3">
        <v>46</v>
      </c>
      <c r="M25" s="7">
        <f>[1]English!$I$45</f>
        <v>0</v>
      </c>
      <c r="N25" s="3">
        <v>0</v>
      </c>
      <c r="O25" s="3">
        <v>0</v>
      </c>
      <c r="P25" s="3">
        <v>0</v>
      </c>
      <c r="Q25" s="3">
        <v>0</v>
      </c>
      <c r="R25" s="3">
        <v>260</v>
      </c>
      <c r="S25" s="7">
        <f>[1]English!$W$45</f>
        <v>0</v>
      </c>
      <c r="T25" s="3">
        <v>260</v>
      </c>
      <c r="U25" s="7">
        <f>[1]English!$K$45</f>
        <v>0</v>
      </c>
      <c r="V25" s="3">
        <v>260</v>
      </c>
      <c r="W25" s="7">
        <f>[1]English!$J$45</f>
        <v>0</v>
      </c>
      <c r="X25" s="3">
        <v>30</v>
      </c>
      <c r="Y25" s="7">
        <f>[1]English!$E$45</f>
        <v>0</v>
      </c>
      <c r="Z25" s="3">
        <v>20</v>
      </c>
      <c r="AA25" s="7">
        <f>[1]English!$D$45</f>
        <v>0</v>
      </c>
      <c r="AB25" s="3">
        <v>0</v>
      </c>
      <c r="AC25" s="3">
        <v>0</v>
      </c>
      <c r="AD25" s="3">
        <v>250</v>
      </c>
      <c r="AE25" s="7">
        <f>[1]English!$H$45</f>
        <v>0</v>
      </c>
      <c r="AF25" s="3">
        <v>46</v>
      </c>
      <c r="AG25" s="7">
        <f>[1]English!$G$45</f>
        <v>0</v>
      </c>
    </row>
    <row r="26" spans="1:33">
      <c r="B26" s="1"/>
    </row>
  </sheetData>
  <phoneticPr fontId="1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Mitsuyoshi Yuki</cp:lastModifiedBy>
  <dcterms:created xsi:type="dcterms:W3CDTF">2022-01-28T13:49:17Z</dcterms:created>
  <dcterms:modified xsi:type="dcterms:W3CDTF">2022-10-07T06:54:23Z</dcterms:modified>
</cp:coreProperties>
</file>