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28" i="1" l="1"/>
  <c r="S29"/>
  <c r="S30"/>
  <c r="S31"/>
  <c r="S32"/>
  <c r="S33"/>
  <c r="S34"/>
  <c r="S35"/>
  <c r="S36"/>
  <c r="S37"/>
  <c r="S27"/>
  <c r="S38"/>
  <c r="S39"/>
  <c r="S40"/>
  <c r="S41"/>
  <c r="S26"/>
  <c r="S22"/>
  <c r="S23"/>
  <c r="S24"/>
  <c r="S25"/>
  <c r="S21"/>
  <c r="S20"/>
  <c r="S19"/>
  <c r="S18"/>
  <c r="S17"/>
  <c r="AD11" i="3"/>
  <c r="AD12"/>
  <c r="AD13"/>
  <c r="AD14"/>
  <c r="AD15"/>
  <c r="AD16"/>
  <c r="S16" i="1"/>
  <c r="K9" i="12"/>
  <c r="S14" i="1"/>
  <c r="AJ15"/>
  <c r="AJ16"/>
  <c r="AJ13"/>
  <c r="AJ14"/>
  <c r="S13" l="1"/>
  <c r="G12" i="15"/>
  <c r="G13"/>
  <c r="G14"/>
  <c r="G10"/>
  <c r="G11"/>
  <c r="S15" i="1"/>
  <c r="S42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F9" s="1"/>
  <c r="B9"/>
  <c r="G8"/>
  <c r="I8" s="1"/>
  <c r="K8" s="1"/>
  <c r="E8"/>
  <c r="B8"/>
  <c r="D8" s="1"/>
  <c r="F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L23" i="22" l="1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24" l="1"/>
  <c r="J20"/>
  <c r="J16"/>
  <c r="J18"/>
  <c r="J27"/>
  <c r="J15"/>
  <c r="I29"/>
  <c r="I30"/>
  <c r="I31"/>
  <c r="I32"/>
  <c r="I33"/>
  <c r="I34"/>
  <c r="I35"/>
  <c r="I36"/>
  <c r="I37"/>
  <c r="I38"/>
  <c r="I39"/>
  <c r="I40"/>
  <c r="I41"/>
  <c r="G15"/>
  <c r="G16"/>
  <c r="G17"/>
  <c r="J17" s="1"/>
  <c r="G18"/>
  <c r="G19"/>
  <c r="J19" s="1"/>
  <c r="G20"/>
  <c r="G21"/>
  <c r="J21" s="1"/>
  <c r="G22"/>
  <c r="J22" s="1"/>
  <c r="G23"/>
  <c r="J23" s="1"/>
  <c r="G24"/>
  <c r="G25"/>
  <c r="J25" s="1"/>
  <c r="G26"/>
  <c r="J26" s="1"/>
  <c r="G27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5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16" i="13" l="1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V6" s="1"/>
  <c r="W6" s="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AJ16" s="1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19" i="1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I27" i="11" l="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3" s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<sst xmlns="http://schemas.openxmlformats.org/spreadsheetml/2006/main" count="534" uniqueCount="323">
  <si>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</si>
  <si>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</si>
  <si>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</si>
  <si>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</si>
  <si>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</si>
  <si>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</si>
  <si>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</si>
  <si>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</si>
  <si>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</si>
  <si>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</si>
  <si>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</si>
  <si>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</si>
  <si>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</si>
  <si>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</si>
  <si>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</si>
  <si>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</si>
  <si>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</si>
  <si>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</si>
  <si>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</si>
  <si>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</si>
  <si>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</si>
  <si>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</si>
  <si>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</si>
  <si>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</si>
  <si>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</si>
  <si>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</si>
  <si>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</si>
  <si>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</si>
  <si>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</si>
  <si>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</si>
  <si>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</si>
  <si>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</si>
  <si>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</si>
  <si>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</si>
  <si>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</si>
  <si>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</si>
  <si>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</si>
  <si>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</si>
  <si>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</si>
  <si>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</si>
  <si>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</si>
  <si>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</si>
  <si>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</si>
  <si>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</si>
  <si>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</si>
  <si>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</si>
  <si>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</si>
  <si>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</si>
  <si>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</si>
  <si>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</si>
  <si>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</si>
  <si>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</si>
  <si>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</si>
  <si>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</si>
  <si>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</si>
  <si>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</si>
  <si>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</si>
  <si>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</si>
  <si>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</si>
  <si>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</si>
  <si>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</si>
  <si>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</si>
  <si>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</si>
  <si>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</si>
  <si>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</si>
  <si>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</si>
  <si>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</si>
  <si>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</si>
  <si>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</si>
  <si>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</si>
  <si>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</si>
  <si>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</si>
  <si>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</si>
  <si>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</si>
  <si>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</si>
  <si>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</si>
  <si>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</si>
  <si>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</si>
  <si>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</si>
  <si>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</si>
  <si>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</si>
  <si>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</si>
  <si>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</si>
  <si>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</si>
  <si>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</si>
  <si>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</si>
  <si>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</si>
  <si>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</si>
  <si>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</si>
  <si>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</si>
  <si>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</si>
  <si>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</si>
  <si>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</si>
  <si>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</si>
  <si>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</si>
  <si>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</si>
  <si>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</si>
  <si>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</si>
  <si>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</si>
  <si>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</si>
  <si>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</si>
  <si>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</si>
  <si>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</si>
  <si>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</si>
  <si>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</si>
  <si>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</si>
  <si>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</si>
  <si>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</si>
  <si>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</si>
  <si>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</si>
  <si>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</si>
  <si>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</si>
  <si>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</si>
  <si>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</si>
  <si>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</si>
  <si>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</si>
  <si>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</si>
  <si>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</si>
  <si>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</si>
  <si>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</si>
  <si>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</si>
  <si>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</si>
  <si>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</si>
  <si>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</si>
  <si>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</si>
  <si>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</si>
  <si>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</si>
  <si>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</si>
  <si>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</si>
  <si>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</si>
  <si>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</si>
  <si>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</si>
  <si>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</si>
  <si>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</si>
  <si>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</si>
  <si>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</si>
  <si>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</si>
  <si>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</si>
  <si>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</si>
  <si>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</si>
  <si>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</si>
  <si>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</si>
  <si>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</si>
  <si>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</si>
  <si>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</si>
  <si>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</si>
  <si>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</si>
  <si>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</si>
  <si>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</si>
  <si>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</si>
  <si>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</si>
  <si>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</si>
  <si>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</si>
  <si>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</si>
  <si>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</si>
  <si>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</si>
  <si>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</si>
  <si>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</si>
  <si>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</si>
  <si>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</si>
  <si>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</si>
  <si>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</si>
  <si>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</si>
  <si>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</si>
  <si>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</si>
  <si>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</si>
  <si>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</si>
  <si>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</si>
  <si>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</si>
  <si>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</si>
  <si>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</si>
  <si>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</si>
  <si>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</si>
  <si>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</si>
  <si>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</si>
  <si>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</si>
  <si>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</si>
  <si>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</si>
  <si>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</si>
  <si>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</si>
  <si>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</si>
  <si>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</si>
  <si>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</si>
  <si>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</si>
  <si>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</si>
  <si>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</si>
  <si>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</si>
  <si>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</si>
  <si>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</si>
  <si>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</si>
  <si>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</si>
  <si>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</si>
  <si>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</si>
  <si>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</si>
  <si>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</si>
  <si>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</si>
  <si>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</si>
  <si>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</si>
  <si>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</si>
  <si>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</si>
  <si>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</si>
  <si>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</si>
  <si>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</si>
  <si>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</si>
  <si>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</si>
  <si>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</si>
  <si>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</si>
  <si>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</si>
  <si>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</si>
  <si>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</si>
  <si>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</si>
  <si>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</si>
  <si>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</si>
  <si>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</si>
  <si>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</si>
  <si>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</si>
  <si>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</si>
  <si>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</si>
  <si>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</si>
  <si>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</si>
  <si>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</si>
  <si>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</si>
  <si>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</si>
  <si>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</si>
  <si>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</si>
  <si>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</si>
  <si>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</si>
  <si>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</si>
  <si>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</si>
  <si>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</si>
  <si>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</si>
  <si>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</si>
  <si>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</si>
  <si>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</si>
  <si>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</si>
  <si>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</si>
  <si>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</si>
  <si>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</si>
  <si>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</si>
  <si>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</si>
  <si>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</si>
  <si>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</si>
  <si>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</si>
  <si>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</si>
  <si>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</si>
  <si>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</si>
  <si>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</si>
  <si>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</si>
  <si>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</si>
  <si>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</si>
  <si>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</si>
  <si>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</si>
  <si>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</si>
  <si>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</si>
  <si>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</si>
  <si>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</si>
  <si>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</si>
  <si>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</si>
  <si>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</si>
  <si>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</si>
  <si>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</si>
  <si>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</si>
  <si>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</si>
  <si>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</si>
  <si>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</si>
  <si>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</si>
  <si>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</si>
  <si>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</si>
  <si>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</si>
  <si>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</si>
  <si>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</si>
  <si>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</si>
  <si>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</si>
  <si>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</si>
  <si>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</si>
  <si>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</si>
  <si>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</si>
  <si>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</si>
  <si>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</si>
  <si>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</si>
  <si>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</si>
  <si>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</si>
  <si>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</si>
  <si>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</si>
  <si>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</si>
  <si>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</si>
  <si>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</si>
  <si>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</si>
  <si>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</si>
  <si>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</si>
  <si>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</si>
  <si>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</si>
  <si>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</si>
  <si>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</si>
  <si>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</si>
  <si>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</si>
  <si>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</si>
  <si>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</si>
  <si>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</si>
  <si>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</si>
  <si>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</si>
  <si>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</si>
  <si>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</si>
  <si>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</si>
  <si>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</si>
  <si>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</si>
  <si>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</si>
  <si>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</si>
  <si>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</si>
  <si>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</si>
  <si>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</si>
  <si>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</si>
  <si>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</si>
  <si>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</si>
  <si>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</si>
  <si>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</si>
  <si>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</si>
  <si>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</si>
  <si>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</si>
  <si>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</si>
  <si>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</si>
  <si>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</si>
  <si>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huruma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</si>
</sst>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0" xfId="0" applyFont="1" applyBorder="1" applyAlignment="1"/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2336128"/>
        <c:axId val="923376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2339200"/>
        <c:axId val="92488448"/>
      </c:lineChart>
      <c:catAx>
        <c:axId val="9233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7664"/>
        <c:crosses val="autoZero"/>
        <c:auto val="1"/>
        <c:lblAlgn val="ctr"/>
        <c:lblOffset val="100"/>
      </c:catAx>
      <c:valAx>
        <c:axId val="923376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6128"/>
        <c:crosses val="autoZero"/>
        <c:crossBetween val="between"/>
        <c:majorUnit val="200"/>
      </c:valAx>
      <c:catAx>
        <c:axId val="92339200"/>
        <c:scaling>
          <c:orientation val="minMax"/>
        </c:scaling>
        <c:delete val="1"/>
        <c:axPos val="b"/>
        <c:tickLblPos val="none"/>
        <c:crossAx val="92488448"/>
        <c:crosses val="autoZero"/>
        <c:auto val="1"/>
        <c:lblAlgn val="ctr"/>
        <c:lblOffset val="100"/>
      </c:catAx>
      <c:valAx>
        <c:axId val="92488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39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92518272"/>
        <c:axId val="925198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525696"/>
        <c:axId val="92527232"/>
      </c:lineChart>
      <c:catAx>
        <c:axId val="9251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9808"/>
        <c:crosses val="autoZero"/>
        <c:auto val="1"/>
        <c:lblAlgn val="ctr"/>
        <c:lblOffset val="100"/>
      </c:catAx>
      <c:valAx>
        <c:axId val="9251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8272"/>
        <c:crosses val="autoZero"/>
        <c:crossBetween val="between"/>
        <c:majorUnit val="200"/>
      </c:valAx>
      <c:catAx>
        <c:axId val="92525696"/>
        <c:scaling>
          <c:orientation val="minMax"/>
        </c:scaling>
        <c:delete val="1"/>
        <c:axPos val="b"/>
        <c:tickLblPos val="none"/>
        <c:crossAx val="92527232"/>
        <c:crosses val="autoZero"/>
        <c:auto val="1"/>
        <c:lblAlgn val="ctr"/>
        <c:lblOffset val="100"/>
      </c:catAx>
      <c:valAx>
        <c:axId val="925272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25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3846912"/>
        <c:axId val="93906048"/>
      </c:lineChart>
      <c:catAx>
        <c:axId val="9384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06048"/>
        <c:crosses val="autoZero"/>
        <c:auto val="1"/>
        <c:lblAlgn val="ctr"/>
        <c:lblOffset val="200"/>
        <c:tickLblSkip val="1"/>
      </c:catAx>
      <c:valAx>
        <c:axId val="93906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4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4004352"/>
        <c:axId val="94005888"/>
      </c:lineChart>
      <c:catAx>
        <c:axId val="9400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05888"/>
        <c:crosses val="autoZero"/>
        <c:auto val="1"/>
        <c:lblAlgn val="ctr"/>
        <c:lblOffset val="100"/>
      </c:catAx>
      <c:valAx>
        <c:axId val="940058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0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4022272"/>
        <c:axId val="94786304"/>
      </c:lineChart>
      <c:catAx>
        <c:axId val="94022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6304"/>
        <c:crosses val="autoZero"/>
        <c:auto val="1"/>
        <c:lblAlgn val="ctr"/>
        <c:lblOffset val="100"/>
      </c:catAx>
      <c:valAx>
        <c:axId val="94786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22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4819456"/>
        <c:axId val="94821376"/>
      </c:lineChart>
      <c:catAx>
        <c:axId val="94819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1376"/>
        <c:crosses val="autoZero"/>
        <c:auto val="1"/>
        <c:lblAlgn val="ctr"/>
        <c:lblOffset val="100"/>
      </c:catAx>
      <c:valAx>
        <c:axId val="94821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9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-306671.59600000002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4334336"/>
        <c:axId val="94348416"/>
      </c:lineChart>
      <c:catAx>
        <c:axId val="9433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48416"/>
        <c:crosses val="autoZero"/>
        <c:auto val="1"/>
        <c:lblAlgn val="ctr"/>
        <c:lblOffset val="100"/>
      </c:catAx>
      <c:valAx>
        <c:axId val="94348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3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95827840"/>
        <c:axId val="95829376"/>
      </c:lineChart>
      <c:catAx>
        <c:axId val="9582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9376"/>
        <c:crosses val="autoZero"/>
        <c:auto val="1"/>
        <c:lblAlgn val="ctr"/>
        <c:lblOffset val="100"/>
      </c:catAx>
      <c:valAx>
        <c:axId val="95829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2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5878144"/>
        <c:axId val="95359744"/>
      </c:lineChart>
      <c:catAx>
        <c:axId val="958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59744"/>
        <c:crosses val="autoZero"/>
        <c:auto val="1"/>
        <c:lblAlgn val="ctr"/>
        <c:lblOffset val="100"/>
      </c:catAx>
      <c:valAx>
        <c:axId val="9535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49"/>
          <c:y val="7.471324705110254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392512"/>
        <c:axId val="95394048"/>
      </c:lineChart>
      <c:catAx>
        <c:axId val="9539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4048"/>
        <c:crosses val="autoZero"/>
        <c:auto val="1"/>
        <c:lblAlgn val="ctr"/>
        <c:lblOffset val="200"/>
        <c:tickLblSkip val="1"/>
      </c:catAx>
      <c:valAx>
        <c:axId val="95394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9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155904"/>
        <c:axId val="96165888"/>
      </c:lineChart>
      <c:catAx>
        <c:axId val="9615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5888"/>
        <c:crosses val="autoZero"/>
        <c:auto val="1"/>
        <c:lblAlgn val="ctr"/>
        <c:lblOffset val="100"/>
      </c:catAx>
      <c:valAx>
        <c:axId val="9616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6555008"/>
        <c:axId val="96556928"/>
      </c:lineChart>
      <c:catAx>
        <c:axId val="9655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56928"/>
        <c:crosses val="autoZero"/>
        <c:auto val="1"/>
        <c:lblAlgn val="ctr"/>
        <c:lblOffset val="100"/>
      </c:catAx>
      <c:valAx>
        <c:axId val="96556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55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6573696"/>
        <c:axId val="96592256"/>
      </c:lineChart>
      <c:catAx>
        <c:axId val="96573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2256"/>
        <c:crosses val="autoZero"/>
        <c:auto val="1"/>
        <c:lblAlgn val="ctr"/>
        <c:lblOffset val="100"/>
      </c:catAx>
      <c:valAx>
        <c:axId val="96592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3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359168"/>
        <c:axId val="96360704"/>
      </c:lineChart>
      <c:catAx>
        <c:axId val="9635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60704"/>
        <c:crosses val="autoZero"/>
        <c:auto val="1"/>
        <c:lblAlgn val="ctr"/>
        <c:lblOffset val="100"/>
      </c:catAx>
      <c:valAx>
        <c:axId val="9636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5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96381952"/>
        <c:axId val="96400128"/>
      </c:lineChart>
      <c:catAx>
        <c:axId val="963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00128"/>
        <c:crosses val="autoZero"/>
        <c:auto val="1"/>
        <c:lblAlgn val="ctr"/>
        <c:lblOffset val="100"/>
      </c:catAx>
      <c:valAx>
        <c:axId val="9640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891264"/>
        <c:axId val="96892800"/>
      </c:lineChart>
      <c:catAx>
        <c:axId val="9689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2800"/>
        <c:crosses val="autoZero"/>
        <c:auto val="1"/>
        <c:lblAlgn val="ctr"/>
        <c:lblOffset val="100"/>
      </c:catAx>
      <c:valAx>
        <c:axId val="9689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9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679"/>
          <c:y val="7.471324705110292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7254016"/>
        <c:axId val="9759168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7593216"/>
        <c:axId val="97594752"/>
      </c:lineChart>
      <c:catAx>
        <c:axId val="972540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1680"/>
        <c:crosses val="autoZero"/>
        <c:lblAlgn val="ctr"/>
        <c:lblOffset val="100"/>
        <c:tickMarkSkip val="1"/>
      </c:catAx>
      <c:valAx>
        <c:axId val="975916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54016"/>
        <c:crosses val="autoZero"/>
        <c:crossBetween val="between"/>
      </c:valAx>
      <c:catAx>
        <c:axId val="97593216"/>
        <c:scaling>
          <c:orientation val="minMax"/>
        </c:scaling>
        <c:delete val="1"/>
        <c:axPos val="b"/>
        <c:numFmt formatCode="[$-409]d\-mmm\-yy;@" sourceLinked="1"/>
        <c:tickLblPos val="none"/>
        <c:crossAx val="97594752"/>
        <c:crosses val="autoZero"/>
        <c:lblAlgn val="ctr"/>
        <c:lblOffset val="100"/>
      </c:catAx>
      <c:valAx>
        <c:axId val="975947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932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7627520"/>
        <c:axId val="97633408"/>
      </c:lineChart>
      <c:catAx>
        <c:axId val="976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33408"/>
        <c:crosses val="autoZero"/>
        <c:auto val="1"/>
        <c:lblAlgn val="ctr"/>
        <c:lblOffset val="100"/>
      </c:catAx>
      <c:valAx>
        <c:axId val="976334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9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8815488"/>
        <c:axId val="108817024"/>
      </c:lineChart>
      <c:catAx>
        <c:axId val="1088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17024"/>
        <c:crosses val="autoZero"/>
        <c:auto val="1"/>
        <c:lblAlgn val="ctr"/>
        <c:lblOffset val="100"/>
      </c:catAx>
      <c:valAx>
        <c:axId val="1088170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388928"/>
        <c:axId val="109390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408640"/>
        <c:axId val="109410176"/>
      </c:lineChart>
      <c:catAx>
        <c:axId val="1093889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90464"/>
        <c:crosses val="autoZero"/>
        <c:lblAlgn val="ctr"/>
        <c:lblOffset val="100"/>
        <c:tickMarkSkip val="1"/>
      </c:catAx>
      <c:valAx>
        <c:axId val="10939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88928"/>
        <c:crosses val="autoZero"/>
        <c:crossBetween val="between"/>
      </c:valAx>
      <c:catAx>
        <c:axId val="109408640"/>
        <c:scaling>
          <c:orientation val="minMax"/>
        </c:scaling>
        <c:delete val="1"/>
        <c:axPos val="b"/>
        <c:numFmt formatCode="General" sourceLinked="1"/>
        <c:tickLblPos val="none"/>
        <c:crossAx val="109410176"/>
        <c:crosses val="autoZero"/>
        <c:lblAlgn val="ctr"/>
        <c:lblOffset val="100"/>
      </c:catAx>
      <c:valAx>
        <c:axId val="109410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08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856832"/>
        <c:axId val="108858368"/>
      </c:lineChart>
      <c:catAx>
        <c:axId val="10885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58368"/>
        <c:crosses val="autoZero"/>
        <c:auto val="1"/>
        <c:lblAlgn val="ctr"/>
        <c:lblOffset val="100"/>
      </c:catAx>
      <c:valAx>
        <c:axId val="10885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5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899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878848"/>
        <c:axId val="108897024"/>
      </c:lineChart>
      <c:catAx>
        <c:axId val="1088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97024"/>
        <c:crosses val="autoZero"/>
        <c:auto val="1"/>
        <c:lblAlgn val="ctr"/>
        <c:lblOffset val="100"/>
      </c:catAx>
      <c:valAx>
        <c:axId val="10889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4848512"/>
        <c:axId val="13485004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4851584"/>
        <c:axId val="134861568"/>
      </c:lineChart>
      <c:catAx>
        <c:axId val="1348485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0048"/>
        <c:crosses val="autoZero"/>
        <c:lblAlgn val="ctr"/>
        <c:lblOffset val="100"/>
        <c:tickMarkSkip val="1"/>
      </c:catAx>
      <c:valAx>
        <c:axId val="1348500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48512"/>
        <c:crosses val="autoZero"/>
        <c:crossBetween val="between"/>
      </c:valAx>
      <c:catAx>
        <c:axId val="134851584"/>
        <c:scaling>
          <c:orientation val="minMax"/>
        </c:scaling>
        <c:delete val="1"/>
        <c:axPos val="b"/>
        <c:numFmt formatCode="[$-409]d\-mmm\-yy;@" sourceLinked="1"/>
        <c:tickLblPos val="none"/>
        <c:crossAx val="134861568"/>
        <c:crosses val="autoZero"/>
        <c:lblAlgn val="ctr"/>
        <c:lblOffset val="100"/>
      </c:catAx>
      <c:valAx>
        <c:axId val="1348615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51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115904"/>
        <c:axId val="1371299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7131520"/>
        <c:axId val="137133056"/>
      </c:lineChart>
      <c:catAx>
        <c:axId val="1371159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29984"/>
        <c:crosses val="autoZero"/>
        <c:lblAlgn val="ctr"/>
        <c:lblOffset val="100"/>
        <c:tickMarkSkip val="1"/>
      </c:catAx>
      <c:valAx>
        <c:axId val="13712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15904"/>
        <c:crosses val="autoZero"/>
        <c:crossBetween val="between"/>
      </c:valAx>
      <c:catAx>
        <c:axId val="137131520"/>
        <c:scaling>
          <c:orientation val="minMax"/>
        </c:scaling>
        <c:delete val="1"/>
        <c:axPos val="b"/>
        <c:numFmt formatCode="General" sourceLinked="1"/>
        <c:tickLblPos val="none"/>
        <c:crossAx val="137133056"/>
        <c:crosses val="autoZero"/>
        <c:lblAlgn val="ctr"/>
        <c:lblOffset val="100"/>
      </c:catAx>
      <c:valAx>
        <c:axId val="1371330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31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0826880"/>
        <c:axId val="1608284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830208"/>
        <c:axId val="160831744"/>
      </c:lineChart>
      <c:catAx>
        <c:axId val="1608268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28416"/>
        <c:crosses val="autoZero"/>
        <c:lblAlgn val="ctr"/>
        <c:lblOffset val="100"/>
        <c:tickMarkSkip val="1"/>
      </c:catAx>
      <c:valAx>
        <c:axId val="160828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26880"/>
        <c:crosses val="autoZero"/>
        <c:crossBetween val="between"/>
      </c:valAx>
      <c:catAx>
        <c:axId val="160830208"/>
        <c:scaling>
          <c:orientation val="minMax"/>
        </c:scaling>
        <c:delete val="1"/>
        <c:axPos val="b"/>
        <c:numFmt formatCode="[$-409]d\-mmm\-yy;@" sourceLinked="1"/>
        <c:tickLblPos val="none"/>
        <c:crossAx val="160831744"/>
        <c:crosses val="autoZero"/>
        <c:lblAlgn val="ctr"/>
        <c:lblOffset val="100"/>
      </c:catAx>
      <c:valAx>
        <c:axId val="1608317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30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866304"/>
        <c:axId val="1608678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869376"/>
        <c:axId val="160879360"/>
      </c:lineChart>
      <c:catAx>
        <c:axId val="1608663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7840"/>
        <c:crosses val="autoZero"/>
        <c:lblAlgn val="ctr"/>
        <c:lblOffset val="100"/>
        <c:tickMarkSkip val="1"/>
      </c:catAx>
      <c:valAx>
        <c:axId val="16086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6304"/>
        <c:crosses val="autoZero"/>
        <c:crossBetween val="between"/>
      </c:valAx>
      <c:catAx>
        <c:axId val="160869376"/>
        <c:scaling>
          <c:orientation val="minMax"/>
        </c:scaling>
        <c:delete val="1"/>
        <c:axPos val="b"/>
        <c:numFmt formatCode="General" sourceLinked="1"/>
        <c:tickLblPos val="none"/>
        <c:crossAx val="160879360"/>
        <c:crosses val="autoZero"/>
        <c:lblAlgn val="ctr"/>
        <c:lblOffset val="100"/>
      </c:catAx>
      <c:valAx>
        <c:axId val="160879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69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239616"/>
        <c:axId val="162241536"/>
      </c:lineChart>
      <c:catAx>
        <c:axId val="162239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1536"/>
        <c:crosses val="autoZero"/>
        <c:auto val="1"/>
        <c:lblAlgn val="ctr"/>
        <c:lblOffset val="100"/>
      </c:catAx>
      <c:valAx>
        <c:axId val="162241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9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2254208"/>
        <c:axId val="162416128"/>
      </c:lineChart>
      <c:catAx>
        <c:axId val="16225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6128"/>
        <c:crosses val="autoZero"/>
        <c:auto val="1"/>
        <c:lblAlgn val="ctr"/>
        <c:lblOffset val="100"/>
      </c:catAx>
      <c:valAx>
        <c:axId val="1624161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4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2445184"/>
        <c:axId val="162446720"/>
      </c:lineChart>
      <c:catAx>
        <c:axId val="16244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6720"/>
        <c:crosses val="autoZero"/>
        <c:auto val="1"/>
        <c:lblAlgn val="ctr"/>
        <c:lblOffset val="200"/>
        <c:tickLblSkip val="1"/>
      </c:catAx>
      <c:valAx>
        <c:axId val="1624467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003776"/>
        <c:axId val="163013760"/>
      </c:lineChart>
      <c:catAx>
        <c:axId val="16300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3760"/>
        <c:crosses val="autoZero"/>
        <c:auto val="1"/>
        <c:lblAlgn val="ctr"/>
        <c:lblOffset val="100"/>
      </c:catAx>
      <c:valAx>
        <c:axId val="1630137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5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-306671.59600000002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517568"/>
        <c:axId val="163519104"/>
      </c:lineChart>
      <c:catAx>
        <c:axId val="16351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9104"/>
        <c:crosses val="autoZero"/>
        <c:auto val="1"/>
        <c:lblAlgn val="ctr"/>
        <c:lblOffset val="100"/>
      </c:catAx>
      <c:valAx>
        <c:axId val="16351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547776"/>
        <c:axId val="163574528"/>
      </c:lineChart>
      <c:catAx>
        <c:axId val="163547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74528"/>
        <c:crosses val="autoZero"/>
        <c:auto val="1"/>
        <c:lblAlgn val="ctr"/>
        <c:lblOffset val="100"/>
      </c:catAx>
      <c:valAx>
        <c:axId val="1635745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477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136064"/>
        <c:axId val="164137984"/>
      </c:lineChart>
      <c:catAx>
        <c:axId val="16413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37984"/>
        <c:crosses val="autoZero"/>
        <c:auto val="1"/>
        <c:lblAlgn val="ctr"/>
        <c:lblOffset val="100"/>
      </c:catAx>
      <c:valAx>
        <c:axId val="164137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360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167040"/>
        <c:axId val="164566144"/>
      </c:lineChart>
      <c:catAx>
        <c:axId val="1641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6144"/>
        <c:crosses val="autoZero"/>
        <c:auto val="1"/>
        <c:lblAlgn val="ctr"/>
        <c:lblOffset val="200"/>
        <c:tickLblSkip val="1"/>
      </c:catAx>
      <c:valAx>
        <c:axId val="164566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615296"/>
        <c:axId val="164616832"/>
      </c:lineChart>
      <c:catAx>
        <c:axId val="16461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6832"/>
        <c:crosses val="autoZero"/>
        <c:auto val="1"/>
        <c:lblAlgn val="ctr"/>
        <c:lblOffset val="100"/>
      </c:catAx>
      <c:valAx>
        <c:axId val="1646168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55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-306671.59600000002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5157504"/>
        <c:axId val="165183872"/>
      </c:lineChart>
      <c:catAx>
        <c:axId val="16515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83872"/>
        <c:crosses val="autoZero"/>
        <c:auto val="1"/>
        <c:lblAlgn val="ctr"/>
        <c:lblOffset val="100"/>
      </c:catAx>
      <c:valAx>
        <c:axId val="165183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5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687680"/>
        <c:axId val="165689600"/>
      </c:lineChart>
      <c:catAx>
        <c:axId val="165687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9600"/>
        <c:crosses val="autoZero"/>
        <c:auto val="1"/>
        <c:lblAlgn val="ctr"/>
        <c:lblOffset val="100"/>
      </c:catAx>
      <c:valAx>
        <c:axId val="165689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87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730944"/>
        <c:axId val="166011648"/>
      </c:lineChart>
      <c:catAx>
        <c:axId val="165730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11648"/>
        <c:crosses val="autoZero"/>
        <c:auto val="1"/>
        <c:lblAlgn val="ctr"/>
        <c:lblOffset val="100"/>
      </c:catAx>
      <c:valAx>
        <c:axId val="166011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0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028416"/>
        <c:axId val="166029952"/>
      </c:lineChart>
      <c:catAx>
        <c:axId val="1660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29952"/>
        <c:crosses val="autoZero"/>
        <c:auto val="1"/>
        <c:lblAlgn val="ctr"/>
        <c:lblOffset val="200"/>
        <c:tickLblSkip val="1"/>
      </c:catAx>
      <c:valAx>
        <c:axId val="166029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046336"/>
        <c:axId val="166052224"/>
      </c:lineChart>
      <c:catAx>
        <c:axId val="16604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52224"/>
        <c:crosses val="autoZero"/>
        <c:auto val="1"/>
        <c:lblAlgn val="ctr"/>
        <c:lblOffset val="100"/>
      </c:catAx>
      <c:valAx>
        <c:axId val="16605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80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371712"/>
        <c:axId val="166373248"/>
      </c:lineChart>
      <c:catAx>
        <c:axId val="16637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3248"/>
        <c:crosses val="autoZero"/>
        <c:auto val="1"/>
        <c:lblAlgn val="ctr"/>
        <c:lblOffset val="100"/>
      </c:catAx>
      <c:valAx>
        <c:axId val="16637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528896"/>
        <c:axId val="166547456"/>
      </c:lineChart>
      <c:catAx>
        <c:axId val="166528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7456"/>
        <c:crosses val="autoZero"/>
        <c:auto val="1"/>
        <c:lblAlgn val="ctr"/>
        <c:lblOffset val="100"/>
      </c:catAx>
      <c:valAx>
        <c:axId val="166547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288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723968"/>
        <c:axId val="166725888"/>
      </c:lineChart>
      <c:catAx>
        <c:axId val="166723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5888"/>
        <c:crosses val="autoZero"/>
        <c:auto val="1"/>
        <c:lblAlgn val="ctr"/>
        <c:lblOffset val="100"/>
      </c:catAx>
      <c:valAx>
        <c:axId val="166725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39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754944"/>
        <c:axId val="166781312"/>
      </c:lineChart>
      <c:catAx>
        <c:axId val="16675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81312"/>
        <c:crosses val="autoZero"/>
        <c:auto val="1"/>
        <c:lblAlgn val="ctr"/>
        <c:lblOffset val="200"/>
        <c:tickLblSkip val="1"/>
      </c:catAx>
      <c:valAx>
        <c:axId val="166781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5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072128"/>
        <c:axId val="167073664"/>
      </c:lineChart>
      <c:catAx>
        <c:axId val="16707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73664"/>
        <c:crosses val="autoZero"/>
        <c:auto val="1"/>
        <c:lblAlgn val="ctr"/>
        <c:lblOffset val="100"/>
      </c:catAx>
      <c:valAx>
        <c:axId val="16707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7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80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7094144"/>
        <c:axId val="167095680"/>
      </c:lineChart>
      <c:catAx>
        <c:axId val="16709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5680"/>
        <c:crosses val="autoZero"/>
        <c:auto val="1"/>
        <c:lblAlgn val="ctr"/>
        <c:lblOffset val="100"/>
      </c:catAx>
      <c:valAx>
        <c:axId val="16709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9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0</v>
      </c>
      <c r="F4" s="556" t="e">
        <f>('UTILITY REPORT 1'!E5*'UTILITY REPORT 1'!D5)/'UTILITY REPORT 1'!F5</f>
        <v>#DIV/0!</v>
      </c>
      <c r="G4" s="556" t="str">
        <f>IF('Utility summery'!M8&lt;0,"0",'Utility summery'!M8)</f>
        <v>0</v>
      </c>
      <c r="H4" s="567">
        <v>0</v>
      </c>
      <c r="I4" s="556" t="str">
        <f>IF('UTILITY REPORT 1'!G5&lt;0,"0",'UTILITY REPORT 1'!G5)</f>
        <v>0</v>
      </c>
      <c r="J4" s="567">
        <v>0</v>
      </c>
      <c r="K4" s="555">
        <f>'UTILITY REPORT 1'!C5</f>
        <v>0</v>
      </c>
      <c r="L4" s="557" t="e">
        <f>E4*F4+G4*H4+#REF!*#REF!+I4*J4</f>
        <v>#DIV/0!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0</v>
      </c>
      <c r="F5" s="556" t="e">
        <f>('UTILITY REPORT 1'!E6*'UTILITY REPORT 1'!D6)/'UTILITY REPORT 1'!F6</f>
        <v>#DIV/0!</v>
      </c>
      <c r="G5" s="556" t="str">
        <f>IF('Utility summery'!M9&lt;0,"0",'Utility summery'!M9)</f>
        <v>0</v>
      </c>
      <c r="H5" s="567">
        <v>0</v>
      </c>
      <c r="I5" s="556">
        <f>IF('UTILITY REPORT 1'!G6&lt;0,"0",'UTILITY REPORT 1'!G6)</f>
        <v>0</v>
      </c>
      <c r="J5" s="567">
        <v>0</v>
      </c>
      <c r="K5" s="555">
        <f>'UTILITY REPORT 1'!C6</f>
        <v>0</v>
      </c>
      <c r="L5" s="557" t="e">
        <f>E5*F5+G5*H5+#REF!*#REF!+I5*J5</f>
        <v>#DIV/0!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0</v>
      </c>
      <c r="F6" s="556" t="e">
        <f>('UTILITY REPORT 1'!E7*'UTILITY REPORT 1'!D7)/'UTILITY REPORT 1'!F7</f>
        <v>#DIV/0!</v>
      </c>
      <c r="G6" s="556">
        <f>IF('Utility summery'!M10&lt;0,"0",'Utility summery'!M10)</f>
        <v>0</v>
      </c>
      <c r="H6" s="567">
        <v>0</v>
      </c>
      <c r="I6" s="556">
        <f>IF('UTILITY REPORT 1'!G7&lt;0,"0",'UTILITY REPORT 1'!G7)</f>
        <v>0</v>
      </c>
      <c r="J6" s="567">
        <v>0</v>
      </c>
      <c r="K6" s="555">
        <f>'UTILITY REPORT 1'!C7</f>
        <v>0</v>
      </c>
      <c r="L6" s="557" t="e">
        <f>E6*F6+G6*H6+#REF!*#REF!+I6*J6</f>
        <v>#DIV/0!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0</v>
      </c>
      <c r="F7" s="556" t="e">
        <f>('UTILITY REPORT 1'!E8*'UTILITY REPORT 1'!D8)/'UTILITY REPORT 1'!F8</f>
        <v>#DIV/0!</v>
      </c>
      <c r="G7" s="556">
        <f>IF('Utility summery'!M11&lt;0,"0",'Utility summery'!M11)</f>
        <v>0</v>
      </c>
      <c r="H7" s="567">
        <v>0</v>
      </c>
      <c r="I7" s="556">
        <f>IF('UTILITY REPORT 1'!G8&lt;0,"0",'UTILITY REPORT 1'!G8)</f>
        <v>0</v>
      </c>
      <c r="J7" s="567">
        <v>0</v>
      </c>
      <c r="K7" s="555">
        <f>'UTILITY REPORT 1'!C8</f>
        <v>0</v>
      </c>
      <c r="L7" s="557" t="e">
        <f>E7*F7+G7*H7+#REF!*#REF!+I7*J7</f>
        <v>#DIV/0!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0</v>
      </c>
      <c r="F8" s="556" t="e">
        <f>('UTILITY REPORT 1'!E9*'UTILITY REPORT 1'!D9)/'UTILITY REPORT 1'!F9</f>
        <v>#DIV/0!</v>
      </c>
      <c r="G8" s="556">
        <f>IF('Utility summery'!M12&lt;0,"0",'Utility summery'!M12)</f>
        <v>0</v>
      </c>
      <c r="H8" s="567">
        <v>0</v>
      </c>
      <c r="I8" s="556">
        <f>IF('UTILITY REPORT 1'!G9&lt;0,"0",'UTILITY REPORT 1'!G9)</f>
        <v>0</v>
      </c>
      <c r="J8" s="567">
        <v>0</v>
      </c>
      <c r="K8" s="555">
        <f>'UTILITY REPORT 1'!C9</f>
        <v>0</v>
      </c>
      <c r="L8" s="557" t="e">
        <f>E8*F8+G8*H8+#REF!*#REF!+I8*J8</f>
        <v>#DIV/0!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0</v>
      </c>
      <c r="F9" s="556" t="e">
        <f>('UTILITY REPORT 1'!E10*'UTILITY REPORT 1'!D10)/'UTILITY REPORT 1'!F10</f>
        <v>#DIV/0!</v>
      </c>
      <c r="G9" s="556">
        <f>IF('Utility summery'!M13&lt;0,"0",'Utility summery'!M13)</f>
        <v>0</v>
      </c>
      <c r="H9" s="567">
        <v>0</v>
      </c>
      <c r="I9" s="556">
        <f>IF('UTILITY REPORT 1'!G10&lt;0,"0",'UTILITY REPORT 1'!G10)</f>
        <v>0</v>
      </c>
      <c r="J9" s="567">
        <v>0</v>
      </c>
      <c r="K9" s="555">
        <f>'UTILITY REPORT 1'!C10</f>
        <v>0</v>
      </c>
      <c r="L9" s="557" t="e">
        <f>E9*F9+G9*H9+#REF!*#REF!+I9*J9</f>
        <v>#DIV/0!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0</v>
      </c>
      <c r="F10" s="556" t="e">
        <f>('UTILITY REPORT 1'!E11*'UTILITY REPORT 1'!D11)/'UTILITY REPORT 1'!F11</f>
        <v>#DIV/0!</v>
      </c>
      <c r="G10" s="556">
        <f>IF('Utility summery'!M14&lt;0,"0",'Utility summery'!M14)</f>
        <v>0</v>
      </c>
      <c r="H10" s="567">
        <v>0</v>
      </c>
      <c r="I10" s="556">
        <f>IF('UTILITY REPORT 1'!G11&lt;0,"0",'UTILITY REPORT 1'!G11)</f>
        <v>0</v>
      </c>
      <c r="J10" s="567">
        <v>0</v>
      </c>
      <c r="K10" s="555">
        <f>'UTILITY REPORT 1'!C11</f>
        <v>0</v>
      </c>
      <c r="L10" s="557" t="e">
        <f>E10*F10+G10*H10+#REF!*#REF!+I10*J10</f>
        <v>#DIV/0!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0</v>
      </c>
      <c r="F11" s="556" t="e">
        <f>('UTILITY REPORT 1'!E12*'UTILITY REPORT 1'!D12)/'UTILITY REPORT 1'!F12</f>
        <v>#DIV/0!</v>
      </c>
      <c r="G11" s="556">
        <f>IF('Utility summery'!M15&lt;0,"0",'Utility summery'!M15)</f>
        <v>0</v>
      </c>
      <c r="H11" s="567">
        <v>0</v>
      </c>
      <c r="I11" s="556">
        <f>IF('UTILITY REPORT 1'!G12&lt;0,"0",'UTILITY REPORT 1'!G12)</f>
        <v>0</v>
      </c>
      <c r="J11" s="567">
        <v>0</v>
      </c>
      <c r="K11" s="555">
        <f>'UTILITY REPORT 1'!C12</f>
        <v>0</v>
      </c>
      <c r="L11" s="557" t="e">
        <f>E11*F11+G11*H11+#REF!*#REF!+I11*J11</f>
        <v>#DIV/0!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0</v>
      </c>
      <c r="F12" s="556" t="e">
        <f>('UTILITY REPORT 1'!E13*'UTILITY REPORT 1'!D13)/'UTILITY REPORT 1'!F13</f>
        <v>#DIV/0!</v>
      </c>
      <c r="G12" s="556">
        <f>IF('Utility summery'!M16&lt;0,"0",'Utility summery'!M16)</f>
        <v>0</v>
      </c>
      <c r="H12" s="567">
        <v>0</v>
      </c>
      <c r="I12" s="556">
        <f>IF('UTILITY REPORT 1'!G13&lt;0,"0",'UTILITY REPORT 1'!G13)</f>
        <v>0</v>
      </c>
      <c r="J12" s="567">
        <v>0</v>
      </c>
      <c r="K12" s="555">
        <f>'UTILITY REPORT 1'!C13</f>
        <v>0</v>
      </c>
      <c r="L12" s="557" t="e">
        <f>E12*F12+G12*H12+#REF!*#REF!+I12*J12</f>
        <v>#DIV/0!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0</v>
      </c>
      <c r="F13" s="556" t="e">
        <f>('UTILITY REPORT 1'!E14*'UTILITY REPORT 1'!D14)/'UTILITY REPORT 1'!F14</f>
        <v>#DIV/0!</v>
      </c>
      <c r="G13" s="556">
        <f>IF('Utility summery'!M17&lt;0,"0",'Utility summery'!M17)</f>
        <v>0</v>
      </c>
      <c r="H13" s="567">
        <v>0</v>
      </c>
      <c r="I13" s="556">
        <f>IF('UTILITY REPORT 1'!G14&lt;0,"0",'UTILITY REPORT 1'!G14)</f>
        <v>0</v>
      </c>
      <c r="J13" s="567">
        <v>0</v>
      </c>
      <c r="K13" s="555">
        <f>'UTILITY REPORT 1'!C14</f>
        <v>0</v>
      </c>
      <c r="L13" s="557" t="e">
        <f>E13*F13+G13*H13+#REF!*#REF!+I13*J13</f>
        <v>#DIV/0!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0</v>
      </c>
      <c r="F14" s="556" t="e">
        <f>('UTILITY REPORT 1'!E15*'UTILITY REPORT 1'!D15)/'UTILITY REPORT 1'!F15</f>
        <v>#DIV/0!</v>
      </c>
      <c r="G14" s="556">
        <f>IF('Utility summery'!M18&lt;0,"0",'Utility summery'!M18)</f>
        <v>0</v>
      </c>
      <c r="H14" s="567">
        <v>0</v>
      </c>
      <c r="I14" s="556">
        <f>IF('UTILITY REPORT 1'!G15&lt;0,"0",'UTILITY REPORT 1'!G15)</f>
        <v>0</v>
      </c>
      <c r="J14" s="567">
        <v>0</v>
      </c>
      <c r="K14" s="555">
        <f>'UTILITY REPORT 1'!C15</f>
        <v>0</v>
      </c>
      <c r="L14" s="557" t="e">
        <f>E14*F14+G14*H14+#REF!*#REF!+I14*J14</f>
        <v>#DIV/0!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0</v>
      </c>
      <c r="F15" s="556" t="e">
        <f>('UTILITY REPORT 1'!E16*'UTILITY REPORT 1'!D16)/'UTILITY REPORT 1'!F16</f>
        <v>#DIV/0!</v>
      </c>
      <c r="G15" s="556">
        <f>IF('Utility summery'!M19&lt;0,"0",'Utility summery'!M19)</f>
        <v>0</v>
      </c>
      <c r="H15" s="567">
        <v>0</v>
      </c>
      <c r="I15" s="556">
        <f>IF('UTILITY REPORT 1'!G16&lt;0,"0",'UTILITY REPORT 1'!G16)</f>
        <v>0</v>
      </c>
      <c r="J15" s="567">
        <v>0</v>
      </c>
      <c r="K15" s="555">
        <f>'UTILITY REPORT 1'!C16</f>
        <v>0</v>
      </c>
      <c r="L15" s="557" t="e">
        <f>E15*F15+G15*H15+#REF!*#REF!+I15*J15</f>
        <v>#DIV/0!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0</v>
      </c>
      <c r="F16" s="556" t="e">
        <f>('UTILITY REPORT 1'!E17*'UTILITY REPORT 1'!D17)/'UTILITY REPORT 1'!F17</f>
        <v>#DIV/0!</v>
      </c>
      <c r="G16" s="556">
        <f>IF('Utility summery'!M20&lt;0,"0",'Utility summery'!M20)</f>
        <v>0</v>
      </c>
      <c r="H16" s="567">
        <v>0</v>
      </c>
      <c r="I16" s="556">
        <f>IF('UTILITY REPORT 1'!G17&lt;0,"0",'UTILITY REPORT 1'!G17)</f>
        <v>0</v>
      </c>
      <c r="J16" s="567">
        <v>0</v>
      </c>
      <c r="K16" s="555">
        <f>'UTILITY REPORT 1'!C17</f>
        <v>0</v>
      </c>
      <c r="L16" s="557" t="e">
        <f>E16*F16+G16*H16+#REF!*#REF!+I16*J16</f>
        <v>#DIV/0!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0</v>
      </c>
      <c r="F17" s="556" t="e">
        <f>('UTILITY REPORT 1'!E18*'UTILITY REPORT 1'!D18)/'UTILITY REPORT 1'!F18</f>
        <v>#DIV/0!</v>
      </c>
      <c r="G17" s="556">
        <f>IF('Utility summery'!M21&lt;0,"0",'Utility summery'!M21)</f>
        <v>0</v>
      </c>
      <c r="H17" s="567">
        <v>0</v>
      </c>
      <c r="I17" s="556">
        <f>IF('UTILITY REPORT 1'!G18&lt;0,"0",'UTILITY REPORT 1'!G18)</f>
        <v>0</v>
      </c>
      <c r="J17" s="567">
        <v>0</v>
      </c>
      <c r="K17" s="555">
        <f>'UTILITY REPORT 1'!C18</f>
        <v>0</v>
      </c>
      <c r="L17" s="557" t="e">
        <f>E17*F17+G17*H17+#REF!*#REF!+I17*J17</f>
        <v>#DIV/0!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0</v>
      </c>
      <c r="F18" s="556" t="e">
        <f>('UTILITY REPORT 1'!E19*'UTILITY REPORT 1'!D19)/'UTILITY REPORT 1'!F19</f>
        <v>#DIV/0!</v>
      </c>
      <c r="G18" s="556">
        <f>IF('Utility summery'!M22&lt;0,"0",'Utility summery'!M22)</f>
        <v>0</v>
      </c>
      <c r="H18" s="567">
        <v>0</v>
      </c>
      <c r="I18" s="556">
        <f>IF('UTILITY REPORT 1'!G19&lt;0,"0",'UTILITY REPORT 1'!G19)</f>
        <v>0</v>
      </c>
      <c r="J18" s="567">
        <v>0</v>
      </c>
      <c r="K18" s="555">
        <f>'UTILITY REPORT 1'!C19</f>
        <v>0</v>
      </c>
      <c r="L18" s="557" t="e">
        <f>E18*F18+G18*H18+#REF!*#REF!+I18*J18</f>
        <v>#DIV/0!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0</v>
      </c>
      <c r="F19" s="556" t="e">
        <f>('UTILITY REPORT 1'!E20*'UTILITY REPORT 1'!D20)/'UTILITY REPORT 1'!F20</f>
        <v>#DIV/0!</v>
      </c>
      <c r="G19" s="556">
        <f>IF('Utility summery'!M23&lt;0,"0",'Utility summery'!M23)</f>
        <v>0</v>
      </c>
      <c r="H19" s="567">
        <v>0</v>
      </c>
      <c r="I19" s="556">
        <f>IF('UTILITY REPORT 1'!G20&lt;0,"0",'UTILITY REPORT 1'!G20)</f>
        <v>0</v>
      </c>
      <c r="J19" s="567">
        <v>0</v>
      </c>
      <c r="K19" s="555">
        <f>'UTILITY REPORT 1'!C20</f>
        <v>0</v>
      </c>
      <c r="L19" s="557" t="e">
        <f>E19*F19+G19*H19+#REF!*#REF!+I19*J19</f>
        <v>#DIV/0!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0</v>
      </c>
      <c r="F20" s="556" t="e">
        <f>('UTILITY REPORT 1'!E21*'UTILITY REPORT 1'!D21)/'UTILITY REPORT 1'!F21</f>
        <v>#DIV/0!</v>
      </c>
      <c r="G20" s="556">
        <f>IF('Utility summery'!M24&lt;0,"0",'Utility summery'!M24)</f>
        <v>0</v>
      </c>
      <c r="H20" s="567">
        <v>0</v>
      </c>
      <c r="I20" s="556">
        <f>IF('UTILITY REPORT 1'!G21&lt;0,"0",'UTILITY REPORT 1'!G21)</f>
        <v>0</v>
      </c>
      <c r="J20" s="567">
        <v>0</v>
      </c>
      <c r="K20" s="555">
        <f>'UTILITY REPORT 1'!C21</f>
        <v>0</v>
      </c>
      <c r="L20" s="557" t="e">
        <f>E20*F20+G20*H20+#REF!*#REF!+I20*J20</f>
        <v>#DIV/0!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0</v>
      </c>
      <c r="F21" s="556" t="e">
        <f>('UTILITY REPORT 1'!E22*'UTILITY REPORT 1'!D22)/'UTILITY REPORT 1'!F22</f>
        <v>#DIV/0!</v>
      </c>
      <c r="G21" s="556">
        <f>IF('Utility summery'!M25&lt;0,"0",'Utility summery'!M25)</f>
        <v>0</v>
      </c>
      <c r="H21" s="567">
        <v>0</v>
      </c>
      <c r="I21" s="556">
        <f>IF('UTILITY REPORT 1'!G22&lt;0,"0",'UTILITY REPORT 1'!G22)</f>
        <v>0</v>
      </c>
      <c r="J21" s="567">
        <v>0</v>
      </c>
      <c r="K21" s="555">
        <f>'UTILITY REPORT 1'!C22</f>
        <v>0</v>
      </c>
      <c r="L21" s="557" t="e">
        <f>E21*F21+G21*H21+#REF!*#REF!+I21*J21</f>
        <v>#DIV/0!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0</v>
      </c>
      <c r="F22" s="556" t="e">
        <f>('UTILITY REPORT 1'!E23*'UTILITY REPORT 1'!D23)/'UTILITY REPORT 1'!F23</f>
        <v>#DIV/0!</v>
      </c>
      <c r="G22" s="556">
        <f>IF('Utility summery'!M26&lt;0,"0",'Utility summery'!M26)</f>
        <v>0</v>
      </c>
      <c r="H22" s="567">
        <v>0</v>
      </c>
      <c r="I22" s="556">
        <f>IF('UTILITY REPORT 1'!G23&lt;0,"0",'UTILITY REPORT 1'!G23)</f>
        <v>0</v>
      </c>
      <c r="J22" s="567">
        <v>0</v>
      </c>
      <c r="K22" s="555">
        <f>'UTILITY REPORT 1'!C23</f>
        <v>0</v>
      </c>
      <c r="L22" s="557" t="e">
        <f>E22*F22+G22*H22+#REF!*#REF!+I22*J22</f>
        <v>#DIV/0!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0</v>
      </c>
      <c r="H23" s="567">
        <v>0</v>
      </c>
      <c r="I23" s="556">
        <f>IF('UTILITY REPORT 1'!G24&lt;0,"0",'UTILITY REPORT 1'!G24)</f>
        <v>0</v>
      </c>
      <c r="J23" s="567">
        <v>0</v>
      </c>
      <c r="K23" s="555">
        <f>'UTILITY REPORT 1'!C24</f>
        <v>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195178</v>
      </c>
      <c r="K2" s="634">
        <f>IF('UTILITY REPORT 1'!H3&lt;0,"0",'UTILITY REPORT 1'!H3)</f>
        <v>23950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0</v>
      </c>
      <c r="F4" s="620">
        <f>'UTILITY REPORT 1'!E5</f>
        <v>0</v>
      </c>
      <c r="G4" s="621">
        <f>'UTILITY REPORT 1'!F5</f>
        <v>0</v>
      </c>
      <c r="H4" s="620" t="str">
        <f>IF('Kit report'!F6&lt;0,"0",'Kit report'!F6)</f>
        <v>0</v>
      </c>
      <c r="I4" s="620" t="str">
        <f>IF('Kit report'!X6&lt;0,"0",'Kit report'!X6)</f>
        <v>0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 t="str">
        <f>'Water-Meter'!K8</f>
        <v>0</v>
      </c>
      <c r="M4" s="621" t="str">
        <f>'Water-Meter'!H8</f>
        <v>0</v>
      </c>
      <c r="N4" s="621" t="str">
        <f>'Water-Meter'!Q8</f>
        <v>0</v>
      </c>
      <c r="O4" s="620" t="e">
        <f>K4*E4+H4*I4+#REF!*#REF!+J4*L4</f>
        <v>#REF!</v>
      </c>
      <c r="P4" s="633" t="str">
        <f>'Water-Meter'!E8</f>
        <v>0</v>
      </c>
      <c r="Q4" s="325" t="str">
        <f>IF('Water-Meter'!U8&lt;0,"0",'Water-Meter'!U8)</f>
        <v>0</v>
      </c>
      <c r="R4" s="325" t="str">
        <f>IF('Water-Meter'!X8&lt;0,"0",'Water-Meter'!X8)</f>
        <v>0</v>
      </c>
      <c r="S4" s="325" t="str">
        <f>IF('Water-Meter'!AA8&lt;0,"0",'Water-Meter'!AA8)</f>
        <v>0</v>
      </c>
      <c r="T4" s="325" t="str">
        <f>IF('Water-Meter'!AD8&lt;0,"0",'Water-Meter'!AD8)</f>
        <v>0</v>
      </c>
      <c r="U4" s="325" t="str">
        <f>IF('Water-Meter'!AG8&lt;0,"0",'Water-Meter'!AG8)</f>
        <v>0</v>
      </c>
      <c r="V4" s="325" t="str">
        <f>IF('Water-Meter'!AJ8&lt;0,"0",'Water-Meter'!AJ8)</f>
        <v>0</v>
      </c>
      <c r="W4" s="31">
        <f>'Water-Meter'!AN8</f>
        <v>0</v>
      </c>
      <c r="X4" s="645">
        <f>Total!K4</f>
        <v>0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0</v>
      </c>
      <c r="F5" s="620">
        <f>'UTILITY REPORT 1'!E6</f>
        <v>0</v>
      </c>
      <c r="G5" s="621">
        <f>'UTILITY REPORT 1'!F6</f>
        <v>0</v>
      </c>
      <c r="H5" s="620">
        <f>IF('Kit report'!F7&lt;0,"0",'Kit report'!F7)</f>
        <v>0</v>
      </c>
      <c r="I5" s="620">
        <f>IF('Kit report'!X7&lt;0,"0",'Kit report'!X7)</f>
        <v>0</v>
      </c>
      <c r="J5" s="620" t="str">
        <f>IF('Utility summery'!H9&lt;0,"0",'Utility summery'!H9)</f>
        <v>0</v>
      </c>
      <c r="K5" s="621" t="str">
        <f>IF('UTILITY REPORT 1'!H6&lt;0,"0",'UTILITY REPORT 1'!H6)</f>
        <v>0</v>
      </c>
      <c r="L5" s="620">
        <f>'Water-Meter'!K9</f>
        <v>0</v>
      </c>
      <c r="M5" s="621">
        <f>'Water-Meter'!H9</f>
        <v>0</v>
      </c>
      <c r="N5" s="621">
        <f>'Water-Meter'!Q9</f>
        <v>0</v>
      </c>
      <c r="O5" s="620" t="e">
        <f>K5*E5+H5*I5+#REF!*#REF!+J5*L5</f>
        <v>#REF!</v>
      </c>
      <c r="P5" s="633">
        <f>'Water-Meter'!E9</f>
        <v>0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0</v>
      </c>
      <c r="T5" s="325">
        <f>IF('Water-Meter'!AD9&lt;0,"0",'Water-Meter'!AD9)</f>
        <v>0</v>
      </c>
      <c r="U5" s="325">
        <f>IF('Water-Meter'!AG9&lt;0,"0",'Water-Meter'!AG9)</f>
        <v>0</v>
      </c>
      <c r="V5" s="325">
        <f>IF('Water-Meter'!AJ9&lt;0,"0",'Water-Meter'!AJ9)</f>
        <v>0</v>
      </c>
      <c r="W5" s="31">
        <f>'Water-Meter'!AN9</f>
        <v>0</v>
      </c>
      <c r="X5" s="645">
        <f>Total!K5</f>
        <v>0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0</v>
      </c>
      <c r="F6" s="620">
        <f>'UTILITY REPORT 1'!E7</f>
        <v>0</v>
      </c>
      <c r="G6" s="621">
        <f>'UTILITY REPORT 1'!F7</f>
        <v>0</v>
      </c>
      <c r="H6" s="620">
        <f>IF('Kit report'!F8&lt;0,"0",'Kit report'!F8)</f>
        <v>0</v>
      </c>
      <c r="I6" s="620">
        <f>IF('Kit report'!X8&lt;0,"0",'Kit report'!X8)</f>
        <v>0</v>
      </c>
      <c r="J6" s="620">
        <f>IF('Utility summery'!H10&lt;0,"0",'Utility summery'!H10)</f>
        <v>0</v>
      </c>
      <c r="K6" s="621">
        <f>IF('UTILITY REPORT 1'!H7&lt;0,"0",'UTILITY REPORT 1'!H7)</f>
        <v>0</v>
      </c>
      <c r="L6" s="620">
        <f>'Water-Meter'!K10</f>
        <v>0</v>
      </c>
      <c r="M6" s="621">
        <f>'Water-Meter'!H10</f>
        <v>0</v>
      </c>
      <c r="N6" s="621">
        <f>'Water-Meter'!Q10</f>
        <v>0</v>
      </c>
      <c r="O6" s="620" t="e">
        <f>K6*E6+H6*I6+#REF!*#REF!+J6*L6</f>
        <v>#REF!</v>
      </c>
      <c r="P6" s="633">
        <f>'Water-Meter'!E10</f>
        <v>0</v>
      </c>
      <c r="Q6" s="325">
        <f>IF('Water-Meter'!U10&lt;0,"0",'Water-Meter'!U10)</f>
        <v>0</v>
      </c>
      <c r="R6" s="325">
        <f>IF('Water-Meter'!X10&lt;0,"0",'Water-Meter'!X10)</f>
        <v>0</v>
      </c>
      <c r="S6" s="325">
        <f>IF('Water-Meter'!AA10&lt;0,"0",'Water-Meter'!AA10)</f>
        <v>0</v>
      </c>
      <c r="T6" s="325">
        <f>IF('Water-Meter'!AD10&lt;0,"0",'Water-Meter'!AD10)</f>
        <v>0</v>
      </c>
      <c r="U6" s="325">
        <f>IF('Water-Meter'!AG10&lt;0,"0",'Water-Meter'!AG10)</f>
        <v>0</v>
      </c>
      <c r="V6" s="325">
        <f>IF('Water-Meter'!AJ10&lt;0,"0",'Water-Meter'!AJ10)</f>
        <v>0</v>
      </c>
      <c r="W6" s="31">
        <f>'Water-Meter'!AN10</f>
        <v>0</v>
      </c>
      <c r="X6" s="645">
        <f>Total!K6</f>
        <v>0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0</v>
      </c>
      <c r="F7" s="620">
        <f>'UTILITY REPORT 1'!E8</f>
        <v>0</v>
      </c>
      <c r="G7" s="621">
        <f>'UTILITY REPORT 1'!F8</f>
        <v>0</v>
      </c>
      <c r="H7" s="620">
        <f>IF('Kit report'!F9&lt;0,"0",'Kit report'!F9)</f>
        <v>0</v>
      </c>
      <c r="I7" s="620">
        <f>IF('Kit report'!X9&lt;0,"0",'Kit report'!X9)</f>
        <v>0</v>
      </c>
      <c r="J7" s="620">
        <f>IF('Utility summery'!H11&lt;0,"0",'Utility summery'!H11)</f>
        <v>0</v>
      </c>
      <c r="K7" s="621">
        <f>IF('UTILITY REPORT 1'!H8&lt;0,"0",'UTILITY REPORT 1'!H8)</f>
        <v>0</v>
      </c>
      <c r="L7" s="620">
        <f>'Water-Meter'!K11</f>
        <v>0</v>
      </c>
      <c r="M7" s="621">
        <f>'Water-Meter'!H11</f>
        <v>0</v>
      </c>
      <c r="N7" s="621">
        <f>'Water-Meter'!Q11</f>
        <v>0</v>
      </c>
      <c r="O7" s="620" t="e">
        <f>K7*E7+H7*I7+#REF!*#REF!+J7*L7</f>
        <v>#REF!</v>
      </c>
      <c r="P7" s="633">
        <f>'Water-Meter'!E11</f>
        <v>0</v>
      </c>
      <c r="Q7" s="325">
        <f>IF('Water-Meter'!U11&lt;0,"0",'Water-Meter'!U11)</f>
        <v>0</v>
      </c>
      <c r="R7" s="325">
        <f>IF('Water-Meter'!X11&lt;0,"0",'Water-Meter'!X11)</f>
        <v>0</v>
      </c>
      <c r="S7" s="325">
        <f>IF('Water-Meter'!AA11&lt;0,"0",'Water-Meter'!AA11)</f>
        <v>0</v>
      </c>
      <c r="T7" s="325">
        <f>IF('Water-Meter'!AD11&lt;0,"0",'Water-Meter'!AD11)</f>
        <v>0</v>
      </c>
      <c r="U7" s="325">
        <f>IF('Water-Meter'!AG11&lt;0,"0",'Water-Meter'!AG11)</f>
        <v>0</v>
      </c>
      <c r="V7" s="325">
        <f>IF('Water-Meter'!AJ11&lt;0,"0",'Water-Meter'!AJ11)</f>
        <v>0</v>
      </c>
      <c r="W7" s="31">
        <f>'Water-Meter'!AN11</f>
        <v>0</v>
      </c>
      <c r="X7" s="645">
        <f>Total!K7</f>
        <v>0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0</v>
      </c>
      <c r="F8" s="620">
        <f>'UTILITY REPORT 1'!E9</f>
        <v>0</v>
      </c>
      <c r="G8" s="621">
        <f>'UTILITY REPORT 1'!F9</f>
        <v>0</v>
      </c>
      <c r="H8" s="620">
        <f>IF('Kit report'!F10&lt;0,"0",'Kit report'!F10)</f>
        <v>0</v>
      </c>
      <c r="I8" s="620">
        <f>IF('Kit report'!X10&lt;0,"0",'Kit report'!X10)</f>
        <v>0</v>
      </c>
      <c r="J8" s="620">
        <f>IF('Utility summery'!H12&lt;0,"0",'Utility summery'!H12)</f>
        <v>0</v>
      </c>
      <c r="K8" s="621">
        <f>IF('UTILITY REPORT 1'!H9&lt;0,"0",'UTILITY REPORT 1'!H9)</f>
        <v>0</v>
      </c>
      <c r="L8" s="620">
        <f>'Water-Meter'!K12</f>
        <v>0</v>
      </c>
      <c r="M8" s="621">
        <f>'Water-Meter'!H12</f>
        <v>0</v>
      </c>
      <c r="N8" s="621">
        <f>'Water-Meter'!Q12</f>
        <v>0</v>
      </c>
      <c r="O8" s="620" t="e">
        <f>K8*E8+H8*I8+#REF!*#REF!+J8*L8</f>
        <v>#REF!</v>
      </c>
      <c r="P8" s="633">
        <f>'Water-Meter'!E12</f>
        <v>0</v>
      </c>
      <c r="Q8" s="325">
        <f>IF('Water-Meter'!U12&lt;0,"0",'Water-Meter'!U12)</f>
        <v>0</v>
      </c>
      <c r="R8" s="325">
        <f>IF('Water-Meter'!X12&lt;0,"0",'Water-Meter'!X12)</f>
        <v>0</v>
      </c>
      <c r="S8" s="325">
        <f>IF('Water-Meter'!AA12&lt;0,"0",'Water-Meter'!AA12)</f>
        <v>0</v>
      </c>
      <c r="T8" s="325">
        <f>IF('Water-Meter'!AD12&lt;0,"0",'Water-Meter'!AD12)</f>
        <v>0</v>
      </c>
      <c r="U8" s="325">
        <f>IF('Water-Meter'!AG12&lt;0,"0",'Water-Meter'!AG12)</f>
        <v>0</v>
      </c>
      <c r="V8" s="325">
        <f>IF('Water-Meter'!AJ12&lt;0,"0",'Water-Meter'!AJ12)</f>
        <v>0</v>
      </c>
      <c r="W8" s="31">
        <f>'Water-Meter'!AN12</f>
        <v>0</v>
      </c>
      <c r="X8" s="645">
        <f>Total!K8</f>
        <v>0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0</v>
      </c>
      <c r="F9" s="620">
        <f>'UTILITY REPORT 1'!E10</f>
        <v>0</v>
      </c>
      <c r="G9" s="621">
        <f>'UTILITY REPORT 1'!F10</f>
        <v>0</v>
      </c>
      <c r="H9" s="620">
        <f>IF('Kit report'!F11&lt;0,"0",'Kit report'!F11)</f>
        <v>0</v>
      </c>
      <c r="I9" s="620">
        <f>IF('Kit report'!X11&lt;0,"0",'Kit report'!X11)</f>
        <v>0</v>
      </c>
      <c r="J9" s="620">
        <f>IF('Utility summery'!H13&lt;0,"0",'Utility summery'!H13)</f>
        <v>0</v>
      </c>
      <c r="K9" s="621">
        <f>IF('UTILITY REPORT 1'!H10&lt;0,"0",'UTILITY REPORT 1'!H10)</f>
        <v>0</v>
      </c>
      <c r="L9" s="620">
        <f>'Water-Meter'!K13</f>
        <v>0</v>
      </c>
      <c r="M9" s="621">
        <f>'Water-Meter'!H13</f>
        <v>0</v>
      </c>
      <c r="N9" s="621">
        <f>'Water-Meter'!Q13</f>
        <v>0</v>
      </c>
      <c r="O9" s="620" t="e">
        <f>K9*E9+H9*I9+#REF!*#REF!+J9*L9</f>
        <v>#REF!</v>
      </c>
      <c r="P9" s="633">
        <f>'Water-Meter'!E13</f>
        <v>0</v>
      </c>
      <c r="Q9" s="325">
        <f>IF('Water-Meter'!U13&lt;0,"0",'Water-Meter'!U13)</f>
        <v>0</v>
      </c>
      <c r="R9" s="325">
        <f>IF('Water-Meter'!X13&lt;0,"0",'Water-Meter'!X13)</f>
        <v>0</v>
      </c>
      <c r="S9" s="325">
        <f>IF('Water-Meter'!AA13&lt;0,"0",'Water-Meter'!AA13)</f>
        <v>0</v>
      </c>
      <c r="T9" s="325">
        <f>IF('Water-Meter'!AD13&lt;0,"0",'Water-Meter'!AD13)</f>
        <v>0</v>
      </c>
      <c r="U9" s="325">
        <f>IF('Water-Meter'!AG13&lt;0,"0",'Water-Meter'!AG13)</f>
        <v>0</v>
      </c>
      <c r="V9" s="325">
        <f>IF('Water-Meter'!AJ13&lt;0,"0",'Water-Meter'!AJ13)</f>
        <v>0</v>
      </c>
      <c r="W9" s="31">
        <f>'Water-Meter'!AN13</f>
        <v>0</v>
      </c>
      <c r="X9" s="645">
        <f>Total!K9</f>
        <v>0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0</v>
      </c>
      <c r="F10" s="620">
        <f>'UTILITY REPORT 1'!E11</f>
        <v>0</v>
      </c>
      <c r="G10" s="621">
        <f>'UTILITY REPORT 1'!F11</f>
        <v>0</v>
      </c>
      <c r="H10" s="620">
        <f>IF('Kit report'!F12&lt;0,"0",'Kit report'!F12)</f>
        <v>0</v>
      </c>
      <c r="I10" s="620">
        <f>IF('Kit report'!X12&lt;0,"0",'Kit report'!X12)</f>
        <v>0</v>
      </c>
      <c r="J10" s="620">
        <f>IF('Utility summery'!H14&lt;0,"0",'Utility summery'!H14)</f>
        <v>0</v>
      </c>
      <c r="K10" s="621">
        <f>IF('UTILITY REPORT 1'!H11&lt;0,"0",'UTILITY REPORT 1'!H11)</f>
        <v>0</v>
      </c>
      <c r="L10" s="620">
        <f>'Water-Meter'!K14</f>
        <v>0</v>
      </c>
      <c r="M10" s="621">
        <f>'Water-Meter'!H14</f>
        <v>0</v>
      </c>
      <c r="N10" s="621">
        <f>'Water-Meter'!Q14</f>
        <v>0</v>
      </c>
      <c r="O10" s="620" t="e">
        <f>K10*E10+H10*I10+#REF!*#REF!+J10*L10</f>
        <v>#REF!</v>
      </c>
      <c r="P10" s="633">
        <f>'Water-Meter'!E14</f>
        <v>0</v>
      </c>
      <c r="Q10" s="325">
        <f>IF('Water-Meter'!U14&lt;0,"0",'Water-Meter'!U14)</f>
        <v>0</v>
      </c>
      <c r="R10" s="325">
        <f>IF('Water-Meter'!X14&lt;0,"0",'Water-Meter'!X14)</f>
        <v>0</v>
      </c>
      <c r="S10" s="325">
        <f>IF('Water-Meter'!AA14&lt;0,"0",'Water-Meter'!AA14)</f>
        <v>0</v>
      </c>
      <c r="T10" s="325">
        <f>IF('Water-Meter'!AD14&lt;0,"0",'Water-Meter'!AD14)</f>
        <v>0</v>
      </c>
      <c r="U10" s="325">
        <f>IF('Water-Meter'!AG14&lt;0,"0",'Water-Meter'!AG14)</f>
        <v>0</v>
      </c>
      <c r="V10" s="325">
        <f>IF('Water-Meter'!AJ14&lt;0,"0",'Water-Meter'!AJ14)</f>
        <v>0</v>
      </c>
      <c r="W10" s="31">
        <f>'Water-Meter'!AN14</f>
        <v>0</v>
      </c>
      <c r="X10" s="645">
        <f>Total!K10</f>
        <v>0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0</v>
      </c>
      <c r="F11" s="620">
        <f>'UTILITY REPORT 1'!E12</f>
        <v>0</v>
      </c>
      <c r="G11" s="621">
        <f>'UTILITY REPORT 1'!F12</f>
        <v>0</v>
      </c>
      <c r="H11" s="620">
        <f>IF('Kit report'!F13&lt;0,"0",'Kit report'!F13)</f>
        <v>0</v>
      </c>
      <c r="I11" s="620">
        <f>IF('Kit report'!X13&lt;0,"0",'Kit report'!X13)</f>
        <v>0</v>
      </c>
      <c r="J11" s="620">
        <f>IF('Utility summery'!H15&lt;0,"0",'Utility summery'!H15)</f>
        <v>0</v>
      </c>
      <c r="K11" s="621">
        <f>IF('UTILITY REPORT 1'!H12&lt;0,"0",'UTILITY REPORT 1'!H12)</f>
        <v>0</v>
      </c>
      <c r="L11" s="620">
        <f>'Water-Meter'!K15</f>
        <v>0</v>
      </c>
      <c r="M11" s="621">
        <f>'Water-Meter'!H15</f>
        <v>0</v>
      </c>
      <c r="N11" s="621">
        <f>'Water-Meter'!Q15</f>
        <v>0</v>
      </c>
      <c r="O11" s="620" t="e">
        <f>K11*E11+H11*I11+#REF!*#REF!+J11*L11</f>
        <v>#REF!</v>
      </c>
      <c r="P11" s="633">
        <f>'Water-Meter'!E15</f>
        <v>0</v>
      </c>
      <c r="Q11" s="325">
        <f>IF('Water-Meter'!U15&lt;0,"0",'Water-Meter'!U15)</f>
        <v>0</v>
      </c>
      <c r="R11" s="325">
        <f>IF('Water-Meter'!X15&lt;0,"0",'Water-Meter'!X15)</f>
        <v>0</v>
      </c>
      <c r="S11" s="325">
        <f>IF('Water-Meter'!AA15&lt;0,"0",'Water-Meter'!AA15)</f>
        <v>0</v>
      </c>
      <c r="T11" s="325">
        <f>IF('Water-Meter'!AD15&lt;0,"0",'Water-Meter'!AD15)</f>
        <v>0</v>
      </c>
      <c r="U11" s="325">
        <f>IF('Water-Meter'!AG15&lt;0,"0",'Water-Meter'!AG15)</f>
        <v>0</v>
      </c>
      <c r="V11" s="325">
        <f>IF('Water-Meter'!AJ15&lt;0,"0",'Water-Meter'!AJ15)</f>
        <v>0</v>
      </c>
      <c r="W11" s="31">
        <f>'Water-Meter'!AN15</f>
        <v>0</v>
      </c>
      <c r="X11" s="645">
        <f>Total!K11</f>
        <v>0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0</v>
      </c>
      <c r="F12" s="620">
        <f>'UTILITY REPORT 1'!E13</f>
        <v>0</v>
      </c>
      <c r="G12" s="621">
        <f>'UTILITY REPORT 1'!F13</f>
        <v>0</v>
      </c>
      <c r="H12" s="620">
        <f>IF('Kit report'!F14&lt;0,"0",'Kit report'!F14)</f>
        <v>0</v>
      </c>
      <c r="I12" s="620">
        <f>IF('Kit report'!X14&lt;0,"0",'Kit report'!X14)</f>
        <v>0</v>
      </c>
      <c r="J12" s="620">
        <f>IF('Utility summery'!H16&lt;0,"0",'Utility summery'!H16)</f>
        <v>0</v>
      </c>
      <c r="K12" s="621">
        <f>IF('UTILITY REPORT 1'!H13&lt;0,"0",'UTILITY REPORT 1'!H13)</f>
        <v>0</v>
      </c>
      <c r="L12" s="620">
        <f>'Water-Meter'!K16</f>
        <v>0</v>
      </c>
      <c r="M12" s="621">
        <f>'Water-Meter'!H16</f>
        <v>0</v>
      </c>
      <c r="N12" s="621">
        <f>'Water-Meter'!Q16</f>
        <v>0</v>
      </c>
      <c r="O12" s="620" t="e">
        <f>K12*E12+H12*I12+#REF!*#REF!+J12*L12</f>
        <v>#REF!</v>
      </c>
      <c r="P12" s="633">
        <f>'Water-Meter'!E16</f>
        <v>0</v>
      </c>
      <c r="Q12" s="325">
        <f>IF('Water-Meter'!U16&lt;0,"0",'Water-Meter'!U16)</f>
        <v>0</v>
      </c>
      <c r="R12" s="325">
        <f>IF('Water-Meter'!X16&lt;0,"0",'Water-Meter'!X16)</f>
        <v>0</v>
      </c>
      <c r="S12" s="325">
        <f>IF('Water-Meter'!AA16&lt;0,"0",'Water-Meter'!AA16)</f>
        <v>0</v>
      </c>
      <c r="T12" s="325">
        <f>IF('Water-Meter'!AD16&lt;0,"0",'Water-Meter'!AD16)</f>
        <v>0</v>
      </c>
      <c r="U12" s="325">
        <f>IF('Water-Meter'!AG16&lt;0,"0",'Water-Meter'!AG16)</f>
        <v>0</v>
      </c>
      <c r="V12" s="325">
        <f>IF('Water-Meter'!AJ16&lt;0,"0",'Water-Meter'!AJ16)</f>
        <v>0</v>
      </c>
      <c r="W12" s="31">
        <f>'Water-Meter'!AN16</f>
        <v>0</v>
      </c>
      <c r="X12" s="645">
        <f>Total!K12</f>
        <v>0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0</v>
      </c>
      <c r="F13" s="620">
        <f>'UTILITY REPORT 1'!E14</f>
        <v>0</v>
      </c>
      <c r="G13" s="621">
        <f>'UTILITY REPORT 1'!F14</f>
        <v>0</v>
      </c>
      <c r="H13" s="620">
        <f>IF('Kit report'!F15&lt;0,"0",'Kit report'!F15)</f>
        <v>0</v>
      </c>
      <c r="I13" s="620">
        <f>IF('Kit report'!X15&lt;0,"0",'Kit report'!X15)</f>
        <v>0</v>
      </c>
      <c r="J13" s="620">
        <f>IF('Utility summery'!H17&lt;0,"0",'Utility summery'!H17)</f>
        <v>0</v>
      </c>
      <c r="K13" s="621">
        <f>IF('UTILITY REPORT 1'!H14&lt;0,"0",'UTILITY REPORT 1'!H14)</f>
        <v>0</v>
      </c>
      <c r="L13" s="620">
        <f>'Water-Meter'!K17</f>
        <v>0</v>
      </c>
      <c r="M13" s="621">
        <f>'Water-Meter'!H17</f>
        <v>0</v>
      </c>
      <c r="N13" s="621">
        <f>'Water-Meter'!Q17</f>
        <v>0</v>
      </c>
      <c r="O13" s="620" t="e">
        <f>K13*E13+H13*I13+#REF!*#REF!+J13*L13</f>
        <v>#REF!</v>
      </c>
      <c r="P13" s="633">
        <f>'Water-Meter'!E17</f>
        <v>0</v>
      </c>
      <c r="Q13" s="325">
        <f>IF('Water-Meter'!U17&lt;0,"0",'Water-Meter'!U17)</f>
        <v>0</v>
      </c>
      <c r="R13" s="325">
        <f>IF('Water-Meter'!X17&lt;0,"0",'Water-Meter'!X17)</f>
        <v>0</v>
      </c>
      <c r="S13" s="325">
        <f>IF('Water-Meter'!AA17&lt;0,"0",'Water-Meter'!AA17)</f>
        <v>0</v>
      </c>
      <c r="T13" s="325">
        <f>IF('Water-Meter'!AD17&lt;0,"0",'Water-Meter'!AD17)</f>
        <v>0</v>
      </c>
      <c r="U13" s="325">
        <f>IF('Water-Meter'!AG17&lt;0,"0",'Water-Meter'!AG17)</f>
        <v>0</v>
      </c>
      <c r="V13" s="325">
        <f>IF('Water-Meter'!AJ17&lt;0,"0",'Water-Meter'!AJ17)</f>
        <v>0</v>
      </c>
      <c r="W13" s="31">
        <f>'Water-Meter'!AN17</f>
        <v>0</v>
      </c>
      <c r="X13" s="645">
        <f>Total!K13</f>
        <v>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0</v>
      </c>
      <c r="F14" s="620">
        <f>'UTILITY REPORT 1'!E15</f>
        <v>0</v>
      </c>
      <c r="G14" s="621">
        <f>'UTILITY REPORT 1'!F15</f>
        <v>0</v>
      </c>
      <c r="H14" s="620">
        <f>IF('Kit report'!F16&lt;0,"0",'Kit report'!F16)</f>
        <v>0</v>
      </c>
      <c r="I14" s="620">
        <f>IF('Kit report'!X16&lt;0,"0",'Kit report'!X16)</f>
        <v>0</v>
      </c>
      <c r="J14" s="620">
        <f>IF('Utility summery'!H18&lt;0,"0",'Utility summery'!H18)</f>
        <v>0</v>
      </c>
      <c r="K14" s="621">
        <f>IF('UTILITY REPORT 1'!H15&lt;0,"0",'UTILITY REPORT 1'!H15)</f>
        <v>0</v>
      </c>
      <c r="L14" s="620">
        <f>'Water-Meter'!K18</f>
        <v>0</v>
      </c>
      <c r="M14" s="621">
        <f>'Water-Meter'!H18</f>
        <v>0</v>
      </c>
      <c r="N14" s="621">
        <f>'Water-Meter'!Q18</f>
        <v>0</v>
      </c>
      <c r="O14" s="620" t="e">
        <f>K14*E14+H14*I14+#REF!*#REF!+J14*L14</f>
        <v>#REF!</v>
      </c>
      <c r="P14" s="633">
        <f>'Water-Meter'!E18</f>
        <v>0</v>
      </c>
      <c r="Q14" s="325">
        <f>IF('Water-Meter'!U18&lt;0,"0",'Water-Meter'!U18)</f>
        <v>0</v>
      </c>
      <c r="R14" s="325">
        <f>IF('Water-Meter'!X18&lt;0,"0",'Water-Meter'!X18)</f>
        <v>0</v>
      </c>
      <c r="S14" s="325">
        <f>IF('Water-Meter'!AA18&lt;0,"0",'Water-Meter'!AA18)</f>
        <v>0</v>
      </c>
      <c r="T14" s="325">
        <f>IF('Water-Meter'!AD18&lt;0,"0",'Water-Meter'!AD18)</f>
        <v>0</v>
      </c>
      <c r="U14" s="325">
        <f>IF('Water-Meter'!AG18&lt;0,"0",'Water-Meter'!AG18)</f>
        <v>0</v>
      </c>
      <c r="V14" s="325">
        <f>IF('Water-Meter'!AJ18&lt;0,"0",'Water-Meter'!AJ18)</f>
        <v>0</v>
      </c>
      <c r="W14" s="31">
        <f>'Water-Meter'!AN18</f>
        <v>0</v>
      </c>
      <c r="X14" s="645">
        <f>Total!K14</f>
        <v>0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0</v>
      </c>
      <c r="F15" s="620">
        <f>'UTILITY REPORT 1'!E16</f>
        <v>0</v>
      </c>
      <c r="G15" s="621">
        <f>'UTILITY REPORT 1'!F16</f>
        <v>0</v>
      </c>
      <c r="H15" s="620">
        <f>IF('Kit report'!F17&lt;0,"0",'Kit report'!F17)</f>
        <v>0</v>
      </c>
      <c r="I15" s="620">
        <f>IF('Kit report'!X17&lt;0,"0",'Kit report'!X17)</f>
        <v>0</v>
      </c>
      <c r="J15" s="620">
        <f>IF('Utility summery'!H19&lt;0,"0",'Utility summery'!H19)</f>
        <v>0</v>
      </c>
      <c r="K15" s="621">
        <f>IF('UTILITY REPORT 1'!H16&lt;0,"0",'UTILITY REPORT 1'!H16)</f>
        <v>0</v>
      </c>
      <c r="L15" s="620">
        <f>'Water-Meter'!K19</f>
        <v>0</v>
      </c>
      <c r="M15" s="621">
        <f>'Water-Meter'!H19</f>
        <v>0</v>
      </c>
      <c r="N15" s="621">
        <f>'Water-Meter'!Q19</f>
        <v>0</v>
      </c>
      <c r="O15" s="620" t="e">
        <f>K15*E15+H15*I15+#REF!*#REF!+J15*L15</f>
        <v>#REF!</v>
      </c>
      <c r="P15" s="633">
        <f>'Water-Meter'!E19</f>
        <v>0</v>
      </c>
      <c r="Q15" s="325">
        <f>IF('Water-Meter'!U19&lt;0,"0",'Water-Meter'!U19)</f>
        <v>0</v>
      </c>
      <c r="R15" s="325">
        <f>IF('Water-Meter'!X19&lt;0,"0",'Water-Meter'!X19)</f>
        <v>0</v>
      </c>
      <c r="S15" s="325">
        <f>IF('Water-Meter'!AA19&lt;0,"0",'Water-Meter'!AA19)</f>
        <v>0</v>
      </c>
      <c r="T15" s="325">
        <f>IF('Water-Meter'!AD19&lt;0,"0",'Water-Meter'!AD19)</f>
        <v>0</v>
      </c>
      <c r="U15" s="325">
        <f>IF('Water-Meter'!AG19&lt;0,"0",'Water-Meter'!AG19)</f>
        <v>0</v>
      </c>
      <c r="V15" s="325">
        <f>IF('Water-Meter'!AJ19&lt;0,"0",'Water-Meter'!AJ19)</f>
        <v>0</v>
      </c>
      <c r="W15" s="31">
        <f>'Water-Meter'!AN19</f>
        <v>0</v>
      </c>
      <c r="X15" s="645">
        <f>Total!K15</f>
        <v>0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0</v>
      </c>
      <c r="F16" s="620">
        <f>'UTILITY REPORT 1'!E17</f>
        <v>0</v>
      </c>
      <c r="G16" s="621">
        <f>'UTILITY REPORT 1'!F17</f>
        <v>0</v>
      </c>
      <c r="H16" s="620">
        <f>IF('Kit report'!F18&lt;0,"0",'Kit report'!F18)</f>
        <v>0</v>
      </c>
      <c r="I16" s="620">
        <f>IF('Kit report'!X18&lt;0,"0",'Kit report'!X18)</f>
        <v>0</v>
      </c>
      <c r="J16" s="620">
        <f>IF('Utility summery'!H20&lt;0,"0",'Utility summery'!H20)</f>
        <v>0</v>
      </c>
      <c r="K16" s="621">
        <f>IF('UTILITY REPORT 1'!H17&lt;0,"0",'UTILITY REPORT 1'!H17)</f>
        <v>0</v>
      </c>
      <c r="L16" s="620">
        <f>'Water-Meter'!K20</f>
        <v>0</v>
      </c>
      <c r="M16" s="621">
        <f>'Water-Meter'!H20</f>
        <v>0</v>
      </c>
      <c r="N16" s="621">
        <f>'Water-Meter'!Q20</f>
        <v>0</v>
      </c>
      <c r="O16" s="620" t="e">
        <f>K16*E16+H16*I16+#REF!*#REF!+J16*L16</f>
        <v>#REF!</v>
      </c>
      <c r="P16" s="633">
        <f>'Water-Meter'!E20</f>
        <v>0</v>
      </c>
      <c r="Q16" s="325">
        <f>IF('Water-Meter'!U20&lt;0,"0",'Water-Meter'!U20)</f>
        <v>0</v>
      </c>
      <c r="R16" s="325">
        <f>IF('Water-Meter'!X20&lt;0,"0",'Water-Meter'!X20)</f>
        <v>0</v>
      </c>
      <c r="S16" s="325">
        <f>IF('Water-Meter'!AA20&lt;0,"0",'Water-Meter'!AA20)</f>
        <v>0</v>
      </c>
      <c r="T16" s="325">
        <f>IF('Water-Meter'!AD20&lt;0,"0",'Water-Meter'!AD20)</f>
        <v>0</v>
      </c>
      <c r="U16" s="325">
        <f>IF('Water-Meter'!AG20&lt;0,"0",'Water-Meter'!AG20)</f>
        <v>0</v>
      </c>
      <c r="V16" s="325">
        <f>IF('Water-Meter'!AJ20&lt;0,"0",'Water-Meter'!AJ20)</f>
        <v>0</v>
      </c>
      <c r="W16" s="31">
        <f>'Water-Meter'!AN20</f>
        <v>0</v>
      </c>
      <c r="X16" s="645">
        <f>Total!K16</f>
        <v>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0</v>
      </c>
      <c r="F17" s="620">
        <f>'UTILITY REPORT 1'!E18</f>
        <v>0</v>
      </c>
      <c r="G17" s="621">
        <f>'UTILITY REPORT 1'!F18</f>
        <v>0</v>
      </c>
      <c r="H17" s="620">
        <f>IF('Kit report'!F19&lt;0,"0",'Kit report'!F19)</f>
        <v>0</v>
      </c>
      <c r="I17" s="620">
        <f>IF('Kit report'!X19&lt;0,"0",'Kit report'!X19)</f>
        <v>0</v>
      </c>
      <c r="J17" s="620">
        <f>IF('Utility summery'!H21&lt;0,"0",'Utility summery'!H21)</f>
        <v>0</v>
      </c>
      <c r="K17" s="621">
        <f>IF('UTILITY REPORT 1'!H18&lt;0,"0",'UTILITY REPORT 1'!H18)</f>
        <v>0</v>
      </c>
      <c r="L17" s="620">
        <f>'Water-Meter'!K21</f>
        <v>0</v>
      </c>
      <c r="M17" s="621">
        <f>'Water-Meter'!H21</f>
        <v>0</v>
      </c>
      <c r="N17" s="621">
        <f>'Water-Meter'!Q21</f>
        <v>0</v>
      </c>
      <c r="O17" s="620" t="e">
        <f>K17*E17+H17*I17+#REF!*#REF!+J17*L17</f>
        <v>#REF!</v>
      </c>
      <c r="P17" s="633">
        <f>'Water-Meter'!E21</f>
        <v>0</v>
      </c>
      <c r="Q17" s="325">
        <f>IF('Water-Meter'!U21&lt;0,"0",'Water-Meter'!U21)</f>
        <v>0</v>
      </c>
      <c r="R17" s="325">
        <f>IF('Water-Meter'!X21&lt;0,"0",'Water-Meter'!X21)</f>
        <v>0</v>
      </c>
      <c r="S17" s="325">
        <f>IF('Water-Meter'!AA21&lt;0,"0",'Water-Meter'!AA21)</f>
        <v>0</v>
      </c>
      <c r="T17" s="325">
        <f>IF('Water-Meter'!AD21&lt;0,"0",'Water-Meter'!AD21)</f>
        <v>0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0</v>
      </c>
      <c r="X17" s="645">
        <f>Total!K17</f>
        <v>0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0</v>
      </c>
      <c r="F18" s="620">
        <f>'UTILITY REPORT 1'!E19</f>
        <v>0</v>
      </c>
      <c r="G18" s="621">
        <f>'UTILITY REPORT 1'!F19</f>
        <v>0</v>
      </c>
      <c r="H18" s="620">
        <f>IF('Kit report'!F20&lt;0,"0",'Kit report'!F20)</f>
        <v>0</v>
      </c>
      <c r="I18" s="620">
        <f>IF('Kit report'!X20&lt;0,"0",'Kit report'!X20)</f>
        <v>0</v>
      </c>
      <c r="J18" s="620">
        <f>IF('Utility summery'!H22&lt;0,"0",'Utility summery'!H22)</f>
        <v>0</v>
      </c>
      <c r="K18" s="621">
        <f>IF('UTILITY REPORT 1'!H19&lt;0,"0",'UTILITY REPORT 1'!H19)</f>
        <v>0</v>
      </c>
      <c r="L18" s="620">
        <f>'Water-Meter'!K22</f>
        <v>0</v>
      </c>
      <c r="M18" s="621">
        <f>'Water-Meter'!H22</f>
        <v>0</v>
      </c>
      <c r="N18" s="621">
        <f>'Water-Meter'!Q22</f>
        <v>0</v>
      </c>
      <c r="O18" s="620" t="e">
        <f>K18*E18+H18*I18+#REF!*#REF!+J18*L18</f>
        <v>#REF!</v>
      </c>
      <c r="P18" s="633">
        <f>'Water-Meter'!E22</f>
        <v>0</v>
      </c>
      <c r="Q18" s="325">
        <f>IF('Water-Meter'!U22&lt;0,"0",'Water-Meter'!U22)</f>
        <v>0</v>
      </c>
      <c r="R18" s="325">
        <f>IF('Water-Meter'!X22&lt;0,"0",'Water-Meter'!X22)</f>
        <v>0</v>
      </c>
      <c r="S18" s="325">
        <f>IF('Water-Meter'!AA22&lt;0,"0",'Water-Meter'!AA22)</f>
        <v>0</v>
      </c>
      <c r="T18" s="325">
        <f>IF('Water-Meter'!AD22&lt;0,"0",'Water-Meter'!AD22)</f>
        <v>0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0</v>
      </c>
      <c r="X18" s="645">
        <f>Total!K18</f>
        <v>0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0</v>
      </c>
      <c r="F19" s="620">
        <f>'UTILITY REPORT 1'!E20</f>
        <v>0</v>
      </c>
      <c r="G19" s="621">
        <f>'UTILITY REPORT 1'!F20</f>
        <v>0</v>
      </c>
      <c r="H19" s="620">
        <f>IF('Kit report'!F21&lt;0,"0",'Kit report'!F21)</f>
        <v>0</v>
      </c>
      <c r="I19" s="620">
        <f>IF('Kit report'!X21&lt;0,"0",'Kit report'!X21)</f>
        <v>0</v>
      </c>
      <c r="J19" s="620">
        <f>IF('Utility summery'!H23&lt;0,"0",'Utility summery'!H23)</f>
        <v>0</v>
      </c>
      <c r="K19" s="621">
        <f>IF('UTILITY REPORT 1'!H20&lt;0,"0",'UTILITY REPORT 1'!H20)</f>
        <v>0</v>
      </c>
      <c r="L19" s="620">
        <f>'Water-Meter'!K23</f>
        <v>0</v>
      </c>
      <c r="M19" s="621">
        <f>'Water-Meter'!H23</f>
        <v>0</v>
      </c>
      <c r="N19" s="621">
        <f>'Water-Meter'!Q23</f>
        <v>0</v>
      </c>
      <c r="O19" s="620" t="e">
        <f>K19*E19+H19*I19+#REF!*#REF!+J19*L19</f>
        <v>#REF!</v>
      </c>
      <c r="P19" s="633">
        <f>'Water-Meter'!E23</f>
        <v>0</v>
      </c>
      <c r="Q19" s="325">
        <f>IF('Water-Meter'!U23&lt;0,"0",'Water-Meter'!U23)</f>
        <v>0</v>
      </c>
      <c r="R19" s="325">
        <f>IF('Water-Meter'!X23&lt;0,"0",'Water-Meter'!X23)</f>
        <v>0</v>
      </c>
      <c r="S19" s="325">
        <f>IF('Water-Meter'!AA23&lt;0,"0",'Water-Meter'!AA23)</f>
        <v>0</v>
      </c>
      <c r="T19" s="325">
        <f>IF('Water-Meter'!AD23&lt;0,"0",'Water-Meter'!AD23)</f>
        <v>0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0</v>
      </c>
      <c r="X19" s="645">
        <f>Total!K19</f>
        <v>0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0</v>
      </c>
      <c r="F20" s="620">
        <f>'UTILITY REPORT 1'!E21</f>
        <v>0</v>
      </c>
      <c r="G20" s="621">
        <f>'UTILITY REPORT 1'!F21</f>
        <v>0</v>
      </c>
      <c r="H20" s="620">
        <f>IF('Kit report'!F22&lt;0,"0",'Kit report'!F22)</f>
        <v>0</v>
      </c>
      <c r="I20" s="620">
        <f>IF('Kit report'!X22&lt;0,"0",'Kit report'!X22)</f>
        <v>0</v>
      </c>
      <c r="J20" s="620">
        <f>IF('Utility summery'!H24&lt;0,"0",'Utility summery'!H24)</f>
        <v>0</v>
      </c>
      <c r="K20" s="621">
        <f>IF('UTILITY REPORT 1'!H21&lt;0,"0",'UTILITY REPORT 1'!H21)</f>
        <v>0</v>
      </c>
      <c r="L20" s="620">
        <f>'Water-Meter'!K24</f>
        <v>0</v>
      </c>
      <c r="M20" s="621">
        <f>'Water-Meter'!H24</f>
        <v>0</v>
      </c>
      <c r="N20" s="621">
        <f>'Water-Meter'!Q24</f>
        <v>0</v>
      </c>
      <c r="O20" s="620" t="e">
        <f>K20*E20+H20*I20+#REF!*#REF!+J20*L20</f>
        <v>#REF!</v>
      </c>
      <c r="P20" s="633">
        <f>'Water-Meter'!E24</f>
        <v>0</v>
      </c>
      <c r="Q20" s="325">
        <f>IF('Water-Meter'!U24&lt;0,"0",'Water-Meter'!U24)</f>
        <v>0</v>
      </c>
      <c r="R20" s="325">
        <f>IF('Water-Meter'!X24&lt;0,"0",'Water-Meter'!X24)</f>
        <v>0</v>
      </c>
      <c r="S20" s="325">
        <f>IF('Water-Meter'!AA24&lt;0,"0",'Water-Meter'!AA24)</f>
        <v>0</v>
      </c>
      <c r="T20" s="325">
        <f>IF('Water-Meter'!AD24&lt;0,"0",'Water-Meter'!AD24)</f>
        <v>0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0</v>
      </c>
      <c r="X20" s="645">
        <f>Total!K20</f>
        <v>0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0</v>
      </c>
      <c r="F21" s="620">
        <f>'UTILITY REPORT 1'!E22</f>
        <v>0</v>
      </c>
      <c r="G21" s="621">
        <f>'UTILITY REPORT 1'!F22</f>
        <v>0</v>
      </c>
      <c r="H21" s="620">
        <f>IF('Kit report'!F23&lt;0,"0",'Kit report'!F23)</f>
        <v>0</v>
      </c>
      <c r="I21" s="620">
        <f>IF('Kit report'!X23&lt;0,"0",'Kit report'!X23)</f>
        <v>0</v>
      </c>
      <c r="J21" s="620">
        <f>IF('Utility summery'!H25&lt;0,"0",'Utility summery'!H25)</f>
        <v>0</v>
      </c>
      <c r="K21" s="621">
        <f>IF('UTILITY REPORT 1'!H22&lt;0,"0",'UTILITY REPORT 1'!H22)</f>
        <v>0</v>
      </c>
      <c r="L21" s="620">
        <f>'Water-Meter'!K25</f>
        <v>0</v>
      </c>
      <c r="M21" s="621">
        <f>'Water-Meter'!H25</f>
        <v>0</v>
      </c>
      <c r="N21" s="621">
        <f>'Water-Meter'!Q25</f>
        <v>0</v>
      </c>
      <c r="O21" s="620" t="e">
        <f>K21*E21+H21*I21+#REF!*#REF!+J21*L21</f>
        <v>#REF!</v>
      </c>
      <c r="P21" s="633">
        <f>'Water-Meter'!E25</f>
        <v>0</v>
      </c>
      <c r="Q21" s="325">
        <f>IF('Water-Meter'!U25&lt;0,"0",'Water-Meter'!U25)</f>
        <v>0</v>
      </c>
      <c r="R21" s="325">
        <f>IF('Water-Meter'!X25&lt;0,"0",'Water-Meter'!X25)</f>
        <v>0</v>
      </c>
      <c r="S21" s="325">
        <f>IF('Water-Meter'!AA25&lt;0,"0",'Water-Meter'!AA25)</f>
        <v>0</v>
      </c>
      <c r="T21" s="325">
        <f>IF('Water-Meter'!AD25&lt;0,"0",'Water-Meter'!AD25)</f>
        <v>0</v>
      </c>
      <c r="U21" s="325">
        <f>IF('Water-Meter'!AG25&lt;0,"0",'Water-Meter'!AG25)</f>
        <v>0</v>
      </c>
      <c r="V21" s="325">
        <f>IF('Water-Meter'!AJ25&lt;0,"0",'Water-Meter'!AJ25)</f>
        <v>0</v>
      </c>
      <c r="W21" s="31">
        <f>'Water-Meter'!AN25</f>
        <v>0</v>
      </c>
      <c r="X21" s="645">
        <f>Total!K21</f>
        <v>0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0</v>
      </c>
      <c r="F22" s="620">
        <f>'UTILITY REPORT 1'!E23</f>
        <v>0</v>
      </c>
      <c r="G22" s="621">
        <f>'UTILITY REPORT 1'!F23</f>
        <v>0</v>
      </c>
      <c r="H22" s="620">
        <f>IF('Kit report'!F24&lt;0,"0",'Kit report'!F24)</f>
        <v>0</v>
      </c>
      <c r="I22" s="620">
        <f>IF('Kit report'!X24&lt;0,"0",'Kit report'!X24)</f>
        <v>0</v>
      </c>
      <c r="J22" s="620">
        <f>IF('Utility summery'!H26&lt;0,"0",'Utility summery'!H26)</f>
        <v>0</v>
      </c>
      <c r="K22" s="621">
        <f>IF('UTILITY REPORT 1'!H23&lt;0,"0",'UTILITY REPORT 1'!H23)</f>
        <v>0</v>
      </c>
      <c r="L22" s="620">
        <f>'Water-Meter'!K26</f>
        <v>0</v>
      </c>
      <c r="M22" s="621">
        <f>'Water-Meter'!H26</f>
        <v>0</v>
      </c>
      <c r="N22" s="621">
        <f>'Water-Meter'!Q26</f>
        <v>0</v>
      </c>
      <c r="O22" s="620" t="e">
        <f>K22*E22+H22*I22+#REF!*#REF!+J22*L22</f>
        <v>#REF!</v>
      </c>
      <c r="P22" s="633">
        <f>'Water-Meter'!E26</f>
        <v>0</v>
      </c>
      <c r="Q22" s="325">
        <f>IF('Water-Meter'!U26&lt;0,"0",'Water-Meter'!U26)</f>
        <v>0</v>
      </c>
      <c r="R22" s="325">
        <f>IF('Water-Meter'!X26&lt;0,"0",'Water-Meter'!X26)</f>
        <v>0</v>
      </c>
      <c r="S22" s="325">
        <f>IF('Water-Meter'!AA26&lt;0,"0",'Water-Meter'!AA26)</f>
        <v>0</v>
      </c>
      <c r="T22" s="325">
        <f>IF('Water-Meter'!AD26&lt;0,"0",'Water-Meter'!AD26)</f>
        <v>0</v>
      </c>
      <c r="U22" s="325">
        <f>IF('Water-Meter'!AG26&lt;0,"0",'Water-Meter'!AG26)</f>
        <v>0</v>
      </c>
      <c r="V22" s="325">
        <f>IF('Water-Meter'!AJ26&lt;0,"0",'Water-Meter'!AJ26)</f>
        <v>0</v>
      </c>
      <c r="W22" s="31">
        <f>'Water-Meter'!AN26</f>
        <v>0</v>
      </c>
      <c r="X22" s="645">
        <f>Total!K22</f>
        <v>0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>
        <f>IF('Kit report'!F25&lt;0,"0",'Kit report'!F25)</f>
        <v>0</v>
      </c>
      <c r="I23" s="620">
        <f>IF('Kit report'!X25&lt;0,"0",'Kit report'!X25)</f>
        <v>0</v>
      </c>
      <c r="J23" s="620">
        <f>IF('Utility summery'!H27&lt;0,"0",'Utility summery'!H27)</f>
        <v>0</v>
      </c>
      <c r="K23" s="621">
        <f>IF('UTILITY REPORT 1'!H24&lt;0,"0",'UTILITY REPORT 1'!H24)</f>
        <v>0</v>
      </c>
      <c r="L23" s="620">
        <f>'Water-Meter'!K27</f>
        <v>0</v>
      </c>
      <c r="M23" s="621">
        <f>'Water-Meter'!H27</f>
        <v>0</v>
      </c>
      <c r="N23" s="621">
        <f>'Water-Meter'!Q27</f>
        <v>0</v>
      </c>
      <c r="O23" s="620" t="e">
        <f>K23*E23+H23*I23+#REF!*#REF!+J23*L23</f>
        <v>#REF!</v>
      </c>
      <c r="P23" s="633">
        <f>'Water-Meter'!E27</f>
        <v>0</v>
      </c>
      <c r="Q23" s="325">
        <f>IF('Water-Meter'!U27&lt;0,"0",'Water-Meter'!U27)</f>
        <v>0</v>
      </c>
      <c r="R23" s="325">
        <f>IF('Water-Meter'!X27&lt;0,"0",'Water-Meter'!X27)</f>
        <v>0</v>
      </c>
      <c r="S23" s="325">
        <f>IF('Water-Meter'!AA27&lt;0,"0",'Water-Meter'!AA27)</f>
        <v>0</v>
      </c>
      <c r="T23" s="325">
        <f>IF('Water-Meter'!AD27&lt;0,"0",'Water-Meter'!AD27)</f>
        <v>0</v>
      </c>
      <c r="U23" s="325">
        <f>IF('Water-Meter'!AG27&lt;0,"0",'Water-Meter'!AG27)</f>
        <v>0</v>
      </c>
      <c r="V23" s="325">
        <f>IF('Water-Meter'!AJ27&lt;0,"0",'Water-Meter'!AJ27)</f>
        <v>0</v>
      </c>
      <c r="W23" s="31">
        <f>'Water-Meter'!AN27</f>
        <v>0</v>
      </c>
      <c r="X23" s="645">
        <f>Total!K23</f>
        <v>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>
        <f>IF('Utility summery'!H28&lt;0,"0",'Utility summery'!H28)</f>
        <v>0</v>
      </c>
      <c r="K24" s="621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5" t="s">
        <v>307</v>
      </c>
      <c r="B1" s="755"/>
      <c r="C1" s="755"/>
      <c r="D1" s="755"/>
      <c r="E1" s="755"/>
      <c r="F1" s="755"/>
      <c r="G1" s="755"/>
      <c r="H1" s="755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23950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</v>
      </c>
      <c r="C5" s="543">
        <f>'Summery Report'!E7</f>
        <v>0</v>
      </c>
      <c r="D5" s="544">
        <v>1</v>
      </c>
      <c r="E5" s="543">
        <f>Gen!S13</f>
        <v>0</v>
      </c>
      <c r="F5" s="543">
        <f>Gen!T13</f>
        <v>0</v>
      </c>
      <c r="G5" s="543" t="str">
        <f>'Water-Meter'!E8</f>
        <v>0</v>
      </c>
      <c r="H5" s="543">
        <f>'Utility report '!AC8</f>
        <v>81</v>
      </c>
      <c r="I5" s="543">
        <f>Gen!AJ13</f>
        <v>0</v>
      </c>
    </row>
    <row r="6" spans="1:9" ht="13.5">
      <c r="A6" s="540">
        <v>43865</v>
      </c>
      <c r="B6" s="542">
        <f>Gen!B14</f>
        <v>0</v>
      </c>
      <c r="C6" s="543">
        <f>'Summery Report'!E8</f>
        <v>0</v>
      </c>
      <c r="D6" s="544">
        <v>1</v>
      </c>
      <c r="E6" s="543">
        <f>Gen!S14</f>
        <v>0</v>
      </c>
      <c r="F6" s="543">
        <f>Gen!T14</f>
        <v>0</v>
      </c>
      <c r="G6" s="543">
        <f>'Water-Meter'!E9</f>
        <v>0</v>
      </c>
      <c r="H6" s="543">
        <f>'Utility report '!AC9</f>
        <v>-24132</v>
      </c>
      <c r="I6" s="543">
        <f>Gen!AJ14</f>
        <v>0</v>
      </c>
    </row>
    <row r="7" spans="1:9" ht="13.5">
      <c r="A7" s="540">
        <v>43866</v>
      </c>
      <c r="B7" s="542">
        <f>Gen!B15</f>
        <v>0</v>
      </c>
      <c r="C7" s="543">
        <f>'Summery Report'!E9</f>
        <v>0</v>
      </c>
      <c r="D7" s="544">
        <v>1</v>
      </c>
      <c r="E7" s="543">
        <f>Gen!S15</f>
        <v>0</v>
      </c>
      <c r="F7" s="543">
        <f>Gen!T15</f>
        <v>0</v>
      </c>
      <c r="G7" s="543">
        <f>'Water-Meter'!E10</f>
        <v>0</v>
      </c>
      <c r="H7" s="543">
        <f>'Utility report '!AC10</f>
        <v>0</v>
      </c>
      <c r="I7" s="543">
        <f>Gen!AJ15</f>
        <v>0</v>
      </c>
    </row>
    <row r="8" spans="1:9" ht="13.5">
      <c r="A8" s="540">
        <v>43867</v>
      </c>
      <c r="B8" s="542">
        <f>Gen!B16</f>
        <v>0</v>
      </c>
      <c r="C8" s="543">
        <f>'Summery Report'!E10</f>
        <v>0</v>
      </c>
      <c r="D8" s="544">
        <v>1</v>
      </c>
      <c r="E8" s="543">
        <f>Gen!S16</f>
        <v>0</v>
      </c>
      <c r="F8" s="543">
        <f>Gen!T16</f>
        <v>0</v>
      </c>
      <c r="G8" s="543">
        <f>'Water-Meter'!E11</f>
        <v>0</v>
      </c>
      <c r="H8" s="543">
        <f>'Utility report '!AC11</f>
        <v>0</v>
      </c>
      <c r="I8" s="543">
        <f>Gen!AJ16</f>
        <v>0</v>
      </c>
    </row>
    <row r="9" spans="1:9" ht="13.5">
      <c r="A9" s="540">
        <v>43868</v>
      </c>
      <c r="B9" s="542">
        <f>Gen!B17</f>
        <v>0</v>
      </c>
      <c r="C9" s="543">
        <f>'Summery Report'!E11</f>
        <v>0</v>
      </c>
      <c r="D9" s="544">
        <v>1</v>
      </c>
      <c r="E9" s="543">
        <f>Gen!S17</f>
        <v>0</v>
      </c>
      <c r="F9" s="543">
        <f>Gen!T17</f>
        <v>0</v>
      </c>
      <c r="G9" s="543">
        <f>'Water-Meter'!E12</f>
        <v>0</v>
      </c>
      <c r="H9" s="543">
        <f>'Utility report '!AC12</f>
        <v>0</v>
      </c>
      <c r="I9" s="543">
        <f>Gen!AJ17</f>
        <v>0</v>
      </c>
    </row>
    <row r="10" spans="1:9" ht="13.5">
      <c r="A10" s="540">
        <v>43869</v>
      </c>
      <c r="B10" s="542">
        <f>Gen!B18</f>
        <v>0</v>
      </c>
      <c r="C10" s="543">
        <f>'Summery Report'!E12</f>
        <v>0</v>
      </c>
      <c r="D10" s="544">
        <v>1</v>
      </c>
      <c r="E10" s="543">
        <f>Gen!S18</f>
        <v>0</v>
      </c>
      <c r="F10" s="543">
        <f>Gen!T18</f>
        <v>0</v>
      </c>
      <c r="G10" s="543">
        <f>'Water-Meter'!E13</f>
        <v>0</v>
      </c>
      <c r="H10" s="543">
        <f>'Utility report '!AC13</f>
        <v>0</v>
      </c>
      <c r="I10" s="543">
        <f>Gen!AJ18</f>
        <v>0</v>
      </c>
    </row>
    <row r="11" spans="1:9" ht="13.5">
      <c r="A11" s="540">
        <v>43870</v>
      </c>
      <c r="B11" s="542">
        <f>Gen!B19</f>
        <v>0</v>
      </c>
      <c r="C11" s="543">
        <f>'Summery Report'!E13</f>
        <v>0</v>
      </c>
      <c r="D11" s="544">
        <v>1</v>
      </c>
      <c r="E11" s="543">
        <f>Gen!S19</f>
        <v>0</v>
      </c>
      <c r="F11" s="543">
        <f>Gen!T19</f>
        <v>0</v>
      </c>
      <c r="G11" s="543">
        <f>'Water-Meter'!E14</f>
        <v>0</v>
      </c>
      <c r="H11" s="543">
        <f>'Utility report '!AC14</f>
        <v>0</v>
      </c>
      <c r="I11" s="543">
        <f>Gen!AJ19</f>
        <v>0</v>
      </c>
    </row>
    <row r="12" spans="1:9" ht="13.5">
      <c r="A12" s="540">
        <v>43871</v>
      </c>
      <c r="B12" s="542">
        <f>Gen!B20</f>
        <v>0</v>
      </c>
      <c r="C12" s="543">
        <f>'Summery Report'!E14</f>
        <v>0</v>
      </c>
      <c r="D12" s="544">
        <v>1</v>
      </c>
      <c r="E12" s="543">
        <f>Gen!S20</f>
        <v>0</v>
      </c>
      <c r="F12" s="543">
        <f>Gen!T20</f>
        <v>0</v>
      </c>
      <c r="G12" s="543">
        <f>'Water-Meter'!E15</f>
        <v>0</v>
      </c>
      <c r="H12" s="543">
        <f>'Utility report '!AC15</f>
        <v>0</v>
      </c>
      <c r="I12" s="543">
        <f>Gen!AJ20</f>
        <v>0</v>
      </c>
    </row>
    <row r="13" spans="1:9" ht="13.5">
      <c r="A13" s="540">
        <v>43872</v>
      </c>
      <c r="B13" s="542">
        <f>Gen!B21</f>
        <v>0</v>
      </c>
      <c r="C13" s="543">
        <f>'Summery Report'!E15</f>
        <v>0</v>
      </c>
      <c r="D13" s="544">
        <v>1</v>
      </c>
      <c r="E13" s="543">
        <f>Gen!S21</f>
        <v>0</v>
      </c>
      <c r="F13" s="543">
        <f>Gen!T21</f>
        <v>0</v>
      </c>
      <c r="G13" s="543">
        <f>'Water-Meter'!E16</f>
        <v>0</v>
      </c>
      <c r="H13" s="543">
        <f>'Utility report '!AC16</f>
        <v>0</v>
      </c>
      <c r="I13" s="543">
        <f>Gen!AJ21</f>
        <v>0</v>
      </c>
    </row>
    <row r="14" spans="1:9" ht="13.5">
      <c r="A14" s="540">
        <v>43873</v>
      </c>
      <c r="B14" s="542">
        <f>Gen!B22</f>
        <v>0</v>
      </c>
      <c r="C14" s="543">
        <f>'Summery Report'!E16</f>
        <v>0</v>
      </c>
      <c r="D14" s="544">
        <v>1</v>
      </c>
      <c r="E14" s="543">
        <f>Gen!S22</f>
        <v>0</v>
      </c>
      <c r="F14" s="543">
        <f>Gen!T22</f>
        <v>0</v>
      </c>
      <c r="G14" s="543">
        <f>'Water-Meter'!E17</f>
        <v>0</v>
      </c>
      <c r="H14" s="543">
        <f>'Utility report '!AC17</f>
        <v>0</v>
      </c>
      <c r="I14" s="543">
        <f>Gen!AJ22</f>
        <v>0</v>
      </c>
    </row>
    <row r="15" spans="1:9" ht="13.5">
      <c r="A15" s="540">
        <v>43874</v>
      </c>
      <c r="B15" s="542">
        <f>Gen!B23</f>
        <v>0</v>
      </c>
      <c r="C15" s="543">
        <f>'Summery Report'!E17</f>
        <v>0</v>
      </c>
      <c r="D15" s="544">
        <v>1</v>
      </c>
      <c r="E15" s="543">
        <f>Gen!S23</f>
        <v>0</v>
      </c>
      <c r="F15" s="543">
        <f>Gen!T23</f>
        <v>0</v>
      </c>
      <c r="G15" s="543">
        <f>'Water-Meter'!E18</f>
        <v>0</v>
      </c>
      <c r="H15" s="543">
        <f>'Utility report '!AC18</f>
        <v>0</v>
      </c>
      <c r="I15" s="543">
        <f>Gen!AJ23</f>
        <v>0</v>
      </c>
    </row>
    <row r="16" spans="1:9" ht="13.5">
      <c r="A16" s="540">
        <v>43875</v>
      </c>
      <c r="B16" s="542">
        <f>Gen!B24</f>
        <v>0</v>
      </c>
      <c r="C16" s="543">
        <f>'Summery Report'!E18</f>
        <v>0</v>
      </c>
      <c r="D16" s="544">
        <v>1</v>
      </c>
      <c r="E16" s="543">
        <f>Gen!S24</f>
        <v>0</v>
      </c>
      <c r="F16" s="543">
        <f>Gen!T24</f>
        <v>0</v>
      </c>
      <c r="G16" s="543">
        <f>'Water-Meter'!E19</f>
        <v>0</v>
      </c>
      <c r="H16" s="543">
        <f>'Utility report '!AC19</f>
        <v>0</v>
      </c>
      <c r="I16" s="543">
        <f>Gen!AJ24</f>
        <v>0</v>
      </c>
    </row>
    <row r="17" spans="1:9" ht="13.5">
      <c r="A17" s="540">
        <v>43876</v>
      </c>
      <c r="B17" s="542">
        <f>Gen!B25</f>
        <v>0</v>
      </c>
      <c r="C17" s="543">
        <f>'Summery Report'!E19</f>
        <v>0</v>
      </c>
      <c r="D17" s="544">
        <v>1</v>
      </c>
      <c r="E17" s="543">
        <f>Gen!S25</f>
        <v>0</v>
      </c>
      <c r="F17" s="543">
        <f>Gen!T25</f>
        <v>0</v>
      </c>
      <c r="G17" s="543">
        <f>'Water-Meter'!E20</f>
        <v>0</v>
      </c>
      <c r="H17" s="543">
        <f>'Utility report '!AC20</f>
        <v>0</v>
      </c>
      <c r="I17" s="543">
        <f>Gen!AJ25</f>
        <v>0</v>
      </c>
    </row>
    <row r="18" spans="1:9" ht="13.5">
      <c r="A18" s="540">
        <v>43877</v>
      </c>
      <c r="B18" s="542">
        <f>Gen!B26</f>
        <v>0</v>
      </c>
      <c r="C18" s="543">
        <f>'Summery Report'!E20</f>
        <v>0</v>
      </c>
      <c r="D18" s="544">
        <v>1</v>
      </c>
      <c r="E18" s="543">
        <f>Gen!S26</f>
        <v>0</v>
      </c>
      <c r="F18" s="543">
        <f>Gen!T26</f>
        <v>0</v>
      </c>
      <c r="G18" s="543">
        <f>'Water-Meter'!E21</f>
        <v>0</v>
      </c>
      <c r="H18" s="543">
        <f>'Utility report '!AC21</f>
        <v>0</v>
      </c>
      <c r="I18" s="543">
        <f>Gen!AJ26</f>
        <v>0</v>
      </c>
    </row>
    <row r="19" spans="1:9" ht="13.5">
      <c r="A19" s="540">
        <v>43878</v>
      </c>
      <c r="B19" s="542">
        <f>Gen!B27</f>
        <v>0</v>
      </c>
      <c r="C19" s="543">
        <f>'Summery Report'!E21</f>
        <v>0</v>
      </c>
      <c r="D19" s="544">
        <v>1</v>
      </c>
      <c r="E19" s="543">
        <f>Gen!S27</f>
        <v>0</v>
      </c>
      <c r="F19" s="543">
        <f>Gen!T27</f>
        <v>0</v>
      </c>
      <c r="G19" s="543">
        <f>'Water-Meter'!E22</f>
        <v>0</v>
      </c>
      <c r="H19" s="543">
        <f>'Utility report '!AC22</f>
        <v>0</v>
      </c>
      <c r="I19" s="543">
        <f>Gen!AJ27</f>
        <v>0</v>
      </c>
    </row>
    <row r="20" spans="1:9" ht="13.5">
      <c r="A20" s="540">
        <v>43879</v>
      </c>
      <c r="B20" s="542">
        <f>Gen!B28</f>
        <v>0</v>
      </c>
      <c r="C20" s="543">
        <f>'Summery Report'!E22</f>
        <v>0</v>
      </c>
      <c r="D20" s="544">
        <v>1</v>
      </c>
      <c r="E20" s="543">
        <f>Gen!S28</f>
        <v>0</v>
      </c>
      <c r="F20" s="543">
        <f>Gen!T28</f>
        <v>0</v>
      </c>
      <c r="G20" s="543">
        <f>'Water-Meter'!E23</f>
        <v>0</v>
      </c>
      <c r="H20" s="543">
        <f>'Utility report '!AC23</f>
        <v>0</v>
      </c>
      <c r="I20" s="543">
        <f>Gen!AJ28</f>
        <v>0</v>
      </c>
    </row>
    <row r="21" spans="1:9" ht="13.5">
      <c r="A21" s="540">
        <v>43880</v>
      </c>
      <c r="B21" s="542">
        <f>Gen!B29</f>
        <v>0</v>
      </c>
      <c r="C21" s="543">
        <f>'Summery Report'!E23</f>
        <v>0</v>
      </c>
      <c r="D21" s="544">
        <v>1</v>
      </c>
      <c r="E21" s="543">
        <f>Gen!S29</f>
        <v>0</v>
      </c>
      <c r="F21" s="543">
        <f>Gen!T29</f>
        <v>0</v>
      </c>
      <c r="G21" s="543">
        <f>'Water-Meter'!E24</f>
        <v>0</v>
      </c>
      <c r="H21" s="543">
        <f>'Utility report '!AC24</f>
        <v>0</v>
      </c>
      <c r="I21" s="543">
        <f>Gen!AJ29</f>
        <v>0</v>
      </c>
    </row>
    <row r="22" spans="1:9" ht="13.5">
      <c r="A22" s="540">
        <v>43881</v>
      </c>
      <c r="B22" s="542">
        <f>Gen!B30</f>
        <v>0</v>
      </c>
      <c r="C22" s="543">
        <f>'Summery Report'!E24</f>
        <v>0</v>
      </c>
      <c r="D22" s="544">
        <v>1</v>
      </c>
      <c r="E22" s="543">
        <f>Gen!S30</f>
        <v>0</v>
      </c>
      <c r="F22" s="543">
        <f>Gen!T30</f>
        <v>0</v>
      </c>
      <c r="G22" s="543">
        <f>'Water-Meter'!E25</f>
        <v>0</v>
      </c>
      <c r="H22" s="543">
        <f>'Utility report '!AC25</f>
        <v>0</v>
      </c>
      <c r="I22" s="543">
        <f>Gen!AJ30</f>
        <v>0</v>
      </c>
    </row>
    <row r="23" spans="1:9" ht="13.5">
      <c r="A23" s="540">
        <v>43882</v>
      </c>
      <c r="B23" s="542">
        <f>Gen!B31</f>
        <v>0</v>
      </c>
      <c r="C23" s="543">
        <f>'Summery Report'!E25</f>
        <v>0</v>
      </c>
      <c r="D23" s="544">
        <v>1</v>
      </c>
      <c r="E23" s="543">
        <f>Gen!S31</f>
        <v>0</v>
      </c>
      <c r="F23" s="543">
        <f>Gen!T31</f>
        <v>0</v>
      </c>
      <c r="G23" s="543">
        <f>'Water-Meter'!E26</f>
        <v>0</v>
      </c>
      <c r="H23" s="543">
        <f>'Utility report '!AC26</f>
        <v>0</v>
      </c>
      <c r="I23" s="543">
        <f>Gen!AJ31</f>
        <v>0</v>
      </c>
    </row>
    <row r="24" spans="1:9" ht="13.5">
      <c r="A24" s="540">
        <v>43883</v>
      </c>
      <c r="B24" s="542">
        <f>Gen!B32</f>
        <v>0</v>
      </c>
      <c r="C24" s="543">
        <f>'Summery Report'!E26</f>
        <v>0</v>
      </c>
      <c r="D24" s="544">
        <v>1</v>
      </c>
      <c r="E24" s="543">
        <f>Gen!S32</f>
        <v>0</v>
      </c>
      <c r="F24" s="543">
        <f>Gen!T32</f>
        <v>0</v>
      </c>
      <c r="G24" s="543">
        <f>'Water-Meter'!E27</f>
        <v>0</v>
      </c>
      <c r="H24" s="543">
        <f>'Utility report '!AC27</f>
        <v>0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0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6" t="s">
        <v>136</v>
      </c>
      <c r="E4" s="756"/>
      <c r="F4" s="756"/>
      <c r="G4" s="757" t="s">
        <v>20</v>
      </c>
      <c r="H4" s="757"/>
      <c r="I4" s="757"/>
      <c r="J4" s="758" t="s">
        <v>55</v>
      </c>
      <c r="K4" s="758"/>
      <c r="L4" s="758"/>
      <c r="M4" s="758"/>
      <c r="N4" s="759" t="s">
        <v>144</v>
      </c>
      <c r="O4" s="759"/>
      <c r="P4" s="759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23950</v>
      </c>
      <c r="H6" s="183">
        <f>'Utility report '!AE6</f>
        <v>195178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5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5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0</v>
      </c>
      <c r="C8" s="6">
        <f>Gen!T13</f>
        <v>0</v>
      </c>
      <c r="D8" s="180">
        <f>Gen!S13</f>
        <v>0</v>
      </c>
      <c r="E8" s="180">
        <f>Gen!AJ13</f>
        <v>0</v>
      </c>
      <c r="F8" s="180">
        <f>Gen!AR13</f>
        <v>0</v>
      </c>
      <c r="G8" s="183">
        <f>'Utility report '!AC8</f>
        <v>81</v>
      </c>
      <c r="H8" s="183">
        <f>'Utility report '!AE8</f>
        <v>60</v>
      </c>
      <c r="I8" s="387" t="str">
        <f>'Water-Meter'!E8</f>
        <v>0</v>
      </c>
      <c r="J8" s="185">
        <f>'Lpg (2)'!B12</f>
        <v>85</v>
      </c>
      <c r="K8" s="185">
        <f>'Lpg (2)'!C12</f>
        <v>85</v>
      </c>
      <c r="L8" s="185">
        <f>'Lpg (2)'!D12</f>
        <v>5</v>
      </c>
      <c r="M8" s="608">
        <f>'Lpg (2)'!G12</f>
        <v>-783.94799999999236</v>
      </c>
      <c r="N8" s="178">
        <f t="shared" ref="N8:O36" si="2">D8*1.4</f>
        <v>0</v>
      </c>
      <c r="O8" s="178">
        <f t="shared" si="2"/>
        <v>0</v>
      </c>
      <c r="P8" s="177" t="e">
        <f>'[1]Lpg (2)'!#REF!</f>
        <v>#REF!</v>
      </c>
      <c r="Q8" s="178" t="e">
        <f>'[1]Summery Report'!#REF!</f>
        <v>#REF!</v>
      </c>
      <c r="R8" s="178" t="e">
        <f t="shared" si="0"/>
        <v>#DIV/0!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0</v>
      </c>
      <c r="C9" s="6">
        <f>Gen!T14</f>
        <v>0</v>
      </c>
      <c r="D9" s="180">
        <f>Gen!S14</f>
        <v>0</v>
      </c>
      <c r="E9" s="180">
        <f>Gen!AJ14</f>
        <v>0</v>
      </c>
      <c r="F9" s="180">
        <f>Gen!AR14</f>
        <v>0</v>
      </c>
      <c r="G9" s="183">
        <f>'Utility report '!AC9</f>
        <v>-24132</v>
      </c>
      <c r="H9" s="183">
        <f>'Utility report '!AE9</f>
        <v>-195301</v>
      </c>
      <c r="I9" s="387">
        <f>'Water-Meter'!E9</f>
        <v>0</v>
      </c>
      <c r="J9" s="185">
        <f>'Lpg (2)'!B13</f>
        <v>0</v>
      </c>
      <c r="K9" s="185">
        <f>'Lpg (2)'!C13</f>
        <v>0</v>
      </c>
      <c r="L9" s="185">
        <f>'Lpg (2)'!D13</f>
        <v>0</v>
      </c>
      <c r="M9" s="608">
        <f>'Lpg (2)'!G13</f>
        <v>-306671.59600000002</v>
      </c>
      <c r="N9" s="178">
        <f t="shared" si="2"/>
        <v>0</v>
      </c>
      <c r="O9" s="178">
        <f t="shared" si="2"/>
        <v>0</v>
      </c>
      <c r="P9" s="177" t="e">
        <f>'[1]Lpg (2)'!#REF!</f>
        <v>#REF!</v>
      </c>
      <c r="Q9" s="178" t="e">
        <f>'[1]Summery Report'!#REF!</f>
        <v>#REF!</v>
      </c>
      <c r="R9" s="178" t="e">
        <f t="shared" si="0"/>
        <v>#DIV/0!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0</v>
      </c>
      <c r="C10" s="6">
        <f>Gen!T15</f>
        <v>0</v>
      </c>
      <c r="D10" s="180">
        <f>Gen!S15</f>
        <v>0</v>
      </c>
      <c r="E10" s="180">
        <f>Gen!AJ15</f>
        <v>0</v>
      </c>
      <c r="F10" s="180">
        <f>Gen!AR15</f>
        <v>0</v>
      </c>
      <c r="G10" s="183">
        <f>'Utility report '!AC10</f>
        <v>0</v>
      </c>
      <c r="H10" s="183">
        <f>'Utility report '!AE10</f>
        <v>0</v>
      </c>
      <c r="I10" s="387">
        <f>'Water-Meter'!E10</f>
        <v>0</v>
      </c>
      <c r="J10" s="185">
        <f>'Lpg (2)'!B14</f>
        <v>0</v>
      </c>
      <c r="K10" s="185">
        <f>'Lpg (2)'!C14</f>
        <v>0</v>
      </c>
      <c r="L10" s="185">
        <f>'Lpg (2)'!D14</f>
        <v>0</v>
      </c>
      <c r="M10" s="608">
        <f>'Lpg (2)'!G14</f>
        <v>0</v>
      </c>
      <c r="N10" s="178">
        <f t="shared" si="2"/>
        <v>0</v>
      </c>
      <c r="O10" s="178">
        <f t="shared" si="2"/>
        <v>0</v>
      </c>
      <c r="P10" s="177" t="e">
        <f>'[1]Lpg (2)'!#REF!</f>
        <v>#REF!</v>
      </c>
      <c r="Q10" s="178" t="e">
        <f>'[1]Summery Report'!#REF!</f>
        <v>#REF!</v>
      </c>
      <c r="R10" s="178" t="e">
        <f t="shared" si="0"/>
        <v>#DIV/0!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0</v>
      </c>
      <c r="C11" s="6">
        <f>Gen!T16</f>
        <v>0</v>
      </c>
      <c r="D11" s="180">
        <f>Gen!S16</f>
        <v>0</v>
      </c>
      <c r="E11" s="180">
        <f>Gen!AJ16</f>
        <v>0</v>
      </c>
      <c r="F11" s="180">
        <f>Gen!AR16</f>
        <v>0</v>
      </c>
      <c r="G11" s="183">
        <f>'Utility report '!AC11</f>
        <v>0</v>
      </c>
      <c r="H11" s="183">
        <f>'Utility report '!AE11</f>
        <v>0</v>
      </c>
      <c r="I11" s="387">
        <f>'Water-Meter'!E11</f>
        <v>0</v>
      </c>
      <c r="J11" s="185">
        <f>'Lpg (2)'!B15</f>
        <v>0</v>
      </c>
      <c r="K11" s="185">
        <f>'Lpg (2)'!C15</f>
        <v>0</v>
      </c>
      <c r="L11" s="185">
        <f>'Lpg (2)'!D15</f>
        <v>0</v>
      </c>
      <c r="M11" s="608">
        <f>'Lpg (2)'!G15</f>
        <v>0</v>
      </c>
      <c r="N11" s="178">
        <f t="shared" si="2"/>
        <v>0</v>
      </c>
      <c r="O11" s="178">
        <f t="shared" si="2"/>
        <v>0</v>
      </c>
      <c r="P11" s="177" t="e">
        <f>'[1]Lpg (2)'!#REF!</f>
        <v>#REF!</v>
      </c>
      <c r="Q11" s="178" t="e">
        <f>'[1]Summery Report'!#REF!</f>
        <v>#REF!</v>
      </c>
      <c r="R11" s="178" t="e">
        <f t="shared" si="0"/>
        <v>#DIV/0!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0</v>
      </c>
      <c r="C12" s="6">
        <f>Gen!T17</f>
        <v>0</v>
      </c>
      <c r="D12" s="180">
        <f>Gen!S17</f>
        <v>0</v>
      </c>
      <c r="E12" s="180">
        <f>Gen!AJ17</f>
        <v>0</v>
      </c>
      <c r="F12" s="180">
        <f>Gen!AR17</f>
        <v>0</v>
      </c>
      <c r="G12" s="183">
        <f>'Utility report '!AC12</f>
        <v>0</v>
      </c>
      <c r="H12" s="183">
        <f>'Utility report '!AE12</f>
        <v>0</v>
      </c>
      <c r="I12" s="387">
        <f>'Water-Meter'!E12</f>
        <v>0</v>
      </c>
      <c r="J12" s="185">
        <f>'Lpg (2)'!B16</f>
        <v>0</v>
      </c>
      <c r="K12" s="185">
        <f>'Lpg (2)'!C16</f>
        <v>0</v>
      </c>
      <c r="L12" s="185">
        <f>'Lpg (2)'!D16</f>
        <v>0</v>
      </c>
      <c r="M12" s="608">
        <f>'Lpg (2)'!G16</f>
        <v>0</v>
      </c>
      <c r="N12" s="178">
        <f t="shared" si="2"/>
        <v>0</v>
      </c>
      <c r="O12" s="178">
        <f t="shared" si="2"/>
        <v>0</v>
      </c>
      <c r="P12" s="177" t="e">
        <f>'[1]Lpg (2)'!#REF!</f>
        <v>#REF!</v>
      </c>
      <c r="Q12" s="178" t="e">
        <f>'[1]Summery Report'!#REF!</f>
        <v>#REF!</v>
      </c>
      <c r="R12" s="178" t="e">
        <f t="shared" si="0"/>
        <v>#DIV/0!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0</v>
      </c>
      <c r="C13" s="6">
        <f>Gen!T18</f>
        <v>0</v>
      </c>
      <c r="D13" s="180">
        <f>Gen!S18</f>
        <v>0</v>
      </c>
      <c r="E13" s="180">
        <f>Gen!AJ18</f>
        <v>0</v>
      </c>
      <c r="F13" s="180">
        <f>Gen!AR18</f>
        <v>0</v>
      </c>
      <c r="G13" s="183">
        <f>'Utility report '!AC13</f>
        <v>0</v>
      </c>
      <c r="H13" s="183">
        <f>'Utility report '!AE13</f>
        <v>0</v>
      </c>
      <c r="I13" s="387">
        <f>'Water-Meter'!E13</f>
        <v>0</v>
      </c>
      <c r="J13" s="185">
        <f>'Lpg (2)'!B17</f>
        <v>0</v>
      </c>
      <c r="K13" s="185">
        <f>'Lpg (2)'!C17</f>
        <v>0</v>
      </c>
      <c r="L13" s="185">
        <f>'Lpg (2)'!D17</f>
        <v>0</v>
      </c>
      <c r="M13" s="608">
        <f>'Lpg (2)'!G17</f>
        <v>0</v>
      </c>
      <c r="N13" s="178">
        <f t="shared" si="2"/>
        <v>0</v>
      </c>
      <c r="O13" s="178">
        <f t="shared" si="2"/>
        <v>0</v>
      </c>
      <c r="P13" s="177" t="e">
        <f>'[1]Lpg (2)'!#REF!</f>
        <v>#REF!</v>
      </c>
      <c r="Q13" s="178" t="e">
        <f>'[1]Summery Report'!#REF!</f>
        <v>#REF!</v>
      </c>
      <c r="R13" s="178" t="e">
        <f t="shared" si="0"/>
        <v>#DIV/0!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0</v>
      </c>
      <c r="C14" s="6">
        <f>Gen!T19</f>
        <v>0</v>
      </c>
      <c r="D14" s="180">
        <f>Gen!S19</f>
        <v>0</v>
      </c>
      <c r="E14" s="180">
        <f>Gen!AJ19</f>
        <v>0</v>
      </c>
      <c r="F14" s="180">
        <f>Gen!AR19</f>
        <v>0</v>
      </c>
      <c r="G14" s="183">
        <f>'Utility report '!AC14</f>
        <v>0</v>
      </c>
      <c r="H14" s="183">
        <f>'Utility report '!AE14</f>
        <v>0</v>
      </c>
      <c r="I14" s="387">
        <f>'Water-Meter'!E14</f>
        <v>0</v>
      </c>
      <c r="J14" s="185">
        <f>'Lpg (2)'!B18</f>
        <v>0</v>
      </c>
      <c r="K14" s="185">
        <f>'Lpg (2)'!C18</f>
        <v>0</v>
      </c>
      <c r="L14" s="185">
        <f>'Lpg (2)'!D18</f>
        <v>0</v>
      </c>
      <c r="M14" s="608">
        <f>'Lpg (2)'!G18</f>
        <v>0</v>
      </c>
      <c r="N14" s="178">
        <f t="shared" si="2"/>
        <v>0</v>
      </c>
      <c r="O14" s="178">
        <f t="shared" si="2"/>
        <v>0</v>
      </c>
      <c r="P14" s="177" t="e">
        <f>'[1]Lpg (2)'!#REF!</f>
        <v>#REF!</v>
      </c>
      <c r="Q14" s="178" t="e">
        <f>'[1]Summery Report'!#REF!</f>
        <v>#REF!</v>
      </c>
      <c r="R14" s="178" t="e">
        <f t="shared" si="0"/>
        <v>#DIV/0!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0</v>
      </c>
      <c r="C15" s="6">
        <f>Gen!T20</f>
        <v>0</v>
      </c>
      <c r="D15" s="180">
        <f>Gen!S20</f>
        <v>0</v>
      </c>
      <c r="E15" s="180">
        <f>Gen!AJ20</f>
        <v>0</v>
      </c>
      <c r="F15" s="180">
        <f>Gen!AR20</f>
        <v>0</v>
      </c>
      <c r="G15" s="183">
        <f>'Utility report '!AC15</f>
        <v>0</v>
      </c>
      <c r="H15" s="183">
        <f>'Utility report '!AE15</f>
        <v>0</v>
      </c>
      <c r="I15" s="387">
        <f>'Water-Meter'!E15</f>
        <v>0</v>
      </c>
      <c r="J15" s="185">
        <f>'Lpg (2)'!B19</f>
        <v>0</v>
      </c>
      <c r="K15" s="185">
        <f>'Lpg (2)'!C19</f>
        <v>0</v>
      </c>
      <c r="L15" s="185">
        <f>'Lpg (2)'!D19</f>
        <v>0</v>
      </c>
      <c r="M15" s="608">
        <f>'Lpg (2)'!G19</f>
        <v>0</v>
      </c>
      <c r="N15" s="178">
        <f t="shared" si="2"/>
        <v>0</v>
      </c>
      <c r="O15" s="178">
        <f t="shared" si="2"/>
        <v>0</v>
      </c>
      <c r="P15" s="177" t="e">
        <f>'[1]Lpg (2)'!#REF!</f>
        <v>#REF!</v>
      </c>
      <c r="Q15" s="178" t="e">
        <f>'[1]Summery Report'!#REF!</f>
        <v>#REF!</v>
      </c>
      <c r="R15" s="178" t="e">
        <f t="shared" si="0"/>
        <v>#DIV/0!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0</v>
      </c>
      <c r="C16" s="6">
        <f>Gen!T21</f>
        <v>0</v>
      </c>
      <c r="D16" s="180">
        <f>Gen!S21</f>
        <v>0</v>
      </c>
      <c r="E16" s="180">
        <f>Gen!AJ21</f>
        <v>0</v>
      </c>
      <c r="F16" s="180">
        <f>Gen!AR21</f>
        <v>0</v>
      </c>
      <c r="G16" s="183">
        <f>'Utility report '!AC16</f>
        <v>0</v>
      </c>
      <c r="H16" s="183">
        <f>'Utility report '!AE16</f>
        <v>0</v>
      </c>
      <c r="I16" s="387">
        <f>'Water-Meter'!E16</f>
        <v>0</v>
      </c>
      <c r="J16" s="185">
        <f>'Lpg (2)'!B20</f>
        <v>0</v>
      </c>
      <c r="K16" s="185">
        <f>'Lpg (2)'!C20</f>
        <v>0</v>
      </c>
      <c r="L16" s="185">
        <f>'Lpg (2)'!D20</f>
        <v>0</v>
      </c>
      <c r="M16" s="608">
        <f>'Lpg (2)'!G20</f>
        <v>0</v>
      </c>
      <c r="N16" s="178">
        <f t="shared" si="2"/>
        <v>0</v>
      </c>
      <c r="O16" s="178">
        <f t="shared" si="2"/>
        <v>0</v>
      </c>
      <c r="P16" s="177" t="e">
        <f>'[1]Lpg (2)'!#REF!</f>
        <v>#REF!</v>
      </c>
      <c r="Q16" s="178" t="e">
        <f>'[1]Summery Report'!#REF!</f>
        <v>#REF!</v>
      </c>
      <c r="R16" s="178" t="e">
        <f t="shared" si="0"/>
        <v>#DIV/0!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0</v>
      </c>
      <c r="C17" s="6">
        <f>Gen!T22</f>
        <v>0</v>
      </c>
      <c r="D17" s="180">
        <f>Gen!S22</f>
        <v>0</v>
      </c>
      <c r="E17" s="180">
        <f>Gen!AJ22</f>
        <v>0</v>
      </c>
      <c r="F17" s="180">
        <f>Gen!AR22</f>
        <v>0</v>
      </c>
      <c r="G17" s="183">
        <f>'Utility report '!AC17</f>
        <v>0</v>
      </c>
      <c r="H17" s="183">
        <f>'Utility report '!AE17</f>
        <v>0</v>
      </c>
      <c r="I17" s="387">
        <f>'Water-Meter'!E17</f>
        <v>0</v>
      </c>
      <c r="J17" s="185">
        <f>'Lpg (2)'!B21</f>
        <v>0</v>
      </c>
      <c r="K17" s="185">
        <f>'Lpg (2)'!C21</f>
        <v>0</v>
      </c>
      <c r="L17" s="185">
        <f>'Lpg (2)'!D21</f>
        <v>0</v>
      </c>
      <c r="M17" s="608">
        <f>'Lpg (2)'!G21</f>
        <v>0</v>
      </c>
      <c r="N17" s="178">
        <f t="shared" si="2"/>
        <v>0</v>
      </c>
      <c r="O17" s="178">
        <f t="shared" si="2"/>
        <v>0</v>
      </c>
      <c r="P17" s="177" t="e">
        <f>'[1]Lpg (2)'!#REF!</f>
        <v>#REF!</v>
      </c>
      <c r="Q17" s="178" t="e">
        <f>'[1]Summery Report'!#REF!</f>
        <v>#REF!</v>
      </c>
      <c r="R17" s="178" t="e">
        <f t="shared" si="0"/>
        <v>#DIV/0!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0</v>
      </c>
      <c r="C18" s="6">
        <f>Gen!T23</f>
        <v>0</v>
      </c>
      <c r="D18" s="180">
        <f>Gen!S23</f>
        <v>0</v>
      </c>
      <c r="E18" s="180">
        <f>Gen!AJ23</f>
        <v>0</v>
      </c>
      <c r="F18" s="180">
        <f>Gen!AR23</f>
        <v>0</v>
      </c>
      <c r="G18" s="183">
        <f>'Utility report '!AC18</f>
        <v>0</v>
      </c>
      <c r="H18" s="183">
        <f>'Utility report '!AE18</f>
        <v>0</v>
      </c>
      <c r="I18" s="387">
        <f>'Water-Meter'!E18</f>
        <v>0</v>
      </c>
      <c r="J18" s="185">
        <f>'Lpg (2)'!B22</f>
        <v>0</v>
      </c>
      <c r="K18" s="185">
        <f>'Lpg (2)'!C22</f>
        <v>0</v>
      </c>
      <c r="L18" s="185">
        <f>'Lpg (2)'!D22</f>
        <v>0</v>
      </c>
      <c r="M18" s="608">
        <f>'Lpg (2)'!G22</f>
        <v>0</v>
      </c>
      <c r="N18" s="178">
        <f t="shared" si="2"/>
        <v>0</v>
      </c>
      <c r="O18" s="178">
        <f t="shared" si="2"/>
        <v>0</v>
      </c>
      <c r="P18" s="177" t="e">
        <f>'[1]Lpg (2)'!#REF!</f>
        <v>#REF!</v>
      </c>
      <c r="Q18" s="178" t="e">
        <f>'[1]Summery Report'!#REF!</f>
        <v>#REF!</v>
      </c>
      <c r="R18" s="178" t="e">
        <f t="shared" si="0"/>
        <v>#DIV/0!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0</v>
      </c>
      <c r="C19" s="6">
        <f>Gen!T24</f>
        <v>0</v>
      </c>
      <c r="D19" s="180">
        <f>Gen!S24</f>
        <v>0</v>
      </c>
      <c r="E19" s="180">
        <f>Gen!AJ24</f>
        <v>0</v>
      </c>
      <c r="F19" s="180">
        <f>Gen!AR24</f>
        <v>0</v>
      </c>
      <c r="G19" s="183">
        <f>'Utility report '!AC19</f>
        <v>0</v>
      </c>
      <c r="H19" s="183">
        <f>'Utility report '!AE19</f>
        <v>0</v>
      </c>
      <c r="I19" s="387">
        <f>'Water-Meter'!E19</f>
        <v>0</v>
      </c>
      <c r="J19" s="185">
        <f>'Lpg (2)'!B23</f>
        <v>0</v>
      </c>
      <c r="K19" s="185">
        <f>'Lpg (2)'!C23</f>
        <v>0</v>
      </c>
      <c r="L19" s="185">
        <f>'Lpg (2)'!D23</f>
        <v>0</v>
      </c>
      <c r="M19" s="608">
        <f>'Lpg (2)'!G23</f>
        <v>0</v>
      </c>
      <c r="N19" s="178">
        <f t="shared" si="2"/>
        <v>0</v>
      </c>
      <c r="O19" s="178">
        <f t="shared" si="2"/>
        <v>0</v>
      </c>
      <c r="P19" s="177" t="e">
        <f>'[1]Lpg (2)'!#REF!</f>
        <v>#REF!</v>
      </c>
      <c r="Q19" s="178" t="e">
        <f>'[1]Summery Report'!#REF!</f>
        <v>#REF!</v>
      </c>
      <c r="R19" s="178" t="e">
        <f t="shared" si="0"/>
        <v>#DIV/0!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0</v>
      </c>
      <c r="C20" s="6">
        <f>Gen!T25</f>
        <v>0</v>
      </c>
      <c r="D20" s="180">
        <f>Gen!S25</f>
        <v>0</v>
      </c>
      <c r="E20" s="180">
        <f>Gen!AJ25</f>
        <v>0</v>
      </c>
      <c r="F20" s="180">
        <f>Gen!AR25</f>
        <v>0</v>
      </c>
      <c r="G20" s="183">
        <f>'Utility report '!AC20</f>
        <v>0</v>
      </c>
      <c r="H20" s="183">
        <f>'Utility report '!AE20</f>
        <v>0</v>
      </c>
      <c r="I20" s="387">
        <f>'Water-Meter'!E20</f>
        <v>0</v>
      </c>
      <c r="J20" s="185">
        <f>'Lpg (2)'!B24</f>
        <v>0</v>
      </c>
      <c r="K20" s="185">
        <f>'Lpg (2)'!C24</f>
        <v>0</v>
      </c>
      <c r="L20" s="185">
        <f>'Lpg (2)'!D24</f>
        <v>0</v>
      </c>
      <c r="M20" s="608">
        <f>'Lpg (2)'!G24</f>
        <v>0</v>
      </c>
      <c r="N20" s="178">
        <f t="shared" si="2"/>
        <v>0</v>
      </c>
      <c r="O20" s="178">
        <f t="shared" si="2"/>
        <v>0</v>
      </c>
      <c r="P20" s="177" t="e">
        <f>'[1]Lpg (2)'!#REF!</f>
        <v>#REF!</v>
      </c>
      <c r="Q20" s="178" t="e">
        <f>'[1]Summery Report'!#REF!</f>
        <v>#REF!</v>
      </c>
      <c r="R20" s="178" t="e">
        <f t="shared" si="0"/>
        <v>#DIV/0!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0</v>
      </c>
      <c r="C21" s="6">
        <f>Gen!T26</f>
        <v>0</v>
      </c>
      <c r="D21" s="180">
        <f>Gen!S26</f>
        <v>0</v>
      </c>
      <c r="E21" s="180">
        <f>Gen!AJ26</f>
        <v>0</v>
      </c>
      <c r="F21" s="180">
        <f>Gen!AR26</f>
        <v>0</v>
      </c>
      <c r="G21" s="183">
        <f>'Utility report '!AC21</f>
        <v>0</v>
      </c>
      <c r="H21" s="183">
        <f>'Utility report '!AE21</f>
        <v>0</v>
      </c>
      <c r="I21" s="387">
        <f>'Water-Meter'!E21</f>
        <v>0</v>
      </c>
      <c r="J21" s="185">
        <f>'Lpg (2)'!B25</f>
        <v>0</v>
      </c>
      <c r="K21" s="185">
        <f>'Lpg (2)'!C25</f>
        <v>0</v>
      </c>
      <c r="L21" s="185">
        <f>'Lpg (2)'!D25</f>
        <v>0</v>
      </c>
      <c r="M21" s="608">
        <f>'Lpg (2)'!G25</f>
        <v>0</v>
      </c>
      <c r="N21" s="178">
        <f t="shared" si="2"/>
        <v>0</v>
      </c>
      <c r="O21" s="178">
        <f t="shared" si="2"/>
        <v>0</v>
      </c>
      <c r="P21" s="177" t="e">
        <f>'[1]Lpg (2)'!#REF!</f>
        <v>#REF!</v>
      </c>
      <c r="Q21" s="178" t="e">
        <f>'[1]Summery Report'!#REF!</f>
        <v>#REF!</v>
      </c>
      <c r="R21" s="178" t="e">
        <f t="shared" si="0"/>
        <v>#DIV/0!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0</v>
      </c>
      <c r="C22" s="6">
        <f>Gen!T27</f>
        <v>0</v>
      </c>
      <c r="D22" s="180">
        <f>Gen!S27</f>
        <v>0</v>
      </c>
      <c r="E22" s="180">
        <f>Gen!AJ27</f>
        <v>0</v>
      </c>
      <c r="F22" s="180">
        <f>Gen!AR27</f>
        <v>0</v>
      </c>
      <c r="G22" s="183">
        <f>'Utility report '!AC22</f>
        <v>0</v>
      </c>
      <c r="H22" s="183">
        <f>'Utility report '!AE22</f>
        <v>0</v>
      </c>
      <c r="I22" s="387">
        <f>'Water-Meter'!E22</f>
        <v>0</v>
      </c>
      <c r="J22" s="185">
        <f>'Lpg (2)'!B26</f>
        <v>0</v>
      </c>
      <c r="K22" s="185">
        <f>'Lpg (2)'!C26</f>
        <v>0</v>
      </c>
      <c r="L22" s="185">
        <f>'Lpg (2)'!D26</f>
        <v>0</v>
      </c>
      <c r="M22" s="608">
        <f>'Lpg (2)'!G26</f>
        <v>0</v>
      </c>
      <c r="N22" s="178">
        <f t="shared" si="2"/>
        <v>0</v>
      </c>
      <c r="O22" s="178">
        <f t="shared" si="2"/>
        <v>0</v>
      </c>
      <c r="P22" s="177" t="e">
        <f>'[1]Lpg (2)'!#REF!</f>
        <v>#REF!</v>
      </c>
      <c r="Q22" s="178" t="e">
        <f>'[1]Summery Report'!#REF!</f>
        <v>#REF!</v>
      </c>
      <c r="R22" s="178" t="e">
        <f t="shared" si="0"/>
        <v>#DIV/0!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0</v>
      </c>
      <c r="C23" s="6">
        <f>Gen!T28</f>
        <v>0</v>
      </c>
      <c r="D23" s="180">
        <f>Gen!S28</f>
        <v>0</v>
      </c>
      <c r="E23" s="180">
        <f>Gen!AJ28</f>
        <v>0</v>
      </c>
      <c r="F23" s="180">
        <f>Gen!AR28</f>
        <v>0</v>
      </c>
      <c r="G23" s="183">
        <f>'Utility report '!AC23</f>
        <v>0</v>
      </c>
      <c r="H23" s="183">
        <f>'Utility report '!AE23</f>
        <v>0</v>
      </c>
      <c r="I23" s="387">
        <f>'Water-Meter'!E23</f>
        <v>0</v>
      </c>
      <c r="J23" s="185">
        <f>'Lpg (2)'!B27</f>
        <v>0</v>
      </c>
      <c r="K23" s="185">
        <f>'Lpg (2)'!C27</f>
        <v>0</v>
      </c>
      <c r="L23" s="185">
        <f>'Lpg (2)'!D27</f>
        <v>0</v>
      </c>
      <c r="M23" s="608">
        <f>'Lpg (2)'!G27</f>
        <v>0</v>
      </c>
      <c r="N23" s="178">
        <f t="shared" si="2"/>
        <v>0</v>
      </c>
      <c r="O23" s="178">
        <f t="shared" si="2"/>
        <v>0</v>
      </c>
      <c r="P23" s="177" t="e">
        <f>'[1]Lpg (2)'!#REF!</f>
        <v>#REF!</v>
      </c>
      <c r="Q23" s="178" t="e">
        <f>'[1]Summery Report'!#REF!</f>
        <v>#REF!</v>
      </c>
      <c r="R23" s="178" t="e">
        <f t="shared" si="0"/>
        <v>#DIV/0!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0</v>
      </c>
      <c r="C24" s="6">
        <f>Gen!T29</f>
        <v>0</v>
      </c>
      <c r="D24" s="180">
        <f>Gen!S29</f>
        <v>0</v>
      </c>
      <c r="E24" s="180">
        <f>Gen!AJ29</f>
        <v>0</v>
      </c>
      <c r="F24" s="180">
        <f>Gen!AR29</f>
        <v>0</v>
      </c>
      <c r="G24" s="183">
        <f>'Utility report '!AC24</f>
        <v>0</v>
      </c>
      <c r="H24" s="183">
        <f>'Utility report '!AE24</f>
        <v>0</v>
      </c>
      <c r="I24" s="387">
        <f>'Water-Meter'!E24</f>
        <v>0</v>
      </c>
      <c r="J24" s="185">
        <f>'Lpg (2)'!B28</f>
        <v>0</v>
      </c>
      <c r="K24" s="185">
        <f>'Lpg (2)'!C28</f>
        <v>0</v>
      </c>
      <c r="L24" s="185">
        <f>'Lpg (2)'!D28</f>
        <v>0</v>
      </c>
      <c r="M24" s="608">
        <f>'Lpg (2)'!G28</f>
        <v>0</v>
      </c>
      <c r="N24" s="178">
        <f t="shared" si="2"/>
        <v>0</v>
      </c>
      <c r="O24" s="178">
        <f t="shared" si="2"/>
        <v>0</v>
      </c>
      <c r="P24" s="177" t="e">
        <f>'[1]Lpg (2)'!#REF!</f>
        <v>#REF!</v>
      </c>
      <c r="Q24" s="178" t="e">
        <f>'[1]Summery Report'!#REF!</f>
        <v>#REF!</v>
      </c>
      <c r="R24" s="178" t="e">
        <f t="shared" si="0"/>
        <v>#DIV/0!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0</v>
      </c>
      <c r="C25" s="6">
        <f>Gen!T30</f>
        <v>0</v>
      </c>
      <c r="D25" s="180">
        <f>Gen!S30</f>
        <v>0</v>
      </c>
      <c r="E25" s="180">
        <f>Gen!AJ30</f>
        <v>0</v>
      </c>
      <c r="F25" s="180">
        <f>Gen!AR30</f>
        <v>0</v>
      </c>
      <c r="G25" s="183">
        <f>'Utility report '!AC25</f>
        <v>0</v>
      </c>
      <c r="H25" s="183">
        <f>'Utility report '!AE25</f>
        <v>0</v>
      </c>
      <c r="I25" s="387">
        <f>'Water-Meter'!E25</f>
        <v>0</v>
      </c>
      <c r="J25" s="185">
        <f>'Lpg (2)'!B29</f>
        <v>0</v>
      </c>
      <c r="K25" s="185">
        <f>'Lpg (2)'!C29</f>
        <v>0</v>
      </c>
      <c r="L25" s="185">
        <f>'Lpg (2)'!D29</f>
        <v>0</v>
      </c>
      <c r="M25" s="608">
        <f>'Lpg (2)'!G29</f>
        <v>0</v>
      </c>
      <c r="N25" s="178">
        <f t="shared" si="2"/>
        <v>0</v>
      </c>
      <c r="O25" s="178">
        <f t="shared" si="2"/>
        <v>0</v>
      </c>
      <c r="P25" s="177" t="e">
        <f>'[1]Lpg (2)'!#REF!</f>
        <v>#REF!</v>
      </c>
      <c r="Q25" s="178" t="e">
        <f>'[1]Summery Report'!#REF!</f>
        <v>#REF!</v>
      </c>
      <c r="R25" s="178" t="e">
        <f t="shared" si="0"/>
        <v>#DIV/0!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0</v>
      </c>
      <c r="C26" s="6">
        <f>Gen!T31</f>
        <v>0</v>
      </c>
      <c r="D26" s="180">
        <f>Gen!S31</f>
        <v>0</v>
      </c>
      <c r="E26" s="180">
        <f>Gen!AJ31</f>
        <v>0</v>
      </c>
      <c r="F26" s="180">
        <f>Gen!AR31</f>
        <v>0</v>
      </c>
      <c r="G26" s="183">
        <f>'Utility report '!AC26</f>
        <v>0</v>
      </c>
      <c r="H26" s="183">
        <f>'Utility report '!AE26</f>
        <v>0</v>
      </c>
      <c r="I26" s="387">
        <f>'Water-Meter'!E26</f>
        <v>0</v>
      </c>
      <c r="J26" s="185">
        <f>'Lpg (2)'!B30</f>
        <v>0</v>
      </c>
      <c r="K26" s="185">
        <f>'Lpg (2)'!C30</f>
        <v>0</v>
      </c>
      <c r="L26" s="185">
        <f>'Lpg (2)'!D30</f>
        <v>0</v>
      </c>
      <c r="M26" s="608">
        <f>'Lpg (2)'!G30</f>
        <v>0</v>
      </c>
      <c r="N26" s="178">
        <f t="shared" si="2"/>
        <v>0</v>
      </c>
      <c r="O26" s="178">
        <f t="shared" si="2"/>
        <v>0</v>
      </c>
      <c r="P26" s="177" t="e">
        <f>'[1]Lpg (2)'!#REF!</f>
        <v>#REF!</v>
      </c>
      <c r="Q26" s="178" t="e">
        <f>'[1]Summery Report'!#REF!</f>
        <v>#REF!</v>
      </c>
      <c r="R26" s="178" t="e">
        <f t="shared" si="0"/>
        <v>#DIV/0!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0</v>
      </c>
      <c r="H27" s="183">
        <f>'Utility report '!AE27</f>
        <v>0</v>
      </c>
      <c r="I27" s="387">
        <f>'Water-Meter'!E27</f>
        <v>0</v>
      </c>
      <c r="J27" s="185">
        <f>'Lpg (2)'!B31</f>
        <v>0</v>
      </c>
      <c r="K27" s="185">
        <f>'Lpg (2)'!C31</f>
        <v>0</v>
      </c>
      <c r="L27" s="185">
        <f>'Lpg (2)'!D31</f>
        <v>0</v>
      </c>
      <c r="M27" s="608">
        <f>'Lpg (2)'!G31</f>
        <v>0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 t="e">
        <f t="shared" si="0"/>
        <v>#DIV/0!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0</v>
      </c>
      <c r="H28" s="183">
        <f>'Utility report '!AE28</f>
        <v>0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0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18</v>
      </c>
      <c r="C39" s="617">
        <f>SUM(C7:C35)</f>
        <v>4303</v>
      </c>
      <c r="D39" s="617">
        <f>SUM(D7:D35)</f>
        <v>1802.8500000000001</v>
      </c>
      <c r="E39" s="617">
        <f t="shared" ref="E39:S39" si="3">SUM(E7:E35)</f>
        <v>130.38999999999999</v>
      </c>
      <c r="F39" s="617">
        <f t="shared" si="3"/>
        <v>1933.2400000000002</v>
      </c>
      <c r="G39" s="617">
        <f t="shared" si="3"/>
        <v>-23950</v>
      </c>
      <c r="H39" s="617">
        <f t="shared" si="3"/>
        <v>-195178</v>
      </c>
      <c r="I39" s="617">
        <f t="shared" si="3"/>
        <v>97</v>
      </c>
      <c r="J39" s="617">
        <f t="shared" si="3"/>
        <v>170</v>
      </c>
      <c r="K39" s="617">
        <f t="shared" si="3"/>
        <v>170</v>
      </c>
      <c r="L39" s="617">
        <f t="shared" si="3"/>
        <v>10</v>
      </c>
      <c r="M39" s="617">
        <f t="shared" si="3"/>
        <v>-307350.91200000001</v>
      </c>
      <c r="N39" s="617">
        <f t="shared" si="3"/>
        <v>2523.9900000000002</v>
      </c>
      <c r="O39" s="617">
        <f t="shared" si="3"/>
        <v>182.54599999999996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AB11" sqref="AB1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8" t="s">
        <v>316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70"/>
    </row>
    <row r="2" spans="1:37" ht="61.5" customHeight="1" thickBot="1">
      <c r="A2" s="151" t="s">
        <v>99</v>
      </c>
      <c r="B2" s="771" t="s">
        <v>100</v>
      </c>
      <c r="C2" s="772"/>
      <c r="D2" s="773"/>
      <c r="E2" s="152"/>
      <c r="F2" s="152"/>
      <c r="G2" s="152"/>
      <c r="H2" s="149" t="s">
        <v>125</v>
      </c>
      <c r="I2" s="373" t="s">
        <v>101</v>
      </c>
      <c r="J2" s="776" t="s">
        <v>123</v>
      </c>
      <c r="K2" s="559"/>
      <c r="L2" s="778" t="s">
        <v>124</v>
      </c>
      <c r="M2" s="558" t="s">
        <v>102</v>
      </c>
      <c r="N2" s="776" t="s">
        <v>103</v>
      </c>
      <c r="O2" s="760" t="s">
        <v>104</v>
      </c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374" t="s">
        <v>105</v>
      </c>
      <c r="AB2" s="771" t="s">
        <v>165</v>
      </c>
      <c r="AC2" s="773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4">
        <f>SUM(D3/B3)</f>
        <v>1.3262195121951219</v>
      </c>
      <c r="G3" s="775"/>
      <c r="H3" s="132">
        <f>Gen!C11</f>
        <v>30982.31</v>
      </c>
      <c r="I3" s="142"/>
      <c r="J3" s="776"/>
      <c r="K3" s="559" t="s">
        <v>166</v>
      </c>
      <c r="L3" s="778"/>
      <c r="M3" s="375" t="s">
        <v>112</v>
      </c>
      <c r="N3" s="776"/>
      <c r="O3" s="760" t="s">
        <v>113</v>
      </c>
      <c r="P3" s="761"/>
      <c r="Q3" s="761"/>
      <c r="R3" s="761"/>
      <c r="S3" s="762" t="s">
        <v>114</v>
      </c>
      <c r="T3" s="763"/>
      <c r="U3" s="763"/>
      <c r="V3" s="764"/>
      <c r="W3" s="765" t="s">
        <v>115</v>
      </c>
      <c r="X3" s="766"/>
      <c r="Y3" s="766"/>
      <c r="Z3" s="767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6"/>
      <c r="K4" s="559"/>
      <c r="L4" s="778"/>
      <c r="M4" s="144"/>
      <c r="N4" s="777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/>
      <c r="Y5" s="233"/>
      <c r="Z5" s="233"/>
      <c r="AA5" s="233"/>
      <c r="AB5" s="653"/>
      <c r="AC5" s="139"/>
      <c r="AD5" s="514"/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23143</v>
      </c>
      <c r="Z6" s="575">
        <f t="shared" ref="Z6:AA6" si="3">Y6-Y5</f>
        <v>23143</v>
      </c>
      <c r="AA6" s="575">
        <f t="shared" si="3"/>
        <v>23143</v>
      </c>
      <c r="AB6" s="653">
        <v>23950</v>
      </c>
      <c r="AC6" s="139">
        <f>AB6-AB5</f>
        <v>23950</v>
      </c>
      <c r="AD6" s="514">
        <v>195178</v>
      </c>
      <c r="AE6" s="240">
        <f>AD6-AD5</f>
        <v>195178</v>
      </c>
      <c r="AF6" s="351">
        <f>'Lpg (2)'!B10*2000/85</f>
        <v>2000</v>
      </c>
      <c r="AG6" s="352">
        <f>'Lpg (2)'!C10*1000/85</f>
        <v>1000</v>
      </c>
      <c r="AH6" s="353">
        <f>'Lpg (2)'!D10*1000/85</f>
        <v>58.823529411764703</v>
      </c>
      <c r="AI6" s="578">
        <f>SUM(AF6*2000)+(AG6*1000)+(AH6*1000)</f>
        <v>5058823.5294117648</v>
      </c>
      <c r="AJ6" s="579">
        <f t="shared" ref="AJ6:AJ36" si="4">SUM(AI5-AI6)</f>
        <v>-5058823.5294117648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58.823529411764703</v>
      </c>
      <c r="AI7" s="580">
        <f t="shared" ref="AI7:AI14" si="12">SUM(AF6*2000)+(AG7*1000)+(AH7*1000)</f>
        <v>5058823.5294117648</v>
      </c>
      <c r="AJ7" s="579">
        <f t="shared" si="4"/>
        <v>0</v>
      </c>
      <c r="AK7" s="145"/>
    </row>
    <row r="8" spans="1:37" ht="19.5" thickBot="1">
      <c r="A8" s="95">
        <f>Gen!A13</f>
        <v>43864</v>
      </c>
      <c r="B8" s="570">
        <f>'Summery Report'!E7</f>
        <v>0</v>
      </c>
      <c r="C8" s="159">
        <f>Gen!B13</f>
        <v>0</v>
      </c>
      <c r="D8" s="571">
        <f>'Summery Report'!E7</f>
        <v>0</v>
      </c>
      <c r="E8" s="572">
        <f t="shared" ref="E8:E36" si="13">SUM(E7)</f>
        <v>1.3262195121951219</v>
      </c>
      <c r="F8" s="573" t="e">
        <f t="shared" ref="F8:F36" si="14">SUM(J8*E8)/D8</f>
        <v>#DIV/0!</v>
      </c>
      <c r="G8" s="573" t="e">
        <f t="shared" si="0"/>
        <v>#DIV/0!</v>
      </c>
      <c r="H8" s="572">
        <f>Gen!C13</f>
        <v>27141.11</v>
      </c>
      <c r="I8" s="574">
        <f>Gen!E13</f>
        <v>0</v>
      </c>
      <c r="J8" s="143">
        <f>Gen!S13</f>
        <v>0</v>
      </c>
      <c r="K8" s="143">
        <f>Gen!AJ13</f>
        <v>0</v>
      </c>
      <c r="L8" s="143">
        <f t="shared" si="1"/>
        <v>0</v>
      </c>
      <c r="M8" s="607">
        <f>'Water-Meter'!K48</f>
        <v>0</v>
      </c>
      <c r="N8" s="222" t="str">
        <f>'Water-Meter'!E8</f>
        <v>0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58.823529411764703</v>
      </c>
      <c r="AI8" s="580">
        <f t="shared" si="12"/>
        <v>5058823.5294117648</v>
      </c>
      <c r="AJ8" s="579">
        <f t="shared" si="4"/>
        <v>0</v>
      </c>
      <c r="AK8" s="145"/>
    </row>
    <row r="9" spans="1:37" ht="19.5" thickBot="1">
      <c r="A9" s="95">
        <f>Gen!A14</f>
        <v>43865</v>
      </c>
      <c r="B9" s="570">
        <f>'Summery Report'!E8</f>
        <v>0</v>
      </c>
      <c r="C9" s="159">
        <f>Gen!B14</f>
        <v>0</v>
      </c>
      <c r="D9" s="571">
        <f>'Summery Report'!E8</f>
        <v>0</v>
      </c>
      <c r="E9" s="572">
        <f t="shared" si="13"/>
        <v>1.3262195121951219</v>
      </c>
      <c r="F9" s="573" t="e">
        <f t="shared" si="14"/>
        <v>#DIV/0!</v>
      </c>
      <c r="G9" s="573" t="e">
        <f t="shared" si="0"/>
        <v>#DIV/0!</v>
      </c>
      <c r="H9" s="572">
        <f>Gen!C14</f>
        <v>27141.11</v>
      </c>
      <c r="I9" s="574">
        <f>Gen!E14</f>
        <v>0</v>
      </c>
      <c r="J9" s="143">
        <f>Gen!S14</f>
        <v>0</v>
      </c>
      <c r="K9" s="143">
        <f>Gen!AJ14</f>
        <v>0</v>
      </c>
      <c r="L9" s="143">
        <f t="shared" si="1"/>
        <v>0</v>
      </c>
      <c r="M9" s="607">
        <f>'Water-Meter'!K49</f>
        <v>0</v>
      </c>
      <c r="N9" s="222">
        <f>'Water-Meter'!E9</f>
        <v>0</v>
      </c>
      <c r="O9" s="233"/>
      <c r="P9" s="514"/>
      <c r="Q9" s="575">
        <f t="shared" si="2"/>
        <v>-18665</v>
      </c>
      <c r="R9" s="576">
        <f t="shared" si="5"/>
        <v>0</v>
      </c>
      <c r="S9" s="514"/>
      <c r="T9" s="654"/>
      <c r="U9" s="575">
        <f t="shared" si="6"/>
        <v>-15719</v>
      </c>
      <c r="V9" s="577">
        <f t="shared" si="7"/>
        <v>0</v>
      </c>
      <c r="W9" s="514"/>
      <c r="X9" s="652"/>
      <c r="Y9" s="575">
        <f t="shared" si="8"/>
        <v>-23184.3</v>
      </c>
      <c r="Z9" s="577">
        <f t="shared" si="9"/>
        <v>0</v>
      </c>
      <c r="AA9" s="577">
        <f t="shared" si="10"/>
        <v>0</v>
      </c>
      <c r="AB9" s="653"/>
      <c r="AC9" s="139">
        <f t="shared" si="11"/>
        <v>-24132</v>
      </c>
      <c r="AD9" s="514"/>
      <c r="AE9" s="240">
        <f t="shared" si="15"/>
        <v>-195301</v>
      </c>
      <c r="AF9" s="351">
        <f>'Lpg (2)'!B13*2000/85</f>
        <v>0</v>
      </c>
      <c r="AG9" s="352">
        <f>'Lpg (2)'!C13*1000/85</f>
        <v>0</v>
      </c>
      <c r="AH9" s="353">
        <f>'Lpg (2)'!D13*1000/85</f>
        <v>0</v>
      </c>
      <c r="AI9" s="580">
        <f t="shared" si="12"/>
        <v>4000000</v>
      </c>
      <c r="AJ9" s="579">
        <f t="shared" si="4"/>
        <v>1058823.5294117648</v>
      </c>
      <c r="AK9" s="145"/>
    </row>
    <row r="10" spans="1:37" ht="19.5" thickBot="1">
      <c r="A10" s="95">
        <f>Gen!A15</f>
        <v>43866</v>
      </c>
      <c r="B10" s="570">
        <f>'Summery Report'!E9</f>
        <v>0</v>
      </c>
      <c r="C10" s="159">
        <f>Gen!B15</f>
        <v>0</v>
      </c>
      <c r="D10" s="571">
        <f>'Summery Report'!E9</f>
        <v>0</v>
      </c>
      <c r="E10" s="572">
        <f t="shared" si="13"/>
        <v>1.3262195121951219</v>
      </c>
      <c r="F10" s="573" t="e">
        <f t="shared" si="14"/>
        <v>#DIV/0!</v>
      </c>
      <c r="G10" s="573" t="e">
        <f t="shared" si="0"/>
        <v>#DIV/0!</v>
      </c>
      <c r="H10" s="572">
        <f>Gen!C15</f>
        <v>27141.11</v>
      </c>
      <c r="I10" s="574">
        <f>Gen!E15</f>
        <v>0</v>
      </c>
      <c r="J10" s="143">
        <f>Gen!S15</f>
        <v>0</v>
      </c>
      <c r="K10" s="143">
        <f>Gen!AJ15</f>
        <v>0</v>
      </c>
      <c r="L10" s="143">
        <f t="shared" si="1"/>
        <v>0</v>
      </c>
      <c r="M10" s="607">
        <f>'Water-Meter'!K50</f>
        <v>0</v>
      </c>
      <c r="N10" s="222">
        <f>'Water-Meter'!E10</f>
        <v>0</v>
      </c>
      <c r="O10" s="233"/>
      <c r="P10" s="514"/>
      <c r="Q10" s="575">
        <f t="shared" si="2"/>
        <v>0</v>
      </c>
      <c r="R10" s="576">
        <f t="shared" si="5"/>
        <v>0</v>
      </c>
      <c r="S10" s="514"/>
      <c r="T10" s="654"/>
      <c r="U10" s="575">
        <f t="shared" si="6"/>
        <v>0</v>
      </c>
      <c r="V10" s="577">
        <f t="shared" ref="V10:V16" si="16">SUM(U10*S10)</f>
        <v>0</v>
      </c>
      <c r="W10" s="514"/>
      <c r="X10" s="652"/>
      <c r="Y10" s="575">
        <f t="shared" si="8"/>
        <v>0</v>
      </c>
      <c r="Z10" s="577">
        <f t="shared" si="9"/>
        <v>0</v>
      </c>
      <c r="AA10" s="577">
        <f t="shared" si="10"/>
        <v>0</v>
      </c>
      <c r="AB10" s="653"/>
      <c r="AC10" s="139">
        <f t="shared" si="11"/>
        <v>0</v>
      </c>
      <c r="AD10" s="514"/>
      <c r="AE10" s="240">
        <f t="shared" si="15"/>
        <v>0</v>
      </c>
      <c r="AF10" s="351">
        <f>'Lpg (2)'!B14*2000/85</f>
        <v>0</v>
      </c>
      <c r="AG10" s="352">
        <f>'Lpg (2)'!C14*1000/85</f>
        <v>0</v>
      </c>
      <c r="AH10" s="353">
        <f>'Lpg (2)'!D14*1000/85</f>
        <v>0</v>
      </c>
      <c r="AI10" s="580">
        <f t="shared" si="12"/>
        <v>0</v>
      </c>
      <c r="AJ10" s="579">
        <f t="shared" si="4"/>
        <v>4000000</v>
      </c>
      <c r="AK10" s="145"/>
    </row>
    <row r="11" spans="1:37" ht="19.5" thickBot="1">
      <c r="A11" s="95">
        <f>Gen!A16</f>
        <v>43867</v>
      </c>
      <c r="B11" s="570">
        <f>'Summery Report'!E10</f>
        <v>0</v>
      </c>
      <c r="C11" s="159">
        <f>Gen!B16</f>
        <v>0</v>
      </c>
      <c r="D11" s="571">
        <f>'Summery Report'!E10</f>
        <v>0</v>
      </c>
      <c r="E11" s="572">
        <f t="shared" si="13"/>
        <v>1.3262195121951219</v>
      </c>
      <c r="F11" s="573" t="e">
        <f t="shared" si="14"/>
        <v>#DIV/0!</v>
      </c>
      <c r="G11" s="573" t="e">
        <f t="shared" si="0"/>
        <v>#DIV/0!</v>
      </c>
      <c r="H11" s="572">
        <f>Gen!C16</f>
        <v>27141.11</v>
      </c>
      <c r="I11" s="574">
        <f>Gen!E16</f>
        <v>0</v>
      </c>
      <c r="J11" s="143">
        <f>Gen!S16</f>
        <v>0</v>
      </c>
      <c r="K11" s="143">
        <f>Gen!AJ16</f>
        <v>0</v>
      </c>
      <c r="L11" s="143">
        <f t="shared" si="1"/>
        <v>0</v>
      </c>
      <c r="M11" s="607">
        <f>'Water-Meter'!K51</f>
        <v>0</v>
      </c>
      <c r="N11" s="222">
        <f>'Water-Meter'!E11</f>
        <v>0</v>
      </c>
      <c r="O11" s="233"/>
      <c r="P11" s="514"/>
      <c r="Q11" s="575">
        <f t="shared" si="2"/>
        <v>0</v>
      </c>
      <c r="R11" s="576">
        <f t="shared" si="5"/>
        <v>0</v>
      </c>
      <c r="S11" s="514"/>
      <c r="T11" s="654"/>
      <c r="U11" s="575">
        <f t="shared" si="6"/>
        <v>0</v>
      </c>
      <c r="V11" s="577">
        <f t="shared" si="16"/>
        <v>0</v>
      </c>
      <c r="W11" s="514"/>
      <c r="X11" s="652"/>
      <c r="Y11" s="575">
        <f t="shared" si="8"/>
        <v>0</v>
      </c>
      <c r="Z11" s="577">
        <f t="shared" si="9"/>
        <v>0</v>
      </c>
      <c r="AA11" s="577">
        <f t="shared" si="10"/>
        <v>0</v>
      </c>
      <c r="AB11" s="653"/>
      <c r="AC11" s="139">
        <f t="shared" si="11"/>
        <v>0</v>
      </c>
      <c r="AD11" s="514"/>
      <c r="AE11" s="240">
        <f t="shared" si="15"/>
        <v>0</v>
      </c>
      <c r="AF11" s="351">
        <f>'Lpg (2)'!B15*2000/85</f>
        <v>0</v>
      </c>
      <c r="AG11" s="352">
        <f>'Lpg (2)'!C15*1000/85</f>
        <v>0</v>
      </c>
      <c r="AH11" s="353">
        <f>'Lpg (2)'!D15*1000/85</f>
        <v>0</v>
      </c>
      <c r="AI11" s="580">
        <f t="shared" si="12"/>
        <v>0</v>
      </c>
      <c r="AJ11" s="579">
        <f t="shared" si="4"/>
        <v>0</v>
      </c>
      <c r="AK11" s="145"/>
    </row>
    <row r="12" spans="1:37" ht="19.5" thickBot="1">
      <c r="A12" s="95">
        <f>Gen!A17</f>
        <v>43868</v>
      </c>
      <c r="B12" s="570">
        <f>'Summery Report'!E11</f>
        <v>0</v>
      </c>
      <c r="C12" s="159">
        <f>Gen!B17</f>
        <v>0</v>
      </c>
      <c r="D12" s="571">
        <f>'Summery Report'!E11</f>
        <v>0</v>
      </c>
      <c r="E12" s="572">
        <f t="shared" si="13"/>
        <v>1.3262195121951219</v>
      </c>
      <c r="F12" s="573" t="e">
        <f t="shared" si="14"/>
        <v>#DIV/0!</v>
      </c>
      <c r="G12" s="573" t="e">
        <f t="shared" si="0"/>
        <v>#DIV/0!</v>
      </c>
      <c r="H12" s="572">
        <f>Gen!C17</f>
        <v>27141.11</v>
      </c>
      <c r="I12" s="574">
        <f>Gen!E17</f>
        <v>0</v>
      </c>
      <c r="J12" s="143">
        <f>Gen!S17</f>
        <v>0</v>
      </c>
      <c r="K12" s="143">
        <f>Gen!AJ17</f>
        <v>0</v>
      </c>
      <c r="L12" s="143">
        <f t="shared" si="1"/>
        <v>0</v>
      </c>
      <c r="M12" s="607">
        <f>'Water-Meter'!K52</f>
        <v>0</v>
      </c>
      <c r="N12" s="222">
        <f>'Water-Meter'!E12</f>
        <v>0</v>
      </c>
      <c r="O12" s="233"/>
      <c r="P12" s="514"/>
      <c r="Q12" s="575">
        <f t="shared" si="2"/>
        <v>0</v>
      </c>
      <c r="R12" s="576">
        <f t="shared" si="5"/>
        <v>0</v>
      </c>
      <c r="S12" s="514"/>
      <c r="T12" s="654"/>
      <c r="U12" s="575">
        <f t="shared" si="6"/>
        <v>0</v>
      </c>
      <c r="V12" s="577">
        <f t="shared" si="16"/>
        <v>0</v>
      </c>
      <c r="W12" s="514"/>
      <c r="X12" s="652"/>
      <c r="Y12" s="575">
        <f t="shared" si="8"/>
        <v>0</v>
      </c>
      <c r="Z12" s="577">
        <f t="shared" si="9"/>
        <v>0</v>
      </c>
      <c r="AA12" s="577">
        <f t="shared" si="10"/>
        <v>0</v>
      </c>
      <c r="AB12" s="653"/>
      <c r="AC12" s="139">
        <f t="shared" si="11"/>
        <v>0</v>
      </c>
      <c r="AD12" s="514"/>
      <c r="AE12" s="240">
        <f t="shared" si="15"/>
        <v>0</v>
      </c>
      <c r="AF12" s="351">
        <f>'Lpg (2)'!B16*2000/85</f>
        <v>0</v>
      </c>
      <c r="AG12" s="352">
        <f>'Lpg (2)'!C16*1000/85</f>
        <v>0</v>
      </c>
      <c r="AH12" s="353">
        <f>'Lpg (2)'!D16*1000/85</f>
        <v>0</v>
      </c>
      <c r="AI12" s="580">
        <f t="shared" si="12"/>
        <v>0</v>
      </c>
      <c r="AJ12" s="579">
        <f t="shared" si="4"/>
        <v>0</v>
      </c>
      <c r="AK12" s="145"/>
    </row>
    <row r="13" spans="1:37" ht="19.5" thickBot="1">
      <c r="A13" s="95">
        <f>Gen!A18</f>
        <v>43869</v>
      </c>
      <c r="B13" s="570">
        <f>'Summery Report'!E12</f>
        <v>0</v>
      </c>
      <c r="C13" s="159">
        <f>Gen!B18</f>
        <v>0</v>
      </c>
      <c r="D13" s="571">
        <f>'Summery Report'!E12</f>
        <v>0</v>
      </c>
      <c r="E13" s="572">
        <f t="shared" si="13"/>
        <v>1.3262195121951219</v>
      </c>
      <c r="F13" s="573" t="e">
        <f t="shared" si="14"/>
        <v>#DIV/0!</v>
      </c>
      <c r="G13" s="573" t="e">
        <f t="shared" si="0"/>
        <v>#DIV/0!</v>
      </c>
      <c r="H13" s="572">
        <f>Gen!C18</f>
        <v>27141.11</v>
      </c>
      <c r="I13" s="574">
        <f>Gen!E18</f>
        <v>0</v>
      </c>
      <c r="J13" s="143">
        <f>Gen!S18</f>
        <v>0</v>
      </c>
      <c r="K13" s="143">
        <f>Gen!AJ18</f>
        <v>0</v>
      </c>
      <c r="L13" s="143">
        <f t="shared" si="1"/>
        <v>0</v>
      </c>
      <c r="M13" s="607">
        <f>'Water-Meter'!K53</f>
        <v>0</v>
      </c>
      <c r="N13" s="222">
        <f>'Water-Meter'!E13</f>
        <v>0</v>
      </c>
      <c r="O13" s="233"/>
      <c r="P13" s="514"/>
      <c r="Q13" s="575">
        <f t="shared" si="2"/>
        <v>0</v>
      </c>
      <c r="R13" s="576">
        <f t="shared" si="5"/>
        <v>0</v>
      </c>
      <c r="S13" s="514"/>
      <c r="T13" s="654"/>
      <c r="U13" s="575">
        <f t="shared" si="6"/>
        <v>0</v>
      </c>
      <c r="V13" s="577">
        <f t="shared" si="16"/>
        <v>0</v>
      </c>
      <c r="W13" s="514"/>
      <c r="X13" s="652"/>
      <c r="Y13" s="575">
        <f t="shared" si="8"/>
        <v>0</v>
      </c>
      <c r="Z13" s="577">
        <f t="shared" si="9"/>
        <v>0</v>
      </c>
      <c r="AA13" s="577">
        <f t="shared" si="10"/>
        <v>0</v>
      </c>
      <c r="AB13" s="653"/>
      <c r="AC13" s="139">
        <f t="shared" si="11"/>
        <v>0</v>
      </c>
      <c r="AD13" s="514"/>
      <c r="AE13" s="240">
        <f t="shared" si="15"/>
        <v>0</v>
      </c>
      <c r="AF13" s="351">
        <f>'Lpg (2)'!B17*2000/85</f>
        <v>0</v>
      </c>
      <c r="AG13" s="352">
        <f>'Lpg (2)'!C17*1000/85</f>
        <v>0</v>
      </c>
      <c r="AH13" s="353">
        <f>'Lpg (2)'!D17*1000/85</f>
        <v>0</v>
      </c>
      <c r="AI13" s="580">
        <f t="shared" si="12"/>
        <v>0</v>
      </c>
      <c r="AJ13" s="579">
        <f t="shared" si="4"/>
        <v>0</v>
      </c>
      <c r="AK13" s="146"/>
    </row>
    <row r="14" spans="1:37" ht="19.5" thickBot="1">
      <c r="A14" s="95">
        <f>Gen!A19</f>
        <v>43870</v>
      </c>
      <c r="B14" s="570">
        <f>'Summery Report'!E13</f>
        <v>0</v>
      </c>
      <c r="C14" s="159">
        <f>Gen!B19</f>
        <v>0</v>
      </c>
      <c r="D14" s="571">
        <f>'Summery Report'!E13</f>
        <v>0</v>
      </c>
      <c r="E14" s="572">
        <f t="shared" si="13"/>
        <v>1.3262195121951219</v>
      </c>
      <c r="F14" s="573" t="e">
        <f t="shared" si="14"/>
        <v>#DIV/0!</v>
      </c>
      <c r="G14" s="573" t="e">
        <f t="shared" si="0"/>
        <v>#DIV/0!</v>
      </c>
      <c r="H14" s="572">
        <f>Gen!C19</f>
        <v>27141.11</v>
      </c>
      <c r="I14" s="574">
        <f>Gen!E19</f>
        <v>15000</v>
      </c>
      <c r="J14" s="143">
        <f>Gen!S19</f>
        <v>0</v>
      </c>
      <c r="K14" s="143">
        <f>Gen!AJ19</f>
        <v>0</v>
      </c>
      <c r="L14" s="143">
        <f t="shared" si="1"/>
        <v>0</v>
      </c>
      <c r="M14" s="607">
        <f>'Water-Meter'!K54</f>
        <v>0</v>
      </c>
      <c r="N14" s="222">
        <f>'Water-Meter'!E14</f>
        <v>0</v>
      </c>
      <c r="O14" s="233"/>
      <c r="P14" s="514"/>
      <c r="Q14" s="575">
        <f t="shared" si="2"/>
        <v>0</v>
      </c>
      <c r="R14" s="576">
        <f t="shared" si="5"/>
        <v>0</v>
      </c>
      <c r="S14" s="514"/>
      <c r="T14" s="654"/>
      <c r="U14" s="575">
        <f t="shared" si="6"/>
        <v>0</v>
      </c>
      <c r="V14" s="577">
        <f t="shared" si="16"/>
        <v>0</v>
      </c>
      <c r="W14" s="514"/>
      <c r="X14" s="652"/>
      <c r="Y14" s="575">
        <f t="shared" si="8"/>
        <v>0</v>
      </c>
      <c r="Z14" s="577">
        <f t="shared" si="9"/>
        <v>0</v>
      </c>
      <c r="AA14" s="577">
        <f t="shared" si="10"/>
        <v>0</v>
      </c>
      <c r="AB14" s="653"/>
      <c r="AC14" s="139">
        <f t="shared" si="11"/>
        <v>0</v>
      </c>
      <c r="AD14" s="514"/>
      <c r="AE14" s="240">
        <f t="shared" si="15"/>
        <v>0</v>
      </c>
      <c r="AF14" s="351">
        <f>'Lpg (2)'!B18*2000/85</f>
        <v>0</v>
      </c>
      <c r="AG14" s="352">
        <f>'Lpg (2)'!C18*1000/85</f>
        <v>0</v>
      </c>
      <c r="AH14" s="353">
        <f>'Lpg (2)'!D18*1000/85</f>
        <v>0</v>
      </c>
      <c r="AI14" s="580">
        <f t="shared" si="12"/>
        <v>0</v>
      </c>
      <c r="AJ14" s="579">
        <f t="shared" si="4"/>
        <v>0</v>
      </c>
      <c r="AK14" s="145"/>
    </row>
    <row r="15" spans="1:37" ht="19.5" thickBot="1">
      <c r="A15" s="95">
        <f>Gen!A20</f>
        <v>43871</v>
      </c>
      <c r="B15" s="570">
        <f>'Summery Report'!E14</f>
        <v>0</v>
      </c>
      <c r="C15" s="159">
        <f>Gen!B20</f>
        <v>0</v>
      </c>
      <c r="D15" s="571">
        <f>'Summery Report'!E14</f>
        <v>0</v>
      </c>
      <c r="E15" s="572">
        <f t="shared" si="13"/>
        <v>1.3262195121951219</v>
      </c>
      <c r="F15" s="573" t="e">
        <f t="shared" si="14"/>
        <v>#DIV/0!</v>
      </c>
      <c r="G15" s="573" t="e">
        <f t="shared" si="0"/>
        <v>#DIV/0!</v>
      </c>
      <c r="H15" s="572">
        <f>Gen!C20</f>
        <v>27141.11</v>
      </c>
      <c r="I15" s="574">
        <f>Gen!E20</f>
        <v>0</v>
      </c>
      <c r="J15" s="143">
        <f>Gen!S20</f>
        <v>0</v>
      </c>
      <c r="K15" s="143">
        <f>Gen!AJ20</f>
        <v>0</v>
      </c>
      <c r="L15" s="143">
        <f t="shared" si="1"/>
        <v>0</v>
      </c>
      <c r="M15" s="607">
        <f>'Water-Meter'!K55</f>
        <v>0</v>
      </c>
      <c r="N15" s="222">
        <f>'Water-Meter'!E15</f>
        <v>0</v>
      </c>
      <c r="O15" s="233"/>
      <c r="P15" s="514"/>
      <c r="Q15" s="575">
        <f t="shared" si="2"/>
        <v>0</v>
      </c>
      <c r="R15" s="576">
        <f t="shared" si="5"/>
        <v>0</v>
      </c>
      <c r="S15" s="514"/>
      <c r="T15" s="654"/>
      <c r="U15" s="575">
        <f t="shared" si="6"/>
        <v>0</v>
      </c>
      <c r="V15" s="577">
        <f t="shared" si="16"/>
        <v>0</v>
      </c>
      <c r="W15" s="514"/>
      <c r="X15" s="652"/>
      <c r="Y15" s="575">
        <f t="shared" si="8"/>
        <v>0</v>
      </c>
      <c r="Z15" s="577">
        <f t="shared" si="9"/>
        <v>0</v>
      </c>
      <c r="AA15" s="577">
        <f t="shared" si="10"/>
        <v>0</v>
      </c>
      <c r="AB15" s="653"/>
      <c r="AC15" s="139">
        <f t="shared" si="11"/>
        <v>0</v>
      </c>
      <c r="AD15" s="514"/>
      <c r="AE15" s="240">
        <f>AD15-AD14</f>
        <v>0</v>
      </c>
      <c r="AF15" s="351">
        <f>'Lpg (2)'!B19*2000/85</f>
        <v>0</v>
      </c>
      <c r="AG15" s="352">
        <f>'Lpg (2)'!C19*1000/85</f>
        <v>0</v>
      </c>
      <c r="AH15" s="353">
        <f>'Lpg (2)'!D19*1000/85</f>
        <v>0</v>
      </c>
      <c r="AI15" s="580">
        <f t="shared" ref="AI15:AI35" si="17">SUM(AF15*2000)+(AG15*1000)+(AH15*1000)</f>
        <v>0</v>
      </c>
      <c r="AJ15" s="579">
        <f t="shared" si="4"/>
        <v>0</v>
      </c>
      <c r="AK15" s="145"/>
    </row>
    <row r="16" spans="1:37" ht="19.5" thickBot="1">
      <c r="A16" s="95">
        <f>Gen!A21</f>
        <v>43872</v>
      </c>
      <c r="B16" s="570">
        <f>'Summery Report'!E15</f>
        <v>0</v>
      </c>
      <c r="C16" s="159">
        <f>Gen!B21</f>
        <v>0</v>
      </c>
      <c r="D16" s="571">
        <f>'Summery Report'!E15</f>
        <v>0</v>
      </c>
      <c r="E16" s="572">
        <f t="shared" si="13"/>
        <v>1.3262195121951219</v>
      </c>
      <c r="F16" s="573" t="e">
        <f t="shared" si="14"/>
        <v>#DIV/0!</v>
      </c>
      <c r="G16" s="573" t="e">
        <f t="shared" si="0"/>
        <v>#DIV/0!</v>
      </c>
      <c r="H16" s="572">
        <f>Gen!C21</f>
        <v>27141.11</v>
      </c>
      <c r="I16" s="574">
        <f>Gen!E21</f>
        <v>0</v>
      </c>
      <c r="J16" s="143">
        <f>Gen!S21</f>
        <v>0</v>
      </c>
      <c r="K16" s="143">
        <f>Gen!AJ21</f>
        <v>0</v>
      </c>
      <c r="L16" s="143">
        <f t="shared" si="1"/>
        <v>0</v>
      </c>
      <c r="M16" s="607">
        <f>'Water-Meter'!K56</f>
        <v>0</v>
      </c>
      <c r="N16" s="222">
        <f>'Water-Meter'!E16</f>
        <v>0</v>
      </c>
      <c r="O16" s="233"/>
      <c r="P16" s="514"/>
      <c r="Q16" s="575">
        <f t="shared" si="2"/>
        <v>0</v>
      </c>
      <c r="R16" s="576">
        <f t="shared" si="5"/>
        <v>0</v>
      </c>
      <c r="S16" s="514"/>
      <c r="T16" s="654"/>
      <c r="U16" s="575">
        <f t="shared" si="6"/>
        <v>0</v>
      </c>
      <c r="V16" s="577">
        <f t="shared" si="16"/>
        <v>0</v>
      </c>
      <c r="W16" s="514"/>
      <c r="X16" s="652"/>
      <c r="Y16" s="575">
        <f t="shared" si="8"/>
        <v>0</v>
      </c>
      <c r="Z16" s="577">
        <f t="shared" si="9"/>
        <v>0</v>
      </c>
      <c r="AA16" s="577">
        <f t="shared" si="10"/>
        <v>0</v>
      </c>
      <c r="AB16" s="653"/>
      <c r="AC16" s="139">
        <f t="shared" si="11"/>
        <v>0</v>
      </c>
      <c r="AD16" s="514"/>
      <c r="AE16" s="240">
        <f t="shared" si="15"/>
        <v>0</v>
      </c>
      <c r="AF16" s="351">
        <f>'Lpg (2)'!B20*2000/85</f>
        <v>0</v>
      </c>
      <c r="AG16" s="352">
        <f>'Lpg (2)'!C20*1000/85</f>
        <v>0</v>
      </c>
      <c r="AH16" s="353">
        <f>'Lpg (2)'!D20*1000/85</f>
        <v>0</v>
      </c>
      <c r="AI16" s="580">
        <f t="shared" si="17"/>
        <v>0</v>
      </c>
      <c r="AJ16" s="579">
        <f t="shared" si="4"/>
        <v>0</v>
      </c>
      <c r="AK16" s="145"/>
    </row>
    <row r="17" spans="1:37" ht="19.5" thickBot="1">
      <c r="A17" s="95">
        <f>Gen!A22</f>
        <v>43873</v>
      </c>
      <c r="B17" s="570">
        <f>'Summery Report'!E16</f>
        <v>0</v>
      </c>
      <c r="C17" s="159">
        <f>Gen!B22</f>
        <v>0</v>
      </c>
      <c r="D17" s="571">
        <f>'Summery Report'!E16</f>
        <v>0</v>
      </c>
      <c r="E17" s="572">
        <f t="shared" si="13"/>
        <v>1.3262195121951219</v>
      </c>
      <c r="F17" s="573" t="e">
        <f t="shared" si="14"/>
        <v>#DIV/0!</v>
      </c>
      <c r="G17" s="573" t="e">
        <f t="shared" si="0"/>
        <v>#DIV/0!</v>
      </c>
      <c r="H17" s="572">
        <f>Gen!C22</f>
        <v>27141.11</v>
      </c>
      <c r="I17" s="574">
        <f>Gen!E22</f>
        <v>0</v>
      </c>
      <c r="J17" s="143">
        <f>Gen!S22</f>
        <v>0</v>
      </c>
      <c r="K17" s="143">
        <f>Gen!AJ22</f>
        <v>0</v>
      </c>
      <c r="L17" s="143">
        <f t="shared" si="1"/>
        <v>0</v>
      </c>
      <c r="M17" s="607">
        <f>'Water-Meter'!K57</f>
        <v>0</v>
      </c>
      <c r="N17" s="222">
        <f>'Water-Meter'!E17</f>
        <v>0</v>
      </c>
      <c r="O17" s="233"/>
      <c r="P17" s="514"/>
      <c r="Q17" s="575">
        <f>SUM(P18-P16)</f>
        <v>0</v>
      </c>
      <c r="R17" s="576">
        <f t="shared" si="5"/>
        <v>0</v>
      </c>
      <c r="S17" s="514"/>
      <c r="T17" s="654"/>
      <c r="U17" s="575">
        <f t="shared" si="6"/>
        <v>0</v>
      </c>
      <c r="V17" s="577">
        <f t="shared" ref="V17:V36" si="18">SUM(U17*S17)</f>
        <v>0</v>
      </c>
      <c r="W17" s="514"/>
      <c r="X17" s="652"/>
      <c r="Y17" s="575">
        <f t="shared" si="8"/>
        <v>0</v>
      </c>
      <c r="Z17" s="577">
        <f t="shared" si="9"/>
        <v>0</v>
      </c>
      <c r="AA17" s="577">
        <f t="shared" si="10"/>
        <v>0</v>
      </c>
      <c r="AB17" s="653"/>
      <c r="AC17" s="139">
        <f t="shared" si="11"/>
        <v>0</v>
      </c>
      <c r="AD17" s="514"/>
      <c r="AE17" s="240">
        <f t="shared" si="15"/>
        <v>0</v>
      </c>
      <c r="AF17" s="351">
        <f>'Lpg (2)'!B21*2000/85</f>
        <v>0</v>
      </c>
      <c r="AG17" s="352">
        <f>'Lpg (2)'!C21*1000/85</f>
        <v>0</v>
      </c>
      <c r="AH17" s="353">
        <f>'Lpg (2)'!D21*1000/85</f>
        <v>0</v>
      </c>
      <c r="AI17" s="580">
        <f t="shared" si="17"/>
        <v>0</v>
      </c>
      <c r="AJ17" s="579">
        <f t="shared" si="4"/>
        <v>0</v>
      </c>
      <c r="AK17" s="145"/>
    </row>
    <row r="18" spans="1:37" ht="19.5" thickBot="1">
      <c r="A18" s="95">
        <f>Gen!A23</f>
        <v>43874</v>
      </c>
      <c r="B18" s="570">
        <f>'Summery Report'!E17</f>
        <v>0</v>
      </c>
      <c r="C18" s="159">
        <f>Gen!B23</f>
        <v>0</v>
      </c>
      <c r="D18" s="571">
        <f>'Summery Report'!E17</f>
        <v>0</v>
      </c>
      <c r="E18" s="572">
        <f t="shared" si="13"/>
        <v>1.3262195121951219</v>
      </c>
      <c r="F18" s="573" t="e">
        <f t="shared" si="14"/>
        <v>#DIV/0!</v>
      </c>
      <c r="G18" s="573" t="e">
        <f t="shared" si="0"/>
        <v>#DIV/0!</v>
      </c>
      <c r="H18" s="572">
        <f>Gen!C23</f>
        <v>27141.11</v>
      </c>
      <c r="I18" s="574">
        <f>Gen!E23</f>
        <v>0</v>
      </c>
      <c r="J18" s="143">
        <f>Gen!S23</f>
        <v>0</v>
      </c>
      <c r="K18" s="143">
        <f>Gen!AJ23</f>
        <v>0</v>
      </c>
      <c r="L18" s="143">
        <f t="shared" si="1"/>
        <v>0</v>
      </c>
      <c r="M18" s="607">
        <f>'Water-Meter'!K58</f>
        <v>0</v>
      </c>
      <c r="N18" s="222">
        <f>'Water-Meter'!E18</f>
        <v>0</v>
      </c>
      <c r="O18" s="233"/>
      <c r="P18" s="514"/>
      <c r="Q18" s="575"/>
      <c r="R18" s="576">
        <f t="shared" si="5"/>
        <v>0</v>
      </c>
      <c r="S18" s="514"/>
      <c r="T18" s="654"/>
      <c r="U18" s="575">
        <f t="shared" si="6"/>
        <v>0</v>
      </c>
      <c r="V18" s="577">
        <f t="shared" si="18"/>
        <v>0</v>
      </c>
      <c r="W18" s="514"/>
      <c r="X18" s="652"/>
      <c r="Y18" s="575">
        <f t="shared" si="8"/>
        <v>0</v>
      </c>
      <c r="Z18" s="577">
        <f t="shared" si="9"/>
        <v>0</v>
      </c>
      <c r="AA18" s="577">
        <f t="shared" si="10"/>
        <v>0</v>
      </c>
      <c r="AB18" s="653"/>
      <c r="AC18" s="139">
        <f t="shared" si="11"/>
        <v>0</v>
      </c>
      <c r="AD18" s="514"/>
      <c r="AE18" s="240">
        <f t="shared" si="15"/>
        <v>0</v>
      </c>
      <c r="AF18" s="351">
        <f>'Lpg (2)'!B22*2000/85</f>
        <v>0</v>
      </c>
      <c r="AG18" s="352">
        <f>'Lpg (2)'!C22*1000/85</f>
        <v>0</v>
      </c>
      <c r="AH18" s="353">
        <f>'Lpg (2)'!D22*1000/85</f>
        <v>0</v>
      </c>
      <c r="AI18" s="580">
        <f t="shared" si="17"/>
        <v>0</v>
      </c>
      <c r="AJ18" s="579">
        <f t="shared" si="4"/>
        <v>0</v>
      </c>
      <c r="AK18" s="145"/>
    </row>
    <row r="19" spans="1:37" ht="19.5" thickBot="1">
      <c r="A19" s="95">
        <f>Gen!A24</f>
        <v>43875</v>
      </c>
      <c r="B19" s="570">
        <f>'Summery Report'!E18</f>
        <v>0</v>
      </c>
      <c r="C19" s="159">
        <f>Gen!B24</f>
        <v>0</v>
      </c>
      <c r="D19" s="571">
        <f>'Summery Report'!E18</f>
        <v>0</v>
      </c>
      <c r="E19" s="572">
        <f t="shared" si="13"/>
        <v>1.3262195121951219</v>
      </c>
      <c r="F19" s="573" t="e">
        <f t="shared" si="14"/>
        <v>#DIV/0!</v>
      </c>
      <c r="G19" s="573" t="e">
        <f t="shared" si="0"/>
        <v>#DIV/0!</v>
      </c>
      <c r="H19" s="572">
        <f>Gen!C24</f>
        <v>27141.11</v>
      </c>
      <c r="I19" s="574">
        <f>Gen!E24</f>
        <v>0</v>
      </c>
      <c r="J19" s="143">
        <f>Gen!S24</f>
        <v>0</v>
      </c>
      <c r="K19" s="143">
        <f>Gen!AJ24</f>
        <v>0</v>
      </c>
      <c r="L19" s="143">
        <f t="shared" si="1"/>
        <v>0</v>
      </c>
      <c r="M19" s="607">
        <f>'Water-Meter'!K59</f>
        <v>0</v>
      </c>
      <c r="N19" s="222">
        <f>'Water-Meter'!E19</f>
        <v>0</v>
      </c>
      <c r="O19" s="233"/>
      <c r="P19" s="514"/>
      <c r="Q19" s="575"/>
      <c r="R19" s="576">
        <f t="shared" si="5"/>
        <v>0</v>
      </c>
      <c r="S19" s="514"/>
      <c r="T19" s="654"/>
      <c r="U19" s="575">
        <f t="shared" si="6"/>
        <v>0</v>
      </c>
      <c r="V19" s="577">
        <f t="shared" si="18"/>
        <v>0</v>
      </c>
      <c r="W19" s="514"/>
      <c r="X19" s="652"/>
      <c r="Y19" s="575">
        <f t="shared" si="8"/>
        <v>0</v>
      </c>
      <c r="Z19" s="577">
        <f t="shared" si="9"/>
        <v>0</v>
      </c>
      <c r="AA19" s="577">
        <f t="shared" si="10"/>
        <v>0</v>
      </c>
      <c r="AB19" s="653"/>
      <c r="AC19" s="139">
        <f t="shared" si="11"/>
        <v>0</v>
      </c>
      <c r="AD19" s="514"/>
      <c r="AE19" s="240">
        <f t="shared" si="15"/>
        <v>0</v>
      </c>
      <c r="AF19" s="351">
        <f>'Lpg (2)'!B23*2000/85</f>
        <v>0</v>
      </c>
      <c r="AG19" s="352">
        <f>'Lpg (2)'!C23*1000/85</f>
        <v>0</v>
      </c>
      <c r="AH19" s="353">
        <f>'Lpg (2)'!D23*1000/85</f>
        <v>0</v>
      </c>
      <c r="AI19" s="580">
        <f t="shared" si="17"/>
        <v>0</v>
      </c>
      <c r="AJ19" s="579">
        <f t="shared" si="4"/>
        <v>0</v>
      </c>
      <c r="AK19" s="145"/>
    </row>
    <row r="20" spans="1:37" ht="19.5" thickBot="1">
      <c r="A20" s="95">
        <f>Gen!A25</f>
        <v>43876</v>
      </c>
      <c r="B20" s="570">
        <f>'Summery Report'!E19</f>
        <v>0</v>
      </c>
      <c r="C20" s="159">
        <f>Gen!B25</f>
        <v>0</v>
      </c>
      <c r="D20" s="571">
        <f>'Summery Report'!E19</f>
        <v>0</v>
      </c>
      <c r="E20" s="572">
        <f t="shared" si="13"/>
        <v>1.3262195121951219</v>
      </c>
      <c r="F20" s="573" t="e">
        <f t="shared" si="14"/>
        <v>#DIV/0!</v>
      </c>
      <c r="G20" s="573" t="e">
        <f t="shared" si="0"/>
        <v>#DIV/0!</v>
      </c>
      <c r="H20" s="572">
        <f>Gen!C25</f>
        <v>27141.11</v>
      </c>
      <c r="I20" s="574">
        <f>Gen!E25</f>
        <v>0</v>
      </c>
      <c r="J20" s="143">
        <f>Gen!S25</f>
        <v>0</v>
      </c>
      <c r="K20" s="143">
        <f>Gen!AJ25</f>
        <v>0</v>
      </c>
      <c r="L20" s="143">
        <f t="shared" si="1"/>
        <v>0</v>
      </c>
      <c r="M20" s="607">
        <f>'Water-Meter'!K60</f>
        <v>0</v>
      </c>
      <c r="N20" s="222">
        <f>'Water-Meter'!E20</f>
        <v>0</v>
      </c>
      <c r="O20" s="233"/>
      <c r="P20" s="514"/>
      <c r="Q20" s="575">
        <f t="shared" si="2"/>
        <v>0</v>
      </c>
      <c r="R20" s="576">
        <f t="shared" si="5"/>
        <v>0</v>
      </c>
      <c r="S20" s="514"/>
      <c r="T20" s="654"/>
      <c r="U20" s="575">
        <f t="shared" si="6"/>
        <v>0</v>
      </c>
      <c r="V20" s="577">
        <f t="shared" si="18"/>
        <v>0</v>
      </c>
      <c r="W20" s="514"/>
      <c r="X20" s="652"/>
      <c r="Y20" s="575">
        <f t="shared" si="8"/>
        <v>0</v>
      </c>
      <c r="Z20" s="577">
        <f t="shared" si="9"/>
        <v>0</v>
      </c>
      <c r="AA20" s="577">
        <f t="shared" si="10"/>
        <v>0</v>
      </c>
      <c r="AB20" s="653"/>
      <c r="AC20" s="139">
        <f t="shared" si="11"/>
        <v>0</v>
      </c>
      <c r="AD20" s="514"/>
      <c r="AE20" s="240">
        <f t="shared" si="15"/>
        <v>0</v>
      </c>
      <c r="AF20" s="351">
        <f>'Lpg (2)'!B24*2000/85</f>
        <v>0</v>
      </c>
      <c r="AG20" s="352">
        <f>'Lpg (2)'!C24*1000/85</f>
        <v>0</v>
      </c>
      <c r="AH20" s="353">
        <f>'Lpg (2)'!D24*1000/85</f>
        <v>0</v>
      </c>
      <c r="AI20" s="580">
        <f t="shared" si="17"/>
        <v>0</v>
      </c>
      <c r="AJ20" s="579">
        <f t="shared" si="4"/>
        <v>0</v>
      </c>
      <c r="AK20" s="145"/>
    </row>
    <row r="21" spans="1:37" ht="19.5" thickBot="1">
      <c r="A21" s="95">
        <f>Gen!A26</f>
        <v>43877</v>
      </c>
      <c r="B21" s="570">
        <f>'Summery Report'!E20</f>
        <v>0</v>
      </c>
      <c r="C21" s="159">
        <f>Gen!B26</f>
        <v>0</v>
      </c>
      <c r="D21" s="571">
        <f>'Summery Report'!E20</f>
        <v>0</v>
      </c>
      <c r="E21" s="572">
        <f t="shared" si="13"/>
        <v>1.3262195121951219</v>
      </c>
      <c r="F21" s="573" t="e">
        <f t="shared" si="14"/>
        <v>#DIV/0!</v>
      </c>
      <c r="G21" s="573" t="e">
        <f t="shared" si="0"/>
        <v>#DIV/0!</v>
      </c>
      <c r="H21" s="572">
        <f>Gen!C26</f>
        <v>27141.11</v>
      </c>
      <c r="I21" s="574">
        <f>Gen!E26</f>
        <v>18000</v>
      </c>
      <c r="J21" s="143">
        <f>Gen!S26</f>
        <v>0</v>
      </c>
      <c r="K21" s="143">
        <f>Gen!AJ26</f>
        <v>0</v>
      </c>
      <c r="L21" s="143">
        <f t="shared" si="1"/>
        <v>0</v>
      </c>
      <c r="M21" s="607">
        <f>'Water-Meter'!K61</f>
        <v>0</v>
      </c>
      <c r="N21" s="222">
        <f>'Water-Meter'!E21</f>
        <v>0</v>
      </c>
      <c r="O21" s="233"/>
      <c r="P21" s="514"/>
      <c r="Q21" s="575">
        <f t="shared" si="2"/>
        <v>0</v>
      </c>
      <c r="R21" s="576">
        <f t="shared" si="5"/>
        <v>0</v>
      </c>
      <c r="S21" s="514"/>
      <c r="T21" s="654"/>
      <c r="U21" s="575">
        <f t="shared" si="6"/>
        <v>0</v>
      </c>
      <c r="V21" s="577">
        <f t="shared" si="18"/>
        <v>0</v>
      </c>
      <c r="W21" s="514"/>
      <c r="X21" s="652"/>
      <c r="Y21" s="575">
        <f t="shared" si="8"/>
        <v>0</v>
      </c>
      <c r="Z21" s="577">
        <f t="shared" si="9"/>
        <v>0</v>
      </c>
      <c r="AA21" s="577">
        <f t="shared" si="10"/>
        <v>0</v>
      </c>
      <c r="AB21" s="653"/>
      <c r="AC21" s="139">
        <f t="shared" si="11"/>
        <v>0</v>
      </c>
      <c r="AD21" s="514"/>
      <c r="AE21" s="240">
        <f t="shared" si="15"/>
        <v>0</v>
      </c>
      <c r="AF21" s="351">
        <f>'Lpg (2)'!B25*2000/85</f>
        <v>0</v>
      </c>
      <c r="AG21" s="352">
        <f>'Lpg (2)'!C25*1000/85</f>
        <v>0</v>
      </c>
      <c r="AH21" s="353">
        <f>'Lpg (2)'!D25*1000/85</f>
        <v>0</v>
      </c>
      <c r="AI21" s="580">
        <f t="shared" si="17"/>
        <v>0</v>
      </c>
      <c r="AJ21" s="579">
        <f t="shared" si="4"/>
        <v>0</v>
      </c>
      <c r="AK21" s="145"/>
    </row>
    <row r="22" spans="1:37" ht="19.5" thickBot="1">
      <c r="A22" s="95">
        <f>Gen!A27</f>
        <v>43878</v>
      </c>
      <c r="B22" s="570">
        <f>'Summery Report'!E21</f>
        <v>0</v>
      </c>
      <c r="C22" s="159">
        <f>Gen!B27</f>
        <v>0</v>
      </c>
      <c r="D22" s="571">
        <f>'Summery Report'!E21</f>
        <v>0</v>
      </c>
      <c r="E22" s="572">
        <f t="shared" si="13"/>
        <v>1.3262195121951219</v>
      </c>
      <c r="F22" s="573" t="e">
        <f t="shared" si="14"/>
        <v>#DIV/0!</v>
      </c>
      <c r="G22" s="573" t="e">
        <f t="shared" si="0"/>
        <v>#DIV/0!</v>
      </c>
      <c r="H22" s="572">
        <f>Gen!C27</f>
        <v>27141.11</v>
      </c>
      <c r="I22" s="574">
        <f>Gen!E27</f>
        <v>0</v>
      </c>
      <c r="J22" s="143">
        <f>Gen!S27</f>
        <v>0</v>
      </c>
      <c r="K22" s="143">
        <f>Gen!AJ27</f>
        <v>0</v>
      </c>
      <c r="L22" s="143">
        <f t="shared" si="1"/>
        <v>0</v>
      </c>
      <c r="M22" s="607">
        <f>'Water-Meter'!K62</f>
        <v>0</v>
      </c>
      <c r="N22" s="222">
        <f>'Water-Meter'!E22</f>
        <v>0</v>
      </c>
      <c r="O22" s="233"/>
      <c r="P22" s="514"/>
      <c r="Q22" s="575">
        <f t="shared" si="2"/>
        <v>0</v>
      </c>
      <c r="R22" s="576">
        <f t="shared" si="5"/>
        <v>0</v>
      </c>
      <c r="S22" s="514"/>
      <c r="T22" s="654"/>
      <c r="U22" s="575">
        <f t="shared" si="6"/>
        <v>0</v>
      </c>
      <c r="V22" s="577">
        <f t="shared" si="18"/>
        <v>0</v>
      </c>
      <c r="W22" s="514"/>
      <c r="X22" s="652"/>
      <c r="Y22" s="575">
        <f t="shared" si="8"/>
        <v>0</v>
      </c>
      <c r="Z22" s="577">
        <f t="shared" si="9"/>
        <v>0</v>
      </c>
      <c r="AA22" s="577">
        <f t="shared" si="10"/>
        <v>0</v>
      </c>
      <c r="AB22" s="653"/>
      <c r="AC22" s="139">
        <f t="shared" si="11"/>
        <v>0</v>
      </c>
      <c r="AD22" s="514"/>
      <c r="AE22" s="240">
        <f t="shared" si="15"/>
        <v>0</v>
      </c>
      <c r="AF22" s="351">
        <f>'Lpg (2)'!B26*2000/85</f>
        <v>0</v>
      </c>
      <c r="AG22" s="352">
        <f>'Lpg (2)'!C26*1000/85</f>
        <v>0</v>
      </c>
      <c r="AH22" s="353">
        <f>'Lpg (2)'!D26*1000/85</f>
        <v>0</v>
      </c>
      <c r="AI22" s="580">
        <f t="shared" si="17"/>
        <v>0</v>
      </c>
      <c r="AJ22" s="579">
        <f t="shared" si="4"/>
        <v>0</v>
      </c>
      <c r="AK22" s="145"/>
    </row>
    <row r="23" spans="1:37" ht="19.5" thickBot="1">
      <c r="A23" s="95">
        <f>Gen!A28</f>
        <v>43879</v>
      </c>
      <c r="B23" s="570">
        <f>'Summery Report'!E22</f>
        <v>0</v>
      </c>
      <c r="C23" s="159">
        <f>Gen!B28</f>
        <v>0</v>
      </c>
      <c r="D23" s="571">
        <f>'Summery Report'!E22</f>
        <v>0</v>
      </c>
      <c r="E23" s="572">
        <f t="shared" si="13"/>
        <v>1.3262195121951219</v>
      </c>
      <c r="F23" s="573" t="e">
        <f t="shared" si="14"/>
        <v>#DIV/0!</v>
      </c>
      <c r="G23" s="573" t="e">
        <f t="shared" si="0"/>
        <v>#DIV/0!</v>
      </c>
      <c r="H23" s="572">
        <f>Gen!C28</f>
        <v>27141.11</v>
      </c>
      <c r="I23" s="574">
        <f>Gen!E28</f>
        <v>0</v>
      </c>
      <c r="J23" s="143">
        <f>Gen!S28</f>
        <v>0</v>
      </c>
      <c r="K23" s="143">
        <f>Gen!AJ28</f>
        <v>0</v>
      </c>
      <c r="L23" s="143">
        <f t="shared" si="1"/>
        <v>0</v>
      </c>
      <c r="M23" s="607">
        <f>'Water-Meter'!K63</f>
        <v>0</v>
      </c>
      <c r="N23" s="222">
        <f>'Water-Meter'!E23</f>
        <v>0</v>
      </c>
      <c r="O23" s="233"/>
      <c r="P23" s="514"/>
      <c r="Q23" s="575">
        <f t="shared" si="2"/>
        <v>0</v>
      </c>
      <c r="R23" s="576">
        <f t="shared" si="5"/>
        <v>0</v>
      </c>
      <c r="S23" s="514"/>
      <c r="T23" s="654"/>
      <c r="U23" s="575">
        <f t="shared" si="6"/>
        <v>0</v>
      </c>
      <c r="V23" s="577">
        <f t="shared" si="18"/>
        <v>0</v>
      </c>
      <c r="W23" s="514"/>
      <c r="X23" s="652"/>
      <c r="Y23" s="575">
        <f t="shared" si="8"/>
        <v>0</v>
      </c>
      <c r="Z23" s="577">
        <f t="shared" si="9"/>
        <v>0</v>
      </c>
      <c r="AA23" s="577">
        <f t="shared" si="10"/>
        <v>0</v>
      </c>
      <c r="AB23" s="653"/>
      <c r="AC23" s="139">
        <f t="shared" si="11"/>
        <v>0</v>
      </c>
      <c r="AD23" s="514"/>
      <c r="AE23" s="240">
        <f t="shared" si="15"/>
        <v>0</v>
      </c>
      <c r="AF23" s="351">
        <f>'Lpg (2)'!B27*2000/85</f>
        <v>0</v>
      </c>
      <c r="AG23" s="352">
        <f>'Lpg (2)'!C27*1000/85</f>
        <v>0</v>
      </c>
      <c r="AH23" s="353">
        <f>'Lpg (2)'!D27*1000/85</f>
        <v>0</v>
      </c>
      <c r="AI23" s="580">
        <f t="shared" si="17"/>
        <v>0</v>
      </c>
      <c r="AJ23" s="579">
        <f t="shared" si="4"/>
        <v>0</v>
      </c>
      <c r="AK23" s="145"/>
    </row>
    <row r="24" spans="1:37" ht="19.5" thickBot="1">
      <c r="A24" s="95">
        <f>Gen!A29</f>
        <v>43880</v>
      </c>
      <c r="B24" s="570">
        <f>'Summery Report'!E23</f>
        <v>0</v>
      </c>
      <c r="C24" s="159">
        <f>Gen!B29</f>
        <v>0</v>
      </c>
      <c r="D24" s="571">
        <f>'Summery Report'!E23</f>
        <v>0</v>
      </c>
      <c r="E24" s="572">
        <f t="shared" si="13"/>
        <v>1.3262195121951219</v>
      </c>
      <c r="F24" s="573" t="e">
        <f t="shared" si="14"/>
        <v>#DIV/0!</v>
      </c>
      <c r="G24" s="573" t="e">
        <f t="shared" si="0"/>
        <v>#DIV/0!</v>
      </c>
      <c r="H24" s="572">
        <f>Gen!C29</f>
        <v>27141.11</v>
      </c>
      <c r="I24" s="574">
        <f>Gen!E29</f>
        <v>0</v>
      </c>
      <c r="J24" s="143">
        <f>Gen!S29</f>
        <v>0</v>
      </c>
      <c r="K24" s="143">
        <f>Gen!AJ29</f>
        <v>0</v>
      </c>
      <c r="L24" s="143">
        <f t="shared" si="1"/>
        <v>0</v>
      </c>
      <c r="M24" s="607">
        <f>'Water-Meter'!K64</f>
        <v>0</v>
      </c>
      <c r="N24" s="222">
        <f>'Water-Meter'!E24</f>
        <v>0</v>
      </c>
      <c r="O24" s="233"/>
      <c r="P24" s="514"/>
      <c r="Q24" s="575">
        <f t="shared" si="2"/>
        <v>0</v>
      </c>
      <c r="R24" s="576">
        <f t="shared" si="5"/>
        <v>0</v>
      </c>
      <c r="S24" s="514"/>
      <c r="T24" s="654"/>
      <c r="U24" s="575">
        <f t="shared" si="6"/>
        <v>0</v>
      </c>
      <c r="V24" s="577">
        <f t="shared" si="18"/>
        <v>0</v>
      </c>
      <c r="W24" s="514"/>
      <c r="X24" s="652"/>
      <c r="Y24" s="575">
        <f t="shared" si="8"/>
        <v>0</v>
      </c>
      <c r="Z24" s="577">
        <f t="shared" si="9"/>
        <v>0</v>
      </c>
      <c r="AA24" s="577">
        <f t="shared" si="10"/>
        <v>0</v>
      </c>
      <c r="AB24" s="653"/>
      <c r="AC24" s="139">
        <f t="shared" si="11"/>
        <v>0</v>
      </c>
      <c r="AD24" s="514"/>
      <c r="AE24" s="240">
        <f t="shared" si="15"/>
        <v>0</v>
      </c>
      <c r="AF24" s="351">
        <f>'Lpg (2)'!B28*2000/85</f>
        <v>0</v>
      </c>
      <c r="AG24" s="352">
        <f>'Lpg (2)'!C28*1000/85</f>
        <v>0</v>
      </c>
      <c r="AH24" s="353">
        <f>'Lpg (2)'!D28*1000/85</f>
        <v>0</v>
      </c>
      <c r="AI24" s="580">
        <f t="shared" si="17"/>
        <v>0</v>
      </c>
      <c r="AJ24" s="579">
        <f t="shared" si="4"/>
        <v>0</v>
      </c>
      <c r="AK24" s="145"/>
    </row>
    <row r="25" spans="1:37" ht="19.5" thickBot="1">
      <c r="A25" s="95">
        <f>Gen!A30</f>
        <v>43881</v>
      </c>
      <c r="B25" s="570">
        <f>'Summery Report'!E24</f>
        <v>0</v>
      </c>
      <c r="C25" s="159">
        <f>Gen!B30</f>
        <v>0</v>
      </c>
      <c r="D25" s="571">
        <f>'Summery Report'!E24</f>
        <v>0</v>
      </c>
      <c r="E25" s="572">
        <f t="shared" si="13"/>
        <v>1.3262195121951219</v>
      </c>
      <c r="F25" s="573" t="e">
        <f t="shared" si="14"/>
        <v>#DIV/0!</v>
      </c>
      <c r="G25" s="573" t="e">
        <f t="shared" si="0"/>
        <v>#DIV/0!</v>
      </c>
      <c r="H25" s="572">
        <f>Gen!C30</f>
        <v>27141.11</v>
      </c>
      <c r="I25" s="574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07">
        <f>'Water-Meter'!K65</f>
        <v>0</v>
      </c>
      <c r="N25" s="222">
        <f>'Water-Meter'!E25</f>
        <v>0</v>
      </c>
      <c r="O25" s="233"/>
      <c r="P25" s="514"/>
      <c r="Q25" s="575">
        <f t="shared" si="2"/>
        <v>0</v>
      </c>
      <c r="R25" s="576">
        <f t="shared" si="5"/>
        <v>0</v>
      </c>
      <c r="S25" s="514"/>
      <c r="T25" s="654"/>
      <c r="U25" s="575">
        <f t="shared" si="6"/>
        <v>0</v>
      </c>
      <c r="V25" s="577">
        <f t="shared" si="18"/>
        <v>0</v>
      </c>
      <c r="W25" s="514"/>
      <c r="X25" s="652"/>
      <c r="Y25" s="575">
        <f t="shared" si="8"/>
        <v>0</v>
      </c>
      <c r="Z25" s="577">
        <f t="shared" si="9"/>
        <v>0</v>
      </c>
      <c r="AA25" s="577">
        <f t="shared" si="10"/>
        <v>0</v>
      </c>
      <c r="AB25" s="653"/>
      <c r="AC25" s="139">
        <f t="shared" si="11"/>
        <v>0</v>
      </c>
      <c r="AD25" s="514"/>
      <c r="AE25" s="240">
        <f t="shared" si="15"/>
        <v>0</v>
      </c>
      <c r="AF25" s="351">
        <f>'Lpg (2)'!B29*2000/85</f>
        <v>0</v>
      </c>
      <c r="AG25" s="352">
        <f>'Lpg (2)'!C29*1000/85</f>
        <v>0</v>
      </c>
      <c r="AH25" s="353">
        <f>'Lpg (2)'!D29*1000/85</f>
        <v>0</v>
      </c>
      <c r="AI25" s="580">
        <f t="shared" si="17"/>
        <v>0</v>
      </c>
      <c r="AJ25" s="579">
        <f t="shared" si="4"/>
        <v>0</v>
      </c>
      <c r="AK25" s="145"/>
    </row>
    <row r="26" spans="1:37" ht="19.5" thickBot="1">
      <c r="A26" s="95">
        <f>Gen!A31</f>
        <v>43882</v>
      </c>
      <c r="B26" s="570">
        <f>'Summery Report'!E25</f>
        <v>0</v>
      </c>
      <c r="C26" s="159">
        <f>Gen!B31</f>
        <v>0</v>
      </c>
      <c r="D26" s="571">
        <f>'Summery Report'!E25</f>
        <v>0</v>
      </c>
      <c r="E26" s="572">
        <f t="shared" si="13"/>
        <v>1.3262195121951219</v>
      </c>
      <c r="F26" s="573" t="e">
        <f>SUM(J26*E26)/D26</f>
        <v>#DIV/0!</v>
      </c>
      <c r="G26" s="573" t="e">
        <f t="shared" si="0"/>
        <v>#DIV/0!</v>
      </c>
      <c r="H26" s="572">
        <f>Gen!C31</f>
        <v>27141.11</v>
      </c>
      <c r="I26" s="574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07">
        <f>'Water-Meter'!K66</f>
        <v>0</v>
      </c>
      <c r="N26" s="222">
        <f>'Water-Meter'!E26</f>
        <v>0</v>
      </c>
      <c r="O26" s="233"/>
      <c r="P26" s="514"/>
      <c r="Q26" s="575">
        <f t="shared" si="2"/>
        <v>0</v>
      </c>
      <c r="R26" s="576">
        <f t="shared" si="5"/>
        <v>0</v>
      </c>
      <c r="S26" s="514"/>
      <c r="T26" s="654"/>
      <c r="U26" s="575">
        <f t="shared" si="6"/>
        <v>0</v>
      </c>
      <c r="V26" s="577">
        <f t="shared" si="18"/>
        <v>0</v>
      </c>
      <c r="W26" s="514"/>
      <c r="X26" s="652"/>
      <c r="Y26" s="575">
        <f t="shared" si="8"/>
        <v>0</v>
      </c>
      <c r="Z26" s="577">
        <f t="shared" si="9"/>
        <v>0</v>
      </c>
      <c r="AA26" s="577">
        <f t="shared" si="10"/>
        <v>0</v>
      </c>
      <c r="AB26" s="653"/>
      <c r="AC26" s="139">
        <f t="shared" si="11"/>
        <v>0</v>
      </c>
      <c r="AD26" s="514"/>
      <c r="AE26" s="240">
        <f t="shared" si="15"/>
        <v>0</v>
      </c>
      <c r="AF26" s="351">
        <f>'Lpg (2)'!B30*2000/85</f>
        <v>0</v>
      </c>
      <c r="AG26" s="352">
        <f>'Lpg (2)'!C30*1000/85</f>
        <v>0</v>
      </c>
      <c r="AH26" s="353">
        <f>'Lpg (2)'!D30*1000/85</f>
        <v>0</v>
      </c>
      <c r="AI26" s="580">
        <f t="shared" si="17"/>
        <v>0</v>
      </c>
      <c r="AJ26" s="579">
        <f t="shared" si="4"/>
        <v>0</v>
      </c>
      <c r="AK26" s="145"/>
    </row>
    <row r="27" spans="1:37" ht="19.5" thickBot="1">
      <c r="A27" s="95">
        <f>Gen!A32</f>
        <v>43883</v>
      </c>
      <c r="B27" s="570">
        <f>'Summery Report'!E26</f>
        <v>0</v>
      </c>
      <c r="C27" s="159">
        <f>Gen!B32</f>
        <v>0</v>
      </c>
      <c r="D27" s="571">
        <f>'Summery Report'!E26</f>
        <v>0</v>
      </c>
      <c r="E27" s="572">
        <f t="shared" si="13"/>
        <v>1.3262195121951219</v>
      </c>
      <c r="F27" s="573" t="e">
        <f t="shared" si="14"/>
        <v>#DIV/0!</v>
      </c>
      <c r="G27" s="573" t="e">
        <f t="shared" si="0"/>
        <v>#DIV/0!</v>
      </c>
      <c r="H27" s="572">
        <f>Gen!C32</f>
        <v>27141.11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>
        <f>'Water-Meter'!E27</f>
        <v>0</v>
      </c>
      <c r="O27" s="233"/>
      <c r="P27" s="514"/>
      <c r="Q27" s="575">
        <f t="shared" si="2"/>
        <v>0</v>
      </c>
      <c r="R27" s="576">
        <f t="shared" si="5"/>
        <v>0</v>
      </c>
      <c r="S27" s="514"/>
      <c r="T27" s="654"/>
      <c r="U27" s="575">
        <f t="shared" si="6"/>
        <v>0</v>
      </c>
      <c r="V27" s="577">
        <f t="shared" si="18"/>
        <v>0</v>
      </c>
      <c r="W27" s="514"/>
      <c r="X27" s="652"/>
      <c r="Y27" s="575">
        <f t="shared" si="8"/>
        <v>0</v>
      </c>
      <c r="Z27" s="577">
        <f t="shared" si="9"/>
        <v>0</v>
      </c>
      <c r="AA27" s="577">
        <f t="shared" si="10"/>
        <v>0</v>
      </c>
      <c r="AB27" s="653"/>
      <c r="AC27" s="139">
        <f t="shared" si="11"/>
        <v>0</v>
      </c>
      <c r="AD27" s="514"/>
      <c r="AE27" s="240">
        <f t="shared" si="15"/>
        <v>0</v>
      </c>
      <c r="AF27" s="351">
        <f>'Lpg (2)'!B31*2000/85</f>
        <v>0</v>
      </c>
      <c r="AG27" s="352">
        <f>'Lpg (2)'!C31*1000/85</f>
        <v>0</v>
      </c>
      <c r="AH27" s="353">
        <f>'Lpg (2)'!D31*1000/85</f>
        <v>0</v>
      </c>
      <c r="AI27" s="580">
        <f t="shared" si="17"/>
        <v>0</v>
      </c>
      <c r="AJ27" s="579">
        <f t="shared" si="4"/>
        <v>0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27141.11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0</v>
      </c>
      <c r="R28" s="576">
        <f t="shared" si="5"/>
        <v>0</v>
      </c>
      <c r="S28" s="514"/>
      <c r="T28" s="654"/>
      <c r="U28" s="575">
        <f t="shared" si="6"/>
        <v>0</v>
      </c>
      <c r="V28" s="577">
        <f t="shared" si="18"/>
        <v>0</v>
      </c>
      <c r="W28" s="514"/>
      <c r="X28" s="652"/>
      <c r="Y28" s="575">
        <f t="shared" si="8"/>
        <v>0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0</v>
      </c>
      <c r="AD28" s="514"/>
      <c r="AE28" s="240">
        <f t="shared" si="15"/>
        <v>0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0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27141.11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27141.11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27141.11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27141.11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27141.11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27141.11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27141.11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27141.11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3627.6000000000004</v>
      </c>
      <c r="K37" s="166"/>
      <c r="L37" s="143">
        <f t="shared" si="1"/>
        <v>3627.6000000000004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10" zoomScale="86" zoomScaleNormal="86" workbookViewId="0">
      <selection activeCell="W6" sqref="W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79" t="s">
        <v>151</v>
      </c>
      <c r="C1" s="780"/>
      <c r="D1" s="780"/>
      <c r="E1" s="780"/>
      <c r="F1" s="781"/>
      <c r="G1" s="190"/>
      <c r="H1" s="779" t="s">
        <v>152</v>
      </c>
      <c r="I1" s="780"/>
      <c r="J1" s="780"/>
      <c r="K1" s="780"/>
      <c r="L1" s="781"/>
      <c r="M1" s="779" t="s">
        <v>171</v>
      </c>
      <c r="N1" s="780"/>
      <c r="O1" s="780"/>
      <c r="P1" s="780"/>
      <c r="Q1" s="781"/>
      <c r="R1" s="190"/>
      <c r="T1" s="779" t="s">
        <v>167</v>
      </c>
      <c r="U1" s="780"/>
      <c r="V1" s="780"/>
      <c r="W1" s="780"/>
      <c r="X1" s="781"/>
      <c r="Y1" s="779" t="s">
        <v>170</v>
      </c>
      <c r="Z1" s="780"/>
      <c r="AA1" s="780"/>
      <c r="AB1" s="780"/>
      <c r="AC1" s="781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2" t="s">
        <v>157</v>
      </c>
      <c r="C3" s="783"/>
      <c r="D3" s="206"/>
      <c r="E3" s="521">
        <v>8420.7999999999993</v>
      </c>
      <c r="F3" s="207" t="s">
        <v>158</v>
      </c>
      <c r="G3" s="198"/>
      <c r="H3" s="782" t="s">
        <v>157</v>
      </c>
      <c r="I3" s="783"/>
      <c r="J3" s="324"/>
      <c r="K3" s="450">
        <f>'[1]Water-Meter'!G5</f>
        <v>36423</v>
      </c>
      <c r="L3" s="324"/>
      <c r="M3" s="782" t="s">
        <v>157</v>
      </c>
      <c r="N3" s="783"/>
      <c r="O3" s="206"/>
      <c r="P3" s="215">
        <f>'[1]Water-Meter'!J5</f>
        <v>7351</v>
      </c>
      <c r="Q3" s="205"/>
      <c r="R3" s="324"/>
      <c r="S3" s="455"/>
      <c r="T3" s="782" t="s">
        <v>157</v>
      </c>
      <c r="U3" s="783"/>
      <c r="V3" s="206"/>
      <c r="W3" s="197">
        <v>7597.7</v>
      </c>
      <c r="X3" s="204">
        <f t="shared" ref="X3:X35" si="0">(W3-V3)*200</f>
        <v>1519540</v>
      </c>
      <c r="Y3" s="782" t="s">
        <v>157</v>
      </c>
      <c r="Z3" s="783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</v>
      </c>
      <c r="B6" s="95">
        <f>Gen!A13</f>
        <v>43864</v>
      </c>
      <c r="C6" s="196"/>
      <c r="D6" s="196">
        <f t="shared" si="1"/>
        <v>8428.4</v>
      </c>
      <c r="E6" s="521"/>
      <c r="F6" s="204">
        <f t="shared" si="2"/>
        <v>-1011408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-164.21626887481733</v>
      </c>
      <c r="T6" s="243">
        <f t="shared" si="12"/>
        <v>43864</v>
      </c>
      <c r="U6" s="196"/>
      <c r="V6" s="196">
        <f t="shared" si="8"/>
        <v>7604.7</v>
      </c>
      <c r="W6" s="197"/>
      <c r="X6" s="204">
        <f t="shared" si="0"/>
        <v>-1520940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0</v>
      </c>
      <c r="B7" s="95">
        <f>Gen!A14</f>
        <v>43865</v>
      </c>
      <c r="C7" s="196"/>
      <c r="D7" s="196">
        <f t="shared" si="1"/>
        <v>0</v>
      </c>
      <c r="E7" s="521"/>
      <c r="F7" s="204">
        <f t="shared" si="2"/>
        <v>0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0</v>
      </c>
      <c r="T7" s="243">
        <f t="shared" si="12"/>
        <v>43865</v>
      </c>
      <c r="U7" s="196"/>
      <c r="V7" s="196">
        <f t="shared" si="8"/>
        <v>0</v>
      </c>
      <c r="W7" s="197"/>
      <c r="X7" s="204">
        <f t="shared" si="0"/>
        <v>0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0</v>
      </c>
      <c r="B8" s="95">
        <f>Gen!A15</f>
        <v>43866</v>
      </c>
      <c r="C8" s="196"/>
      <c r="D8" s="196">
        <f t="shared" si="1"/>
        <v>0</v>
      </c>
      <c r="E8" s="521"/>
      <c r="F8" s="204">
        <f t="shared" si="2"/>
        <v>0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0</v>
      </c>
      <c r="T8" s="243">
        <f t="shared" si="12"/>
        <v>43866</v>
      </c>
      <c r="U8" s="196"/>
      <c r="V8" s="196">
        <f t="shared" si="8"/>
        <v>0</v>
      </c>
      <c r="W8" s="197"/>
      <c r="X8" s="204">
        <f t="shared" si="0"/>
        <v>0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0</v>
      </c>
      <c r="B9" s="95">
        <f>Gen!A16</f>
        <v>43867</v>
      </c>
      <c r="C9" s="196"/>
      <c r="D9" s="196">
        <f t="shared" si="1"/>
        <v>0</v>
      </c>
      <c r="E9" s="521"/>
      <c r="F9" s="204">
        <f t="shared" si="2"/>
        <v>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0</v>
      </c>
      <c r="T9" s="243">
        <f t="shared" si="12"/>
        <v>43867</v>
      </c>
      <c r="U9" s="196"/>
      <c r="V9" s="196">
        <f t="shared" si="8"/>
        <v>0</v>
      </c>
      <c r="W9" s="197"/>
      <c r="X9" s="204">
        <f t="shared" si="0"/>
        <v>0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0</v>
      </c>
      <c r="B10" s="95">
        <f>Gen!A17</f>
        <v>43868</v>
      </c>
      <c r="C10" s="196"/>
      <c r="D10" s="196">
        <f t="shared" si="1"/>
        <v>0</v>
      </c>
      <c r="E10" s="521"/>
      <c r="F10" s="204">
        <f t="shared" si="2"/>
        <v>0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0</v>
      </c>
      <c r="T10" s="243">
        <f t="shared" si="12"/>
        <v>43868</v>
      </c>
      <c r="U10" s="196"/>
      <c r="V10" s="196">
        <f t="shared" si="8"/>
        <v>0</v>
      </c>
      <c r="W10" s="197"/>
      <c r="X10" s="204">
        <f t="shared" si="0"/>
        <v>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</v>
      </c>
      <c r="B11" s="95">
        <f>Gen!A18</f>
        <v>43869</v>
      </c>
      <c r="C11" s="196"/>
      <c r="D11" s="196">
        <f t="shared" si="1"/>
        <v>0</v>
      </c>
      <c r="E11" s="521"/>
      <c r="F11" s="204">
        <f t="shared" si="2"/>
        <v>0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</v>
      </c>
      <c r="T11" s="243">
        <f t="shared" si="12"/>
        <v>43869</v>
      </c>
      <c r="U11" s="196"/>
      <c r="V11" s="196">
        <f t="shared" si="8"/>
        <v>0</v>
      </c>
      <c r="W11" s="197"/>
      <c r="X11" s="204">
        <f t="shared" si="0"/>
        <v>0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</v>
      </c>
      <c r="B12" s="95">
        <f>Gen!A19</f>
        <v>43870</v>
      </c>
      <c r="C12" s="196"/>
      <c r="D12" s="196">
        <f t="shared" si="1"/>
        <v>0</v>
      </c>
      <c r="E12" s="521"/>
      <c r="F12" s="204">
        <f t="shared" si="2"/>
        <v>0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0</v>
      </c>
      <c r="T12" s="243">
        <f t="shared" si="12"/>
        <v>43870</v>
      </c>
      <c r="U12" s="196"/>
      <c r="V12" s="196">
        <f t="shared" si="8"/>
        <v>0</v>
      </c>
      <c r="W12" s="197"/>
      <c r="X12" s="204">
        <f t="shared" si="0"/>
        <v>0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</v>
      </c>
      <c r="B13" s="95">
        <f>Gen!A20</f>
        <v>43871</v>
      </c>
      <c r="C13" s="196"/>
      <c r="D13" s="196">
        <f t="shared" si="1"/>
        <v>0</v>
      </c>
      <c r="E13" s="521"/>
      <c r="F13" s="204">
        <f t="shared" si="2"/>
        <v>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0</v>
      </c>
      <c r="T13" s="243">
        <f t="shared" si="12"/>
        <v>43871</v>
      </c>
      <c r="U13" s="196"/>
      <c r="V13" s="196">
        <f t="shared" si="8"/>
        <v>0</v>
      </c>
      <c r="W13" s="197"/>
      <c r="X13" s="204">
        <f t="shared" si="0"/>
        <v>0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</v>
      </c>
      <c r="B14" s="95">
        <f>Gen!A21</f>
        <v>43872</v>
      </c>
      <c r="C14" s="196"/>
      <c r="D14" s="196">
        <f t="shared" si="1"/>
        <v>0</v>
      </c>
      <c r="E14" s="521"/>
      <c r="F14" s="204">
        <f t="shared" si="2"/>
        <v>0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0</v>
      </c>
      <c r="T14" s="243">
        <f t="shared" si="12"/>
        <v>43872</v>
      </c>
      <c r="U14" s="196"/>
      <c r="V14" s="196">
        <f t="shared" si="8"/>
        <v>0</v>
      </c>
      <c r="W14" s="197"/>
      <c r="X14" s="204">
        <f t="shared" si="0"/>
        <v>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</v>
      </c>
      <c r="B15" s="95">
        <f>Gen!A22</f>
        <v>43873</v>
      </c>
      <c r="C15" s="196"/>
      <c r="D15" s="196">
        <f t="shared" si="1"/>
        <v>0</v>
      </c>
      <c r="E15" s="521"/>
      <c r="F15" s="204">
        <f t="shared" si="2"/>
        <v>0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0</v>
      </c>
      <c r="T15" s="243">
        <f t="shared" si="12"/>
        <v>43873</v>
      </c>
      <c r="U15" s="196"/>
      <c r="V15" s="196">
        <f t="shared" si="8"/>
        <v>0</v>
      </c>
      <c r="W15" s="197"/>
      <c r="X15" s="204">
        <f t="shared" si="0"/>
        <v>0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</v>
      </c>
      <c r="B16" s="95">
        <f>Gen!A23</f>
        <v>43874</v>
      </c>
      <c r="C16" s="196"/>
      <c r="D16" s="196">
        <f t="shared" si="1"/>
        <v>0</v>
      </c>
      <c r="E16" s="521"/>
      <c r="F16" s="204">
        <f>SUM(E16-D16)*120</f>
        <v>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0</v>
      </c>
      <c r="T16" s="243">
        <f t="shared" si="12"/>
        <v>43874</v>
      </c>
      <c r="U16" s="196"/>
      <c r="V16" s="196">
        <f t="shared" si="8"/>
        <v>0</v>
      </c>
      <c r="W16" s="197"/>
      <c r="X16" s="204">
        <f t="shared" si="0"/>
        <v>0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</v>
      </c>
      <c r="B17" s="95">
        <f>Gen!A24</f>
        <v>43875</v>
      </c>
      <c r="C17" s="196"/>
      <c r="D17" s="196">
        <f t="shared" si="1"/>
        <v>0</v>
      </c>
      <c r="E17" s="521"/>
      <c r="F17" s="204">
        <f>SUM(E17-D17)*120</f>
        <v>0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0</v>
      </c>
      <c r="T17" s="243">
        <f t="shared" si="12"/>
        <v>43875</v>
      </c>
      <c r="U17" s="196"/>
      <c r="V17" s="196">
        <f t="shared" si="8"/>
        <v>0</v>
      </c>
      <c r="W17" s="197"/>
      <c r="X17" s="204">
        <f t="shared" si="0"/>
        <v>0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</v>
      </c>
      <c r="B18" s="95">
        <f>Gen!A25</f>
        <v>43876</v>
      </c>
      <c r="C18" s="196"/>
      <c r="D18" s="196">
        <f t="shared" si="1"/>
        <v>0</v>
      </c>
      <c r="E18" s="521"/>
      <c r="F18" s="204">
        <f t="shared" ref="F18:F22" si="15">SUM(E18-D18)*120</f>
        <v>0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0</v>
      </c>
      <c r="T18" s="243">
        <f t="shared" si="12"/>
        <v>43876</v>
      </c>
      <c r="U18" s="196"/>
      <c r="V18" s="196">
        <f t="shared" si="8"/>
        <v>0</v>
      </c>
      <c r="W18" s="197"/>
      <c r="X18" s="204">
        <f t="shared" si="0"/>
        <v>0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</v>
      </c>
      <c r="B19" s="95">
        <f>Gen!A26</f>
        <v>43877</v>
      </c>
      <c r="C19" s="199"/>
      <c r="D19" s="196">
        <f t="shared" si="1"/>
        <v>0</v>
      </c>
      <c r="E19" s="521"/>
      <c r="F19" s="204">
        <f t="shared" si="15"/>
        <v>0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0</v>
      </c>
      <c r="T19" s="243">
        <f t="shared" si="12"/>
        <v>43877</v>
      </c>
      <c r="U19" s="199"/>
      <c r="V19" s="196">
        <f t="shared" si="8"/>
        <v>0</v>
      </c>
      <c r="W19" s="197"/>
      <c r="X19" s="204">
        <f t="shared" si="0"/>
        <v>0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</v>
      </c>
      <c r="B20" s="95">
        <f>Gen!A27</f>
        <v>43878</v>
      </c>
      <c r="C20" s="199"/>
      <c r="D20" s="196">
        <f t="shared" si="1"/>
        <v>0</v>
      </c>
      <c r="E20" s="521"/>
      <c r="F20" s="204">
        <f t="shared" si="15"/>
        <v>0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0</v>
      </c>
      <c r="T20" s="243">
        <f t="shared" si="12"/>
        <v>43878</v>
      </c>
      <c r="U20" s="199"/>
      <c r="V20" s="196">
        <f t="shared" si="8"/>
        <v>0</v>
      </c>
      <c r="W20" s="197"/>
      <c r="X20" s="204">
        <f t="shared" si="0"/>
        <v>0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</v>
      </c>
      <c r="B21" s="95">
        <f>Gen!A28</f>
        <v>43879</v>
      </c>
      <c r="C21" s="199"/>
      <c r="D21" s="196">
        <f t="shared" si="1"/>
        <v>0</v>
      </c>
      <c r="E21" s="521"/>
      <c r="F21" s="204">
        <f t="shared" si="15"/>
        <v>0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0</v>
      </c>
      <c r="T21" s="243">
        <f t="shared" si="12"/>
        <v>43879</v>
      </c>
      <c r="U21" s="199"/>
      <c r="V21" s="196">
        <f t="shared" si="8"/>
        <v>0</v>
      </c>
      <c r="W21" s="197"/>
      <c r="X21" s="204">
        <f t="shared" si="0"/>
        <v>0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</v>
      </c>
      <c r="B22" s="95">
        <f>Gen!A29</f>
        <v>43880</v>
      </c>
      <c r="C22" s="196"/>
      <c r="D22" s="196">
        <f t="shared" si="1"/>
        <v>0</v>
      </c>
      <c r="E22" s="521"/>
      <c r="F22" s="204">
        <f t="shared" si="15"/>
        <v>0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</v>
      </c>
      <c r="T22" s="243">
        <f t="shared" si="12"/>
        <v>43880</v>
      </c>
      <c r="U22" s="196"/>
      <c r="V22" s="196">
        <f t="shared" si="8"/>
        <v>0</v>
      </c>
      <c r="W22" s="197"/>
      <c r="X22" s="204">
        <f t="shared" si="0"/>
        <v>0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</v>
      </c>
      <c r="B23" s="95">
        <f>Gen!A30</f>
        <v>43881</v>
      </c>
      <c r="C23" s="199"/>
      <c r="D23" s="196">
        <f t="shared" si="1"/>
        <v>0</v>
      </c>
      <c r="E23" s="521"/>
      <c r="F23" s="204">
        <f t="shared" ref="F23:F34" si="17">SUM(E23-D23)*120</f>
        <v>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0</v>
      </c>
      <c r="T23" s="243">
        <f t="shared" si="12"/>
        <v>43881</v>
      </c>
      <c r="U23" s="199"/>
      <c r="V23" s="196">
        <f t="shared" si="8"/>
        <v>0</v>
      </c>
      <c r="W23" s="197"/>
      <c r="X23" s="204">
        <f t="shared" si="0"/>
        <v>0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</v>
      </c>
      <c r="B24" s="95">
        <f>Gen!A31</f>
        <v>43882</v>
      </c>
      <c r="C24" s="199"/>
      <c r="D24" s="196">
        <f t="shared" ref="D24:D35" si="18">SUM(E23)</f>
        <v>0</v>
      </c>
      <c r="E24" s="521"/>
      <c r="F24" s="204">
        <f t="shared" si="17"/>
        <v>0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0</v>
      </c>
      <c r="T24" s="243">
        <v>5835.7</v>
      </c>
      <c r="U24" s="199"/>
      <c r="V24" s="196">
        <f t="shared" si="8"/>
        <v>0</v>
      </c>
      <c r="W24" s="197"/>
      <c r="X24" s="204">
        <f t="shared" si="0"/>
        <v>0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</v>
      </c>
      <c r="B25" s="95">
        <f>Gen!A32</f>
        <v>43883</v>
      </c>
      <c r="C25" s="199"/>
      <c r="D25" s="196">
        <f t="shared" si="18"/>
        <v>0</v>
      </c>
      <c r="E25" s="521"/>
      <c r="F25" s="204">
        <f t="shared" si="17"/>
        <v>0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0</v>
      </c>
      <c r="T25" s="243">
        <f t="shared" si="12"/>
        <v>43883</v>
      </c>
      <c r="U25" s="199"/>
      <c r="V25" s="196">
        <f t="shared" si="8"/>
        <v>0</v>
      </c>
      <c r="W25" s="197"/>
      <c r="X25" s="204">
        <f t="shared" si="0"/>
        <v>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-1010496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-1519540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9" sqref="E9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4" t="s">
        <v>313</v>
      </c>
      <c r="B2" s="785"/>
      <c r="C2" s="785"/>
      <c r="D2" s="785"/>
      <c r="E2" s="786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-147725</v>
      </c>
      <c r="C7" s="89">
        <f>Gen!B13</f>
        <v>0</v>
      </c>
      <c r="D7" s="588">
        <f t="shared" si="0"/>
        <v>0</v>
      </c>
      <c r="E7" s="76"/>
      <c r="F7" s="72">
        <f>Gen!T11</f>
        <v>4580</v>
      </c>
      <c r="G7" s="87">
        <f>Gen!S11</f>
        <v>1824.75</v>
      </c>
      <c r="H7" s="87">
        <f>Gen!AJ13</f>
        <v>0</v>
      </c>
      <c r="I7" s="87">
        <f t="shared" si="1"/>
        <v>1824.75</v>
      </c>
      <c r="J7" s="603">
        <f>Gen!C13</f>
        <v>27141.11</v>
      </c>
      <c r="K7" s="386" t="str">
        <f>'Water-Meter'!E8</f>
        <v>0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0</v>
      </c>
      <c r="C8" s="89">
        <f>Gen!B14</f>
        <v>0</v>
      </c>
      <c r="D8" s="588">
        <f>E8</f>
        <v>0</v>
      </c>
      <c r="E8" s="76"/>
      <c r="F8" s="72">
        <f>Gen!T12</f>
        <v>4303</v>
      </c>
      <c r="G8" s="87">
        <f>Gen!S12</f>
        <v>1802.8500000000001</v>
      </c>
      <c r="H8" s="87">
        <f>Gen!AJ14</f>
        <v>0</v>
      </c>
      <c r="I8" s="87">
        <f t="shared" si="1"/>
        <v>1802.8500000000001</v>
      </c>
      <c r="J8" s="603">
        <f>Gen!C14</f>
        <v>27141.11</v>
      </c>
      <c r="K8" s="386">
        <f>'Water-Meter'!E9</f>
        <v>0</v>
      </c>
      <c r="L8" s="604">
        <f>'Lpg (2)'!G13</f>
        <v>-306671.59600000002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0</v>
      </c>
      <c r="C9" s="89">
        <f>Gen!B15</f>
        <v>0</v>
      </c>
      <c r="D9" s="588">
        <f t="shared" si="0"/>
        <v>0</v>
      </c>
      <c r="E9" s="76"/>
      <c r="F9" s="72">
        <f>Gen!T13</f>
        <v>0</v>
      </c>
      <c r="G9" s="87">
        <f>Gen!S13</f>
        <v>0</v>
      </c>
      <c r="H9" s="87">
        <f>Gen!AJ15</f>
        <v>0</v>
      </c>
      <c r="I9" s="87">
        <f t="shared" si="1"/>
        <v>0</v>
      </c>
      <c r="J9" s="603">
        <f>Gen!C15</f>
        <v>27141.11</v>
      </c>
      <c r="K9" s="386">
        <f>'Water-Meter'!E10</f>
        <v>0</v>
      </c>
      <c r="L9" s="604">
        <f>'Lpg (2)'!G14</f>
        <v>0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0</v>
      </c>
      <c r="C10" s="89">
        <f>Gen!B16</f>
        <v>0</v>
      </c>
      <c r="D10" s="588">
        <f t="shared" si="0"/>
        <v>0</v>
      </c>
      <c r="E10" s="76"/>
      <c r="F10" s="72">
        <f>Gen!T14</f>
        <v>0</v>
      </c>
      <c r="G10" s="87">
        <f>Gen!S14</f>
        <v>0</v>
      </c>
      <c r="H10" s="87">
        <f>Gen!AJ16</f>
        <v>0</v>
      </c>
      <c r="I10" s="87">
        <f t="shared" si="1"/>
        <v>0</v>
      </c>
      <c r="J10" s="603">
        <f>Gen!C16</f>
        <v>27141.11</v>
      </c>
      <c r="K10" s="386">
        <f>'Water-Meter'!E11</f>
        <v>0</v>
      </c>
      <c r="L10" s="604">
        <f>'Lpg (2)'!G15</f>
        <v>0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0</v>
      </c>
      <c r="C11" s="89">
        <f>Gen!B17</f>
        <v>0</v>
      </c>
      <c r="D11" s="588">
        <f t="shared" si="0"/>
        <v>0</v>
      </c>
      <c r="E11" s="76"/>
      <c r="F11" s="72">
        <f>Gen!T15</f>
        <v>0</v>
      </c>
      <c r="G11" s="87">
        <f>Gen!S15</f>
        <v>0</v>
      </c>
      <c r="H11" s="87">
        <f>Gen!AJ17</f>
        <v>0</v>
      </c>
      <c r="I11" s="87">
        <f t="shared" si="1"/>
        <v>0</v>
      </c>
      <c r="J11" s="603">
        <f>Gen!C17</f>
        <v>27141.11</v>
      </c>
      <c r="K11" s="386">
        <f>'Water-Meter'!E12</f>
        <v>0</v>
      </c>
      <c r="L11" s="604">
        <f>'Lpg (2)'!G16</f>
        <v>0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0</v>
      </c>
      <c r="C12" s="89">
        <f>Gen!B18</f>
        <v>0</v>
      </c>
      <c r="D12" s="588">
        <f t="shared" si="0"/>
        <v>0</v>
      </c>
      <c r="E12" s="76"/>
      <c r="F12" s="72">
        <f>Gen!T16</f>
        <v>0</v>
      </c>
      <c r="G12" s="87">
        <f>Gen!S16</f>
        <v>0</v>
      </c>
      <c r="H12" s="87">
        <f>Gen!AJ18</f>
        <v>0</v>
      </c>
      <c r="I12" s="87">
        <f t="shared" si="1"/>
        <v>0</v>
      </c>
      <c r="J12" s="603">
        <f>Gen!C18</f>
        <v>27141.11</v>
      </c>
      <c r="K12" s="386">
        <f>'Water-Meter'!E13</f>
        <v>0</v>
      </c>
      <c r="L12" s="604">
        <f>'Lpg (2)'!G17</f>
        <v>0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0</v>
      </c>
      <c r="C13" s="89">
        <f>Gen!B19</f>
        <v>0</v>
      </c>
      <c r="D13" s="588">
        <f t="shared" si="0"/>
        <v>0</v>
      </c>
      <c r="E13" s="76"/>
      <c r="F13" s="72">
        <f>Gen!T17</f>
        <v>0</v>
      </c>
      <c r="G13" s="87">
        <f>Gen!S17</f>
        <v>0</v>
      </c>
      <c r="H13" s="87">
        <f>Gen!AJ19</f>
        <v>0</v>
      </c>
      <c r="I13" s="87">
        <f t="shared" si="1"/>
        <v>0</v>
      </c>
      <c r="J13" s="603">
        <f>Gen!C19</f>
        <v>27141.11</v>
      </c>
      <c r="K13" s="386">
        <f>'Water-Meter'!E14</f>
        <v>0</v>
      </c>
      <c r="L13" s="604">
        <f>'Lpg (2)'!G18</f>
        <v>0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0</v>
      </c>
      <c r="C14" s="89">
        <f>Gen!B20</f>
        <v>0</v>
      </c>
      <c r="D14" s="588">
        <f t="shared" si="0"/>
        <v>0</v>
      </c>
      <c r="E14" s="76"/>
      <c r="F14" s="72">
        <f>Gen!T18</f>
        <v>0</v>
      </c>
      <c r="G14" s="87">
        <f>Gen!S18</f>
        <v>0</v>
      </c>
      <c r="H14" s="87">
        <f>Gen!AJ20</f>
        <v>0</v>
      </c>
      <c r="I14" s="87">
        <f t="shared" si="1"/>
        <v>0</v>
      </c>
      <c r="J14" s="603">
        <f>Gen!C20</f>
        <v>27141.11</v>
      </c>
      <c r="K14" s="386">
        <f>'Water-Meter'!E15</f>
        <v>0</v>
      </c>
      <c r="L14" s="604">
        <f>'Lpg (2)'!G19</f>
        <v>0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0</v>
      </c>
      <c r="C15" s="89">
        <f>Gen!B21</f>
        <v>0</v>
      </c>
      <c r="D15" s="588">
        <f t="shared" si="0"/>
        <v>0</v>
      </c>
      <c r="E15" s="76"/>
      <c r="F15" s="72">
        <f>Gen!T19</f>
        <v>0</v>
      </c>
      <c r="G15" s="87">
        <f>Gen!S19</f>
        <v>0</v>
      </c>
      <c r="H15" s="87">
        <f>Gen!AJ21</f>
        <v>0</v>
      </c>
      <c r="I15" s="87">
        <f t="shared" si="1"/>
        <v>0</v>
      </c>
      <c r="J15" s="603">
        <f>Gen!C21</f>
        <v>27141.11</v>
      </c>
      <c r="K15" s="386">
        <f>'Water-Meter'!E16</f>
        <v>0</v>
      </c>
      <c r="L15" s="604">
        <f>'Lpg (2)'!G20</f>
        <v>0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0</v>
      </c>
      <c r="C16" s="89">
        <f>Gen!B22</f>
        <v>0</v>
      </c>
      <c r="D16" s="588">
        <f t="shared" si="0"/>
        <v>0</v>
      </c>
      <c r="E16" s="76"/>
      <c r="F16" s="72">
        <f>Gen!T20</f>
        <v>0</v>
      </c>
      <c r="G16" s="87">
        <f>Gen!S20</f>
        <v>0</v>
      </c>
      <c r="H16" s="87">
        <f>Gen!AJ22</f>
        <v>0</v>
      </c>
      <c r="I16" s="87">
        <f t="shared" si="1"/>
        <v>0</v>
      </c>
      <c r="J16" s="603">
        <f>Gen!C22</f>
        <v>27141.11</v>
      </c>
      <c r="K16" s="386">
        <f>'Water-Meter'!E17</f>
        <v>0</v>
      </c>
      <c r="L16" s="604">
        <f>'Lpg (2)'!G21</f>
        <v>0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0</v>
      </c>
      <c r="C17" s="89">
        <f>Gen!B23</f>
        <v>0</v>
      </c>
      <c r="D17" s="588">
        <f t="shared" si="0"/>
        <v>0</v>
      </c>
      <c r="E17" s="76"/>
      <c r="F17" s="72">
        <f>Gen!T21</f>
        <v>0</v>
      </c>
      <c r="G17" s="87">
        <f>Gen!S21</f>
        <v>0</v>
      </c>
      <c r="H17" s="87">
        <f>Gen!AJ23</f>
        <v>0</v>
      </c>
      <c r="I17" s="87">
        <f t="shared" si="1"/>
        <v>0</v>
      </c>
      <c r="J17" s="603">
        <f>Gen!C23</f>
        <v>27141.11</v>
      </c>
      <c r="K17" s="386">
        <f>'Water-Meter'!E18</f>
        <v>0</v>
      </c>
      <c r="L17" s="604">
        <f>'Lpg (2)'!G22</f>
        <v>0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0</v>
      </c>
      <c r="C18" s="89">
        <f>Gen!B24</f>
        <v>0</v>
      </c>
      <c r="D18" s="588">
        <f t="shared" si="0"/>
        <v>0</v>
      </c>
      <c r="E18" s="76"/>
      <c r="F18" s="72">
        <f>Gen!T22</f>
        <v>0</v>
      </c>
      <c r="G18" s="87">
        <f>Gen!S22</f>
        <v>0</v>
      </c>
      <c r="H18" s="87">
        <f>Gen!AJ24</f>
        <v>0</v>
      </c>
      <c r="I18" s="87">
        <f t="shared" si="1"/>
        <v>0</v>
      </c>
      <c r="J18" s="603">
        <f>Gen!C24</f>
        <v>27141.11</v>
      </c>
      <c r="K18" s="386">
        <f>'Water-Meter'!E19</f>
        <v>0</v>
      </c>
      <c r="L18" s="604">
        <f>'Lpg (2)'!G23</f>
        <v>0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0</v>
      </c>
      <c r="C19" s="89">
        <f>Gen!B25</f>
        <v>0</v>
      </c>
      <c r="D19" s="588">
        <f t="shared" si="0"/>
        <v>0</v>
      </c>
      <c r="E19" s="76"/>
      <c r="F19" s="72">
        <f>Gen!T23</f>
        <v>0</v>
      </c>
      <c r="G19" s="87">
        <f>Gen!S23</f>
        <v>0</v>
      </c>
      <c r="H19" s="87">
        <f>Gen!AJ25</f>
        <v>0</v>
      </c>
      <c r="I19" s="87">
        <f t="shared" si="1"/>
        <v>0</v>
      </c>
      <c r="J19" s="603">
        <f>Gen!C25</f>
        <v>27141.11</v>
      </c>
      <c r="K19" s="386">
        <f>'Water-Meter'!E20</f>
        <v>0</v>
      </c>
      <c r="L19" s="604">
        <f>'Lpg (2)'!G24</f>
        <v>0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0</v>
      </c>
      <c r="C20" s="89">
        <f>Gen!B26</f>
        <v>0</v>
      </c>
      <c r="D20" s="588">
        <f t="shared" si="0"/>
        <v>0</v>
      </c>
      <c r="E20" s="76"/>
      <c r="F20" s="72">
        <f>Gen!T24</f>
        <v>0</v>
      </c>
      <c r="G20" s="87">
        <f>Gen!S24</f>
        <v>0</v>
      </c>
      <c r="H20" s="87">
        <f>Gen!AJ26</f>
        <v>0</v>
      </c>
      <c r="I20" s="87">
        <f t="shared" si="1"/>
        <v>0</v>
      </c>
      <c r="J20" s="603">
        <f>Gen!C26</f>
        <v>27141.11</v>
      </c>
      <c r="K20" s="386">
        <f>'Water-Meter'!E21</f>
        <v>0</v>
      </c>
      <c r="L20" s="604">
        <f>'Lpg (2)'!G25</f>
        <v>0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0</v>
      </c>
      <c r="C21" s="89">
        <f>Gen!B27</f>
        <v>0</v>
      </c>
      <c r="D21" s="588">
        <f t="shared" si="0"/>
        <v>0</v>
      </c>
      <c r="E21" s="76"/>
      <c r="F21" s="72">
        <f>Gen!T25</f>
        <v>0</v>
      </c>
      <c r="G21" s="87">
        <f>Gen!S25</f>
        <v>0</v>
      </c>
      <c r="H21" s="87">
        <f>Gen!AJ27</f>
        <v>0</v>
      </c>
      <c r="I21" s="87">
        <f t="shared" si="1"/>
        <v>0</v>
      </c>
      <c r="J21" s="603">
        <f>Gen!C27</f>
        <v>27141.11</v>
      </c>
      <c r="K21" s="386">
        <f>'Water-Meter'!E22</f>
        <v>0</v>
      </c>
      <c r="L21" s="604">
        <f>'Lpg (2)'!G26</f>
        <v>0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0</v>
      </c>
      <c r="C22" s="89">
        <f>Gen!B28</f>
        <v>0</v>
      </c>
      <c r="D22" s="588">
        <f t="shared" si="0"/>
        <v>0</v>
      </c>
      <c r="E22" s="76"/>
      <c r="F22" s="72">
        <f>Gen!T26</f>
        <v>0</v>
      </c>
      <c r="G22" s="87">
        <f>Gen!S26</f>
        <v>0</v>
      </c>
      <c r="H22" s="87">
        <f>Gen!AJ28</f>
        <v>0</v>
      </c>
      <c r="I22" s="87">
        <f t="shared" si="1"/>
        <v>0</v>
      </c>
      <c r="J22" s="603">
        <f>Gen!C28</f>
        <v>27141.11</v>
      </c>
      <c r="K22" s="386">
        <f>'Water-Meter'!E23</f>
        <v>0</v>
      </c>
      <c r="L22" s="604">
        <f>'Lpg (2)'!G27</f>
        <v>0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0</v>
      </c>
      <c r="C23" s="89">
        <f>Gen!B29</f>
        <v>0</v>
      </c>
      <c r="D23" s="588">
        <f t="shared" si="0"/>
        <v>0</v>
      </c>
      <c r="E23" s="76"/>
      <c r="F23" s="72">
        <f>Gen!T27</f>
        <v>0</v>
      </c>
      <c r="G23" s="87">
        <f>Gen!S27</f>
        <v>0</v>
      </c>
      <c r="H23" s="87">
        <f>Gen!AJ29</f>
        <v>0</v>
      </c>
      <c r="I23" s="87">
        <f t="shared" si="1"/>
        <v>0</v>
      </c>
      <c r="J23" s="603">
        <f>Gen!C29</f>
        <v>27141.11</v>
      </c>
      <c r="K23" s="386">
        <f>'Water-Meter'!E24</f>
        <v>0</v>
      </c>
      <c r="L23" s="604">
        <f>'Lpg (2)'!G28</f>
        <v>0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0</v>
      </c>
      <c r="C24" s="89">
        <f>Gen!B30</f>
        <v>0</v>
      </c>
      <c r="D24" s="588">
        <f t="shared" si="0"/>
        <v>0</v>
      </c>
      <c r="E24" s="76"/>
      <c r="F24" s="72">
        <f>Gen!T28</f>
        <v>0</v>
      </c>
      <c r="G24" s="87">
        <f>Gen!S28</f>
        <v>0</v>
      </c>
      <c r="H24" s="87">
        <f>Gen!AJ30</f>
        <v>0</v>
      </c>
      <c r="I24" s="87">
        <f t="shared" si="1"/>
        <v>0</v>
      </c>
      <c r="J24" s="603">
        <f>Gen!C30</f>
        <v>27141.11</v>
      </c>
      <c r="K24" s="386">
        <f>'Water-Meter'!E25</f>
        <v>0</v>
      </c>
      <c r="L24" s="604">
        <f>'Lpg (2)'!G29</f>
        <v>0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0</v>
      </c>
      <c r="C25" s="89">
        <f>Gen!B31</f>
        <v>0</v>
      </c>
      <c r="D25" s="588">
        <f t="shared" si="0"/>
        <v>0</v>
      </c>
      <c r="E25" s="76"/>
      <c r="F25" s="72">
        <f>Gen!T29</f>
        <v>0</v>
      </c>
      <c r="G25" s="87">
        <f>Gen!S29</f>
        <v>0</v>
      </c>
      <c r="H25" s="87">
        <f>Gen!AJ31</f>
        <v>0</v>
      </c>
      <c r="I25" s="87">
        <f t="shared" si="1"/>
        <v>0</v>
      </c>
      <c r="J25" s="603">
        <f>Gen!C31</f>
        <v>27141.11</v>
      </c>
      <c r="K25" s="386">
        <f>'Water-Meter'!E26</f>
        <v>0</v>
      </c>
      <c r="L25" s="604">
        <f>'Lpg (2)'!G30</f>
        <v>0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0</v>
      </c>
      <c r="C26" s="89">
        <f>Gen!B32</f>
        <v>0</v>
      </c>
      <c r="D26" s="588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03">
        <f>Gen!C32</f>
        <v>27141.11</v>
      </c>
      <c r="K26" s="386">
        <f>'Water-Meter'!E27</f>
        <v>0</v>
      </c>
      <c r="L26" s="604">
        <f>'Lpg (2)'!G31</f>
        <v>0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03">
        <f>Gen!C33</f>
        <v>27141.11</v>
      </c>
      <c r="K27" s="386">
        <f>'Water-Meter'!E28</f>
        <v>0</v>
      </c>
      <c r="L27" s="604">
        <f>'Lpg (2)'!G32</f>
        <v>0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27141.11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27141.11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27141.11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27141.11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27141.11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27141.11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27141.11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27141.11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27141.11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D8" sqref="D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7">
        <v>43862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20"/>
    </row>
    <row r="2" spans="1:29" ht="12" customHeight="1" thickBot="1">
      <c r="A2" s="788"/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8"/>
      <c r="T2" s="788"/>
      <c r="U2" s="788"/>
      <c r="V2" s="788"/>
      <c r="W2" s="788"/>
      <c r="X2" s="788"/>
      <c r="Y2" s="788"/>
      <c r="Z2" s="788"/>
      <c r="AA2" s="788"/>
      <c r="AB2" s="78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89" t="s">
        <v>301</v>
      </c>
      <c r="L3" s="790"/>
      <c r="M3" s="791"/>
      <c r="N3" s="789" t="s">
        <v>302</v>
      </c>
      <c r="O3" s="790"/>
      <c r="P3" s="791"/>
      <c r="Q3" s="789" t="s">
        <v>303</v>
      </c>
      <c r="R3" s="790"/>
      <c r="S3" s="791"/>
      <c r="T3" s="789" t="s">
        <v>304</v>
      </c>
      <c r="U3" s="790"/>
      <c r="V3" s="791"/>
      <c r="W3" s="789" t="s">
        <v>305</v>
      </c>
      <c r="X3" s="790"/>
      <c r="Y3" s="791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</v>
      </c>
      <c r="C8" s="400">
        <v>20133.2</v>
      </c>
      <c r="D8" s="400"/>
      <c r="E8" s="400"/>
      <c r="F8" s="400"/>
      <c r="G8" s="400"/>
      <c r="H8" s="400"/>
      <c r="I8" s="400"/>
      <c r="J8" s="400"/>
      <c r="K8" s="399">
        <f t="shared" si="0"/>
        <v>33926</v>
      </c>
      <c r="L8" s="400"/>
      <c r="M8" s="399">
        <f t="shared" si="1"/>
        <v>-33926</v>
      </c>
      <c r="N8" s="401">
        <f t="shared" si="2"/>
        <v>28821</v>
      </c>
      <c r="O8" s="400"/>
      <c r="P8" s="399">
        <f t="shared" si="3"/>
        <v>-28821</v>
      </c>
      <c r="Q8" s="399">
        <f t="shared" si="4"/>
        <v>34188</v>
      </c>
      <c r="R8" s="400"/>
      <c r="S8" s="399">
        <f t="shared" si="5"/>
        <v>-34188</v>
      </c>
      <c r="T8" s="399">
        <f t="shared" si="6"/>
        <v>31578</v>
      </c>
      <c r="U8" s="400"/>
      <c r="V8" s="399">
        <f t="shared" si="7"/>
        <v>-31578</v>
      </c>
      <c r="W8" s="401">
        <f t="shared" si="8"/>
        <v>19212</v>
      </c>
      <c r="X8" s="400"/>
      <c r="Y8" s="399">
        <f t="shared" si="9"/>
        <v>-19212</v>
      </c>
      <c r="Z8" s="402">
        <f t="shared" si="10"/>
        <v>-147725</v>
      </c>
      <c r="AA8" s="129"/>
      <c r="AB8" s="129"/>
      <c r="AC8" s="349">
        <f>Gen!S13</f>
        <v>0</v>
      </c>
    </row>
    <row r="9" spans="1:29" ht="20.100000000000001" customHeight="1">
      <c r="A9" s="344">
        <f>Gen!A14</f>
        <v>43865</v>
      </c>
      <c r="B9" s="442">
        <f>Gen!B14</f>
        <v>0</v>
      </c>
      <c r="C9" s="400"/>
      <c r="D9" s="400"/>
      <c r="E9" s="400"/>
      <c r="F9" s="400"/>
      <c r="G9" s="400"/>
      <c r="H9" s="400"/>
      <c r="I9" s="400"/>
      <c r="J9" s="400"/>
      <c r="K9" s="399">
        <f t="shared" si="0"/>
        <v>0</v>
      </c>
      <c r="L9" s="400"/>
      <c r="M9" s="399">
        <f t="shared" si="1"/>
        <v>0</v>
      </c>
      <c r="N9" s="401">
        <f t="shared" si="2"/>
        <v>0</v>
      </c>
      <c r="O9" s="400"/>
      <c r="P9" s="399">
        <f t="shared" si="3"/>
        <v>0</v>
      </c>
      <c r="Q9" s="399">
        <f t="shared" si="4"/>
        <v>0</v>
      </c>
      <c r="R9" s="400"/>
      <c r="S9" s="399">
        <f t="shared" si="5"/>
        <v>0</v>
      </c>
      <c r="T9" s="399">
        <f t="shared" si="6"/>
        <v>0</v>
      </c>
      <c r="U9" s="400"/>
      <c r="V9" s="399">
        <f t="shared" si="7"/>
        <v>0</v>
      </c>
      <c r="W9" s="401">
        <f t="shared" si="8"/>
        <v>0</v>
      </c>
      <c r="X9" s="400"/>
      <c r="Y9" s="399">
        <f t="shared" si="9"/>
        <v>0</v>
      </c>
      <c r="Z9" s="402">
        <f t="shared" si="10"/>
        <v>0</v>
      </c>
      <c r="AA9" s="129"/>
      <c r="AB9" s="129"/>
      <c r="AC9" s="349">
        <f>Gen!S14</f>
        <v>0</v>
      </c>
    </row>
    <row r="10" spans="1:29" ht="20.100000000000001" customHeight="1">
      <c r="A10" s="344">
        <f>Gen!A15</f>
        <v>43866</v>
      </c>
      <c r="B10" s="442">
        <f>Gen!B15</f>
        <v>0</v>
      </c>
      <c r="C10" s="400"/>
      <c r="D10" s="400"/>
      <c r="E10" s="400"/>
      <c r="F10" s="400"/>
      <c r="G10" s="400"/>
      <c r="H10" s="400"/>
      <c r="I10" s="400"/>
      <c r="J10" s="400"/>
      <c r="K10" s="399">
        <f t="shared" si="0"/>
        <v>0</v>
      </c>
      <c r="L10" s="400"/>
      <c r="M10" s="399">
        <f t="shared" si="1"/>
        <v>0</v>
      </c>
      <c r="N10" s="401">
        <f t="shared" si="2"/>
        <v>0</v>
      </c>
      <c r="O10" s="400"/>
      <c r="P10" s="399">
        <f t="shared" si="3"/>
        <v>0</v>
      </c>
      <c r="Q10" s="399">
        <f t="shared" si="4"/>
        <v>0</v>
      </c>
      <c r="R10" s="400"/>
      <c r="S10" s="399">
        <f t="shared" si="5"/>
        <v>0</v>
      </c>
      <c r="T10" s="399">
        <f t="shared" si="6"/>
        <v>0</v>
      </c>
      <c r="U10" s="400"/>
      <c r="V10" s="399">
        <f t="shared" si="7"/>
        <v>0</v>
      </c>
      <c r="W10" s="401">
        <f t="shared" si="8"/>
        <v>0</v>
      </c>
      <c r="X10" s="400"/>
      <c r="Y10" s="399">
        <f t="shared" si="9"/>
        <v>0</v>
      </c>
      <c r="Z10" s="402">
        <f t="shared" si="10"/>
        <v>0</v>
      </c>
      <c r="AA10" s="129"/>
      <c r="AB10" s="129"/>
      <c r="AC10" s="349">
        <f>Gen!S15</f>
        <v>0</v>
      </c>
    </row>
    <row r="11" spans="1:29" ht="20.100000000000001" customHeight="1">
      <c r="A11" s="344">
        <f>Gen!A16</f>
        <v>43867</v>
      </c>
      <c r="B11" s="442">
        <f>Gen!B16</f>
        <v>0</v>
      </c>
      <c r="C11" s="400"/>
      <c r="D11" s="400"/>
      <c r="E11" s="400"/>
      <c r="F11" s="400"/>
      <c r="G11" s="400"/>
      <c r="H11" s="400"/>
      <c r="I11" s="400"/>
      <c r="J11" s="400"/>
      <c r="K11" s="399">
        <f t="shared" si="0"/>
        <v>0</v>
      </c>
      <c r="L11" s="400"/>
      <c r="M11" s="399">
        <f t="shared" si="1"/>
        <v>0</v>
      </c>
      <c r="N11" s="401">
        <f t="shared" si="2"/>
        <v>0</v>
      </c>
      <c r="O11" s="400"/>
      <c r="P11" s="399">
        <f t="shared" si="3"/>
        <v>0</v>
      </c>
      <c r="Q11" s="399">
        <f t="shared" si="4"/>
        <v>0</v>
      </c>
      <c r="R11" s="400"/>
      <c r="S11" s="399">
        <f t="shared" si="5"/>
        <v>0</v>
      </c>
      <c r="T11" s="399">
        <f t="shared" si="6"/>
        <v>0</v>
      </c>
      <c r="U11" s="400"/>
      <c r="V11" s="399">
        <f t="shared" si="7"/>
        <v>0</v>
      </c>
      <c r="W11" s="401">
        <f t="shared" si="8"/>
        <v>0</v>
      </c>
      <c r="X11" s="400"/>
      <c r="Y11" s="399">
        <f t="shared" si="9"/>
        <v>0</v>
      </c>
      <c r="Z11" s="402">
        <f t="shared" si="10"/>
        <v>0</v>
      </c>
      <c r="AA11" s="129"/>
      <c r="AB11" s="129"/>
      <c r="AC11" s="349">
        <f>Gen!S16</f>
        <v>0</v>
      </c>
    </row>
    <row r="12" spans="1:29" ht="20.100000000000001" customHeight="1">
      <c r="A12" s="344">
        <f>Gen!A17</f>
        <v>43868</v>
      </c>
      <c r="B12" s="442">
        <f>Gen!B17</f>
        <v>0</v>
      </c>
      <c r="C12" s="400"/>
      <c r="D12" s="400"/>
      <c r="E12" s="400"/>
      <c r="F12" s="400"/>
      <c r="G12" s="400"/>
      <c r="H12" s="400"/>
      <c r="I12" s="400"/>
      <c r="J12" s="400"/>
      <c r="K12" s="399">
        <f t="shared" si="0"/>
        <v>0</v>
      </c>
      <c r="L12" s="400"/>
      <c r="M12" s="399">
        <f t="shared" si="1"/>
        <v>0</v>
      </c>
      <c r="N12" s="401">
        <f t="shared" si="2"/>
        <v>0</v>
      </c>
      <c r="O12" s="400"/>
      <c r="P12" s="399">
        <f t="shared" si="3"/>
        <v>0</v>
      </c>
      <c r="Q12" s="399">
        <f t="shared" si="4"/>
        <v>0</v>
      </c>
      <c r="R12" s="400"/>
      <c r="S12" s="399">
        <f t="shared" si="5"/>
        <v>0</v>
      </c>
      <c r="T12" s="399">
        <f t="shared" si="6"/>
        <v>0</v>
      </c>
      <c r="U12" s="400"/>
      <c r="V12" s="399">
        <f t="shared" si="7"/>
        <v>0</v>
      </c>
      <c r="W12" s="401">
        <f t="shared" si="8"/>
        <v>0</v>
      </c>
      <c r="X12" s="400"/>
      <c r="Y12" s="399">
        <f t="shared" si="9"/>
        <v>0</v>
      </c>
      <c r="Z12" s="402">
        <f t="shared" si="10"/>
        <v>0</v>
      </c>
      <c r="AA12" s="129"/>
      <c r="AB12" s="129"/>
      <c r="AC12" s="349">
        <f>Gen!S17</f>
        <v>0</v>
      </c>
    </row>
    <row r="13" spans="1:29" ht="20.100000000000001" customHeight="1">
      <c r="A13" s="344">
        <f>Gen!A18</f>
        <v>43869</v>
      </c>
      <c r="B13" s="442">
        <f>Gen!B18</f>
        <v>0</v>
      </c>
      <c r="C13" s="400"/>
      <c r="D13" s="400"/>
      <c r="E13" s="400"/>
      <c r="F13" s="400"/>
      <c r="G13" s="400"/>
      <c r="H13" s="400"/>
      <c r="I13" s="400"/>
      <c r="J13" s="400"/>
      <c r="K13" s="399">
        <f t="shared" si="0"/>
        <v>0</v>
      </c>
      <c r="L13" s="400"/>
      <c r="M13" s="399">
        <f t="shared" si="1"/>
        <v>0</v>
      </c>
      <c r="N13" s="401">
        <f t="shared" si="2"/>
        <v>0</v>
      </c>
      <c r="O13" s="400"/>
      <c r="P13" s="399">
        <f t="shared" si="3"/>
        <v>0</v>
      </c>
      <c r="Q13" s="399">
        <f t="shared" si="4"/>
        <v>0</v>
      </c>
      <c r="R13" s="400"/>
      <c r="S13" s="399">
        <f t="shared" si="5"/>
        <v>0</v>
      </c>
      <c r="T13" s="399">
        <f t="shared" si="6"/>
        <v>0</v>
      </c>
      <c r="U13" s="400"/>
      <c r="V13" s="399">
        <f t="shared" si="7"/>
        <v>0</v>
      </c>
      <c r="W13" s="401">
        <f t="shared" si="8"/>
        <v>0</v>
      </c>
      <c r="X13" s="400"/>
      <c r="Y13" s="399">
        <f t="shared" si="9"/>
        <v>0</v>
      </c>
      <c r="Z13" s="402">
        <f t="shared" si="10"/>
        <v>0</v>
      </c>
      <c r="AA13" s="129"/>
      <c r="AB13" s="129"/>
      <c r="AC13" s="349">
        <f>Gen!S18</f>
        <v>0</v>
      </c>
    </row>
    <row r="14" spans="1:29" ht="20.100000000000001" customHeight="1">
      <c r="A14" s="344">
        <f>Gen!A19</f>
        <v>43870</v>
      </c>
      <c r="B14" s="442">
        <f>Gen!B19</f>
        <v>0</v>
      </c>
      <c r="C14" s="400"/>
      <c r="D14" s="400"/>
      <c r="E14" s="400"/>
      <c r="F14" s="400"/>
      <c r="G14" s="400"/>
      <c r="H14" s="400"/>
      <c r="I14" s="400"/>
      <c r="J14" s="400"/>
      <c r="K14" s="399">
        <f t="shared" si="0"/>
        <v>0</v>
      </c>
      <c r="L14" s="400"/>
      <c r="M14" s="399">
        <f t="shared" si="1"/>
        <v>0</v>
      </c>
      <c r="N14" s="401">
        <f t="shared" si="2"/>
        <v>0</v>
      </c>
      <c r="O14" s="400"/>
      <c r="P14" s="399">
        <f t="shared" si="3"/>
        <v>0</v>
      </c>
      <c r="Q14" s="399">
        <f t="shared" si="4"/>
        <v>0</v>
      </c>
      <c r="R14" s="400"/>
      <c r="S14" s="399">
        <f t="shared" si="5"/>
        <v>0</v>
      </c>
      <c r="T14" s="399">
        <f t="shared" si="6"/>
        <v>0</v>
      </c>
      <c r="U14" s="400"/>
      <c r="V14" s="399">
        <f t="shared" si="7"/>
        <v>0</v>
      </c>
      <c r="W14" s="401">
        <f t="shared" si="8"/>
        <v>0</v>
      </c>
      <c r="X14" s="400"/>
      <c r="Y14" s="399">
        <f t="shared" si="9"/>
        <v>0</v>
      </c>
      <c r="Z14" s="402">
        <f t="shared" si="10"/>
        <v>0</v>
      </c>
      <c r="AA14" s="129"/>
      <c r="AB14" s="129"/>
      <c r="AC14" s="349">
        <f>Gen!S19</f>
        <v>0</v>
      </c>
    </row>
    <row r="15" spans="1:29" ht="20.100000000000001" customHeight="1">
      <c r="A15" s="344">
        <f>Gen!A20</f>
        <v>43871</v>
      </c>
      <c r="B15" s="442">
        <f>Gen!B20</f>
        <v>0</v>
      </c>
      <c r="C15" s="400"/>
      <c r="D15" s="400"/>
      <c r="E15" s="400"/>
      <c r="F15" s="400"/>
      <c r="G15" s="400"/>
      <c r="H15" s="400"/>
      <c r="I15" s="400"/>
      <c r="J15" s="400"/>
      <c r="K15" s="399">
        <f t="shared" si="0"/>
        <v>0</v>
      </c>
      <c r="L15" s="400"/>
      <c r="M15" s="399">
        <f t="shared" si="1"/>
        <v>0</v>
      </c>
      <c r="N15" s="401">
        <f t="shared" si="2"/>
        <v>0</v>
      </c>
      <c r="O15" s="400"/>
      <c r="P15" s="399">
        <f t="shared" si="3"/>
        <v>0</v>
      </c>
      <c r="Q15" s="399">
        <f t="shared" si="4"/>
        <v>0</v>
      </c>
      <c r="R15" s="400"/>
      <c r="S15" s="399">
        <f t="shared" si="5"/>
        <v>0</v>
      </c>
      <c r="T15" s="399">
        <f t="shared" si="6"/>
        <v>0</v>
      </c>
      <c r="U15" s="400"/>
      <c r="V15" s="399">
        <f t="shared" si="7"/>
        <v>0</v>
      </c>
      <c r="W15" s="401">
        <f t="shared" si="8"/>
        <v>0</v>
      </c>
      <c r="X15" s="400"/>
      <c r="Y15" s="399">
        <f t="shared" si="9"/>
        <v>0</v>
      </c>
      <c r="Z15" s="402">
        <f t="shared" si="10"/>
        <v>0</v>
      </c>
      <c r="AA15" s="129"/>
      <c r="AB15" s="129"/>
      <c r="AC15" s="349">
        <f>Gen!S20</f>
        <v>0</v>
      </c>
    </row>
    <row r="16" spans="1:29" ht="20.100000000000001" customHeight="1">
      <c r="A16" s="344">
        <f>Gen!A21</f>
        <v>43872</v>
      </c>
      <c r="B16" s="442">
        <f>Gen!B21</f>
        <v>0</v>
      </c>
      <c r="C16" s="400"/>
      <c r="D16" s="400"/>
      <c r="E16" s="400"/>
      <c r="F16" s="400"/>
      <c r="G16" s="400"/>
      <c r="H16" s="400"/>
      <c r="I16" s="400"/>
      <c r="J16" s="400"/>
      <c r="K16" s="399">
        <f t="shared" si="0"/>
        <v>0</v>
      </c>
      <c r="L16" s="400"/>
      <c r="M16" s="399">
        <f t="shared" si="1"/>
        <v>0</v>
      </c>
      <c r="N16" s="401">
        <f t="shared" si="2"/>
        <v>0</v>
      </c>
      <c r="O16" s="400"/>
      <c r="P16" s="399">
        <f t="shared" si="3"/>
        <v>0</v>
      </c>
      <c r="Q16" s="399">
        <f t="shared" si="4"/>
        <v>0</v>
      </c>
      <c r="R16" s="400"/>
      <c r="S16" s="399">
        <f t="shared" si="5"/>
        <v>0</v>
      </c>
      <c r="T16" s="399">
        <f t="shared" si="6"/>
        <v>0</v>
      </c>
      <c r="U16" s="400"/>
      <c r="V16" s="399">
        <f t="shared" si="7"/>
        <v>0</v>
      </c>
      <c r="W16" s="401">
        <f t="shared" si="8"/>
        <v>0</v>
      </c>
      <c r="X16" s="400"/>
      <c r="Y16" s="399">
        <f t="shared" si="9"/>
        <v>0</v>
      </c>
      <c r="Z16" s="402">
        <f t="shared" si="10"/>
        <v>0</v>
      </c>
      <c r="AA16" s="129"/>
      <c r="AB16" s="129"/>
      <c r="AC16" s="349">
        <f>Gen!S21</f>
        <v>0</v>
      </c>
    </row>
    <row r="17" spans="1:29" ht="20.100000000000001" customHeight="1">
      <c r="A17" s="344">
        <f>Gen!A22</f>
        <v>43873</v>
      </c>
      <c r="B17" s="442">
        <f>Gen!B22</f>
        <v>0</v>
      </c>
      <c r="C17" s="400"/>
      <c r="D17" s="400"/>
      <c r="E17" s="694"/>
      <c r="F17" s="400"/>
      <c r="G17" s="400"/>
      <c r="H17" s="400"/>
      <c r="I17" s="400"/>
      <c r="J17" s="400"/>
      <c r="K17" s="399">
        <f t="shared" si="0"/>
        <v>0</v>
      </c>
      <c r="L17" s="400"/>
      <c r="M17" s="399">
        <f t="shared" si="1"/>
        <v>0</v>
      </c>
      <c r="N17" s="401">
        <f t="shared" si="2"/>
        <v>0</v>
      </c>
      <c r="O17" s="400"/>
      <c r="P17" s="399">
        <f t="shared" si="3"/>
        <v>0</v>
      </c>
      <c r="Q17" s="399">
        <f t="shared" si="4"/>
        <v>0</v>
      </c>
      <c r="R17" s="400"/>
      <c r="S17" s="399">
        <f t="shared" si="5"/>
        <v>0</v>
      </c>
      <c r="T17" s="399">
        <f t="shared" si="6"/>
        <v>0</v>
      </c>
      <c r="U17" s="400"/>
      <c r="V17" s="399">
        <f t="shared" si="7"/>
        <v>0</v>
      </c>
      <c r="W17" s="401">
        <f t="shared" si="8"/>
        <v>0</v>
      </c>
      <c r="X17" s="400"/>
      <c r="Y17" s="399">
        <f t="shared" si="9"/>
        <v>0</v>
      </c>
      <c r="Z17" s="402">
        <f t="shared" si="10"/>
        <v>0</v>
      </c>
      <c r="AA17" s="129"/>
      <c r="AB17" s="129"/>
      <c r="AC17" s="349">
        <f>Gen!S22</f>
        <v>0</v>
      </c>
    </row>
    <row r="18" spans="1:29" ht="20.100000000000001" customHeight="1">
      <c r="A18" s="344">
        <f>Gen!A23</f>
        <v>43874</v>
      </c>
      <c r="B18" s="442">
        <f>Gen!B23</f>
        <v>0</v>
      </c>
      <c r="C18" s="400"/>
      <c r="D18" s="400"/>
      <c r="E18" s="400"/>
      <c r="F18" s="400"/>
      <c r="G18" s="400"/>
      <c r="H18" s="400"/>
      <c r="I18" s="400"/>
      <c r="J18" s="400"/>
      <c r="K18" s="399">
        <f t="shared" si="0"/>
        <v>0</v>
      </c>
      <c r="L18" s="400"/>
      <c r="M18" s="399">
        <f t="shared" si="1"/>
        <v>0</v>
      </c>
      <c r="N18" s="401">
        <f t="shared" si="2"/>
        <v>0</v>
      </c>
      <c r="O18" s="400"/>
      <c r="P18" s="399">
        <f t="shared" si="3"/>
        <v>0</v>
      </c>
      <c r="Q18" s="399">
        <f t="shared" si="4"/>
        <v>0</v>
      </c>
      <c r="R18" s="400"/>
      <c r="S18" s="399">
        <f t="shared" si="5"/>
        <v>0</v>
      </c>
      <c r="T18" s="399">
        <f t="shared" si="6"/>
        <v>0</v>
      </c>
      <c r="U18" s="400"/>
      <c r="V18" s="399">
        <f t="shared" si="7"/>
        <v>0</v>
      </c>
      <c r="W18" s="401">
        <f t="shared" si="8"/>
        <v>0</v>
      </c>
      <c r="X18" s="400"/>
      <c r="Y18" s="399">
        <f t="shared" si="9"/>
        <v>0</v>
      </c>
      <c r="Z18" s="402">
        <f t="shared" si="10"/>
        <v>0</v>
      </c>
      <c r="AA18" s="129"/>
      <c r="AB18" s="129"/>
      <c r="AC18" s="349">
        <f>Gen!S23</f>
        <v>0</v>
      </c>
    </row>
    <row r="19" spans="1:29" ht="20.100000000000001" customHeight="1">
      <c r="A19" s="344">
        <f>Gen!A24</f>
        <v>43875</v>
      </c>
      <c r="B19" s="442">
        <f>Gen!B24</f>
        <v>0</v>
      </c>
      <c r="C19" s="400"/>
      <c r="D19" s="400"/>
      <c r="E19" s="400"/>
      <c r="F19" s="400"/>
      <c r="G19" s="400"/>
      <c r="H19" s="400"/>
      <c r="I19" s="400"/>
      <c r="J19" s="400"/>
      <c r="K19" s="399">
        <f t="shared" si="0"/>
        <v>0</v>
      </c>
      <c r="L19" s="400"/>
      <c r="M19" s="399">
        <f t="shared" si="1"/>
        <v>0</v>
      </c>
      <c r="N19" s="401">
        <f t="shared" si="2"/>
        <v>0</v>
      </c>
      <c r="O19" s="400"/>
      <c r="P19" s="399">
        <f t="shared" si="3"/>
        <v>0</v>
      </c>
      <c r="Q19" s="399">
        <f t="shared" si="4"/>
        <v>0</v>
      </c>
      <c r="R19" s="400"/>
      <c r="S19" s="399">
        <f t="shared" si="5"/>
        <v>0</v>
      </c>
      <c r="T19" s="399">
        <f t="shared" si="6"/>
        <v>0</v>
      </c>
      <c r="U19" s="400"/>
      <c r="V19" s="399">
        <f t="shared" si="7"/>
        <v>0</v>
      </c>
      <c r="W19" s="401">
        <f t="shared" si="8"/>
        <v>0</v>
      </c>
      <c r="X19" s="400"/>
      <c r="Y19" s="399">
        <f t="shared" si="9"/>
        <v>0</v>
      </c>
      <c r="Z19" s="402">
        <f t="shared" si="10"/>
        <v>0</v>
      </c>
      <c r="AA19" s="129"/>
      <c r="AB19" s="129"/>
      <c r="AC19" s="349">
        <f>Gen!S24</f>
        <v>0</v>
      </c>
    </row>
    <row r="20" spans="1:29" ht="20.100000000000001" customHeight="1">
      <c r="A20" s="344">
        <f>Gen!A25</f>
        <v>43876</v>
      </c>
      <c r="B20" s="442">
        <f>Gen!B25</f>
        <v>0</v>
      </c>
      <c r="C20" s="400"/>
      <c r="D20" s="400"/>
      <c r="E20" s="400"/>
      <c r="F20" s="400"/>
      <c r="G20" s="400"/>
      <c r="H20" s="400"/>
      <c r="I20" s="400"/>
      <c r="J20" s="400"/>
      <c r="K20" s="399">
        <f t="shared" si="0"/>
        <v>0</v>
      </c>
      <c r="L20" s="400"/>
      <c r="M20" s="399">
        <f t="shared" si="1"/>
        <v>0</v>
      </c>
      <c r="N20" s="401">
        <f t="shared" si="2"/>
        <v>0</v>
      </c>
      <c r="O20" s="400"/>
      <c r="P20" s="399">
        <f t="shared" si="3"/>
        <v>0</v>
      </c>
      <c r="Q20" s="399">
        <f t="shared" si="4"/>
        <v>0</v>
      </c>
      <c r="R20" s="400"/>
      <c r="S20" s="399">
        <f t="shared" si="5"/>
        <v>0</v>
      </c>
      <c r="T20" s="399">
        <f t="shared" si="6"/>
        <v>0</v>
      </c>
      <c r="U20" s="400"/>
      <c r="V20" s="399">
        <f t="shared" si="7"/>
        <v>0</v>
      </c>
      <c r="W20" s="401">
        <f t="shared" si="8"/>
        <v>0</v>
      </c>
      <c r="X20" s="400"/>
      <c r="Y20" s="399">
        <f t="shared" si="9"/>
        <v>0</v>
      </c>
      <c r="Z20" s="402">
        <f t="shared" si="10"/>
        <v>0</v>
      </c>
      <c r="AA20" s="129"/>
      <c r="AB20" s="129"/>
      <c r="AC20" s="349">
        <f>Gen!S25</f>
        <v>0</v>
      </c>
    </row>
    <row r="21" spans="1:29" ht="20.100000000000001" customHeight="1">
      <c r="A21" s="344">
        <f>Gen!A26</f>
        <v>43877</v>
      </c>
      <c r="B21" s="442">
        <f>Gen!B26</f>
        <v>0</v>
      </c>
      <c r="C21" s="400"/>
      <c r="D21" s="400"/>
      <c r="E21" s="400"/>
      <c r="F21" s="400"/>
      <c r="G21" s="400"/>
      <c r="H21" s="400"/>
      <c r="I21" s="400"/>
      <c r="J21" s="400"/>
      <c r="K21" s="399">
        <f t="shared" si="0"/>
        <v>0</v>
      </c>
      <c r="L21" s="400"/>
      <c r="M21" s="399">
        <f t="shared" si="1"/>
        <v>0</v>
      </c>
      <c r="N21" s="401">
        <f t="shared" si="2"/>
        <v>0</v>
      </c>
      <c r="O21" s="400"/>
      <c r="P21" s="399">
        <f t="shared" si="3"/>
        <v>0</v>
      </c>
      <c r="Q21" s="399">
        <f t="shared" si="4"/>
        <v>0</v>
      </c>
      <c r="R21" s="400"/>
      <c r="S21" s="399">
        <f t="shared" si="5"/>
        <v>0</v>
      </c>
      <c r="T21" s="399">
        <f t="shared" si="6"/>
        <v>0</v>
      </c>
      <c r="U21" s="400"/>
      <c r="V21" s="399">
        <f t="shared" si="7"/>
        <v>0</v>
      </c>
      <c r="W21" s="401">
        <f t="shared" si="8"/>
        <v>0</v>
      </c>
      <c r="X21" s="400"/>
      <c r="Y21" s="399">
        <f t="shared" si="9"/>
        <v>0</v>
      </c>
      <c r="Z21" s="402">
        <f t="shared" si="10"/>
        <v>0</v>
      </c>
      <c r="AA21" s="129"/>
      <c r="AB21" s="129"/>
      <c r="AC21" s="349">
        <f>Gen!S26</f>
        <v>0</v>
      </c>
    </row>
    <row r="22" spans="1:29" ht="18.75" customHeight="1">
      <c r="A22" s="344">
        <f>Gen!A27</f>
        <v>43878</v>
      </c>
      <c r="B22" s="442">
        <f>Gen!B27</f>
        <v>0</v>
      </c>
      <c r="C22" s="400"/>
      <c r="D22" s="400"/>
      <c r="E22" s="400"/>
      <c r="F22" s="400"/>
      <c r="G22" s="400"/>
      <c r="H22" s="400"/>
      <c r="I22" s="400"/>
      <c r="J22" s="400"/>
      <c r="K22" s="399">
        <f t="shared" si="0"/>
        <v>0</v>
      </c>
      <c r="L22" s="400"/>
      <c r="M22" s="399">
        <f t="shared" si="1"/>
        <v>0</v>
      </c>
      <c r="N22" s="401">
        <f t="shared" si="2"/>
        <v>0</v>
      </c>
      <c r="O22" s="400"/>
      <c r="P22" s="399">
        <f t="shared" si="3"/>
        <v>0</v>
      </c>
      <c r="Q22" s="399">
        <f t="shared" si="4"/>
        <v>0</v>
      </c>
      <c r="R22" s="400"/>
      <c r="S22" s="399">
        <f t="shared" si="5"/>
        <v>0</v>
      </c>
      <c r="T22" s="399">
        <f t="shared" si="6"/>
        <v>0</v>
      </c>
      <c r="U22" s="400"/>
      <c r="V22" s="399">
        <f t="shared" si="7"/>
        <v>0</v>
      </c>
      <c r="W22" s="401">
        <f t="shared" si="8"/>
        <v>0</v>
      </c>
      <c r="X22" s="400"/>
      <c r="Y22" s="399">
        <f t="shared" si="9"/>
        <v>0</v>
      </c>
      <c r="Z22" s="402">
        <f t="shared" si="10"/>
        <v>0</v>
      </c>
      <c r="AA22" s="129"/>
      <c r="AB22" s="129"/>
      <c r="AC22" s="349">
        <f>Gen!S27</f>
        <v>0</v>
      </c>
    </row>
    <row r="23" spans="1:29" ht="20.100000000000001" customHeight="1">
      <c r="A23" s="344">
        <f>Gen!A28</f>
        <v>43879</v>
      </c>
      <c r="B23" s="442">
        <f>Gen!B28</f>
        <v>0</v>
      </c>
      <c r="C23" s="400"/>
      <c r="D23" s="400"/>
      <c r="E23" s="694"/>
      <c r="F23" s="400"/>
      <c r="G23" s="400"/>
      <c r="H23" s="400"/>
      <c r="I23" s="400"/>
      <c r="J23" s="400"/>
      <c r="K23" s="399">
        <f t="shared" si="0"/>
        <v>0</v>
      </c>
      <c r="L23" s="400"/>
      <c r="M23" s="399">
        <f t="shared" si="1"/>
        <v>0</v>
      </c>
      <c r="N23" s="401">
        <f t="shared" si="2"/>
        <v>0</v>
      </c>
      <c r="O23" s="400"/>
      <c r="P23" s="399">
        <f t="shared" si="3"/>
        <v>0</v>
      </c>
      <c r="Q23" s="399">
        <f t="shared" si="4"/>
        <v>0</v>
      </c>
      <c r="R23" s="400"/>
      <c r="S23" s="399">
        <f t="shared" si="5"/>
        <v>0</v>
      </c>
      <c r="T23" s="399">
        <f t="shared" si="6"/>
        <v>0</v>
      </c>
      <c r="U23" s="400"/>
      <c r="V23" s="399">
        <f t="shared" si="7"/>
        <v>0</v>
      </c>
      <c r="W23" s="401">
        <f t="shared" si="8"/>
        <v>0</v>
      </c>
      <c r="X23" s="400"/>
      <c r="Y23" s="399">
        <f t="shared" si="9"/>
        <v>0</v>
      </c>
      <c r="Z23" s="402">
        <f t="shared" si="10"/>
        <v>0</v>
      </c>
      <c r="AA23" s="129"/>
      <c r="AB23" s="129"/>
      <c r="AC23" s="349">
        <f>Gen!S28</f>
        <v>0</v>
      </c>
    </row>
    <row r="24" spans="1:29" ht="20.100000000000001" customHeight="1">
      <c r="A24" s="344">
        <f>Gen!A29</f>
        <v>43880</v>
      </c>
      <c r="B24" s="442">
        <f>Gen!B29</f>
        <v>0</v>
      </c>
      <c r="C24" s="400"/>
      <c r="D24" s="400"/>
      <c r="E24" s="400"/>
      <c r="F24" s="400"/>
      <c r="G24" s="400"/>
      <c r="H24" s="400"/>
      <c r="I24" s="400"/>
      <c r="J24" s="400"/>
      <c r="K24" s="399">
        <f t="shared" si="0"/>
        <v>0</v>
      </c>
      <c r="L24" s="400"/>
      <c r="M24" s="399">
        <f t="shared" si="1"/>
        <v>0</v>
      </c>
      <c r="N24" s="401">
        <f t="shared" si="2"/>
        <v>0</v>
      </c>
      <c r="O24" s="400"/>
      <c r="P24" s="399">
        <f t="shared" si="3"/>
        <v>0</v>
      </c>
      <c r="Q24" s="399">
        <f t="shared" si="4"/>
        <v>0</v>
      </c>
      <c r="R24" s="400"/>
      <c r="S24" s="399">
        <f t="shared" si="5"/>
        <v>0</v>
      </c>
      <c r="T24" s="399">
        <f t="shared" si="6"/>
        <v>0</v>
      </c>
      <c r="U24" s="400"/>
      <c r="V24" s="399">
        <f t="shared" si="7"/>
        <v>0</v>
      </c>
      <c r="W24" s="401">
        <f t="shared" si="8"/>
        <v>0</v>
      </c>
      <c r="X24" s="400"/>
      <c r="Y24" s="399">
        <f t="shared" si="9"/>
        <v>0</v>
      </c>
      <c r="Z24" s="402">
        <f t="shared" si="10"/>
        <v>0</v>
      </c>
      <c r="AA24" s="129"/>
      <c r="AB24" s="129"/>
      <c r="AC24" s="349">
        <f>Gen!S29</f>
        <v>0</v>
      </c>
    </row>
    <row r="25" spans="1:29" ht="18.75" customHeight="1">
      <c r="A25" s="344">
        <f>Gen!A30</f>
        <v>43881</v>
      </c>
      <c r="B25" s="442">
        <f>Gen!B30</f>
        <v>0</v>
      </c>
      <c r="C25" s="400"/>
      <c r="D25" s="400"/>
      <c r="E25" s="400"/>
      <c r="F25" s="400"/>
      <c r="G25" s="400"/>
      <c r="H25" s="400"/>
      <c r="I25" s="400"/>
      <c r="J25" s="400"/>
      <c r="K25" s="399">
        <f t="shared" si="0"/>
        <v>0</v>
      </c>
      <c r="L25" s="400"/>
      <c r="M25" s="399">
        <f t="shared" si="1"/>
        <v>0</v>
      </c>
      <c r="N25" s="401">
        <f t="shared" si="2"/>
        <v>0</v>
      </c>
      <c r="O25" s="400"/>
      <c r="P25" s="399">
        <f t="shared" si="3"/>
        <v>0</v>
      </c>
      <c r="Q25" s="399">
        <f t="shared" si="4"/>
        <v>0</v>
      </c>
      <c r="R25" s="400"/>
      <c r="S25" s="399">
        <f t="shared" si="5"/>
        <v>0</v>
      </c>
      <c r="T25" s="399">
        <f t="shared" si="6"/>
        <v>0</v>
      </c>
      <c r="U25" s="400"/>
      <c r="V25" s="399">
        <f t="shared" si="7"/>
        <v>0</v>
      </c>
      <c r="W25" s="401">
        <f t="shared" si="8"/>
        <v>0</v>
      </c>
      <c r="X25" s="400"/>
      <c r="Y25" s="399">
        <f t="shared" si="9"/>
        <v>0</v>
      </c>
      <c r="Z25" s="402">
        <f t="shared" si="10"/>
        <v>0</v>
      </c>
      <c r="AA25" s="129"/>
      <c r="AB25" s="129"/>
      <c r="AC25" s="349">
        <f>Gen!S30</f>
        <v>0</v>
      </c>
    </row>
    <row r="26" spans="1:29" ht="20.100000000000001" customHeight="1">
      <c r="A26" s="344">
        <f>Gen!A31</f>
        <v>43882</v>
      </c>
      <c r="B26" s="442">
        <f>Gen!B31</f>
        <v>0</v>
      </c>
      <c r="C26" s="400"/>
      <c r="D26" s="400"/>
      <c r="E26" s="400"/>
      <c r="F26" s="400"/>
      <c r="G26" s="400"/>
      <c r="H26" s="400"/>
      <c r="I26" s="400"/>
      <c r="J26" s="400"/>
      <c r="K26" s="399">
        <f t="shared" si="0"/>
        <v>0</v>
      </c>
      <c r="L26" s="400"/>
      <c r="M26" s="399">
        <f t="shared" si="1"/>
        <v>0</v>
      </c>
      <c r="N26" s="401">
        <f t="shared" si="2"/>
        <v>0</v>
      </c>
      <c r="O26" s="400"/>
      <c r="P26" s="399">
        <f t="shared" si="3"/>
        <v>0</v>
      </c>
      <c r="Q26" s="399">
        <f t="shared" si="4"/>
        <v>0</v>
      </c>
      <c r="R26" s="400"/>
      <c r="S26" s="399">
        <f t="shared" si="5"/>
        <v>0</v>
      </c>
      <c r="T26" s="399">
        <f t="shared" si="6"/>
        <v>0</v>
      </c>
      <c r="U26" s="400"/>
      <c r="V26" s="399">
        <f t="shared" si="7"/>
        <v>0</v>
      </c>
      <c r="W26" s="401">
        <f t="shared" si="8"/>
        <v>0</v>
      </c>
      <c r="X26" s="400"/>
      <c r="Y26" s="399">
        <f t="shared" si="9"/>
        <v>0</v>
      </c>
      <c r="Z26" s="402">
        <f t="shared" si="10"/>
        <v>0</v>
      </c>
      <c r="AA26" s="129"/>
      <c r="AB26" s="129"/>
      <c r="AC26" s="349">
        <f>Gen!S31</f>
        <v>0</v>
      </c>
    </row>
    <row r="27" spans="1:29" ht="20.100000000000001" customHeight="1">
      <c r="A27" s="344">
        <f>Gen!A32</f>
        <v>43883</v>
      </c>
      <c r="B27" s="442">
        <f>Gen!B32</f>
        <v>0</v>
      </c>
      <c r="C27" s="400"/>
      <c r="D27" s="400"/>
      <c r="E27" s="400"/>
      <c r="F27" s="400"/>
      <c r="G27" s="400"/>
      <c r="H27" s="400"/>
      <c r="I27" s="400"/>
      <c r="J27" s="400"/>
      <c r="K27" s="399">
        <f t="shared" si="0"/>
        <v>0</v>
      </c>
      <c r="L27" s="400"/>
      <c r="M27" s="399">
        <f t="shared" si="1"/>
        <v>0</v>
      </c>
      <c r="N27" s="401">
        <f t="shared" si="2"/>
        <v>0</v>
      </c>
      <c r="O27" s="400"/>
      <c r="P27" s="399">
        <f t="shared" si="3"/>
        <v>0</v>
      </c>
      <c r="Q27" s="399">
        <f t="shared" si="4"/>
        <v>0</v>
      </c>
      <c r="R27" s="400"/>
      <c r="S27" s="399">
        <f t="shared" si="5"/>
        <v>0</v>
      </c>
      <c r="T27" s="399">
        <f t="shared" si="6"/>
        <v>0</v>
      </c>
      <c r="U27" s="400"/>
      <c r="V27" s="399">
        <f t="shared" si="7"/>
        <v>0</v>
      </c>
      <c r="W27" s="401">
        <f t="shared" si="8"/>
        <v>0</v>
      </c>
      <c r="X27" s="400"/>
      <c r="Y27" s="399">
        <f t="shared" si="9"/>
        <v>0</v>
      </c>
      <c r="Z27" s="402">
        <f t="shared" si="10"/>
        <v>0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2" zoomScale="120" zoomScaleNormal="120" workbookViewId="0">
      <pane xSplit="1" topLeftCell="W1" activePane="topRight" state="frozen"/>
      <selection pane="topRight" activeCell="K13" sqref="K13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98"/>
      <c r="B1" s="798"/>
    </row>
    <row r="2" spans="1:46" ht="26.25">
      <c r="A2" s="798"/>
      <c r="B2" s="798"/>
      <c r="D2" s="799" t="s">
        <v>315</v>
      </c>
      <c r="E2" s="799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Z2" s="800"/>
      <c r="AA2" s="800"/>
      <c r="AB2" s="800"/>
      <c r="AC2" s="800"/>
      <c r="AD2" s="800"/>
      <c r="AE2" s="800"/>
      <c r="AF2" s="800"/>
      <c r="AG2" s="800"/>
      <c r="AH2" s="800"/>
      <c r="AI2" s="800"/>
      <c r="AJ2" s="800"/>
      <c r="AK2" s="800"/>
      <c r="AL2" s="800"/>
      <c r="AM2" s="800"/>
      <c r="AN2" s="800"/>
      <c r="AO2" s="800"/>
      <c r="AP2" s="800"/>
      <c r="AQ2" s="800"/>
      <c r="AR2" s="800"/>
      <c r="AS2" s="800"/>
      <c r="AT2" s="800"/>
    </row>
    <row r="3" spans="1:46">
      <c r="A3" s="798"/>
      <c r="B3" s="798"/>
      <c r="K3" s="247"/>
      <c r="Q3" s="247"/>
    </row>
    <row r="4" spans="1:46">
      <c r="A4" s="798"/>
      <c r="B4" s="798"/>
      <c r="K4" s="247"/>
      <c r="Q4" s="247"/>
    </row>
    <row r="5" spans="1:46" ht="12" thickBot="1">
      <c r="A5" s="798"/>
      <c r="B5" s="798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98"/>
      <c r="B6" s="798"/>
      <c r="C6" s="252"/>
      <c r="F6" s="807" t="s">
        <v>58</v>
      </c>
      <c r="G6" s="808"/>
      <c r="H6" s="808"/>
      <c r="I6" s="808"/>
      <c r="J6" s="808"/>
      <c r="K6" s="808"/>
      <c r="L6" s="809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1" t="s">
        <v>203</v>
      </c>
      <c r="G7" s="802"/>
      <c r="H7" s="802"/>
      <c r="I7" s="802"/>
      <c r="J7" s="802"/>
      <c r="K7" s="802"/>
      <c r="L7" s="803"/>
      <c r="M7" s="804" t="s">
        <v>40</v>
      </c>
      <c r="N7" s="805"/>
      <c r="O7" s="805"/>
      <c r="P7" s="805"/>
      <c r="Q7" s="805"/>
      <c r="R7" s="806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/>
      <c r="C13" s="292">
        <f t="shared" si="6"/>
        <v>27141.11</v>
      </c>
      <c r="D13" s="299"/>
      <c r="E13" s="277"/>
      <c r="F13" s="710"/>
      <c r="G13" s="279"/>
      <c r="H13" s="278"/>
      <c r="I13" s="300"/>
      <c r="J13" s="278"/>
      <c r="K13" s="278"/>
      <c r="L13" s="390"/>
      <c r="M13" s="389"/>
      <c r="N13" s="280"/>
      <c r="O13" s="280"/>
      <c r="P13" s="280"/>
      <c r="Q13" s="280"/>
      <c r="R13" s="280"/>
      <c r="S13" s="293">
        <f t="shared" si="0"/>
        <v>0</v>
      </c>
      <c r="T13" s="294">
        <f t="shared" si="1"/>
        <v>0</v>
      </c>
      <c r="U13" s="294" t="e">
        <f t="shared" si="4"/>
        <v>#DIV/0!</v>
      </c>
      <c r="V13" s="283"/>
      <c r="W13" s="295"/>
      <c r="X13" s="693"/>
      <c r="Y13" s="693"/>
      <c r="Z13" s="278"/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0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0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/>
      <c r="C14" s="292">
        <f t="shared" si="6"/>
        <v>27141.11</v>
      </c>
      <c r="D14" s="299"/>
      <c r="E14" s="277"/>
      <c r="F14" s="710"/>
      <c r="G14" s="279"/>
      <c r="H14" s="278"/>
      <c r="I14" s="300"/>
      <c r="J14" s="278"/>
      <c r="K14" s="278"/>
      <c r="L14" s="390"/>
      <c r="M14" s="389"/>
      <c r="N14" s="280"/>
      <c r="O14" s="280"/>
      <c r="P14" s="280"/>
      <c r="Q14" s="280"/>
      <c r="R14" s="280"/>
      <c r="S14" s="293">
        <f t="shared" si="0"/>
        <v>0</v>
      </c>
      <c r="T14" s="294">
        <f t="shared" si="1"/>
        <v>0</v>
      </c>
      <c r="U14" s="294" t="e">
        <f t="shared" si="4"/>
        <v>#DIV/0!</v>
      </c>
      <c r="V14" s="283"/>
      <c r="W14" s="295"/>
      <c r="Y14" s="693"/>
      <c r="Z14" s="278"/>
      <c r="AA14" s="362"/>
      <c r="AB14" s="295"/>
      <c r="AC14" s="295"/>
      <c r="AD14" s="295"/>
      <c r="AE14" s="295"/>
      <c r="AF14" s="295"/>
      <c r="AG14" s="295"/>
      <c r="AH14" s="295"/>
      <c r="AI14" s="520"/>
      <c r="AJ14" s="360">
        <f t="shared" si="3"/>
        <v>0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0</v>
      </c>
      <c r="AS14" s="297">
        <f t="shared" si="7"/>
        <v>0</v>
      </c>
      <c r="AT14" s="372">
        <f t="shared" si="5"/>
        <v>27141.11</v>
      </c>
    </row>
    <row r="15" spans="1:46" ht="13.5" customHeight="1">
      <c r="A15" s="707">
        <v>43866</v>
      </c>
      <c r="B15" s="304"/>
      <c r="C15" s="292">
        <f t="shared" si="6"/>
        <v>27141.11</v>
      </c>
      <c r="D15" s="299"/>
      <c r="E15" s="277"/>
      <c r="F15" s="710"/>
      <c r="G15" s="279"/>
      <c r="H15" s="278"/>
      <c r="I15" s="300"/>
      <c r="J15" s="278"/>
      <c r="K15" s="278"/>
      <c r="L15" s="390"/>
      <c r="M15" s="389"/>
      <c r="N15" s="280"/>
      <c r="O15" s="280"/>
      <c r="P15" s="280"/>
      <c r="Q15" s="280"/>
      <c r="R15" s="280"/>
      <c r="S15" s="293">
        <f t="shared" si="0"/>
        <v>0</v>
      </c>
      <c r="T15" s="294">
        <f t="shared" si="1"/>
        <v>0</v>
      </c>
      <c r="U15" s="294" t="e">
        <f t="shared" si="4"/>
        <v>#DIV/0!</v>
      </c>
      <c r="V15" s="283"/>
      <c r="W15" s="295"/>
      <c r="X15" s="268"/>
      <c r="Y15" s="295"/>
      <c r="Z15" s="278"/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0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0</v>
      </c>
      <c r="AS15" s="297">
        <f t="shared" si="7"/>
        <v>0</v>
      </c>
      <c r="AT15" s="372">
        <f t="shared" si="5"/>
        <v>27141.11</v>
      </c>
    </row>
    <row r="16" spans="1:46" ht="13.5" customHeight="1">
      <c r="A16" s="707">
        <v>43867</v>
      </c>
      <c r="B16" s="304"/>
      <c r="C16" s="292">
        <f t="shared" si="6"/>
        <v>27141.11</v>
      </c>
      <c r="D16" s="299"/>
      <c r="E16" s="277"/>
      <c r="F16" s="710"/>
      <c r="G16" s="279"/>
      <c r="H16" s="278"/>
      <c r="I16" s="300"/>
      <c r="J16" s="278"/>
      <c r="K16" s="278"/>
      <c r="L16" s="390"/>
      <c r="M16" s="389"/>
      <c r="N16" s="280"/>
      <c r="O16" s="280"/>
      <c r="P16" s="280"/>
      <c r="Q16" s="280"/>
      <c r="R16" s="280"/>
      <c r="S16" s="293">
        <f t="shared" si="0"/>
        <v>0</v>
      </c>
      <c r="T16" s="294">
        <f t="shared" si="1"/>
        <v>0</v>
      </c>
      <c r="U16" s="294" t="e">
        <f t="shared" si="4"/>
        <v>#DIV/0!</v>
      </c>
      <c r="V16" s="283"/>
      <c r="W16" s="295"/>
      <c r="X16" s="268"/>
      <c r="Y16" s="295"/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0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0</v>
      </c>
      <c r="AS16" s="297">
        <f t="shared" si="7"/>
        <v>0</v>
      </c>
      <c r="AT16" s="372">
        <f t="shared" si="5"/>
        <v>27141.11</v>
      </c>
    </row>
    <row r="17" spans="1:46" ht="13.5" customHeight="1">
      <c r="A17" s="707">
        <v>43868</v>
      </c>
      <c r="B17" s="304"/>
      <c r="C17" s="292">
        <f t="shared" si="6"/>
        <v>27141.11</v>
      </c>
      <c r="D17" s="299"/>
      <c r="E17" s="277"/>
      <c r="F17" s="710"/>
      <c r="G17" s="279"/>
      <c r="H17" s="278"/>
      <c r="I17" s="300"/>
      <c r="J17" s="278"/>
      <c r="K17" s="278"/>
      <c r="L17" s="390"/>
      <c r="M17" s="389"/>
      <c r="N17" s="280"/>
      <c r="O17" s="280"/>
      <c r="P17" s="280"/>
      <c r="Q17" s="280"/>
      <c r="R17" s="280"/>
      <c r="S17" s="293">
        <f t="shared" si="0"/>
        <v>0</v>
      </c>
      <c r="T17" s="294">
        <f t="shared" si="1"/>
        <v>0</v>
      </c>
      <c r="U17" s="294" t="e">
        <f t="shared" si="4"/>
        <v>#DIV/0!</v>
      </c>
      <c r="V17" s="283"/>
      <c r="W17" s="295"/>
      <c r="X17" s="268"/>
      <c r="Y17" s="295"/>
      <c r="Z17" s="278"/>
      <c r="AA17" s="362"/>
      <c r="AB17" s="295"/>
      <c r="AC17" s="295"/>
      <c r="AD17" s="295"/>
      <c r="AE17" s="295"/>
      <c r="AF17" s="295"/>
      <c r="AG17" s="295"/>
      <c r="AH17" s="295"/>
      <c r="AI17" s="520"/>
      <c r="AJ17" s="360">
        <f t="shared" si="3"/>
        <v>0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0</v>
      </c>
      <c r="AS17" s="297">
        <f t="shared" si="7"/>
        <v>0</v>
      </c>
      <c r="AT17" s="372">
        <f t="shared" si="5"/>
        <v>27141.11</v>
      </c>
    </row>
    <row r="18" spans="1:46" ht="13.5" customHeight="1">
      <c r="A18" s="707">
        <v>43869</v>
      </c>
      <c r="B18" s="304"/>
      <c r="C18" s="292">
        <f t="shared" si="6"/>
        <v>27141.11</v>
      </c>
      <c r="D18" s="299"/>
      <c r="E18" s="277"/>
      <c r="F18" s="710"/>
      <c r="G18" s="279"/>
      <c r="H18" s="278"/>
      <c r="I18" s="300"/>
      <c r="J18" s="278"/>
      <c r="K18" s="278"/>
      <c r="L18" s="390"/>
      <c r="M18" s="389"/>
      <c r="N18" s="280"/>
      <c r="O18" s="280"/>
      <c r="P18" s="280"/>
      <c r="Q18" s="280"/>
      <c r="R18" s="280"/>
      <c r="S18" s="293">
        <f t="shared" si="0"/>
        <v>0</v>
      </c>
      <c r="T18" s="294">
        <f t="shared" si="1"/>
        <v>0</v>
      </c>
      <c r="U18" s="294" t="e">
        <f t="shared" si="4"/>
        <v>#DIV/0!</v>
      </c>
      <c r="V18" s="283"/>
      <c r="W18" s="295"/>
      <c r="X18" s="268"/>
      <c r="Y18" s="278"/>
      <c r="Z18" s="278"/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0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0</v>
      </c>
      <c r="AS18" s="297">
        <f t="shared" si="7"/>
        <v>0</v>
      </c>
      <c r="AT18" s="372">
        <f t="shared" si="5"/>
        <v>27141.11</v>
      </c>
    </row>
    <row r="19" spans="1:46" ht="13.5" customHeight="1">
      <c r="A19" s="707">
        <v>43870</v>
      </c>
      <c r="B19" s="304"/>
      <c r="C19" s="292">
        <f t="shared" si="6"/>
        <v>27141.11</v>
      </c>
      <c r="D19" s="299"/>
      <c r="E19" s="277">
        <v>15000</v>
      </c>
      <c r="F19" s="711" t="s">
        <v>311</v>
      </c>
      <c r="G19" s="279"/>
      <c r="H19" s="278"/>
      <c r="I19" s="300"/>
      <c r="J19" s="278"/>
      <c r="K19" s="278"/>
      <c r="L19" s="390"/>
      <c r="M19" s="389"/>
      <c r="N19" s="280"/>
      <c r="O19" s="280"/>
      <c r="P19" s="280"/>
      <c r="Q19" s="280"/>
      <c r="R19" s="280"/>
      <c r="S19" s="293">
        <f t="shared" si="0"/>
        <v>0</v>
      </c>
      <c r="T19" s="294">
        <f t="shared" si="1"/>
        <v>0</v>
      </c>
      <c r="U19" s="294" t="e">
        <f t="shared" si="4"/>
        <v>#DIV/0!</v>
      </c>
      <c r="V19" s="283"/>
      <c r="W19" s="295"/>
      <c r="X19" s="268"/>
      <c r="Y19" s="295"/>
      <c r="Z19" s="278"/>
      <c r="AA19" s="362"/>
      <c r="AB19" s="295"/>
      <c r="AC19" s="295"/>
      <c r="AD19" s="295"/>
      <c r="AE19" s="295"/>
      <c r="AF19" s="295"/>
      <c r="AG19" s="295"/>
      <c r="AH19" s="295"/>
      <c r="AI19" s="520"/>
      <c r="AJ19" s="360">
        <f t="shared" si="3"/>
        <v>0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0</v>
      </c>
      <c r="AS19" s="297">
        <f t="shared" si="7"/>
        <v>0</v>
      </c>
      <c r="AT19" s="372">
        <f t="shared" si="5"/>
        <v>27141.11</v>
      </c>
    </row>
    <row r="20" spans="1:46" ht="14.25">
      <c r="A20" s="707">
        <v>43871</v>
      </c>
      <c r="B20" s="304"/>
      <c r="C20" s="292">
        <f t="shared" si="6"/>
        <v>27141.11</v>
      </c>
      <c r="D20" s="299"/>
      <c r="E20" s="277"/>
      <c r="F20" s="710"/>
      <c r="G20" s="279"/>
      <c r="H20" s="295"/>
      <c r="I20" s="300"/>
      <c r="J20" s="278"/>
      <c r="K20" s="278"/>
      <c r="L20" s="278"/>
      <c r="M20" s="389"/>
      <c r="N20" s="280"/>
      <c r="O20" s="280"/>
      <c r="P20" s="280"/>
      <c r="Q20" s="280"/>
      <c r="R20" s="392"/>
      <c r="S20" s="293">
        <f t="shared" si="0"/>
        <v>0</v>
      </c>
      <c r="T20" s="294">
        <f t="shared" si="1"/>
        <v>0</v>
      </c>
      <c r="U20" s="294" t="e">
        <f t="shared" si="4"/>
        <v>#DIV/0!</v>
      </c>
      <c r="V20" s="283"/>
      <c r="W20" s="295"/>
      <c r="X20" s="268"/>
      <c r="Y20" s="295"/>
      <c r="Z20" s="278"/>
      <c r="AA20" s="362"/>
      <c r="AB20" s="295"/>
      <c r="AC20" s="295"/>
      <c r="AD20" s="295"/>
      <c r="AE20" s="295"/>
      <c r="AF20" s="295"/>
      <c r="AG20" s="295"/>
      <c r="AH20" s="295"/>
      <c r="AI20" s="520"/>
      <c r="AJ20" s="360">
        <f t="shared" si="3"/>
        <v>0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0</v>
      </c>
      <c r="AS20" s="297">
        <f t="shared" si="7"/>
        <v>0</v>
      </c>
      <c r="AT20" s="372">
        <f t="shared" si="5"/>
        <v>27141.11</v>
      </c>
    </row>
    <row r="21" spans="1:46" ht="14.25">
      <c r="A21" s="707">
        <v>43872</v>
      </c>
      <c r="B21" s="304"/>
      <c r="C21" s="292">
        <f t="shared" si="6"/>
        <v>27141.11</v>
      </c>
      <c r="D21" s="299"/>
      <c r="E21" s="277"/>
      <c r="F21" s="710"/>
      <c r="G21" s="279"/>
      <c r="H21" s="295"/>
      <c r="I21" s="300"/>
      <c r="J21" s="278"/>
      <c r="K21" s="278"/>
      <c r="L21" s="390"/>
      <c r="M21" s="389"/>
      <c r="N21" s="389"/>
      <c r="O21" s="280"/>
      <c r="P21" s="280"/>
      <c r="Q21" s="280"/>
      <c r="R21" s="280"/>
      <c r="S21" s="293">
        <f t="shared" si="0"/>
        <v>0</v>
      </c>
      <c r="T21" s="294">
        <f t="shared" si="1"/>
        <v>0</v>
      </c>
      <c r="U21" s="294" t="e">
        <f t="shared" si="4"/>
        <v>#DIV/0!</v>
      </c>
      <c r="V21" s="283"/>
      <c r="W21" s="295"/>
      <c r="X21" s="268"/>
      <c r="Y21" s="295"/>
      <c r="Z21" s="278"/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0</v>
      </c>
      <c r="AK21" s="287"/>
      <c r="AL21" s="288"/>
      <c r="AM21" s="296"/>
      <c r="AN21" s="302"/>
      <c r="AO21" s="302"/>
      <c r="AP21" s="302"/>
      <c r="AQ21" s="303"/>
      <c r="AR21" s="289">
        <f>SUM(AJ21+S21)</f>
        <v>0</v>
      </c>
      <c r="AS21" s="297">
        <f t="shared" si="7"/>
        <v>0</v>
      </c>
      <c r="AT21" s="372">
        <f t="shared" si="5"/>
        <v>27141.11</v>
      </c>
    </row>
    <row r="22" spans="1:46" ht="14.25">
      <c r="A22" s="707">
        <v>43873</v>
      </c>
      <c r="B22" s="304"/>
      <c r="C22" s="292">
        <f t="shared" si="6"/>
        <v>27141.11</v>
      </c>
      <c r="D22" s="299"/>
      <c r="E22" s="277"/>
      <c r="F22" s="710"/>
      <c r="G22" s="279"/>
      <c r="H22" s="278"/>
      <c r="I22" s="300"/>
      <c r="J22" s="278"/>
      <c r="K22" s="278"/>
      <c r="L22" s="390"/>
      <c r="M22" s="389"/>
      <c r="N22" s="389"/>
      <c r="O22" s="280"/>
      <c r="P22" s="280"/>
      <c r="Q22" s="280"/>
      <c r="R22" s="280"/>
      <c r="S22" s="293">
        <f t="shared" si="0"/>
        <v>0</v>
      </c>
      <c r="T22" s="294">
        <f t="shared" si="1"/>
        <v>0</v>
      </c>
      <c r="U22" s="294" t="e">
        <f t="shared" si="4"/>
        <v>#DIV/0!</v>
      </c>
      <c r="V22" s="283"/>
      <c r="W22" s="295"/>
      <c r="X22" s="268"/>
      <c r="Y22" s="295"/>
      <c r="Z22" s="278"/>
      <c r="AA22" s="362"/>
      <c r="AB22" s="295"/>
      <c r="AC22" s="295"/>
      <c r="AD22" s="295"/>
      <c r="AE22" s="295"/>
      <c r="AF22" s="295"/>
      <c r="AG22" s="295"/>
      <c r="AH22" s="295"/>
      <c r="AI22" s="520"/>
      <c r="AJ22" s="360">
        <f t="shared" si="3"/>
        <v>0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0</v>
      </c>
      <c r="AS22" s="297">
        <f t="shared" si="7"/>
        <v>0</v>
      </c>
      <c r="AT22" s="372">
        <f t="shared" si="5"/>
        <v>27141.11</v>
      </c>
    </row>
    <row r="23" spans="1:46" ht="14.25">
      <c r="A23" s="707">
        <v>43874</v>
      </c>
      <c r="B23" s="304"/>
      <c r="C23" s="292">
        <f t="shared" si="6"/>
        <v>27141.11</v>
      </c>
      <c r="D23" s="299"/>
      <c r="E23" s="277"/>
      <c r="F23" s="710"/>
      <c r="G23" s="279"/>
      <c r="H23" s="295"/>
      <c r="I23" s="300"/>
      <c r="J23" s="278"/>
      <c r="K23" s="278"/>
      <c r="L23" s="390"/>
      <c r="M23" s="389"/>
      <c r="N23" s="280"/>
      <c r="O23" s="280"/>
      <c r="P23" s="280"/>
      <c r="Q23" s="280"/>
      <c r="R23" s="280"/>
      <c r="S23" s="293">
        <f t="shared" si="0"/>
        <v>0</v>
      </c>
      <c r="T23" s="294">
        <f t="shared" si="1"/>
        <v>0</v>
      </c>
      <c r="U23" s="294" t="e">
        <f t="shared" si="4"/>
        <v>#DIV/0!</v>
      </c>
      <c r="V23" s="283"/>
      <c r="W23" s="295"/>
      <c r="X23" s="268"/>
      <c r="Y23" s="295"/>
      <c r="Z23" s="278"/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0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0</v>
      </c>
      <c r="AS23" s="297">
        <f t="shared" si="7"/>
        <v>0</v>
      </c>
      <c r="AT23" s="372">
        <f t="shared" si="5"/>
        <v>27141.11</v>
      </c>
    </row>
    <row r="24" spans="1:46" ht="14.25">
      <c r="A24" s="707">
        <v>43875</v>
      </c>
      <c r="B24" s="304"/>
      <c r="C24" s="292">
        <f t="shared" si="6"/>
        <v>27141.11</v>
      </c>
      <c r="D24" s="299"/>
      <c r="E24" s="277"/>
      <c r="F24" s="710"/>
      <c r="G24" s="279"/>
      <c r="H24" s="295"/>
      <c r="I24" s="300"/>
      <c r="J24" s="278"/>
      <c r="K24" s="278"/>
      <c r="L24" s="390"/>
      <c r="M24" s="389"/>
      <c r="N24" s="389"/>
      <c r="O24" s="280"/>
      <c r="P24" s="280"/>
      <c r="Q24" s="280"/>
      <c r="R24" s="280"/>
      <c r="S24" s="293">
        <f t="shared" si="0"/>
        <v>0</v>
      </c>
      <c r="T24" s="294">
        <f t="shared" si="1"/>
        <v>0</v>
      </c>
      <c r="U24" s="294" t="e">
        <f t="shared" si="4"/>
        <v>#DIV/0!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/>
      <c r="AI24" s="520"/>
      <c r="AJ24" s="360">
        <f t="shared" si="3"/>
        <v>0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0</v>
      </c>
      <c r="AS24" s="297">
        <f t="shared" si="7"/>
        <v>0</v>
      </c>
      <c r="AT24" s="372">
        <f t="shared" si="5"/>
        <v>27141.11</v>
      </c>
    </row>
    <row r="25" spans="1:46" ht="14.25">
      <c r="A25" s="707">
        <v>43876</v>
      </c>
      <c r="B25" s="304"/>
      <c r="C25" s="292">
        <f t="shared" si="6"/>
        <v>27141.11</v>
      </c>
      <c r="D25" s="299"/>
      <c r="E25" s="277"/>
      <c r="F25" s="710"/>
      <c r="G25" s="279"/>
      <c r="H25" s="295"/>
      <c r="I25" s="300"/>
      <c r="J25" s="278"/>
      <c r="K25" s="278"/>
      <c r="L25" s="390"/>
      <c r="M25" s="389"/>
      <c r="N25" s="280"/>
      <c r="O25" s="280"/>
      <c r="P25" s="280"/>
      <c r="Q25" s="280"/>
      <c r="R25" s="280"/>
      <c r="S25" s="293">
        <f t="shared" si="0"/>
        <v>0</v>
      </c>
      <c r="T25" s="294">
        <f t="shared" si="1"/>
        <v>0</v>
      </c>
      <c r="U25" s="294" t="e">
        <f t="shared" si="4"/>
        <v>#DIV/0!</v>
      </c>
      <c r="V25" s="283"/>
      <c r="W25" s="295"/>
      <c r="X25" s="268"/>
      <c r="Y25" s="295"/>
      <c r="Z25" s="278"/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0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0</v>
      </c>
      <c r="AS25" s="297">
        <f t="shared" si="7"/>
        <v>0</v>
      </c>
      <c r="AT25" s="372">
        <f t="shared" si="5"/>
        <v>27141.11</v>
      </c>
    </row>
    <row r="26" spans="1:46" ht="14.25">
      <c r="A26" s="707">
        <v>43877</v>
      </c>
      <c r="B26" s="304"/>
      <c r="C26" s="292">
        <f t="shared" si="6"/>
        <v>27141.11</v>
      </c>
      <c r="D26" s="299"/>
      <c r="E26" s="277">
        <v>18000</v>
      </c>
      <c r="F26" s="709" t="s">
        <v>312</v>
      </c>
      <c r="G26" s="279"/>
      <c r="H26" s="295"/>
      <c r="I26" s="300"/>
      <c r="J26" s="278"/>
      <c r="K26" s="278"/>
      <c r="L26" s="390"/>
      <c r="M26" s="389"/>
      <c r="N26" s="280"/>
      <c r="O26" s="280"/>
      <c r="P26" s="280"/>
      <c r="Q26" s="280"/>
      <c r="R26" s="280"/>
      <c r="S26" s="293">
        <f t="shared" si="0"/>
        <v>0</v>
      </c>
      <c r="T26" s="294">
        <f t="shared" si="1"/>
        <v>0</v>
      </c>
      <c r="U26" s="294" t="e">
        <f t="shared" si="4"/>
        <v>#DIV/0!</v>
      </c>
      <c r="V26" s="283"/>
      <c r="W26" s="295"/>
      <c r="X26" s="268"/>
      <c r="Y26" s="295"/>
      <c r="Z26" s="295"/>
      <c r="AA26" s="362"/>
      <c r="AB26" s="295"/>
      <c r="AC26" s="295"/>
      <c r="AD26" s="295"/>
      <c r="AE26" s="295"/>
      <c r="AF26" s="295"/>
      <c r="AG26" s="295"/>
      <c r="AH26" s="295"/>
      <c r="AI26" s="520"/>
      <c r="AJ26" s="360">
        <f t="shared" si="3"/>
        <v>0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0</v>
      </c>
      <c r="AS26" s="297">
        <f t="shared" si="7"/>
        <v>0</v>
      </c>
      <c r="AT26" s="372">
        <f t="shared" si="5"/>
        <v>27141.11</v>
      </c>
    </row>
    <row r="27" spans="1:46" ht="14.25">
      <c r="A27" s="707">
        <v>43878</v>
      </c>
      <c r="B27" s="304"/>
      <c r="C27" s="292">
        <f t="shared" si="6"/>
        <v>27141.11</v>
      </c>
      <c r="D27" s="299"/>
      <c r="E27" s="277"/>
      <c r="F27" s="710"/>
      <c r="G27" s="279"/>
      <c r="H27" s="295"/>
      <c r="I27" s="300"/>
      <c r="J27" s="278"/>
      <c r="K27" s="278"/>
      <c r="L27" s="390"/>
      <c r="M27" s="389"/>
      <c r="N27" s="280"/>
      <c r="O27" s="280"/>
      <c r="P27" s="280"/>
      <c r="Q27" s="280"/>
      <c r="R27" s="280"/>
      <c r="S27" s="293">
        <f t="shared" si="0"/>
        <v>0</v>
      </c>
      <c r="T27" s="294">
        <f t="shared" si="1"/>
        <v>0</v>
      </c>
      <c r="U27" s="294" t="e">
        <f t="shared" si="4"/>
        <v>#DIV/0!</v>
      </c>
      <c r="V27" s="283"/>
      <c r="W27" s="295"/>
      <c r="X27" s="268"/>
      <c r="Y27" s="295"/>
      <c r="Z27" s="278"/>
      <c r="AA27" s="362"/>
      <c r="AB27" s="295"/>
      <c r="AC27" s="295"/>
      <c r="AD27" s="295"/>
      <c r="AE27" s="295"/>
      <c r="AF27" s="295"/>
      <c r="AG27" s="295"/>
      <c r="AH27" s="295"/>
      <c r="AI27" s="520"/>
      <c r="AJ27" s="360">
        <f t="shared" si="3"/>
        <v>0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0</v>
      </c>
      <c r="AS27" s="297">
        <f t="shared" si="7"/>
        <v>0</v>
      </c>
      <c r="AT27" s="372">
        <f t="shared" si="5"/>
        <v>27141.11</v>
      </c>
    </row>
    <row r="28" spans="1:46" ht="14.25">
      <c r="A28" s="707">
        <v>43879</v>
      </c>
      <c r="B28" s="304"/>
      <c r="C28" s="292">
        <f t="shared" si="6"/>
        <v>27141.11</v>
      </c>
      <c r="D28" s="299"/>
      <c r="E28" s="277"/>
      <c r="F28" s="710"/>
      <c r="G28" s="279"/>
      <c r="H28" s="295"/>
      <c r="I28" s="279"/>
      <c r="J28" s="278"/>
      <c r="K28" s="278"/>
      <c r="L28" s="390"/>
      <c r="M28" s="389"/>
      <c r="N28" s="280"/>
      <c r="O28" s="280"/>
      <c r="P28" s="280"/>
      <c r="Q28" s="280"/>
      <c r="R28" s="280"/>
      <c r="S28" s="293">
        <f t="shared" si="0"/>
        <v>0</v>
      </c>
      <c r="T28" s="294">
        <f t="shared" si="1"/>
        <v>0</v>
      </c>
      <c r="U28" s="294" t="e">
        <f t="shared" si="4"/>
        <v>#DIV/0!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/>
      <c r="AI28" s="520"/>
      <c r="AJ28" s="360">
        <f>SUM(V28:AI28)</f>
        <v>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0</v>
      </c>
      <c r="AS28" s="297">
        <f t="shared" si="7"/>
        <v>0</v>
      </c>
      <c r="AT28" s="372">
        <f t="shared" si="5"/>
        <v>27141.11</v>
      </c>
    </row>
    <row r="29" spans="1:46" ht="14.25">
      <c r="A29" s="707">
        <v>43880</v>
      </c>
      <c r="B29" s="304"/>
      <c r="C29" s="292">
        <f t="shared" si="6"/>
        <v>27141.11</v>
      </c>
      <c r="D29" s="299"/>
      <c r="E29" s="277"/>
      <c r="F29" s="710"/>
      <c r="G29" s="279"/>
      <c r="H29" s="295"/>
      <c r="I29" s="279"/>
      <c r="J29" s="278"/>
      <c r="K29" s="278"/>
      <c r="L29" s="390"/>
      <c r="M29" s="389"/>
      <c r="N29" s="280"/>
      <c r="O29" s="280"/>
      <c r="P29" s="280"/>
      <c r="Q29" s="280"/>
      <c r="R29" s="280"/>
      <c r="S29" s="293">
        <f t="shared" si="0"/>
        <v>0</v>
      </c>
      <c r="T29" s="294">
        <f t="shared" si="1"/>
        <v>0</v>
      </c>
      <c r="U29" s="294" t="e">
        <f t="shared" si="4"/>
        <v>#DIV/0!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/>
      <c r="AI29" s="520"/>
      <c r="AJ29" s="360">
        <f t="shared" si="3"/>
        <v>0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0</v>
      </c>
      <c r="AS29" s="297">
        <f t="shared" si="7"/>
        <v>0</v>
      </c>
      <c r="AT29" s="372">
        <f t="shared" si="5"/>
        <v>27141.11</v>
      </c>
    </row>
    <row r="30" spans="1:46" ht="14.25">
      <c r="A30" s="707">
        <v>43881</v>
      </c>
      <c r="B30" s="304"/>
      <c r="C30" s="292">
        <f t="shared" si="6"/>
        <v>27141.11</v>
      </c>
      <c r="D30" s="299"/>
      <c r="E30" s="277"/>
      <c r="F30" s="710"/>
      <c r="G30" s="279"/>
      <c r="H30" s="295"/>
      <c r="I30" s="279"/>
      <c r="J30" s="278"/>
      <c r="K30" s="278"/>
      <c r="L30" s="390"/>
      <c r="M30" s="389"/>
      <c r="N30" s="280"/>
      <c r="O30" s="280"/>
      <c r="P30" s="280"/>
      <c r="Q30" s="280"/>
      <c r="R30" s="280"/>
      <c r="S30" s="293">
        <f t="shared" si="0"/>
        <v>0</v>
      </c>
      <c r="T30" s="294">
        <f t="shared" si="1"/>
        <v>0</v>
      </c>
      <c r="U30" s="294" t="e">
        <f t="shared" si="4"/>
        <v>#DIV/0!</v>
      </c>
      <c r="V30" s="283"/>
      <c r="W30" s="295"/>
      <c r="X30" s="268"/>
      <c r="Y30" s="295"/>
      <c r="Z30" s="278"/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0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0</v>
      </c>
      <c r="AS30" s="297">
        <f t="shared" si="7"/>
        <v>0</v>
      </c>
      <c r="AT30" s="372">
        <f t="shared" si="5"/>
        <v>27141.11</v>
      </c>
    </row>
    <row r="31" spans="1:46" ht="14.25">
      <c r="A31" s="707">
        <v>43882</v>
      </c>
      <c r="B31" s="304"/>
      <c r="C31" s="292">
        <f t="shared" si="6"/>
        <v>27141.11</v>
      </c>
      <c r="D31" s="299"/>
      <c r="E31" s="277"/>
      <c r="F31" s="706"/>
      <c r="G31" s="279"/>
      <c r="H31" s="295"/>
      <c r="I31" s="279"/>
      <c r="J31" s="278"/>
      <c r="K31" s="278"/>
      <c r="L31" s="390"/>
      <c r="M31" s="389"/>
      <c r="N31" s="280"/>
      <c r="O31" s="280"/>
      <c r="P31" s="280"/>
      <c r="Q31" s="280"/>
      <c r="R31" s="280"/>
      <c r="S31" s="293">
        <f t="shared" si="0"/>
        <v>0</v>
      </c>
      <c r="T31" s="294">
        <f t="shared" si="1"/>
        <v>0</v>
      </c>
      <c r="U31" s="294" t="e">
        <f t="shared" si="4"/>
        <v>#DIV/0!</v>
      </c>
      <c r="V31" s="283"/>
      <c r="W31" s="295"/>
      <c r="X31" s="268"/>
      <c r="Y31" s="295"/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0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0</v>
      </c>
      <c r="AS31" s="297">
        <f t="shared" si="7"/>
        <v>0</v>
      </c>
      <c r="AT31" s="372">
        <f t="shared" si="5"/>
        <v>27141.11</v>
      </c>
    </row>
    <row r="32" spans="1:46" ht="14.25">
      <c r="A32" s="707">
        <v>43883</v>
      </c>
      <c r="B32" s="304"/>
      <c r="C32" s="292">
        <f t="shared" si="6"/>
        <v>27141.11</v>
      </c>
      <c r="D32" s="299"/>
      <c r="E32" s="277"/>
      <c r="F32" s="710"/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27141.11</v>
      </c>
    </row>
    <row r="33" spans="1:47" ht="14.25">
      <c r="A33" s="707">
        <v>43884</v>
      </c>
      <c r="B33" s="304"/>
      <c r="C33" s="292">
        <f t="shared" si="6"/>
        <v>27141.11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27141.11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27141.11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27141.11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27141.11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27141.11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27141.11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27141.11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27141.11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27141.11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27141.11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27141.11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27141.11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27141.11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27141.11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27141.11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27141.11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27141.11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27141.11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27141.11</v>
      </c>
    </row>
    <row r="43" spans="1:47" ht="14.25">
      <c r="A43" s="712" t="s">
        <v>25</v>
      </c>
      <c r="B43" s="640">
        <f>AVERAGE(B11:B42)</f>
        <v>0.2339</v>
      </c>
      <c r="C43" s="309">
        <f t="shared" si="6"/>
        <v>27141.11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27141.11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0</v>
      </c>
      <c r="E45" s="413">
        <f>SUM(E11:E42)</f>
        <v>66000</v>
      </c>
      <c r="F45" s="415">
        <f t="shared" ref="F45" si="9">SUM(F11:F44)</f>
        <v>0</v>
      </c>
      <c r="G45" s="702">
        <f>SUM(G11:G44)</f>
        <v>612.18999999999994</v>
      </c>
      <c r="H45" s="537">
        <f t="shared" ref="H45:O45" si="10">SUM(H11:H44)</f>
        <v>636.5</v>
      </c>
      <c r="I45" s="537">
        <f t="shared" si="10"/>
        <v>0</v>
      </c>
      <c r="J45" s="537">
        <f t="shared" si="10"/>
        <v>760</v>
      </c>
      <c r="K45" s="537">
        <f>SUM(K11:K44)</f>
        <v>718.45</v>
      </c>
      <c r="L45" s="537">
        <f t="shared" si="10"/>
        <v>900.46</v>
      </c>
      <c r="M45" s="537">
        <f t="shared" si="10"/>
        <v>1062</v>
      </c>
      <c r="N45" s="538">
        <f t="shared" si="10"/>
        <v>1558</v>
      </c>
      <c r="O45" s="413">
        <f t="shared" si="10"/>
        <v>0</v>
      </c>
      <c r="P45" s="414">
        <f>SUM(P11:P43)</f>
        <v>1901</v>
      </c>
      <c r="Q45" s="413">
        <f>SUM(Q11:Q44)</f>
        <v>2231</v>
      </c>
      <c r="R45" s="415">
        <f>SUM(R11:R44)</f>
        <v>2131</v>
      </c>
      <c r="S45" s="657">
        <f t="shared" si="0"/>
        <v>3627.6000000000004</v>
      </c>
      <c r="T45" s="403">
        <f>SUM(M45:R45)</f>
        <v>8883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0</v>
      </c>
      <c r="X45" s="316">
        <f t="shared" si="11"/>
        <v>0</v>
      </c>
      <c r="Y45" s="316">
        <f t="shared" si="11"/>
        <v>0</v>
      </c>
      <c r="Z45" s="316">
        <f t="shared" si="11"/>
        <v>130.85999999999999</v>
      </c>
      <c r="AA45" s="316">
        <f t="shared" si="11"/>
        <v>0</v>
      </c>
      <c r="AB45" s="316">
        <f t="shared" si="11"/>
        <v>0</v>
      </c>
      <c r="AC45" s="316">
        <f>SUM(AC10:AC44)</f>
        <v>41.74</v>
      </c>
      <c r="AD45" s="316">
        <f>SUM(AD10:AD44)</f>
        <v>0</v>
      </c>
      <c r="AE45" s="316">
        <f t="shared" si="11"/>
        <v>0</v>
      </c>
      <c r="AF45" s="316">
        <f t="shared" si="11"/>
        <v>0</v>
      </c>
      <c r="AG45" s="316">
        <f t="shared" si="11"/>
        <v>0</v>
      </c>
      <c r="AH45" s="597">
        <f>SUM(AH9:AH43)</f>
        <v>41</v>
      </c>
      <c r="AI45" s="597">
        <f>SUM(AI9:AI39)</f>
        <v>0</v>
      </c>
      <c r="AJ45" s="316">
        <f t="shared" si="11"/>
        <v>213.59999999999997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3841.2000000000003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7773946.8000000007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3462.7825389755017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2" t="s">
        <v>243</v>
      </c>
      <c r="C50" s="793"/>
      <c r="D50" s="793"/>
      <c r="E50" s="793"/>
      <c r="F50" s="794"/>
      <c r="G50" s="731"/>
      <c r="H50" s="795" t="s">
        <v>215</v>
      </c>
      <c r="I50" s="796"/>
      <c r="J50" s="796"/>
      <c r="K50" s="796"/>
      <c r="L50" s="797"/>
      <c r="M50" s="744"/>
      <c r="N50" s="813" t="s">
        <v>319</v>
      </c>
      <c r="O50" s="814"/>
      <c r="P50" s="814"/>
      <c r="Q50" s="814"/>
      <c r="R50" s="815"/>
      <c r="S50" s="810" t="s">
        <v>228</v>
      </c>
      <c r="T50" s="811"/>
      <c r="U50" s="811"/>
      <c r="V50" s="811"/>
      <c r="W50" s="811"/>
      <c r="X50" s="812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5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322</v>
      </c>
      <c r="G52" s="733"/>
      <c r="H52" s="743"/>
      <c r="I52" s="563"/>
      <c r="J52" s="563"/>
      <c r="K52" s="563"/>
      <c r="L52" s="725"/>
      <c r="M52" s="733"/>
      <c r="N52" s="746"/>
      <c r="O52" s="734"/>
      <c r="P52" s="734"/>
      <c r="Q52" s="738"/>
      <c r="R52" s="747"/>
      <c r="S52" s="469"/>
      <c r="T52" s="469"/>
      <c r="U52" s="520"/>
      <c r="V52" s="519"/>
      <c r="W52" s="469"/>
      <c r="X52" s="469"/>
    </row>
    <row r="53" spans="2:46" ht="11.25" customHeight="1" thickBot="1">
      <c r="B53" s="458"/>
      <c r="C53" s="397"/>
      <c r="D53" s="515"/>
      <c r="E53" s="397"/>
      <c r="F53" s="726"/>
      <c r="G53" s="698"/>
      <c r="H53" s="735"/>
      <c r="I53" s="350"/>
      <c r="J53" s="350"/>
      <c r="K53" s="350"/>
      <c r="L53" s="726"/>
      <c r="M53" s="698"/>
      <c r="N53" s="748"/>
      <c r="O53" s="350"/>
      <c r="P53" s="350"/>
      <c r="Q53" s="739"/>
      <c r="R53" s="749"/>
      <c r="S53" s="469"/>
      <c r="T53" s="469"/>
      <c r="U53" s="520"/>
      <c r="V53" s="519"/>
      <c r="W53" s="469"/>
      <c r="X53" s="469"/>
    </row>
    <row r="54" spans="2:46" ht="11.25" customHeight="1" thickBot="1">
      <c r="B54" s="458"/>
      <c r="C54" s="397"/>
      <c r="D54" s="515"/>
      <c r="E54" s="397"/>
      <c r="F54" s="726"/>
      <c r="G54" s="698"/>
      <c r="H54" s="735"/>
      <c r="I54" s="350"/>
      <c r="J54" s="350"/>
      <c r="K54" s="350"/>
      <c r="L54" s="726"/>
      <c r="M54" s="698"/>
      <c r="N54" s="748"/>
      <c r="O54" s="350"/>
      <c r="P54" s="350"/>
      <c r="Q54" s="739"/>
      <c r="R54" s="749"/>
      <c r="S54" s="458"/>
      <c r="T54" s="397"/>
      <c r="U54" s="520"/>
      <c r="V54" s="519"/>
      <c r="W54" s="397"/>
      <c r="X54" s="469"/>
    </row>
    <row r="55" spans="2:46" ht="11.25" customHeight="1" thickBot="1">
      <c r="B55" s="458"/>
      <c r="C55" s="397"/>
      <c r="D55" s="515"/>
      <c r="E55" s="397"/>
      <c r="F55" s="726"/>
      <c r="G55" s="698"/>
      <c r="H55" s="735"/>
      <c r="I55" s="350"/>
      <c r="J55" s="350"/>
      <c r="K55" s="350"/>
      <c r="L55" s="726"/>
      <c r="M55" s="698"/>
      <c r="N55" s="748"/>
      <c r="O55" s="350"/>
      <c r="P55" s="350"/>
      <c r="Q55" s="739"/>
      <c r="R55" s="749"/>
      <c r="S55" s="458"/>
      <c r="T55" s="397"/>
      <c r="U55" s="520"/>
      <c r="V55" s="562"/>
      <c r="W55" s="397"/>
      <c r="X55" s="469"/>
    </row>
    <row r="56" spans="2:46" ht="11.25" customHeight="1">
      <c r="B56" s="458"/>
      <c r="C56" s="397"/>
      <c r="D56" s="515"/>
      <c r="E56" s="397"/>
      <c r="F56" s="726"/>
      <c r="G56" s="698"/>
      <c r="H56" s="735"/>
      <c r="I56" s="350"/>
      <c r="J56" s="350"/>
      <c r="K56" s="350"/>
      <c r="L56" s="726"/>
      <c r="M56" s="698"/>
      <c r="N56" s="748"/>
      <c r="O56" s="350"/>
      <c r="P56" s="350"/>
      <c r="Q56" s="739"/>
      <c r="R56" s="749"/>
      <c r="S56" s="458"/>
      <c r="T56" s="397"/>
      <c r="U56" s="520"/>
      <c r="V56" s="562"/>
      <c r="W56" s="397"/>
      <c r="X56" s="469"/>
    </row>
    <row r="57" spans="2:46" ht="11.25" customHeight="1">
      <c r="B57" s="458"/>
      <c r="C57" s="397"/>
      <c r="D57" s="515"/>
      <c r="E57" s="397"/>
      <c r="F57" s="726"/>
      <c r="G57" s="698"/>
      <c r="H57" s="735"/>
      <c r="I57" s="350"/>
      <c r="J57" s="350"/>
      <c r="K57" s="350"/>
      <c r="L57" s="726"/>
      <c r="M57" s="698"/>
      <c r="N57" s="748"/>
      <c r="O57" s="350"/>
      <c r="P57" s="350"/>
      <c r="Q57" s="739"/>
      <c r="R57" s="749"/>
      <c r="S57" s="458"/>
      <c r="T57" s="397"/>
      <c r="U57" s="520"/>
      <c r="V57" s="562"/>
      <c r="W57" s="397"/>
      <c r="X57" s="459"/>
    </row>
    <row r="58" spans="2:46" ht="11.25" customHeight="1">
      <c r="B58" s="458"/>
      <c r="C58" s="397"/>
      <c r="D58" s="515"/>
      <c r="E58" s="397"/>
      <c r="F58" s="726"/>
      <c r="G58" s="698"/>
      <c r="H58" s="735"/>
      <c r="I58" s="350"/>
      <c r="J58" s="350"/>
      <c r="K58" s="350"/>
      <c r="L58" s="726"/>
      <c r="M58" s="698"/>
      <c r="N58" s="748"/>
      <c r="O58" s="350"/>
      <c r="P58" s="350"/>
      <c r="Q58" s="739"/>
      <c r="R58" s="749"/>
      <c r="S58" s="458"/>
      <c r="T58" s="397"/>
      <c r="U58" s="520"/>
      <c r="V58" s="562"/>
      <c r="W58" s="397"/>
      <c r="X58" s="459"/>
    </row>
    <row r="59" spans="2:46" ht="11.25" customHeight="1">
      <c r="B59" s="458"/>
      <c r="C59" s="397"/>
      <c r="D59" s="515"/>
      <c r="E59" s="397"/>
      <c r="F59" s="726"/>
      <c r="G59" s="698"/>
      <c r="H59" s="735"/>
      <c r="I59" s="350"/>
      <c r="J59" s="350"/>
      <c r="K59" s="350"/>
      <c r="L59" s="726"/>
      <c r="M59" s="698"/>
      <c r="N59" s="748"/>
      <c r="O59" s="350"/>
      <c r="P59" s="350"/>
      <c r="Q59" s="739"/>
      <c r="R59" s="749"/>
      <c r="S59" s="458"/>
      <c r="T59" s="397"/>
      <c r="U59" s="520"/>
      <c r="V59" s="562"/>
      <c r="W59" s="397"/>
      <c r="X59" s="459"/>
    </row>
    <row r="60" spans="2:46" ht="11.25" customHeight="1">
      <c r="B60" s="458"/>
      <c r="C60" s="397"/>
      <c r="D60" s="515"/>
      <c r="E60" s="397"/>
      <c r="F60" s="726"/>
      <c r="G60" s="698"/>
      <c r="H60" s="735"/>
      <c r="I60" s="350"/>
      <c r="J60" s="350"/>
      <c r="K60" s="350"/>
      <c r="L60" s="726"/>
      <c r="M60" s="698"/>
      <c r="N60" s="748"/>
      <c r="O60" s="350"/>
      <c r="P60" s="350"/>
      <c r="Q60" s="739"/>
      <c r="R60" s="749"/>
      <c r="S60" s="458"/>
      <c r="T60" s="397"/>
      <c r="U60" s="520"/>
      <c r="V60" s="569"/>
      <c r="W60" s="397"/>
      <c r="X60" s="459"/>
    </row>
    <row r="61" spans="2:46" ht="11.25" customHeight="1">
      <c r="B61" s="458"/>
      <c r="C61" s="397"/>
      <c r="D61" s="515"/>
      <c r="E61" s="397"/>
      <c r="F61" s="726"/>
      <c r="G61" s="698"/>
      <c r="H61" s="735"/>
      <c r="I61" s="350"/>
      <c r="J61" s="350"/>
      <c r="K61" s="350"/>
      <c r="L61" s="726"/>
      <c r="M61" s="698"/>
      <c r="N61" s="748"/>
      <c r="O61" s="350"/>
      <c r="P61" s="350"/>
      <c r="Q61" s="739"/>
      <c r="R61" s="750"/>
      <c r="S61" s="458"/>
      <c r="T61" s="397"/>
      <c r="U61" s="520"/>
      <c r="V61" s="562"/>
      <c r="W61" s="397"/>
      <c r="X61" s="459"/>
    </row>
    <row r="62" spans="2:46" ht="11.25" customHeight="1">
      <c r="B62" s="458"/>
      <c r="C62" s="397"/>
      <c r="D62" s="515"/>
      <c r="E62" s="397"/>
      <c r="F62" s="726"/>
      <c r="G62" s="698"/>
      <c r="H62" s="735"/>
      <c r="I62" s="350"/>
      <c r="J62" s="350"/>
      <c r="K62" s="350"/>
      <c r="L62" s="726"/>
      <c r="M62" s="698"/>
      <c r="N62" s="748"/>
      <c r="O62" s="350"/>
      <c r="P62" s="350"/>
      <c r="Q62" s="739"/>
      <c r="R62" s="750"/>
      <c r="S62" s="458"/>
      <c r="T62" s="397"/>
      <c r="U62" s="520"/>
      <c r="V62" s="562"/>
      <c r="W62" s="397"/>
      <c r="X62" s="459"/>
    </row>
    <row r="63" spans="2:46" ht="11.25" customHeight="1">
      <c r="B63" s="458"/>
      <c r="C63" s="397"/>
      <c r="D63" s="515"/>
      <c r="E63" s="397"/>
      <c r="F63" s="726"/>
      <c r="G63" s="698"/>
      <c r="H63" s="735"/>
      <c r="I63" s="350"/>
      <c r="J63" s="350"/>
      <c r="K63" s="350"/>
      <c r="L63" s="726"/>
      <c r="M63" s="698"/>
      <c r="N63" s="748"/>
      <c r="O63" s="350"/>
      <c r="P63" s="350"/>
      <c r="Q63" s="739"/>
      <c r="R63" s="750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8"/>
      <c r="O64" s="350"/>
      <c r="P64" s="350"/>
      <c r="Q64" s="739"/>
      <c r="R64" s="750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8"/>
      <c r="O65" s="350"/>
      <c r="P65" s="350"/>
      <c r="Q65" s="739"/>
      <c r="R65" s="750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8"/>
      <c r="O66" s="350"/>
      <c r="P66" s="350"/>
      <c r="Q66" s="740"/>
      <c r="R66" s="750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8"/>
      <c r="O67" s="350"/>
      <c r="P67" s="350"/>
      <c r="Q67" s="740"/>
      <c r="R67" s="750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8"/>
      <c r="O68" s="350"/>
      <c r="P68" s="350"/>
      <c r="Q68" s="739"/>
      <c r="R68" s="750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8"/>
      <c r="O69" s="350"/>
      <c r="P69" s="350"/>
      <c r="Q69" s="739"/>
      <c r="R69" s="750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8"/>
      <c r="O70" s="350"/>
      <c r="P70" s="350"/>
      <c r="Q70" s="739"/>
      <c r="R70" s="750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8"/>
      <c r="O71" s="350"/>
      <c r="P71" s="350"/>
      <c r="Q71" s="739"/>
      <c r="R71" s="750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8"/>
      <c r="O72" s="350"/>
      <c r="P72" s="350"/>
      <c r="Q72" s="741"/>
      <c r="R72" s="750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8"/>
      <c r="O73" s="350"/>
      <c r="P73" s="350"/>
      <c r="Q73" s="739"/>
      <c r="R73" s="750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8"/>
      <c r="O74" s="350"/>
      <c r="P74" s="350"/>
      <c r="Q74" s="739"/>
      <c r="R74" s="750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8"/>
      <c r="O75" s="350"/>
      <c r="P75" s="350"/>
      <c r="Q75" s="739"/>
      <c r="R75" s="750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8"/>
      <c r="O76" s="350"/>
      <c r="P76" s="350"/>
      <c r="Q76" s="739"/>
      <c r="R76" s="750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8"/>
      <c r="O77" s="350"/>
      <c r="P77" s="350"/>
      <c r="Q77" s="739"/>
      <c r="R77" s="750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8"/>
      <c r="O78" s="350"/>
      <c r="P78" s="350"/>
      <c r="Q78" s="739"/>
      <c r="R78" s="750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8"/>
      <c r="O79" s="350"/>
      <c r="P79" s="350"/>
      <c r="Q79" s="739"/>
      <c r="R79" s="750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8"/>
      <c r="O80" s="350"/>
      <c r="P80" s="350"/>
      <c r="Q80" s="739"/>
      <c r="R80" s="750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8"/>
      <c r="O81" s="350"/>
      <c r="P81" s="350"/>
      <c r="Q81" s="739"/>
      <c r="R81" s="750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8"/>
      <c r="O82" s="350"/>
      <c r="P82" s="350"/>
      <c r="Q82" s="739"/>
      <c r="R82" s="750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8"/>
      <c r="O83" s="350"/>
      <c r="P83" s="350"/>
      <c r="Q83" s="739"/>
      <c r="R83" s="750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8"/>
      <c r="O84" s="350"/>
      <c r="P84" s="350"/>
      <c r="Q84" s="739"/>
      <c r="R84" s="750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8"/>
      <c r="O85" s="350"/>
      <c r="P85" s="350"/>
      <c r="Q85" s="739"/>
      <c r="R85" s="750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8"/>
      <c r="O86" s="350"/>
      <c r="P86" s="350"/>
      <c r="Q86" s="739"/>
      <c r="R86" s="750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8"/>
      <c r="O87" s="350"/>
      <c r="P87" s="350"/>
      <c r="Q87" s="739"/>
      <c r="R87" s="750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8"/>
      <c r="O88" s="350"/>
      <c r="P88" s="350"/>
      <c r="Q88" s="739"/>
      <c r="R88" s="750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8"/>
      <c r="O89" s="350"/>
      <c r="P89" s="350"/>
      <c r="Q89" s="739"/>
      <c r="R89" s="750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8"/>
      <c r="O90" s="350"/>
      <c r="P90" s="350"/>
      <c r="Q90" s="739"/>
      <c r="R90" s="750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8"/>
      <c r="O91" s="350"/>
      <c r="P91" s="350"/>
      <c r="Q91" s="739"/>
      <c r="R91" s="750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8"/>
      <c r="O92" s="350"/>
      <c r="P92" s="350"/>
      <c r="Q92" s="739"/>
      <c r="R92" s="750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8"/>
      <c r="O93" s="350"/>
      <c r="P93" s="350"/>
      <c r="Q93" s="739"/>
      <c r="R93" s="750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8"/>
      <c r="O94" s="350"/>
      <c r="P94" s="350"/>
      <c r="Q94" s="739"/>
      <c r="R94" s="750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8"/>
      <c r="O95" s="350"/>
      <c r="P95" s="350"/>
      <c r="Q95" s="739"/>
      <c r="R95" s="750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8"/>
      <c r="O96" s="350"/>
      <c r="P96" s="350"/>
      <c r="Q96" s="739"/>
      <c r="R96" s="750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1"/>
      <c r="O97" s="728"/>
      <c r="P97" s="728"/>
      <c r="Q97" s="742"/>
      <c r="R97" s="752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3" sqref="F1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7" t="s">
        <v>71</v>
      </c>
      <c r="D3" s="818"/>
      <c r="E3" s="818"/>
      <c r="F3" s="819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7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4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5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5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5</v>
      </c>
      <c r="E12" s="355"/>
      <c r="F12" s="355">
        <v>69698.09</v>
      </c>
      <c r="G12" s="355">
        <f t="shared" si="0"/>
        <v>-783.94799999999236</v>
      </c>
      <c r="H12" s="115">
        <f>Gen!B13</f>
        <v>0</v>
      </c>
      <c r="I12" s="6" t="e">
        <f t="shared" si="2"/>
        <v>#DIV/0!</v>
      </c>
      <c r="J12" s="120" t="e">
        <f t="shared" si="1"/>
        <v>#DIV/0!</v>
      </c>
      <c r="M12" s="189"/>
      <c r="N12" s="189"/>
    </row>
    <row r="13" spans="1:15" ht="18.75">
      <c r="A13" s="97">
        <f>Gen!A14</f>
        <v>43865</v>
      </c>
      <c r="B13" s="355"/>
      <c r="C13" s="355"/>
      <c r="D13" s="355"/>
      <c r="E13" s="355"/>
      <c r="F13" s="355"/>
      <c r="G13" s="355">
        <f t="shared" si="0"/>
        <v>-306671.59600000002</v>
      </c>
      <c r="H13" s="115">
        <f>Gen!B14</f>
        <v>0</v>
      </c>
      <c r="I13" s="6" t="e">
        <f t="shared" si="2"/>
        <v>#DIV/0!</v>
      </c>
      <c r="J13" s="120" t="e">
        <f t="shared" si="1"/>
        <v>#DIV/0!</v>
      </c>
      <c r="M13" s="189"/>
      <c r="N13" s="189"/>
    </row>
    <row r="14" spans="1:15" ht="18.75">
      <c r="A14" s="97">
        <f>Gen!A15</f>
        <v>43866</v>
      </c>
      <c r="B14" s="355"/>
      <c r="C14" s="355"/>
      <c r="D14" s="355"/>
      <c r="E14" s="355"/>
      <c r="F14" s="355"/>
      <c r="G14" s="355">
        <f t="shared" si="0"/>
        <v>0</v>
      </c>
      <c r="H14" s="115">
        <f>Gen!B15</f>
        <v>0</v>
      </c>
      <c r="I14" s="6" t="e">
        <f t="shared" si="2"/>
        <v>#DIV/0!</v>
      </c>
      <c r="J14" s="120" t="e">
        <f t="shared" si="1"/>
        <v>#DIV/0!</v>
      </c>
      <c r="M14" s="189"/>
      <c r="N14" s="189"/>
    </row>
    <row r="15" spans="1:15" ht="18.75">
      <c r="A15" s="97">
        <f>Gen!A16</f>
        <v>43867</v>
      </c>
      <c r="B15" s="355"/>
      <c r="C15" s="355"/>
      <c r="D15" s="355"/>
      <c r="E15" s="355"/>
      <c r="F15" s="355"/>
      <c r="G15" s="355">
        <f t="shared" si="0"/>
        <v>0</v>
      </c>
      <c r="H15" s="115">
        <f>Gen!B16</f>
        <v>0</v>
      </c>
      <c r="I15" s="6" t="e">
        <f t="shared" si="2"/>
        <v>#DIV/0!</v>
      </c>
      <c r="J15" s="120" t="e">
        <f t="shared" si="1"/>
        <v>#DIV/0!</v>
      </c>
      <c r="M15" s="189"/>
      <c r="N15" s="189"/>
    </row>
    <row r="16" spans="1:15" ht="18.75">
      <c r="A16" s="97">
        <f>Gen!A17</f>
        <v>43868</v>
      </c>
      <c r="B16" s="355"/>
      <c r="C16" s="355"/>
      <c r="D16" s="355"/>
      <c r="E16" s="355"/>
      <c r="F16" s="355"/>
      <c r="G16" s="355">
        <f t="shared" si="0"/>
        <v>0</v>
      </c>
      <c r="H16" s="115">
        <f>Gen!B17</f>
        <v>0</v>
      </c>
      <c r="I16" s="6" t="e">
        <f t="shared" si="2"/>
        <v>#DIV/0!</v>
      </c>
      <c r="J16" s="120" t="e">
        <f t="shared" si="1"/>
        <v>#DIV/0!</v>
      </c>
      <c r="M16" s="189"/>
      <c r="N16" s="189"/>
    </row>
    <row r="17" spans="1:14" ht="18.75">
      <c r="A17" s="97">
        <f>Gen!A18</f>
        <v>43869</v>
      </c>
      <c r="B17" s="355"/>
      <c r="C17" s="355"/>
      <c r="D17" s="355"/>
      <c r="E17" s="355"/>
      <c r="F17" s="355"/>
      <c r="G17" s="355">
        <f t="shared" si="0"/>
        <v>0</v>
      </c>
      <c r="H17" s="115">
        <f>Gen!B18</f>
        <v>0</v>
      </c>
      <c r="I17" s="6" t="e">
        <f t="shared" si="2"/>
        <v>#DIV/0!</v>
      </c>
      <c r="J17" s="120" t="e">
        <f t="shared" si="1"/>
        <v>#DIV/0!</v>
      </c>
      <c r="M17" s="189"/>
      <c r="N17" s="189"/>
    </row>
    <row r="18" spans="1:14" ht="18.75">
      <c r="A18" s="97">
        <f>Gen!A19</f>
        <v>43870</v>
      </c>
      <c r="B18" s="355"/>
      <c r="C18" s="355"/>
      <c r="D18" s="355"/>
      <c r="E18" s="355"/>
      <c r="F18" s="355"/>
      <c r="G18" s="355">
        <f t="shared" si="0"/>
        <v>0</v>
      </c>
      <c r="H18" s="115">
        <f>Gen!B19</f>
        <v>0</v>
      </c>
      <c r="I18" s="6" t="e">
        <f t="shared" si="2"/>
        <v>#DIV/0!</v>
      </c>
      <c r="J18" s="120" t="e">
        <f t="shared" si="1"/>
        <v>#DIV/0!</v>
      </c>
      <c r="M18" s="189"/>
      <c r="N18" s="189"/>
    </row>
    <row r="19" spans="1:14" ht="18.75">
      <c r="A19" s="97">
        <f>Gen!A20</f>
        <v>43871</v>
      </c>
      <c r="B19" s="355"/>
      <c r="C19" s="355"/>
      <c r="D19" s="355"/>
      <c r="E19" s="355"/>
      <c r="F19" s="355"/>
      <c r="G19" s="355">
        <f t="shared" si="0"/>
        <v>0</v>
      </c>
      <c r="H19" s="115">
        <f>Gen!B20</f>
        <v>0</v>
      </c>
      <c r="I19" s="6" t="e">
        <f t="shared" si="2"/>
        <v>#DIV/0!</v>
      </c>
      <c r="J19" s="120" t="e">
        <f t="shared" si="1"/>
        <v>#DIV/0!</v>
      </c>
      <c r="M19" s="189"/>
      <c r="N19" s="189"/>
    </row>
    <row r="20" spans="1:14" ht="18.75">
      <c r="A20" s="97">
        <f>Gen!A21</f>
        <v>43872</v>
      </c>
      <c r="B20" s="355"/>
      <c r="C20" s="355"/>
      <c r="D20" s="355"/>
      <c r="E20" s="355"/>
      <c r="F20" s="355"/>
      <c r="G20" s="355">
        <f t="shared" si="0"/>
        <v>0</v>
      </c>
      <c r="H20" s="115">
        <f>Gen!B21</f>
        <v>0</v>
      </c>
      <c r="I20" s="6" t="e">
        <f t="shared" si="2"/>
        <v>#DIV/0!</v>
      </c>
      <c r="J20" s="120" t="e">
        <f t="shared" si="1"/>
        <v>#DIV/0!</v>
      </c>
    </row>
    <row r="21" spans="1:14" ht="18.75">
      <c r="A21" s="97">
        <f>Gen!A22</f>
        <v>43873</v>
      </c>
      <c r="B21" s="355"/>
      <c r="C21" s="355"/>
      <c r="D21" s="355"/>
      <c r="E21" s="355"/>
      <c r="F21" s="355"/>
      <c r="G21" s="355">
        <f t="shared" si="0"/>
        <v>0</v>
      </c>
      <c r="H21" s="115">
        <f>Gen!B22</f>
        <v>0</v>
      </c>
      <c r="I21" s="6" t="e">
        <f t="shared" si="2"/>
        <v>#DIV/0!</v>
      </c>
      <c r="J21" s="120" t="e">
        <f t="shared" si="1"/>
        <v>#DIV/0!</v>
      </c>
    </row>
    <row r="22" spans="1:14" ht="18.75">
      <c r="A22" s="97">
        <f>Gen!A23</f>
        <v>43874</v>
      </c>
      <c r="B22" s="355"/>
      <c r="C22" s="355"/>
      <c r="D22" s="355"/>
      <c r="E22" s="355"/>
      <c r="F22" s="355"/>
      <c r="G22" s="355">
        <f t="shared" si="0"/>
        <v>0</v>
      </c>
      <c r="H22" s="115">
        <f>Gen!B23</f>
        <v>0</v>
      </c>
      <c r="I22" s="6" t="e">
        <f t="shared" si="2"/>
        <v>#DIV/0!</v>
      </c>
      <c r="J22" s="120" t="e">
        <f t="shared" si="1"/>
        <v>#DIV/0!</v>
      </c>
    </row>
    <row r="23" spans="1:14" ht="18.75">
      <c r="A23" s="97">
        <f>Gen!A24</f>
        <v>43875</v>
      </c>
      <c r="B23" s="355"/>
      <c r="C23" s="355"/>
      <c r="D23" s="355"/>
      <c r="E23" s="355"/>
      <c r="F23" s="355"/>
      <c r="G23" s="355">
        <f t="shared" si="0"/>
        <v>0</v>
      </c>
      <c r="H23" s="115">
        <f>Gen!B24</f>
        <v>0</v>
      </c>
      <c r="I23" s="6" t="e">
        <f t="shared" si="2"/>
        <v>#DIV/0!</v>
      </c>
      <c r="J23" s="120" t="e">
        <f t="shared" si="1"/>
        <v>#DIV/0!</v>
      </c>
    </row>
    <row r="24" spans="1:14" ht="18.75">
      <c r="A24" s="97">
        <f>Gen!A25</f>
        <v>43876</v>
      </c>
      <c r="B24" s="355"/>
      <c r="C24" s="355"/>
      <c r="D24" s="355"/>
      <c r="E24" s="355"/>
      <c r="F24" s="355"/>
      <c r="G24" s="355">
        <f t="shared" si="0"/>
        <v>0</v>
      </c>
      <c r="H24" s="115">
        <f>Gen!B25</f>
        <v>0</v>
      </c>
      <c r="I24" s="6" t="e">
        <f t="shared" si="2"/>
        <v>#DIV/0!</v>
      </c>
      <c r="J24" s="120" t="e">
        <f t="shared" si="1"/>
        <v>#DIV/0!</v>
      </c>
    </row>
    <row r="25" spans="1:14" ht="18.75">
      <c r="A25" s="97">
        <f>Gen!A26</f>
        <v>43877</v>
      </c>
      <c r="B25" s="355"/>
      <c r="C25" s="355"/>
      <c r="D25" s="355"/>
      <c r="E25" s="355"/>
      <c r="F25" s="355"/>
      <c r="G25" s="355">
        <f t="shared" si="0"/>
        <v>0</v>
      </c>
      <c r="H25" s="115">
        <f>Gen!B26</f>
        <v>0</v>
      </c>
      <c r="I25" s="6" t="e">
        <f t="shared" si="2"/>
        <v>#DIV/0!</v>
      </c>
      <c r="J25" s="120" t="e">
        <f t="shared" si="1"/>
        <v>#DIV/0!</v>
      </c>
    </row>
    <row r="26" spans="1:14" ht="18.75">
      <c r="A26" s="97">
        <f>Gen!A27</f>
        <v>43878</v>
      </c>
      <c r="B26" s="355"/>
      <c r="C26" s="355"/>
      <c r="D26" s="355"/>
      <c r="E26" s="355"/>
      <c r="F26" s="355"/>
      <c r="G26" s="355">
        <f t="shared" si="0"/>
        <v>0</v>
      </c>
      <c r="H26" s="115">
        <f>Gen!B27</f>
        <v>0</v>
      </c>
      <c r="I26" s="6" t="e">
        <f t="shared" si="2"/>
        <v>#DIV/0!</v>
      </c>
      <c r="J26" s="120" t="e">
        <f t="shared" si="1"/>
        <v>#DIV/0!</v>
      </c>
    </row>
    <row r="27" spans="1:14" ht="18.75">
      <c r="A27" s="97">
        <f>Gen!A28</f>
        <v>43879</v>
      </c>
      <c r="B27" s="355"/>
      <c r="C27" s="355"/>
      <c r="D27" s="355"/>
      <c r="E27" s="355"/>
      <c r="F27" s="355"/>
      <c r="G27" s="355">
        <f t="shared" si="0"/>
        <v>0</v>
      </c>
      <c r="H27" s="115">
        <f>Gen!B28</f>
        <v>0</v>
      </c>
      <c r="I27" s="6" t="e">
        <f t="shared" si="2"/>
        <v>#DIV/0!</v>
      </c>
      <c r="J27" s="120" t="e">
        <f t="shared" si="1"/>
        <v>#DIV/0!</v>
      </c>
    </row>
    <row r="28" spans="1:14" ht="18.75">
      <c r="A28" s="97">
        <f>Gen!A29</f>
        <v>43880</v>
      </c>
      <c r="B28" s="355"/>
      <c r="C28" s="355"/>
      <c r="D28" s="355"/>
      <c r="E28" s="355"/>
      <c r="F28" s="355"/>
      <c r="G28" s="355">
        <f t="shared" si="0"/>
        <v>0</v>
      </c>
      <c r="H28" s="115">
        <f>Gen!B29</f>
        <v>0</v>
      </c>
      <c r="I28" s="6" t="e">
        <f t="shared" si="2"/>
        <v>#DIV/0!</v>
      </c>
      <c r="J28" s="120" t="e">
        <f t="shared" si="1"/>
        <v>#DIV/0!</v>
      </c>
    </row>
    <row r="29" spans="1:14" ht="18.75">
      <c r="A29" s="97">
        <f>Gen!A30</f>
        <v>43881</v>
      </c>
      <c r="B29" s="355"/>
      <c r="C29" s="355"/>
      <c r="D29" s="355"/>
      <c r="E29" s="355"/>
      <c r="F29" s="355"/>
      <c r="G29" s="355">
        <f t="shared" si="0"/>
        <v>0</v>
      </c>
      <c r="H29" s="115">
        <f>Gen!B30</f>
        <v>0</v>
      </c>
      <c r="I29" s="6" t="e">
        <f t="shared" ref="I29:I41" si="3">SUM(F29/H29)</f>
        <v>#DIV/0!</v>
      </c>
      <c r="J29" s="120" t="e">
        <f t="shared" si="1"/>
        <v>#DIV/0!</v>
      </c>
    </row>
    <row r="30" spans="1:14" ht="18.75">
      <c r="A30" s="97">
        <f>Gen!A31</f>
        <v>43882</v>
      </c>
      <c r="B30" s="355"/>
      <c r="C30" s="355"/>
      <c r="D30" s="355"/>
      <c r="E30" s="355"/>
      <c r="F30" s="355"/>
      <c r="G30" s="355">
        <f t="shared" si="0"/>
        <v>0</v>
      </c>
      <c r="H30" s="115">
        <f>Gen!B31</f>
        <v>0</v>
      </c>
      <c r="I30" s="6" t="e">
        <f t="shared" si="3"/>
        <v>#DIV/0!</v>
      </c>
      <c r="J30" s="120" t="e">
        <f t="shared" si="1"/>
        <v>#DIV/0!</v>
      </c>
    </row>
    <row r="31" spans="1:14" ht="18.75">
      <c r="A31" s="97">
        <f>Gen!A32</f>
        <v>43883</v>
      </c>
      <c r="B31" s="355"/>
      <c r="C31" s="355"/>
      <c r="D31" s="355"/>
      <c r="E31" s="355"/>
      <c r="F31" s="355"/>
      <c r="G31" s="355">
        <f t="shared" si="0"/>
        <v>0</v>
      </c>
      <c r="H31" s="115">
        <f>Gen!B32</f>
        <v>0</v>
      </c>
      <c r="I31" s="6" t="e">
        <f t="shared" si="3"/>
        <v>#DIV/0!</v>
      </c>
      <c r="J31" s="120" t="e">
        <f t="shared" si="1"/>
        <v>#DIV/0!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0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6" t="s">
        <v>6</v>
      </c>
      <c r="D42" s="816"/>
      <c r="E42" s="2">
        <f t="shared" ref="E42:F42" si="4">SUM(E10:E40)</f>
        <v>0</v>
      </c>
      <c r="F42" s="2">
        <f t="shared" si="4"/>
        <v>209426.83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S1" activePane="topRight" state="frozen"/>
      <selection pane="topRight" activeCell="AL9" sqref="AL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29" t="s">
        <v>317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  <c r="P1" s="830"/>
      <c r="Q1" s="830"/>
      <c r="R1" s="830"/>
      <c r="S1" s="830"/>
      <c r="T1" s="830"/>
      <c r="U1" s="830"/>
      <c r="V1" s="830"/>
      <c r="W1" s="830"/>
      <c r="X1" s="830"/>
      <c r="Y1" s="830"/>
      <c r="Z1" s="830"/>
      <c r="AA1" s="830"/>
      <c r="AB1" s="830"/>
      <c r="AC1" s="830"/>
      <c r="AD1" s="830"/>
      <c r="AE1" s="830"/>
      <c r="AF1" s="830"/>
      <c r="AG1" s="830"/>
      <c r="AH1" s="830"/>
      <c r="AI1" s="830"/>
      <c r="AJ1" s="830"/>
      <c r="AK1" s="830"/>
      <c r="AL1" s="830"/>
      <c r="AM1" s="830"/>
      <c r="AN1" s="830"/>
    </row>
    <row r="2" spans="1:40" ht="13.5" customHeight="1" thickTop="1">
      <c r="A2" s="30"/>
      <c r="B2" s="30"/>
      <c r="C2" s="826" t="s">
        <v>53</v>
      </c>
      <c r="D2" s="826"/>
      <c r="E2" s="826"/>
      <c r="F2" s="826" t="s">
        <v>17</v>
      </c>
      <c r="G2" s="826"/>
      <c r="H2" s="826"/>
      <c r="I2" s="826" t="s">
        <v>132</v>
      </c>
      <c r="J2" s="826"/>
      <c r="K2" s="826"/>
      <c r="L2" s="826" t="s">
        <v>135</v>
      </c>
      <c r="M2" s="826"/>
      <c r="N2" s="826"/>
      <c r="O2" s="826" t="s">
        <v>133</v>
      </c>
      <c r="P2" s="826"/>
      <c r="Q2" s="826"/>
      <c r="R2" s="335"/>
      <c r="S2" s="837" t="s">
        <v>183</v>
      </c>
      <c r="T2" s="838"/>
      <c r="U2" s="839"/>
      <c r="V2" s="837" t="s">
        <v>184</v>
      </c>
      <c r="W2" s="838"/>
      <c r="X2" s="839"/>
      <c r="Y2" s="837" t="s">
        <v>185</v>
      </c>
      <c r="Z2" s="838"/>
      <c r="AA2" s="839"/>
      <c r="AB2" s="837" t="s">
        <v>186</v>
      </c>
      <c r="AC2" s="838"/>
      <c r="AD2" s="839"/>
      <c r="AE2" s="831" t="s">
        <v>241</v>
      </c>
      <c r="AF2" s="832"/>
      <c r="AG2" s="843"/>
      <c r="AH2" s="831" t="s">
        <v>245</v>
      </c>
      <c r="AI2" s="832"/>
      <c r="AJ2" s="843"/>
      <c r="AK2" s="831" t="s">
        <v>242</v>
      </c>
      <c r="AL2" s="832"/>
      <c r="AM2" s="832"/>
      <c r="AN2" s="835" t="s">
        <v>191</v>
      </c>
    </row>
    <row r="3" spans="1:40" ht="21.75" customHeight="1" thickBot="1">
      <c r="A3" s="827" t="s">
        <v>7</v>
      </c>
      <c r="B3" s="30"/>
      <c r="C3" s="826" t="s">
        <v>134</v>
      </c>
      <c r="D3" s="826" t="s">
        <v>15</v>
      </c>
      <c r="E3" s="826" t="s">
        <v>16</v>
      </c>
      <c r="F3" s="826" t="s">
        <v>134</v>
      </c>
      <c r="G3" s="826" t="s">
        <v>15</v>
      </c>
      <c r="H3" s="826" t="s">
        <v>16</v>
      </c>
      <c r="I3" s="826" t="s">
        <v>134</v>
      </c>
      <c r="J3" s="826" t="s">
        <v>15</v>
      </c>
      <c r="K3" s="826" t="s">
        <v>16</v>
      </c>
      <c r="L3" s="826" t="s">
        <v>134</v>
      </c>
      <c r="M3" s="826" t="s">
        <v>15</v>
      </c>
      <c r="N3" s="826" t="s">
        <v>16</v>
      </c>
      <c r="O3" s="826" t="s">
        <v>134</v>
      </c>
      <c r="P3" s="826" t="s">
        <v>15</v>
      </c>
      <c r="Q3" s="826" t="s">
        <v>16</v>
      </c>
      <c r="R3" s="845" t="s">
        <v>187</v>
      </c>
      <c r="S3" s="840"/>
      <c r="T3" s="841"/>
      <c r="U3" s="842"/>
      <c r="V3" s="840"/>
      <c r="W3" s="841"/>
      <c r="X3" s="842"/>
      <c r="Y3" s="840"/>
      <c r="Z3" s="841"/>
      <c r="AA3" s="842"/>
      <c r="AB3" s="840"/>
      <c r="AC3" s="841"/>
      <c r="AD3" s="842"/>
      <c r="AE3" s="833"/>
      <c r="AF3" s="834"/>
      <c r="AG3" s="844"/>
      <c r="AH3" s="833"/>
      <c r="AI3" s="834"/>
      <c r="AJ3" s="844"/>
      <c r="AK3" s="833"/>
      <c r="AL3" s="834"/>
      <c r="AM3" s="834"/>
      <c r="AN3" s="836"/>
    </row>
    <row r="4" spans="1:40" ht="15.75" thickTop="1">
      <c r="A4" s="828"/>
      <c r="B4" s="327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45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3">
        <v>12539</v>
      </c>
      <c r="AD5" s="343"/>
      <c r="AE5" s="328" t="str">
        <f t="shared" ref="AE5:AE37" si="13">AF4</f>
        <v>FINAL</v>
      </c>
      <c r="AF5" s="754">
        <v>15965</v>
      </c>
      <c r="AG5" s="343"/>
      <c r="AH5" s="328" t="str">
        <f t="shared" ref="AH5:AH37" si="14">AI4</f>
        <v>FINAL</v>
      </c>
      <c r="AI5" s="754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/>
      <c r="N6" s="646" t="str">
        <f t="shared" si="7"/>
        <v>0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0</v>
      </c>
      <c r="M7" s="1"/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/>
      <c r="E8" s="59" t="str">
        <f t="shared" si="1"/>
        <v>0</v>
      </c>
      <c r="F8" s="98">
        <f t="shared" si="2"/>
        <v>38000</v>
      </c>
      <c r="G8" s="522"/>
      <c r="H8" s="646" t="str">
        <f t="shared" si="3"/>
        <v>0</v>
      </c>
      <c r="I8" s="98">
        <f t="shared" si="4"/>
        <v>7717</v>
      </c>
      <c r="J8" s="1"/>
      <c r="K8" s="646" t="str">
        <f t="shared" si="5"/>
        <v>0</v>
      </c>
      <c r="L8" s="98">
        <f t="shared" si="6"/>
        <v>0</v>
      </c>
      <c r="M8" s="1"/>
      <c r="N8" s="646">
        <f t="shared" si="7"/>
        <v>0</v>
      </c>
      <c r="O8" s="98">
        <f t="shared" si="8"/>
        <v>19654</v>
      </c>
      <c r="P8" s="516"/>
      <c r="Q8" s="646" t="str">
        <f t="shared" si="9"/>
        <v>0</v>
      </c>
      <c r="R8" s="333"/>
      <c r="S8" s="328">
        <f t="shared" si="16"/>
        <v>48604</v>
      </c>
      <c r="T8" s="517"/>
      <c r="U8" s="647" t="str">
        <f t="shared" si="17"/>
        <v>0</v>
      </c>
      <c r="V8" s="328">
        <f t="shared" si="10"/>
        <v>69124</v>
      </c>
      <c r="W8" s="517"/>
      <c r="X8" s="647" t="str">
        <f t="shared" si="18"/>
        <v>0</v>
      </c>
      <c r="Y8" s="328">
        <f t="shared" si="11"/>
        <v>78236</v>
      </c>
      <c r="Z8" s="517"/>
      <c r="AA8" s="647" t="str">
        <f t="shared" si="19"/>
        <v>0</v>
      </c>
      <c r="AB8" s="328">
        <f t="shared" si="12"/>
        <v>12570</v>
      </c>
      <c r="AC8" s="650"/>
      <c r="AD8" s="647" t="str">
        <f t="shared" si="20"/>
        <v>0</v>
      </c>
      <c r="AE8" s="328">
        <f t="shared" si="13"/>
        <v>16014</v>
      </c>
      <c r="AF8" s="518"/>
      <c r="AG8" s="647" t="str">
        <f t="shared" si="21"/>
        <v>0</v>
      </c>
      <c r="AH8" s="328">
        <f t="shared" si="14"/>
        <v>24347</v>
      </c>
      <c r="AI8" s="518"/>
      <c r="AJ8" s="647" t="str">
        <f t="shared" si="22"/>
        <v>0</v>
      </c>
      <c r="AK8" s="421">
        <f t="shared" si="15"/>
        <v>15154</v>
      </c>
      <c r="AL8" s="517"/>
      <c r="AM8" s="647" t="str">
        <f t="shared" si="23"/>
        <v>0</v>
      </c>
      <c r="AN8" s="524">
        <f t="shared" si="24"/>
        <v>0</v>
      </c>
    </row>
    <row r="9" spans="1:40" ht="23.1" customHeight="1">
      <c r="A9" s="58">
        <f>Gen!A14</f>
        <v>43865</v>
      </c>
      <c r="B9" s="4"/>
      <c r="C9" s="98">
        <f t="shared" si="0"/>
        <v>0</v>
      </c>
      <c r="D9" s="1"/>
      <c r="E9" s="59">
        <f t="shared" si="1"/>
        <v>0</v>
      </c>
      <c r="F9" s="98">
        <f t="shared" si="2"/>
        <v>0</v>
      </c>
      <c r="G9" s="522"/>
      <c r="H9" s="646">
        <f t="shared" si="3"/>
        <v>0</v>
      </c>
      <c r="I9" s="98">
        <f t="shared" si="4"/>
        <v>0</v>
      </c>
      <c r="J9" s="1"/>
      <c r="K9" s="646">
        <f t="shared" si="5"/>
        <v>0</v>
      </c>
      <c r="L9" s="98">
        <f t="shared" si="6"/>
        <v>0</v>
      </c>
      <c r="M9" s="1"/>
      <c r="N9" s="646">
        <f t="shared" si="7"/>
        <v>0</v>
      </c>
      <c r="O9" s="98">
        <f t="shared" si="8"/>
        <v>0</v>
      </c>
      <c r="P9" s="516"/>
      <c r="Q9" s="646">
        <f t="shared" si="9"/>
        <v>0</v>
      </c>
      <c r="R9" s="333"/>
      <c r="S9" s="328">
        <f t="shared" si="16"/>
        <v>0</v>
      </c>
      <c r="T9" s="517"/>
      <c r="U9" s="647">
        <f t="shared" si="17"/>
        <v>0</v>
      </c>
      <c r="V9" s="328">
        <f t="shared" si="10"/>
        <v>0</v>
      </c>
      <c r="W9" s="517"/>
      <c r="X9" s="647">
        <f t="shared" si="18"/>
        <v>0</v>
      </c>
      <c r="Y9" s="328">
        <f t="shared" si="11"/>
        <v>0</v>
      </c>
      <c r="Z9" s="517"/>
      <c r="AA9" s="647">
        <f t="shared" si="19"/>
        <v>0</v>
      </c>
      <c r="AB9" s="328">
        <f t="shared" si="12"/>
        <v>0</v>
      </c>
      <c r="AC9" s="650"/>
      <c r="AD9" s="647">
        <f t="shared" si="20"/>
        <v>0</v>
      </c>
      <c r="AE9" s="328">
        <f t="shared" si="13"/>
        <v>0</v>
      </c>
      <c r="AF9" s="518"/>
      <c r="AG9" s="647">
        <f t="shared" si="21"/>
        <v>0</v>
      </c>
      <c r="AH9" s="328">
        <f t="shared" si="14"/>
        <v>0</v>
      </c>
      <c r="AI9" s="518"/>
      <c r="AJ9" s="647">
        <f t="shared" si="22"/>
        <v>0</v>
      </c>
      <c r="AK9" s="421">
        <f t="shared" si="15"/>
        <v>0</v>
      </c>
      <c r="AL9" s="517"/>
      <c r="AM9" s="647">
        <f t="shared" si="23"/>
        <v>0</v>
      </c>
      <c r="AN9" s="524">
        <f t="shared" si="24"/>
        <v>0</v>
      </c>
    </row>
    <row r="10" spans="1:40" ht="23.1" customHeight="1">
      <c r="A10" s="58">
        <f>Gen!A15</f>
        <v>43866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522"/>
      <c r="H10" s="646">
        <f t="shared" si="3"/>
        <v>0</v>
      </c>
      <c r="I10" s="98">
        <f t="shared" si="4"/>
        <v>0</v>
      </c>
      <c r="J10" s="1"/>
      <c r="K10" s="646">
        <f t="shared" si="5"/>
        <v>0</v>
      </c>
      <c r="L10" s="98">
        <f t="shared" si="6"/>
        <v>0</v>
      </c>
      <c r="M10" s="1"/>
      <c r="N10" s="646">
        <f t="shared" si="7"/>
        <v>0</v>
      </c>
      <c r="O10" s="98">
        <f t="shared" si="8"/>
        <v>0</v>
      </c>
      <c r="P10" s="516"/>
      <c r="Q10" s="646">
        <f t="shared" si="9"/>
        <v>0</v>
      </c>
      <c r="R10" s="333"/>
      <c r="S10" s="328">
        <f t="shared" si="16"/>
        <v>0</v>
      </c>
      <c r="T10" s="517"/>
      <c r="U10" s="647">
        <f t="shared" si="17"/>
        <v>0</v>
      </c>
      <c r="V10" s="328">
        <f t="shared" si="10"/>
        <v>0</v>
      </c>
      <c r="W10" s="517"/>
      <c r="X10" s="647">
        <f t="shared" si="18"/>
        <v>0</v>
      </c>
      <c r="Y10" s="328">
        <f t="shared" si="11"/>
        <v>0</v>
      </c>
      <c r="Z10" s="517"/>
      <c r="AA10" s="647">
        <f t="shared" si="19"/>
        <v>0</v>
      </c>
      <c r="AB10" s="328">
        <f t="shared" si="12"/>
        <v>0</v>
      </c>
      <c r="AC10" s="651"/>
      <c r="AD10" s="647">
        <f t="shared" si="20"/>
        <v>0</v>
      </c>
      <c r="AE10" s="328">
        <f t="shared" si="13"/>
        <v>0</v>
      </c>
      <c r="AF10" s="518"/>
      <c r="AG10" s="647">
        <f t="shared" si="21"/>
        <v>0</v>
      </c>
      <c r="AH10" s="328">
        <f t="shared" si="14"/>
        <v>0</v>
      </c>
      <c r="AI10" s="518"/>
      <c r="AJ10" s="647">
        <f t="shared" si="22"/>
        <v>0</v>
      </c>
      <c r="AK10" s="421">
        <f t="shared" si="15"/>
        <v>0</v>
      </c>
      <c r="AL10" s="517"/>
      <c r="AM10" s="647">
        <f t="shared" si="23"/>
        <v>0</v>
      </c>
      <c r="AN10" s="524">
        <f t="shared" si="24"/>
        <v>0</v>
      </c>
    </row>
    <row r="11" spans="1:40" ht="23.1" customHeight="1">
      <c r="A11" s="58">
        <f>Gen!A16</f>
        <v>43867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522"/>
      <c r="H11" s="646">
        <f t="shared" si="3"/>
        <v>0</v>
      </c>
      <c r="I11" s="98">
        <f t="shared" si="4"/>
        <v>0</v>
      </c>
      <c r="J11" s="1"/>
      <c r="K11" s="646">
        <f t="shared" si="5"/>
        <v>0</v>
      </c>
      <c r="L11" s="98">
        <f t="shared" si="6"/>
        <v>0</v>
      </c>
      <c r="M11" s="1"/>
      <c r="N11" s="646">
        <f t="shared" si="7"/>
        <v>0</v>
      </c>
      <c r="O11" s="98">
        <f t="shared" si="8"/>
        <v>0</v>
      </c>
      <c r="P11" s="516"/>
      <c r="Q11" s="646">
        <f t="shared" si="9"/>
        <v>0</v>
      </c>
      <c r="R11" s="333"/>
      <c r="S11" s="328">
        <f t="shared" si="16"/>
        <v>0</v>
      </c>
      <c r="T11" s="517"/>
      <c r="U11" s="647">
        <f t="shared" si="17"/>
        <v>0</v>
      </c>
      <c r="V11" s="328">
        <f t="shared" si="10"/>
        <v>0</v>
      </c>
      <c r="W11" s="517"/>
      <c r="X11" s="647">
        <f t="shared" si="18"/>
        <v>0</v>
      </c>
      <c r="Y11" s="328">
        <f t="shared" si="11"/>
        <v>0</v>
      </c>
      <c r="Z11" s="517"/>
      <c r="AA11" s="647">
        <f t="shared" si="19"/>
        <v>0</v>
      </c>
      <c r="AB11" s="328">
        <f t="shared" si="12"/>
        <v>0</v>
      </c>
      <c r="AC11" s="651"/>
      <c r="AD11" s="647">
        <f t="shared" si="20"/>
        <v>0</v>
      </c>
      <c r="AE11" s="328">
        <f t="shared" si="13"/>
        <v>0</v>
      </c>
      <c r="AF11" s="518"/>
      <c r="AG11" s="647">
        <f t="shared" si="21"/>
        <v>0</v>
      </c>
      <c r="AH11" s="328">
        <f t="shared" si="14"/>
        <v>0</v>
      </c>
      <c r="AI11" s="518"/>
      <c r="AJ11" s="647">
        <f t="shared" si="22"/>
        <v>0</v>
      </c>
      <c r="AK11" s="421">
        <f t="shared" si="15"/>
        <v>0</v>
      </c>
      <c r="AL11" s="517"/>
      <c r="AM11" s="647">
        <f t="shared" si="23"/>
        <v>0</v>
      </c>
      <c r="AN11" s="524">
        <f t="shared" si="24"/>
        <v>0</v>
      </c>
    </row>
    <row r="12" spans="1:40" ht="23.1" customHeight="1">
      <c r="A12" s="58">
        <f>Gen!A17</f>
        <v>43868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522"/>
      <c r="H12" s="646">
        <f t="shared" si="3"/>
        <v>0</v>
      </c>
      <c r="I12" s="98">
        <f t="shared" si="4"/>
        <v>0</v>
      </c>
      <c r="J12" s="1"/>
      <c r="K12" s="646">
        <f t="shared" si="5"/>
        <v>0</v>
      </c>
      <c r="L12" s="98">
        <f t="shared" si="6"/>
        <v>0</v>
      </c>
      <c r="M12" s="1"/>
      <c r="N12" s="646">
        <f t="shared" si="7"/>
        <v>0</v>
      </c>
      <c r="O12" s="98">
        <f t="shared" si="8"/>
        <v>0</v>
      </c>
      <c r="P12" s="516"/>
      <c r="Q12" s="646">
        <f t="shared" si="9"/>
        <v>0</v>
      </c>
      <c r="R12" s="333"/>
      <c r="S12" s="328">
        <f t="shared" si="16"/>
        <v>0</v>
      </c>
      <c r="T12" s="517"/>
      <c r="U12" s="647">
        <f t="shared" si="17"/>
        <v>0</v>
      </c>
      <c r="V12" s="328">
        <f t="shared" si="10"/>
        <v>0</v>
      </c>
      <c r="W12" s="517"/>
      <c r="X12" s="647">
        <f t="shared" si="18"/>
        <v>0</v>
      </c>
      <c r="Y12" s="328">
        <f t="shared" si="11"/>
        <v>0</v>
      </c>
      <c r="Z12" s="517"/>
      <c r="AA12" s="647">
        <f t="shared" si="19"/>
        <v>0</v>
      </c>
      <c r="AB12" s="328">
        <f t="shared" si="12"/>
        <v>0</v>
      </c>
      <c r="AC12" s="651"/>
      <c r="AD12" s="647">
        <f t="shared" si="20"/>
        <v>0</v>
      </c>
      <c r="AE12" s="328">
        <f t="shared" si="13"/>
        <v>0</v>
      </c>
      <c r="AF12" s="518"/>
      <c r="AG12" s="647">
        <f t="shared" si="21"/>
        <v>0</v>
      </c>
      <c r="AH12" s="328">
        <f t="shared" si="14"/>
        <v>0</v>
      </c>
      <c r="AI12" s="518"/>
      <c r="AJ12" s="647">
        <f t="shared" si="22"/>
        <v>0</v>
      </c>
      <c r="AK12" s="421">
        <f t="shared" si="15"/>
        <v>0</v>
      </c>
      <c r="AL12" s="517"/>
      <c r="AM12" s="647">
        <f t="shared" si="23"/>
        <v>0</v>
      </c>
      <c r="AN12" s="524">
        <f t="shared" si="24"/>
        <v>0</v>
      </c>
    </row>
    <row r="13" spans="1:40" ht="23.1" customHeight="1">
      <c r="A13" s="58">
        <f>Gen!A18</f>
        <v>43869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522"/>
      <c r="H13" s="646">
        <f t="shared" si="3"/>
        <v>0</v>
      </c>
      <c r="I13" s="98">
        <f t="shared" si="4"/>
        <v>0</v>
      </c>
      <c r="J13" s="1"/>
      <c r="K13" s="646">
        <f t="shared" si="5"/>
        <v>0</v>
      </c>
      <c r="L13" s="98">
        <f t="shared" si="6"/>
        <v>0</v>
      </c>
      <c r="M13" s="1"/>
      <c r="N13" s="646">
        <f t="shared" si="7"/>
        <v>0</v>
      </c>
      <c r="O13" s="98">
        <f t="shared" si="8"/>
        <v>0</v>
      </c>
      <c r="P13" s="516"/>
      <c r="Q13" s="646">
        <f t="shared" si="9"/>
        <v>0</v>
      </c>
      <c r="R13" s="333"/>
      <c r="S13" s="328">
        <f t="shared" si="16"/>
        <v>0</v>
      </c>
      <c r="T13" s="517"/>
      <c r="U13" s="647">
        <f t="shared" si="17"/>
        <v>0</v>
      </c>
      <c r="V13" s="328">
        <f t="shared" si="10"/>
        <v>0</v>
      </c>
      <c r="W13" s="517"/>
      <c r="X13" s="647">
        <f t="shared" si="18"/>
        <v>0</v>
      </c>
      <c r="Y13" s="328">
        <f t="shared" si="11"/>
        <v>0</v>
      </c>
      <c r="Z13" s="517"/>
      <c r="AA13" s="647">
        <f t="shared" si="19"/>
        <v>0</v>
      </c>
      <c r="AB13" s="328">
        <f t="shared" si="12"/>
        <v>0</v>
      </c>
      <c r="AC13" s="651"/>
      <c r="AD13" s="647">
        <f t="shared" si="20"/>
        <v>0</v>
      </c>
      <c r="AE13" s="328">
        <f>AF12</f>
        <v>0</v>
      </c>
      <c r="AF13" s="518"/>
      <c r="AG13" s="647">
        <f t="shared" si="21"/>
        <v>0</v>
      </c>
      <c r="AH13" s="328">
        <f t="shared" si="14"/>
        <v>0</v>
      </c>
      <c r="AI13" s="518"/>
      <c r="AJ13" s="647">
        <f t="shared" si="22"/>
        <v>0</v>
      </c>
      <c r="AK13" s="421">
        <f t="shared" si="15"/>
        <v>0</v>
      </c>
      <c r="AL13" s="517"/>
      <c r="AM13" s="647">
        <f t="shared" si="23"/>
        <v>0</v>
      </c>
      <c r="AN13" s="524">
        <f t="shared" si="24"/>
        <v>0</v>
      </c>
    </row>
    <row r="14" spans="1:40" ht="23.1" customHeight="1">
      <c r="A14" s="58">
        <f>Gen!A19</f>
        <v>43870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522"/>
      <c r="H14" s="646">
        <f t="shared" si="3"/>
        <v>0</v>
      </c>
      <c r="I14" s="98">
        <f t="shared" si="4"/>
        <v>0</v>
      </c>
      <c r="J14" s="1"/>
      <c r="K14" s="646">
        <f t="shared" si="5"/>
        <v>0</v>
      </c>
      <c r="L14" s="98">
        <f t="shared" si="6"/>
        <v>0</v>
      </c>
      <c r="M14" s="1"/>
      <c r="N14" s="646">
        <f t="shared" si="7"/>
        <v>0</v>
      </c>
      <c r="O14" s="98">
        <f t="shared" si="8"/>
        <v>0</v>
      </c>
      <c r="P14" s="516"/>
      <c r="Q14" s="646">
        <f t="shared" si="9"/>
        <v>0</v>
      </c>
      <c r="R14" s="333"/>
      <c r="S14" s="328">
        <f t="shared" si="16"/>
        <v>0</v>
      </c>
      <c r="T14" s="517"/>
      <c r="U14" s="647">
        <f t="shared" si="17"/>
        <v>0</v>
      </c>
      <c r="V14" s="328">
        <f t="shared" si="10"/>
        <v>0</v>
      </c>
      <c r="W14" s="517"/>
      <c r="X14" s="647">
        <f t="shared" si="18"/>
        <v>0</v>
      </c>
      <c r="Y14" s="328">
        <f t="shared" si="11"/>
        <v>0</v>
      </c>
      <c r="Z14" s="517"/>
      <c r="AA14" s="647">
        <f t="shared" si="19"/>
        <v>0</v>
      </c>
      <c r="AB14" s="328">
        <f t="shared" si="12"/>
        <v>0</v>
      </c>
      <c r="AC14" s="651"/>
      <c r="AD14" s="647">
        <f t="shared" si="20"/>
        <v>0</v>
      </c>
      <c r="AE14" s="328">
        <f t="shared" si="13"/>
        <v>0</v>
      </c>
      <c r="AF14" s="518"/>
      <c r="AG14" s="647">
        <f t="shared" si="21"/>
        <v>0</v>
      </c>
      <c r="AH14" s="328">
        <f t="shared" si="14"/>
        <v>0</v>
      </c>
      <c r="AI14" s="518"/>
      <c r="AJ14" s="647">
        <f t="shared" si="22"/>
        <v>0</v>
      </c>
      <c r="AK14" s="421">
        <f t="shared" si="15"/>
        <v>0</v>
      </c>
      <c r="AL14" s="517"/>
      <c r="AM14" s="647">
        <f t="shared" si="23"/>
        <v>0</v>
      </c>
      <c r="AN14" s="524">
        <f t="shared" si="24"/>
        <v>0</v>
      </c>
    </row>
    <row r="15" spans="1:40" ht="23.1" customHeight="1">
      <c r="A15" s="58">
        <f>Gen!A20</f>
        <v>43871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522"/>
      <c r="H15" s="646">
        <f t="shared" si="3"/>
        <v>0</v>
      </c>
      <c r="I15" s="98">
        <f t="shared" si="4"/>
        <v>0</v>
      </c>
      <c r="J15" s="1"/>
      <c r="K15" s="646">
        <f t="shared" si="5"/>
        <v>0</v>
      </c>
      <c r="L15" s="98">
        <f t="shared" si="6"/>
        <v>0</v>
      </c>
      <c r="M15" s="1"/>
      <c r="N15" s="646">
        <f t="shared" si="7"/>
        <v>0</v>
      </c>
      <c r="O15" s="98">
        <f t="shared" si="8"/>
        <v>0</v>
      </c>
      <c r="P15" s="516"/>
      <c r="Q15" s="646">
        <f t="shared" si="9"/>
        <v>0</v>
      </c>
      <c r="R15" s="333"/>
      <c r="S15" s="328">
        <f t="shared" si="16"/>
        <v>0</v>
      </c>
      <c r="T15" s="517"/>
      <c r="U15" s="647">
        <f t="shared" si="17"/>
        <v>0</v>
      </c>
      <c r="V15" s="328">
        <f t="shared" si="10"/>
        <v>0</v>
      </c>
      <c r="W15" s="517"/>
      <c r="X15" s="647">
        <f t="shared" si="18"/>
        <v>0</v>
      </c>
      <c r="Y15" s="328">
        <f t="shared" si="11"/>
        <v>0</v>
      </c>
      <c r="Z15" s="517"/>
      <c r="AA15" s="647">
        <f t="shared" si="19"/>
        <v>0</v>
      </c>
      <c r="AB15" s="328">
        <f t="shared" si="12"/>
        <v>0</v>
      </c>
      <c r="AC15" s="651"/>
      <c r="AD15" s="647">
        <f t="shared" si="20"/>
        <v>0</v>
      </c>
      <c r="AE15" s="328">
        <f t="shared" si="13"/>
        <v>0</v>
      </c>
      <c r="AF15" s="518"/>
      <c r="AG15" s="647">
        <f t="shared" si="21"/>
        <v>0</v>
      </c>
      <c r="AH15" s="328">
        <f t="shared" si="14"/>
        <v>0</v>
      </c>
      <c r="AI15" s="518"/>
      <c r="AJ15" s="647">
        <f t="shared" si="22"/>
        <v>0</v>
      </c>
      <c r="AK15" s="421">
        <f t="shared" si="15"/>
        <v>0</v>
      </c>
      <c r="AL15" s="517"/>
      <c r="AM15" s="647">
        <f t="shared" si="23"/>
        <v>0</v>
      </c>
      <c r="AN15" s="524">
        <f t="shared" si="24"/>
        <v>0</v>
      </c>
    </row>
    <row r="16" spans="1:40" ht="23.1" customHeight="1">
      <c r="A16" s="58">
        <f>Gen!A21</f>
        <v>43872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2"/>
      <c r="H16" s="646">
        <f t="shared" si="3"/>
        <v>0</v>
      </c>
      <c r="I16" s="98">
        <f t="shared" si="4"/>
        <v>0</v>
      </c>
      <c r="J16" s="1"/>
      <c r="K16" s="646">
        <f t="shared" si="5"/>
        <v>0</v>
      </c>
      <c r="L16" s="98"/>
      <c r="M16" s="1"/>
      <c r="N16" s="646">
        <f t="shared" si="7"/>
        <v>0</v>
      </c>
      <c r="O16" s="98">
        <f t="shared" si="8"/>
        <v>0</v>
      </c>
      <c r="P16" s="516"/>
      <c r="Q16" s="646">
        <f t="shared" si="9"/>
        <v>0</v>
      </c>
      <c r="R16" s="333"/>
      <c r="S16" s="328">
        <f t="shared" si="16"/>
        <v>0</v>
      </c>
      <c r="T16" s="517"/>
      <c r="U16" s="647">
        <f t="shared" si="17"/>
        <v>0</v>
      </c>
      <c r="V16" s="328">
        <f t="shared" si="10"/>
        <v>0</v>
      </c>
      <c r="W16" s="517"/>
      <c r="X16" s="647">
        <f t="shared" si="18"/>
        <v>0</v>
      </c>
      <c r="Y16" s="328">
        <f t="shared" si="11"/>
        <v>0</v>
      </c>
      <c r="Z16" s="517"/>
      <c r="AA16" s="647">
        <f t="shared" si="19"/>
        <v>0</v>
      </c>
      <c r="AB16" s="328">
        <f t="shared" si="12"/>
        <v>0</v>
      </c>
      <c r="AC16" s="651"/>
      <c r="AD16" s="647">
        <f t="shared" si="20"/>
        <v>0</v>
      </c>
      <c r="AE16" s="328">
        <f t="shared" si="13"/>
        <v>0</v>
      </c>
      <c r="AF16" s="518"/>
      <c r="AG16" s="647">
        <f t="shared" si="21"/>
        <v>0</v>
      </c>
      <c r="AH16" s="328">
        <f t="shared" si="14"/>
        <v>0</v>
      </c>
      <c r="AI16" s="518"/>
      <c r="AJ16" s="647">
        <f t="shared" si="22"/>
        <v>0</v>
      </c>
      <c r="AK16" s="421">
        <f t="shared" si="15"/>
        <v>0</v>
      </c>
      <c r="AL16" s="517"/>
      <c r="AM16" s="647">
        <f t="shared" si="23"/>
        <v>0</v>
      </c>
      <c r="AN16" s="524">
        <f t="shared" si="24"/>
        <v>0</v>
      </c>
    </row>
    <row r="17" spans="1:40" ht="23.1" customHeight="1">
      <c r="A17" s="58">
        <f>Gen!A22</f>
        <v>43873</v>
      </c>
      <c r="B17" s="4"/>
      <c r="C17" s="98">
        <f t="shared" si="0"/>
        <v>0</v>
      </c>
      <c r="D17" s="1"/>
      <c r="E17" s="646">
        <f>IF((D17-D16)&lt;0,"0",(D17-D16))</f>
        <v>0</v>
      </c>
      <c r="F17" s="98">
        <f t="shared" si="2"/>
        <v>0</v>
      </c>
      <c r="G17" s="522"/>
      <c r="H17" s="646">
        <f t="shared" si="3"/>
        <v>0</v>
      </c>
      <c r="I17" s="98">
        <f t="shared" si="4"/>
        <v>0</v>
      </c>
      <c r="J17" s="1"/>
      <c r="K17" s="646">
        <f t="shared" si="5"/>
        <v>0</v>
      </c>
      <c r="L17" s="98"/>
      <c r="M17" s="1"/>
      <c r="N17" s="646">
        <f t="shared" si="7"/>
        <v>0</v>
      </c>
      <c r="O17" s="98">
        <f t="shared" si="8"/>
        <v>0</v>
      </c>
      <c r="P17" s="516"/>
      <c r="Q17" s="646">
        <f t="shared" si="9"/>
        <v>0</v>
      </c>
      <c r="R17" s="333"/>
      <c r="S17" s="328">
        <f t="shared" si="16"/>
        <v>0</v>
      </c>
      <c r="T17" s="517"/>
      <c r="U17" s="647">
        <f>IF((T17-T16)&lt;0,"0",(T17-T16))</f>
        <v>0</v>
      </c>
      <c r="V17" s="328">
        <f t="shared" si="10"/>
        <v>0</v>
      </c>
      <c r="W17" s="517"/>
      <c r="X17" s="647">
        <f>IF((W17-W16)&lt;0,"0",(W17-W16))</f>
        <v>0</v>
      </c>
      <c r="Y17" s="328">
        <f t="shared" si="11"/>
        <v>0</v>
      </c>
      <c r="Z17" s="517"/>
      <c r="AA17" s="647">
        <f>IF((Z17-Z16)&lt;0,"0",(Z17-Z16))</f>
        <v>0</v>
      </c>
      <c r="AB17" s="328">
        <f t="shared" si="12"/>
        <v>0</v>
      </c>
      <c r="AC17" s="651"/>
      <c r="AD17" s="647">
        <f>IF((AC17-AC16)&lt;0,"0",(AC17-AC16))</f>
        <v>0</v>
      </c>
      <c r="AE17" s="328">
        <f t="shared" si="13"/>
        <v>0</v>
      </c>
      <c r="AF17" s="518"/>
      <c r="AG17" s="647">
        <f>IF((AF17-AF16)&lt;0,"0",(AF17-AF16))</f>
        <v>0</v>
      </c>
      <c r="AH17" s="328">
        <f t="shared" si="14"/>
        <v>0</v>
      </c>
      <c r="AI17" s="518"/>
      <c r="AJ17" s="647">
        <f t="shared" si="22"/>
        <v>0</v>
      </c>
      <c r="AK17" s="421">
        <f t="shared" si="15"/>
        <v>0</v>
      </c>
      <c r="AL17" s="517"/>
      <c r="AM17" s="647">
        <f>IF((AL17-AL16)&lt;0,"0",(AL17-AL16))</f>
        <v>0</v>
      </c>
      <c r="AN17" s="524">
        <f t="shared" si="24"/>
        <v>0</v>
      </c>
    </row>
    <row r="18" spans="1:40" ht="23.1" customHeight="1">
      <c r="A18" s="58">
        <f>Gen!A23</f>
        <v>43874</v>
      </c>
      <c r="B18" s="4"/>
      <c r="C18" s="98">
        <f t="shared" si="0"/>
        <v>0</v>
      </c>
      <c r="D18" s="1"/>
      <c r="E18" s="646">
        <f t="shared" ref="E18:E37" si="25">IF((D18-D17)&lt;0,"0",(D18-D17))</f>
        <v>0</v>
      </c>
      <c r="F18" s="98">
        <f t="shared" si="2"/>
        <v>0</v>
      </c>
      <c r="G18" s="522"/>
      <c r="H18" s="646">
        <f t="shared" si="3"/>
        <v>0</v>
      </c>
      <c r="I18" s="98"/>
      <c r="J18" s="1"/>
      <c r="K18" s="646">
        <f t="shared" si="5"/>
        <v>0</v>
      </c>
      <c r="L18" s="98">
        <f t="shared" si="6"/>
        <v>0</v>
      </c>
      <c r="M18" s="1"/>
      <c r="N18" s="646">
        <f t="shared" si="7"/>
        <v>0</v>
      </c>
      <c r="O18" s="98">
        <f t="shared" si="8"/>
        <v>0</v>
      </c>
      <c r="P18" s="516"/>
      <c r="Q18" s="646">
        <f t="shared" si="9"/>
        <v>0</v>
      </c>
      <c r="R18" s="333"/>
      <c r="S18" s="328">
        <f t="shared" si="16"/>
        <v>0</v>
      </c>
      <c r="T18" s="517"/>
      <c r="U18" s="647">
        <f t="shared" si="17"/>
        <v>0</v>
      </c>
      <c r="V18" s="328">
        <f t="shared" si="10"/>
        <v>0</v>
      </c>
      <c r="W18" s="517"/>
      <c r="X18" s="647">
        <f t="shared" si="18"/>
        <v>0</v>
      </c>
      <c r="Y18" s="328">
        <f t="shared" si="11"/>
        <v>0</v>
      </c>
      <c r="Z18" s="517"/>
      <c r="AA18" s="647">
        <f t="shared" si="19"/>
        <v>0</v>
      </c>
      <c r="AB18" s="328">
        <f t="shared" si="12"/>
        <v>0</v>
      </c>
      <c r="AC18" s="651"/>
      <c r="AD18" s="647">
        <f t="shared" si="20"/>
        <v>0</v>
      </c>
      <c r="AE18" s="328">
        <f t="shared" si="13"/>
        <v>0</v>
      </c>
      <c r="AF18" s="518"/>
      <c r="AG18" s="647">
        <f t="shared" si="21"/>
        <v>0</v>
      </c>
      <c r="AH18" s="328">
        <f t="shared" si="14"/>
        <v>0</v>
      </c>
      <c r="AI18" s="518"/>
      <c r="AJ18" s="647">
        <f t="shared" si="22"/>
        <v>0</v>
      </c>
      <c r="AK18" s="421">
        <f t="shared" si="15"/>
        <v>0</v>
      </c>
      <c r="AL18" s="517"/>
      <c r="AM18" s="647">
        <f t="shared" ref="AM18:AM26" si="26">IF((AL18-AL17)&lt;0,"0",(AL18-AL17))</f>
        <v>0</v>
      </c>
      <c r="AN18" s="524">
        <f t="shared" si="24"/>
        <v>0</v>
      </c>
    </row>
    <row r="19" spans="1:40" ht="23.1" customHeight="1">
      <c r="A19" s="58">
        <f>Gen!A24</f>
        <v>43875</v>
      </c>
      <c r="B19" s="4"/>
      <c r="C19" s="98">
        <f t="shared" si="0"/>
        <v>0</v>
      </c>
      <c r="D19" s="1"/>
      <c r="E19" s="646">
        <f t="shared" si="25"/>
        <v>0</v>
      </c>
      <c r="F19" s="98">
        <f t="shared" si="2"/>
        <v>0</v>
      </c>
      <c r="G19" s="522"/>
      <c r="H19" s="646">
        <f t="shared" si="3"/>
        <v>0</v>
      </c>
      <c r="I19" s="98">
        <f t="shared" si="4"/>
        <v>0</v>
      </c>
      <c r="J19" s="1"/>
      <c r="K19" s="646">
        <f t="shared" si="5"/>
        <v>0</v>
      </c>
      <c r="L19" s="98">
        <f t="shared" si="6"/>
        <v>0</v>
      </c>
      <c r="M19" s="1"/>
      <c r="N19" s="646">
        <f t="shared" si="7"/>
        <v>0</v>
      </c>
      <c r="O19" s="98">
        <f t="shared" si="8"/>
        <v>0</v>
      </c>
      <c r="P19" s="516"/>
      <c r="Q19" s="646">
        <f t="shared" si="9"/>
        <v>0</v>
      </c>
      <c r="R19" s="333"/>
      <c r="S19" s="328">
        <f t="shared" si="16"/>
        <v>0</v>
      </c>
      <c r="T19" s="517"/>
      <c r="U19" s="647">
        <f t="shared" si="17"/>
        <v>0</v>
      </c>
      <c r="V19" s="328">
        <f t="shared" si="10"/>
        <v>0</v>
      </c>
      <c r="W19" s="517"/>
      <c r="X19" s="647">
        <f t="shared" si="18"/>
        <v>0</v>
      </c>
      <c r="Y19" s="328">
        <f t="shared" si="11"/>
        <v>0</v>
      </c>
      <c r="Z19" s="517"/>
      <c r="AA19" s="647">
        <f t="shared" si="19"/>
        <v>0</v>
      </c>
      <c r="AB19" s="328">
        <f t="shared" si="12"/>
        <v>0</v>
      </c>
      <c r="AC19" s="651"/>
      <c r="AD19" s="647">
        <f t="shared" si="20"/>
        <v>0</v>
      </c>
      <c r="AE19" s="328">
        <f t="shared" si="13"/>
        <v>0</v>
      </c>
      <c r="AF19" s="518"/>
      <c r="AG19" s="647">
        <f t="shared" si="21"/>
        <v>0</v>
      </c>
      <c r="AH19" s="328">
        <f t="shared" si="14"/>
        <v>0</v>
      </c>
      <c r="AI19" s="518"/>
      <c r="AJ19" s="647">
        <f t="shared" si="22"/>
        <v>0</v>
      </c>
      <c r="AK19" s="421">
        <f t="shared" si="15"/>
        <v>0</v>
      </c>
      <c r="AL19" s="517"/>
      <c r="AM19" s="647">
        <f t="shared" si="26"/>
        <v>0</v>
      </c>
      <c r="AN19" s="524">
        <f t="shared" si="24"/>
        <v>0</v>
      </c>
    </row>
    <row r="20" spans="1:40" ht="23.1" customHeight="1">
      <c r="A20" s="58">
        <f>Gen!A25</f>
        <v>43876</v>
      </c>
      <c r="B20" s="4"/>
      <c r="C20" s="98">
        <f t="shared" si="0"/>
        <v>0</v>
      </c>
      <c r="D20" s="1"/>
      <c r="E20" s="646">
        <f t="shared" si="25"/>
        <v>0</v>
      </c>
      <c r="F20" s="98">
        <f t="shared" si="2"/>
        <v>0</v>
      </c>
      <c r="G20" s="522"/>
      <c r="H20" s="646">
        <f t="shared" si="3"/>
        <v>0</v>
      </c>
      <c r="I20" s="98">
        <f t="shared" si="4"/>
        <v>0</v>
      </c>
      <c r="J20" s="1"/>
      <c r="K20" s="646">
        <f t="shared" si="5"/>
        <v>0</v>
      </c>
      <c r="L20" s="98">
        <f t="shared" si="6"/>
        <v>0</v>
      </c>
      <c r="M20" s="1"/>
      <c r="N20" s="646">
        <f t="shared" si="7"/>
        <v>0</v>
      </c>
      <c r="O20" s="98">
        <f t="shared" si="8"/>
        <v>0</v>
      </c>
      <c r="P20" s="516"/>
      <c r="Q20" s="646">
        <f t="shared" si="9"/>
        <v>0</v>
      </c>
      <c r="R20" s="333"/>
      <c r="S20" s="328">
        <f t="shared" si="16"/>
        <v>0</v>
      </c>
      <c r="T20" s="517"/>
      <c r="U20" s="647">
        <f t="shared" si="17"/>
        <v>0</v>
      </c>
      <c r="V20" s="328">
        <f t="shared" si="10"/>
        <v>0</v>
      </c>
      <c r="W20" s="517"/>
      <c r="X20" s="647">
        <f t="shared" si="18"/>
        <v>0</v>
      </c>
      <c r="Y20" s="328">
        <f t="shared" si="11"/>
        <v>0</v>
      </c>
      <c r="Z20" s="517"/>
      <c r="AA20" s="647">
        <f t="shared" si="19"/>
        <v>0</v>
      </c>
      <c r="AB20" s="328">
        <f t="shared" si="12"/>
        <v>0</v>
      </c>
      <c r="AC20" s="651"/>
      <c r="AD20" s="647">
        <f t="shared" si="20"/>
        <v>0</v>
      </c>
      <c r="AE20" s="328">
        <f t="shared" si="13"/>
        <v>0</v>
      </c>
      <c r="AF20" s="518"/>
      <c r="AG20" s="647">
        <f t="shared" si="21"/>
        <v>0</v>
      </c>
      <c r="AH20" s="328">
        <f t="shared" si="14"/>
        <v>0</v>
      </c>
      <c r="AI20" s="518"/>
      <c r="AJ20" s="647">
        <f t="shared" si="22"/>
        <v>0</v>
      </c>
      <c r="AK20" s="421">
        <f t="shared" si="15"/>
        <v>0</v>
      </c>
      <c r="AL20" s="517"/>
      <c r="AM20" s="647">
        <f t="shared" si="26"/>
        <v>0</v>
      </c>
      <c r="AN20" s="524">
        <f t="shared" si="24"/>
        <v>0</v>
      </c>
    </row>
    <row r="21" spans="1:40" ht="23.1" customHeight="1">
      <c r="A21" s="58">
        <f>Gen!A26</f>
        <v>43877</v>
      </c>
      <c r="B21" s="4"/>
      <c r="C21" s="98">
        <f t="shared" si="0"/>
        <v>0</v>
      </c>
      <c r="D21" s="1"/>
      <c r="E21" s="646">
        <f t="shared" si="25"/>
        <v>0</v>
      </c>
      <c r="F21" s="98">
        <f t="shared" si="2"/>
        <v>0</v>
      </c>
      <c r="G21" s="522"/>
      <c r="H21" s="646">
        <f t="shared" si="3"/>
        <v>0</v>
      </c>
      <c r="I21" s="98">
        <f t="shared" si="4"/>
        <v>0</v>
      </c>
      <c r="J21" s="1"/>
      <c r="K21" s="646">
        <f t="shared" si="5"/>
        <v>0</v>
      </c>
      <c r="L21" s="98">
        <f t="shared" si="6"/>
        <v>0</v>
      </c>
      <c r="M21" s="1"/>
      <c r="N21" s="646">
        <f t="shared" si="7"/>
        <v>0</v>
      </c>
      <c r="O21" s="98">
        <f t="shared" si="8"/>
        <v>0</v>
      </c>
      <c r="P21" s="516"/>
      <c r="Q21" s="646">
        <f t="shared" si="9"/>
        <v>0</v>
      </c>
      <c r="R21" s="333"/>
      <c r="S21" s="328">
        <f t="shared" si="16"/>
        <v>0</v>
      </c>
      <c r="T21" s="517"/>
      <c r="U21" s="647">
        <f t="shared" si="17"/>
        <v>0</v>
      </c>
      <c r="V21" s="328">
        <f t="shared" ref="V21:V37" si="27">W20</f>
        <v>0</v>
      </c>
      <c r="W21" s="517"/>
      <c r="X21" s="647">
        <f t="shared" si="18"/>
        <v>0</v>
      </c>
      <c r="Y21" s="328">
        <f t="shared" si="11"/>
        <v>0</v>
      </c>
      <c r="Z21" s="517"/>
      <c r="AA21" s="647">
        <f t="shared" si="19"/>
        <v>0</v>
      </c>
      <c r="AB21" s="328">
        <f t="shared" si="12"/>
        <v>0</v>
      </c>
      <c r="AC21" s="651"/>
      <c r="AD21" s="647">
        <f t="shared" si="20"/>
        <v>0</v>
      </c>
      <c r="AE21" s="328">
        <f t="shared" si="13"/>
        <v>0</v>
      </c>
      <c r="AF21" s="518"/>
      <c r="AG21" s="647">
        <f t="shared" si="21"/>
        <v>0</v>
      </c>
      <c r="AH21" s="328">
        <f t="shared" si="14"/>
        <v>0</v>
      </c>
      <c r="AI21" s="518"/>
      <c r="AJ21" s="647">
        <f t="shared" si="22"/>
        <v>0</v>
      </c>
      <c r="AK21" s="421">
        <f t="shared" si="15"/>
        <v>0</v>
      </c>
      <c r="AL21" s="517"/>
      <c r="AM21" s="647">
        <f t="shared" si="26"/>
        <v>0</v>
      </c>
      <c r="AN21" s="524">
        <f t="shared" si="24"/>
        <v>0</v>
      </c>
    </row>
    <row r="22" spans="1:40" ht="23.1" customHeight="1">
      <c r="A22" s="58">
        <f>Gen!A27</f>
        <v>43878</v>
      </c>
      <c r="B22" s="4"/>
      <c r="C22" s="98">
        <f t="shared" si="0"/>
        <v>0</v>
      </c>
      <c r="D22" s="1"/>
      <c r="E22" s="646">
        <f t="shared" si="25"/>
        <v>0</v>
      </c>
      <c r="F22" s="98">
        <f t="shared" si="2"/>
        <v>0</v>
      </c>
      <c r="G22" s="522"/>
      <c r="H22" s="646">
        <f t="shared" si="3"/>
        <v>0</v>
      </c>
      <c r="I22" s="98">
        <f t="shared" si="4"/>
        <v>0</v>
      </c>
      <c r="J22" s="1"/>
      <c r="K22" s="646">
        <f t="shared" si="5"/>
        <v>0</v>
      </c>
      <c r="L22" s="98">
        <f t="shared" si="6"/>
        <v>0</v>
      </c>
      <c r="M22" s="1"/>
      <c r="N22" s="646">
        <f t="shared" si="7"/>
        <v>0</v>
      </c>
      <c r="O22" s="98">
        <f t="shared" si="8"/>
        <v>0</v>
      </c>
      <c r="P22" s="516"/>
      <c r="Q22" s="646">
        <f t="shared" si="9"/>
        <v>0</v>
      </c>
      <c r="R22" s="333"/>
      <c r="S22" s="328">
        <f t="shared" si="16"/>
        <v>0</v>
      </c>
      <c r="T22" s="517"/>
      <c r="U22" s="647">
        <f t="shared" si="17"/>
        <v>0</v>
      </c>
      <c r="V22" s="328">
        <f t="shared" si="27"/>
        <v>0</v>
      </c>
      <c r="W22" s="517"/>
      <c r="X22" s="647">
        <f t="shared" si="18"/>
        <v>0</v>
      </c>
      <c r="Y22" s="328">
        <f t="shared" si="11"/>
        <v>0</v>
      </c>
      <c r="Z22" s="517"/>
      <c r="AA22" s="647">
        <f t="shared" si="19"/>
        <v>0</v>
      </c>
      <c r="AB22" s="328">
        <f t="shared" si="12"/>
        <v>0</v>
      </c>
      <c r="AC22" s="651"/>
      <c r="AD22" s="647">
        <f t="shared" si="20"/>
        <v>0</v>
      </c>
      <c r="AE22" s="328">
        <f t="shared" si="13"/>
        <v>0</v>
      </c>
      <c r="AF22" s="518"/>
      <c r="AG22" s="647">
        <f t="shared" si="21"/>
        <v>0</v>
      </c>
      <c r="AH22" s="328">
        <f t="shared" si="14"/>
        <v>0</v>
      </c>
      <c r="AI22" s="518"/>
      <c r="AJ22" s="647">
        <f t="shared" si="22"/>
        <v>0</v>
      </c>
      <c r="AK22" s="421">
        <f t="shared" si="15"/>
        <v>0</v>
      </c>
      <c r="AL22" s="517"/>
      <c r="AM22" s="647">
        <f t="shared" si="26"/>
        <v>0</v>
      </c>
      <c r="AN22" s="524">
        <f t="shared" si="24"/>
        <v>0</v>
      </c>
    </row>
    <row r="23" spans="1:40" ht="23.1" customHeight="1">
      <c r="A23" s="58">
        <f>Gen!A28</f>
        <v>43879</v>
      </c>
      <c r="B23" s="4"/>
      <c r="C23" s="98">
        <f t="shared" si="0"/>
        <v>0</v>
      </c>
      <c r="D23" s="1"/>
      <c r="E23" s="646">
        <f t="shared" si="25"/>
        <v>0</v>
      </c>
      <c r="F23" s="98">
        <f t="shared" si="2"/>
        <v>0</v>
      </c>
      <c r="G23" s="522"/>
      <c r="H23" s="646">
        <f t="shared" si="3"/>
        <v>0</v>
      </c>
      <c r="I23" s="98">
        <f t="shared" si="4"/>
        <v>0</v>
      </c>
      <c r="J23" s="1"/>
      <c r="K23" s="646">
        <f t="shared" si="5"/>
        <v>0</v>
      </c>
      <c r="L23" s="98">
        <f t="shared" si="6"/>
        <v>0</v>
      </c>
      <c r="M23" s="1"/>
      <c r="N23" s="646">
        <f t="shared" si="7"/>
        <v>0</v>
      </c>
      <c r="O23" s="98">
        <f t="shared" si="8"/>
        <v>0</v>
      </c>
      <c r="P23" s="516"/>
      <c r="Q23" s="646">
        <f t="shared" si="9"/>
        <v>0</v>
      </c>
      <c r="R23" s="333"/>
      <c r="S23" s="328">
        <f t="shared" si="16"/>
        <v>0</v>
      </c>
      <c r="T23" s="517"/>
      <c r="U23" s="647">
        <f t="shared" si="17"/>
        <v>0</v>
      </c>
      <c r="V23" s="328">
        <f t="shared" si="27"/>
        <v>0</v>
      </c>
      <c r="W23" s="517"/>
      <c r="X23" s="647">
        <f t="shared" si="18"/>
        <v>0</v>
      </c>
      <c r="Y23" s="328">
        <f t="shared" si="11"/>
        <v>0</v>
      </c>
      <c r="Z23" s="517"/>
      <c r="AA23" s="647">
        <f t="shared" si="19"/>
        <v>0</v>
      </c>
      <c r="AB23" s="328">
        <f t="shared" si="12"/>
        <v>0</v>
      </c>
      <c r="AC23" s="329"/>
      <c r="AD23" s="647">
        <f t="shared" si="20"/>
        <v>0</v>
      </c>
      <c r="AE23" s="328">
        <f t="shared" si="13"/>
        <v>0</v>
      </c>
      <c r="AF23" s="518"/>
      <c r="AG23" s="647">
        <f t="shared" si="21"/>
        <v>0</v>
      </c>
      <c r="AH23" s="328">
        <f t="shared" si="14"/>
        <v>0</v>
      </c>
      <c r="AI23" s="518"/>
      <c r="AJ23" s="647">
        <f t="shared" si="22"/>
        <v>0</v>
      </c>
      <c r="AK23" s="421">
        <f t="shared" si="15"/>
        <v>0</v>
      </c>
      <c r="AL23" s="517"/>
      <c r="AM23" s="647">
        <f t="shared" si="26"/>
        <v>0</v>
      </c>
      <c r="AN23" s="524">
        <f t="shared" si="24"/>
        <v>0</v>
      </c>
    </row>
    <row r="24" spans="1:40" ht="23.1" customHeight="1">
      <c r="A24" s="58">
        <f>Gen!A29</f>
        <v>43880</v>
      </c>
      <c r="B24" s="4"/>
      <c r="C24" s="98">
        <f t="shared" si="0"/>
        <v>0</v>
      </c>
      <c r="D24" s="1"/>
      <c r="E24" s="646">
        <f t="shared" si="25"/>
        <v>0</v>
      </c>
      <c r="F24" s="98">
        <f t="shared" si="2"/>
        <v>0</v>
      </c>
      <c r="G24" s="522"/>
      <c r="H24" s="646">
        <f t="shared" si="3"/>
        <v>0</v>
      </c>
      <c r="I24" s="98">
        <f t="shared" si="4"/>
        <v>0</v>
      </c>
      <c r="J24" s="1"/>
      <c r="K24" s="646">
        <f t="shared" si="5"/>
        <v>0</v>
      </c>
      <c r="L24" s="98">
        <f t="shared" si="6"/>
        <v>0</v>
      </c>
      <c r="M24" s="1"/>
      <c r="N24" s="646">
        <f t="shared" si="7"/>
        <v>0</v>
      </c>
      <c r="O24" s="98">
        <f t="shared" si="8"/>
        <v>0</v>
      </c>
      <c r="P24" s="516"/>
      <c r="Q24" s="646">
        <f t="shared" si="9"/>
        <v>0</v>
      </c>
      <c r="R24" s="333"/>
      <c r="S24" s="328">
        <f t="shared" si="16"/>
        <v>0</v>
      </c>
      <c r="T24" s="517"/>
      <c r="U24" s="647">
        <f t="shared" si="17"/>
        <v>0</v>
      </c>
      <c r="V24" s="328">
        <f t="shared" si="27"/>
        <v>0</v>
      </c>
      <c r="W24" s="517"/>
      <c r="X24" s="647">
        <f t="shared" si="18"/>
        <v>0</v>
      </c>
      <c r="Y24" s="328">
        <f t="shared" si="11"/>
        <v>0</v>
      </c>
      <c r="Z24" s="517"/>
      <c r="AA24" s="647">
        <f t="shared" si="19"/>
        <v>0</v>
      </c>
      <c r="AB24" s="328">
        <f t="shared" si="12"/>
        <v>0</v>
      </c>
      <c r="AC24" s="329"/>
      <c r="AD24" s="647">
        <f t="shared" si="20"/>
        <v>0</v>
      </c>
      <c r="AE24" s="328">
        <f t="shared" si="13"/>
        <v>0</v>
      </c>
      <c r="AF24" s="518"/>
      <c r="AG24" s="647">
        <f t="shared" si="21"/>
        <v>0</v>
      </c>
      <c r="AH24" s="328">
        <f t="shared" si="14"/>
        <v>0</v>
      </c>
      <c r="AI24" s="518"/>
      <c r="AJ24" s="647">
        <f t="shared" si="22"/>
        <v>0</v>
      </c>
      <c r="AK24" s="421">
        <f t="shared" si="15"/>
        <v>0</v>
      </c>
      <c r="AL24" s="517"/>
      <c r="AM24" s="647">
        <f t="shared" si="26"/>
        <v>0</v>
      </c>
      <c r="AN24" s="524">
        <f t="shared" si="24"/>
        <v>0</v>
      </c>
    </row>
    <row r="25" spans="1:40" ht="23.1" customHeight="1">
      <c r="A25" s="58">
        <f>Gen!A30</f>
        <v>43881</v>
      </c>
      <c r="B25" s="4"/>
      <c r="C25" s="98">
        <f>D24</f>
        <v>0</v>
      </c>
      <c r="D25" s="1"/>
      <c r="E25" s="646">
        <f t="shared" si="25"/>
        <v>0</v>
      </c>
      <c r="F25" s="98">
        <f t="shared" si="2"/>
        <v>0</v>
      </c>
      <c r="G25" s="522"/>
      <c r="H25" s="646">
        <f t="shared" si="3"/>
        <v>0</v>
      </c>
      <c r="I25" s="98">
        <f t="shared" ref="I25:I37" si="28">J24</f>
        <v>0</v>
      </c>
      <c r="J25" s="1"/>
      <c r="K25" s="646">
        <f t="shared" ref="K25:K37" si="29">IF((J25-J24)&lt;0,"0",(J25-J24))</f>
        <v>0</v>
      </c>
      <c r="L25" s="98">
        <f t="shared" ref="L25:L37" si="30">M24</f>
        <v>0</v>
      </c>
      <c r="M25" s="1"/>
      <c r="N25" s="646">
        <f t="shared" ref="N25:N37" si="31">IF((M25-M24)&lt;0,"0",(M25-M24))</f>
        <v>0</v>
      </c>
      <c r="O25" s="98">
        <f t="shared" ref="O25:O37" si="32">P24</f>
        <v>0</v>
      </c>
      <c r="P25" s="516"/>
      <c r="Q25" s="646">
        <f t="shared" ref="Q25:Q37" si="33">IF((P25-P24)&lt;0,"0",(P25-P24))</f>
        <v>0</v>
      </c>
      <c r="R25" s="333"/>
      <c r="S25" s="328">
        <f t="shared" ref="S25:S37" si="34">T24</f>
        <v>0</v>
      </c>
      <c r="T25" s="517"/>
      <c r="U25" s="647">
        <f t="shared" si="17"/>
        <v>0</v>
      </c>
      <c r="V25" s="328">
        <f t="shared" si="27"/>
        <v>0</v>
      </c>
      <c r="W25" s="517"/>
      <c r="X25" s="647">
        <f t="shared" si="18"/>
        <v>0</v>
      </c>
      <c r="Y25" s="328">
        <f t="shared" si="11"/>
        <v>0</v>
      </c>
      <c r="Z25" s="517"/>
      <c r="AA25" s="647">
        <f t="shared" si="19"/>
        <v>0</v>
      </c>
      <c r="AB25" s="328">
        <f t="shared" si="12"/>
        <v>0</v>
      </c>
      <c r="AC25" s="329"/>
      <c r="AD25" s="647">
        <f t="shared" si="20"/>
        <v>0</v>
      </c>
      <c r="AE25" s="328">
        <f t="shared" si="13"/>
        <v>0</v>
      </c>
      <c r="AF25" s="518"/>
      <c r="AG25" s="647">
        <f t="shared" si="21"/>
        <v>0</v>
      </c>
      <c r="AH25" s="328">
        <f t="shared" si="14"/>
        <v>0</v>
      </c>
      <c r="AI25" s="518"/>
      <c r="AJ25" s="647">
        <f t="shared" si="22"/>
        <v>0</v>
      </c>
      <c r="AK25" s="421">
        <f t="shared" si="15"/>
        <v>0</v>
      </c>
      <c r="AL25" s="517"/>
      <c r="AM25" s="647">
        <f t="shared" si="26"/>
        <v>0</v>
      </c>
      <c r="AN25" s="524">
        <f t="shared" si="24"/>
        <v>0</v>
      </c>
    </row>
    <row r="26" spans="1:40" ht="23.1" customHeight="1">
      <c r="A26" s="58">
        <f>Gen!A31</f>
        <v>43882</v>
      </c>
      <c r="B26" s="4"/>
      <c r="C26" s="98">
        <f>D25</f>
        <v>0</v>
      </c>
      <c r="D26" s="1"/>
      <c r="E26" s="646">
        <f t="shared" si="25"/>
        <v>0</v>
      </c>
      <c r="F26" s="98">
        <f t="shared" si="2"/>
        <v>0</v>
      </c>
      <c r="G26" s="522"/>
      <c r="H26" s="646">
        <f t="shared" ref="H26:H37" si="35">IF((G26-G25)&lt;0,"0",(G26-G25))</f>
        <v>0</v>
      </c>
      <c r="I26" s="98">
        <f t="shared" si="28"/>
        <v>0</v>
      </c>
      <c r="J26" s="1"/>
      <c r="K26" s="646">
        <f t="shared" si="29"/>
        <v>0</v>
      </c>
      <c r="L26" s="98">
        <f t="shared" si="30"/>
        <v>0</v>
      </c>
      <c r="M26" s="1"/>
      <c r="N26" s="646">
        <f t="shared" si="31"/>
        <v>0</v>
      </c>
      <c r="O26" s="98">
        <f t="shared" si="32"/>
        <v>0</v>
      </c>
      <c r="P26" s="516"/>
      <c r="Q26" s="646">
        <f t="shared" si="33"/>
        <v>0</v>
      </c>
      <c r="R26" s="333"/>
      <c r="S26" s="328">
        <f t="shared" si="34"/>
        <v>0</v>
      </c>
      <c r="T26" s="517"/>
      <c r="U26" s="647">
        <f t="shared" si="17"/>
        <v>0</v>
      </c>
      <c r="V26" s="328">
        <f t="shared" si="27"/>
        <v>0</v>
      </c>
      <c r="W26" s="517"/>
      <c r="X26" s="647">
        <f t="shared" si="18"/>
        <v>0</v>
      </c>
      <c r="Y26" s="328">
        <f t="shared" si="11"/>
        <v>0</v>
      </c>
      <c r="Z26" s="517"/>
      <c r="AA26" s="647">
        <f t="shared" si="19"/>
        <v>0</v>
      </c>
      <c r="AB26" s="328">
        <f t="shared" si="12"/>
        <v>0</v>
      </c>
      <c r="AC26" s="329"/>
      <c r="AD26" s="647">
        <f t="shared" si="20"/>
        <v>0</v>
      </c>
      <c r="AE26" s="328">
        <f t="shared" si="13"/>
        <v>0</v>
      </c>
      <c r="AF26" s="518"/>
      <c r="AG26" s="647">
        <f t="shared" si="21"/>
        <v>0</v>
      </c>
      <c r="AH26" s="328">
        <f t="shared" si="14"/>
        <v>0</v>
      </c>
      <c r="AI26" s="518"/>
      <c r="AJ26" s="647">
        <f t="shared" si="22"/>
        <v>0</v>
      </c>
      <c r="AK26" s="421">
        <f t="shared" si="15"/>
        <v>0</v>
      </c>
      <c r="AL26" s="517"/>
      <c r="AM26" s="647">
        <f t="shared" si="26"/>
        <v>0</v>
      </c>
      <c r="AN26" s="524">
        <f t="shared" si="24"/>
        <v>0</v>
      </c>
    </row>
    <row r="27" spans="1:40" ht="23.1" customHeight="1">
      <c r="A27" s="58">
        <f>Gen!A32</f>
        <v>43883</v>
      </c>
      <c r="B27" s="4"/>
      <c r="C27" s="98">
        <f>D26</f>
        <v>0</v>
      </c>
      <c r="D27" s="1"/>
      <c r="E27" s="646">
        <f t="shared" si="25"/>
        <v>0</v>
      </c>
      <c r="F27" s="98">
        <f t="shared" si="2"/>
        <v>0</v>
      </c>
      <c r="G27" s="522"/>
      <c r="H27" s="646">
        <f t="shared" si="35"/>
        <v>0</v>
      </c>
      <c r="I27" s="98">
        <f t="shared" si="28"/>
        <v>0</v>
      </c>
      <c r="J27" s="1"/>
      <c r="K27" s="646">
        <f t="shared" si="29"/>
        <v>0</v>
      </c>
      <c r="L27" s="98">
        <f t="shared" si="30"/>
        <v>0</v>
      </c>
      <c r="M27" s="1"/>
      <c r="N27" s="646">
        <f t="shared" si="31"/>
        <v>0</v>
      </c>
      <c r="O27" s="98">
        <f t="shared" si="32"/>
        <v>0</v>
      </c>
      <c r="P27" s="516"/>
      <c r="Q27" s="646">
        <f t="shared" si="33"/>
        <v>0</v>
      </c>
      <c r="R27" s="333"/>
      <c r="S27" s="328">
        <f t="shared" si="34"/>
        <v>0</v>
      </c>
      <c r="T27" s="517"/>
      <c r="U27" s="647">
        <f t="shared" si="17"/>
        <v>0</v>
      </c>
      <c r="V27" s="328">
        <f t="shared" si="27"/>
        <v>0</v>
      </c>
      <c r="W27" s="517"/>
      <c r="X27" s="647">
        <f t="shared" si="18"/>
        <v>0</v>
      </c>
      <c r="Y27" s="328">
        <f t="shared" si="11"/>
        <v>0</v>
      </c>
      <c r="Z27" s="517"/>
      <c r="AA27" s="647">
        <f t="shared" si="19"/>
        <v>0</v>
      </c>
      <c r="AB27" s="328">
        <f t="shared" si="12"/>
        <v>0</v>
      </c>
      <c r="AC27" s="329"/>
      <c r="AD27" s="647">
        <f t="shared" si="20"/>
        <v>0</v>
      </c>
      <c r="AE27" s="328">
        <f t="shared" si="13"/>
        <v>0</v>
      </c>
      <c r="AF27" s="518"/>
      <c r="AG27" s="647">
        <f t="shared" si="21"/>
        <v>0</v>
      </c>
      <c r="AH27" s="328">
        <f t="shared" si="14"/>
        <v>0</v>
      </c>
      <c r="AI27" s="518"/>
      <c r="AJ27" s="647">
        <f t="shared" si="22"/>
        <v>0</v>
      </c>
      <c r="AK27" s="421">
        <f t="shared" si="15"/>
        <v>0</v>
      </c>
      <c r="AL27" s="517"/>
      <c r="AM27" s="647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68</v>
      </c>
    </row>
    <row r="38" spans="1:41" ht="17.25">
      <c r="A38" s="58"/>
      <c r="B38" s="22"/>
      <c r="C38" s="825" t="s">
        <v>6</v>
      </c>
      <c r="D38" s="825"/>
      <c r="E38" s="23">
        <f>SUM(E6:E36)</f>
        <v>210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5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210</v>
      </c>
      <c r="S38" s="330"/>
      <c r="T38" s="330"/>
      <c r="U38" s="340">
        <f>SUM(U6:U37)</f>
        <v>68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68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1"/>
      <c r="B42" s="366"/>
      <c r="C42" s="848" t="s">
        <v>224</v>
      </c>
      <c r="D42" s="849"/>
      <c r="E42" s="849"/>
      <c r="F42" s="849"/>
      <c r="G42" s="849"/>
      <c r="H42" s="849"/>
      <c r="I42" s="849"/>
      <c r="J42" s="849"/>
      <c r="K42" s="850"/>
      <c r="R42" s="20"/>
    </row>
    <row r="43" spans="1:41" ht="24.75" customHeight="1">
      <c r="A43" s="852"/>
      <c r="B43" s="20"/>
      <c r="C43" s="854" t="s">
        <v>218</v>
      </c>
      <c r="D43" s="855"/>
      <c r="E43" s="856" t="s">
        <v>239</v>
      </c>
      <c r="F43" s="857"/>
      <c r="G43" s="858" t="s">
        <v>219</v>
      </c>
      <c r="H43" s="859"/>
      <c r="I43" s="858" t="s">
        <v>240</v>
      </c>
      <c r="J43" s="859"/>
      <c r="K43" s="846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52"/>
      <c r="B44" s="20"/>
      <c r="C44" s="860" t="s">
        <v>220</v>
      </c>
      <c r="D44" s="861"/>
      <c r="E44" s="860" t="s">
        <v>221</v>
      </c>
      <c r="F44" s="861"/>
      <c r="G44" s="860" t="s">
        <v>222</v>
      </c>
      <c r="H44" s="861"/>
      <c r="I44" s="860" t="s">
        <v>223</v>
      </c>
      <c r="J44" s="861"/>
      <c r="K44" s="847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53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/>
      <c r="D48" s="432">
        <f t="shared" si="41"/>
        <v>0</v>
      </c>
      <c r="E48" s="6"/>
      <c r="F48" s="432">
        <f t="shared" si="42"/>
        <v>0</v>
      </c>
      <c r="G48" s="649"/>
      <c r="H48" s="432">
        <f t="shared" si="43"/>
        <v>0</v>
      </c>
      <c r="I48" s="6"/>
      <c r="J48" s="432">
        <f t="shared" si="44"/>
        <v>0</v>
      </c>
      <c r="K48" s="438">
        <f t="shared" si="45"/>
        <v>0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/>
      <c r="D49" s="432">
        <f t="shared" si="41"/>
        <v>0</v>
      </c>
      <c r="E49" s="6"/>
      <c r="F49" s="432">
        <f t="shared" si="42"/>
        <v>0</v>
      </c>
      <c r="G49" s="649"/>
      <c r="H49" s="432">
        <f t="shared" si="43"/>
        <v>0</v>
      </c>
      <c r="I49" s="6"/>
      <c r="J49" s="432">
        <f t="shared" si="44"/>
        <v>0</v>
      </c>
      <c r="K49" s="438">
        <f t="shared" si="45"/>
        <v>0</v>
      </c>
    </row>
    <row r="50" spans="1:15" ht="13.5">
      <c r="A50" s="384">
        <f>Gen!A15</f>
        <v>43866</v>
      </c>
      <c r="B50" s="20"/>
      <c r="C50" s="63"/>
      <c r="D50" s="432">
        <f t="shared" si="41"/>
        <v>0</v>
      </c>
      <c r="E50" s="6"/>
      <c r="F50" s="432">
        <f t="shared" si="42"/>
        <v>0</v>
      </c>
      <c r="G50" s="649"/>
      <c r="H50" s="432">
        <f t="shared" si="43"/>
        <v>0</v>
      </c>
      <c r="I50" s="6"/>
      <c r="J50" s="432">
        <f t="shared" si="44"/>
        <v>0</v>
      </c>
      <c r="K50" s="438">
        <f t="shared" si="45"/>
        <v>0</v>
      </c>
    </row>
    <row r="51" spans="1:15" ht="13.5">
      <c r="A51" s="384">
        <f>Gen!A16</f>
        <v>43867</v>
      </c>
      <c r="B51" s="20"/>
      <c r="C51" s="63"/>
      <c r="D51" s="432">
        <f t="shared" si="41"/>
        <v>0</v>
      </c>
      <c r="E51" s="6"/>
      <c r="F51" s="432">
        <f t="shared" si="42"/>
        <v>0</v>
      </c>
      <c r="G51" s="649"/>
      <c r="H51" s="432">
        <f t="shared" si="43"/>
        <v>0</v>
      </c>
      <c r="I51" s="6"/>
      <c r="J51" s="432">
        <f t="shared" si="44"/>
        <v>0</v>
      </c>
      <c r="K51" s="438">
        <f t="shared" si="45"/>
        <v>0</v>
      </c>
    </row>
    <row r="52" spans="1:15" ht="13.5">
      <c r="A52" s="384">
        <f>Gen!A17</f>
        <v>43868</v>
      </c>
      <c r="B52" s="20"/>
      <c r="C52" s="63"/>
      <c r="D52" s="432">
        <f t="shared" si="41"/>
        <v>0</v>
      </c>
      <c r="E52" s="6"/>
      <c r="F52" s="432">
        <f t="shared" si="42"/>
        <v>0</v>
      </c>
      <c r="G52" s="649"/>
      <c r="H52" s="432">
        <f t="shared" si="43"/>
        <v>0</v>
      </c>
      <c r="I52" s="6"/>
      <c r="J52" s="432">
        <f t="shared" si="44"/>
        <v>0</v>
      </c>
      <c r="K52" s="438">
        <f t="shared" si="45"/>
        <v>0</v>
      </c>
    </row>
    <row r="53" spans="1:15" ht="13.5">
      <c r="A53" s="384">
        <f>Gen!A18</f>
        <v>43869</v>
      </c>
      <c r="B53" s="20"/>
      <c r="C53" s="63"/>
      <c r="D53" s="432">
        <f t="shared" si="41"/>
        <v>0</v>
      </c>
      <c r="E53" s="6"/>
      <c r="F53" s="432">
        <f t="shared" si="42"/>
        <v>0</v>
      </c>
      <c r="G53" s="649"/>
      <c r="H53" s="432">
        <f t="shared" si="43"/>
        <v>0</v>
      </c>
      <c r="I53" s="6"/>
      <c r="J53" s="432">
        <f t="shared" si="44"/>
        <v>0</v>
      </c>
      <c r="K53" s="438">
        <f t="shared" si="45"/>
        <v>0</v>
      </c>
    </row>
    <row r="54" spans="1:15" ht="13.5">
      <c r="A54" s="384">
        <f>Gen!A19</f>
        <v>43870</v>
      </c>
      <c r="B54" s="20"/>
      <c r="C54" s="63"/>
      <c r="D54" s="432">
        <f t="shared" si="41"/>
        <v>0</v>
      </c>
      <c r="E54" s="6"/>
      <c r="F54" s="432">
        <f t="shared" si="42"/>
        <v>0</v>
      </c>
      <c r="G54" s="649"/>
      <c r="H54" s="432">
        <f t="shared" si="43"/>
        <v>0</v>
      </c>
      <c r="I54" s="6"/>
      <c r="J54" s="432">
        <f t="shared" si="44"/>
        <v>0</v>
      </c>
      <c r="K54" s="438">
        <f t="shared" si="45"/>
        <v>0</v>
      </c>
    </row>
    <row r="55" spans="1:15" ht="13.5">
      <c r="A55" s="384">
        <f>Gen!A20</f>
        <v>43871</v>
      </c>
      <c r="B55" s="20"/>
      <c r="C55" s="63"/>
      <c r="D55" s="432">
        <f t="shared" si="41"/>
        <v>0</v>
      </c>
      <c r="E55" s="6"/>
      <c r="F55" s="432">
        <f t="shared" si="42"/>
        <v>0</v>
      </c>
      <c r="G55" s="649"/>
      <c r="H55" s="432">
        <f t="shared" si="43"/>
        <v>0</v>
      </c>
      <c r="I55" s="6"/>
      <c r="J55" s="432">
        <f t="shared" si="44"/>
        <v>0</v>
      </c>
      <c r="K55" s="438">
        <f t="shared" si="45"/>
        <v>0</v>
      </c>
    </row>
    <row r="56" spans="1:15" ht="13.5">
      <c r="A56" s="384">
        <f>Gen!A21</f>
        <v>43872</v>
      </c>
      <c r="B56" s="20"/>
      <c r="C56" s="63"/>
      <c r="D56" s="432">
        <f t="shared" si="41"/>
        <v>0</v>
      </c>
      <c r="E56" s="6"/>
      <c r="F56" s="432">
        <f t="shared" si="42"/>
        <v>0</v>
      </c>
      <c r="G56" s="649"/>
      <c r="H56" s="432">
        <f t="shared" si="43"/>
        <v>0</v>
      </c>
      <c r="I56" s="6"/>
      <c r="J56" s="432">
        <f t="shared" si="44"/>
        <v>0</v>
      </c>
      <c r="K56" s="438">
        <f t="shared" si="45"/>
        <v>0</v>
      </c>
    </row>
    <row r="57" spans="1:15" ht="13.5">
      <c r="A57" s="384">
        <f>Gen!A22</f>
        <v>43873</v>
      </c>
      <c r="B57" s="20"/>
      <c r="C57" s="63"/>
      <c r="D57" s="432">
        <f t="shared" si="41"/>
        <v>0</v>
      </c>
      <c r="E57" s="6"/>
      <c r="F57" s="432">
        <f t="shared" si="42"/>
        <v>0</v>
      </c>
      <c r="G57" s="649"/>
      <c r="H57" s="432">
        <f t="shared" si="43"/>
        <v>0</v>
      </c>
      <c r="I57" s="6"/>
      <c r="J57" s="432">
        <f t="shared" si="44"/>
        <v>0</v>
      </c>
      <c r="K57" s="438">
        <f t="shared" si="45"/>
        <v>0</v>
      </c>
    </row>
    <row r="58" spans="1:15" ht="13.5">
      <c r="A58" s="384">
        <f>Gen!A23</f>
        <v>43874</v>
      </c>
      <c r="B58" s="20"/>
      <c r="C58" s="63"/>
      <c r="D58" s="432">
        <f t="shared" si="41"/>
        <v>0</v>
      </c>
      <c r="E58" s="6"/>
      <c r="F58" s="432">
        <f t="shared" si="42"/>
        <v>0</v>
      </c>
      <c r="G58" s="649"/>
      <c r="H58" s="432">
        <f t="shared" si="43"/>
        <v>0</v>
      </c>
      <c r="I58" s="6"/>
      <c r="J58" s="432">
        <f t="shared" si="44"/>
        <v>0</v>
      </c>
      <c r="K58" s="438">
        <f t="shared" si="45"/>
        <v>0</v>
      </c>
    </row>
    <row r="59" spans="1:15" ht="13.5">
      <c r="A59" s="384">
        <f>Gen!A24</f>
        <v>43875</v>
      </c>
      <c r="B59" s="20"/>
      <c r="C59" s="63"/>
      <c r="D59" s="432">
        <f t="shared" si="41"/>
        <v>0</v>
      </c>
      <c r="E59" s="6"/>
      <c r="F59" s="432">
        <f t="shared" si="42"/>
        <v>0</v>
      </c>
      <c r="G59" s="649"/>
      <c r="H59" s="432">
        <f t="shared" si="43"/>
        <v>0</v>
      </c>
      <c r="I59" s="6"/>
      <c r="J59" s="432">
        <f t="shared" si="44"/>
        <v>0</v>
      </c>
      <c r="K59" s="438">
        <f t="shared" si="45"/>
        <v>0</v>
      </c>
    </row>
    <row r="60" spans="1:15" ht="13.5">
      <c r="A60" s="384">
        <f>Gen!A25</f>
        <v>43876</v>
      </c>
      <c r="B60" s="20"/>
      <c r="C60" s="63"/>
      <c r="D60" s="432">
        <f t="shared" si="41"/>
        <v>0</v>
      </c>
      <c r="E60" s="6"/>
      <c r="F60" s="432">
        <f t="shared" si="42"/>
        <v>0</v>
      </c>
      <c r="G60" s="649"/>
      <c r="H60" s="432">
        <f t="shared" si="43"/>
        <v>0</v>
      </c>
      <c r="I60" s="6"/>
      <c r="J60" s="432">
        <f t="shared" si="44"/>
        <v>0</v>
      </c>
      <c r="K60" s="438">
        <f t="shared" si="45"/>
        <v>0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/>
      <c r="D61" s="432">
        <f t="shared" si="41"/>
        <v>0</v>
      </c>
      <c r="E61" s="6"/>
      <c r="F61" s="432">
        <f t="shared" si="42"/>
        <v>0</v>
      </c>
      <c r="G61" s="649"/>
      <c r="H61" s="432">
        <f t="shared" si="43"/>
        <v>0</v>
      </c>
      <c r="I61" s="6"/>
      <c r="J61" s="432">
        <f t="shared" si="44"/>
        <v>0</v>
      </c>
      <c r="K61" s="438">
        <f t="shared" si="45"/>
        <v>0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/>
      <c r="D62" s="432">
        <f t="shared" si="41"/>
        <v>0</v>
      </c>
      <c r="E62" s="6"/>
      <c r="F62" s="432">
        <f t="shared" si="42"/>
        <v>0</v>
      </c>
      <c r="G62" s="649"/>
      <c r="H62" s="432">
        <f t="shared" si="43"/>
        <v>0</v>
      </c>
      <c r="I62" s="6"/>
      <c r="J62" s="432">
        <f t="shared" si="44"/>
        <v>0</v>
      </c>
      <c r="K62" s="438">
        <f t="shared" si="45"/>
        <v>0</v>
      </c>
    </row>
    <row r="63" spans="1:15" ht="13.5">
      <c r="A63" s="384">
        <f>Gen!A28</f>
        <v>43879</v>
      </c>
      <c r="B63" s="20"/>
      <c r="C63" s="63"/>
      <c r="D63" s="432">
        <f t="shared" si="41"/>
        <v>0</v>
      </c>
      <c r="E63" s="6"/>
      <c r="F63" s="432">
        <f t="shared" si="42"/>
        <v>0</v>
      </c>
      <c r="G63" s="649"/>
      <c r="H63" s="432">
        <f t="shared" si="43"/>
        <v>0</v>
      </c>
      <c r="I63" s="6"/>
      <c r="J63" s="432">
        <f t="shared" si="44"/>
        <v>0</v>
      </c>
      <c r="K63" s="438">
        <f t="shared" si="45"/>
        <v>0</v>
      </c>
    </row>
    <row r="64" spans="1:15" ht="13.5">
      <c r="A64" s="384">
        <f>Gen!A29</f>
        <v>43880</v>
      </c>
      <c r="B64" s="20"/>
      <c r="C64" s="63"/>
      <c r="D64" s="432">
        <f t="shared" si="41"/>
        <v>0</v>
      </c>
      <c r="E64" s="6"/>
      <c r="F64" s="432">
        <f t="shared" si="42"/>
        <v>0</v>
      </c>
      <c r="G64" s="649"/>
      <c r="H64" s="432">
        <f t="shared" si="43"/>
        <v>0</v>
      </c>
      <c r="I64" s="6"/>
      <c r="J64" s="432">
        <f t="shared" si="44"/>
        <v>0</v>
      </c>
      <c r="K64" s="438">
        <f t="shared" si="45"/>
        <v>0</v>
      </c>
    </row>
    <row r="65" spans="1:11" ht="13.5">
      <c r="A65" s="384">
        <f>Gen!A30</f>
        <v>43881</v>
      </c>
      <c r="B65" s="20"/>
      <c r="C65" s="63"/>
      <c r="D65" s="432">
        <f t="shared" si="41"/>
        <v>0</v>
      </c>
      <c r="E65" s="6"/>
      <c r="F65" s="432">
        <f t="shared" si="42"/>
        <v>0</v>
      </c>
      <c r="G65" s="649"/>
      <c r="H65" s="432">
        <f t="shared" si="43"/>
        <v>0</v>
      </c>
      <c r="I65" s="6"/>
      <c r="J65" s="432">
        <f t="shared" si="44"/>
        <v>0</v>
      </c>
      <c r="K65" s="438">
        <f t="shared" si="45"/>
        <v>0</v>
      </c>
    </row>
    <row r="66" spans="1:11" ht="13.5">
      <c r="A66" s="384">
        <f>Gen!A31</f>
        <v>43882</v>
      </c>
      <c r="B66" s="20"/>
      <c r="C66" s="63"/>
      <c r="D66" s="432">
        <f t="shared" si="41"/>
        <v>0</v>
      </c>
      <c r="E66" s="6"/>
      <c r="F66" s="432">
        <f t="shared" si="42"/>
        <v>0</v>
      </c>
      <c r="G66" s="649"/>
      <c r="H66" s="432">
        <f t="shared" si="43"/>
        <v>0</v>
      </c>
      <c r="I66" s="6"/>
      <c r="J66" s="432">
        <f t="shared" si="44"/>
        <v>0</v>
      </c>
      <c r="K66" s="438">
        <f t="shared" si="45"/>
        <v>0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4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3" workbookViewId="0">
      <selection activeCell="O7" sqref="O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43831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5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23950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</v>
      </c>
      <c r="C7" s="600">
        <f>Gen!AJ13</f>
        <v>0</v>
      </c>
      <c r="D7" s="601">
        <f>Gen!S13</f>
        <v>0</v>
      </c>
      <c r="E7" s="530">
        <f>Gen!C13</f>
        <v>27141.11</v>
      </c>
      <c r="F7" s="531" t="str">
        <f>'Water-Meter'!E8</f>
        <v>0</v>
      </c>
      <c r="G7" s="532">
        <f>'Water-Meter'!AN8</f>
        <v>0</v>
      </c>
      <c r="H7" s="530">
        <f>'Utility report '!AC8</f>
        <v>81</v>
      </c>
      <c r="I7" s="529">
        <f>'Kit report'!F6</f>
        <v>-1011408</v>
      </c>
      <c r="J7" s="530">
        <f>'Kit report'!X6</f>
        <v>-1520940</v>
      </c>
    </row>
    <row r="8" spans="1:10" ht="17.100000000000001" customHeight="1">
      <c r="A8" s="291">
        <v>43865</v>
      </c>
      <c r="B8" s="534">
        <f>Gen!B14</f>
        <v>0</v>
      </c>
      <c r="C8" s="600">
        <f>Gen!AJ14</f>
        <v>0</v>
      </c>
      <c r="D8" s="601">
        <f>Gen!S14</f>
        <v>0</v>
      </c>
      <c r="E8" s="530">
        <f>Gen!C14</f>
        <v>27141.11</v>
      </c>
      <c r="F8" s="531">
        <f>'Water-Meter'!E9</f>
        <v>0</v>
      </c>
      <c r="G8" s="532">
        <f>'Water-Meter'!AN9</f>
        <v>0</v>
      </c>
      <c r="H8" s="530">
        <f>'Utility report '!AC9</f>
        <v>-24132</v>
      </c>
      <c r="I8" s="529">
        <f>'Kit report'!F7</f>
        <v>0</v>
      </c>
      <c r="J8" s="530">
        <f>'Kit report'!X7</f>
        <v>0</v>
      </c>
    </row>
    <row r="9" spans="1:10" ht="17.100000000000001" customHeight="1">
      <c r="A9" s="291">
        <v>43866</v>
      </c>
      <c r="B9" s="534">
        <f>Gen!B15</f>
        <v>0</v>
      </c>
      <c r="C9" s="600">
        <f>Gen!AJ15</f>
        <v>0</v>
      </c>
      <c r="D9" s="601">
        <f>Gen!S15</f>
        <v>0</v>
      </c>
      <c r="E9" s="530">
        <f>Gen!C15</f>
        <v>27141.11</v>
      </c>
      <c r="F9" s="531">
        <f>'Water-Meter'!E10</f>
        <v>0</v>
      </c>
      <c r="G9" s="532">
        <f>'Water-Meter'!AN10</f>
        <v>0</v>
      </c>
      <c r="H9" s="530">
        <f>'Utility report '!AC10</f>
        <v>0</v>
      </c>
      <c r="I9" s="529">
        <f>'Kit report'!F8</f>
        <v>0</v>
      </c>
      <c r="J9" s="530">
        <f>'Kit report'!X8</f>
        <v>0</v>
      </c>
    </row>
    <row r="10" spans="1:10" ht="17.100000000000001" customHeight="1">
      <c r="A10" s="291">
        <v>43867</v>
      </c>
      <c r="B10" s="534">
        <f>Gen!B16</f>
        <v>0</v>
      </c>
      <c r="C10" s="600">
        <f>Gen!AJ16</f>
        <v>0</v>
      </c>
      <c r="D10" s="601">
        <f>Gen!S16</f>
        <v>0</v>
      </c>
      <c r="E10" s="530">
        <f>Gen!C16</f>
        <v>27141.11</v>
      </c>
      <c r="F10" s="531">
        <f>'Water-Meter'!E11</f>
        <v>0</v>
      </c>
      <c r="G10" s="532">
        <f>'Water-Meter'!AN11</f>
        <v>0</v>
      </c>
      <c r="H10" s="530">
        <f>'Utility report '!AC11</f>
        <v>0</v>
      </c>
      <c r="I10" s="529">
        <f>'Kit report'!F9</f>
        <v>0</v>
      </c>
      <c r="J10" s="530">
        <f>'Kit report'!X9</f>
        <v>0</v>
      </c>
    </row>
    <row r="11" spans="1:10" ht="17.100000000000001" customHeight="1">
      <c r="A11" s="291">
        <v>43868</v>
      </c>
      <c r="B11" s="534">
        <f>Gen!B17</f>
        <v>0</v>
      </c>
      <c r="C11" s="600">
        <f>Gen!AJ17</f>
        <v>0</v>
      </c>
      <c r="D11" s="601">
        <f>Gen!S17</f>
        <v>0</v>
      </c>
      <c r="E11" s="530">
        <f>Gen!C17</f>
        <v>27141.11</v>
      </c>
      <c r="F11" s="531">
        <f>'Water-Meter'!E12</f>
        <v>0</v>
      </c>
      <c r="G11" s="532">
        <f>'Water-Meter'!AN12</f>
        <v>0</v>
      </c>
      <c r="H11" s="530">
        <f>'Utility report '!AC12</f>
        <v>0</v>
      </c>
      <c r="I11" s="529">
        <f>'Kit report'!F10</f>
        <v>0</v>
      </c>
      <c r="J11" s="530">
        <f>'Kit report'!X10</f>
        <v>0</v>
      </c>
    </row>
    <row r="12" spans="1:10" ht="17.100000000000001" customHeight="1">
      <c r="A12" s="291">
        <v>43869</v>
      </c>
      <c r="B12" s="534">
        <f>Gen!B18</f>
        <v>0</v>
      </c>
      <c r="C12" s="600">
        <f>Gen!AJ18</f>
        <v>0</v>
      </c>
      <c r="D12" s="601">
        <f>Gen!S18</f>
        <v>0</v>
      </c>
      <c r="E12" s="530">
        <f>Gen!C18</f>
        <v>27141.11</v>
      </c>
      <c r="F12" s="531">
        <f>'Water-Meter'!E13</f>
        <v>0</v>
      </c>
      <c r="G12" s="532">
        <f>'Water-Meter'!AN13</f>
        <v>0</v>
      </c>
      <c r="H12" s="530">
        <f>'Utility report '!AC13</f>
        <v>0</v>
      </c>
      <c r="I12" s="529">
        <f>'Kit report'!F11</f>
        <v>0</v>
      </c>
      <c r="J12" s="530">
        <f>'Kit report'!X11</f>
        <v>0</v>
      </c>
    </row>
    <row r="13" spans="1:10" ht="17.100000000000001" customHeight="1">
      <c r="A13" s="291">
        <v>43870</v>
      </c>
      <c r="B13" s="534">
        <f>Gen!B19</f>
        <v>0</v>
      </c>
      <c r="C13" s="600">
        <f>Gen!AJ19</f>
        <v>0</v>
      </c>
      <c r="D13" s="601">
        <f>Gen!S19</f>
        <v>0</v>
      </c>
      <c r="E13" s="530">
        <f>Gen!C19</f>
        <v>27141.11</v>
      </c>
      <c r="F13" s="531">
        <f>'Water-Meter'!E14</f>
        <v>0</v>
      </c>
      <c r="G13" s="532">
        <f>'Water-Meter'!AN14</f>
        <v>0</v>
      </c>
      <c r="H13" s="530">
        <f>'Utility report '!AC14</f>
        <v>0</v>
      </c>
      <c r="I13" s="529">
        <f>'Kit report'!F12</f>
        <v>0</v>
      </c>
      <c r="J13" s="530">
        <f>'Kit report'!X12</f>
        <v>0</v>
      </c>
    </row>
    <row r="14" spans="1:10" ht="17.100000000000001" customHeight="1">
      <c r="A14" s="291">
        <v>43871</v>
      </c>
      <c r="B14" s="534">
        <f>Gen!B20</f>
        <v>0</v>
      </c>
      <c r="C14" s="600">
        <f>Gen!AJ20</f>
        <v>0</v>
      </c>
      <c r="D14" s="601">
        <f>Gen!S20</f>
        <v>0</v>
      </c>
      <c r="E14" s="530">
        <f>Gen!C20</f>
        <v>27141.11</v>
      </c>
      <c r="F14" s="531">
        <f>'Water-Meter'!E15</f>
        <v>0</v>
      </c>
      <c r="G14" s="532">
        <f>'Water-Meter'!AN15</f>
        <v>0</v>
      </c>
      <c r="H14" s="530">
        <f>'Utility report '!AC15</f>
        <v>0</v>
      </c>
      <c r="I14" s="529">
        <f>'Kit report'!F13</f>
        <v>0</v>
      </c>
      <c r="J14" s="530">
        <f>'Kit report'!X13</f>
        <v>0</v>
      </c>
    </row>
    <row r="15" spans="1:10" ht="17.100000000000001" customHeight="1">
      <c r="A15" s="291">
        <v>43872</v>
      </c>
      <c r="B15" s="534">
        <f>Gen!B21</f>
        <v>0</v>
      </c>
      <c r="C15" s="600">
        <f>Gen!AJ21</f>
        <v>0</v>
      </c>
      <c r="D15" s="601">
        <f>Gen!S21</f>
        <v>0</v>
      </c>
      <c r="E15" s="530">
        <f>Gen!C21</f>
        <v>27141.11</v>
      </c>
      <c r="F15" s="531">
        <f>'Water-Meter'!E16</f>
        <v>0</v>
      </c>
      <c r="G15" s="532">
        <f>'Water-Meter'!AN16</f>
        <v>0</v>
      </c>
      <c r="H15" s="530">
        <f>'Utility report '!AC16</f>
        <v>0</v>
      </c>
      <c r="I15" s="529">
        <f>'Kit report'!F14</f>
        <v>0</v>
      </c>
      <c r="J15" s="530">
        <f>'Kit report'!X14</f>
        <v>0</v>
      </c>
    </row>
    <row r="16" spans="1:10" ht="17.100000000000001" customHeight="1">
      <c r="A16" s="291">
        <v>43873</v>
      </c>
      <c r="B16" s="534">
        <f>Gen!B22</f>
        <v>0</v>
      </c>
      <c r="C16" s="600">
        <f>Gen!AJ22</f>
        <v>0</v>
      </c>
      <c r="D16" s="601">
        <f>Gen!S22</f>
        <v>0</v>
      </c>
      <c r="E16" s="530">
        <f>Gen!C22</f>
        <v>27141.11</v>
      </c>
      <c r="F16" s="531">
        <f>'Water-Meter'!E17</f>
        <v>0</v>
      </c>
      <c r="G16" s="532">
        <f>'Water-Meter'!AN17</f>
        <v>0</v>
      </c>
      <c r="H16" s="530">
        <f>'Utility report '!AC17</f>
        <v>0</v>
      </c>
      <c r="I16" s="529">
        <f>'Kit report'!F15</f>
        <v>0</v>
      </c>
      <c r="J16" s="530">
        <f>'Kit report'!X15</f>
        <v>0</v>
      </c>
    </row>
    <row r="17" spans="1:10" ht="17.100000000000001" customHeight="1">
      <c r="A17" s="291">
        <v>43874</v>
      </c>
      <c r="B17" s="534">
        <f>Gen!B23</f>
        <v>0</v>
      </c>
      <c r="C17" s="600">
        <f>Gen!AJ23</f>
        <v>0</v>
      </c>
      <c r="D17" s="601">
        <f>Gen!S23</f>
        <v>0</v>
      </c>
      <c r="E17" s="530">
        <f>Gen!C23</f>
        <v>27141.11</v>
      </c>
      <c r="F17" s="531">
        <f>'Water-Meter'!E18</f>
        <v>0</v>
      </c>
      <c r="G17" s="532">
        <f>'Water-Meter'!AN18</f>
        <v>0</v>
      </c>
      <c r="H17" s="530">
        <f>'Utility report '!AC18</f>
        <v>0</v>
      </c>
      <c r="I17" s="529">
        <f>'Kit report'!F16</f>
        <v>0</v>
      </c>
      <c r="J17" s="530">
        <f>'Kit report'!X16</f>
        <v>0</v>
      </c>
    </row>
    <row r="18" spans="1:10" ht="17.100000000000001" customHeight="1">
      <c r="A18" s="291">
        <v>43875</v>
      </c>
      <c r="B18" s="534">
        <f>Gen!B24</f>
        <v>0</v>
      </c>
      <c r="C18" s="600">
        <f>Gen!AJ24</f>
        <v>0</v>
      </c>
      <c r="D18" s="601">
        <f>Gen!S24</f>
        <v>0</v>
      </c>
      <c r="E18" s="530">
        <f>Gen!C24</f>
        <v>27141.11</v>
      </c>
      <c r="F18" s="531">
        <f>'Water-Meter'!E19</f>
        <v>0</v>
      </c>
      <c r="G18" s="532">
        <f>'Water-Meter'!AN19</f>
        <v>0</v>
      </c>
      <c r="H18" s="530">
        <f>'Utility report '!AC19</f>
        <v>0</v>
      </c>
      <c r="I18" s="529">
        <f>'Kit report'!F17</f>
        <v>0</v>
      </c>
      <c r="J18" s="530">
        <f>'Kit report'!X17</f>
        <v>0</v>
      </c>
    </row>
    <row r="19" spans="1:10" ht="17.100000000000001" customHeight="1">
      <c r="A19" s="291">
        <v>43876</v>
      </c>
      <c r="B19" s="534">
        <f>Gen!B25</f>
        <v>0</v>
      </c>
      <c r="C19" s="600">
        <f>Gen!AJ25</f>
        <v>0</v>
      </c>
      <c r="D19" s="601">
        <f>Gen!S25</f>
        <v>0</v>
      </c>
      <c r="E19" s="530">
        <f>Gen!C25</f>
        <v>27141.11</v>
      </c>
      <c r="F19" s="531">
        <f>'Water-Meter'!E20</f>
        <v>0</v>
      </c>
      <c r="G19" s="532">
        <f>'Water-Meter'!AN20</f>
        <v>0</v>
      </c>
      <c r="H19" s="530">
        <f>'Utility report '!AC20</f>
        <v>0</v>
      </c>
      <c r="I19" s="529">
        <f>'Kit report'!F18</f>
        <v>0</v>
      </c>
      <c r="J19" s="530">
        <f>'Kit report'!X18</f>
        <v>0</v>
      </c>
    </row>
    <row r="20" spans="1:10" ht="17.100000000000001" customHeight="1">
      <c r="A20" s="291">
        <v>43877</v>
      </c>
      <c r="B20" s="534">
        <f>Gen!B26</f>
        <v>0</v>
      </c>
      <c r="C20" s="600">
        <f>Gen!AJ26</f>
        <v>0</v>
      </c>
      <c r="D20" s="601">
        <f>Gen!S26</f>
        <v>0</v>
      </c>
      <c r="E20" s="530">
        <f>Gen!C26</f>
        <v>27141.11</v>
      </c>
      <c r="F20" s="531">
        <f>'Water-Meter'!E21</f>
        <v>0</v>
      </c>
      <c r="G20" s="532">
        <f>'Water-Meter'!AN21</f>
        <v>0</v>
      </c>
      <c r="H20" s="530">
        <f>'Utility report '!AC21</f>
        <v>0</v>
      </c>
      <c r="I20" s="529">
        <f>'Kit report'!F19</f>
        <v>0</v>
      </c>
      <c r="J20" s="530">
        <f>'Kit report'!X19</f>
        <v>0</v>
      </c>
    </row>
    <row r="21" spans="1:10" ht="15">
      <c r="A21" s="291">
        <v>43878</v>
      </c>
      <c r="B21" s="534">
        <f>Gen!B27</f>
        <v>0</v>
      </c>
      <c r="C21" s="600">
        <f>Gen!AJ27</f>
        <v>0</v>
      </c>
      <c r="D21" s="601">
        <f>Gen!S27</f>
        <v>0</v>
      </c>
      <c r="E21" s="530">
        <f>Gen!C27</f>
        <v>27141.11</v>
      </c>
      <c r="F21" s="531">
        <f>'Water-Meter'!E22</f>
        <v>0</v>
      </c>
      <c r="G21" s="532">
        <f>'Water-Meter'!AN22</f>
        <v>0</v>
      </c>
      <c r="H21" s="530">
        <f>'Utility report '!AC22</f>
        <v>0</v>
      </c>
      <c r="I21" s="529">
        <f>'Kit report'!F20</f>
        <v>0</v>
      </c>
      <c r="J21" s="530">
        <f>'Kit report'!X20</f>
        <v>0</v>
      </c>
    </row>
    <row r="22" spans="1:10" ht="15" customHeight="1">
      <c r="A22" s="291">
        <v>43879</v>
      </c>
      <c r="B22" s="534">
        <f>Gen!B28</f>
        <v>0</v>
      </c>
      <c r="C22" s="600">
        <f>Gen!AJ28</f>
        <v>0</v>
      </c>
      <c r="D22" s="601">
        <f>Gen!S28</f>
        <v>0</v>
      </c>
      <c r="E22" s="530">
        <f>Gen!C28</f>
        <v>27141.11</v>
      </c>
      <c r="F22" s="531">
        <f>'Water-Meter'!E23</f>
        <v>0</v>
      </c>
      <c r="G22" s="532">
        <f>'Water-Meter'!AN23</f>
        <v>0</v>
      </c>
      <c r="H22" s="530">
        <f>'Utility report '!AC23</f>
        <v>0</v>
      </c>
      <c r="I22" s="529">
        <f>'Kit report'!F21</f>
        <v>0</v>
      </c>
      <c r="J22" s="530">
        <f>'Kit report'!X21</f>
        <v>0</v>
      </c>
    </row>
    <row r="23" spans="1:10" ht="15" customHeight="1">
      <c r="A23" s="291">
        <v>43880</v>
      </c>
      <c r="B23" s="534">
        <f>Gen!B29</f>
        <v>0</v>
      </c>
      <c r="C23" s="600">
        <f>Gen!AJ29</f>
        <v>0</v>
      </c>
      <c r="D23" s="601">
        <f>Gen!S29</f>
        <v>0</v>
      </c>
      <c r="E23" s="530">
        <f>Gen!C29</f>
        <v>27141.11</v>
      </c>
      <c r="F23" s="531">
        <f>'Water-Meter'!E24</f>
        <v>0</v>
      </c>
      <c r="G23" s="532">
        <f>'Water-Meter'!AN24</f>
        <v>0</v>
      </c>
      <c r="H23" s="530">
        <f>'Utility report '!AC24</f>
        <v>0</v>
      </c>
      <c r="I23" s="529">
        <f>'Kit report'!F22</f>
        <v>0</v>
      </c>
      <c r="J23" s="530">
        <f>'Kit report'!X22</f>
        <v>0</v>
      </c>
    </row>
    <row r="24" spans="1:10" ht="15" customHeight="1">
      <c r="A24" s="291">
        <v>43881</v>
      </c>
      <c r="B24" s="534">
        <f>Gen!B30</f>
        <v>0</v>
      </c>
      <c r="C24" s="600">
        <f>Gen!AJ30</f>
        <v>0</v>
      </c>
      <c r="D24" s="601">
        <f>Gen!S30</f>
        <v>0</v>
      </c>
      <c r="E24" s="530">
        <f>Gen!C30</f>
        <v>27141.11</v>
      </c>
      <c r="F24" s="531">
        <f>'Water-Meter'!E25</f>
        <v>0</v>
      </c>
      <c r="G24" s="532">
        <f>'Water-Meter'!AN25</f>
        <v>0</v>
      </c>
      <c r="H24" s="530">
        <f>'Utility report '!AC25</f>
        <v>0</v>
      </c>
      <c r="I24" s="529">
        <f>'Kit report'!F23</f>
        <v>0</v>
      </c>
      <c r="J24" s="530">
        <f>'Kit report'!X23</f>
        <v>0</v>
      </c>
    </row>
    <row r="25" spans="1:10" ht="15" customHeight="1">
      <c r="A25" s="291">
        <v>43882</v>
      </c>
      <c r="B25" s="534">
        <f>Gen!B31</f>
        <v>0</v>
      </c>
      <c r="C25" s="600">
        <f>Gen!AJ31</f>
        <v>0</v>
      </c>
      <c r="D25" s="601">
        <f>Gen!S31</f>
        <v>0</v>
      </c>
      <c r="E25" s="530">
        <f>Gen!C31</f>
        <v>27141.11</v>
      </c>
      <c r="F25" s="531">
        <f>'Water-Meter'!E26</f>
        <v>0</v>
      </c>
      <c r="G25" s="532">
        <f>'Water-Meter'!AN26</f>
        <v>0</v>
      </c>
      <c r="H25" s="530">
        <f>'Utility report '!AC26</f>
        <v>0</v>
      </c>
      <c r="I25" s="529">
        <f>'Kit report'!F24</f>
        <v>0</v>
      </c>
      <c r="J25" s="530">
        <f>'Kit report'!X24</f>
        <v>0</v>
      </c>
    </row>
    <row r="26" spans="1:10" ht="15" customHeight="1">
      <c r="A26" s="291">
        <v>43883</v>
      </c>
      <c r="B26" s="534">
        <f>Gen!B32</f>
        <v>0</v>
      </c>
      <c r="C26" s="600">
        <f>Gen!AJ32</f>
        <v>0</v>
      </c>
      <c r="D26" s="601">
        <f>Gen!S32</f>
        <v>0</v>
      </c>
      <c r="E26" s="530">
        <f>Gen!C32</f>
        <v>27141.11</v>
      </c>
      <c r="F26" s="531">
        <f>'Water-Meter'!E27</f>
        <v>0</v>
      </c>
      <c r="G26" s="532">
        <f>'Water-Meter'!AN27</f>
        <v>0</v>
      </c>
      <c r="H26" s="530">
        <f>'Utility report '!AC27</f>
        <v>0</v>
      </c>
      <c r="I26" s="529">
        <f>'Kit report'!F25</f>
        <v>0</v>
      </c>
      <c r="J26" s="530">
        <f>'Kit report'!X25</f>
        <v>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27141.11</v>
      </c>
      <c r="F27" s="531">
        <f>'Water-Meter'!E28</f>
        <v>0</v>
      </c>
      <c r="G27" s="532">
        <f>'Water-Meter'!AN28</f>
        <v>0</v>
      </c>
      <c r="H27" s="530">
        <f>'Utility report '!AC28</f>
        <v>0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27141.11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27141.11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27141.11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27141.11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27141.11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27141.11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27141.11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27141.11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27141.11</v>
      </c>
      <c r="F36" s="531">
        <f>'Water-Meter'!E37</f>
        <v>0</v>
      </c>
      <c r="G36" s="532">
        <f>'Water-Meter'!AN37</f>
        <v>68</v>
      </c>
      <c r="H36" s="530">
        <f>'Utility report '!AC37</f>
        <v>0</v>
      </c>
      <c r="I36" s="529">
        <f>'Kit report'!F35</f>
        <v>-1010496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2020-02-03T05:05:58Z</dcterms:modified>
</cp:coreProperties>
</file>