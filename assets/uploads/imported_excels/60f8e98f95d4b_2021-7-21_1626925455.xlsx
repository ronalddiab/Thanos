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165" windowHeight="11085" tabRatio="581" firstSheet="4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U22" i="3"/>
  <c r="H18"/>
  <c r="AA19" i="2"/>
  <c r="AC19"/>
  <c r="P19" i="1"/>
  <c r="Q19"/>
  <c r="AC19"/>
  <c r="G17" i="76"/>
  <c r="C18"/>
  <c r="T13" i="3" l="1"/>
  <c r="N13" i="2"/>
  <c r="T10" i="3"/>
  <c r="H25"/>
  <c r="H7"/>
  <c r="T9" l="1"/>
  <c r="S3" i="2" l="1"/>
  <c r="C26" i="1" l="1"/>
  <c r="C27" s="1"/>
  <c r="C28" s="1"/>
  <c r="C29" s="1"/>
  <c r="C30" s="1"/>
  <c r="C31" s="1"/>
  <c r="C32" s="1"/>
  <c r="C33" s="1"/>
  <c r="C34" s="1"/>
  <c r="C35" s="1"/>
  <c r="B26"/>
  <c r="B27" s="1"/>
  <c r="B28" s="1"/>
  <c r="B29" s="1"/>
  <c r="B30" s="1"/>
  <c r="B31" s="1"/>
  <c r="B32" s="1"/>
  <c r="B33" s="1"/>
  <c r="B34" s="1"/>
  <c r="B35" s="1"/>
  <c r="H11"/>
  <c r="H14" s="1"/>
  <c r="H15" s="1"/>
  <c r="H16" s="1"/>
  <c r="H17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8" s="1"/>
  <c r="M19" s="1"/>
  <c r="M20" s="1"/>
  <c r="M21" s="1"/>
  <c r="M23" s="1"/>
  <c r="M24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8" s="1"/>
  <c r="K19" s="1"/>
  <c r="K20" s="1"/>
  <c r="K21" s="1"/>
  <c r="K23" s="1"/>
  <c r="K24" s="1"/>
  <c r="F11"/>
  <c r="F14" s="1"/>
  <c r="F15" s="1"/>
  <c r="F16" s="1"/>
  <c r="F17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8" s="1"/>
  <c r="H20" s="1"/>
  <c r="H24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7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7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7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7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5" s="1"/>
  <c r="AT24" s="1"/>
  <c r="AT25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22" s="1"/>
  <c r="AV27" s="1"/>
  <c r="AV28" s="1"/>
  <c r="AV29" s="1"/>
  <c r="AV30" s="1"/>
  <c r="AV31" s="1"/>
  <c r="AW5"/>
  <c r="AX5"/>
  <c r="AX6" s="1"/>
  <c r="AX7" s="1"/>
  <c r="AX8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8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9" s="1"/>
  <c r="X20" s="1"/>
  <c r="X21" s="1"/>
  <c r="X22" s="1"/>
  <c r="X24" s="1"/>
  <c r="X25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22" s="1"/>
  <c r="W23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5" s="1"/>
  <c r="Y22" s="1"/>
  <c r="Y23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A13" i="1"/>
  <c r="AJ35" l="1"/>
  <c r="P6"/>
  <c r="P7" s="1"/>
  <c r="P8" s="1"/>
  <c r="P9" s="1"/>
  <c r="P10" s="1"/>
  <c r="P11" s="1"/>
  <c r="P13" s="1"/>
  <c r="P14" s="1"/>
  <c r="P16" s="1"/>
  <c r="P17" s="1"/>
  <c r="P18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24" s="1"/>
  <c r="D25" s="1"/>
  <c r="D26" s="1"/>
  <c r="D27" s="1"/>
  <c r="D28" s="1"/>
  <c r="D29" s="1"/>
  <c r="D30" s="1"/>
  <c r="D31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Q13" i="1" l="1"/>
  <c r="Q14" s="1"/>
  <c r="Q16" s="1"/>
  <c r="Q17" s="1"/>
  <c r="Q18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M6"/>
  <c r="M7" s="1"/>
  <c r="K26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8" s="1"/>
  <c r="AA20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2" s="1"/>
  <c r="AC13" s="1"/>
  <c r="AC18" s="1"/>
  <c r="AC20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D18" s="1"/>
  <c r="E16"/>
  <c r="S12" i="3"/>
  <c r="U12" l="1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6"/>
  <c r="AQ36" s="1"/>
  <c r="AR35"/>
  <c r="T16" i="3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5" l="1"/>
  <c r="AR15"/>
  <c r="BC15" s="1"/>
  <c r="AS11"/>
  <c r="AS13"/>
  <c r="AS14"/>
  <c r="AS9"/>
  <c r="AS10"/>
  <c r="AX12"/>
  <c r="AS6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S18" i="7" l="1"/>
  <c r="AR18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S35" i="3" l="1"/>
  <c r="U30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T33"/>
  <c r="V32"/>
  <c r="W32" s="1"/>
  <c r="U32"/>
  <c r="AR31" l="1"/>
  <c r="AS31" s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22" s="1"/>
  <c r="T23" s="1"/>
  <c r="T24" s="1"/>
  <c r="T25" s="1"/>
  <c r="T26" s="1"/>
  <c r="T27" s="1"/>
  <c r="AB24"/>
  <c r="AA24" l="1"/>
  <c r="AC24" s="1"/>
  <c r="AH24" s="1"/>
  <c r="AA17"/>
  <c r="AC17" s="1"/>
  <c r="AH17" s="1"/>
  <c r="AB28"/>
  <c r="T28"/>
  <c r="T29" s="1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  <comment ref="A15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EDL records taken at 08:30 AM</t>
        </r>
      </text>
    </comment>
    <comment ref="A17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were taken at 7:15am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<sst xmlns="http://schemas.openxmlformats.org/spreadsheetml/2006/main" count="660" uniqueCount="421">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</sst>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78112640"/>
        <c:axId val="78114176"/>
      </c:lineChart>
      <c:catAx>
        <c:axId val="7811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114176"/>
        <c:crosses val="autoZero"/>
        <c:auto val="1"/>
        <c:lblAlgn val="ctr"/>
        <c:lblOffset val="100"/>
      </c:catAx>
      <c:valAx>
        <c:axId val="78114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11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78257536"/>
        <c:axId val="78275712"/>
      </c:lineChart>
      <c:catAx>
        <c:axId val="7825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75712"/>
        <c:crosses val="autoZero"/>
        <c:auto val="1"/>
        <c:lblAlgn val="ctr"/>
        <c:lblOffset val="100"/>
      </c:catAx>
      <c:valAx>
        <c:axId val="7827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5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2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78296192"/>
        <c:axId val="78297728"/>
      </c:lineChart>
      <c:catAx>
        <c:axId val="782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97728"/>
        <c:crosses val="autoZero"/>
        <c:auto val="1"/>
        <c:lblAlgn val="ctr"/>
        <c:lblOffset val="100"/>
      </c:catAx>
      <c:valAx>
        <c:axId val="782977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78330496"/>
        <c:axId val="78332288"/>
      </c:lineChart>
      <c:catAx>
        <c:axId val="7833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32288"/>
        <c:crosses val="autoZero"/>
        <c:auto val="1"/>
        <c:lblAlgn val="ctr"/>
        <c:lblOffset val="100"/>
      </c:catAx>
      <c:valAx>
        <c:axId val="78332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3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91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78360960"/>
        <c:axId val="78362496"/>
      </c:lineChart>
      <c:catAx>
        <c:axId val="7836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2496"/>
        <c:crosses val="autoZero"/>
        <c:auto val="1"/>
        <c:lblAlgn val="ctr"/>
        <c:lblOffset val="100"/>
      </c:catAx>
      <c:valAx>
        <c:axId val="78362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4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8739712"/>
        <c:axId val="78741504"/>
      </c:lineChart>
      <c:catAx>
        <c:axId val="787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41504"/>
        <c:crosses val="autoZero"/>
        <c:auto val="1"/>
        <c:lblAlgn val="ctr"/>
        <c:lblOffset val="100"/>
      </c:catAx>
      <c:valAx>
        <c:axId val="7874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8852096"/>
        <c:axId val="78853632"/>
      </c:lineChart>
      <c:catAx>
        <c:axId val="788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53632"/>
        <c:crosses val="autoZero"/>
        <c:auto val="1"/>
        <c:lblAlgn val="ctr"/>
        <c:lblOffset val="100"/>
      </c:catAx>
      <c:valAx>
        <c:axId val="7885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8878208"/>
        <c:axId val="78879744"/>
      </c:lineChart>
      <c:catAx>
        <c:axId val="7887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79744"/>
        <c:crosses val="autoZero"/>
        <c:auto val="1"/>
        <c:lblAlgn val="ctr"/>
        <c:lblOffset val="100"/>
      </c:catAx>
      <c:valAx>
        <c:axId val="7887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7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8908416"/>
        <c:axId val="78914304"/>
      </c:lineChart>
      <c:catAx>
        <c:axId val="789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4304"/>
        <c:crosses val="autoZero"/>
        <c:auto val="1"/>
        <c:lblAlgn val="ctr"/>
        <c:lblOffset val="100"/>
      </c:catAx>
      <c:valAx>
        <c:axId val="78914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502"/>
          <c:w val="0.1272403315177505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8942976"/>
        <c:axId val="78944512"/>
      </c:lineChart>
      <c:catAx>
        <c:axId val="789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44512"/>
        <c:crosses val="autoZero"/>
        <c:auto val="1"/>
        <c:lblAlgn val="ctr"/>
        <c:lblOffset val="100"/>
      </c:catAx>
      <c:valAx>
        <c:axId val="7894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9173888"/>
        <c:axId val="79183872"/>
      </c:lineChart>
      <c:catAx>
        <c:axId val="7917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83872"/>
        <c:crosses val="autoZero"/>
        <c:auto val="1"/>
        <c:lblAlgn val="ctr"/>
        <c:lblOffset val="100"/>
      </c:catAx>
      <c:valAx>
        <c:axId val="79183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77402496"/>
        <c:axId val="77404032"/>
      </c:lineChart>
      <c:catAx>
        <c:axId val="774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04032"/>
        <c:crosses val="autoZero"/>
        <c:auto val="1"/>
        <c:lblAlgn val="ctr"/>
        <c:lblOffset val="100"/>
      </c:catAx>
      <c:valAx>
        <c:axId val="774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2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110</c:v>
                </c:pt>
                <c:pt idx="13">
                  <c:v>94.699999999953434</c:v>
                </c:pt>
                <c:pt idx="14">
                  <c:v>131</c:v>
                </c:pt>
                <c:pt idx="15">
                  <c:v>44</c:v>
                </c:pt>
                <c:pt idx="16">
                  <c:v>109</c:v>
                </c:pt>
                <c:pt idx="17">
                  <c:v>106</c:v>
                </c:pt>
                <c:pt idx="18">
                  <c:v>157</c:v>
                </c:pt>
                <c:pt idx="19">
                  <c:v>0</c:v>
                </c:pt>
                <c:pt idx="20">
                  <c:v>135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79374592"/>
        <c:axId val="79384576"/>
      </c:lineChart>
      <c:catAx>
        <c:axId val="7937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84576"/>
        <c:crosses val="autoZero"/>
        <c:auto val="1"/>
        <c:lblAlgn val="ctr"/>
        <c:lblOffset val="100"/>
      </c:catAx>
      <c:valAx>
        <c:axId val="7938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502"/>
          <c:w val="0.13541688538936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79413248"/>
        <c:axId val="79414784"/>
      </c:lineChart>
      <c:catAx>
        <c:axId val="794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14784"/>
        <c:crosses val="autoZero"/>
        <c:auto val="1"/>
        <c:lblAlgn val="ctr"/>
        <c:lblOffset val="100"/>
      </c:catAx>
      <c:valAx>
        <c:axId val="79414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50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77674368"/>
        <c:axId val="77675904"/>
      </c:lineChart>
      <c:catAx>
        <c:axId val="7767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675904"/>
        <c:crosses val="autoZero"/>
        <c:auto val="1"/>
        <c:lblAlgn val="ctr"/>
        <c:lblOffset val="100"/>
      </c:catAx>
      <c:valAx>
        <c:axId val="77675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67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77712768"/>
        <c:axId val="79627392"/>
      </c:lineChart>
      <c:catAx>
        <c:axId val="777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27392"/>
        <c:crosses val="autoZero"/>
        <c:auto val="1"/>
        <c:lblAlgn val="ctr"/>
        <c:lblOffset val="100"/>
      </c:catAx>
      <c:valAx>
        <c:axId val="7962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7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502"/>
          <c:w val="0.13541688538936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79656064"/>
        <c:axId val="79657600"/>
      </c:lineChart>
      <c:catAx>
        <c:axId val="796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57600"/>
        <c:crosses val="autoZero"/>
        <c:auto val="1"/>
        <c:lblAlgn val="ctr"/>
        <c:lblOffset val="100"/>
      </c:catAx>
      <c:valAx>
        <c:axId val="79657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65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-3986.8064516129089</c:v>
                </c:pt>
                <c:pt idx="12">
                  <c:v>-4309.9354838709769</c:v>
                </c:pt>
                <c:pt idx="13">
                  <c:v>-5025.1774193548408</c:v>
                </c:pt>
                <c:pt idx="14">
                  <c:v>-5331.8548387096671</c:v>
                </c:pt>
                <c:pt idx="15">
                  <c:v>-2859.7419354838785</c:v>
                </c:pt>
                <c:pt idx="16">
                  <c:v>-4621.7258064515918</c:v>
                </c:pt>
                <c:pt idx="17">
                  <c:v>-4223.4838709677497</c:v>
                </c:pt>
                <c:pt idx="18">
                  <c:v>-4504.9838709677497</c:v>
                </c:pt>
                <c:pt idx="19">
                  <c:v>-4530.1612903225796</c:v>
                </c:pt>
                <c:pt idx="20">
                  <c:v>-4906.8387096774204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79678080"/>
        <c:axId val="79696256"/>
      </c:lineChart>
      <c:catAx>
        <c:axId val="796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96256"/>
        <c:crosses val="autoZero"/>
        <c:auto val="1"/>
        <c:lblAlgn val="ctr"/>
        <c:lblOffset val="100"/>
      </c:catAx>
      <c:valAx>
        <c:axId val="79696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79725312"/>
        <c:axId val="79726848"/>
      </c:lineChart>
      <c:catAx>
        <c:axId val="797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26848"/>
        <c:crosses val="autoZero"/>
        <c:auto val="1"/>
        <c:lblAlgn val="ctr"/>
        <c:lblOffset val="100"/>
      </c:catAx>
      <c:valAx>
        <c:axId val="7972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5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79763712"/>
        <c:axId val="79781888"/>
      </c:lineChart>
      <c:catAx>
        <c:axId val="7976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81888"/>
        <c:crosses val="autoZero"/>
        <c:auto val="1"/>
        <c:lblAlgn val="ctr"/>
        <c:lblOffset val="100"/>
      </c:catAx>
      <c:valAx>
        <c:axId val="797818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88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79794176"/>
        <c:axId val="79795712"/>
      </c:lineChart>
      <c:catAx>
        <c:axId val="7979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5712"/>
        <c:crosses val="autoZero"/>
        <c:auto val="1"/>
        <c:lblAlgn val="ctr"/>
        <c:lblOffset val="100"/>
      </c:catAx>
      <c:valAx>
        <c:axId val="79795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79836672"/>
        <c:axId val="79838208"/>
      </c:lineChart>
      <c:catAx>
        <c:axId val="798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38208"/>
        <c:crosses val="autoZero"/>
        <c:auto val="1"/>
        <c:lblAlgn val="ctr"/>
        <c:lblOffset val="100"/>
      </c:catAx>
      <c:valAx>
        <c:axId val="7983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6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79854592"/>
        <c:axId val="79876864"/>
      </c:lineChart>
      <c:catAx>
        <c:axId val="798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76864"/>
        <c:crosses val="autoZero"/>
        <c:auto val="1"/>
        <c:lblAlgn val="ctr"/>
        <c:lblOffset val="100"/>
      </c:catAx>
      <c:valAx>
        <c:axId val="7987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50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79979264"/>
        <c:axId val="79980800"/>
      </c:lineChart>
      <c:catAx>
        <c:axId val="7997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80800"/>
        <c:crosses val="autoZero"/>
        <c:auto val="1"/>
        <c:lblAlgn val="ctr"/>
        <c:lblOffset val="100"/>
      </c:catAx>
      <c:valAx>
        <c:axId val="7998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7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914"/>
          <c:w val="0.123431181980937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0010624"/>
        <c:axId val="80020608"/>
      </c:lineChart>
      <c:catAx>
        <c:axId val="80010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20608"/>
        <c:crosses val="autoZero"/>
        <c:auto val="1"/>
        <c:lblAlgn val="ctr"/>
        <c:lblOffset val="100"/>
      </c:catAx>
      <c:valAx>
        <c:axId val="80020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952"/>
          <c:w val="0.1569039853282316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0052992"/>
        <c:axId val="80054528"/>
      </c:lineChart>
      <c:catAx>
        <c:axId val="8005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54528"/>
        <c:crosses val="autoZero"/>
        <c:auto val="1"/>
        <c:lblAlgn val="ctr"/>
        <c:lblOffset val="100"/>
      </c:catAx>
      <c:valAx>
        <c:axId val="80054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5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27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0132736"/>
        <c:axId val="80138624"/>
      </c:lineChart>
      <c:catAx>
        <c:axId val="801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38624"/>
        <c:crosses val="autoZero"/>
        <c:auto val="1"/>
        <c:lblAlgn val="ctr"/>
        <c:lblOffset val="100"/>
      </c:catAx>
      <c:valAx>
        <c:axId val="8013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3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56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79587200"/>
        <c:axId val="79588736"/>
      </c:lineChart>
      <c:catAx>
        <c:axId val="79587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88736"/>
        <c:crosses val="autoZero"/>
        <c:auto val="1"/>
        <c:lblAlgn val="ctr"/>
        <c:lblOffset val="100"/>
      </c:catAx>
      <c:valAx>
        <c:axId val="79588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8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95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W34">
            <v>0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G32">
            <v>0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W32">
            <v>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T35">
            <v>0</v>
          </cell>
          <cell r="AU35">
            <v>0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Y29">
            <v>0</v>
          </cell>
          <cell r="Z29">
            <v>0</v>
          </cell>
          <cell r="AA29">
            <v>16100</v>
          </cell>
          <cell r="AB29">
            <v>0</v>
          </cell>
          <cell r="AC29">
            <v>7234333</v>
          </cell>
        </row>
        <row r="30">
          <cell r="W30">
            <v>0</v>
          </cell>
          <cell r="AB30">
            <v>1953504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6094.7509121061357</v>
          </cell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0.16618430862216846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0.8629446568998741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0.41978327619786759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0.55500465499628349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0.50760934136141855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0.30749093457336713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0.55115706077854976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0.42015030307070178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13408</v>
      </c>
      <c r="F13" s="326">
        <f>SUM('EDl log'!T15)</f>
        <v>0.49320126020263572</v>
      </c>
      <c r="G13" s="203">
        <f>-tanks!AW17</f>
        <v>110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261</v>
      </c>
      <c r="L13" s="327">
        <f>SUM(WATER!J17)</f>
        <v>0.9269558769002596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17093</v>
      </c>
      <c r="F14" s="326">
        <f>SUM('EDl log'!T16)</f>
        <v>0.41718306157018697</v>
      </c>
      <c r="G14" s="203">
        <f>-tanks!AW18</f>
        <v>94.699999999953434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14998</v>
      </c>
      <c r="F15" s="326">
        <f>SUM('EDl log'!T17)</f>
        <v>0.54822261249497439</v>
      </c>
      <c r="G15" s="203">
        <f>-tanks!AW19</f>
        <v>131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234</v>
      </c>
      <c r="L15" s="327">
        <f>SUM(WATER!J19)</f>
        <v>1.0339123242349049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16323</v>
      </c>
      <c r="F16" s="326">
        <f>SUM('EDl log'!T18)</f>
        <v>0.54773895102812709</v>
      </c>
      <c r="G16" s="203">
        <f>-tanks!AW20</f>
        <v>44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14493</v>
      </c>
      <c r="F17" s="326">
        <f>SUM('EDl log'!T19)</f>
        <v>0.32569248993123084</v>
      </c>
      <c r="G17" s="203">
        <f>-tanks!AW21</f>
        <v>109</v>
      </c>
      <c r="H17" s="326">
        <f>SUM(tanks!AV21)</f>
        <v>2.02</v>
      </c>
      <c r="I17" s="10">
        <f>('B5'!AU20)*0.51</f>
        <v>0</v>
      </c>
      <c r="J17" s="306">
        <f>'B5'!AX20/0.51</f>
        <v>1.5686274509803921</v>
      </c>
      <c r="K17" s="203">
        <f>WATER!I21</f>
        <v>151</v>
      </c>
      <c r="L17" s="327">
        <f>SUM(WATER!J21)</f>
        <v>1.6022217474898526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15076</v>
      </c>
      <c r="F18" s="326">
        <f>SUM('EDl log'!T20)</f>
        <v>0.50508362676782348</v>
      </c>
      <c r="G18" s="203">
        <f>-tanks!AW22</f>
        <v>106</v>
      </c>
      <c r="H18" s="326">
        <f>SUM(tanks!AV22)</f>
        <v>1.1719999999999999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15663</v>
      </c>
      <c r="F19" s="326">
        <f>SUM('EDl log'!T21)</f>
        <v>0.44304990972210845</v>
      </c>
      <c r="G19" s="203">
        <f>-tanks!AW23</f>
        <v>157</v>
      </c>
      <c r="H19" s="326">
        <f>SUM(tanks!AV23)</f>
        <v>1.1719999999999999</v>
      </c>
      <c r="I19" s="10">
        <f>('B5'!AU22)*0.51</f>
        <v>0</v>
      </c>
      <c r="J19" s="306">
        <f>'B5'!AX22/0.51</f>
        <v>1.5686274509803921</v>
      </c>
      <c r="K19" s="203">
        <f>WATER!I23</f>
        <v>38</v>
      </c>
      <c r="L19" s="327">
        <f>SUM(WATER!J23)</f>
        <v>6.3667232597623089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15055</v>
      </c>
      <c r="F20" s="326">
        <f>SUM('EDl log'!T22)</f>
        <v>0.50433355348871312</v>
      </c>
      <c r="G20" s="203">
        <f>-tanks!AW24</f>
        <v>0</v>
      </c>
      <c r="H20" s="326">
        <f>SUM(tanks!AV24)</f>
        <v>1.1719999999999999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13608</v>
      </c>
      <c r="F21" s="326">
        <f>SUM('EDl log'!T23)</f>
        <v>0.54549538821120258</v>
      </c>
      <c r="G21" s="203">
        <f>-tanks!AW25</f>
        <v>135</v>
      </c>
      <c r="H21" s="326">
        <f>SUM(tanks!AV25)</f>
        <v>1.1719999999999999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14612</v>
      </c>
      <c r="F22" s="326">
        <f>SUM('EDl log'!T24)</f>
        <v>0.56227654666499716</v>
      </c>
      <c r="G22" s="203">
        <f>-tanks!AW26</f>
        <v>26</v>
      </c>
      <c r="H22" s="326">
        <f>SUM(tanks!AV26)</f>
        <v>1.1719999999999999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1.1719999999999999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1.1719999999999999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1.1719999999999999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1.1719999999999999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1.1719999999999999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1.1719999999999999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1.1719999999999999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1.1719999999999999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1.1719999999999999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1.1719999999999999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2322</v>
      </c>
      <c r="F13" s="203">
        <f>ELEC!K15</f>
        <v>2224</v>
      </c>
      <c r="G13" s="203">
        <f>ELEC!I15</f>
        <v>968</v>
      </c>
      <c r="H13" s="203">
        <f>ELEC!E15</f>
        <v>7392</v>
      </c>
      <c r="I13" s="203">
        <f>ELEC!G15</f>
        <v>502</v>
      </c>
      <c r="J13" s="203">
        <f>WATER!Y17</f>
        <v>29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2682</v>
      </c>
      <c r="F14" s="203">
        <f>ELEC!K16</f>
        <v>6968</v>
      </c>
      <c r="G14" s="203">
        <f>ELEC!I16</f>
        <v>1162</v>
      </c>
      <c r="H14" s="203">
        <f>ELEC!E16</f>
        <v>5574</v>
      </c>
      <c r="I14" s="203">
        <f>ELEC!G16</f>
        <v>707</v>
      </c>
      <c r="J14" s="203">
        <f>WATER!Y18</f>
        <v>115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2524</v>
      </c>
      <c r="F15" s="203">
        <f>ELEC!K17</f>
        <v>5838</v>
      </c>
      <c r="G15" s="203">
        <f>ELEC!I17</f>
        <v>1216</v>
      </c>
      <c r="H15" s="203">
        <f>ELEC!E17</f>
        <v>4580</v>
      </c>
      <c r="I15" s="203">
        <f>ELEC!G17</f>
        <v>840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2692</v>
      </c>
      <c r="F16" s="203">
        <f>ELEC!K18</f>
        <v>7782</v>
      </c>
      <c r="G16" s="203">
        <f>ELEC!I18</f>
        <v>1208</v>
      </c>
      <c r="H16" s="203">
        <f>ELEC!E18</f>
        <v>3678</v>
      </c>
      <c r="I16" s="203">
        <f>ELEC!G18</f>
        <v>963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2576</v>
      </c>
      <c r="F17" s="203">
        <f>ELEC!K19</f>
        <v>6792</v>
      </c>
      <c r="G17" s="203">
        <f>ELEC!I19</f>
        <v>1012</v>
      </c>
      <c r="H17" s="203">
        <f>ELEC!E19</f>
        <v>3324</v>
      </c>
      <c r="I17" s="203">
        <f>ELEC!G19</f>
        <v>789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2440</v>
      </c>
      <c r="F18" s="203">
        <f>ELEC!K20</f>
        <v>7734</v>
      </c>
      <c r="G18" s="203">
        <f>ELEC!I20</f>
        <v>858</v>
      </c>
      <c r="H18" s="203">
        <f>ELEC!E20</f>
        <v>3350</v>
      </c>
      <c r="I18" s="203">
        <f>ELEC!G20</f>
        <v>694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2572</v>
      </c>
      <c r="F19" s="203">
        <f>ELEC!K21</f>
        <v>2918</v>
      </c>
      <c r="G19" s="203">
        <f>ELEC!I21</f>
        <v>1060</v>
      </c>
      <c r="H19" s="203">
        <f>ELEC!E21</f>
        <v>8351</v>
      </c>
      <c r="I19" s="203">
        <f>ELEC!G21</f>
        <v>762</v>
      </c>
      <c r="J19" s="203">
        <f>WATER!Y23</f>
        <v>109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2604</v>
      </c>
      <c r="F20" s="203">
        <f>ELEC!K22</f>
        <v>2086</v>
      </c>
      <c r="G20" s="203">
        <f>ELEC!I22</f>
        <v>900</v>
      </c>
      <c r="H20" s="203">
        <f>ELEC!E22</f>
        <v>8712</v>
      </c>
      <c r="I20" s="203">
        <f>ELEC!G22</f>
        <v>753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2468</v>
      </c>
      <c r="F21" s="203">
        <f>ELEC!K23</f>
        <v>1766</v>
      </c>
      <c r="G21" s="203">
        <f>ELEC!I23</f>
        <v>960</v>
      </c>
      <c r="H21" s="203">
        <f>ELEC!E23</f>
        <v>7736</v>
      </c>
      <c r="I21" s="203">
        <f>ELEC!G23</f>
        <v>678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2642</v>
      </c>
      <c r="F22" s="203">
        <f>ELEC!K24</f>
        <v>3412</v>
      </c>
      <c r="G22" s="203">
        <f>ELEC!I24</f>
        <v>888</v>
      </c>
      <c r="H22" s="203">
        <f>ELEC!E24</f>
        <v>6965</v>
      </c>
      <c r="I22" s="203">
        <f>ELEC!G24</f>
        <v>705</v>
      </c>
      <c r="J22" s="203">
        <f>WATER!Y26</f>
        <v>85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24" activePane="bottomLeft" state="frozen"/>
      <selection activeCell="C1" sqref="C1"/>
      <selection pane="bottomLeft" activeCell="AK24" sqref="AK24:AL24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70" t="s">
        <v>418</v>
      </c>
      <c r="AL1" s="670"/>
      <c r="AM1" s="670"/>
      <c r="AN1" s="671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6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09">
        <v>44377</v>
      </c>
      <c r="AK3" s="611">
        <f>[1]ELEC!AK33</f>
        <v>479641</v>
      </c>
      <c r="AL3" s="611">
        <f>[1]ELEC!AL33</f>
        <v>437905</v>
      </c>
      <c r="AM3" s="612">
        <f>AK3+AL3</f>
        <v>917546</v>
      </c>
      <c r="AN3" s="612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55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35">
        <f>P3</f>
        <v>17599.473000000002</v>
      </c>
      <c r="Q4" s="462">
        <f t="shared" ref="Q4:Q13" si="1">(P4-P3)*1000</f>
        <v>0</v>
      </c>
      <c r="R4" s="613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1">
        <v>44378</v>
      </c>
      <c r="AK4" s="460">
        <f>AK3</f>
        <v>479641</v>
      </c>
      <c r="AL4" s="612">
        <f>AL3</f>
        <v>437905</v>
      </c>
      <c r="AM4" s="612">
        <f>AK4+AL4</f>
        <v>917546</v>
      </c>
      <c r="AN4" s="612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55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35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1">
        <v>44379</v>
      </c>
      <c r="AK5" s="460">
        <f t="shared" ref="AK5:AK33" si="20">AK4</f>
        <v>479641</v>
      </c>
      <c r="AL5" s="612">
        <f t="shared" ref="AL5:AL33" si="21">AL4</f>
        <v>437905</v>
      </c>
      <c r="AM5" s="612">
        <f t="shared" ref="AM5:AM33" si="22">AK5+AL5</f>
        <v>917546</v>
      </c>
      <c r="AN5" s="612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55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35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1">
        <v>44380</v>
      </c>
      <c r="AK6" s="460">
        <f t="shared" si="20"/>
        <v>479641</v>
      </c>
      <c r="AL6" s="612">
        <f t="shared" si="21"/>
        <v>437905</v>
      </c>
      <c r="AM6" s="612">
        <f t="shared" si="22"/>
        <v>917546</v>
      </c>
      <c r="AN6" s="612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55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35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1">
        <v>44381</v>
      </c>
      <c r="AK7" s="460">
        <v>482457</v>
      </c>
      <c r="AL7" s="612">
        <v>438077</v>
      </c>
      <c r="AM7" s="612">
        <f t="shared" si="22"/>
        <v>920534</v>
      </c>
      <c r="AN7" s="612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55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35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1">
        <v>44382</v>
      </c>
      <c r="AK8" s="460">
        <v>483384</v>
      </c>
      <c r="AL8" s="612">
        <f t="shared" si="21"/>
        <v>438077</v>
      </c>
      <c r="AM8" s="612">
        <f t="shared" si="22"/>
        <v>921461</v>
      </c>
      <c r="AN8" s="612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55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35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1">
        <v>44383</v>
      </c>
      <c r="AK9" s="460">
        <v>489710</v>
      </c>
      <c r="AL9" s="612">
        <v>438213</v>
      </c>
      <c r="AM9" s="612">
        <f t="shared" si="22"/>
        <v>927923</v>
      </c>
      <c r="AN9" s="612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53">
        <v>4054510</v>
      </c>
      <c r="G10" s="308">
        <f t="shared" si="24"/>
        <v>695</v>
      </c>
      <c r="H10" s="654">
        <v>17918150</v>
      </c>
      <c r="I10" s="308">
        <f t="shared" si="25"/>
        <v>996</v>
      </c>
      <c r="J10" s="653">
        <v>29278882</v>
      </c>
      <c r="K10" s="308">
        <f t="shared" si="26"/>
        <v>4108</v>
      </c>
      <c r="L10" s="654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56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54">
        <v>32851</v>
      </c>
      <c r="X10" s="444">
        <f t="shared" ref="X10:X31" si="35">W10-W9</f>
        <v>6</v>
      </c>
      <c r="Y10" s="653">
        <v>839184</v>
      </c>
      <c r="Z10" s="444">
        <f t="shared" si="34"/>
        <v>1480</v>
      </c>
      <c r="AA10" s="654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1">
        <v>44384</v>
      </c>
      <c r="AK10" s="460">
        <v>496891</v>
      </c>
      <c r="AL10" s="612">
        <v>438291</v>
      </c>
      <c r="AM10" s="612">
        <f t="shared" si="22"/>
        <v>935182</v>
      </c>
      <c r="AN10" s="612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53">
        <v>4055270</v>
      </c>
      <c r="G11" s="308">
        <f t="shared" si="24"/>
        <v>760</v>
      </c>
      <c r="H11" s="654">
        <v>17919240</v>
      </c>
      <c r="I11" s="308">
        <f t="shared" si="25"/>
        <v>1090</v>
      </c>
      <c r="J11" s="653">
        <v>29282450</v>
      </c>
      <c r="K11" s="308">
        <f t="shared" si="26"/>
        <v>3568</v>
      </c>
      <c r="L11" s="654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56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53">
        <v>840189</v>
      </c>
      <c r="Z11" s="444">
        <f t="shared" si="34"/>
        <v>1005</v>
      </c>
      <c r="AA11" s="654">
        <v>36229</v>
      </c>
      <c r="AB11" s="444">
        <f t="shared" si="30"/>
        <v>15</v>
      </c>
      <c r="AC11" s="653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1">
        <v>44385</v>
      </c>
      <c r="AK11" s="460">
        <v>503809</v>
      </c>
      <c r="AL11" s="612">
        <v>438429</v>
      </c>
      <c r="AM11" s="612">
        <f t="shared" si="22"/>
        <v>942238</v>
      </c>
      <c r="AN11" s="612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55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35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1">
        <v>44386</v>
      </c>
      <c r="AK12" s="460">
        <v>507511</v>
      </c>
      <c r="AL12" s="612">
        <v>438429</v>
      </c>
      <c r="AM12" s="612">
        <f t="shared" si="22"/>
        <v>945940</v>
      </c>
      <c r="AN12" s="612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55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35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1">
        <v>44387</v>
      </c>
      <c r="AK13" s="460">
        <v>511182</v>
      </c>
      <c r="AL13" s="612">
        <v>438456</v>
      </c>
      <c r="AM13" s="612">
        <f t="shared" si="22"/>
        <v>949638</v>
      </c>
      <c r="AN13" s="612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53">
        <v>4057642</v>
      </c>
      <c r="G14" s="308">
        <f t="shared" si="24"/>
        <v>916</v>
      </c>
      <c r="H14" s="654">
        <v>17922058</v>
      </c>
      <c r="I14" s="308">
        <f t="shared" si="25"/>
        <v>936</v>
      </c>
      <c r="J14" s="653">
        <v>29304766</v>
      </c>
      <c r="K14" s="308">
        <f t="shared" si="26"/>
        <v>4726</v>
      </c>
      <c r="L14" s="654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56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54">
        <v>32910</v>
      </c>
      <c r="X14" s="444">
        <f t="shared" si="35"/>
        <v>9</v>
      </c>
      <c r="Y14" s="653">
        <v>853763</v>
      </c>
      <c r="Z14" s="444">
        <f t="shared" si="34"/>
        <v>2298</v>
      </c>
      <c r="AA14" s="654">
        <v>36243</v>
      </c>
      <c r="AB14" s="444">
        <f t="shared" si="30"/>
        <v>14</v>
      </c>
      <c r="AC14" s="653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1">
        <v>44388</v>
      </c>
      <c r="AK14" s="444">
        <v>517889</v>
      </c>
      <c r="AL14" s="444">
        <v>438631</v>
      </c>
      <c r="AM14" s="612">
        <f t="shared" si="22"/>
        <v>956520</v>
      </c>
      <c r="AN14" s="612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7392</v>
      </c>
      <c r="F15" s="653">
        <v>4058144</v>
      </c>
      <c r="G15" s="308">
        <f t="shared" si="24"/>
        <v>502</v>
      </c>
      <c r="H15" s="654">
        <v>17923026</v>
      </c>
      <c r="I15" s="308">
        <f t="shared" si="25"/>
        <v>968</v>
      </c>
      <c r="J15" s="653">
        <v>29306990</v>
      </c>
      <c r="K15" s="308">
        <f t="shared" si="26"/>
        <v>2224</v>
      </c>
      <c r="L15" s="654">
        <v>24326244</v>
      </c>
      <c r="M15" s="308">
        <f t="shared" si="27"/>
        <v>2322</v>
      </c>
      <c r="N15" s="307">
        <f t="shared" si="28"/>
        <v>13408</v>
      </c>
      <c r="O15" s="461">
        <f t="shared" si="36"/>
        <v>0</v>
      </c>
      <c r="P15" s="656">
        <v>17721.553</v>
      </c>
      <c r="Q15" s="444">
        <f t="shared" ref="Q15:Q31" si="38">(P15-P14)*1000</f>
        <v>12056.000000000495</v>
      </c>
      <c r="R15" s="444">
        <f t="shared" ref="R15:R31" si="39">N15-Q15</f>
        <v>1351.9999999995052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654">
        <v>36259</v>
      </c>
      <c r="AB15" s="444">
        <f t="shared" si="30"/>
        <v>16</v>
      </c>
      <c r="AC15" s="653">
        <v>1033066</v>
      </c>
      <c r="AD15" s="444">
        <f t="shared" si="31"/>
        <v>4297</v>
      </c>
      <c r="AE15" s="466">
        <f t="shared" si="19"/>
        <v>16</v>
      </c>
      <c r="AF15" s="467">
        <f t="shared" si="4"/>
        <v>4297</v>
      </c>
      <c r="AG15" s="459">
        <f t="shared" si="37"/>
        <v>268.5625</v>
      </c>
      <c r="AI15" s="460">
        <f>R15-'EDl log'!B15</f>
        <v>-1075143.0000000005</v>
      </c>
      <c r="AJ15" s="591">
        <v>44389</v>
      </c>
      <c r="AK15" s="444">
        <v>524768</v>
      </c>
      <c r="AL15" s="444">
        <v>439144</v>
      </c>
      <c r="AM15" s="612">
        <f t="shared" si="22"/>
        <v>963912</v>
      </c>
      <c r="AN15" s="612">
        <f t="shared" si="32"/>
        <v>7392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5574</v>
      </c>
      <c r="F16" s="655">
        <v>4058851</v>
      </c>
      <c r="G16" s="308">
        <f t="shared" si="24"/>
        <v>707</v>
      </c>
      <c r="H16" s="440">
        <v>17924188</v>
      </c>
      <c r="I16" s="308">
        <f t="shared" si="25"/>
        <v>1162</v>
      </c>
      <c r="J16" s="440">
        <v>29313958</v>
      </c>
      <c r="K16" s="308">
        <f t="shared" si="26"/>
        <v>6968</v>
      </c>
      <c r="L16" s="440">
        <v>24328926</v>
      </c>
      <c r="M16" s="308">
        <f t="shared" si="27"/>
        <v>2682</v>
      </c>
      <c r="N16" s="307">
        <f t="shared" si="28"/>
        <v>17093</v>
      </c>
      <c r="O16" s="461">
        <f t="shared" si="36"/>
        <v>0</v>
      </c>
      <c r="P16" s="635">
        <v>17737.626</v>
      </c>
      <c r="Q16" s="444">
        <f>(P16-P15)*1000</f>
        <v>16073.00000000032</v>
      </c>
      <c r="R16" s="444">
        <f t="shared" si="39"/>
        <v>1019.9999999996799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v>32921</v>
      </c>
      <c r="X16" s="444">
        <f t="shared" si="35"/>
        <v>11</v>
      </c>
      <c r="Y16" s="440">
        <v>856822</v>
      </c>
      <c r="Z16" s="444">
        <f t="shared" si="34"/>
        <v>3059</v>
      </c>
      <c r="AA16" s="440">
        <v>36267</v>
      </c>
      <c r="AB16" s="444">
        <f t="shared" si="30"/>
        <v>8</v>
      </c>
      <c r="AC16" s="440">
        <v>1035104</v>
      </c>
      <c r="AD16" s="444">
        <f t="shared" si="31"/>
        <v>2038</v>
      </c>
      <c r="AE16" s="466">
        <f t="shared" si="19"/>
        <v>19</v>
      </c>
      <c r="AF16" s="467">
        <f t="shared" si="4"/>
        <v>5097</v>
      </c>
      <c r="AG16" s="459">
        <f t="shared" si="37"/>
        <v>268.26315789473682</v>
      </c>
      <c r="AI16" s="460">
        <f>R16-'EDl log'!B16</f>
        <v>-1075870.0000000002</v>
      </c>
      <c r="AJ16" s="591">
        <v>44390</v>
      </c>
      <c r="AK16" s="460">
        <v>530201</v>
      </c>
      <c r="AL16" s="612">
        <v>439285</v>
      </c>
      <c r="AM16" s="612">
        <f t="shared" si="22"/>
        <v>969486</v>
      </c>
      <c r="AN16" s="612">
        <f t="shared" si="32"/>
        <v>5574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4580</v>
      </c>
      <c r="F17" s="653">
        <v>4059691</v>
      </c>
      <c r="G17" s="308">
        <f t="shared" si="24"/>
        <v>840</v>
      </c>
      <c r="H17" s="654">
        <v>17925404</v>
      </c>
      <c r="I17" s="308">
        <f t="shared" si="25"/>
        <v>1216</v>
      </c>
      <c r="J17" s="653">
        <v>29319796</v>
      </c>
      <c r="K17" s="308">
        <f t="shared" si="26"/>
        <v>5838</v>
      </c>
      <c r="L17" s="654">
        <v>24331450</v>
      </c>
      <c r="M17" s="308">
        <f t="shared" si="27"/>
        <v>2524</v>
      </c>
      <c r="N17" s="307">
        <f t="shared" si="28"/>
        <v>14998</v>
      </c>
      <c r="O17" s="461">
        <f t="shared" si="36"/>
        <v>0</v>
      </c>
      <c r="P17" s="656">
        <v>17752.649000000001</v>
      </c>
      <c r="Q17" s="444">
        <f t="shared" si="38"/>
        <v>15023.000000001048</v>
      </c>
      <c r="R17" s="444">
        <f t="shared" si="39"/>
        <v>-25.000000001047738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654">
        <v>32936</v>
      </c>
      <c r="X17" s="444">
        <f>W17-W16</f>
        <v>15</v>
      </c>
      <c r="Y17" s="653">
        <v>860814</v>
      </c>
      <c r="Z17" s="444">
        <f>Y17-Y16</f>
        <v>3992</v>
      </c>
      <c r="AA17" s="654">
        <v>36272</v>
      </c>
      <c r="AB17" s="444">
        <f>AA17-AA16</f>
        <v>5</v>
      </c>
      <c r="AC17" s="653">
        <v>1036352</v>
      </c>
      <c r="AD17" s="444">
        <f t="shared" si="31"/>
        <v>1248</v>
      </c>
      <c r="AE17" s="466">
        <f t="shared" si="19"/>
        <v>20</v>
      </c>
      <c r="AF17" s="467">
        <f t="shared" si="4"/>
        <v>5240</v>
      </c>
      <c r="AG17" s="459">
        <f t="shared" si="37"/>
        <v>262</v>
      </c>
      <c r="AI17" s="460">
        <f>R17-'EDl log'!B17</f>
        <v>-1076915.0000000009</v>
      </c>
      <c r="AJ17" s="591">
        <v>44391</v>
      </c>
      <c r="AK17" s="444">
        <v>534597</v>
      </c>
      <c r="AL17" s="444">
        <v>439469</v>
      </c>
      <c r="AM17" s="612">
        <f t="shared" si="22"/>
        <v>974066</v>
      </c>
      <c r="AN17" s="612">
        <f t="shared" si="32"/>
        <v>4580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3678</v>
      </c>
      <c r="F18" s="653">
        <v>4060654</v>
      </c>
      <c r="G18" s="308">
        <f t="shared" si="24"/>
        <v>963</v>
      </c>
      <c r="H18" s="654">
        <v>17926612</v>
      </c>
      <c r="I18" s="308">
        <f t="shared" si="25"/>
        <v>1208</v>
      </c>
      <c r="J18" s="653">
        <v>29327578</v>
      </c>
      <c r="K18" s="308">
        <f t="shared" si="26"/>
        <v>7782</v>
      </c>
      <c r="L18" s="654">
        <v>24334142</v>
      </c>
      <c r="M18" s="308">
        <f t="shared" si="27"/>
        <v>2692</v>
      </c>
      <c r="N18" s="307">
        <f t="shared" si="28"/>
        <v>16323</v>
      </c>
      <c r="O18" s="461">
        <f t="shared" si="36"/>
        <v>0</v>
      </c>
      <c r="P18" s="656">
        <v>17768.694</v>
      </c>
      <c r="Q18" s="444">
        <f t="shared" si="38"/>
        <v>16044.999999998254</v>
      </c>
      <c r="R18" s="444">
        <f t="shared" si="39"/>
        <v>278.00000000174623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654">
        <v>32957</v>
      </c>
      <c r="X18" s="444">
        <f t="shared" si="35"/>
        <v>21</v>
      </c>
      <c r="Y18" s="653">
        <v>866122</v>
      </c>
      <c r="Z18" s="444">
        <f t="shared" si="34"/>
        <v>5308</v>
      </c>
      <c r="AA18" s="440">
        <f t="shared" si="17"/>
        <v>36272</v>
      </c>
      <c r="AB18" s="444">
        <f t="shared" si="30"/>
        <v>0</v>
      </c>
      <c r="AC18" s="440">
        <f t="shared" si="18"/>
        <v>1036352</v>
      </c>
      <c r="AD18" s="444">
        <f t="shared" ref="AD18:AD31" si="40">AC18-AC17</f>
        <v>0</v>
      </c>
      <c r="AE18" s="466">
        <f t="shared" si="19"/>
        <v>21</v>
      </c>
      <c r="AF18" s="467">
        <f t="shared" si="4"/>
        <v>5308</v>
      </c>
      <c r="AG18" s="459">
        <f t="shared" si="37"/>
        <v>252.76190476190476</v>
      </c>
      <c r="AI18" s="460">
        <f>R18-'EDl log'!B18</f>
        <v>-1077362.9999999981</v>
      </c>
      <c r="AJ18" s="591">
        <v>44392</v>
      </c>
      <c r="AK18" s="444">
        <v>538169</v>
      </c>
      <c r="AL18" s="444">
        <v>439575</v>
      </c>
      <c r="AM18" s="612">
        <f t="shared" si="22"/>
        <v>977744</v>
      </c>
      <c r="AN18" s="612">
        <f t="shared" si="32"/>
        <v>3678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3324</v>
      </c>
      <c r="F19" s="655">
        <v>4061443</v>
      </c>
      <c r="G19" s="308">
        <f t="shared" si="24"/>
        <v>789</v>
      </c>
      <c r="H19" s="440">
        <v>17927624</v>
      </c>
      <c r="I19" s="308">
        <f t="shared" si="25"/>
        <v>1012</v>
      </c>
      <c r="J19" s="440">
        <v>29334370</v>
      </c>
      <c r="K19" s="308">
        <f t="shared" si="26"/>
        <v>6792</v>
      </c>
      <c r="L19" s="440">
        <v>24336718</v>
      </c>
      <c r="M19" s="308">
        <f t="shared" si="27"/>
        <v>2576</v>
      </c>
      <c r="N19" s="307">
        <f t="shared" si="28"/>
        <v>14493</v>
      </c>
      <c r="O19" s="461">
        <f t="shared" si="36"/>
        <v>0</v>
      </c>
      <c r="P19" s="635">
        <v>17782.485000000001</v>
      </c>
      <c r="Q19" s="444">
        <f t="shared" si="38"/>
        <v>13791.000000001077</v>
      </c>
      <c r="R19" s="444">
        <f t="shared" si="39"/>
        <v>701.99999999892316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v>32976</v>
      </c>
      <c r="X19" s="444">
        <f t="shared" si="35"/>
        <v>19</v>
      </c>
      <c r="Y19" s="440">
        <v>870618</v>
      </c>
      <c r="Z19" s="444">
        <f t="shared" si="34"/>
        <v>4496</v>
      </c>
      <c r="AA19" s="440">
        <f t="shared" si="17"/>
        <v>36272</v>
      </c>
      <c r="AB19" s="444">
        <f t="shared" si="30"/>
        <v>0</v>
      </c>
      <c r="AC19" s="440">
        <f t="shared" si="18"/>
        <v>1036352</v>
      </c>
      <c r="AD19" s="444">
        <f t="shared" si="40"/>
        <v>0</v>
      </c>
      <c r="AE19" s="466">
        <f t="shared" si="19"/>
        <v>19</v>
      </c>
      <c r="AF19" s="467">
        <f t="shared" si="4"/>
        <v>4496</v>
      </c>
      <c r="AG19" s="459">
        <f t="shared" si="37"/>
        <v>236.63157894736841</v>
      </c>
      <c r="AI19" s="460">
        <f>R19-'EDl log'!B19</f>
        <v>-1077449.0000000012</v>
      </c>
      <c r="AJ19" s="591">
        <v>44393</v>
      </c>
      <c r="AK19" s="460">
        <v>541293</v>
      </c>
      <c r="AL19" s="612">
        <v>439775</v>
      </c>
      <c r="AM19" s="612">
        <f t="shared" si="22"/>
        <v>981068</v>
      </c>
      <c r="AN19" s="612">
        <f t="shared" si="32"/>
        <v>3324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3350</v>
      </c>
      <c r="F20" s="655">
        <v>4062137</v>
      </c>
      <c r="G20" s="308">
        <f t="shared" si="24"/>
        <v>694</v>
      </c>
      <c r="H20" s="440">
        <v>17928482</v>
      </c>
      <c r="I20" s="308">
        <f t="shared" si="25"/>
        <v>858</v>
      </c>
      <c r="J20" s="440">
        <v>29342104</v>
      </c>
      <c r="K20" s="308">
        <f t="shared" si="26"/>
        <v>7734</v>
      </c>
      <c r="L20" s="440">
        <v>24339158</v>
      </c>
      <c r="M20" s="308">
        <f t="shared" si="27"/>
        <v>2440</v>
      </c>
      <c r="N20" s="307">
        <f t="shared" si="28"/>
        <v>15076</v>
      </c>
      <c r="O20" s="461">
        <f t="shared" si="36"/>
        <v>0</v>
      </c>
      <c r="P20" s="635">
        <v>17797.524000000001</v>
      </c>
      <c r="Q20" s="444">
        <f t="shared" si="38"/>
        <v>15039.000000000669</v>
      </c>
      <c r="R20" s="444">
        <f t="shared" si="39"/>
        <v>36.999999999330612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v>32997</v>
      </c>
      <c r="X20" s="444">
        <f t="shared" si="35"/>
        <v>21</v>
      </c>
      <c r="Y20" s="440">
        <v>873883</v>
      </c>
      <c r="Z20" s="444">
        <f t="shared" si="34"/>
        <v>3265</v>
      </c>
      <c r="AA20" s="440">
        <f t="shared" si="17"/>
        <v>36272</v>
      </c>
      <c r="AB20" s="444">
        <f t="shared" si="30"/>
        <v>0</v>
      </c>
      <c r="AC20" s="440">
        <f t="shared" si="18"/>
        <v>1036352</v>
      </c>
      <c r="AD20" s="444">
        <f t="shared" si="40"/>
        <v>0</v>
      </c>
      <c r="AE20" s="466">
        <f t="shared" si="19"/>
        <v>21</v>
      </c>
      <c r="AF20" s="467">
        <f t="shared" si="4"/>
        <v>3265</v>
      </c>
      <c r="AG20" s="459">
        <f t="shared" si="37"/>
        <v>155.47619047619048</v>
      </c>
      <c r="AI20" s="460">
        <f>R20-'EDl log'!B20</f>
        <v>-1078355.0000000007</v>
      </c>
      <c r="AJ20" s="591">
        <v>44394</v>
      </c>
      <c r="AK20" s="460">
        <v>544540</v>
      </c>
      <c r="AL20" s="612">
        <v>439878</v>
      </c>
      <c r="AM20" s="612">
        <f t="shared" si="22"/>
        <v>984418</v>
      </c>
      <c r="AN20" s="612">
        <f t="shared" si="32"/>
        <v>3350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8351</v>
      </c>
      <c r="F21" s="655">
        <v>4062899</v>
      </c>
      <c r="G21" s="308">
        <f t="shared" si="24"/>
        <v>762</v>
      </c>
      <c r="H21" s="440">
        <v>17929542</v>
      </c>
      <c r="I21" s="308">
        <f t="shared" si="25"/>
        <v>1060</v>
      </c>
      <c r="J21" s="440">
        <v>29345022</v>
      </c>
      <c r="K21" s="308">
        <f t="shared" si="26"/>
        <v>2918</v>
      </c>
      <c r="L21" s="440">
        <v>24341730</v>
      </c>
      <c r="M21" s="308">
        <f t="shared" si="27"/>
        <v>2572</v>
      </c>
      <c r="N21" s="307">
        <f t="shared" si="28"/>
        <v>15663</v>
      </c>
      <c r="O21" s="461">
        <f t="shared" si="36"/>
        <v>0</v>
      </c>
      <c r="P21" s="635">
        <v>17811.968000000001</v>
      </c>
      <c r="Q21" s="444">
        <f>(P21-P20)*1000</f>
        <v>14443.999999999505</v>
      </c>
      <c r="R21" s="444">
        <f t="shared" si="39"/>
        <v>1219.0000000004948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v>32998</v>
      </c>
      <c r="X21" s="444">
        <f t="shared" si="35"/>
        <v>1</v>
      </c>
      <c r="Y21" s="440">
        <v>876223</v>
      </c>
      <c r="Z21" s="444">
        <f t="shared" si="34"/>
        <v>2340</v>
      </c>
      <c r="AA21" s="440">
        <v>36289</v>
      </c>
      <c r="AB21" s="444">
        <f t="shared" si="30"/>
        <v>17</v>
      </c>
      <c r="AC21" s="440">
        <v>1040810</v>
      </c>
      <c r="AD21" s="444">
        <f t="shared" si="40"/>
        <v>4458</v>
      </c>
      <c r="AE21" s="466">
        <f t="shared" si="19"/>
        <v>18</v>
      </c>
      <c r="AF21" s="467">
        <f t="shared" si="4"/>
        <v>6798</v>
      </c>
      <c r="AG21" s="459">
        <f t="shared" si="37"/>
        <v>377.66666666666669</v>
      </c>
      <c r="AI21" s="460">
        <f>R21-'EDl log'!B21</f>
        <v>-1078023.9999999995</v>
      </c>
      <c r="AJ21" s="591">
        <v>44395</v>
      </c>
      <c r="AK21" s="460">
        <v>552516</v>
      </c>
      <c r="AL21" s="612">
        <v>440253</v>
      </c>
      <c r="AM21" s="612">
        <f t="shared" si="22"/>
        <v>992769</v>
      </c>
      <c r="AN21" s="612">
        <f t="shared" si="32"/>
        <v>8351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8712</v>
      </c>
      <c r="F22" s="655">
        <v>4063652</v>
      </c>
      <c r="G22" s="308">
        <f t="shared" si="24"/>
        <v>753</v>
      </c>
      <c r="H22" s="440">
        <v>17930442</v>
      </c>
      <c r="I22" s="308">
        <f t="shared" si="25"/>
        <v>900</v>
      </c>
      <c r="J22" s="440">
        <v>29347108</v>
      </c>
      <c r="K22" s="308">
        <f t="shared" si="26"/>
        <v>2086</v>
      </c>
      <c r="L22" s="440">
        <v>24344334</v>
      </c>
      <c r="M22" s="308">
        <f t="shared" si="27"/>
        <v>2604</v>
      </c>
      <c r="N22" s="307">
        <f t="shared" si="28"/>
        <v>15055</v>
      </c>
      <c r="O22" s="461">
        <f t="shared" si="36"/>
        <v>0</v>
      </c>
      <c r="P22" s="635">
        <v>17826.951000000001</v>
      </c>
      <c r="Q22" s="444">
        <f t="shared" si="38"/>
        <v>14983.000000000175</v>
      </c>
      <c r="R22" s="444">
        <f t="shared" si="39"/>
        <v>71.999999999825377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32998</v>
      </c>
      <c r="X22" s="444">
        <f t="shared" si="35"/>
        <v>0</v>
      </c>
      <c r="Y22" s="440">
        <f t="shared" si="16"/>
        <v>876223</v>
      </c>
      <c r="Z22" s="444">
        <f t="shared" si="34"/>
        <v>0</v>
      </c>
      <c r="AA22" s="440">
        <v>36311</v>
      </c>
      <c r="AB22" s="444">
        <f t="shared" si="30"/>
        <v>22</v>
      </c>
      <c r="AC22" s="440">
        <v>1045948</v>
      </c>
      <c r="AD22" s="444">
        <f t="shared" si="40"/>
        <v>5138</v>
      </c>
      <c r="AE22" s="466">
        <f t="shared" si="19"/>
        <v>22</v>
      </c>
      <c r="AF22" s="467">
        <f t="shared" si="4"/>
        <v>5138</v>
      </c>
      <c r="AG22" s="459">
        <f t="shared" si="37"/>
        <v>233.54545454545453</v>
      </c>
      <c r="AI22" s="460">
        <f>R22-'EDl log'!B22</f>
        <v>-1079352.0000000002</v>
      </c>
      <c r="AJ22" s="591">
        <v>44396</v>
      </c>
      <c r="AK22" s="460">
        <v>561134</v>
      </c>
      <c r="AL22" s="612">
        <v>440347</v>
      </c>
      <c r="AM22" s="612">
        <f t="shared" si="22"/>
        <v>1001481</v>
      </c>
      <c r="AN22" s="612">
        <f t="shared" si="32"/>
        <v>8712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7736</v>
      </c>
      <c r="F23" s="653">
        <v>4064330</v>
      </c>
      <c r="G23" s="308">
        <f t="shared" si="24"/>
        <v>678</v>
      </c>
      <c r="H23" s="654">
        <v>17931402</v>
      </c>
      <c r="I23" s="308">
        <f t="shared" si="25"/>
        <v>960</v>
      </c>
      <c r="J23" s="653">
        <v>29348874</v>
      </c>
      <c r="K23" s="308">
        <f t="shared" si="26"/>
        <v>1766</v>
      </c>
      <c r="L23" s="654">
        <v>24346802</v>
      </c>
      <c r="M23" s="308">
        <f t="shared" si="27"/>
        <v>2468</v>
      </c>
      <c r="N23" s="307">
        <f t="shared" si="28"/>
        <v>13608</v>
      </c>
      <c r="O23" s="461">
        <f t="shared" si="36"/>
        <v>0</v>
      </c>
      <c r="P23" s="656">
        <v>17840.116000000002</v>
      </c>
      <c r="Q23" s="444">
        <f t="shared" si="38"/>
        <v>13165.000000000873</v>
      </c>
      <c r="R23" s="444">
        <f t="shared" si="39"/>
        <v>442.99999999912689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32998</v>
      </c>
      <c r="X23" s="444">
        <f t="shared" si="35"/>
        <v>0</v>
      </c>
      <c r="Y23" s="440">
        <f t="shared" si="16"/>
        <v>876223</v>
      </c>
      <c r="Z23" s="444">
        <f t="shared" si="34"/>
        <v>0</v>
      </c>
      <c r="AA23" s="654">
        <v>36331</v>
      </c>
      <c r="AB23" s="444">
        <f t="shared" si="30"/>
        <v>20</v>
      </c>
      <c r="AC23" s="653">
        <v>1050111</v>
      </c>
      <c r="AD23" s="444">
        <f t="shared" si="40"/>
        <v>4163</v>
      </c>
      <c r="AE23" s="466">
        <f t="shared" si="19"/>
        <v>20</v>
      </c>
      <c r="AF23" s="467">
        <f t="shared" si="4"/>
        <v>4163</v>
      </c>
      <c r="AG23" s="459">
        <f t="shared" si="37"/>
        <v>208.15</v>
      </c>
      <c r="AI23" s="460">
        <f>R23-'EDl log'!B23</f>
        <v>-1079329.0000000009</v>
      </c>
      <c r="AJ23" s="591">
        <v>44397</v>
      </c>
      <c r="AK23" s="462">
        <v>568676</v>
      </c>
      <c r="AL23" s="462">
        <v>440541</v>
      </c>
      <c r="AM23" s="612">
        <f t="shared" si="22"/>
        <v>1009217</v>
      </c>
      <c r="AN23" s="612">
        <f t="shared" si="32"/>
        <v>7736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6965</v>
      </c>
      <c r="F24" s="653">
        <v>4065035</v>
      </c>
      <c r="G24" s="308">
        <f t="shared" si="24"/>
        <v>705</v>
      </c>
      <c r="H24" s="654">
        <v>17932290</v>
      </c>
      <c r="I24" s="433">
        <f t="shared" si="25"/>
        <v>888</v>
      </c>
      <c r="J24" s="653">
        <v>29352286</v>
      </c>
      <c r="K24" s="308">
        <f t="shared" si="26"/>
        <v>3412</v>
      </c>
      <c r="L24" s="654">
        <v>24349444</v>
      </c>
      <c r="M24" s="308">
        <f t="shared" si="27"/>
        <v>2642</v>
      </c>
      <c r="N24" s="307">
        <f t="shared" si="28"/>
        <v>14612</v>
      </c>
      <c r="O24" s="461">
        <f t="shared" si="36"/>
        <v>0</v>
      </c>
      <c r="P24" s="656">
        <v>17854.635999999999</v>
      </c>
      <c r="Q24" s="444">
        <f t="shared" si="38"/>
        <v>14519.999999996799</v>
      </c>
      <c r="R24" s="444">
        <f t="shared" si="39"/>
        <v>92.000000003201421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654">
        <v>33005</v>
      </c>
      <c r="X24" s="444">
        <f t="shared" si="35"/>
        <v>7</v>
      </c>
      <c r="Y24" s="653">
        <v>877636</v>
      </c>
      <c r="Z24" s="444">
        <f t="shared" si="34"/>
        <v>1413</v>
      </c>
      <c r="AA24" s="654">
        <v>36346</v>
      </c>
      <c r="AB24" s="444">
        <f t="shared" si="30"/>
        <v>15</v>
      </c>
      <c r="AC24" s="653">
        <v>1053285</v>
      </c>
      <c r="AD24" s="444">
        <f t="shared" si="40"/>
        <v>3174</v>
      </c>
      <c r="AE24" s="466">
        <f t="shared" si="19"/>
        <v>22</v>
      </c>
      <c r="AF24" s="467">
        <f t="shared" si="4"/>
        <v>4587</v>
      </c>
      <c r="AG24" s="459">
        <f t="shared" si="37"/>
        <v>208.5</v>
      </c>
      <c r="AI24" s="460">
        <f>R24-'EDl log'!B24</f>
        <v>-1079927.9999999967</v>
      </c>
      <c r="AJ24" s="591">
        <v>44398</v>
      </c>
      <c r="AK24" s="462">
        <v>575552</v>
      </c>
      <c r="AL24" s="462">
        <v>440630</v>
      </c>
      <c r="AM24" s="612">
        <f t="shared" si="22"/>
        <v>1016182</v>
      </c>
      <c r="AN24" s="612">
        <f t="shared" si="32"/>
        <v>6965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55">
        <f t="shared" si="8"/>
        <v>4065035</v>
      </c>
      <c r="G25" s="308">
        <f t="shared" si="24"/>
        <v>0</v>
      </c>
      <c r="H25" s="440">
        <f t="shared" si="9"/>
        <v>17932290</v>
      </c>
      <c r="I25" s="308">
        <f t="shared" si="25"/>
        <v>0</v>
      </c>
      <c r="J25" s="440">
        <f t="shared" si="10"/>
        <v>29352286</v>
      </c>
      <c r="K25" s="308">
        <f t="shared" si="26"/>
        <v>0</v>
      </c>
      <c r="L25" s="440">
        <f t="shared" si="11"/>
        <v>24349444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35">
        <f t="shared" si="12"/>
        <v>17854.635999999999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33005</v>
      </c>
      <c r="X25" s="444">
        <f t="shared" si="35"/>
        <v>0</v>
      </c>
      <c r="Y25" s="440">
        <f t="shared" si="16"/>
        <v>877636</v>
      </c>
      <c r="Z25" s="444">
        <f t="shared" si="34"/>
        <v>0</v>
      </c>
      <c r="AA25" s="440">
        <f t="shared" si="17"/>
        <v>36346</v>
      </c>
      <c r="AB25" s="444">
        <f t="shared" si="30"/>
        <v>0</v>
      </c>
      <c r="AC25" s="440">
        <f t="shared" si="18"/>
        <v>1053285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-1080020</v>
      </c>
      <c r="AJ25" s="591">
        <v>44399</v>
      </c>
      <c r="AK25" s="460">
        <f t="shared" si="20"/>
        <v>575552</v>
      </c>
      <c r="AL25" s="612">
        <f t="shared" si="21"/>
        <v>440630</v>
      </c>
      <c r="AM25" s="612">
        <f t="shared" si="22"/>
        <v>1016182</v>
      </c>
      <c r="AN25" s="612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55">
        <f t="shared" si="8"/>
        <v>4065035</v>
      </c>
      <c r="G26" s="308">
        <f t="shared" si="24"/>
        <v>0</v>
      </c>
      <c r="H26" s="440">
        <f t="shared" si="9"/>
        <v>17932290</v>
      </c>
      <c r="I26" s="308">
        <f t="shared" si="25"/>
        <v>0</v>
      </c>
      <c r="J26" s="440">
        <f t="shared" si="10"/>
        <v>29352286</v>
      </c>
      <c r="K26" s="308">
        <f t="shared" si="26"/>
        <v>0</v>
      </c>
      <c r="L26" s="440">
        <f t="shared" si="11"/>
        <v>24349444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35">
        <f t="shared" si="12"/>
        <v>17854.635999999999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33005</v>
      </c>
      <c r="X26" s="444">
        <f t="shared" si="35"/>
        <v>0</v>
      </c>
      <c r="Y26" s="440">
        <f t="shared" si="16"/>
        <v>877636</v>
      </c>
      <c r="Z26" s="444">
        <f t="shared" si="34"/>
        <v>0</v>
      </c>
      <c r="AA26" s="440">
        <f t="shared" si="17"/>
        <v>36346</v>
      </c>
      <c r="AB26" s="444">
        <f t="shared" si="30"/>
        <v>0</v>
      </c>
      <c r="AC26" s="440">
        <f t="shared" si="18"/>
        <v>1053285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-1080020</v>
      </c>
      <c r="AJ26" s="591">
        <v>44400</v>
      </c>
      <c r="AK26" s="460">
        <f t="shared" si="20"/>
        <v>575552</v>
      </c>
      <c r="AL26" s="612">
        <f t="shared" si="21"/>
        <v>440630</v>
      </c>
      <c r="AM26" s="612">
        <f t="shared" si="22"/>
        <v>1016182</v>
      </c>
      <c r="AN26" s="612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55">
        <f t="shared" si="8"/>
        <v>4065035</v>
      </c>
      <c r="G27" s="308">
        <f t="shared" si="24"/>
        <v>0</v>
      </c>
      <c r="H27" s="440">
        <f t="shared" si="9"/>
        <v>17932290</v>
      </c>
      <c r="I27" s="308">
        <f t="shared" si="25"/>
        <v>0</v>
      </c>
      <c r="J27" s="440">
        <f t="shared" si="10"/>
        <v>29352286</v>
      </c>
      <c r="K27" s="308">
        <f t="shared" si="26"/>
        <v>0</v>
      </c>
      <c r="L27" s="440">
        <f t="shared" si="11"/>
        <v>24349444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35">
        <f t="shared" si="12"/>
        <v>17854.635999999999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33005</v>
      </c>
      <c r="X27" s="444">
        <f t="shared" si="35"/>
        <v>0</v>
      </c>
      <c r="Y27" s="440">
        <f t="shared" si="16"/>
        <v>877636</v>
      </c>
      <c r="Z27" s="444">
        <f t="shared" si="34"/>
        <v>0</v>
      </c>
      <c r="AA27" s="440">
        <f t="shared" si="17"/>
        <v>36346</v>
      </c>
      <c r="AB27" s="444">
        <f t="shared" si="30"/>
        <v>0</v>
      </c>
      <c r="AC27" s="440">
        <f t="shared" si="18"/>
        <v>1053285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-1080020</v>
      </c>
      <c r="AJ27" s="591">
        <v>44401</v>
      </c>
      <c r="AK27" s="460">
        <f t="shared" si="20"/>
        <v>575552</v>
      </c>
      <c r="AL27" s="612">
        <f t="shared" si="21"/>
        <v>440630</v>
      </c>
      <c r="AM27" s="612">
        <f t="shared" si="22"/>
        <v>1016182</v>
      </c>
      <c r="AN27" s="612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55">
        <f t="shared" si="8"/>
        <v>4065035</v>
      </c>
      <c r="G28" s="308">
        <f>F28-F27</f>
        <v>0</v>
      </c>
      <c r="H28" s="440">
        <f t="shared" si="9"/>
        <v>17932290</v>
      </c>
      <c r="I28" s="308">
        <f t="shared" si="25"/>
        <v>0</v>
      </c>
      <c r="J28" s="440">
        <f t="shared" si="10"/>
        <v>29352286</v>
      </c>
      <c r="K28" s="308">
        <f t="shared" si="26"/>
        <v>0</v>
      </c>
      <c r="L28" s="440">
        <f t="shared" si="11"/>
        <v>24349444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35">
        <f t="shared" si="12"/>
        <v>17854.635999999999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33005</v>
      </c>
      <c r="X28" s="444">
        <f t="shared" si="35"/>
        <v>0</v>
      </c>
      <c r="Y28" s="440">
        <f t="shared" si="16"/>
        <v>877636</v>
      </c>
      <c r="Z28" s="444">
        <f t="shared" si="34"/>
        <v>0</v>
      </c>
      <c r="AA28" s="440">
        <f t="shared" si="17"/>
        <v>36346</v>
      </c>
      <c r="AB28" s="444">
        <f t="shared" si="30"/>
        <v>0</v>
      </c>
      <c r="AC28" s="440">
        <f t="shared" si="18"/>
        <v>1053285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-1080020</v>
      </c>
      <c r="AJ28" s="591">
        <v>44402</v>
      </c>
      <c r="AK28" s="460">
        <f t="shared" si="20"/>
        <v>575552</v>
      </c>
      <c r="AL28" s="612">
        <f t="shared" si="21"/>
        <v>440630</v>
      </c>
      <c r="AM28" s="612">
        <f t="shared" si="22"/>
        <v>1016182</v>
      </c>
      <c r="AN28" s="612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655">
        <f t="shared" si="8"/>
        <v>4065035</v>
      </c>
      <c r="G29" s="308">
        <f t="shared" si="24"/>
        <v>0</v>
      </c>
      <c r="H29" s="440">
        <f t="shared" si="9"/>
        <v>17932290</v>
      </c>
      <c r="I29" s="308">
        <f t="shared" si="25"/>
        <v>0</v>
      </c>
      <c r="J29" s="440">
        <f t="shared" si="10"/>
        <v>29352286</v>
      </c>
      <c r="K29" s="308">
        <f t="shared" si="26"/>
        <v>0</v>
      </c>
      <c r="L29" s="440">
        <f t="shared" si="11"/>
        <v>24349444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35">
        <f t="shared" si="12"/>
        <v>17854.635999999999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33005</v>
      </c>
      <c r="X29" s="444">
        <f t="shared" si="35"/>
        <v>0</v>
      </c>
      <c r="Y29" s="440">
        <f t="shared" si="16"/>
        <v>877636</v>
      </c>
      <c r="Z29" s="444">
        <f t="shared" si="34"/>
        <v>0</v>
      </c>
      <c r="AA29" s="440">
        <f t="shared" si="17"/>
        <v>36346</v>
      </c>
      <c r="AB29" s="444">
        <f t="shared" si="30"/>
        <v>0</v>
      </c>
      <c r="AC29" s="440">
        <f t="shared" si="18"/>
        <v>1053285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-1080020</v>
      </c>
      <c r="AJ29" s="591">
        <v>44403</v>
      </c>
      <c r="AK29" s="460">
        <f t="shared" si="20"/>
        <v>575552</v>
      </c>
      <c r="AL29" s="612">
        <f t="shared" si="21"/>
        <v>440630</v>
      </c>
      <c r="AM29" s="612">
        <f t="shared" si="22"/>
        <v>1016182</v>
      </c>
      <c r="AN29" s="612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655">
        <f t="shared" si="8"/>
        <v>4065035</v>
      </c>
      <c r="G30" s="308">
        <f t="shared" si="24"/>
        <v>0</v>
      </c>
      <c r="H30" s="440">
        <f t="shared" si="9"/>
        <v>17932290</v>
      </c>
      <c r="I30" s="308">
        <f t="shared" si="25"/>
        <v>0</v>
      </c>
      <c r="J30" s="440">
        <f t="shared" si="10"/>
        <v>29352286</v>
      </c>
      <c r="K30" s="308">
        <f t="shared" si="26"/>
        <v>0</v>
      </c>
      <c r="L30" s="440">
        <f t="shared" si="11"/>
        <v>24349444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35">
        <f t="shared" si="12"/>
        <v>17854.635999999999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33005</v>
      </c>
      <c r="X30" s="444">
        <f t="shared" si="35"/>
        <v>0</v>
      </c>
      <c r="Y30" s="440">
        <f t="shared" si="16"/>
        <v>877636</v>
      </c>
      <c r="Z30" s="444">
        <f t="shared" si="34"/>
        <v>0</v>
      </c>
      <c r="AA30" s="440">
        <f t="shared" si="17"/>
        <v>36346</v>
      </c>
      <c r="AB30" s="444">
        <f t="shared" si="30"/>
        <v>0</v>
      </c>
      <c r="AC30" s="440">
        <f t="shared" si="18"/>
        <v>1053285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-1080020</v>
      </c>
      <c r="AJ30" s="591">
        <v>44404</v>
      </c>
      <c r="AK30" s="460">
        <f t="shared" si="20"/>
        <v>575552</v>
      </c>
      <c r="AL30" s="612">
        <f t="shared" si="21"/>
        <v>440630</v>
      </c>
      <c r="AM30" s="612">
        <f t="shared" si="22"/>
        <v>1016182</v>
      </c>
      <c r="AN30" s="612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55">
        <f t="shared" si="8"/>
        <v>4065035</v>
      </c>
      <c r="G31" s="308">
        <f t="shared" si="24"/>
        <v>0</v>
      </c>
      <c r="H31" s="440">
        <f t="shared" si="9"/>
        <v>17932290</v>
      </c>
      <c r="I31" s="308">
        <f t="shared" si="25"/>
        <v>0</v>
      </c>
      <c r="J31" s="440">
        <f t="shared" si="10"/>
        <v>29352286</v>
      </c>
      <c r="K31" s="308">
        <f t="shared" si="26"/>
        <v>0</v>
      </c>
      <c r="L31" s="440">
        <f t="shared" si="11"/>
        <v>24349444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35">
        <f t="shared" si="12"/>
        <v>17854.635999999999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33005</v>
      </c>
      <c r="X31" s="464">
        <f t="shared" si="35"/>
        <v>0</v>
      </c>
      <c r="Y31" s="440">
        <f t="shared" si="16"/>
        <v>877636</v>
      </c>
      <c r="Z31" s="444">
        <f t="shared" si="34"/>
        <v>0</v>
      </c>
      <c r="AA31" s="440">
        <f t="shared" si="17"/>
        <v>36346</v>
      </c>
      <c r="AB31" s="444">
        <f t="shared" si="30"/>
        <v>0</v>
      </c>
      <c r="AC31" s="440">
        <f t="shared" si="18"/>
        <v>1053285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-1080020</v>
      </c>
      <c r="AJ31" s="591">
        <v>44405</v>
      </c>
      <c r="AK31" s="460">
        <f t="shared" si="20"/>
        <v>575552</v>
      </c>
      <c r="AL31" s="612">
        <f t="shared" si="21"/>
        <v>440630</v>
      </c>
      <c r="AM31" s="612">
        <f t="shared" si="22"/>
        <v>1016182</v>
      </c>
      <c r="AN31" s="612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55">
        <f t="shared" si="8"/>
        <v>4065035</v>
      </c>
      <c r="G32" s="308">
        <f t="shared" si="24"/>
        <v>0</v>
      </c>
      <c r="H32" s="440">
        <f t="shared" si="9"/>
        <v>17932290</v>
      </c>
      <c r="I32" s="308">
        <f t="shared" si="25"/>
        <v>0</v>
      </c>
      <c r="J32" s="440">
        <f t="shared" si="10"/>
        <v>29352286</v>
      </c>
      <c r="K32" s="308">
        <f t="shared" si="26"/>
        <v>0</v>
      </c>
      <c r="L32" s="440">
        <f t="shared" si="11"/>
        <v>24349444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35">
        <f t="shared" si="12"/>
        <v>17854.635999999999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33005</v>
      </c>
      <c r="X32" s="464">
        <f>W32-W31</f>
        <v>0</v>
      </c>
      <c r="Y32" s="440">
        <f t="shared" si="16"/>
        <v>877636</v>
      </c>
      <c r="Z32" s="444">
        <f>Y32-Y31</f>
        <v>0</v>
      </c>
      <c r="AA32" s="440">
        <f t="shared" si="17"/>
        <v>36346</v>
      </c>
      <c r="AB32" s="444">
        <f>AA32-AA31</f>
        <v>0</v>
      </c>
      <c r="AC32" s="440">
        <f t="shared" si="18"/>
        <v>1053285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-1080020</v>
      </c>
      <c r="AJ32" s="591">
        <v>44406</v>
      </c>
      <c r="AK32" s="460">
        <f t="shared" si="20"/>
        <v>575552</v>
      </c>
      <c r="AL32" s="612">
        <f t="shared" si="21"/>
        <v>440630</v>
      </c>
      <c r="AM32" s="612">
        <f t="shared" si="22"/>
        <v>1016182</v>
      </c>
      <c r="AN32" s="612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55">
        <f t="shared" si="8"/>
        <v>4065035</v>
      </c>
      <c r="G33" s="308">
        <f t="shared" si="24"/>
        <v>0</v>
      </c>
      <c r="H33" s="440">
        <f t="shared" si="9"/>
        <v>17932290</v>
      </c>
      <c r="I33" s="308">
        <f t="shared" si="25"/>
        <v>0</v>
      </c>
      <c r="J33" s="440">
        <f t="shared" si="10"/>
        <v>29352286</v>
      </c>
      <c r="K33" s="308">
        <f t="shared" si="26"/>
        <v>0</v>
      </c>
      <c r="L33" s="440">
        <f t="shared" si="11"/>
        <v>24349444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35">
        <f t="shared" si="12"/>
        <v>17854.635999999999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33005</v>
      </c>
      <c r="X33" s="464">
        <f>W33-W32</f>
        <v>0</v>
      </c>
      <c r="Y33" s="440">
        <f t="shared" si="16"/>
        <v>877636</v>
      </c>
      <c r="Z33" s="444">
        <f>Y33-Y32</f>
        <v>0</v>
      </c>
      <c r="AA33" s="440">
        <f t="shared" si="17"/>
        <v>36346</v>
      </c>
      <c r="AB33" s="444">
        <f>AA33-AA32</f>
        <v>0</v>
      </c>
      <c r="AC33" s="440">
        <f t="shared" si="18"/>
        <v>1053285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-1080020</v>
      </c>
      <c r="AJ33" s="591">
        <v>44407</v>
      </c>
      <c r="AK33" s="460">
        <f t="shared" si="20"/>
        <v>575552</v>
      </c>
      <c r="AL33" s="612">
        <f t="shared" si="21"/>
        <v>440630</v>
      </c>
      <c r="AM33" s="612">
        <f t="shared" si="22"/>
        <v>1016182</v>
      </c>
      <c r="AN33" s="612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55">
        <f t="shared" si="8"/>
        <v>4065035</v>
      </c>
      <c r="G34" s="308">
        <f t="shared" ref="G34" si="42">F34-F33</f>
        <v>0</v>
      </c>
      <c r="H34" s="440">
        <f t="shared" si="9"/>
        <v>17932290</v>
      </c>
      <c r="I34" s="308">
        <f t="shared" ref="I34" si="43">H34-H33</f>
        <v>0</v>
      </c>
      <c r="J34" s="440">
        <f t="shared" si="10"/>
        <v>29352286</v>
      </c>
      <c r="K34" s="308">
        <f t="shared" ref="K34" si="44">J34-J33</f>
        <v>0</v>
      </c>
      <c r="L34" s="440">
        <f t="shared" si="11"/>
        <v>24349444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35">
        <f t="shared" si="12"/>
        <v>17854.635999999999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33005</v>
      </c>
      <c r="X34" s="464">
        <f>W34-W33</f>
        <v>0</v>
      </c>
      <c r="Y34" s="440">
        <f t="shared" si="16"/>
        <v>877636</v>
      </c>
      <c r="Z34" s="444">
        <f>Y34-Y33</f>
        <v>0</v>
      </c>
      <c r="AA34" s="440">
        <f t="shared" si="17"/>
        <v>36346</v>
      </c>
      <c r="AB34" s="444">
        <f>AA34-AA33</f>
        <v>0</v>
      </c>
      <c r="AC34" s="440">
        <f t="shared" si="18"/>
        <v>1053285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2"/>
      <c r="AL34" s="593"/>
      <c r="AM34" s="593"/>
      <c r="AN34" s="593"/>
    </row>
    <row r="35" spans="1:40" s="634" customFormat="1">
      <c r="A35" s="623"/>
      <c r="B35" s="624"/>
      <c r="C35" s="625"/>
      <c r="D35" s="626"/>
      <c r="E35" s="627"/>
      <c r="F35" s="626"/>
      <c r="G35" s="628"/>
      <c r="H35" s="626"/>
      <c r="I35" s="628"/>
      <c r="J35" s="626"/>
      <c r="K35" s="628"/>
      <c r="L35" s="626"/>
      <c r="M35" s="628"/>
      <c r="N35" s="629"/>
      <c r="O35" s="630"/>
      <c r="P35" s="631"/>
      <c r="Q35" s="622"/>
      <c r="R35" s="622"/>
      <c r="S35" s="626"/>
      <c r="T35" s="632"/>
      <c r="U35" s="626"/>
      <c r="V35" s="622"/>
      <c r="W35" s="626"/>
      <c r="X35" s="622"/>
      <c r="Y35" s="626"/>
      <c r="Z35" s="622"/>
      <c r="AA35" s="626"/>
      <c r="AB35" s="622"/>
      <c r="AC35" s="626"/>
      <c r="AD35" s="622"/>
      <c r="AE35" s="622"/>
      <c r="AF35" s="622"/>
      <c r="AG35" s="633"/>
      <c r="AK35" s="622"/>
      <c r="AL35" s="622"/>
      <c r="AM35" s="622"/>
      <c r="AN35" s="622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I1" zoomScale="90" zoomScaleNormal="90" workbookViewId="0">
      <pane ySplit="1" topLeftCell="A25" activePane="bottomLeft" state="frozen"/>
      <selection activeCell="K1" sqref="K1"/>
      <selection pane="bottomLeft" activeCell="AV25" sqref="AV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80" t="s">
        <v>2</v>
      </c>
      <c r="G1" s="681"/>
      <c r="H1" s="681"/>
      <c r="I1" s="682"/>
      <c r="J1" s="279">
        <f>J36</f>
        <v>58.75</v>
      </c>
      <c r="K1" s="683" t="s">
        <v>4</v>
      </c>
      <c r="L1" s="684"/>
      <c r="M1" s="684"/>
      <c r="N1" s="684"/>
      <c r="O1" s="685"/>
      <c r="P1" s="674" t="s">
        <v>6</v>
      </c>
      <c r="Q1" s="675"/>
      <c r="R1" s="675"/>
      <c r="S1" s="675"/>
      <c r="T1" s="676"/>
      <c r="U1" s="393"/>
      <c r="V1" s="27" t="s">
        <v>104</v>
      </c>
      <c r="W1" s="394"/>
      <c r="X1" s="674" t="s">
        <v>8</v>
      </c>
      <c r="Y1" s="675"/>
      <c r="Z1" s="675"/>
      <c r="AA1" s="675"/>
      <c r="AB1" s="675"/>
      <c r="AC1" s="677" t="s">
        <v>10</v>
      </c>
      <c r="AD1" s="678"/>
      <c r="AE1" s="678"/>
      <c r="AF1" s="679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72"/>
      <c r="R2" s="673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2">
        <f>B4</f>
        <v>109</v>
      </c>
      <c r="C5" s="572">
        <f>C4</f>
        <v>116</v>
      </c>
      <c r="D5" s="45">
        <f>C4-C5</f>
        <v>0</v>
      </c>
      <c r="E5" s="45">
        <f>D5*8.38</f>
        <v>0</v>
      </c>
      <c r="F5" s="572">
        <f>F4</f>
        <v>1855</v>
      </c>
      <c r="G5" s="52">
        <f t="shared" ref="G5:G32" si="0">F5-F4</f>
        <v>0</v>
      </c>
      <c r="H5" s="572">
        <f>H4</f>
        <v>14460</v>
      </c>
      <c r="I5" s="392">
        <f t="shared" ref="I5:I32" si="1">SUM(H5-H4)</f>
        <v>0</v>
      </c>
      <c r="J5" s="66">
        <v>1</v>
      </c>
      <c r="K5" s="572">
        <f>K4</f>
        <v>2343</v>
      </c>
      <c r="L5" s="52">
        <f>K5-K4</f>
        <v>0</v>
      </c>
      <c r="M5" s="572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2">
        <f>P4</f>
        <v>2111</v>
      </c>
      <c r="Q5" s="572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2">
        <f>X4</f>
        <v>2470</v>
      </c>
      <c r="Y5" s="52">
        <f>X5-X4</f>
        <v>0</v>
      </c>
      <c r="Z5" s="572">
        <f>Z4</f>
        <v>139101.4</v>
      </c>
      <c r="AA5" s="65">
        <f t="shared" ref="AA5:AA32" si="6">Z5-Z4</f>
        <v>0</v>
      </c>
      <c r="AB5" s="281">
        <f>SUM(Y5*$AB$2)</f>
        <v>0</v>
      </c>
      <c r="AC5" s="572">
        <f>AC4</f>
        <v>1940</v>
      </c>
      <c r="AD5" s="45">
        <f t="shared" ref="AD5:AD32" si="7">AC5-AC4</f>
        <v>0</v>
      </c>
      <c r="AE5" s="572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2">
        <v>160</v>
      </c>
      <c r="C6" s="572">
        <v>110</v>
      </c>
      <c r="D6" s="45">
        <f>C5-C6</f>
        <v>6</v>
      </c>
      <c r="E6" s="45">
        <f t="shared" ref="E6:E32" si="12">D6*8.38</f>
        <v>50.28</v>
      </c>
      <c r="F6" s="572">
        <f t="shared" ref="F6:F34" si="13">F5</f>
        <v>1855</v>
      </c>
      <c r="G6" s="52">
        <f t="shared" si="0"/>
        <v>0</v>
      </c>
      <c r="H6" s="572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2">
        <f t="shared" ref="K6:K34" si="16">K5</f>
        <v>2343</v>
      </c>
      <c r="L6" s="52">
        <f t="shared" ref="L6:L32" si="17">K6-K5</f>
        <v>0</v>
      </c>
      <c r="M6" s="572">
        <f t="shared" ref="M6:M34" si="18">M5</f>
        <v>172912</v>
      </c>
      <c r="N6" s="392">
        <f t="shared" si="2"/>
        <v>0</v>
      </c>
      <c r="O6" s="64">
        <f t="shared" si="3"/>
        <v>1869</v>
      </c>
      <c r="P6" s="572">
        <f t="shared" si="3"/>
        <v>2111</v>
      </c>
      <c r="Q6" s="572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4" si="22">X5</f>
        <v>2470</v>
      </c>
      <c r="Y6" s="52">
        <f t="shared" ref="Y6:Y32" si="23">X6-X5</f>
        <v>0</v>
      </c>
      <c r="Z6" s="572">
        <f t="shared" ref="Z6:Z34" si="24">Z5</f>
        <v>139101.4</v>
      </c>
      <c r="AA6" s="65">
        <f t="shared" si="6"/>
        <v>0</v>
      </c>
      <c r="AB6" s="281">
        <f>SUM(Y6*$AB$2)</f>
        <v>0</v>
      </c>
      <c r="AC6" s="572">
        <f t="shared" ref="AC6:AC34" si="25">AC5</f>
        <v>1940</v>
      </c>
      <c r="AD6" s="45">
        <f t="shared" si="7"/>
        <v>0</v>
      </c>
      <c r="AE6" s="572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2">
        <f t="shared" ref="B7:B34" si="34">B6</f>
        <v>160</v>
      </c>
      <c r="C7" s="572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2">
        <f t="shared" si="13"/>
        <v>1855</v>
      </c>
      <c r="G7" s="52">
        <f t="shared" si="0"/>
        <v>0</v>
      </c>
      <c r="H7" s="572">
        <f t="shared" si="14"/>
        <v>14460</v>
      </c>
      <c r="I7" s="392">
        <f t="shared" si="1"/>
        <v>0</v>
      </c>
      <c r="J7" s="66">
        <f t="shared" si="15"/>
        <v>0</v>
      </c>
      <c r="K7" s="572">
        <f t="shared" si="16"/>
        <v>2343</v>
      </c>
      <c r="L7" s="52">
        <f t="shared" si="17"/>
        <v>0</v>
      </c>
      <c r="M7" s="572">
        <f t="shared" si="18"/>
        <v>172912</v>
      </c>
      <c r="N7" s="392">
        <f t="shared" si="2"/>
        <v>0</v>
      </c>
      <c r="O7" s="64">
        <f t="shared" si="3"/>
        <v>1869</v>
      </c>
      <c r="P7" s="572">
        <f t="shared" si="3"/>
        <v>2111</v>
      </c>
      <c r="Q7" s="572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2">
        <f t="shared" si="25"/>
        <v>1940</v>
      </c>
      <c r="AD7" s="45">
        <f t="shared" si="7"/>
        <v>0</v>
      </c>
      <c r="AE7" s="572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2">
        <v>143</v>
      </c>
      <c r="C8" s="572">
        <v>150</v>
      </c>
      <c r="D8" s="45">
        <f t="shared" si="36"/>
        <v>-40</v>
      </c>
      <c r="E8" s="45">
        <f t="shared" si="12"/>
        <v>-335.20000000000005</v>
      </c>
      <c r="F8" s="572">
        <f t="shared" si="13"/>
        <v>1855</v>
      </c>
      <c r="G8" s="52">
        <f t="shared" si="0"/>
        <v>0</v>
      </c>
      <c r="H8" s="572">
        <v>14528</v>
      </c>
      <c r="I8" s="392">
        <f t="shared" si="1"/>
        <v>68</v>
      </c>
      <c r="J8" s="66">
        <f t="shared" si="15"/>
        <v>0</v>
      </c>
      <c r="K8" s="572">
        <v>2344</v>
      </c>
      <c r="L8" s="52">
        <f t="shared" si="17"/>
        <v>1</v>
      </c>
      <c r="M8" s="572">
        <v>172961</v>
      </c>
      <c r="N8" s="392">
        <f t="shared" si="2"/>
        <v>49</v>
      </c>
      <c r="O8" s="64">
        <f t="shared" si="3"/>
        <v>1869</v>
      </c>
      <c r="P8" s="572">
        <f t="shared" si="3"/>
        <v>2111</v>
      </c>
      <c r="Q8" s="572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2">
        <f t="shared" si="22"/>
        <v>2470</v>
      </c>
      <c r="Y8" s="52">
        <f t="shared" si="23"/>
        <v>0</v>
      </c>
      <c r="Z8" s="572">
        <f t="shared" si="24"/>
        <v>139101.4</v>
      </c>
      <c r="AA8" s="65">
        <f t="shared" si="6"/>
        <v>0</v>
      </c>
      <c r="AB8" s="281">
        <f t="shared" si="38"/>
        <v>0</v>
      </c>
      <c r="AC8" s="572">
        <f t="shared" si="25"/>
        <v>1940</v>
      </c>
      <c r="AD8" s="45">
        <f t="shared" si="7"/>
        <v>0</v>
      </c>
      <c r="AE8" s="572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2">
        <v>136</v>
      </c>
      <c r="C9" s="572">
        <v>144</v>
      </c>
      <c r="D9" s="45">
        <f t="shared" si="36"/>
        <v>6</v>
      </c>
      <c r="E9" s="45">
        <f t="shared" si="12"/>
        <v>50.28</v>
      </c>
      <c r="F9" s="572">
        <v>1856</v>
      </c>
      <c r="G9" s="52">
        <f t="shared" si="0"/>
        <v>1</v>
      </c>
      <c r="H9" s="572">
        <v>14580</v>
      </c>
      <c r="I9" s="392">
        <f t="shared" si="1"/>
        <v>52</v>
      </c>
      <c r="J9" s="66">
        <f t="shared" si="15"/>
        <v>52</v>
      </c>
      <c r="K9" s="572">
        <f t="shared" si="16"/>
        <v>2344</v>
      </c>
      <c r="L9" s="52">
        <f t="shared" si="17"/>
        <v>0</v>
      </c>
      <c r="M9" s="572">
        <f t="shared" si="18"/>
        <v>172961</v>
      </c>
      <c r="N9" s="392">
        <f t="shared" si="2"/>
        <v>0</v>
      </c>
      <c r="O9" s="64">
        <f t="shared" si="3"/>
        <v>1869</v>
      </c>
      <c r="P9" s="572">
        <f t="shared" si="3"/>
        <v>2111</v>
      </c>
      <c r="Q9" s="572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2">
        <f t="shared" si="22"/>
        <v>2470</v>
      </c>
      <c r="Y9" s="52">
        <f t="shared" si="23"/>
        <v>0</v>
      </c>
      <c r="Z9" s="572">
        <f t="shared" si="24"/>
        <v>139101.4</v>
      </c>
      <c r="AA9" s="65">
        <f t="shared" si="6"/>
        <v>0</v>
      </c>
      <c r="AB9" s="281">
        <f t="shared" si="38"/>
        <v>0</v>
      </c>
      <c r="AC9" s="572">
        <f t="shared" si="25"/>
        <v>1940</v>
      </c>
      <c r="AD9" s="45">
        <f t="shared" si="7"/>
        <v>0</v>
      </c>
      <c r="AE9" s="572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2">
        <v>150</v>
      </c>
      <c r="C10" s="572">
        <v>157</v>
      </c>
      <c r="D10" s="45">
        <f t="shared" si="36"/>
        <v>-13</v>
      </c>
      <c r="E10" s="45">
        <f t="shared" si="12"/>
        <v>-108.94000000000001</v>
      </c>
      <c r="F10" s="572">
        <v>1857</v>
      </c>
      <c r="G10" s="52">
        <f t="shared" si="0"/>
        <v>1</v>
      </c>
      <c r="H10" s="572">
        <v>14682</v>
      </c>
      <c r="I10" s="392">
        <f t="shared" si="1"/>
        <v>102</v>
      </c>
      <c r="J10" s="66">
        <f t="shared" si="15"/>
        <v>102</v>
      </c>
      <c r="K10" s="572">
        <v>2345</v>
      </c>
      <c r="L10" s="52">
        <f t="shared" si="17"/>
        <v>1</v>
      </c>
      <c r="M10" s="572">
        <v>173005</v>
      </c>
      <c r="N10" s="392">
        <f t="shared" si="2"/>
        <v>44</v>
      </c>
      <c r="O10" s="64">
        <f t="shared" si="3"/>
        <v>1869</v>
      </c>
      <c r="P10" s="572">
        <f t="shared" si="3"/>
        <v>2111</v>
      </c>
      <c r="Q10" s="572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2">
        <f t="shared" si="22"/>
        <v>2470</v>
      </c>
      <c r="Y10" s="52">
        <f t="shared" si="23"/>
        <v>0</v>
      </c>
      <c r="Z10" s="572">
        <f t="shared" si="24"/>
        <v>139101.4</v>
      </c>
      <c r="AA10" s="65">
        <f t="shared" si="6"/>
        <v>0</v>
      </c>
      <c r="AB10" s="281">
        <f t="shared" si="38"/>
        <v>0</v>
      </c>
      <c r="AC10" s="572">
        <f t="shared" si="25"/>
        <v>1940</v>
      </c>
      <c r="AD10" s="45">
        <f t="shared" si="7"/>
        <v>0</v>
      </c>
      <c r="AE10" s="572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2">
        <v>133</v>
      </c>
      <c r="C11" s="572">
        <v>141</v>
      </c>
      <c r="D11" s="45">
        <f t="shared" si="36"/>
        <v>16</v>
      </c>
      <c r="E11" s="45">
        <f t="shared" si="12"/>
        <v>134.08000000000001</v>
      </c>
      <c r="F11" s="572">
        <f t="shared" si="13"/>
        <v>1857</v>
      </c>
      <c r="G11" s="52">
        <f t="shared" si="0"/>
        <v>0</v>
      </c>
      <c r="H11" s="572">
        <f t="shared" si="14"/>
        <v>14682</v>
      </c>
      <c r="I11" s="392">
        <f t="shared" si="1"/>
        <v>0</v>
      </c>
      <c r="J11" s="66">
        <f t="shared" si="15"/>
        <v>0</v>
      </c>
      <c r="K11" s="572">
        <f t="shared" si="16"/>
        <v>2345</v>
      </c>
      <c r="L11" s="52">
        <f t="shared" si="17"/>
        <v>0</v>
      </c>
      <c r="M11" s="572">
        <f t="shared" si="18"/>
        <v>173005</v>
      </c>
      <c r="N11" s="392">
        <f t="shared" si="2"/>
        <v>0</v>
      </c>
      <c r="O11" s="64">
        <f t="shared" si="3"/>
        <v>1869</v>
      </c>
      <c r="P11" s="572">
        <f t="shared" si="3"/>
        <v>2111</v>
      </c>
      <c r="Q11" s="572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139101.4</v>
      </c>
      <c r="AA11" s="65">
        <f t="shared" si="6"/>
        <v>0</v>
      </c>
      <c r="AB11" s="281">
        <f t="shared" si="38"/>
        <v>0</v>
      </c>
      <c r="AC11" s="572">
        <f t="shared" si="25"/>
        <v>1940</v>
      </c>
      <c r="AD11" s="45">
        <f t="shared" si="7"/>
        <v>0</v>
      </c>
      <c r="AE11" s="572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2">
        <v>118</v>
      </c>
      <c r="C12" s="572">
        <v>126</v>
      </c>
      <c r="D12" s="45">
        <f t="shared" si="36"/>
        <v>15</v>
      </c>
      <c r="E12" s="45">
        <f t="shared" si="12"/>
        <v>125.70000000000002</v>
      </c>
      <c r="F12" s="572">
        <v>1858</v>
      </c>
      <c r="G12" s="52">
        <f t="shared" si="0"/>
        <v>1</v>
      </c>
      <c r="H12" s="572">
        <v>14753</v>
      </c>
      <c r="I12" s="392">
        <f t="shared" si="1"/>
        <v>71</v>
      </c>
      <c r="J12" s="66">
        <f t="shared" si="15"/>
        <v>71</v>
      </c>
      <c r="K12" s="572">
        <f t="shared" si="16"/>
        <v>2345</v>
      </c>
      <c r="L12" s="52">
        <f t="shared" si="17"/>
        <v>0</v>
      </c>
      <c r="M12" s="572">
        <f t="shared" si="18"/>
        <v>173005</v>
      </c>
      <c r="N12" s="392">
        <f t="shared" si="2"/>
        <v>0</v>
      </c>
      <c r="O12" s="64">
        <f t="shared" si="3"/>
        <v>1869</v>
      </c>
      <c r="P12" s="572">
        <v>2112</v>
      </c>
      <c r="Q12" s="572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2">
        <f t="shared" si="22"/>
        <v>2470</v>
      </c>
      <c r="Y12" s="52">
        <f t="shared" si="23"/>
        <v>0</v>
      </c>
      <c r="Z12" s="572">
        <f t="shared" si="24"/>
        <v>139101.4</v>
      </c>
      <c r="AA12" s="65">
        <f t="shared" si="6"/>
        <v>0</v>
      </c>
      <c r="AB12" s="281">
        <f t="shared" si="38"/>
        <v>0</v>
      </c>
      <c r="AC12" s="572">
        <f t="shared" si="25"/>
        <v>1940</v>
      </c>
      <c r="AD12" s="45">
        <f t="shared" si="7"/>
        <v>0</v>
      </c>
      <c r="AE12" s="572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2">
        <v>159</v>
      </c>
      <c r="C13" s="572">
        <v>165.5</v>
      </c>
      <c r="D13" s="45">
        <f t="shared" si="36"/>
        <v>-39.5</v>
      </c>
      <c r="E13" s="45">
        <f t="shared" si="12"/>
        <v>-331.01000000000005</v>
      </c>
      <c r="F13" s="572">
        <v>1859</v>
      </c>
      <c r="G13" s="52">
        <f t="shared" si="0"/>
        <v>1</v>
      </c>
      <c r="H13" s="572">
        <v>14767</v>
      </c>
      <c r="I13" s="392">
        <f t="shared" si="1"/>
        <v>14</v>
      </c>
      <c r="J13" s="66">
        <f t="shared" si="15"/>
        <v>14</v>
      </c>
      <c r="K13" s="572">
        <f t="shared" si="16"/>
        <v>2345</v>
      </c>
      <c r="L13" s="52">
        <f t="shared" si="17"/>
        <v>0</v>
      </c>
      <c r="M13" s="572">
        <f t="shared" si="18"/>
        <v>173005</v>
      </c>
      <c r="N13" s="392">
        <f t="shared" si="2"/>
        <v>0</v>
      </c>
      <c r="O13" s="64">
        <f t="shared" si="3"/>
        <v>1869</v>
      </c>
      <c r="P13" s="572">
        <f t="shared" si="3"/>
        <v>2112</v>
      </c>
      <c r="Q13" s="572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2">
        <f t="shared" si="22"/>
        <v>2470</v>
      </c>
      <c r="Y13" s="52">
        <f t="shared" si="23"/>
        <v>0</v>
      </c>
      <c r="Z13" s="572">
        <f t="shared" si="24"/>
        <v>139101.4</v>
      </c>
      <c r="AA13" s="281">
        <f t="shared" si="6"/>
        <v>0</v>
      </c>
      <c r="AB13" s="281">
        <f t="shared" si="38"/>
        <v>0</v>
      </c>
      <c r="AC13" s="572">
        <f t="shared" si="25"/>
        <v>1940</v>
      </c>
      <c r="AD13" s="45">
        <f t="shared" si="7"/>
        <v>0</v>
      </c>
      <c r="AE13" s="572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2">
        <v>141</v>
      </c>
      <c r="C14" s="572">
        <v>148.5</v>
      </c>
      <c r="D14" s="45">
        <f t="shared" si="36"/>
        <v>17</v>
      </c>
      <c r="E14" s="45">
        <f t="shared" si="12"/>
        <v>142.46</v>
      </c>
      <c r="F14" s="572">
        <f t="shared" si="13"/>
        <v>1859</v>
      </c>
      <c r="G14" s="52">
        <f t="shared" si="0"/>
        <v>0</v>
      </c>
      <c r="H14" s="572">
        <f t="shared" si="14"/>
        <v>14767</v>
      </c>
      <c r="I14" s="392">
        <f t="shared" si="1"/>
        <v>0</v>
      </c>
      <c r="J14" s="66">
        <f t="shared" si="15"/>
        <v>0</v>
      </c>
      <c r="K14" s="572">
        <f t="shared" si="16"/>
        <v>2345</v>
      </c>
      <c r="L14" s="52">
        <f t="shared" si="17"/>
        <v>0</v>
      </c>
      <c r="M14" s="572">
        <f t="shared" si="18"/>
        <v>173005</v>
      </c>
      <c r="N14" s="392">
        <f t="shared" si="2"/>
        <v>0</v>
      </c>
      <c r="O14" s="64">
        <f t="shared" si="3"/>
        <v>1869</v>
      </c>
      <c r="P14" s="572">
        <f t="shared" si="3"/>
        <v>2112</v>
      </c>
      <c r="Q14" s="572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139101.4</v>
      </c>
      <c r="AA14" s="65">
        <f t="shared" si="6"/>
        <v>0</v>
      </c>
      <c r="AB14" s="281">
        <f t="shared" si="38"/>
        <v>0</v>
      </c>
      <c r="AC14" s="572">
        <f t="shared" si="25"/>
        <v>1940</v>
      </c>
      <c r="AD14" s="45">
        <f t="shared" si="7"/>
        <v>0</v>
      </c>
      <c r="AE14" s="572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2">
        <v>151</v>
      </c>
      <c r="C15" s="572">
        <v>158</v>
      </c>
      <c r="D15" s="45">
        <f t="shared" si="36"/>
        <v>-9.5</v>
      </c>
      <c r="E15" s="45">
        <f t="shared" si="12"/>
        <v>-79.610000000000014</v>
      </c>
      <c r="F15" s="572">
        <f t="shared" si="13"/>
        <v>1859</v>
      </c>
      <c r="G15" s="52">
        <f t="shared" si="0"/>
        <v>0</v>
      </c>
      <c r="H15" s="572">
        <f t="shared" si="14"/>
        <v>14767</v>
      </c>
      <c r="I15" s="392">
        <f t="shared" si="1"/>
        <v>0</v>
      </c>
      <c r="J15" s="66">
        <f t="shared" si="15"/>
        <v>0</v>
      </c>
      <c r="K15" s="572">
        <v>2347</v>
      </c>
      <c r="L15" s="52">
        <f t="shared" si="17"/>
        <v>2</v>
      </c>
      <c r="M15" s="572">
        <v>173164</v>
      </c>
      <c r="N15" s="392">
        <f t="shared" si="2"/>
        <v>159</v>
      </c>
      <c r="O15" s="64">
        <f t="shared" si="3"/>
        <v>1869</v>
      </c>
      <c r="P15" s="572">
        <v>2113</v>
      </c>
      <c r="Q15" s="572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2">
        <f t="shared" si="22"/>
        <v>2470</v>
      </c>
      <c r="Y15" s="52">
        <f t="shared" si="23"/>
        <v>0</v>
      </c>
      <c r="Z15" s="572">
        <f t="shared" si="24"/>
        <v>139101.4</v>
      </c>
      <c r="AA15" s="65">
        <f t="shared" si="6"/>
        <v>0</v>
      </c>
      <c r="AB15" s="281">
        <f t="shared" si="38"/>
        <v>0</v>
      </c>
      <c r="AC15" s="572">
        <f t="shared" si="25"/>
        <v>1940</v>
      </c>
      <c r="AD15" s="45">
        <f t="shared" si="7"/>
        <v>0</v>
      </c>
      <c r="AE15" s="572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2">
        <v>138</v>
      </c>
      <c r="C16" s="572">
        <v>145</v>
      </c>
      <c r="D16" s="45">
        <f t="shared" si="36"/>
        <v>13</v>
      </c>
      <c r="E16" s="45">
        <f t="shared" si="12"/>
        <v>108.94000000000001</v>
      </c>
      <c r="F16" s="572">
        <f t="shared" si="13"/>
        <v>1859</v>
      </c>
      <c r="G16" s="52">
        <f t="shared" si="0"/>
        <v>0</v>
      </c>
      <c r="H16" s="572">
        <f t="shared" si="14"/>
        <v>14767</v>
      </c>
      <c r="I16" s="392">
        <f t="shared" si="1"/>
        <v>0</v>
      </c>
      <c r="J16" s="66">
        <f t="shared" si="15"/>
        <v>0</v>
      </c>
      <c r="K16" s="572">
        <v>2348</v>
      </c>
      <c r="L16" s="52">
        <f t="shared" si="17"/>
        <v>1</v>
      </c>
      <c r="M16" s="572">
        <v>173274</v>
      </c>
      <c r="N16" s="392">
        <f t="shared" si="2"/>
        <v>110</v>
      </c>
      <c r="O16" s="64">
        <f t="shared" si="3"/>
        <v>1869</v>
      </c>
      <c r="P16" s="572">
        <f t="shared" si="3"/>
        <v>2113</v>
      </c>
      <c r="Q16" s="572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1</v>
      </c>
      <c r="V16" s="62">
        <f t="shared" si="20"/>
        <v>110</v>
      </c>
      <c r="W16" s="396">
        <f t="shared" si="21"/>
        <v>110</v>
      </c>
      <c r="X16" s="572">
        <f t="shared" si="22"/>
        <v>2470</v>
      </c>
      <c r="Y16" s="52">
        <f t="shared" si="23"/>
        <v>0</v>
      </c>
      <c r="Z16" s="572">
        <f t="shared" si="24"/>
        <v>139101.4</v>
      </c>
      <c r="AA16" s="65">
        <f t="shared" si="6"/>
        <v>0</v>
      </c>
      <c r="AB16" s="281">
        <f t="shared" si="38"/>
        <v>0</v>
      </c>
      <c r="AC16" s="572">
        <f t="shared" si="25"/>
        <v>1940</v>
      </c>
      <c r="AD16" s="45">
        <f t="shared" si="7"/>
        <v>0</v>
      </c>
      <c r="AE16" s="572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110</v>
      </c>
      <c r="AJ16" s="314">
        <f>-tanks!AW17</f>
        <v>110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2">
        <v>144</v>
      </c>
      <c r="C17" s="572">
        <v>151</v>
      </c>
      <c r="D17" s="45">
        <f t="shared" si="36"/>
        <v>-6</v>
      </c>
      <c r="E17" s="45">
        <f t="shared" si="12"/>
        <v>-50.28</v>
      </c>
      <c r="F17" s="572">
        <f t="shared" si="13"/>
        <v>1859</v>
      </c>
      <c r="G17" s="52">
        <f t="shared" si="0"/>
        <v>0</v>
      </c>
      <c r="H17" s="572">
        <f t="shared" si="14"/>
        <v>14767</v>
      </c>
      <c r="I17" s="392">
        <f t="shared" si="1"/>
        <v>0</v>
      </c>
      <c r="J17" s="66">
        <f t="shared" si="15"/>
        <v>0</v>
      </c>
      <c r="K17" s="572">
        <v>2349</v>
      </c>
      <c r="L17" s="52">
        <f t="shared" si="17"/>
        <v>1</v>
      </c>
      <c r="M17" s="572">
        <v>173322</v>
      </c>
      <c r="N17" s="392">
        <f t="shared" si="2"/>
        <v>48</v>
      </c>
      <c r="O17" s="64">
        <f t="shared" si="3"/>
        <v>1869</v>
      </c>
      <c r="P17" s="572">
        <f t="shared" si="3"/>
        <v>2113</v>
      </c>
      <c r="Q17" s="572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1</v>
      </c>
      <c r="V17" s="62">
        <f t="shared" si="20"/>
        <v>48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139101.4</v>
      </c>
      <c r="AA17" s="65">
        <f t="shared" si="6"/>
        <v>0</v>
      </c>
      <c r="AB17" s="281">
        <f t="shared" si="38"/>
        <v>0</v>
      </c>
      <c r="AC17" s="572">
        <v>1941</v>
      </c>
      <c r="AD17" s="45">
        <f t="shared" si="7"/>
        <v>1</v>
      </c>
      <c r="AE17" s="572">
        <v>365963.1</v>
      </c>
      <c r="AF17" s="303">
        <f t="shared" si="27"/>
        <v>46.699999999953434</v>
      </c>
      <c r="AG17" s="209">
        <f t="shared" si="39"/>
        <v>46.699999999953434</v>
      </c>
      <c r="AH17" s="62">
        <f t="shared" si="40"/>
        <v>46.699999999953434</v>
      </c>
      <c r="AI17" s="314">
        <f t="shared" si="28"/>
        <v>94.699999999953434</v>
      </c>
      <c r="AJ17" s="314">
        <f>-tanks!AW18</f>
        <v>94.699999999953434</v>
      </c>
      <c r="AK17" s="314">
        <f t="shared" si="29"/>
        <v>0</v>
      </c>
      <c r="AL17" s="314">
        <f t="shared" si="8"/>
        <v>1</v>
      </c>
      <c r="AM17" s="314">
        <f t="shared" si="30"/>
        <v>1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2">
        <v>127.5</v>
      </c>
      <c r="C18" s="572">
        <v>135</v>
      </c>
      <c r="D18" s="45">
        <f t="shared" si="36"/>
        <v>16</v>
      </c>
      <c r="E18" s="45">
        <f t="shared" si="12"/>
        <v>134.08000000000001</v>
      </c>
      <c r="F18" s="572">
        <v>1860</v>
      </c>
      <c r="G18" s="52">
        <f t="shared" si="0"/>
        <v>1</v>
      </c>
      <c r="H18" s="572">
        <v>14898</v>
      </c>
      <c r="I18" s="392">
        <f t="shared" si="1"/>
        <v>131</v>
      </c>
      <c r="J18" s="66">
        <f t="shared" si="15"/>
        <v>131</v>
      </c>
      <c r="K18" s="572">
        <f t="shared" si="16"/>
        <v>2349</v>
      </c>
      <c r="L18" s="52">
        <f t="shared" si="17"/>
        <v>0</v>
      </c>
      <c r="M18" s="572">
        <f t="shared" si="18"/>
        <v>173322</v>
      </c>
      <c r="N18" s="392">
        <f t="shared" si="2"/>
        <v>0</v>
      </c>
      <c r="O18" s="64">
        <v>1869</v>
      </c>
      <c r="P18" s="572">
        <f t="shared" ref="P18:P34" si="45">P17</f>
        <v>2113</v>
      </c>
      <c r="Q18" s="572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1</v>
      </c>
      <c r="V18" s="62">
        <f t="shared" si="20"/>
        <v>131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1941</v>
      </c>
      <c r="AD18" s="45">
        <f t="shared" si="7"/>
        <v>0</v>
      </c>
      <c r="AE18" s="572">
        <f t="shared" si="26"/>
        <v>365963.1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131</v>
      </c>
      <c r="AJ18" s="314">
        <f>-tanks!AW19</f>
        <v>131</v>
      </c>
      <c r="AK18" s="314">
        <f t="shared" si="29"/>
        <v>0</v>
      </c>
      <c r="AL18" s="314">
        <f t="shared" si="8"/>
        <v>1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2">
        <v>110</v>
      </c>
      <c r="C19" s="572">
        <v>118</v>
      </c>
      <c r="D19" s="45">
        <f t="shared" si="36"/>
        <v>17</v>
      </c>
      <c r="E19" s="45">
        <f t="shared" si="12"/>
        <v>142.46</v>
      </c>
      <c r="F19" s="572">
        <v>1861</v>
      </c>
      <c r="G19" s="52">
        <f t="shared" si="0"/>
        <v>1</v>
      </c>
      <c r="H19" s="572">
        <v>14942</v>
      </c>
      <c r="I19" s="392">
        <f t="shared" si="1"/>
        <v>44</v>
      </c>
      <c r="J19" s="66">
        <f t="shared" si="15"/>
        <v>44</v>
      </c>
      <c r="K19" s="572">
        <f t="shared" si="16"/>
        <v>2349</v>
      </c>
      <c r="L19" s="52">
        <f t="shared" si="17"/>
        <v>0</v>
      </c>
      <c r="M19" s="572">
        <f t="shared" si="18"/>
        <v>173322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2113</v>
      </c>
      <c r="Q19" s="572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1</v>
      </c>
      <c r="V19" s="62">
        <f t="shared" si="20"/>
        <v>44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139101.4</v>
      </c>
      <c r="AA19" s="65">
        <f t="shared" si="6"/>
        <v>0</v>
      </c>
      <c r="AB19" s="281">
        <f t="shared" si="47"/>
        <v>0</v>
      </c>
      <c r="AC19" s="572">
        <f t="shared" si="25"/>
        <v>1941</v>
      </c>
      <c r="AD19" s="45">
        <f t="shared" si="7"/>
        <v>0</v>
      </c>
      <c r="AE19" s="572">
        <f t="shared" si="26"/>
        <v>365963.1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44</v>
      </c>
      <c r="AJ19" s="314">
        <f>-tanks!AW20</f>
        <v>44</v>
      </c>
      <c r="AK19" s="314">
        <f t="shared" si="29"/>
        <v>0</v>
      </c>
      <c r="AL19" s="314">
        <f t="shared" si="8"/>
        <v>1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2">
        <v>134</v>
      </c>
      <c r="C20" s="572">
        <v>141</v>
      </c>
      <c r="D20" s="45">
        <f>C19-C20</f>
        <v>-23</v>
      </c>
      <c r="E20" s="45">
        <f t="shared" si="12"/>
        <v>-192.74</v>
      </c>
      <c r="F20" s="572">
        <f t="shared" si="13"/>
        <v>1861</v>
      </c>
      <c r="G20" s="52">
        <f t="shared" si="0"/>
        <v>0</v>
      </c>
      <c r="H20" s="572">
        <f t="shared" si="14"/>
        <v>14942</v>
      </c>
      <c r="I20" s="392">
        <f t="shared" si="1"/>
        <v>0</v>
      </c>
      <c r="J20" s="66">
        <f t="shared" si="15"/>
        <v>0</v>
      </c>
      <c r="K20" s="572">
        <f t="shared" si="16"/>
        <v>2349</v>
      </c>
      <c r="L20" s="52">
        <f t="shared" si="17"/>
        <v>0</v>
      </c>
      <c r="M20" s="572">
        <f t="shared" si="18"/>
        <v>173322</v>
      </c>
      <c r="N20" s="392">
        <f t="shared" si="2"/>
        <v>0</v>
      </c>
      <c r="O20" s="64">
        <f t="shared" si="48"/>
        <v>1869</v>
      </c>
      <c r="P20" s="572">
        <v>2114</v>
      </c>
      <c r="Q20" s="572">
        <v>177610</v>
      </c>
      <c r="R20" s="391">
        <f t="shared" si="44"/>
        <v>109</v>
      </c>
      <c r="S20" s="52">
        <f t="shared" si="5"/>
        <v>1</v>
      </c>
      <c r="T20" s="67">
        <f t="shared" si="37"/>
        <v>0</v>
      </c>
      <c r="U20" s="398">
        <f t="shared" si="19"/>
        <v>1</v>
      </c>
      <c r="V20" s="62">
        <f t="shared" si="20"/>
        <v>109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139101.4</v>
      </c>
      <c r="AA20" s="65">
        <f t="shared" si="6"/>
        <v>0</v>
      </c>
      <c r="AB20" s="281">
        <f t="shared" si="47"/>
        <v>0</v>
      </c>
      <c r="AC20" s="572">
        <f t="shared" si="25"/>
        <v>1941</v>
      </c>
      <c r="AD20" s="45">
        <f t="shared" si="7"/>
        <v>0</v>
      </c>
      <c r="AE20" s="572">
        <f t="shared" si="26"/>
        <v>365963.1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109</v>
      </c>
      <c r="AJ20" s="314">
        <f>-tanks!AW21</f>
        <v>109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2">
        <v>128.5</v>
      </c>
      <c r="C21" s="572">
        <v>135</v>
      </c>
      <c r="D21" s="45">
        <f t="shared" ref="D21:D32" si="49">C20-C21</f>
        <v>6</v>
      </c>
      <c r="E21" s="45">
        <f t="shared" si="12"/>
        <v>50.28</v>
      </c>
      <c r="F21" s="572">
        <f t="shared" si="13"/>
        <v>1861</v>
      </c>
      <c r="G21" s="52">
        <f t="shared" si="0"/>
        <v>0</v>
      </c>
      <c r="H21" s="572">
        <f t="shared" si="14"/>
        <v>14942</v>
      </c>
      <c r="I21" s="392">
        <f t="shared" si="1"/>
        <v>0</v>
      </c>
      <c r="J21" s="66">
        <f t="shared" si="15"/>
        <v>0</v>
      </c>
      <c r="K21" s="572">
        <f t="shared" si="16"/>
        <v>2349</v>
      </c>
      <c r="L21" s="52">
        <f t="shared" si="17"/>
        <v>0</v>
      </c>
      <c r="M21" s="572">
        <f t="shared" si="18"/>
        <v>173322</v>
      </c>
      <c r="N21" s="392">
        <f t="shared" si="2"/>
        <v>0</v>
      </c>
      <c r="O21" s="64">
        <f t="shared" si="48"/>
        <v>1869</v>
      </c>
      <c r="P21" s="572">
        <v>2116</v>
      </c>
      <c r="Q21" s="572">
        <v>177716</v>
      </c>
      <c r="R21" s="391">
        <f t="shared" si="44"/>
        <v>106</v>
      </c>
      <c r="S21" s="52">
        <f t="shared" si="5"/>
        <v>2</v>
      </c>
      <c r="T21" s="67">
        <f t="shared" si="37"/>
        <v>0</v>
      </c>
      <c r="U21" s="398">
        <f t="shared" si="19"/>
        <v>2</v>
      </c>
      <c r="V21" s="62">
        <f t="shared" si="20"/>
        <v>106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139101.4</v>
      </c>
      <c r="AA21" s="65">
        <f t="shared" si="6"/>
        <v>0</v>
      </c>
      <c r="AB21" s="281">
        <f t="shared" si="47"/>
        <v>0</v>
      </c>
      <c r="AC21" s="572">
        <f t="shared" si="25"/>
        <v>1941</v>
      </c>
      <c r="AD21" s="45">
        <f t="shared" si="7"/>
        <v>0</v>
      </c>
      <c r="AE21" s="572">
        <f t="shared" si="26"/>
        <v>365963.1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106</v>
      </c>
      <c r="AJ21" s="314">
        <f>-tanks!AW22</f>
        <v>106</v>
      </c>
      <c r="AK21" s="314">
        <f t="shared" si="29"/>
        <v>0</v>
      </c>
      <c r="AL21" s="314">
        <f t="shared" si="8"/>
        <v>2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2">
        <v>114.5</v>
      </c>
      <c r="C22" s="572">
        <v>122</v>
      </c>
      <c r="D22" s="45">
        <f t="shared" si="49"/>
        <v>13</v>
      </c>
      <c r="E22" s="45">
        <f t="shared" si="12"/>
        <v>108.94000000000001</v>
      </c>
      <c r="F22" s="572">
        <v>1862</v>
      </c>
      <c r="G22" s="52">
        <f t="shared" si="0"/>
        <v>1</v>
      </c>
      <c r="H22" s="572">
        <v>14997</v>
      </c>
      <c r="I22" s="392">
        <f t="shared" si="1"/>
        <v>55</v>
      </c>
      <c r="J22" s="66">
        <f t="shared" si="15"/>
        <v>55</v>
      </c>
      <c r="K22" s="572">
        <v>2350</v>
      </c>
      <c r="L22" s="52">
        <f t="shared" si="17"/>
        <v>1</v>
      </c>
      <c r="M22" s="572">
        <v>173424</v>
      </c>
      <c r="N22" s="392">
        <f t="shared" si="2"/>
        <v>102</v>
      </c>
      <c r="O22" s="64">
        <f t="shared" si="48"/>
        <v>1869</v>
      </c>
      <c r="P22" s="572">
        <f t="shared" si="45"/>
        <v>2116</v>
      </c>
      <c r="Q22" s="572">
        <f t="shared" si="46"/>
        <v>177716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2</v>
      </c>
      <c r="V22" s="62">
        <f t="shared" si="20"/>
        <v>157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139101.4</v>
      </c>
      <c r="AA22" s="65">
        <f t="shared" si="6"/>
        <v>0</v>
      </c>
      <c r="AB22" s="281">
        <f t="shared" si="47"/>
        <v>0</v>
      </c>
      <c r="AC22" s="572">
        <f t="shared" si="25"/>
        <v>1941</v>
      </c>
      <c r="AD22" s="45">
        <f t="shared" si="7"/>
        <v>0</v>
      </c>
      <c r="AE22" s="572">
        <f t="shared" si="26"/>
        <v>365963.1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157</v>
      </c>
      <c r="AJ22" s="314">
        <f>-tanks!AW23</f>
        <v>157</v>
      </c>
      <c r="AK22" s="314">
        <f t="shared" si="29"/>
        <v>0</v>
      </c>
      <c r="AL22" s="314">
        <f t="shared" si="8"/>
        <v>2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2">
        <v>116</v>
      </c>
      <c r="C23" s="572">
        <v>123</v>
      </c>
      <c r="D23" s="45">
        <f t="shared" si="49"/>
        <v>-1</v>
      </c>
      <c r="E23" s="45">
        <f t="shared" si="12"/>
        <v>-8.3800000000000008</v>
      </c>
      <c r="F23" s="572">
        <f t="shared" si="13"/>
        <v>1862</v>
      </c>
      <c r="G23" s="52">
        <f t="shared" si="0"/>
        <v>0</v>
      </c>
      <c r="H23" s="572">
        <f t="shared" si="14"/>
        <v>14997</v>
      </c>
      <c r="I23" s="392">
        <f t="shared" si="1"/>
        <v>0</v>
      </c>
      <c r="J23" s="66">
        <f t="shared" si="15"/>
        <v>0</v>
      </c>
      <c r="K23" s="572">
        <f t="shared" si="16"/>
        <v>2350</v>
      </c>
      <c r="L23" s="52">
        <f t="shared" si="17"/>
        <v>0</v>
      </c>
      <c r="M23" s="572">
        <f t="shared" si="18"/>
        <v>173424</v>
      </c>
      <c r="N23" s="392">
        <f t="shared" si="2"/>
        <v>0</v>
      </c>
      <c r="O23" s="64">
        <f t="shared" si="48"/>
        <v>1869</v>
      </c>
      <c r="P23" s="572">
        <f t="shared" si="45"/>
        <v>2116</v>
      </c>
      <c r="Q23" s="572">
        <f t="shared" si="46"/>
        <v>177716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139101.4</v>
      </c>
      <c r="AA23" s="65">
        <f t="shared" si="6"/>
        <v>0</v>
      </c>
      <c r="AB23" s="281">
        <f t="shared" si="47"/>
        <v>0</v>
      </c>
      <c r="AC23" s="572">
        <f t="shared" si="25"/>
        <v>1941</v>
      </c>
      <c r="AD23" s="45">
        <f t="shared" si="7"/>
        <v>0</v>
      </c>
      <c r="AE23" s="572">
        <f t="shared" si="26"/>
        <v>365963.1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2">
        <v>101</v>
      </c>
      <c r="C24" s="572">
        <v>109</v>
      </c>
      <c r="D24" s="45">
        <f t="shared" si="49"/>
        <v>14</v>
      </c>
      <c r="E24" s="45">
        <f t="shared" si="12"/>
        <v>117.32000000000001</v>
      </c>
      <c r="F24" s="572">
        <f t="shared" si="13"/>
        <v>1862</v>
      </c>
      <c r="G24" s="52">
        <f t="shared" si="0"/>
        <v>0</v>
      </c>
      <c r="H24" s="572">
        <f t="shared" si="14"/>
        <v>14997</v>
      </c>
      <c r="I24" s="392">
        <f t="shared" si="1"/>
        <v>0</v>
      </c>
      <c r="J24" s="66">
        <f t="shared" si="15"/>
        <v>0</v>
      </c>
      <c r="K24" s="572">
        <f t="shared" si="16"/>
        <v>2350</v>
      </c>
      <c r="L24" s="52">
        <f t="shared" si="17"/>
        <v>0</v>
      </c>
      <c r="M24" s="572">
        <f t="shared" si="18"/>
        <v>173424</v>
      </c>
      <c r="N24" s="392">
        <f t="shared" si="2"/>
        <v>0</v>
      </c>
      <c r="O24" s="64">
        <f t="shared" si="48"/>
        <v>1869</v>
      </c>
      <c r="P24" s="572">
        <v>2117</v>
      </c>
      <c r="Q24" s="572">
        <v>177851</v>
      </c>
      <c r="R24" s="391">
        <f t="shared" si="44"/>
        <v>135</v>
      </c>
      <c r="S24" s="52">
        <f t="shared" si="5"/>
        <v>1</v>
      </c>
      <c r="T24" s="67">
        <f t="shared" si="37"/>
        <v>0</v>
      </c>
      <c r="U24" s="398">
        <f t="shared" si="19"/>
        <v>1</v>
      </c>
      <c r="V24" s="62">
        <f t="shared" si="20"/>
        <v>135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1941</v>
      </c>
      <c r="AD24" s="45">
        <f t="shared" si="7"/>
        <v>0</v>
      </c>
      <c r="AE24" s="572">
        <f t="shared" si="26"/>
        <v>365963.1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135</v>
      </c>
      <c r="AJ24" s="314">
        <f>-tanks!AW25</f>
        <v>135</v>
      </c>
      <c r="AK24" s="314">
        <f t="shared" si="29"/>
        <v>0</v>
      </c>
      <c r="AL24" s="314">
        <f t="shared" si="8"/>
        <v>1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2">
        <v>85</v>
      </c>
      <c r="C25" s="572">
        <v>93</v>
      </c>
      <c r="D25" s="45">
        <f t="shared" si="49"/>
        <v>16</v>
      </c>
      <c r="E25" s="45">
        <f t="shared" si="12"/>
        <v>134.08000000000001</v>
      </c>
      <c r="F25" s="572">
        <f t="shared" si="13"/>
        <v>1862</v>
      </c>
      <c r="G25" s="52">
        <f t="shared" si="0"/>
        <v>0</v>
      </c>
      <c r="H25" s="572">
        <f t="shared" si="14"/>
        <v>14997</v>
      </c>
      <c r="I25" s="392">
        <f t="shared" si="1"/>
        <v>0</v>
      </c>
      <c r="J25" s="66">
        <f t="shared" si="15"/>
        <v>0</v>
      </c>
      <c r="K25" s="572">
        <v>2351</v>
      </c>
      <c r="L25" s="52">
        <f t="shared" si="17"/>
        <v>1</v>
      </c>
      <c r="M25" s="572">
        <v>173450</v>
      </c>
      <c r="N25" s="392">
        <f t="shared" si="2"/>
        <v>26</v>
      </c>
      <c r="O25" s="64">
        <f t="shared" si="48"/>
        <v>1869</v>
      </c>
      <c r="P25" s="572">
        <f t="shared" si="45"/>
        <v>2117</v>
      </c>
      <c r="Q25" s="572">
        <f t="shared" si="46"/>
        <v>177851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1</v>
      </c>
      <c r="V25" s="62">
        <f t="shared" si="20"/>
        <v>26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139101.4</v>
      </c>
      <c r="AA25" s="65">
        <f t="shared" si="6"/>
        <v>0</v>
      </c>
      <c r="AB25" s="281">
        <f t="shared" si="50"/>
        <v>0</v>
      </c>
      <c r="AC25" s="572">
        <f t="shared" si="25"/>
        <v>1941</v>
      </c>
      <c r="AD25" s="45">
        <f t="shared" si="7"/>
        <v>0</v>
      </c>
      <c r="AE25" s="572">
        <f t="shared" si="26"/>
        <v>365963.1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26</v>
      </c>
      <c r="AJ25" s="314">
        <f>-tanks!AW26</f>
        <v>26</v>
      </c>
      <c r="AK25" s="314">
        <f t="shared" si="29"/>
        <v>0</v>
      </c>
      <c r="AL25" s="314">
        <f t="shared" si="8"/>
        <v>1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2">
        <f t="shared" si="34"/>
        <v>85</v>
      </c>
      <c r="C26" s="572">
        <f t="shared" si="35"/>
        <v>93</v>
      </c>
      <c r="D26" s="45">
        <f t="shared" si="49"/>
        <v>0</v>
      </c>
      <c r="E26" s="45">
        <f t="shared" si="12"/>
        <v>0</v>
      </c>
      <c r="F26" s="572">
        <f t="shared" si="13"/>
        <v>1862</v>
      </c>
      <c r="G26" s="52">
        <f t="shared" si="0"/>
        <v>0</v>
      </c>
      <c r="H26" s="572">
        <f t="shared" si="14"/>
        <v>14997</v>
      </c>
      <c r="I26" s="392">
        <f t="shared" si="1"/>
        <v>0</v>
      </c>
      <c r="J26" s="66">
        <f t="shared" si="15"/>
        <v>0</v>
      </c>
      <c r="K26" s="572">
        <f t="shared" si="16"/>
        <v>2351</v>
      </c>
      <c r="L26" s="52">
        <f t="shared" si="17"/>
        <v>0</v>
      </c>
      <c r="M26" s="572">
        <f t="shared" si="18"/>
        <v>173450</v>
      </c>
      <c r="N26" s="392">
        <f t="shared" si="2"/>
        <v>0</v>
      </c>
      <c r="O26" s="64">
        <f t="shared" si="48"/>
        <v>1869</v>
      </c>
      <c r="P26" s="572">
        <f t="shared" si="45"/>
        <v>2117</v>
      </c>
      <c r="Q26" s="572">
        <f t="shared" si="46"/>
        <v>177851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139101.4</v>
      </c>
      <c r="AA26" s="65">
        <f t="shared" si="6"/>
        <v>0</v>
      </c>
      <c r="AB26" s="281">
        <f t="shared" si="50"/>
        <v>0</v>
      </c>
      <c r="AC26" s="572">
        <f t="shared" si="25"/>
        <v>1941</v>
      </c>
      <c r="AD26" s="45">
        <f t="shared" si="7"/>
        <v>0</v>
      </c>
      <c r="AE26" s="572">
        <f t="shared" si="26"/>
        <v>365963.1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2">
        <f t="shared" si="34"/>
        <v>85</v>
      </c>
      <c r="C27" s="572">
        <f t="shared" si="35"/>
        <v>93</v>
      </c>
      <c r="D27" s="45">
        <f t="shared" si="49"/>
        <v>0</v>
      </c>
      <c r="E27" s="45">
        <f t="shared" si="12"/>
        <v>0</v>
      </c>
      <c r="F27" s="572">
        <f t="shared" si="13"/>
        <v>1862</v>
      </c>
      <c r="G27" s="52">
        <f t="shared" si="0"/>
        <v>0</v>
      </c>
      <c r="H27" s="572">
        <f t="shared" si="14"/>
        <v>14997</v>
      </c>
      <c r="I27" s="392">
        <f t="shared" si="1"/>
        <v>0</v>
      </c>
      <c r="J27" s="66">
        <f t="shared" si="15"/>
        <v>0</v>
      </c>
      <c r="K27" s="572">
        <f t="shared" si="16"/>
        <v>2351</v>
      </c>
      <c r="L27" s="52">
        <f t="shared" si="17"/>
        <v>0</v>
      </c>
      <c r="M27" s="572">
        <f t="shared" si="18"/>
        <v>173450</v>
      </c>
      <c r="N27" s="392">
        <f t="shared" si="2"/>
        <v>0</v>
      </c>
      <c r="O27" s="64">
        <f t="shared" si="48"/>
        <v>1869</v>
      </c>
      <c r="P27" s="572">
        <f t="shared" si="45"/>
        <v>2117</v>
      </c>
      <c r="Q27" s="572">
        <f t="shared" si="46"/>
        <v>177851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139101.4</v>
      </c>
      <c r="AA27" s="65">
        <f t="shared" si="6"/>
        <v>0</v>
      </c>
      <c r="AB27" s="281">
        <f t="shared" si="50"/>
        <v>0</v>
      </c>
      <c r="AC27" s="572">
        <f t="shared" si="25"/>
        <v>1941</v>
      </c>
      <c r="AD27" s="45">
        <f t="shared" si="7"/>
        <v>0</v>
      </c>
      <c r="AE27" s="572">
        <f t="shared" si="26"/>
        <v>365963.1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2">
        <f t="shared" si="34"/>
        <v>85</v>
      </c>
      <c r="C28" s="572">
        <f t="shared" si="35"/>
        <v>93</v>
      </c>
      <c r="D28" s="45">
        <f t="shared" si="49"/>
        <v>0</v>
      </c>
      <c r="E28" s="45">
        <f t="shared" si="12"/>
        <v>0</v>
      </c>
      <c r="F28" s="572">
        <f t="shared" si="13"/>
        <v>1862</v>
      </c>
      <c r="G28" s="52">
        <f t="shared" si="0"/>
        <v>0</v>
      </c>
      <c r="H28" s="572">
        <f t="shared" si="14"/>
        <v>14997</v>
      </c>
      <c r="I28" s="392">
        <f t="shared" si="1"/>
        <v>0</v>
      </c>
      <c r="J28" s="66">
        <f t="shared" si="15"/>
        <v>0</v>
      </c>
      <c r="K28" s="572">
        <f t="shared" si="16"/>
        <v>2351</v>
      </c>
      <c r="L28" s="52">
        <f t="shared" si="17"/>
        <v>0</v>
      </c>
      <c r="M28" s="572">
        <f t="shared" si="18"/>
        <v>173450</v>
      </c>
      <c r="N28" s="392">
        <f t="shared" si="2"/>
        <v>0</v>
      </c>
      <c r="O28" s="64">
        <f t="shared" si="48"/>
        <v>1869</v>
      </c>
      <c r="P28" s="572">
        <f t="shared" si="45"/>
        <v>2117</v>
      </c>
      <c r="Q28" s="572">
        <f t="shared" si="46"/>
        <v>177851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139101.4</v>
      </c>
      <c r="AA28" s="65">
        <f t="shared" si="6"/>
        <v>0</v>
      </c>
      <c r="AB28" s="281">
        <f t="shared" si="50"/>
        <v>0</v>
      </c>
      <c r="AC28" s="572">
        <f t="shared" si="25"/>
        <v>1941</v>
      </c>
      <c r="AD28" s="45">
        <f t="shared" si="7"/>
        <v>0</v>
      </c>
      <c r="AE28" s="572">
        <f t="shared" si="26"/>
        <v>365963.1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2">
        <f t="shared" si="34"/>
        <v>85</v>
      </c>
      <c r="C29" s="572">
        <f t="shared" si="35"/>
        <v>93</v>
      </c>
      <c r="D29" s="45">
        <f t="shared" si="49"/>
        <v>0</v>
      </c>
      <c r="E29" s="45">
        <f t="shared" si="12"/>
        <v>0</v>
      </c>
      <c r="F29" s="572">
        <f t="shared" si="13"/>
        <v>1862</v>
      </c>
      <c r="G29" s="52">
        <f t="shared" si="0"/>
        <v>0</v>
      </c>
      <c r="H29" s="572">
        <f t="shared" si="14"/>
        <v>14997</v>
      </c>
      <c r="I29" s="392">
        <f t="shared" si="1"/>
        <v>0</v>
      </c>
      <c r="J29" s="66">
        <f t="shared" si="15"/>
        <v>0</v>
      </c>
      <c r="K29" s="572">
        <f t="shared" si="16"/>
        <v>2351</v>
      </c>
      <c r="L29" s="52">
        <f t="shared" si="17"/>
        <v>0</v>
      </c>
      <c r="M29" s="572">
        <f t="shared" si="18"/>
        <v>173450</v>
      </c>
      <c r="N29" s="392">
        <f t="shared" si="2"/>
        <v>0</v>
      </c>
      <c r="O29" s="64">
        <f t="shared" si="48"/>
        <v>1869</v>
      </c>
      <c r="P29" s="572">
        <f t="shared" si="45"/>
        <v>2117</v>
      </c>
      <c r="Q29" s="572">
        <f t="shared" si="46"/>
        <v>177851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139101.4</v>
      </c>
      <c r="AA29" s="65">
        <f t="shared" si="6"/>
        <v>0</v>
      </c>
      <c r="AB29" s="281">
        <f t="shared" si="50"/>
        <v>0</v>
      </c>
      <c r="AC29" s="572">
        <f t="shared" si="25"/>
        <v>1941</v>
      </c>
      <c r="AD29" s="45">
        <f t="shared" si="7"/>
        <v>0</v>
      </c>
      <c r="AE29" s="572">
        <f t="shared" si="26"/>
        <v>365963.1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2">
        <f t="shared" si="34"/>
        <v>85</v>
      </c>
      <c r="C30" s="572">
        <f t="shared" si="35"/>
        <v>93</v>
      </c>
      <c r="D30" s="45">
        <f t="shared" si="49"/>
        <v>0</v>
      </c>
      <c r="E30" s="45">
        <f t="shared" si="12"/>
        <v>0</v>
      </c>
      <c r="F30" s="572">
        <f t="shared" si="13"/>
        <v>1862</v>
      </c>
      <c r="G30" s="52">
        <f t="shared" si="0"/>
        <v>0</v>
      </c>
      <c r="H30" s="572">
        <f t="shared" si="14"/>
        <v>14997</v>
      </c>
      <c r="I30" s="392">
        <f t="shared" si="1"/>
        <v>0</v>
      </c>
      <c r="J30" s="66">
        <f t="shared" si="15"/>
        <v>0</v>
      </c>
      <c r="K30" s="572">
        <f t="shared" si="16"/>
        <v>2351</v>
      </c>
      <c r="L30" s="52">
        <f t="shared" si="17"/>
        <v>0</v>
      </c>
      <c r="M30" s="572">
        <f t="shared" si="18"/>
        <v>173450</v>
      </c>
      <c r="N30" s="392">
        <f t="shared" si="2"/>
        <v>0</v>
      </c>
      <c r="O30" s="64">
        <f t="shared" si="48"/>
        <v>1869</v>
      </c>
      <c r="P30" s="572">
        <f t="shared" si="45"/>
        <v>2117</v>
      </c>
      <c r="Q30" s="572">
        <f t="shared" si="46"/>
        <v>177851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139101.4</v>
      </c>
      <c r="AA30" s="65">
        <f t="shared" si="6"/>
        <v>0</v>
      </c>
      <c r="AB30" s="281">
        <f t="shared" si="50"/>
        <v>0</v>
      </c>
      <c r="AC30" s="572">
        <f t="shared" si="25"/>
        <v>1941</v>
      </c>
      <c r="AD30" s="45">
        <f t="shared" si="7"/>
        <v>0</v>
      </c>
      <c r="AE30" s="572">
        <f t="shared" si="26"/>
        <v>365963.1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2">
        <f t="shared" si="34"/>
        <v>85</v>
      </c>
      <c r="C31" s="572">
        <f t="shared" si="35"/>
        <v>93</v>
      </c>
      <c r="D31" s="45">
        <f t="shared" si="49"/>
        <v>0</v>
      </c>
      <c r="E31" s="45">
        <f t="shared" si="12"/>
        <v>0</v>
      </c>
      <c r="F31" s="572">
        <f t="shared" si="13"/>
        <v>1862</v>
      </c>
      <c r="G31" s="52">
        <f t="shared" si="0"/>
        <v>0</v>
      </c>
      <c r="H31" s="572">
        <f t="shared" si="14"/>
        <v>14997</v>
      </c>
      <c r="I31" s="392">
        <f t="shared" si="1"/>
        <v>0</v>
      </c>
      <c r="J31" s="66">
        <f t="shared" si="15"/>
        <v>0</v>
      </c>
      <c r="K31" s="572">
        <f t="shared" si="16"/>
        <v>2351</v>
      </c>
      <c r="L31" s="52">
        <f t="shared" si="17"/>
        <v>0</v>
      </c>
      <c r="M31" s="572">
        <f t="shared" si="18"/>
        <v>173450</v>
      </c>
      <c r="N31" s="392">
        <f t="shared" si="2"/>
        <v>0</v>
      </c>
      <c r="O31" s="64">
        <f t="shared" si="48"/>
        <v>1869</v>
      </c>
      <c r="P31" s="572">
        <f t="shared" si="45"/>
        <v>2117</v>
      </c>
      <c r="Q31" s="572">
        <f t="shared" si="46"/>
        <v>177851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139101.4</v>
      </c>
      <c r="AA31" s="65">
        <f t="shared" si="6"/>
        <v>0</v>
      </c>
      <c r="AB31" s="281">
        <f t="shared" si="50"/>
        <v>0</v>
      </c>
      <c r="AC31" s="572">
        <f t="shared" si="25"/>
        <v>1941</v>
      </c>
      <c r="AD31" s="267">
        <f t="shared" si="7"/>
        <v>0</v>
      </c>
      <c r="AE31" s="572">
        <f t="shared" si="26"/>
        <v>365963.1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2">
        <f t="shared" si="34"/>
        <v>85</v>
      </c>
      <c r="C32" s="572">
        <f t="shared" si="35"/>
        <v>93</v>
      </c>
      <c r="D32" s="45">
        <f t="shared" si="49"/>
        <v>0</v>
      </c>
      <c r="E32" s="45">
        <f t="shared" si="12"/>
        <v>0</v>
      </c>
      <c r="F32" s="572">
        <f t="shared" si="13"/>
        <v>1862</v>
      </c>
      <c r="G32" s="52">
        <f t="shared" si="0"/>
        <v>0</v>
      </c>
      <c r="H32" s="572">
        <f t="shared" si="14"/>
        <v>14997</v>
      </c>
      <c r="I32" s="392">
        <f t="shared" si="1"/>
        <v>0</v>
      </c>
      <c r="J32" s="66">
        <f t="shared" si="15"/>
        <v>0</v>
      </c>
      <c r="K32" s="572">
        <f t="shared" si="16"/>
        <v>2351</v>
      </c>
      <c r="L32" s="52">
        <f t="shared" si="17"/>
        <v>0</v>
      </c>
      <c r="M32" s="572">
        <f t="shared" si="18"/>
        <v>173450</v>
      </c>
      <c r="N32" s="392">
        <f t="shared" si="2"/>
        <v>0</v>
      </c>
      <c r="O32" s="64">
        <f t="shared" si="48"/>
        <v>1869</v>
      </c>
      <c r="P32" s="572">
        <f t="shared" si="45"/>
        <v>2117</v>
      </c>
      <c r="Q32" s="572">
        <f t="shared" si="46"/>
        <v>177851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139101.4</v>
      </c>
      <c r="AA32" s="65">
        <f t="shared" si="6"/>
        <v>0</v>
      </c>
      <c r="AB32" s="281">
        <f t="shared" si="50"/>
        <v>0</v>
      </c>
      <c r="AC32" s="572">
        <f t="shared" si="25"/>
        <v>1941</v>
      </c>
      <c r="AD32" s="267">
        <f t="shared" si="7"/>
        <v>0</v>
      </c>
      <c r="AE32" s="572">
        <f t="shared" si="26"/>
        <v>365963.1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2">
        <f t="shared" si="34"/>
        <v>85</v>
      </c>
      <c r="C33" s="572">
        <f t="shared" si="35"/>
        <v>93</v>
      </c>
      <c r="D33" s="45">
        <f>C32-C33</f>
        <v>0</v>
      </c>
      <c r="E33" s="45">
        <f>D33*8.38</f>
        <v>0</v>
      </c>
      <c r="F33" s="572">
        <f t="shared" si="13"/>
        <v>1862</v>
      </c>
      <c r="G33" s="52">
        <f>F33-F32</f>
        <v>0</v>
      </c>
      <c r="H33" s="572">
        <f t="shared" si="14"/>
        <v>14997</v>
      </c>
      <c r="I33" s="392">
        <f>SUM(H33-H32)</f>
        <v>0</v>
      </c>
      <c r="J33" s="66">
        <f>IF(G33&gt;0,I33/G33,0)</f>
        <v>0</v>
      </c>
      <c r="K33" s="572">
        <f t="shared" si="16"/>
        <v>2351</v>
      </c>
      <c r="L33" s="52">
        <f>K33-K32</f>
        <v>0</v>
      </c>
      <c r="M33" s="572">
        <f t="shared" si="18"/>
        <v>173450</v>
      </c>
      <c r="N33" s="392">
        <f>M33-M32</f>
        <v>0</v>
      </c>
      <c r="O33" s="64">
        <f t="shared" si="48"/>
        <v>1869</v>
      </c>
      <c r="P33" s="572">
        <f t="shared" si="45"/>
        <v>2117</v>
      </c>
      <c r="Q33" s="572">
        <f t="shared" si="46"/>
        <v>177851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139101.4</v>
      </c>
      <c r="AA33" s="65">
        <f>Z33-Z32</f>
        <v>0</v>
      </c>
      <c r="AB33" s="281">
        <f>SUM(Y33*$AB$2)</f>
        <v>0</v>
      </c>
      <c r="AC33" s="572">
        <f t="shared" si="25"/>
        <v>1941</v>
      </c>
      <c r="AD33" s="267">
        <f>AC33-AC32</f>
        <v>0</v>
      </c>
      <c r="AE33" s="572">
        <f t="shared" si="26"/>
        <v>365963.1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2">
        <f t="shared" si="34"/>
        <v>85</v>
      </c>
      <c r="C34" s="572">
        <f t="shared" si="35"/>
        <v>93</v>
      </c>
      <c r="D34" s="45">
        <f>C33-C34</f>
        <v>0</v>
      </c>
      <c r="E34" s="45">
        <f>D34*8.38</f>
        <v>0</v>
      </c>
      <c r="F34" s="572">
        <f t="shared" si="13"/>
        <v>1862</v>
      </c>
      <c r="G34" s="52">
        <f>F34-F33</f>
        <v>0</v>
      </c>
      <c r="H34" s="572">
        <f t="shared" si="14"/>
        <v>14997</v>
      </c>
      <c r="I34" s="392">
        <f>SUM(H34-H33)</f>
        <v>0</v>
      </c>
      <c r="J34" s="66">
        <f>IF(G34&gt;0,I34/G34,0)</f>
        <v>0</v>
      </c>
      <c r="K34" s="572">
        <f t="shared" si="16"/>
        <v>2351</v>
      </c>
      <c r="L34" s="52">
        <f>K34-K33</f>
        <v>0</v>
      </c>
      <c r="M34" s="572">
        <f t="shared" si="18"/>
        <v>173450</v>
      </c>
      <c r="N34" s="392">
        <f>M34-M33</f>
        <v>0</v>
      </c>
      <c r="O34" s="64">
        <f t="shared" si="48"/>
        <v>1869</v>
      </c>
      <c r="P34" s="572">
        <f t="shared" si="45"/>
        <v>2117</v>
      </c>
      <c r="Q34" s="572">
        <f t="shared" si="46"/>
        <v>177851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139101.4</v>
      </c>
      <c r="AA34" s="65">
        <f>Z34-Z33</f>
        <v>0</v>
      </c>
      <c r="AB34" s="281">
        <f>SUM(Y34*$AB$2)</f>
        <v>0</v>
      </c>
      <c r="AC34" s="572">
        <f t="shared" si="25"/>
        <v>1941</v>
      </c>
      <c r="AD34" s="267">
        <f>AC34-AC33</f>
        <v>0</v>
      </c>
      <c r="AE34" s="572">
        <f t="shared" si="26"/>
        <v>365963.1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2">
        <f t="shared" ref="B35" si="55">B34</f>
        <v>85</v>
      </c>
      <c r="C35" s="572">
        <f t="shared" ref="C35" si="56">C34</f>
        <v>93</v>
      </c>
      <c r="D35" s="45">
        <f>C34-C35</f>
        <v>0</v>
      </c>
      <c r="E35" s="45">
        <f>D35*8.38</f>
        <v>0</v>
      </c>
      <c r="F35" s="572">
        <f t="shared" ref="F35" si="57">F34</f>
        <v>1862</v>
      </c>
      <c r="G35" s="52">
        <f>F35-F34</f>
        <v>0</v>
      </c>
      <c r="H35" s="572">
        <f t="shared" ref="H35" si="58">H34</f>
        <v>14997</v>
      </c>
      <c r="I35" s="392">
        <f>SUM(H35-H34)</f>
        <v>0</v>
      </c>
      <c r="J35" s="66">
        <f>IF(G35&gt;0,I35/G35,0)</f>
        <v>0</v>
      </c>
      <c r="K35" s="572">
        <f t="shared" ref="K35" si="59">K34</f>
        <v>2351</v>
      </c>
      <c r="L35" s="52">
        <f>K35-K34</f>
        <v>0</v>
      </c>
      <c r="M35" s="572">
        <f t="shared" ref="M35" si="60">M34</f>
        <v>173450</v>
      </c>
      <c r="N35" s="392">
        <f>M35-M34</f>
        <v>0</v>
      </c>
      <c r="O35" s="64">
        <f t="shared" si="48"/>
        <v>1869</v>
      </c>
      <c r="P35" s="572">
        <f t="shared" ref="P35" si="61">P34</f>
        <v>2117</v>
      </c>
      <c r="Q35" s="572">
        <f t="shared" ref="Q35" si="62">Q34</f>
        <v>177851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ref="X35" si="63">X34</f>
        <v>2470</v>
      </c>
      <c r="Y35" s="52">
        <f>X35-X34</f>
        <v>0</v>
      </c>
      <c r="Z35" s="572">
        <f t="shared" ref="Z35" si="64">Z34</f>
        <v>139101.4</v>
      </c>
      <c r="AA35" s="65">
        <f>Z35-Z34</f>
        <v>0</v>
      </c>
      <c r="AB35" s="281">
        <f>SUM(Y35*$AB$2)</f>
        <v>0</v>
      </c>
      <c r="AC35" s="572">
        <f t="shared" ref="AC35" si="65">AC34</f>
        <v>1941</v>
      </c>
      <c r="AD35" s="267">
        <f>AC35-AC34</f>
        <v>0</v>
      </c>
      <c r="AE35" s="572">
        <f t="shared" ref="AE35" si="66">AE34</f>
        <v>365963.1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67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58.75</v>
      </c>
      <c r="V36" s="62">
        <f>SUM(V5:V34)</f>
        <v>1586</v>
      </c>
      <c r="AE36" s="71" t="s">
        <v>383</v>
      </c>
      <c r="AG36" s="340"/>
      <c r="AH36" s="62">
        <f>SUM(AH5:AH35)</f>
        <v>46.699999999953434</v>
      </c>
      <c r="AL36" s="62">
        <f>SUM(AL5:AL35)</f>
        <v>21</v>
      </c>
      <c r="AM36" s="62">
        <f>SUM(AM5:AM35)</f>
        <v>1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1632.6999999999534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26" activePane="bottomLeft" state="frozen"/>
      <selection pane="bottomLeft" activeCell="AY26" sqref="AY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8103006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9" t="s">
        <v>95</v>
      </c>
      <c r="AS2" s="690"/>
      <c r="AT2" s="690"/>
      <c r="AU2" s="690"/>
      <c r="AV2" s="691"/>
      <c r="AW2" s="689" t="s">
        <v>96</v>
      </c>
      <c r="AX2" s="690"/>
      <c r="AY2" s="691"/>
      <c r="AZ2" s="689" t="s">
        <v>98</v>
      </c>
      <c r="BA2" s="690"/>
      <c r="BB2" s="691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86" t="s">
        <v>126</v>
      </c>
      <c r="AO3" s="687"/>
      <c r="AP3" s="688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05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v>622891</v>
      </c>
      <c r="H17" s="5">
        <f t="shared" si="12"/>
        <v>261</v>
      </c>
      <c r="I17" s="5">
        <f t="shared" si="13"/>
        <v>261</v>
      </c>
      <c r="J17" s="330">
        <f t="shared" si="0"/>
        <v>0.9269558769002596</v>
      </c>
      <c r="K17" s="5">
        <f>'Swimming Pool quality check '!H17</f>
        <v>6807</v>
      </c>
      <c r="L17" s="83">
        <f t="shared" si="41"/>
        <v>2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v>153054</v>
      </c>
      <c r="Y17" s="320">
        <f t="shared" si="42"/>
        <v>29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v>237.08</v>
      </c>
      <c r="AF17" s="83">
        <f t="shared" si="25"/>
        <v>6.4200000000000159</v>
      </c>
      <c r="AG17" s="5">
        <f t="shared" si="26"/>
        <v>2210.4</v>
      </c>
      <c r="AH17" s="83">
        <f t="shared" si="27"/>
        <v>0</v>
      </c>
      <c r="AI17" s="83">
        <f t="shared" si="28"/>
        <v>6.4200000000000159</v>
      </c>
      <c r="AJ17" s="322">
        <f t="shared" si="29"/>
        <v>0</v>
      </c>
      <c r="AK17" s="323">
        <f>SUM(Y17-L17)</f>
        <v>27</v>
      </c>
      <c r="AL17" s="323">
        <f t="shared" si="30"/>
        <v>0</v>
      </c>
      <c r="AM17" s="323">
        <f>'General information '!D17</f>
        <v>28.5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v>160</v>
      </c>
      <c r="AU17" s="421">
        <f t="shared" si="43"/>
        <v>1.1000000000000001</v>
      </c>
      <c r="AV17" s="201">
        <v>147</v>
      </c>
      <c r="AW17" s="5">
        <v>2.9</v>
      </c>
      <c r="AX17" s="201">
        <v>108</v>
      </c>
      <c r="AY17" s="422">
        <f t="shared" si="5"/>
        <v>144</v>
      </c>
      <c r="AZ17" s="422">
        <f t="shared" si="34"/>
        <v>161.70000000000002</v>
      </c>
      <c r="BA17" s="422">
        <f t="shared" si="35"/>
        <v>313.2</v>
      </c>
      <c r="BB17" s="21">
        <f t="shared" si="36"/>
        <v>78.3</v>
      </c>
      <c r="BC17" s="21">
        <f t="shared" si="37"/>
        <v>-7.6999999999999886</v>
      </c>
      <c r="BD17" s="21">
        <f t="shared" si="37"/>
        <v>5.8000000000000114</v>
      </c>
      <c r="BE17" s="24">
        <f t="shared" si="38"/>
        <v>76.40000000000002</v>
      </c>
      <c r="BF17" s="96">
        <f t="shared" si="6"/>
        <v>184.59999999999997</v>
      </c>
      <c r="BG17" s="82">
        <f t="shared" si="7"/>
        <v>76.400000000000034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622891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6807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v>153169</v>
      </c>
      <c r="Y18" s="320">
        <f t="shared" si="42"/>
        <v>115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237.08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115</v>
      </c>
      <c r="AL18" s="323">
        <f t="shared" si="30"/>
        <v>0</v>
      </c>
      <c r="AM18" s="323">
        <f>'General information '!D18</f>
        <v>29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v>50</v>
      </c>
      <c r="AU18" s="421">
        <f t="shared" si="43"/>
        <v>1.1000000000000001</v>
      </c>
      <c r="AV18" s="201">
        <v>145</v>
      </c>
      <c r="AW18" s="5">
        <v>2.9</v>
      </c>
      <c r="AX18" s="201">
        <v>132</v>
      </c>
      <c r="AY18" s="422">
        <f t="shared" si="5"/>
        <v>45</v>
      </c>
      <c r="AZ18" s="422">
        <f t="shared" si="34"/>
        <v>159.5</v>
      </c>
      <c r="BA18" s="422">
        <f t="shared" si="35"/>
        <v>382.8</v>
      </c>
      <c r="BB18" s="21">
        <f t="shared" si="36"/>
        <v>-99</v>
      </c>
      <c r="BC18" s="21">
        <f t="shared" si="37"/>
        <v>-2.2000000000000171</v>
      </c>
      <c r="BD18" s="21">
        <f t="shared" si="37"/>
        <v>69.600000000000023</v>
      </c>
      <c r="BE18" s="24">
        <f t="shared" si="38"/>
        <v>-31.599999999999994</v>
      </c>
      <c r="BF18" s="96">
        <f t="shared" si="6"/>
        <v>31.599999999999994</v>
      </c>
      <c r="BG18" s="82">
        <f t="shared" si="7"/>
        <v>-31.599999999999994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v>623125</v>
      </c>
      <c r="H19" s="5">
        <f t="shared" si="12"/>
        <v>234</v>
      </c>
      <c r="I19" s="5">
        <f t="shared" si="13"/>
        <v>234</v>
      </c>
      <c r="J19" s="330">
        <f t="shared" si="0"/>
        <v>1.0339123242349049</v>
      </c>
      <c r="K19" s="5">
        <f>'Swimming Pool quality check '!H19</f>
        <v>6807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153169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237.08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28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v>190</v>
      </c>
      <c r="AU19" s="421">
        <f t="shared" si="43"/>
        <v>1.1000000000000001</v>
      </c>
      <c r="AV19" s="201">
        <v>133</v>
      </c>
      <c r="AW19" s="5">
        <v>2.9</v>
      </c>
      <c r="AX19" s="201">
        <v>125</v>
      </c>
      <c r="AY19" s="422">
        <f>AS19*AT19</f>
        <v>171</v>
      </c>
      <c r="AZ19" s="422">
        <f>AU19*AV19</f>
        <v>146.30000000000001</v>
      </c>
      <c r="BA19" s="422">
        <f>AW19*AX19</f>
        <v>362.5</v>
      </c>
      <c r="BB19" s="21">
        <f t="shared" ref="BB19:BD20" si="47">AY19-AY18</f>
        <v>126</v>
      </c>
      <c r="BC19" s="21">
        <f t="shared" si="47"/>
        <v>-13.199999999999989</v>
      </c>
      <c r="BD19" s="21">
        <f t="shared" si="47"/>
        <v>-20.300000000000011</v>
      </c>
      <c r="BE19" s="24">
        <f>SUM(BB19:BD19)</f>
        <v>92.5</v>
      </c>
      <c r="BF19" s="96">
        <f t="shared" si="6"/>
        <v>141.5</v>
      </c>
      <c r="BG19" s="82">
        <f t="shared" si="7"/>
        <v>92.5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623125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6807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153169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237.08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27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v>65</v>
      </c>
      <c r="AU20" s="421">
        <f t="shared" si="43"/>
        <v>1.1000000000000001</v>
      </c>
      <c r="AV20" s="201">
        <v>131</v>
      </c>
      <c r="AW20" s="5">
        <v>2.9</v>
      </c>
      <c r="AX20" s="201">
        <v>150</v>
      </c>
      <c r="AY20" s="422">
        <f>AS20*AT20</f>
        <v>58.5</v>
      </c>
      <c r="AZ20" s="422">
        <f>AU20*AV20</f>
        <v>144.10000000000002</v>
      </c>
      <c r="BA20" s="422">
        <f>AW20*AX20</f>
        <v>435</v>
      </c>
      <c r="BB20" s="21">
        <f t="shared" si="47"/>
        <v>-112.5</v>
      </c>
      <c r="BC20" s="21">
        <f t="shared" si="47"/>
        <v>-2.1999999999999886</v>
      </c>
      <c r="BD20" s="21">
        <f t="shared" si="47"/>
        <v>72.5</v>
      </c>
      <c r="BE20" s="24">
        <f>SUM(BB20:BD20)</f>
        <v>-42.199999999999989</v>
      </c>
      <c r="BF20" s="96">
        <f t="shared" si="6"/>
        <v>42.199999999999989</v>
      </c>
      <c r="BG20" s="82">
        <f t="shared" si="7"/>
        <v>-42.199999999999989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v>623276</v>
      </c>
      <c r="H21" s="5">
        <f t="shared" si="12"/>
        <v>151</v>
      </c>
      <c r="I21" s="5">
        <f t="shared" si="13"/>
        <v>151</v>
      </c>
      <c r="J21" s="330">
        <f t="shared" si="0"/>
        <v>1.6022217474898526</v>
      </c>
      <c r="K21" s="5">
        <f>'Swimming Pool quality check '!H21</f>
        <v>6808</v>
      </c>
      <c r="L21" s="83">
        <f t="shared" si="41"/>
        <v>1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v>5175</v>
      </c>
      <c r="U21" s="5">
        <f t="shared" si="3"/>
        <v>1</v>
      </c>
      <c r="V21" s="5">
        <f t="shared" si="17"/>
        <v>475</v>
      </c>
      <c r="W21" s="320">
        <f t="shared" si="18"/>
        <v>0</v>
      </c>
      <c r="X21" s="5">
        <f t="shared" si="19"/>
        <v>153169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v>237.24</v>
      </c>
      <c r="AF21" s="83">
        <f t="shared" si="25"/>
        <v>0.15999999999999659</v>
      </c>
      <c r="AG21" s="5">
        <v>2211.3000000000002</v>
      </c>
      <c r="AH21" s="83">
        <f t="shared" si="27"/>
        <v>0.90000000000009095</v>
      </c>
      <c r="AI21" s="83">
        <f t="shared" si="28"/>
        <v>1.0600000000000875</v>
      </c>
      <c r="AJ21" s="322">
        <f t="shared" si="29"/>
        <v>0</v>
      </c>
      <c r="AK21" s="323">
        <f>SUM(Y21-L21)</f>
        <v>-1</v>
      </c>
      <c r="AL21" s="323">
        <f t="shared" si="30"/>
        <v>0</v>
      </c>
      <c r="AM21" s="323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v>155</v>
      </c>
      <c r="AU21" s="421">
        <f t="shared" si="43"/>
        <v>1.1000000000000001</v>
      </c>
      <c r="AV21" s="201">
        <v>140</v>
      </c>
      <c r="AW21" s="5">
        <v>2.9</v>
      </c>
      <c r="AX21" s="201">
        <v>145</v>
      </c>
      <c r="AY21" s="422">
        <f>AS21*AT21</f>
        <v>139.5</v>
      </c>
      <c r="AZ21" s="422">
        <f>AU21*AV21</f>
        <v>154</v>
      </c>
      <c r="BA21" s="422">
        <f>AW21*AX21</f>
        <v>420.5</v>
      </c>
      <c r="BB21" s="21">
        <f t="shared" si="36"/>
        <v>81</v>
      </c>
      <c r="BC21" s="21">
        <f t="shared" si="37"/>
        <v>9.8999999999999773</v>
      </c>
      <c r="BD21" s="21">
        <f t="shared" si="37"/>
        <v>-14.5</v>
      </c>
      <c r="BE21" s="24">
        <f t="shared" si="38"/>
        <v>76.399999999999977</v>
      </c>
      <c r="BF21" s="96">
        <f t="shared" si="6"/>
        <v>74.600000000000023</v>
      </c>
      <c r="BG21" s="82">
        <f t="shared" si="7"/>
        <v>76.399999999999977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623276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6809</v>
      </c>
      <c r="L22" s="83">
        <f t="shared" si="41"/>
        <v>1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5175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153169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237.24</v>
      </c>
      <c r="AF22" s="83">
        <f t="shared" si="25"/>
        <v>0</v>
      </c>
      <c r="AG22" s="5">
        <f t="shared" si="26"/>
        <v>2211.3000000000002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-1</v>
      </c>
      <c r="AL22" s="323">
        <f t="shared" si="30"/>
        <v>0</v>
      </c>
      <c r="AM22" s="323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v>155</v>
      </c>
      <c r="AU22" s="421">
        <f t="shared" si="43"/>
        <v>1.1000000000000001</v>
      </c>
      <c r="AV22" s="201">
        <f t="shared" si="32"/>
        <v>140</v>
      </c>
      <c r="AW22" s="5">
        <v>2.9</v>
      </c>
      <c r="AX22" s="201">
        <v>141</v>
      </c>
      <c r="AY22" s="422">
        <f t="shared" si="5"/>
        <v>139.5</v>
      </c>
      <c r="AZ22" s="422">
        <f t="shared" si="34"/>
        <v>154</v>
      </c>
      <c r="BA22" s="422">
        <f t="shared" si="35"/>
        <v>408.9</v>
      </c>
      <c r="BB22" s="21">
        <f>AY22-AY21</f>
        <v>0</v>
      </c>
      <c r="BC22" s="21">
        <f t="shared" si="36"/>
        <v>0</v>
      </c>
      <c r="BD22" s="21">
        <f t="shared" si="36"/>
        <v>-11.600000000000023</v>
      </c>
      <c r="BE22" s="24">
        <f t="shared" si="38"/>
        <v>-11.600000000000023</v>
      </c>
      <c r="BF22" s="96">
        <f t="shared" si="6"/>
        <v>11.600000000000023</v>
      </c>
      <c r="BG22" s="82">
        <f t="shared" si="7"/>
        <v>-11.600000000000023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v>623314</v>
      </c>
      <c r="H23" s="5">
        <f t="shared" si="12"/>
        <v>38</v>
      </c>
      <c r="I23" s="5">
        <f t="shared" si="13"/>
        <v>38</v>
      </c>
      <c r="J23" s="330">
        <f t="shared" si="0"/>
        <v>6.3667232597623089</v>
      </c>
      <c r="K23" s="5">
        <f>'Swimming Pool quality check '!H23</f>
        <v>6809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5175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v>153278</v>
      </c>
      <c r="Y23" s="320">
        <f t="shared" si="42"/>
        <v>109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237.24</v>
      </c>
      <c r="AF23" s="83">
        <f t="shared" si="25"/>
        <v>0</v>
      </c>
      <c r="AG23" s="5">
        <f t="shared" si="26"/>
        <v>2211.3000000000002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109</v>
      </c>
      <c r="AL23" s="323">
        <f t="shared" si="30"/>
        <v>0</v>
      </c>
      <c r="AM23" s="323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v>177</v>
      </c>
      <c r="AU23" s="421">
        <f t="shared" si="43"/>
        <v>1.1000000000000001</v>
      </c>
      <c r="AV23" s="201">
        <v>139</v>
      </c>
      <c r="AW23" s="5">
        <v>2.9</v>
      </c>
      <c r="AX23" s="201">
        <v>147</v>
      </c>
      <c r="AY23" s="422">
        <f t="shared" si="5"/>
        <v>159.30000000000001</v>
      </c>
      <c r="AZ23" s="422">
        <f t="shared" si="34"/>
        <v>152.9</v>
      </c>
      <c r="BA23" s="422">
        <f t="shared" si="35"/>
        <v>426.3</v>
      </c>
      <c r="BB23" s="21">
        <f t="shared" si="36"/>
        <v>19.800000000000011</v>
      </c>
      <c r="BC23" s="21">
        <f t="shared" si="36"/>
        <v>-1.0999999999999943</v>
      </c>
      <c r="BD23" s="21">
        <f t="shared" si="36"/>
        <v>17.400000000000034</v>
      </c>
      <c r="BE23" s="24">
        <f t="shared" si="38"/>
        <v>36.100000000000051</v>
      </c>
      <c r="BF23" s="96">
        <f t="shared" si="6"/>
        <v>1.8999999999999488</v>
      </c>
      <c r="BG23" s="82">
        <f t="shared" si="7"/>
        <v>36.100000000000051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623314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6809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5175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153278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237.24</v>
      </c>
      <c r="AF24" s="83">
        <f t="shared" si="25"/>
        <v>0</v>
      </c>
      <c r="AG24" s="5">
        <f t="shared" si="26"/>
        <v>2211.3000000000002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28.5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177</v>
      </c>
      <c r="AU24" s="421">
        <f t="shared" si="43"/>
        <v>1.1000000000000001</v>
      </c>
      <c r="AV24" s="201">
        <v>136</v>
      </c>
      <c r="AW24" s="5">
        <v>2.9</v>
      </c>
      <c r="AX24" s="201">
        <v>144</v>
      </c>
      <c r="AY24" s="422">
        <f t="shared" si="5"/>
        <v>159.30000000000001</v>
      </c>
      <c r="AZ24" s="422">
        <f t="shared" si="34"/>
        <v>149.60000000000002</v>
      </c>
      <c r="BA24" s="422">
        <f t="shared" si="35"/>
        <v>417.59999999999997</v>
      </c>
      <c r="BB24" s="21">
        <f t="shared" si="36"/>
        <v>0</v>
      </c>
      <c r="BC24" s="21">
        <f t="shared" si="36"/>
        <v>-3.2999999999999829</v>
      </c>
      <c r="BD24" s="21">
        <f t="shared" si="36"/>
        <v>-8.7000000000000455</v>
      </c>
      <c r="BE24" s="24">
        <f t="shared" si="38"/>
        <v>-12.000000000000028</v>
      </c>
      <c r="BF24" s="96">
        <f t="shared" si="6"/>
        <v>12.000000000000028</v>
      </c>
      <c r="BG24" s="82">
        <f t="shared" si="7"/>
        <v>-12.000000000000028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623314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6810</v>
      </c>
      <c r="L25" s="271">
        <f t="shared" si="41"/>
        <v>1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5175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153278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237.24</v>
      </c>
      <c r="AF25" s="83">
        <f t="shared" si="25"/>
        <v>0</v>
      </c>
      <c r="AG25" s="5">
        <f t="shared" si="26"/>
        <v>2211.3000000000002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-1</v>
      </c>
      <c r="AL25" s="323">
        <f t="shared" si="30"/>
        <v>0</v>
      </c>
      <c r="AM25" s="323">
        <f>'General information '!D25</f>
        <v>29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177</v>
      </c>
      <c r="AU25" s="421">
        <f t="shared" si="43"/>
        <v>1.1000000000000001</v>
      </c>
      <c r="AV25" s="201">
        <v>133</v>
      </c>
      <c r="AW25" s="5">
        <v>2.9</v>
      </c>
      <c r="AX25" s="201">
        <v>141</v>
      </c>
      <c r="AY25" s="422">
        <f t="shared" si="5"/>
        <v>159.30000000000001</v>
      </c>
      <c r="AZ25" s="422">
        <f t="shared" si="34"/>
        <v>146.30000000000001</v>
      </c>
      <c r="BA25" s="422">
        <f t="shared" si="35"/>
        <v>408.9</v>
      </c>
      <c r="BB25" s="21">
        <f t="shared" si="36"/>
        <v>0</v>
      </c>
      <c r="BC25" s="21">
        <f t="shared" si="36"/>
        <v>-3.3000000000000114</v>
      </c>
      <c r="BD25" s="21">
        <f t="shared" si="36"/>
        <v>-8.6999999999999886</v>
      </c>
      <c r="BE25" s="24">
        <f t="shared" si="38"/>
        <v>-12</v>
      </c>
      <c r="BF25" s="96">
        <f t="shared" si="6"/>
        <v>12</v>
      </c>
      <c r="BG25" s="82">
        <f t="shared" si="7"/>
        <v>-12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623314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6810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5175</v>
      </c>
      <c r="U26" s="5">
        <f t="shared" si="3"/>
        <v>0</v>
      </c>
      <c r="V26" s="5">
        <v>476</v>
      </c>
      <c r="W26" s="320">
        <f t="shared" si="18"/>
        <v>1</v>
      </c>
      <c r="X26" s="5">
        <v>153363</v>
      </c>
      <c r="Y26" s="320">
        <f t="shared" si="42"/>
        <v>85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237.24</v>
      </c>
      <c r="AF26" s="83">
        <f t="shared" si="25"/>
        <v>0</v>
      </c>
      <c r="AG26" s="5">
        <f t="shared" si="26"/>
        <v>2211.3000000000002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85</v>
      </c>
      <c r="AL26" s="323">
        <f>SUM(AJ26-W26)</f>
        <v>-1</v>
      </c>
      <c r="AM26" s="323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v>97</v>
      </c>
      <c r="AU26" s="421">
        <f t="shared" si="43"/>
        <v>1.1000000000000001</v>
      </c>
      <c r="AV26" s="201">
        <v>131</v>
      </c>
      <c r="AW26" s="5">
        <v>2.9</v>
      </c>
      <c r="AX26" s="201">
        <v>162</v>
      </c>
      <c r="AY26" s="422">
        <f t="shared" si="5"/>
        <v>87.3</v>
      </c>
      <c r="AZ26" s="422">
        <f t="shared" si="34"/>
        <v>144.10000000000002</v>
      </c>
      <c r="BA26" s="422">
        <f t="shared" si="35"/>
        <v>469.8</v>
      </c>
      <c r="BB26" s="21">
        <f>AY26-AY25</f>
        <v>-72.000000000000014</v>
      </c>
      <c r="BC26" s="21">
        <f t="shared" si="36"/>
        <v>-2.1999999999999886</v>
      </c>
      <c r="BD26" s="21">
        <f t="shared" si="36"/>
        <v>60.900000000000034</v>
      </c>
      <c r="BE26" s="24">
        <f t="shared" si="38"/>
        <v>-13.299999999999969</v>
      </c>
      <c r="BF26" s="96">
        <f t="shared" si="6"/>
        <v>13.299999999999969</v>
      </c>
      <c r="BG26" s="82">
        <f t="shared" si="7"/>
        <v>-13.299999999999969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623314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6810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5175</v>
      </c>
      <c r="U27" s="5">
        <f t="shared" si="3"/>
        <v>0</v>
      </c>
      <c r="V27" s="5">
        <f t="shared" si="17"/>
        <v>476</v>
      </c>
      <c r="W27" s="320">
        <f t="shared" si="18"/>
        <v>0</v>
      </c>
      <c r="X27" s="5">
        <f t="shared" si="19"/>
        <v>153363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237.24</v>
      </c>
      <c r="AF27" s="83">
        <f t="shared" si="25"/>
        <v>0</v>
      </c>
      <c r="AG27" s="5">
        <f t="shared" si="26"/>
        <v>2211.3000000000002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97</v>
      </c>
      <c r="AU27" s="421">
        <f t="shared" si="43"/>
        <v>1.1000000000000001</v>
      </c>
      <c r="AV27" s="201">
        <f t="shared" si="32"/>
        <v>131</v>
      </c>
      <c r="AW27" s="5">
        <v>2.9</v>
      </c>
      <c r="AX27" s="201">
        <f t="shared" si="33"/>
        <v>162</v>
      </c>
      <c r="AY27" s="422">
        <f t="shared" si="5"/>
        <v>87.3</v>
      </c>
      <c r="AZ27" s="422">
        <f t="shared" si="34"/>
        <v>144.10000000000002</v>
      </c>
      <c r="BA27" s="422">
        <f t="shared" si="35"/>
        <v>469.8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623314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6810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5175</v>
      </c>
      <c r="U28" s="5">
        <f t="shared" si="3"/>
        <v>0</v>
      </c>
      <c r="V28" s="5">
        <f t="shared" si="17"/>
        <v>476</v>
      </c>
      <c r="W28" s="320">
        <f t="shared" si="18"/>
        <v>0</v>
      </c>
      <c r="X28" s="5">
        <f t="shared" si="19"/>
        <v>153363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237.24</v>
      </c>
      <c r="AF28" s="83">
        <f t="shared" si="25"/>
        <v>0</v>
      </c>
      <c r="AG28" s="5">
        <f t="shared" si="26"/>
        <v>2211.3000000000002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97</v>
      </c>
      <c r="AU28" s="421">
        <f t="shared" si="43"/>
        <v>1.1000000000000001</v>
      </c>
      <c r="AV28" s="201">
        <f t="shared" si="32"/>
        <v>131</v>
      </c>
      <c r="AW28" s="5">
        <v>2.9</v>
      </c>
      <c r="AX28" s="201">
        <f t="shared" si="33"/>
        <v>162</v>
      </c>
      <c r="AY28" s="422">
        <f t="shared" si="5"/>
        <v>87.3</v>
      </c>
      <c r="AZ28" s="422">
        <f t="shared" si="34"/>
        <v>144.10000000000002</v>
      </c>
      <c r="BA28" s="422">
        <f t="shared" si="35"/>
        <v>469.8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623314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6810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5175</v>
      </c>
      <c r="U29" s="5">
        <f t="shared" si="3"/>
        <v>0</v>
      </c>
      <c r="V29" s="5">
        <f t="shared" si="17"/>
        <v>476</v>
      </c>
      <c r="W29" s="320">
        <f t="shared" si="18"/>
        <v>0</v>
      </c>
      <c r="X29" s="5">
        <f t="shared" si="19"/>
        <v>153363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237.24</v>
      </c>
      <c r="AF29" s="83">
        <f t="shared" si="25"/>
        <v>0</v>
      </c>
      <c r="AG29" s="5">
        <f t="shared" si="26"/>
        <v>2211.3000000000002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97</v>
      </c>
      <c r="AU29" s="421">
        <f t="shared" si="43"/>
        <v>1.1000000000000001</v>
      </c>
      <c r="AV29" s="201">
        <f t="shared" si="32"/>
        <v>131</v>
      </c>
      <c r="AW29" s="5">
        <v>2.9</v>
      </c>
      <c r="AX29" s="201">
        <f t="shared" si="33"/>
        <v>162</v>
      </c>
      <c r="AY29" s="422">
        <f t="shared" si="5"/>
        <v>87.3</v>
      </c>
      <c r="AZ29" s="422">
        <f t="shared" si="34"/>
        <v>144.10000000000002</v>
      </c>
      <c r="BA29" s="422">
        <f t="shared" si="35"/>
        <v>469.8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623314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6810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5175</v>
      </c>
      <c r="U30" s="5">
        <f t="shared" si="3"/>
        <v>0</v>
      </c>
      <c r="V30" s="5">
        <f t="shared" si="17"/>
        <v>476</v>
      </c>
      <c r="W30" s="320">
        <f t="shared" si="18"/>
        <v>0</v>
      </c>
      <c r="X30" s="5">
        <f t="shared" si="19"/>
        <v>153363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237.24</v>
      </c>
      <c r="AF30" s="83">
        <f t="shared" si="25"/>
        <v>0</v>
      </c>
      <c r="AG30" s="5">
        <f t="shared" si="26"/>
        <v>2211.3000000000002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97</v>
      </c>
      <c r="AU30" s="421">
        <f t="shared" si="43"/>
        <v>1.1000000000000001</v>
      </c>
      <c r="AV30" s="201">
        <f t="shared" si="32"/>
        <v>131</v>
      </c>
      <c r="AW30" s="5">
        <v>2.9</v>
      </c>
      <c r="AX30" s="201">
        <f t="shared" si="33"/>
        <v>162</v>
      </c>
      <c r="AY30" s="422">
        <f t="shared" si="5"/>
        <v>87.3</v>
      </c>
      <c r="AZ30" s="422">
        <f t="shared" si="34"/>
        <v>144.10000000000002</v>
      </c>
      <c r="BA30" s="422">
        <f t="shared" si="35"/>
        <v>469.8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623314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6810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5175</v>
      </c>
      <c r="U31" s="5">
        <f t="shared" si="3"/>
        <v>0</v>
      </c>
      <c r="V31" s="5">
        <f t="shared" si="17"/>
        <v>476</v>
      </c>
      <c r="W31" s="320">
        <f t="shared" si="18"/>
        <v>0</v>
      </c>
      <c r="X31" s="5">
        <f t="shared" si="19"/>
        <v>153363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237.24</v>
      </c>
      <c r="AF31" s="83">
        <f t="shared" si="25"/>
        <v>0</v>
      </c>
      <c r="AG31" s="5">
        <f t="shared" si="26"/>
        <v>2211.3000000000002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97</v>
      </c>
      <c r="AU31" s="421">
        <f t="shared" si="43"/>
        <v>1.1000000000000001</v>
      </c>
      <c r="AV31" s="201">
        <f t="shared" si="32"/>
        <v>131</v>
      </c>
      <c r="AW31" s="5">
        <v>2.9</v>
      </c>
      <c r="AX31" s="201">
        <f t="shared" si="33"/>
        <v>162</v>
      </c>
      <c r="AY31" s="422">
        <f t="shared" si="5"/>
        <v>87.3</v>
      </c>
      <c r="AZ31" s="422">
        <f>AU31*AV31</f>
        <v>144.10000000000002</v>
      </c>
      <c r="BA31" s="422">
        <f t="shared" si="35"/>
        <v>469.8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623314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6810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5175</v>
      </c>
      <c r="U32" s="5">
        <f t="shared" si="3"/>
        <v>0</v>
      </c>
      <c r="V32" s="5">
        <f t="shared" si="17"/>
        <v>476</v>
      </c>
      <c r="W32" s="320">
        <f t="shared" si="18"/>
        <v>0</v>
      </c>
      <c r="X32" s="5">
        <f t="shared" si="19"/>
        <v>153363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237.24</v>
      </c>
      <c r="AF32" s="83">
        <f t="shared" si="25"/>
        <v>0</v>
      </c>
      <c r="AG32" s="5">
        <f t="shared" si="26"/>
        <v>2211.3000000000002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97</v>
      </c>
      <c r="AU32" s="421">
        <f t="shared" si="43"/>
        <v>1.1000000000000001</v>
      </c>
      <c r="AV32" s="201">
        <f t="shared" si="32"/>
        <v>131</v>
      </c>
      <c r="AW32" s="5">
        <v>2.9</v>
      </c>
      <c r="AX32" s="201">
        <f t="shared" si="33"/>
        <v>162</v>
      </c>
      <c r="AY32" s="422">
        <f t="shared" si="5"/>
        <v>87.3</v>
      </c>
      <c r="AZ32" s="422">
        <f t="shared" si="34"/>
        <v>144.10000000000002</v>
      </c>
      <c r="BA32" s="422">
        <f t="shared" si="35"/>
        <v>469.8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623314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6810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5175</v>
      </c>
      <c r="U33" s="5">
        <f t="shared" si="3"/>
        <v>0</v>
      </c>
      <c r="V33" s="5">
        <f t="shared" si="17"/>
        <v>476</v>
      </c>
      <c r="W33" s="320">
        <f t="shared" si="18"/>
        <v>0</v>
      </c>
      <c r="X33" s="5">
        <f t="shared" si="19"/>
        <v>153363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237.24</v>
      </c>
      <c r="AF33" s="83">
        <f>AE33-AE32</f>
        <v>0</v>
      </c>
      <c r="AG33" s="5">
        <f t="shared" si="26"/>
        <v>2211.3000000000002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97</v>
      </c>
      <c r="AU33" s="421">
        <f t="shared" si="43"/>
        <v>1.1000000000000001</v>
      </c>
      <c r="AV33" s="201">
        <f t="shared" si="32"/>
        <v>131</v>
      </c>
      <c r="AW33" s="5">
        <v>2.9</v>
      </c>
      <c r="AX33" s="201">
        <f t="shared" si="33"/>
        <v>162</v>
      </c>
      <c r="AY33" s="422">
        <f t="shared" si="5"/>
        <v>87.3</v>
      </c>
      <c r="AZ33" s="422">
        <f t="shared" si="34"/>
        <v>144.10000000000002</v>
      </c>
      <c r="BA33" s="422">
        <f t="shared" si="35"/>
        <v>469.8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623314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6810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5175</v>
      </c>
      <c r="U34" s="5">
        <f>SUM(T34-T33)</f>
        <v>0</v>
      </c>
      <c r="V34" s="5">
        <f t="shared" si="17"/>
        <v>476</v>
      </c>
      <c r="W34" s="320">
        <f>+V34-V33</f>
        <v>0</v>
      </c>
      <c r="X34" s="5">
        <f t="shared" si="19"/>
        <v>153363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237.24</v>
      </c>
      <c r="AF34" s="83">
        <f>AE34-AE33</f>
        <v>0</v>
      </c>
      <c r="AG34" s="5">
        <f t="shared" si="26"/>
        <v>2211.3000000000002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97</v>
      </c>
      <c r="AU34" s="421">
        <f>AU33</f>
        <v>1.1000000000000001</v>
      </c>
      <c r="AV34" s="201">
        <f t="shared" si="32"/>
        <v>131</v>
      </c>
      <c r="AW34" s="5">
        <v>2.9</v>
      </c>
      <c r="AX34" s="201">
        <f t="shared" si="33"/>
        <v>162</v>
      </c>
      <c r="AY34" s="422">
        <f t="shared" si="5"/>
        <v>87.3</v>
      </c>
      <c r="AZ34" s="422">
        <f>AU34*AV34</f>
        <v>144.10000000000002</v>
      </c>
      <c r="BA34" s="422">
        <f>AW34*AX34</f>
        <v>469.8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623314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6810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5175</v>
      </c>
      <c r="U35" s="5">
        <f>SUM(T35-T34)</f>
        <v>0</v>
      </c>
      <c r="V35" s="5">
        <f t="shared" si="17"/>
        <v>476</v>
      </c>
      <c r="W35" s="320">
        <f>+V35-V34</f>
        <v>0</v>
      </c>
      <c r="X35" s="5">
        <f t="shared" si="19"/>
        <v>153363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237.24</v>
      </c>
      <c r="AF35" s="83">
        <f>AE35-AE34</f>
        <v>0</v>
      </c>
      <c r="AG35" s="5">
        <f t="shared" si="26"/>
        <v>2211.3000000000002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97</v>
      </c>
      <c r="AU35" s="421">
        <f>AU34</f>
        <v>1.1000000000000001</v>
      </c>
      <c r="AV35" s="201">
        <f t="shared" si="32"/>
        <v>131</v>
      </c>
      <c r="AW35" s="5">
        <v>2.9</v>
      </c>
      <c r="AX35" s="201">
        <f t="shared" si="33"/>
        <v>162</v>
      </c>
      <c r="AY35" s="422">
        <f t="shared" si="5"/>
        <v>87.3</v>
      </c>
      <c r="AZ35" s="422">
        <f>AU35*AV35</f>
        <v>144.10000000000002</v>
      </c>
      <c r="BA35" s="422">
        <f>AW35*AX35</f>
        <v>469.8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623314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6810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5175</v>
      </c>
      <c r="U36" s="5">
        <f>SUM(T36-T35)</f>
        <v>0</v>
      </c>
      <c r="V36" s="5">
        <f t="shared" si="17"/>
        <v>476</v>
      </c>
      <c r="W36" s="320">
        <f>+V36-V35</f>
        <v>0</v>
      </c>
      <c r="X36" s="5">
        <f t="shared" si="19"/>
        <v>153363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237.24</v>
      </c>
      <c r="AF36" s="83">
        <f>AE36-AE35</f>
        <v>0</v>
      </c>
      <c r="AG36" s="5">
        <f t="shared" si="26"/>
        <v>2211.3000000000002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36"/>
      <c r="AS36" s="642"/>
      <c r="AT36" s="201"/>
      <c r="AU36" s="643"/>
      <c r="AV36" s="637"/>
      <c r="AW36" s="637"/>
      <c r="AX36" s="637"/>
      <c r="AY36" s="644"/>
      <c r="AZ36" s="644"/>
      <c r="BA36" s="644"/>
      <c r="BB36" s="645"/>
      <c r="BC36" s="645"/>
      <c r="BD36" s="645"/>
      <c r="BE36" s="646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992</v>
      </c>
      <c r="I37" s="408">
        <f>SUM(I6:I36)</f>
        <v>992</v>
      </c>
      <c r="L37" s="266">
        <f>SUM(L7:L36)</f>
        <v>14</v>
      </c>
      <c r="M37" s="621"/>
      <c r="N37" s="621"/>
      <c r="O37" s="621"/>
      <c r="P37" s="621"/>
      <c r="Q37" s="621">
        <f t="shared" ref="Q37" si="53">SUM(Q7:Q36)</f>
        <v>0</v>
      </c>
      <c r="R37" s="621"/>
      <c r="S37" s="621"/>
      <c r="T37" s="621"/>
      <c r="U37" s="621">
        <f>SUM(U7:U36)</f>
        <v>3</v>
      </c>
      <c r="X37" s="319"/>
      <c r="Y37" s="318">
        <f>SUM(Y6,Y33,Y31,Y29,Y27,Y25,Y23,Y21,Y19,Y17,Y15,Y13,Y11,Y9,Y7,Y34,Y35,Y36)</f>
        <v>333</v>
      </c>
      <c r="AJ37" s="318">
        <f>SUM(AJ6:AJ36)</f>
        <v>138</v>
      </c>
      <c r="AK37" s="323">
        <f>SUM(Y37-L37)</f>
        <v>319</v>
      </c>
      <c r="AL37" s="318">
        <f>SUM(AL6:AL36)</f>
        <v>137</v>
      </c>
      <c r="AP37" s="17"/>
      <c r="AQ37" s="17"/>
      <c r="AR37" s="17"/>
      <c r="AS37" s="643"/>
      <c r="AT37" s="201"/>
      <c r="AU37" s="643"/>
      <c r="AV37" s="647"/>
      <c r="AW37" s="644"/>
      <c r="AX37" s="644"/>
      <c r="AY37" s="644"/>
      <c r="AZ37" s="647"/>
      <c r="BA37" s="647"/>
      <c r="BB37" s="647"/>
      <c r="BC37" s="647"/>
      <c r="BD37" s="647"/>
      <c r="BE37" s="648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992</v>
      </c>
      <c r="Z38" s="318">
        <f>SUM(Y37:AJ37)</f>
        <v>471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992</v>
      </c>
      <c r="H39" s="1">
        <f>SUM(H38+C38)</f>
        <v>7500</v>
      </c>
      <c r="K39" s="1">
        <f>SUM(H39/G39)</f>
        <v>7.560483870967742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19" activePane="bottomLeft" state="frozen"/>
      <selection pane="bottomLeft" activeCell="G23" sqref="A23:XFD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3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v>12748</v>
      </c>
      <c r="Y13" s="284" t="str">
        <f t="shared" si="31"/>
        <v>ok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v>10510</v>
      </c>
      <c r="C14" s="284">
        <f t="shared" si="10"/>
        <v>7</v>
      </c>
      <c r="D14" s="528">
        <v>471847</v>
      </c>
      <c r="E14" s="284">
        <f t="shared" si="12"/>
        <v>717</v>
      </c>
      <c r="F14" s="284">
        <f t="shared" si="0"/>
        <v>102.42857142857143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v>12622</v>
      </c>
      <c r="S14" s="284">
        <f t="shared" si="4"/>
        <v>9</v>
      </c>
      <c r="T14" s="528">
        <f t="shared" si="32"/>
        <v>76985</v>
      </c>
      <c r="U14" s="284">
        <f t="shared" si="21"/>
        <v>2250</v>
      </c>
      <c r="V14" s="284">
        <v>250</v>
      </c>
      <c r="W14" s="334"/>
      <c r="X14" s="285">
        <f t="shared" si="22"/>
        <v>12748</v>
      </c>
      <c r="Y14" s="284" t="str">
        <f t="shared" si="31"/>
        <v>ok</v>
      </c>
      <c r="Z14" s="284">
        <f t="shared" si="6"/>
        <v>16</v>
      </c>
      <c r="AA14" s="284">
        <f t="shared" si="23"/>
        <v>2967</v>
      </c>
      <c r="AB14" s="284">
        <f t="shared" si="24"/>
        <v>352.42857142857144</v>
      </c>
      <c r="AC14" s="284">
        <f t="shared" si="25"/>
        <v>185.4375</v>
      </c>
      <c r="AD14" s="73">
        <f>ELEC!Q15</f>
        <v>12056.000000000495</v>
      </c>
      <c r="AE14" s="73">
        <f t="shared" si="27"/>
        <v>753.50000000003092</v>
      </c>
      <c r="AF14" s="399">
        <f t="shared" si="28"/>
        <v>0.47093750000001933</v>
      </c>
      <c r="AG14" s="400">
        <f t="shared" si="29"/>
        <v>150.70000000000618</v>
      </c>
      <c r="AH14" s="400">
        <f t="shared" si="26"/>
        <v>34.737499999993815</v>
      </c>
      <c r="AI14" s="73">
        <f t="shared" si="30"/>
        <v>3103.0210970465409</v>
      </c>
      <c r="AJ14" s="286">
        <f t="shared" si="7"/>
        <v>0.25738396624472576</v>
      </c>
      <c r="AK14" s="286">
        <f t="shared" si="8"/>
        <v>193.93881856540881</v>
      </c>
    </row>
    <row r="15" spans="1:37" ht="15.75" thickBot="1">
      <c r="A15" s="4">
        <f>ELEC!C16</f>
        <v>44390</v>
      </c>
      <c r="B15" s="527">
        <v>10525</v>
      </c>
      <c r="C15" s="284">
        <f t="shared" si="10"/>
        <v>15</v>
      </c>
      <c r="D15" s="528">
        <v>473231</v>
      </c>
      <c r="E15" s="284">
        <f t="shared" si="12"/>
        <v>1384</v>
      </c>
      <c r="F15" s="284">
        <f t="shared" si="0"/>
        <v>92.266666666666666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v>12629</v>
      </c>
      <c r="S15" s="284">
        <f t="shared" si="4"/>
        <v>7</v>
      </c>
      <c r="T15" s="528">
        <v>80485</v>
      </c>
      <c r="U15" s="284">
        <f t="shared" si="21"/>
        <v>1750</v>
      </c>
      <c r="V15" s="284">
        <v>250</v>
      </c>
      <c r="W15" s="334"/>
      <c r="X15" s="285">
        <f t="shared" si="22"/>
        <v>12748</v>
      </c>
      <c r="Y15" s="284" t="str">
        <f t="shared" si="31"/>
        <v>ok</v>
      </c>
      <c r="Z15" s="284">
        <f t="shared" si="6"/>
        <v>22</v>
      </c>
      <c r="AA15" s="284">
        <f t="shared" si="23"/>
        <v>3134</v>
      </c>
      <c r="AB15" s="284">
        <f t="shared" si="24"/>
        <v>342.26666666666665</v>
      </c>
      <c r="AC15" s="284">
        <f t="shared" si="25"/>
        <v>142.45454545454547</v>
      </c>
      <c r="AD15" s="73">
        <f>ELEC!Q16</f>
        <v>16073.00000000032</v>
      </c>
      <c r="AE15" s="73">
        <f t="shared" si="27"/>
        <v>730.59090909092367</v>
      </c>
      <c r="AF15" s="399">
        <f t="shared" si="28"/>
        <v>0.45661931818182727</v>
      </c>
      <c r="AG15" s="400">
        <f t="shared" si="29"/>
        <v>146.11818181818472</v>
      </c>
      <c r="AH15" s="400">
        <f t="shared" si="26"/>
        <v>-3.6636363636392559</v>
      </c>
      <c r="AI15" s="73">
        <f t="shared" si="30"/>
        <v>4136.9324894515594</v>
      </c>
      <c r="AJ15" s="286">
        <f t="shared" si="7"/>
        <v>0.25738396624472576</v>
      </c>
      <c r="AK15" s="286">
        <f t="shared" si="8"/>
        <v>188.0423858841618</v>
      </c>
    </row>
    <row r="16" spans="1:37" ht="15.75" thickBot="1">
      <c r="A16" s="4">
        <f>ELEC!C17</f>
        <v>44391</v>
      </c>
      <c r="B16" s="527">
        <v>10531</v>
      </c>
      <c r="C16" s="284">
        <f t="shared" si="10"/>
        <v>6</v>
      </c>
      <c r="D16" s="528">
        <v>473598</v>
      </c>
      <c r="E16" s="284">
        <f t="shared" si="12"/>
        <v>367</v>
      </c>
      <c r="F16" s="284">
        <f t="shared" si="0"/>
        <v>61.166666666666664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v>12643</v>
      </c>
      <c r="S16" s="284">
        <f t="shared" si="4"/>
        <v>14</v>
      </c>
      <c r="T16" s="528">
        <f t="shared" si="32"/>
        <v>83985</v>
      </c>
      <c r="U16" s="284">
        <f t="shared" si="21"/>
        <v>3500</v>
      </c>
      <c r="V16" s="284">
        <v>250</v>
      </c>
      <c r="W16" s="334"/>
      <c r="X16" s="285">
        <f t="shared" si="22"/>
        <v>12748</v>
      </c>
      <c r="Y16" s="284" t="str">
        <f t="shared" si="31"/>
        <v>ok</v>
      </c>
      <c r="Z16" s="284">
        <f t="shared" si="6"/>
        <v>20</v>
      </c>
      <c r="AA16" s="284">
        <f t="shared" si="23"/>
        <v>3867</v>
      </c>
      <c r="AB16" s="284">
        <f t="shared" si="24"/>
        <v>311.16666666666669</v>
      </c>
      <c r="AC16" s="284">
        <f t="shared" si="25"/>
        <v>193.35</v>
      </c>
      <c r="AD16" s="73">
        <f>ELEC!Q17</f>
        <v>15023.000000001048</v>
      </c>
      <c r="AE16" s="73">
        <f t="shared" si="27"/>
        <v>751.15000000005239</v>
      </c>
      <c r="AF16" s="399">
        <f t="shared" si="28"/>
        <v>0.46946875000003274</v>
      </c>
      <c r="AG16" s="400">
        <f t="shared" si="29"/>
        <v>150.23000000001048</v>
      </c>
      <c r="AH16" s="400">
        <f t="shared" si="26"/>
        <v>43.119999999989517</v>
      </c>
      <c r="AI16" s="73">
        <f t="shared" si="30"/>
        <v>3866.6793248947847</v>
      </c>
      <c r="AJ16" s="286">
        <f t="shared" si="7"/>
        <v>0.25738396624472576</v>
      </c>
      <c r="AK16" s="286">
        <f t="shared" si="8"/>
        <v>193.33396624473923</v>
      </c>
    </row>
    <row r="17" spans="1:37" ht="15.75" thickBot="1">
      <c r="A17" s="4">
        <f>ELEC!C18</f>
        <v>44392</v>
      </c>
      <c r="B17" s="527">
        <v>10540</v>
      </c>
      <c r="C17" s="284">
        <f t="shared" si="10"/>
        <v>9</v>
      </c>
      <c r="D17" s="528">
        <v>474802</v>
      </c>
      <c r="E17" s="284">
        <f t="shared" si="12"/>
        <v>1204</v>
      </c>
      <c r="F17" s="284">
        <f t="shared" si="0"/>
        <v>133.77777777777777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v>12656</v>
      </c>
      <c r="S17" s="284">
        <f t="shared" si="4"/>
        <v>13</v>
      </c>
      <c r="T17" s="528">
        <f t="shared" si="32"/>
        <v>87235</v>
      </c>
      <c r="U17" s="284">
        <f t="shared" si="21"/>
        <v>3250</v>
      </c>
      <c r="V17" s="284">
        <v>250</v>
      </c>
      <c r="W17" s="334"/>
      <c r="X17" s="285">
        <f t="shared" si="22"/>
        <v>12748</v>
      </c>
      <c r="Y17" s="284" t="str">
        <f t="shared" si="31"/>
        <v>ok</v>
      </c>
      <c r="Z17" s="284">
        <f t="shared" si="6"/>
        <v>22</v>
      </c>
      <c r="AA17" s="284">
        <f t="shared" si="23"/>
        <v>4454</v>
      </c>
      <c r="AB17" s="284">
        <f t="shared" si="24"/>
        <v>383.77777777777777</v>
      </c>
      <c r="AC17" s="284">
        <f t="shared" si="25"/>
        <v>202.45454545454547</v>
      </c>
      <c r="AD17" s="73">
        <f>ELEC!Q18</f>
        <v>16044.999999998254</v>
      </c>
      <c r="AE17" s="73">
        <f t="shared" si="27"/>
        <v>729.3181818181024</v>
      </c>
      <c r="AF17" s="399">
        <f t="shared" si="28"/>
        <v>0.455823863636314</v>
      </c>
      <c r="AG17" s="400">
        <f t="shared" si="29"/>
        <v>145.86363636362049</v>
      </c>
      <c r="AH17" s="400">
        <f t="shared" si="26"/>
        <v>56.590909090924981</v>
      </c>
      <c r="AI17" s="73">
        <f t="shared" si="30"/>
        <v>4129.7257383961751</v>
      </c>
      <c r="AJ17" s="286">
        <f t="shared" si="7"/>
        <v>0.25738396624472576</v>
      </c>
      <c r="AK17" s="286">
        <f t="shared" si="8"/>
        <v>187.71480629073523</v>
      </c>
    </row>
    <row r="18" spans="1:37" ht="15.75" thickBot="1">
      <c r="A18" s="4">
        <f>ELEC!C19</f>
        <v>44393</v>
      </c>
      <c r="B18" s="527">
        <v>10553</v>
      </c>
      <c r="C18" s="284">
        <f t="shared" si="10"/>
        <v>13</v>
      </c>
      <c r="D18" s="528">
        <v>476617</v>
      </c>
      <c r="E18" s="284">
        <f t="shared" si="12"/>
        <v>1815</v>
      </c>
      <c r="F18" s="284">
        <f t="shared" si="0"/>
        <v>139.61538461538461</v>
      </c>
      <c r="G18" s="196"/>
      <c r="H18" s="268">
        <f>10555+150</f>
        <v>10705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v>12663</v>
      </c>
      <c r="S18" s="284">
        <f t="shared" si="4"/>
        <v>7</v>
      </c>
      <c r="T18" s="528">
        <f t="shared" si="32"/>
        <v>88985</v>
      </c>
      <c r="U18" s="284">
        <f t="shared" si="21"/>
        <v>1750</v>
      </c>
      <c r="V18" s="284">
        <v>250</v>
      </c>
      <c r="W18" s="334"/>
      <c r="X18" s="285">
        <f t="shared" si="22"/>
        <v>12748</v>
      </c>
      <c r="Y18" s="284" t="str">
        <f t="shared" si="31"/>
        <v>ok</v>
      </c>
      <c r="Z18" s="284">
        <f t="shared" si="6"/>
        <v>20</v>
      </c>
      <c r="AA18" s="284">
        <f t="shared" si="23"/>
        <v>3565</v>
      </c>
      <c r="AB18" s="284">
        <f t="shared" si="24"/>
        <v>389.61538461538464</v>
      </c>
      <c r="AC18" s="284">
        <f t="shared" si="25"/>
        <v>178.25</v>
      </c>
      <c r="AD18" s="73">
        <f>ELEC!Q19</f>
        <v>13791.000000001077</v>
      </c>
      <c r="AE18" s="73">
        <f t="shared" si="27"/>
        <v>689.55000000005384</v>
      </c>
      <c r="AF18" s="399">
        <f t="shared" si="28"/>
        <v>0.43096875000003365</v>
      </c>
      <c r="AG18" s="400">
        <f t="shared" si="29"/>
        <v>137.91000000001077</v>
      </c>
      <c r="AH18" s="400">
        <f t="shared" si="26"/>
        <v>40.339999999989232</v>
      </c>
      <c r="AI18" s="73">
        <f t="shared" si="30"/>
        <v>3549.5822784812899</v>
      </c>
      <c r="AJ18" s="286">
        <f t="shared" si="7"/>
        <v>0.25738396624472576</v>
      </c>
      <c r="AK18" s="286">
        <f t="shared" si="8"/>
        <v>177.47911392406451</v>
      </c>
    </row>
    <row r="19" spans="1:37" ht="15.75" thickBot="1">
      <c r="A19" s="4">
        <f>ELEC!C20</f>
        <v>44394</v>
      </c>
      <c r="B19" s="527">
        <v>10563</v>
      </c>
      <c r="C19" s="284">
        <f t="shared" si="10"/>
        <v>10</v>
      </c>
      <c r="D19" s="528">
        <v>477948</v>
      </c>
      <c r="E19" s="284">
        <f t="shared" si="12"/>
        <v>1331</v>
      </c>
      <c r="F19" s="284">
        <f t="shared" si="0"/>
        <v>133.1</v>
      </c>
      <c r="G19" s="196"/>
      <c r="H19" s="268">
        <f t="shared" si="13"/>
        <v>10705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v>12675</v>
      </c>
      <c r="S19" s="284">
        <f t="shared" si="4"/>
        <v>12</v>
      </c>
      <c r="T19" s="528">
        <v>94985</v>
      </c>
      <c r="U19" s="284">
        <f t="shared" si="21"/>
        <v>3000</v>
      </c>
      <c r="V19" s="284">
        <v>250</v>
      </c>
      <c r="W19" s="334"/>
      <c r="X19" s="285">
        <f t="shared" si="22"/>
        <v>12748</v>
      </c>
      <c r="Y19" s="284" t="str">
        <f t="shared" si="31"/>
        <v>ok</v>
      </c>
      <c r="Z19" s="284">
        <f t="shared" si="6"/>
        <v>22</v>
      </c>
      <c r="AA19" s="284">
        <f t="shared" si="23"/>
        <v>4331</v>
      </c>
      <c r="AB19" s="284">
        <f t="shared" si="24"/>
        <v>383.1</v>
      </c>
      <c r="AC19" s="284">
        <f t="shared" si="25"/>
        <v>196.86363636363637</v>
      </c>
      <c r="AD19" s="73">
        <f>ELEC!Q20</f>
        <v>15039.000000000669</v>
      </c>
      <c r="AE19" s="73">
        <f t="shared" si="27"/>
        <v>683.59090909093948</v>
      </c>
      <c r="AF19" s="399">
        <f t="shared" si="28"/>
        <v>0.42724431818183717</v>
      </c>
      <c r="AG19" s="400">
        <f t="shared" si="29"/>
        <v>136.7181818181879</v>
      </c>
      <c r="AH19" s="400">
        <f t="shared" si="26"/>
        <v>60.145454545448473</v>
      </c>
      <c r="AI19" s="73">
        <f t="shared" si="30"/>
        <v>3870.7974683546031</v>
      </c>
      <c r="AJ19" s="286">
        <f t="shared" si="7"/>
        <v>0.25738396624472576</v>
      </c>
      <c r="AK19" s="286">
        <f t="shared" si="8"/>
        <v>175.94533947066378</v>
      </c>
    </row>
    <row r="20" spans="1:37" ht="15.75" thickBot="1">
      <c r="A20" s="4">
        <f>ELEC!C21</f>
        <v>44395</v>
      </c>
      <c r="B20" s="527">
        <v>10571</v>
      </c>
      <c r="C20" s="284">
        <f>B20-B19</f>
        <v>8</v>
      </c>
      <c r="D20" s="528">
        <v>478798</v>
      </c>
      <c r="E20" s="284">
        <f t="shared" si="12"/>
        <v>850</v>
      </c>
      <c r="F20" s="284">
        <f t="shared" si="0"/>
        <v>106.25</v>
      </c>
      <c r="G20" s="196"/>
      <c r="H20" s="268">
        <f t="shared" si="13"/>
        <v>10705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v>12686</v>
      </c>
      <c r="S20" s="284">
        <f t="shared" si="4"/>
        <v>11</v>
      </c>
      <c r="T20" s="528">
        <v>100485</v>
      </c>
      <c r="U20" s="284">
        <f t="shared" si="21"/>
        <v>2750</v>
      </c>
      <c r="V20" s="284">
        <v>250</v>
      </c>
      <c r="W20" s="334"/>
      <c r="X20" s="285">
        <f t="shared" si="22"/>
        <v>12748</v>
      </c>
      <c r="Y20" s="284" t="str">
        <f t="shared" si="31"/>
        <v>ok</v>
      </c>
      <c r="Z20" s="284">
        <f t="shared" si="6"/>
        <v>19</v>
      </c>
      <c r="AA20" s="284">
        <f t="shared" si="23"/>
        <v>3600</v>
      </c>
      <c r="AB20" s="284">
        <f t="shared" si="24"/>
        <v>356.25</v>
      </c>
      <c r="AC20" s="284">
        <f t="shared" si="25"/>
        <v>189.47368421052633</v>
      </c>
      <c r="AD20" s="73">
        <f>ELEC!Q21</f>
        <v>14443.999999999505</v>
      </c>
      <c r="AE20" s="73">
        <f t="shared" si="27"/>
        <v>760.21052631576345</v>
      </c>
      <c r="AF20" s="399">
        <f t="shared" si="28"/>
        <v>0.47513157894735214</v>
      </c>
      <c r="AG20" s="400">
        <f t="shared" si="29"/>
        <v>152.04210526315268</v>
      </c>
      <c r="AH20" s="400">
        <f t="shared" si="26"/>
        <v>37.431578947373652</v>
      </c>
      <c r="AI20" s="73">
        <f>AD20*AJ20</f>
        <v>3717.6540084386916</v>
      </c>
      <c r="AJ20" s="286">
        <f t="shared" si="7"/>
        <v>0.25738396624472576</v>
      </c>
      <c r="AK20" s="286">
        <f t="shared" si="8"/>
        <v>195.66600044414167</v>
      </c>
    </row>
    <row r="21" spans="1:37" ht="15.75" thickBot="1">
      <c r="A21" s="4">
        <f>ELEC!C22</f>
        <v>44396</v>
      </c>
      <c r="B21" s="527">
        <v>10585</v>
      </c>
      <c r="C21" s="284">
        <f>B21-B20</f>
        <v>14</v>
      </c>
      <c r="D21" s="528">
        <v>481005</v>
      </c>
      <c r="E21" s="284">
        <f t="shared" si="12"/>
        <v>2207</v>
      </c>
      <c r="F21" s="284">
        <f t="shared" si="0"/>
        <v>157.64285714285714</v>
      </c>
      <c r="G21" s="196"/>
      <c r="H21" s="268">
        <f t="shared" si="13"/>
        <v>10705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v>12695</v>
      </c>
      <c r="S21" s="284">
        <f t="shared" si="4"/>
        <v>9</v>
      </c>
      <c r="T21" s="528">
        <v>104985</v>
      </c>
      <c r="U21" s="284">
        <f t="shared" si="21"/>
        <v>2250</v>
      </c>
      <c r="V21" s="284">
        <v>250</v>
      </c>
      <c r="W21" s="196"/>
      <c r="X21" s="285">
        <f t="shared" si="22"/>
        <v>12748</v>
      </c>
      <c r="Y21" s="284" t="str">
        <f>Y20</f>
        <v>ok</v>
      </c>
      <c r="Z21" s="284">
        <f t="shared" si="6"/>
        <v>23</v>
      </c>
      <c r="AA21" s="284">
        <f t="shared" si="23"/>
        <v>4457</v>
      </c>
      <c r="AB21" s="284">
        <f t="shared" si="24"/>
        <v>407.64285714285711</v>
      </c>
      <c r="AC21" s="284">
        <f t="shared" si="25"/>
        <v>193.78260869565219</v>
      </c>
      <c r="AD21" s="73">
        <f>ELEC!Q22</f>
        <v>14983.000000000175</v>
      </c>
      <c r="AE21" s="73">
        <f t="shared" si="27"/>
        <v>651.43478260870324</v>
      </c>
      <c r="AF21" s="399">
        <f t="shared" si="28"/>
        <v>0.40714673913043953</v>
      </c>
      <c r="AG21" s="400">
        <f t="shared" si="29"/>
        <v>130.28695652174065</v>
      </c>
      <c r="AH21" s="400">
        <f t="shared" si="26"/>
        <v>63.495652173911537</v>
      </c>
      <c r="AI21" s="73">
        <f t="shared" si="30"/>
        <v>3856.3839662447708</v>
      </c>
      <c r="AJ21" s="286">
        <f t="shared" si="7"/>
        <v>0.25738396624472576</v>
      </c>
      <c r="AK21" s="286">
        <f t="shared" si="8"/>
        <v>167.66886809759873</v>
      </c>
    </row>
    <row r="22" spans="1:37" ht="15.75" thickBot="1">
      <c r="A22" s="4">
        <f>ELEC!C23</f>
        <v>44397</v>
      </c>
      <c r="B22" s="527">
        <v>10593</v>
      </c>
      <c r="C22" s="284">
        <f t="shared" si="10"/>
        <v>8</v>
      </c>
      <c r="D22" s="528">
        <v>483142</v>
      </c>
      <c r="E22" s="284">
        <f>150*C22</f>
        <v>1200</v>
      </c>
      <c r="F22" s="284">
        <f t="shared" si="0"/>
        <v>150</v>
      </c>
      <c r="G22" s="196"/>
      <c r="H22" s="268">
        <f t="shared" si="13"/>
        <v>10705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v>12707</v>
      </c>
      <c r="S22" s="284">
        <f t="shared" si="4"/>
        <v>12</v>
      </c>
      <c r="T22" s="528">
        <f t="shared" si="32"/>
        <v>107985</v>
      </c>
      <c r="U22" s="284">
        <f t="shared" si="21"/>
        <v>3000</v>
      </c>
      <c r="V22" s="284">
        <v>250</v>
      </c>
      <c r="W22" s="196"/>
      <c r="X22" s="285">
        <f t="shared" si="22"/>
        <v>12748</v>
      </c>
      <c r="Y22" s="284" t="str">
        <f t="shared" ref="Y22:Y30" si="34">IF(R22-X22&lt;=0,"ok","oil change")</f>
        <v>ok</v>
      </c>
      <c r="Z22" s="284">
        <f t="shared" si="6"/>
        <v>20</v>
      </c>
      <c r="AA22" s="284">
        <f t="shared" si="23"/>
        <v>4200</v>
      </c>
      <c r="AB22" s="284">
        <f t="shared" si="24"/>
        <v>400</v>
      </c>
      <c r="AC22" s="284">
        <f t="shared" si="25"/>
        <v>210</v>
      </c>
      <c r="AD22" s="73">
        <f>ELEC!Q23</f>
        <v>13165.000000000873</v>
      </c>
      <c r="AE22" s="73">
        <f t="shared" si="27"/>
        <v>658.25000000004366</v>
      </c>
      <c r="AF22" s="399">
        <f t="shared" si="28"/>
        <v>0.41140625000002728</v>
      </c>
      <c r="AG22" s="400">
        <f t="shared" si="29"/>
        <v>131.65000000000873</v>
      </c>
      <c r="AH22" s="400">
        <f t="shared" si="26"/>
        <v>78.349999999991269</v>
      </c>
      <c r="AI22" s="73">
        <f t="shared" si="30"/>
        <v>3388.4599156120394</v>
      </c>
      <c r="AJ22" s="286">
        <f t="shared" si="7"/>
        <v>0.25738396624472576</v>
      </c>
      <c r="AK22" s="286">
        <f t="shared" si="8"/>
        <v>169.42299578060198</v>
      </c>
    </row>
    <row r="23" spans="1:37" ht="15.75" thickBot="1">
      <c r="A23" s="4">
        <f>ELEC!C24</f>
        <v>44398</v>
      </c>
      <c r="B23" s="527">
        <v>10603</v>
      </c>
      <c r="C23" s="284">
        <f t="shared" si="10"/>
        <v>10</v>
      </c>
      <c r="D23" s="528">
        <v>484067</v>
      </c>
      <c r="E23" s="284">
        <f>150*C23</f>
        <v>1500</v>
      </c>
      <c r="F23" s="284">
        <f t="shared" si="0"/>
        <v>150</v>
      </c>
      <c r="G23" s="196"/>
      <c r="H23" s="268">
        <f t="shared" si="13"/>
        <v>10705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v>12721</v>
      </c>
      <c r="S23" s="284">
        <f>R23-R22</f>
        <v>14</v>
      </c>
      <c r="T23" s="528">
        <f t="shared" si="32"/>
        <v>111485</v>
      </c>
      <c r="U23" s="284">
        <f>V23*S23</f>
        <v>3500</v>
      </c>
      <c r="V23" s="284">
        <v>250</v>
      </c>
      <c r="W23" s="196"/>
      <c r="X23" s="285">
        <f t="shared" si="22"/>
        <v>12748</v>
      </c>
      <c r="Y23" s="284" t="str">
        <f t="shared" si="34"/>
        <v>ok</v>
      </c>
      <c r="Z23" s="284">
        <f t="shared" si="6"/>
        <v>24</v>
      </c>
      <c r="AA23" s="284">
        <f t="shared" si="23"/>
        <v>5000</v>
      </c>
      <c r="AB23" s="284">
        <f t="shared" si="24"/>
        <v>400</v>
      </c>
      <c r="AC23" s="284">
        <f t="shared" si="25"/>
        <v>208.33333333333334</v>
      </c>
      <c r="AD23" s="73">
        <f>ELEC!Q24</f>
        <v>14519.999999996799</v>
      </c>
      <c r="AE23" s="73">
        <f t="shared" si="27"/>
        <v>604.99999999986665</v>
      </c>
      <c r="AF23" s="399">
        <f t="shared" si="28"/>
        <v>0.37812499999991667</v>
      </c>
      <c r="AG23" s="400">
        <f t="shared" si="29"/>
        <v>120.99999999997334</v>
      </c>
      <c r="AH23" s="400">
        <f t="shared" si="26"/>
        <v>87.333333333360002</v>
      </c>
      <c r="AI23" s="73">
        <f t="shared" si="30"/>
        <v>3737.2151898725942</v>
      </c>
      <c r="AJ23" s="286">
        <f t="shared" si="7"/>
        <v>0.25738396624472576</v>
      </c>
      <c r="AK23" s="286">
        <f t="shared" si="8"/>
        <v>155.71729957802475</v>
      </c>
    </row>
    <row r="24" spans="1:37" ht="15.75" thickBot="1">
      <c r="A24" s="4">
        <f>ELEC!C25</f>
        <v>44399</v>
      </c>
      <c r="B24" s="527">
        <f t="shared" si="9"/>
        <v>10603</v>
      </c>
      <c r="C24" s="284">
        <f t="shared" si="10"/>
        <v>0</v>
      </c>
      <c r="D24" s="528">
        <f t="shared" si="11"/>
        <v>484067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10705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12721</v>
      </c>
      <c r="S24" s="284">
        <f t="shared" si="4"/>
        <v>0</v>
      </c>
      <c r="T24" s="528">
        <f t="shared" si="32"/>
        <v>111485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4"/>
        <v>ok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10603</v>
      </c>
      <c r="C25" s="284">
        <f t="shared" si="10"/>
        <v>0</v>
      </c>
      <c r="D25" s="528">
        <f t="shared" si="11"/>
        <v>484067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oil change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12721</v>
      </c>
      <c r="S25" s="284">
        <f t="shared" si="4"/>
        <v>0</v>
      </c>
      <c r="T25" s="528">
        <f t="shared" si="32"/>
        <v>111485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4"/>
        <v>ok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10603</v>
      </c>
      <c r="C26" s="284">
        <f t="shared" si="10"/>
        <v>0</v>
      </c>
      <c r="D26" s="528">
        <f t="shared" si="11"/>
        <v>484067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oil change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12721</v>
      </c>
      <c r="S26" s="284">
        <f t="shared" si="4"/>
        <v>0</v>
      </c>
      <c r="T26" s="528">
        <f t="shared" si="32"/>
        <v>111485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4"/>
        <v>ok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10603</v>
      </c>
      <c r="C27" s="284">
        <f t="shared" si="10"/>
        <v>0</v>
      </c>
      <c r="D27" s="528">
        <f t="shared" si="11"/>
        <v>484067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oil change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12721</v>
      </c>
      <c r="S27" s="284">
        <f t="shared" si="4"/>
        <v>0</v>
      </c>
      <c r="T27" s="528">
        <f t="shared" si="32"/>
        <v>111485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4"/>
        <v>ok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10603</v>
      </c>
      <c r="C28" s="284">
        <f t="shared" si="10"/>
        <v>0</v>
      </c>
      <c r="D28" s="528">
        <f t="shared" si="11"/>
        <v>484067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oil change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f t="shared" si="19"/>
        <v>12721</v>
      </c>
      <c r="S28" s="284">
        <f t="shared" si="4"/>
        <v>0</v>
      </c>
      <c r="T28" s="528">
        <f t="shared" si="32"/>
        <v>111485</v>
      </c>
      <c r="U28" s="284">
        <f t="shared" si="21"/>
        <v>0</v>
      </c>
      <c r="V28" s="284">
        <v>250</v>
      </c>
      <c r="W28" s="196"/>
      <c r="X28" s="285">
        <f t="shared" si="22"/>
        <v>12748</v>
      </c>
      <c r="Y28" s="284" t="str">
        <f t="shared" si="34"/>
        <v>ok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10603</v>
      </c>
      <c r="C29" s="284">
        <f t="shared" si="10"/>
        <v>0</v>
      </c>
      <c r="D29" s="528">
        <f t="shared" si="11"/>
        <v>484067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oil change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f t="shared" si="19"/>
        <v>12721</v>
      </c>
      <c r="S29" s="284">
        <f t="shared" si="4"/>
        <v>0</v>
      </c>
      <c r="T29" s="528">
        <f t="shared" si="32"/>
        <v>111485</v>
      </c>
      <c r="U29" s="284">
        <f t="shared" si="21"/>
        <v>0</v>
      </c>
      <c r="V29" s="284">
        <v>250</v>
      </c>
      <c r="W29" s="196"/>
      <c r="X29" s="285">
        <f t="shared" si="22"/>
        <v>12748</v>
      </c>
      <c r="Y29" s="284" t="str">
        <f t="shared" si="34"/>
        <v>ok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10603</v>
      </c>
      <c r="C30" s="284">
        <f t="shared" si="10"/>
        <v>0</v>
      </c>
      <c r="D30" s="528">
        <f t="shared" si="11"/>
        <v>484067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oil change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f t="shared" si="19"/>
        <v>12721</v>
      </c>
      <c r="S30" s="284">
        <f t="shared" si="4"/>
        <v>0</v>
      </c>
      <c r="T30" s="528">
        <f t="shared" si="32"/>
        <v>111485</v>
      </c>
      <c r="U30" s="284">
        <f t="shared" si="21"/>
        <v>0</v>
      </c>
      <c r="V30" s="284">
        <v>250</v>
      </c>
      <c r="W30" s="282"/>
      <c r="X30" s="285">
        <f t="shared" si="22"/>
        <v>12748</v>
      </c>
      <c r="Y30" s="284" t="str">
        <f t="shared" si="34"/>
        <v>ok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10603</v>
      </c>
      <c r="C31" s="284">
        <f>B31-B30</f>
        <v>0</v>
      </c>
      <c r="D31" s="528">
        <f t="shared" si="11"/>
        <v>484067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oil change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12721</v>
      </c>
      <c r="S31" s="284">
        <f>R31-R30</f>
        <v>0</v>
      </c>
      <c r="T31" s="528">
        <f t="shared" si="32"/>
        <v>111485</v>
      </c>
      <c r="U31" s="284">
        <f t="shared" si="21"/>
        <v>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ok</v>
      </c>
      <c r="Z31" s="284">
        <f>C31+K31+S31</f>
        <v>0</v>
      </c>
      <c r="AA31" s="284">
        <f t="shared" ref="AA31:AB32" si="35">U31+M31+E31</f>
        <v>0</v>
      </c>
      <c r="AB31" s="284">
        <f t="shared" si="35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10603</v>
      </c>
      <c r="C32" s="284">
        <f>B32-B31</f>
        <v>0</v>
      </c>
      <c r="D32" s="528">
        <f t="shared" si="11"/>
        <v>484067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oil change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12721</v>
      </c>
      <c r="S32" s="284">
        <f>R32-R31</f>
        <v>0</v>
      </c>
      <c r="T32" s="528">
        <f t="shared" si="32"/>
        <v>111485</v>
      </c>
      <c r="U32" s="284">
        <f t="shared" si="21"/>
        <v>0</v>
      </c>
      <c r="V32" s="284">
        <v>250</v>
      </c>
      <c r="W32" s="334"/>
      <c r="X32" s="285">
        <f t="shared" si="22"/>
        <v>12748</v>
      </c>
      <c r="Y32" s="284" t="str">
        <f>IF(R32-X32&lt;=0,"ok","oil change")</f>
        <v>ok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10603</v>
      </c>
      <c r="C33" s="284">
        <f>B33-B32</f>
        <v>0</v>
      </c>
      <c r="D33" s="528">
        <f t="shared" si="11"/>
        <v>484067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oil change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12721</v>
      </c>
      <c r="S33" s="284">
        <f>R33-R32</f>
        <v>0</v>
      </c>
      <c r="T33" s="528">
        <f t="shared" si="32"/>
        <v>111485</v>
      </c>
      <c r="U33" s="284">
        <f t="shared" si="21"/>
        <v>0</v>
      </c>
      <c r="V33" s="284">
        <v>251</v>
      </c>
      <c r="W33" s="334"/>
      <c r="X33" s="285">
        <f t="shared" si="22"/>
        <v>12748</v>
      </c>
      <c r="Y33" s="284" t="str">
        <f>IF(R33-X33&lt;=0,"ok","oil change")</f>
        <v>ok</v>
      </c>
      <c r="Z33" s="284">
        <f>C33+K33+S33</f>
        <v>0</v>
      </c>
      <c r="AA33" s="284">
        <f t="shared" ref="AA33" si="36">U33+M33+E33</f>
        <v>0</v>
      </c>
      <c r="AB33" s="284">
        <f t="shared" ref="AB33" si="37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8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369</v>
      </c>
      <c r="V34" s="40"/>
      <c r="X34">
        <v>341</v>
      </c>
      <c r="Z34" s="417">
        <f>SUM(Z3:Z33)</f>
        <v>369</v>
      </c>
    </row>
    <row r="35" spans="1:37">
      <c r="C35" s="40">
        <f>SUM(C3:C33)</f>
        <v>182</v>
      </c>
      <c r="K35" s="40">
        <f>SUM(K3:K33)</f>
        <v>0</v>
      </c>
      <c r="S35" s="40">
        <f>SUM(S3:S33)</f>
        <v>187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topLeftCell="A7" zoomScale="90" zoomScaleNormal="90" workbookViewId="0">
      <pane xSplit="1" topLeftCell="AI1" activePane="topRight" state="frozen"/>
      <selection pane="topRight" activeCell="AW26" sqref="AW2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94" t="s">
        <v>108</v>
      </c>
      <c r="AS3" s="694" t="s">
        <v>233</v>
      </c>
      <c r="AT3" s="692" t="s">
        <v>301</v>
      </c>
      <c r="AU3" s="693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5"/>
      <c r="AS4" s="695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0">
        <f>[1]tanks!AR35</f>
        <v>33917.838709677417</v>
      </c>
      <c r="AS5" s="650">
        <f>[1]tanks!AS35</f>
        <v>-5471.8548387096744</v>
      </c>
      <c r="AT5" s="649">
        <f>[1]tanks!AT35</f>
        <v>0</v>
      </c>
      <c r="AU5" s="649">
        <f>[1]tanks!AU35</f>
        <v>0</v>
      </c>
      <c r="AV5" s="649">
        <f>[1]tanks!AV35</f>
        <v>1.1599999999999999</v>
      </c>
      <c r="AW5" s="649">
        <f>[1]tanks!AW35</f>
        <v>-203.40000000002328</v>
      </c>
      <c r="AX5" s="649">
        <f>[1]tanks!AX35</f>
        <v>-5268.4548387096511</v>
      </c>
      <c r="AY5" s="649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 t="shared" ref="AS6:AS7" si="19">SUM(AR6-AR5-AT6)</f>
        <v>0</v>
      </c>
      <c r="AT6" s="351"/>
      <c r="AU6" s="614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3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>Y7+AO7</f>
        <v>45568.387096774197</v>
      </c>
      <c r="AS7" s="197">
        <f t="shared" si="19"/>
        <v>-9.4516129032199387</v>
      </c>
      <c r="AT7" s="351">
        <v>11660</v>
      </c>
      <c r="AU7" s="614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3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 t="shared" ref="AS8:AS15" si="43">SUM(AR8-AR7-AT8)</f>
        <v>0</v>
      </c>
      <c r="AT8" s="351"/>
      <c r="AU8" s="614"/>
      <c r="AV8" s="508">
        <f t="shared" ref="AV8:AV31" si="44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5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3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ref="AR9:AR36" si="46">Y9+AO9</f>
        <v>44344.870967741925</v>
      </c>
      <c r="AS9" s="197">
        <f t="shared" si="43"/>
        <v>-1223.5161290322721</v>
      </c>
      <c r="AT9" s="351"/>
      <c r="AU9" s="614"/>
      <c r="AV9" s="508">
        <f t="shared" si="44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5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3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46"/>
        <v>42268.129032258068</v>
      </c>
      <c r="AS10" s="197">
        <f t="shared" si="43"/>
        <v>-2076.7419354838567</v>
      </c>
      <c r="AT10" s="351"/>
      <c r="AU10" s="614"/>
      <c r="AV10" s="508">
        <f>IF(AT10&gt;0,AU10,AV9)</f>
        <v>1.1200000000000001</v>
      </c>
      <c r="AW10" s="287">
        <f>-SUM('B5'!AI9)</f>
        <v>-52</v>
      </c>
      <c r="AX10" s="287">
        <f t="shared" si="20"/>
        <v>-2024.7419354838567</v>
      </c>
      <c r="AY10" s="37">
        <f t="shared" si="41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5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-289.24884792626523</v>
      </c>
      <c r="BK10" s="573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46"/>
        <v>46491.612903225803</v>
      </c>
      <c r="AS11" s="197">
        <f t="shared" si="43"/>
        <v>-3886.5161290322649</v>
      </c>
      <c r="AT11" s="351">
        <v>8110</v>
      </c>
      <c r="AU11" s="614">
        <v>1.82</v>
      </c>
      <c r="AV11" s="508">
        <f>IF(AT11&gt;0,AU11,AV10)</f>
        <v>1.82</v>
      </c>
      <c r="AW11" s="287">
        <f>-SUM('B5'!AI10)</f>
        <v>-164</v>
      </c>
      <c r="AX11" s="287">
        <f t="shared" si="20"/>
        <v>-3722.5161290322649</v>
      </c>
      <c r="AY11" s="37">
        <f t="shared" si="41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5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-400.27055150887702</v>
      </c>
      <c r="BK11" s="573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1"/>
        <v>2861.6451612903224</v>
      </c>
      <c r="D12">
        <f t="shared" si="22"/>
        <v>133</v>
      </c>
      <c r="E12" s="203">
        <f t="shared" si="21"/>
        <v>2861.6451612903224</v>
      </c>
      <c r="F12">
        <f t="shared" si="23"/>
        <v>133</v>
      </c>
      <c r="G12" s="203">
        <f t="shared" si="1"/>
        <v>2861.6451612903224</v>
      </c>
      <c r="H12" s="203">
        <f t="shared" si="24"/>
        <v>133</v>
      </c>
      <c r="I12" s="203">
        <f t="shared" si="2"/>
        <v>2861.6451612903224</v>
      </c>
      <c r="J12" s="203">
        <f t="shared" si="25"/>
        <v>133</v>
      </c>
      <c r="K12" s="203">
        <f t="shared" si="3"/>
        <v>2861.6451612903224</v>
      </c>
      <c r="L12" s="203">
        <f t="shared" si="26"/>
        <v>133</v>
      </c>
      <c r="M12" s="203">
        <f t="shared" si="4"/>
        <v>2861.6451612903224</v>
      </c>
      <c r="N12" s="203">
        <f t="shared" si="27"/>
        <v>133</v>
      </c>
      <c r="O12" s="203">
        <f t="shared" si="5"/>
        <v>2861.6451612903224</v>
      </c>
      <c r="P12" s="203">
        <f t="shared" si="28"/>
        <v>133</v>
      </c>
      <c r="Q12" s="203">
        <f t="shared" si="6"/>
        <v>2861.6451612903224</v>
      </c>
      <c r="R12" s="203">
        <f t="shared" si="29"/>
        <v>133</v>
      </c>
      <c r="S12" s="203">
        <f t="shared" si="7"/>
        <v>2861.6451612903224</v>
      </c>
      <c r="T12" s="203">
        <f t="shared" si="30"/>
        <v>133</v>
      </c>
      <c r="U12" s="203">
        <f t="shared" si="8"/>
        <v>2861.6451612903224</v>
      </c>
      <c r="V12" s="203">
        <f t="shared" si="31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2"/>
        <v>31478.096774193546</v>
      </c>
      <c r="Z12" s="203">
        <f>'B5'!C11</f>
        <v>141</v>
      </c>
      <c r="AA12" s="203">
        <f t="shared" si="33"/>
        <v>1410</v>
      </c>
      <c r="AB12" s="203">
        <f t="shared" si="34"/>
        <v>141</v>
      </c>
      <c r="AC12" s="203">
        <f t="shared" si="33"/>
        <v>1410</v>
      </c>
      <c r="AD12" s="203">
        <f t="shared" si="35"/>
        <v>141</v>
      </c>
      <c r="AE12" s="203">
        <f t="shared" si="11"/>
        <v>1410</v>
      </c>
      <c r="AF12" s="203">
        <f t="shared" si="36"/>
        <v>141</v>
      </c>
      <c r="AG12" s="203">
        <f t="shared" si="12"/>
        <v>1410</v>
      </c>
      <c r="AH12" s="203">
        <f t="shared" si="37"/>
        <v>141</v>
      </c>
      <c r="AI12" s="203">
        <f t="shared" si="13"/>
        <v>1410</v>
      </c>
      <c r="AJ12" s="203">
        <f t="shared" si="38"/>
        <v>141</v>
      </c>
      <c r="AK12" s="203">
        <f t="shared" si="14"/>
        <v>1410</v>
      </c>
      <c r="AL12" s="203">
        <f t="shared" si="39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40"/>
        <v>0.44474665778416206</v>
      </c>
      <c r="AR12" s="38">
        <f t="shared" si="46"/>
        <v>41348.096774193546</v>
      </c>
      <c r="AS12" s="197">
        <f t="shared" si="43"/>
        <v>-5143.5161290322576</v>
      </c>
      <c r="AT12" s="351"/>
      <c r="AU12" s="614"/>
      <c r="AV12" s="508">
        <f t="shared" si="44"/>
        <v>1.82</v>
      </c>
      <c r="AW12" s="287">
        <f>-SUM('B5'!AI11)</f>
        <v>-45</v>
      </c>
      <c r="AX12" s="287">
        <f t="shared" si="20"/>
        <v>-5098.5161290322576</v>
      </c>
      <c r="AY12" s="37">
        <f t="shared" si="41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5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-1377.9773321706095</v>
      </c>
      <c r="BK12" s="573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1"/>
        <v>2538.9032258064517</v>
      </c>
      <c r="D13">
        <f t="shared" si="22"/>
        <v>118</v>
      </c>
      <c r="E13" s="203">
        <f t="shared" si="21"/>
        <v>2538.9032258064517</v>
      </c>
      <c r="F13">
        <f t="shared" si="23"/>
        <v>118</v>
      </c>
      <c r="G13" s="203">
        <f t="shared" si="1"/>
        <v>2538.9032258064517</v>
      </c>
      <c r="H13" s="203">
        <f t="shared" si="24"/>
        <v>118</v>
      </c>
      <c r="I13" s="203">
        <f t="shared" si="2"/>
        <v>2538.9032258064517</v>
      </c>
      <c r="J13" s="203">
        <f t="shared" si="25"/>
        <v>118</v>
      </c>
      <c r="K13" s="203">
        <f t="shared" si="3"/>
        <v>2538.9032258064517</v>
      </c>
      <c r="L13" s="203">
        <f t="shared" si="26"/>
        <v>118</v>
      </c>
      <c r="M13" s="203">
        <f t="shared" si="4"/>
        <v>2538.9032258064517</v>
      </c>
      <c r="N13" s="203">
        <f t="shared" si="27"/>
        <v>118</v>
      </c>
      <c r="O13" s="203">
        <f t="shared" si="5"/>
        <v>2538.9032258064517</v>
      </c>
      <c r="P13" s="203">
        <f t="shared" si="28"/>
        <v>118</v>
      </c>
      <c r="Q13" s="203">
        <f t="shared" si="6"/>
        <v>2538.9032258064517</v>
      </c>
      <c r="R13" s="203">
        <f t="shared" si="29"/>
        <v>118</v>
      </c>
      <c r="S13" s="203">
        <f t="shared" si="7"/>
        <v>2538.9032258064517</v>
      </c>
      <c r="T13" s="203">
        <f t="shared" si="30"/>
        <v>118</v>
      </c>
      <c r="U13" s="203">
        <f t="shared" si="8"/>
        <v>2538.9032258064517</v>
      </c>
      <c r="V13" s="203">
        <f t="shared" si="31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2"/>
        <v>27927.935483870962</v>
      </c>
      <c r="Z13" s="203">
        <f>'B5'!C12</f>
        <v>126</v>
      </c>
      <c r="AA13" s="203">
        <f t="shared" si="33"/>
        <v>1260</v>
      </c>
      <c r="AB13" s="203">
        <f t="shared" si="34"/>
        <v>126</v>
      </c>
      <c r="AC13" s="203">
        <f t="shared" si="33"/>
        <v>1260</v>
      </c>
      <c r="AD13" s="203">
        <f t="shared" si="35"/>
        <v>126</v>
      </c>
      <c r="AE13" s="203">
        <f t="shared" si="11"/>
        <v>1260</v>
      </c>
      <c r="AF13" s="203">
        <f t="shared" si="36"/>
        <v>126</v>
      </c>
      <c r="AG13" s="203">
        <f t="shared" si="12"/>
        <v>1260</v>
      </c>
      <c r="AH13" s="203">
        <f t="shared" si="37"/>
        <v>126</v>
      </c>
      <c r="AI13" s="203">
        <f t="shared" si="13"/>
        <v>1260</v>
      </c>
      <c r="AJ13" s="203">
        <f t="shared" si="38"/>
        <v>126</v>
      </c>
      <c r="AK13" s="203">
        <f t="shared" si="14"/>
        <v>1260</v>
      </c>
      <c r="AL13" s="203">
        <f t="shared" si="39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40"/>
        <v>0.39526659657815383</v>
      </c>
      <c r="AR13" s="38">
        <f t="shared" si="46"/>
        <v>36747.935483870962</v>
      </c>
      <c r="AS13" s="197">
        <f t="shared" si="43"/>
        <v>-4600.1612903225832</v>
      </c>
      <c r="AT13" s="351"/>
      <c r="AU13" s="614"/>
      <c r="AV13" s="508">
        <f t="shared" si="44"/>
        <v>1.82</v>
      </c>
      <c r="AW13" s="287">
        <f>-SUM('B5'!AI12)</f>
        <v>-110</v>
      </c>
      <c r="AX13" s="287">
        <f t="shared" si="20"/>
        <v>-4490.1612903225832</v>
      </c>
      <c r="AY13" s="37">
        <f t="shared" si="41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5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2"/>
        <v>-898.03225806451667</v>
      </c>
      <c r="BK13" s="573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1"/>
        <v>3421.0645161290322</v>
      </c>
      <c r="D14">
        <f t="shared" si="22"/>
        <v>159</v>
      </c>
      <c r="E14" s="203">
        <f t="shared" si="21"/>
        <v>3421.0645161290322</v>
      </c>
      <c r="F14">
        <f t="shared" si="23"/>
        <v>159</v>
      </c>
      <c r="G14" s="203">
        <f t="shared" si="1"/>
        <v>3421.0645161290322</v>
      </c>
      <c r="H14" s="203">
        <f t="shared" si="24"/>
        <v>159</v>
      </c>
      <c r="I14" s="203">
        <f t="shared" si="2"/>
        <v>3421.0645161290322</v>
      </c>
      <c r="J14" s="203">
        <f t="shared" si="25"/>
        <v>159</v>
      </c>
      <c r="K14" s="203">
        <f t="shared" si="3"/>
        <v>3421.0645161290322</v>
      </c>
      <c r="L14" s="203">
        <f t="shared" si="26"/>
        <v>159</v>
      </c>
      <c r="M14" s="203">
        <f t="shared" si="4"/>
        <v>3421.0645161290322</v>
      </c>
      <c r="N14" s="203">
        <f t="shared" si="27"/>
        <v>159</v>
      </c>
      <c r="O14" s="203">
        <f t="shared" si="5"/>
        <v>3421.0645161290322</v>
      </c>
      <c r="P14" s="203">
        <f t="shared" si="28"/>
        <v>159</v>
      </c>
      <c r="Q14" s="203">
        <f t="shared" si="6"/>
        <v>3421.0645161290322</v>
      </c>
      <c r="R14" s="203">
        <f t="shared" si="29"/>
        <v>159</v>
      </c>
      <c r="S14" s="203">
        <f t="shared" si="7"/>
        <v>3421.0645161290322</v>
      </c>
      <c r="T14" s="203">
        <f t="shared" si="30"/>
        <v>159</v>
      </c>
      <c r="U14" s="203">
        <f t="shared" si="8"/>
        <v>3421.0645161290322</v>
      </c>
      <c r="V14" s="203">
        <f t="shared" si="31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2"/>
        <v>37631.709677419341</v>
      </c>
      <c r="Z14" s="203">
        <f>'B5'!C13</f>
        <v>165.5</v>
      </c>
      <c r="AA14" s="203">
        <f t="shared" si="33"/>
        <v>1655</v>
      </c>
      <c r="AB14" s="203">
        <f t="shared" si="34"/>
        <v>165.5</v>
      </c>
      <c r="AC14" s="203">
        <f t="shared" si="33"/>
        <v>1655</v>
      </c>
      <c r="AD14" s="203">
        <f t="shared" si="35"/>
        <v>165.5</v>
      </c>
      <c r="AE14" s="203">
        <f t="shared" si="11"/>
        <v>1655</v>
      </c>
      <c r="AF14" s="203">
        <f t="shared" si="36"/>
        <v>165.5</v>
      </c>
      <c r="AG14" s="203">
        <f t="shared" si="12"/>
        <v>1655</v>
      </c>
      <c r="AH14" s="203">
        <f t="shared" si="37"/>
        <v>165.5</v>
      </c>
      <c r="AI14" s="203">
        <f t="shared" si="13"/>
        <v>1655</v>
      </c>
      <c r="AJ14" s="203">
        <f t="shared" si="38"/>
        <v>165.5</v>
      </c>
      <c r="AK14" s="203">
        <f t="shared" si="14"/>
        <v>1655</v>
      </c>
      <c r="AL14" s="203">
        <f t="shared" si="39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40"/>
        <v>0.52938270062836768</v>
      </c>
      <c r="AR14" s="38">
        <f t="shared" si="46"/>
        <v>49216.709677419341</v>
      </c>
      <c r="AS14" s="197">
        <f t="shared" si="43"/>
        <v>-3081.2258064516209</v>
      </c>
      <c r="AT14" s="351">
        <v>15550</v>
      </c>
      <c r="AU14" s="614">
        <v>1.9830000000000001</v>
      </c>
      <c r="AV14" s="508">
        <f t="shared" si="44"/>
        <v>1.9830000000000001</v>
      </c>
      <c r="AW14" s="287">
        <f>-SUM('B5'!AI13)</f>
        <v>-14</v>
      </c>
      <c r="AX14" s="287">
        <f t="shared" si="20"/>
        <v>-3067.2258064516209</v>
      </c>
      <c r="AY14" s="37">
        <f t="shared" si="41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5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2"/>
        <v>-1022.4086021505403</v>
      </c>
      <c r="BK14" s="573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2"/>
        <v>141</v>
      </c>
      <c r="E15" s="203">
        <f t="shared" si="21"/>
        <v>3033.7741935483868</v>
      </c>
      <c r="F15">
        <f t="shared" si="23"/>
        <v>141</v>
      </c>
      <c r="G15" s="203">
        <f t="shared" si="1"/>
        <v>3033.7741935483868</v>
      </c>
      <c r="H15" s="203">
        <f t="shared" si="24"/>
        <v>141</v>
      </c>
      <c r="I15" s="203">
        <f t="shared" si="2"/>
        <v>3033.7741935483868</v>
      </c>
      <c r="J15" s="203">
        <f t="shared" si="25"/>
        <v>141</v>
      </c>
      <c r="K15" s="203">
        <f t="shared" si="3"/>
        <v>3033.7741935483868</v>
      </c>
      <c r="L15" s="203">
        <f t="shared" si="26"/>
        <v>141</v>
      </c>
      <c r="M15" s="203">
        <f t="shared" si="4"/>
        <v>3033.7741935483868</v>
      </c>
      <c r="N15" s="203">
        <f t="shared" si="27"/>
        <v>141</v>
      </c>
      <c r="O15" s="203">
        <f t="shared" si="5"/>
        <v>3033.7741935483868</v>
      </c>
      <c r="P15" s="203">
        <f t="shared" si="28"/>
        <v>141</v>
      </c>
      <c r="Q15" s="203">
        <f t="shared" si="6"/>
        <v>3033.7741935483868</v>
      </c>
      <c r="R15" s="203">
        <f t="shared" si="29"/>
        <v>141</v>
      </c>
      <c r="S15" s="203">
        <f t="shared" si="7"/>
        <v>3033.7741935483868</v>
      </c>
      <c r="T15" s="203">
        <f t="shared" si="30"/>
        <v>141</v>
      </c>
      <c r="U15" s="203">
        <f t="shared" si="8"/>
        <v>3033.7741935483868</v>
      </c>
      <c r="V15" s="203">
        <f t="shared" si="31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2"/>
        <v>33371.516129032258</v>
      </c>
      <c r="Z15" s="203">
        <f>'B5'!C14</f>
        <v>148.5</v>
      </c>
      <c r="AA15" s="203">
        <f t="shared" si="33"/>
        <v>1485</v>
      </c>
      <c r="AB15" s="203">
        <f t="shared" si="34"/>
        <v>148.5</v>
      </c>
      <c r="AC15" s="203">
        <f t="shared" si="33"/>
        <v>1485</v>
      </c>
      <c r="AD15" s="203">
        <f t="shared" si="35"/>
        <v>148.5</v>
      </c>
      <c r="AE15" s="203">
        <f t="shared" si="11"/>
        <v>1485</v>
      </c>
      <c r="AF15" s="203">
        <f t="shared" si="36"/>
        <v>148.5</v>
      </c>
      <c r="AG15" s="203">
        <f t="shared" si="12"/>
        <v>1485</v>
      </c>
      <c r="AH15" s="203">
        <f t="shared" si="37"/>
        <v>148.5</v>
      </c>
      <c r="AI15" s="203">
        <f t="shared" si="13"/>
        <v>1485</v>
      </c>
      <c r="AJ15" s="203">
        <f t="shared" si="38"/>
        <v>148.5</v>
      </c>
      <c r="AK15" s="203">
        <f t="shared" si="14"/>
        <v>1485</v>
      </c>
      <c r="AL15" s="203">
        <f t="shared" si="39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40"/>
        <v>0.47075955823418586</v>
      </c>
      <c r="AR15" s="38">
        <f t="shared" si="46"/>
        <v>43766.516129032258</v>
      </c>
      <c r="AS15" s="197">
        <f t="shared" si="43"/>
        <v>-5450.1935483870839</v>
      </c>
      <c r="AT15" s="351"/>
      <c r="AU15" s="614"/>
      <c r="AV15" s="508">
        <f>IF(AT15&gt;0,AU15,AV14)</f>
        <v>1.9830000000000001</v>
      </c>
      <c r="AW15" s="287">
        <f>-SUM('B5'!AI14)</f>
        <v>0</v>
      </c>
      <c r="AX15" s="287">
        <f t="shared" si="20"/>
        <v>-5450.1935483870839</v>
      </c>
      <c r="AY15" s="37">
        <f t="shared" si="41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5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2"/>
        <v>-1362.548387096771</v>
      </c>
      <c r="BK15" s="573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1"/>
        <v>3248.9354838709678</v>
      </c>
      <c r="D16">
        <f t="shared" si="22"/>
        <v>151</v>
      </c>
      <c r="E16" s="203">
        <f t="shared" si="21"/>
        <v>3248.9354838709678</v>
      </c>
      <c r="F16">
        <f t="shared" si="23"/>
        <v>151</v>
      </c>
      <c r="G16" s="203">
        <f t="shared" si="1"/>
        <v>3248.9354838709678</v>
      </c>
      <c r="H16" s="203">
        <f t="shared" si="24"/>
        <v>151</v>
      </c>
      <c r="I16" s="203">
        <f t="shared" si="2"/>
        <v>3248.9354838709678</v>
      </c>
      <c r="J16" s="203">
        <f t="shared" si="25"/>
        <v>151</v>
      </c>
      <c r="K16" s="203">
        <f t="shared" si="3"/>
        <v>3248.9354838709678</v>
      </c>
      <c r="L16" s="203">
        <f t="shared" si="26"/>
        <v>151</v>
      </c>
      <c r="M16" s="203">
        <f t="shared" si="4"/>
        <v>3248.9354838709678</v>
      </c>
      <c r="N16" s="203">
        <f t="shared" si="27"/>
        <v>151</v>
      </c>
      <c r="O16" s="203">
        <f t="shared" si="5"/>
        <v>3248.9354838709678</v>
      </c>
      <c r="P16" s="203">
        <f t="shared" si="28"/>
        <v>151</v>
      </c>
      <c r="Q16" s="203">
        <f t="shared" si="6"/>
        <v>3248.9354838709678</v>
      </c>
      <c r="R16" s="203">
        <f t="shared" si="29"/>
        <v>151</v>
      </c>
      <c r="S16" s="203">
        <f t="shared" si="7"/>
        <v>3248.9354838709678</v>
      </c>
      <c r="T16" s="203">
        <f t="shared" si="30"/>
        <v>151</v>
      </c>
      <c r="U16" s="203">
        <f t="shared" si="8"/>
        <v>3248.9354838709678</v>
      </c>
      <c r="V16" s="203">
        <f t="shared" si="31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2"/>
        <v>35738.290322580651</v>
      </c>
      <c r="Z16" s="203">
        <f>'B5'!C15</f>
        <v>158</v>
      </c>
      <c r="AA16" s="203">
        <f t="shared" si="33"/>
        <v>1580</v>
      </c>
      <c r="AB16" s="203">
        <f t="shared" si="34"/>
        <v>158</v>
      </c>
      <c r="AC16" s="203">
        <f t="shared" si="33"/>
        <v>1580</v>
      </c>
      <c r="AD16" s="203">
        <f t="shared" si="35"/>
        <v>158</v>
      </c>
      <c r="AE16" s="203">
        <f t="shared" si="11"/>
        <v>1580</v>
      </c>
      <c r="AF16" s="203">
        <f t="shared" si="36"/>
        <v>158</v>
      </c>
      <c r="AG16" s="203">
        <f t="shared" si="12"/>
        <v>1580</v>
      </c>
      <c r="AH16" s="203">
        <f t="shared" si="37"/>
        <v>158</v>
      </c>
      <c r="AI16" s="203">
        <f t="shared" si="13"/>
        <v>1580</v>
      </c>
      <c r="AJ16" s="203">
        <f t="shared" si="38"/>
        <v>158</v>
      </c>
      <c r="AK16" s="203">
        <f t="shared" si="14"/>
        <v>1580</v>
      </c>
      <c r="AL16" s="203">
        <f t="shared" si="39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40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15">
        <v>1.95</v>
      </c>
      <c r="AV16" s="508">
        <f>IF(AT16&gt;0,AU16,AV15)</f>
        <v>1.95</v>
      </c>
      <c r="AW16" s="287">
        <f>-SUM('B5'!AI15)</f>
        <v>-218</v>
      </c>
      <c r="AX16" s="287">
        <f t="shared" si="20"/>
        <v>-3950.2258064516063</v>
      </c>
      <c r="AY16" s="37">
        <f t="shared" si="41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5"/>
        <v>1</v>
      </c>
      <c r="BD16" s="102">
        <v>19222</v>
      </c>
      <c r="BE16" s="14">
        <f>(305/1185)*ELEC!Q15</f>
        <v>3103.0210970465409</v>
      </c>
      <c r="BF16" s="14"/>
      <c r="BG16" s="14" t="e">
        <f>#REF!-BE16</f>
        <v>#REF!</v>
      </c>
      <c r="BH16" s="11"/>
      <c r="BI16">
        <v>3</v>
      </c>
      <c r="BJ16">
        <f t="shared" si="42"/>
        <v>-1316.7419354838687</v>
      </c>
      <c r="BK16" s="573">
        <f>GEN!AF13</f>
        <v>0.49985119047613852</v>
      </c>
    </row>
    <row r="17" spans="1:64">
      <c r="A17" s="439">
        <f>ELEC!C15</f>
        <v>44389</v>
      </c>
      <c r="B17">
        <f>'B5'!B16</f>
        <v>138</v>
      </c>
      <c r="C17" s="203">
        <f t="shared" si="21"/>
        <v>2969.2258064516127</v>
      </c>
      <c r="D17">
        <f t="shared" si="22"/>
        <v>138</v>
      </c>
      <c r="E17" s="203">
        <f t="shared" si="21"/>
        <v>2969.2258064516127</v>
      </c>
      <c r="F17">
        <f t="shared" si="23"/>
        <v>138</v>
      </c>
      <c r="G17" s="203">
        <f t="shared" si="1"/>
        <v>2969.2258064516127</v>
      </c>
      <c r="H17" s="203">
        <f t="shared" si="24"/>
        <v>138</v>
      </c>
      <c r="I17" s="203">
        <f t="shared" si="2"/>
        <v>2969.2258064516127</v>
      </c>
      <c r="J17" s="203">
        <f t="shared" si="25"/>
        <v>138</v>
      </c>
      <c r="K17" s="203">
        <f t="shared" si="3"/>
        <v>2969.2258064516127</v>
      </c>
      <c r="L17" s="203">
        <f t="shared" si="26"/>
        <v>138</v>
      </c>
      <c r="M17" s="203">
        <f t="shared" si="4"/>
        <v>2969.2258064516127</v>
      </c>
      <c r="N17" s="203">
        <f t="shared" si="27"/>
        <v>138</v>
      </c>
      <c r="O17" s="203">
        <f t="shared" si="5"/>
        <v>2969.2258064516127</v>
      </c>
      <c r="P17" s="203">
        <f t="shared" si="28"/>
        <v>138</v>
      </c>
      <c r="Q17" s="203">
        <f t="shared" si="6"/>
        <v>2969.2258064516127</v>
      </c>
      <c r="R17" s="203">
        <f t="shared" si="29"/>
        <v>138</v>
      </c>
      <c r="S17" s="203">
        <f t="shared" si="7"/>
        <v>2969.2258064516127</v>
      </c>
      <c r="T17" s="203">
        <f t="shared" si="30"/>
        <v>138</v>
      </c>
      <c r="U17" s="203">
        <f t="shared" si="8"/>
        <v>2969.2258064516127</v>
      </c>
      <c r="V17" s="203">
        <f t="shared" si="31"/>
        <v>138</v>
      </c>
      <c r="W17" s="203">
        <f t="shared" si="9"/>
        <v>2969.2258064516127</v>
      </c>
      <c r="X17" s="35">
        <f t="shared" si="10"/>
        <v>0.44516129032258073</v>
      </c>
      <c r="Y17" s="36">
        <f t="shared" si="32"/>
        <v>32661.483870967746</v>
      </c>
      <c r="Z17" s="203">
        <f>'B5'!C16</f>
        <v>145</v>
      </c>
      <c r="AA17" s="203">
        <f t="shared" si="33"/>
        <v>1450</v>
      </c>
      <c r="AB17" s="203">
        <f t="shared" si="34"/>
        <v>145</v>
      </c>
      <c r="AC17" s="203">
        <f t="shared" si="33"/>
        <v>1450</v>
      </c>
      <c r="AD17" s="203">
        <f t="shared" si="35"/>
        <v>145</v>
      </c>
      <c r="AE17" s="203">
        <f t="shared" si="11"/>
        <v>1450</v>
      </c>
      <c r="AF17" s="203">
        <f t="shared" si="36"/>
        <v>145</v>
      </c>
      <c r="AG17" s="203">
        <f t="shared" si="12"/>
        <v>1450</v>
      </c>
      <c r="AH17" s="203">
        <f t="shared" si="37"/>
        <v>145</v>
      </c>
      <c r="AI17" s="203">
        <f t="shared" si="13"/>
        <v>1450</v>
      </c>
      <c r="AJ17" s="203">
        <f t="shared" si="38"/>
        <v>145</v>
      </c>
      <c r="AK17" s="203">
        <f t="shared" si="14"/>
        <v>1450</v>
      </c>
      <c r="AL17" s="203">
        <f t="shared" si="39"/>
        <v>145</v>
      </c>
      <c r="AM17" s="203">
        <f t="shared" si="15"/>
        <v>1450</v>
      </c>
      <c r="AN17" s="35">
        <f t="shared" si="16"/>
        <v>0.5178571428571429</v>
      </c>
      <c r="AO17" s="36">
        <f>SUM(AA17+AC17+AE17+AG17+AI17+AK17+AM17)</f>
        <v>10150</v>
      </c>
      <c r="AQ17" s="223">
        <f t="shared" si="40"/>
        <v>0.4604870804664703</v>
      </c>
      <c r="AR17" s="38">
        <f t="shared" si="46"/>
        <v>42811.483870967742</v>
      </c>
      <c r="AS17" s="197">
        <f>SUM(AR17-AR16-AT17)</f>
        <v>-3986.8064516129089</v>
      </c>
      <c r="AT17" s="351"/>
      <c r="AU17" s="614"/>
      <c r="AV17" s="508">
        <f t="shared" si="44"/>
        <v>1.95</v>
      </c>
      <c r="AW17" s="287">
        <f>-SUM('B5'!AI16)</f>
        <v>-110</v>
      </c>
      <c r="AX17" s="287">
        <f t="shared" si="20"/>
        <v>-3876.8064516129089</v>
      </c>
      <c r="AY17" s="37">
        <f t="shared" si="41"/>
        <v>-3986.8064516129089</v>
      </c>
      <c r="AZ17" s="100">
        <f>ELEC!A15</f>
        <v>0</v>
      </c>
      <c r="BA17" s="118">
        <f>'General information '!D17</f>
        <v>28.5</v>
      </c>
      <c r="BB17" s="390">
        <f>SUM('General information '!E17)</f>
        <v>0.75</v>
      </c>
      <c r="BC17" s="3">
        <f t="shared" si="45"/>
        <v>0</v>
      </c>
      <c r="BD17" s="102">
        <v>19222</v>
      </c>
      <c r="BE17" s="14">
        <f>(305/1185)*ELEC!Q16</f>
        <v>4136.9324894515594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144</v>
      </c>
      <c r="C18" s="203">
        <f t="shared" si="21"/>
        <v>3098.322580645161</v>
      </c>
      <c r="D18">
        <f t="shared" si="22"/>
        <v>144</v>
      </c>
      <c r="E18" s="203">
        <f t="shared" si="21"/>
        <v>3098.322580645161</v>
      </c>
      <c r="F18">
        <f t="shared" si="23"/>
        <v>144</v>
      </c>
      <c r="G18" s="203">
        <f t="shared" si="1"/>
        <v>3098.322580645161</v>
      </c>
      <c r="H18" s="203">
        <f t="shared" si="24"/>
        <v>144</v>
      </c>
      <c r="I18" s="203">
        <f t="shared" si="2"/>
        <v>3098.322580645161</v>
      </c>
      <c r="J18" s="203">
        <f t="shared" si="25"/>
        <v>144</v>
      </c>
      <c r="K18" s="203">
        <f t="shared" si="3"/>
        <v>3098.322580645161</v>
      </c>
      <c r="L18" s="203">
        <f t="shared" si="26"/>
        <v>144</v>
      </c>
      <c r="M18" s="203">
        <f t="shared" si="4"/>
        <v>3098.322580645161</v>
      </c>
      <c r="N18" s="203">
        <f t="shared" si="27"/>
        <v>144</v>
      </c>
      <c r="O18" s="203">
        <f t="shared" si="5"/>
        <v>3098.322580645161</v>
      </c>
      <c r="P18" s="203">
        <f t="shared" si="28"/>
        <v>144</v>
      </c>
      <c r="Q18" s="203">
        <f t="shared" si="6"/>
        <v>3098.322580645161</v>
      </c>
      <c r="R18" s="203">
        <f t="shared" si="29"/>
        <v>144</v>
      </c>
      <c r="S18" s="203">
        <f t="shared" si="7"/>
        <v>3098.322580645161</v>
      </c>
      <c r="T18" s="203">
        <f t="shared" si="30"/>
        <v>144</v>
      </c>
      <c r="U18" s="203">
        <f t="shared" si="8"/>
        <v>3098.322580645161</v>
      </c>
      <c r="V18" s="203">
        <f t="shared" si="31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2"/>
        <v>34081.548387096766</v>
      </c>
      <c r="Z18" s="203">
        <f>'B5'!C17</f>
        <v>151</v>
      </c>
      <c r="AA18" s="203">
        <f t="shared" si="33"/>
        <v>1510</v>
      </c>
      <c r="AB18" s="203">
        <f t="shared" si="34"/>
        <v>151</v>
      </c>
      <c r="AC18" s="203">
        <f t="shared" si="33"/>
        <v>1510</v>
      </c>
      <c r="AD18" s="203">
        <f t="shared" si="35"/>
        <v>151</v>
      </c>
      <c r="AE18" s="203">
        <f t="shared" si="11"/>
        <v>1510</v>
      </c>
      <c r="AF18" s="203">
        <f t="shared" si="36"/>
        <v>151</v>
      </c>
      <c r="AG18" s="203">
        <f t="shared" si="12"/>
        <v>1510</v>
      </c>
      <c r="AH18" s="203">
        <f t="shared" si="37"/>
        <v>151</v>
      </c>
      <c r="AI18" s="203">
        <f t="shared" si="13"/>
        <v>1510</v>
      </c>
      <c r="AJ18" s="203">
        <f t="shared" si="38"/>
        <v>151</v>
      </c>
      <c r="AK18" s="203">
        <f t="shared" si="14"/>
        <v>1510</v>
      </c>
      <c r="AL18" s="203">
        <f t="shared" si="39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40"/>
        <v>0.48027910494887344</v>
      </c>
      <c r="AR18" s="38">
        <f t="shared" si="46"/>
        <v>44651.548387096766</v>
      </c>
      <c r="AS18" s="197">
        <f t="shared" ref="AS18:AS36" si="47">SUM(AR18-AR17-AT18)</f>
        <v>-4309.9354838709769</v>
      </c>
      <c r="AT18" s="351">
        <v>6150</v>
      </c>
      <c r="AU18" s="614">
        <v>1.95</v>
      </c>
      <c r="AV18" s="508">
        <f>IF(AT18&gt;0,AU18,AV17)</f>
        <v>1.95</v>
      </c>
      <c r="AW18" s="287">
        <f>-SUM('B5'!AI17)</f>
        <v>-94.699999999953434</v>
      </c>
      <c r="AX18" s="287">
        <f t="shared" si="20"/>
        <v>-4215.2354838710235</v>
      </c>
      <c r="AY18" s="37">
        <f t="shared" si="41"/>
        <v>-4309.9354838709769</v>
      </c>
      <c r="AZ18" s="100">
        <f>ELEC!A16</f>
        <v>0</v>
      </c>
      <c r="BA18" s="118">
        <f>'General information '!D18</f>
        <v>29</v>
      </c>
      <c r="BB18" s="390">
        <f>SUM('General information '!E18)</f>
        <v>0.77</v>
      </c>
      <c r="BC18" s="3">
        <f t="shared" si="45"/>
        <v>1</v>
      </c>
      <c r="BD18" s="102">
        <v>19222</v>
      </c>
      <c r="BE18" s="14">
        <f>(305/1185)*ELEC!Q17</f>
        <v>3866.6793248947847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127.5</v>
      </c>
      <c r="C19" s="203">
        <f t="shared" si="21"/>
        <v>2743.3064516129029</v>
      </c>
      <c r="D19">
        <f t="shared" si="22"/>
        <v>127.5</v>
      </c>
      <c r="E19" s="203">
        <f t="shared" si="21"/>
        <v>2743.3064516129029</v>
      </c>
      <c r="F19">
        <f t="shared" si="23"/>
        <v>127.5</v>
      </c>
      <c r="G19" s="203">
        <f t="shared" si="1"/>
        <v>2743.3064516129029</v>
      </c>
      <c r="H19" s="203">
        <f t="shared" si="24"/>
        <v>127.5</v>
      </c>
      <c r="I19" s="203">
        <f t="shared" si="2"/>
        <v>2743.3064516129029</v>
      </c>
      <c r="J19" s="203">
        <f t="shared" si="25"/>
        <v>127.5</v>
      </c>
      <c r="K19" s="203">
        <f t="shared" si="3"/>
        <v>2743.3064516129029</v>
      </c>
      <c r="L19" s="203">
        <f t="shared" si="26"/>
        <v>127.5</v>
      </c>
      <c r="M19" s="203">
        <f t="shared" si="4"/>
        <v>2743.3064516129029</v>
      </c>
      <c r="N19" s="203">
        <f t="shared" si="27"/>
        <v>127.5</v>
      </c>
      <c r="O19" s="203">
        <f t="shared" si="5"/>
        <v>2743.3064516129029</v>
      </c>
      <c r="P19" s="203">
        <f t="shared" si="28"/>
        <v>127.5</v>
      </c>
      <c r="Q19" s="203">
        <f t="shared" si="6"/>
        <v>2743.3064516129029</v>
      </c>
      <c r="R19" s="203">
        <f t="shared" si="29"/>
        <v>127.5</v>
      </c>
      <c r="S19" s="203">
        <f t="shared" si="7"/>
        <v>2743.3064516129029</v>
      </c>
      <c r="T19" s="203">
        <f t="shared" si="30"/>
        <v>127.5</v>
      </c>
      <c r="U19" s="203">
        <f t="shared" si="8"/>
        <v>2743.3064516129029</v>
      </c>
      <c r="V19" s="203">
        <f t="shared" si="31"/>
        <v>127.5</v>
      </c>
      <c r="W19" s="203">
        <f t="shared" si="9"/>
        <v>2743.3064516129029</v>
      </c>
      <c r="X19" s="35">
        <f t="shared" si="10"/>
        <v>0.41129032258064502</v>
      </c>
      <c r="Y19" s="36">
        <f t="shared" si="32"/>
        <v>30176.370967741925</v>
      </c>
      <c r="Z19" s="203">
        <f>'B5'!C18</f>
        <v>135</v>
      </c>
      <c r="AA19" s="203">
        <f t="shared" si="33"/>
        <v>1350</v>
      </c>
      <c r="AB19" s="203">
        <f t="shared" si="34"/>
        <v>135</v>
      </c>
      <c r="AC19" s="203">
        <f t="shared" si="33"/>
        <v>1350</v>
      </c>
      <c r="AD19" s="203">
        <f t="shared" si="35"/>
        <v>135</v>
      </c>
      <c r="AE19" s="203">
        <f t="shared" si="11"/>
        <v>1350</v>
      </c>
      <c r="AF19" s="203">
        <f t="shared" si="36"/>
        <v>135</v>
      </c>
      <c r="AG19" s="203">
        <f t="shared" si="12"/>
        <v>1350</v>
      </c>
      <c r="AH19" s="203">
        <f t="shared" si="37"/>
        <v>135</v>
      </c>
      <c r="AI19" s="203">
        <f t="shared" si="13"/>
        <v>1350</v>
      </c>
      <c r="AJ19" s="203">
        <f t="shared" si="38"/>
        <v>135</v>
      </c>
      <c r="AK19" s="203">
        <f t="shared" si="14"/>
        <v>1350</v>
      </c>
      <c r="AL19" s="203">
        <f t="shared" si="39"/>
        <v>135</v>
      </c>
      <c r="AM19" s="203">
        <f t="shared" si="15"/>
        <v>1350</v>
      </c>
      <c r="AN19" s="35">
        <f t="shared" si="16"/>
        <v>0.48214285714285715</v>
      </c>
      <c r="AO19" s="36">
        <f t="shared" si="17"/>
        <v>9450</v>
      </c>
      <c r="AQ19" s="223">
        <f t="shared" si="40"/>
        <v>0.42622750314877839</v>
      </c>
      <c r="AR19" s="38">
        <f t="shared" si="46"/>
        <v>39626.370967741925</v>
      </c>
      <c r="AS19" s="197">
        <f t="shared" si="47"/>
        <v>-5025.1774193548408</v>
      </c>
      <c r="AT19" s="351"/>
      <c r="AU19" s="614"/>
      <c r="AV19" s="508">
        <f t="shared" si="44"/>
        <v>1.95</v>
      </c>
      <c r="AW19" s="287">
        <f>-SUM('B5'!AI18)</f>
        <v>-131</v>
      </c>
      <c r="AX19" s="287">
        <f t="shared" si="20"/>
        <v>-4894.1774193548408</v>
      </c>
      <c r="AY19" s="37">
        <f t="shared" si="41"/>
        <v>-5025.1774193548408</v>
      </c>
      <c r="AZ19" s="100">
        <f>ELEC!A17</f>
        <v>0</v>
      </c>
      <c r="BA19" s="118">
        <f>'General information '!D19</f>
        <v>28</v>
      </c>
      <c r="BB19" s="390">
        <f>SUM('General information '!E19)</f>
        <v>0.65</v>
      </c>
      <c r="BC19" s="3">
        <f t="shared" si="45"/>
        <v>0</v>
      </c>
      <c r="BD19" s="102">
        <v>19222</v>
      </c>
      <c r="BE19" s="14">
        <f>(305/1185)*ELEC!Q18</f>
        <v>4129.7257383961751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110</v>
      </c>
      <c r="C20" s="203">
        <f t="shared" si="21"/>
        <v>2366.7741935483868</v>
      </c>
      <c r="D20">
        <f t="shared" si="22"/>
        <v>110</v>
      </c>
      <c r="E20" s="203">
        <f t="shared" si="21"/>
        <v>2366.7741935483868</v>
      </c>
      <c r="F20">
        <f t="shared" si="23"/>
        <v>110</v>
      </c>
      <c r="G20" s="203">
        <f t="shared" si="1"/>
        <v>2366.7741935483868</v>
      </c>
      <c r="H20" s="203">
        <f t="shared" si="24"/>
        <v>110</v>
      </c>
      <c r="I20" s="203">
        <f t="shared" si="2"/>
        <v>2366.7741935483868</v>
      </c>
      <c r="J20" s="203">
        <f t="shared" si="25"/>
        <v>110</v>
      </c>
      <c r="K20" s="203">
        <f t="shared" si="3"/>
        <v>2366.7741935483868</v>
      </c>
      <c r="L20" s="203">
        <f t="shared" si="26"/>
        <v>110</v>
      </c>
      <c r="M20" s="203">
        <f t="shared" si="4"/>
        <v>2366.7741935483868</v>
      </c>
      <c r="N20" s="203">
        <f t="shared" si="27"/>
        <v>110</v>
      </c>
      <c r="O20" s="203">
        <f t="shared" si="5"/>
        <v>2366.7741935483868</v>
      </c>
      <c r="P20" s="203">
        <f t="shared" si="28"/>
        <v>110</v>
      </c>
      <c r="Q20" s="203">
        <f t="shared" si="6"/>
        <v>2366.7741935483868</v>
      </c>
      <c r="R20" s="203">
        <f t="shared" si="29"/>
        <v>110</v>
      </c>
      <c r="S20" s="203">
        <f t="shared" si="7"/>
        <v>2366.7741935483868</v>
      </c>
      <c r="T20" s="203">
        <f t="shared" si="30"/>
        <v>110</v>
      </c>
      <c r="U20" s="203">
        <f t="shared" si="8"/>
        <v>2366.7741935483868</v>
      </c>
      <c r="V20" s="203">
        <f t="shared" si="31"/>
        <v>110</v>
      </c>
      <c r="W20" s="203">
        <f t="shared" si="9"/>
        <v>2366.7741935483868</v>
      </c>
      <c r="X20" s="35">
        <f t="shared" si="10"/>
        <v>0.35483870967741932</v>
      </c>
      <c r="Y20" s="36">
        <f t="shared" si="32"/>
        <v>26034.516129032254</v>
      </c>
      <c r="Z20" s="203">
        <f>'B5'!C19</f>
        <v>118</v>
      </c>
      <c r="AA20" s="203">
        <f t="shared" si="33"/>
        <v>1180</v>
      </c>
      <c r="AB20" s="203">
        <f t="shared" si="34"/>
        <v>118</v>
      </c>
      <c r="AC20" s="203">
        <f t="shared" si="33"/>
        <v>1180</v>
      </c>
      <c r="AD20" s="203">
        <f t="shared" si="35"/>
        <v>118</v>
      </c>
      <c r="AE20" s="203">
        <f t="shared" si="11"/>
        <v>1180</v>
      </c>
      <c r="AF20" s="203">
        <f t="shared" si="36"/>
        <v>118</v>
      </c>
      <c r="AG20" s="203">
        <f t="shared" si="12"/>
        <v>1180</v>
      </c>
      <c r="AH20" s="203">
        <f t="shared" si="37"/>
        <v>118</v>
      </c>
      <c r="AI20" s="203">
        <f t="shared" si="13"/>
        <v>1180</v>
      </c>
      <c r="AJ20" s="203">
        <f t="shared" si="38"/>
        <v>118</v>
      </c>
      <c r="AK20" s="203">
        <f t="shared" si="14"/>
        <v>1180</v>
      </c>
      <c r="AL20" s="203">
        <f t="shared" si="39"/>
        <v>118</v>
      </c>
      <c r="AM20" s="203">
        <f t="shared" si="15"/>
        <v>1180</v>
      </c>
      <c r="AN20" s="35">
        <f t="shared" si="16"/>
        <v>0.42142857142857143</v>
      </c>
      <c r="AO20" s="36">
        <f t="shared" si="17"/>
        <v>8260</v>
      </c>
      <c r="AQ20" s="223">
        <f t="shared" si="40"/>
        <v>0.3688772306016162</v>
      </c>
      <c r="AR20" s="38">
        <f t="shared" si="46"/>
        <v>34294.516129032258</v>
      </c>
      <c r="AS20" s="197">
        <f t="shared" si="47"/>
        <v>-5331.8548387096671</v>
      </c>
      <c r="AT20" s="351"/>
      <c r="AU20" s="614"/>
      <c r="AV20" s="508">
        <f t="shared" si="44"/>
        <v>1.95</v>
      </c>
      <c r="AW20" s="287">
        <f>-SUM('B5'!AI19)</f>
        <v>-44</v>
      </c>
      <c r="AX20" s="287">
        <f t="shared" si="20"/>
        <v>-5287.8548387096671</v>
      </c>
      <c r="AY20" s="37">
        <f t="shared" si="41"/>
        <v>-5331.8548387096671</v>
      </c>
      <c r="AZ20" s="100">
        <f>ELEC!A18</f>
        <v>0</v>
      </c>
      <c r="BA20" s="118">
        <f>'General information '!D20</f>
        <v>27</v>
      </c>
      <c r="BB20" s="390">
        <f>SUM('General information '!E20)</f>
        <v>0.72</v>
      </c>
      <c r="BC20" s="3">
        <f t="shared" si="45"/>
        <v>0</v>
      </c>
      <c r="BD20" s="102">
        <v>19222</v>
      </c>
      <c r="BE20" s="14">
        <f>(305/1185)*ELEC!Q19</f>
        <v>3549.5822784812899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134</v>
      </c>
      <c r="C21" s="203">
        <f t="shared" si="21"/>
        <v>2883.1612903225805</v>
      </c>
      <c r="D21">
        <f t="shared" si="22"/>
        <v>134</v>
      </c>
      <c r="E21" s="203">
        <f t="shared" si="21"/>
        <v>2883.1612903225805</v>
      </c>
      <c r="F21">
        <f t="shared" si="23"/>
        <v>134</v>
      </c>
      <c r="G21" s="203">
        <f t="shared" si="1"/>
        <v>2883.1612903225805</v>
      </c>
      <c r="H21" s="203">
        <f t="shared" si="24"/>
        <v>134</v>
      </c>
      <c r="I21" s="203">
        <f t="shared" si="2"/>
        <v>2883.1612903225805</v>
      </c>
      <c r="J21" s="203">
        <f t="shared" si="25"/>
        <v>134</v>
      </c>
      <c r="K21" s="203">
        <f t="shared" si="3"/>
        <v>2883.1612903225805</v>
      </c>
      <c r="L21" s="203">
        <f t="shared" si="26"/>
        <v>134</v>
      </c>
      <c r="M21" s="203">
        <f t="shared" si="4"/>
        <v>2883.1612903225805</v>
      </c>
      <c r="N21" s="203">
        <f t="shared" si="27"/>
        <v>134</v>
      </c>
      <c r="O21" s="203">
        <f t="shared" si="5"/>
        <v>2883.1612903225805</v>
      </c>
      <c r="P21" s="203">
        <f t="shared" si="28"/>
        <v>134</v>
      </c>
      <c r="Q21" s="203">
        <f t="shared" si="6"/>
        <v>2883.1612903225805</v>
      </c>
      <c r="R21" s="203">
        <f t="shared" si="29"/>
        <v>134</v>
      </c>
      <c r="S21" s="203">
        <f t="shared" si="7"/>
        <v>2883.1612903225805</v>
      </c>
      <c r="T21" s="203">
        <f t="shared" si="30"/>
        <v>134</v>
      </c>
      <c r="U21" s="203">
        <f t="shared" si="8"/>
        <v>2883.1612903225805</v>
      </c>
      <c r="V21" s="203">
        <f t="shared" si="31"/>
        <v>134</v>
      </c>
      <c r="W21" s="203">
        <f t="shared" si="9"/>
        <v>2883.1612903225805</v>
      </c>
      <c r="X21" s="35">
        <f t="shared" si="10"/>
        <v>0.43225806451612891</v>
      </c>
      <c r="Y21" s="36">
        <f t="shared" si="32"/>
        <v>31714.774193548379</v>
      </c>
      <c r="Z21" s="203">
        <f>'B5'!C20</f>
        <v>141</v>
      </c>
      <c r="AA21" s="203">
        <f t="shared" si="33"/>
        <v>1410</v>
      </c>
      <c r="AB21" s="203">
        <f t="shared" si="34"/>
        <v>141</v>
      </c>
      <c r="AC21" s="203">
        <f t="shared" si="33"/>
        <v>1410</v>
      </c>
      <c r="AD21" s="203">
        <f t="shared" si="35"/>
        <v>141</v>
      </c>
      <c r="AE21" s="203">
        <f t="shared" si="11"/>
        <v>1410</v>
      </c>
      <c r="AF21" s="203">
        <f t="shared" si="36"/>
        <v>141</v>
      </c>
      <c r="AG21" s="203">
        <f t="shared" si="12"/>
        <v>1410</v>
      </c>
      <c r="AH21" s="203">
        <f t="shared" si="37"/>
        <v>141</v>
      </c>
      <c r="AI21" s="203">
        <f t="shared" si="13"/>
        <v>1410</v>
      </c>
      <c r="AJ21" s="203">
        <f t="shared" si="38"/>
        <v>141</v>
      </c>
      <c r="AK21" s="203">
        <f t="shared" si="14"/>
        <v>1410</v>
      </c>
      <c r="AL21" s="203">
        <f t="shared" si="39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40"/>
        <v>0.44729239747820132</v>
      </c>
      <c r="AR21" s="38">
        <f t="shared" si="46"/>
        <v>41584.774193548379</v>
      </c>
      <c r="AS21" s="197">
        <f t="shared" si="47"/>
        <v>-2859.7419354838785</v>
      </c>
      <c r="AT21" s="351">
        <v>10150</v>
      </c>
      <c r="AU21" s="614">
        <v>2.02</v>
      </c>
      <c r="AV21" s="508">
        <f t="shared" si="44"/>
        <v>2.02</v>
      </c>
      <c r="AW21" s="287">
        <f>-SUM('B5'!AI20)</f>
        <v>-109</v>
      </c>
      <c r="AX21" s="287">
        <f t="shared" si="20"/>
        <v>-2750.7419354838785</v>
      </c>
      <c r="AY21" s="37">
        <f t="shared" si="41"/>
        <v>-2859.7419354838785</v>
      </c>
      <c r="AZ21" s="100">
        <f>ELEC!A19</f>
        <v>0</v>
      </c>
      <c r="BA21" s="118">
        <f>'General information '!D21</f>
        <v>28</v>
      </c>
      <c r="BB21" s="390">
        <f>SUM('General information '!E21)</f>
        <v>0.72</v>
      </c>
      <c r="BC21" s="3">
        <f t="shared" si="45"/>
        <v>1</v>
      </c>
      <c r="BD21" s="102">
        <v>19222</v>
      </c>
      <c r="BE21" s="14">
        <f>(305/1185)*ELEC!Q20</f>
        <v>3870.7974683546031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128.5</v>
      </c>
      <c r="C22" s="203">
        <f t="shared" si="21"/>
        <v>2764.8225806451615</v>
      </c>
      <c r="D22">
        <f t="shared" si="22"/>
        <v>128.5</v>
      </c>
      <c r="E22" s="203">
        <f t="shared" si="21"/>
        <v>2764.8225806451615</v>
      </c>
      <c r="F22">
        <f t="shared" si="23"/>
        <v>128.5</v>
      </c>
      <c r="G22" s="203">
        <f t="shared" si="1"/>
        <v>2764.8225806451615</v>
      </c>
      <c r="H22" s="203">
        <f t="shared" si="24"/>
        <v>128.5</v>
      </c>
      <c r="I22" s="203">
        <f t="shared" si="2"/>
        <v>2764.8225806451615</v>
      </c>
      <c r="J22" s="203">
        <f t="shared" si="25"/>
        <v>128.5</v>
      </c>
      <c r="K22" s="203">
        <f t="shared" si="3"/>
        <v>2764.8225806451615</v>
      </c>
      <c r="L22" s="203">
        <f t="shared" si="26"/>
        <v>128.5</v>
      </c>
      <c r="M22" s="203">
        <f t="shared" si="4"/>
        <v>2764.8225806451615</v>
      </c>
      <c r="N22" s="203">
        <f t="shared" si="27"/>
        <v>128.5</v>
      </c>
      <c r="O22" s="203">
        <f t="shared" si="5"/>
        <v>2764.8225806451615</v>
      </c>
      <c r="P22" s="203">
        <f t="shared" si="28"/>
        <v>128.5</v>
      </c>
      <c r="Q22" s="203">
        <f t="shared" si="6"/>
        <v>2764.8225806451615</v>
      </c>
      <c r="R22" s="203">
        <f t="shared" si="29"/>
        <v>128.5</v>
      </c>
      <c r="S22" s="203">
        <f t="shared" si="7"/>
        <v>2764.8225806451615</v>
      </c>
      <c r="T22" s="203">
        <f t="shared" si="30"/>
        <v>128.5</v>
      </c>
      <c r="U22" s="203">
        <f t="shared" si="8"/>
        <v>2764.8225806451615</v>
      </c>
      <c r="V22" s="203">
        <f t="shared" si="31"/>
        <v>128.5</v>
      </c>
      <c r="W22" s="203">
        <f t="shared" si="9"/>
        <v>2764.8225806451615</v>
      </c>
      <c r="X22" s="35">
        <f t="shared" si="10"/>
        <v>0.41451612903225821</v>
      </c>
      <c r="Y22" s="36">
        <f t="shared" si="32"/>
        <v>30413.048387096784</v>
      </c>
      <c r="Z22" s="203">
        <f>'B5'!C21</f>
        <v>135</v>
      </c>
      <c r="AA22" s="203">
        <f t="shared" si="33"/>
        <v>1350</v>
      </c>
      <c r="AB22" s="203">
        <f t="shared" si="34"/>
        <v>135</v>
      </c>
      <c r="AC22" s="203">
        <f t="shared" si="33"/>
        <v>1350</v>
      </c>
      <c r="AD22" s="203">
        <f t="shared" si="35"/>
        <v>135</v>
      </c>
      <c r="AE22" s="203">
        <f t="shared" si="11"/>
        <v>1350</v>
      </c>
      <c r="AF22" s="203">
        <f t="shared" si="36"/>
        <v>135</v>
      </c>
      <c r="AG22" s="203">
        <f t="shared" si="12"/>
        <v>1350</v>
      </c>
      <c r="AH22" s="203">
        <f t="shared" si="37"/>
        <v>135</v>
      </c>
      <c r="AI22" s="203">
        <f t="shared" si="13"/>
        <v>1350</v>
      </c>
      <c r="AJ22" s="203">
        <f t="shared" si="38"/>
        <v>135</v>
      </c>
      <c r="AK22" s="203">
        <f t="shared" si="14"/>
        <v>1350</v>
      </c>
      <c r="AL22" s="203">
        <f t="shared" si="39"/>
        <v>135</v>
      </c>
      <c r="AM22" s="203">
        <f t="shared" si="15"/>
        <v>1350</v>
      </c>
      <c r="AN22" s="35">
        <f t="shared" si="16"/>
        <v>0.48214285714285715</v>
      </c>
      <c r="AO22" s="36">
        <f t="shared" si="17"/>
        <v>9450</v>
      </c>
      <c r="AQ22" s="223">
        <f t="shared" si="40"/>
        <v>0.42877324284281798</v>
      </c>
      <c r="AR22" s="38">
        <f t="shared" si="46"/>
        <v>39863.048387096787</v>
      </c>
      <c r="AS22" s="197">
        <f t="shared" si="47"/>
        <v>-4621.7258064515918</v>
      </c>
      <c r="AT22" s="351">
        <v>2900</v>
      </c>
      <c r="AU22" s="614">
        <v>1.1719999999999999</v>
      </c>
      <c r="AV22" s="508">
        <f t="shared" si="44"/>
        <v>1.1719999999999999</v>
      </c>
      <c r="AW22" s="287">
        <f>-SUM('B5'!AI21)</f>
        <v>-106</v>
      </c>
      <c r="AX22" s="287">
        <f t="shared" si="20"/>
        <v>-4515.7258064515918</v>
      </c>
      <c r="AY22" s="37">
        <f t="shared" si="41"/>
        <v>-4621.7258064515918</v>
      </c>
      <c r="AZ22" s="100">
        <f>ELEC!A20</f>
        <v>0</v>
      </c>
      <c r="BA22" s="118">
        <f>'General information '!D22</f>
        <v>28</v>
      </c>
      <c r="BB22" s="390">
        <f>SUM('General information '!E22)</f>
        <v>0.75</v>
      </c>
      <c r="BC22" s="3">
        <f t="shared" si="45"/>
        <v>0</v>
      </c>
      <c r="BD22" s="102">
        <v>19222</v>
      </c>
      <c r="BE22" s="14">
        <f>(305/1185)*ELEC!Q21</f>
        <v>3717.6540084386916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114.5</v>
      </c>
      <c r="C23" s="203">
        <f t="shared" si="21"/>
        <v>2463.5967741935483</v>
      </c>
      <c r="D23">
        <f t="shared" si="22"/>
        <v>114.5</v>
      </c>
      <c r="E23" s="203">
        <f t="shared" si="21"/>
        <v>2463.5967741935483</v>
      </c>
      <c r="F23">
        <f t="shared" si="23"/>
        <v>114.5</v>
      </c>
      <c r="G23" s="203">
        <f t="shared" si="1"/>
        <v>2463.5967741935483</v>
      </c>
      <c r="H23" s="203">
        <f t="shared" si="24"/>
        <v>114.5</v>
      </c>
      <c r="I23" s="203">
        <f t="shared" si="2"/>
        <v>2463.5967741935483</v>
      </c>
      <c r="J23" s="203">
        <f t="shared" si="25"/>
        <v>114.5</v>
      </c>
      <c r="K23" s="203">
        <f t="shared" si="3"/>
        <v>2463.5967741935483</v>
      </c>
      <c r="L23" s="203">
        <f t="shared" si="26"/>
        <v>114.5</v>
      </c>
      <c r="M23" s="203">
        <f t="shared" si="4"/>
        <v>2463.5967741935483</v>
      </c>
      <c r="N23" s="203">
        <f t="shared" si="27"/>
        <v>114.5</v>
      </c>
      <c r="O23" s="203">
        <f t="shared" si="5"/>
        <v>2463.5967741935483</v>
      </c>
      <c r="P23" s="203">
        <f t="shared" si="28"/>
        <v>114.5</v>
      </c>
      <c r="Q23" s="203">
        <f t="shared" si="6"/>
        <v>2463.5967741935483</v>
      </c>
      <c r="R23" s="203">
        <f t="shared" si="29"/>
        <v>114.5</v>
      </c>
      <c r="S23" s="203">
        <f t="shared" si="7"/>
        <v>2463.5967741935483</v>
      </c>
      <c r="T23" s="203">
        <f t="shared" si="30"/>
        <v>114.5</v>
      </c>
      <c r="U23" s="203">
        <f t="shared" si="8"/>
        <v>2463.5967741935483</v>
      </c>
      <c r="V23" s="203">
        <f t="shared" si="31"/>
        <v>114.5</v>
      </c>
      <c r="W23" s="203">
        <f t="shared" si="9"/>
        <v>2463.5967741935483</v>
      </c>
      <c r="X23" s="35">
        <f t="shared" si="10"/>
        <v>0.3693548387096775</v>
      </c>
      <c r="Y23" s="36">
        <f t="shared" si="32"/>
        <v>27099.564516129038</v>
      </c>
      <c r="Z23" s="203">
        <f>'B5'!C22</f>
        <v>122</v>
      </c>
      <c r="AA23" s="203">
        <f t="shared" si="33"/>
        <v>1220</v>
      </c>
      <c r="AB23" s="203">
        <f t="shared" si="34"/>
        <v>122</v>
      </c>
      <c r="AC23" s="203">
        <f t="shared" si="33"/>
        <v>1220</v>
      </c>
      <c r="AD23" s="203">
        <f t="shared" si="35"/>
        <v>122</v>
      </c>
      <c r="AE23" s="203">
        <f t="shared" si="11"/>
        <v>1220</v>
      </c>
      <c r="AF23" s="203">
        <f t="shared" si="36"/>
        <v>122</v>
      </c>
      <c r="AG23" s="203">
        <f t="shared" si="12"/>
        <v>1220</v>
      </c>
      <c r="AH23" s="203">
        <f t="shared" si="37"/>
        <v>122</v>
      </c>
      <c r="AI23" s="203">
        <f t="shared" si="13"/>
        <v>1220</v>
      </c>
      <c r="AJ23" s="203">
        <f t="shared" si="38"/>
        <v>122</v>
      </c>
      <c r="AK23" s="203">
        <f t="shared" si="14"/>
        <v>1220</v>
      </c>
      <c r="AL23" s="203">
        <f t="shared" si="39"/>
        <v>122</v>
      </c>
      <c r="AM23" s="203">
        <f t="shared" si="15"/>
        <v>1220</v>
      </c>
      <c r="AN23" s="35">
        <f t="shared" si="16"/>
        <v>0.43571428571428572</v>
      </c>
      <c r="AO23" s="36">
        <f t="shared" si="17"/>
        <v>8540</v>
      </c>
      <c r="AQ23" s="223">
        <f t="shared" si="40"/>
        <v>0.38334478343690476</v>
      </c>
      <c r="AR23" s="38">
        <f t="shared" si="46"/>
        <v>35639.564516129038</v>
      </c>
      <c r="AS23" s="197">
        <f t="shared" si="47"/>
        <v>-4223.4838709677497</v>
      </c>
      <c r="AT23" s="351"/>
      <c r="AU23" s="614"/>
      <c r="AV23" s="508">
        <f t="shared" si="44"/>
        <v>1.1719999999999999</v>
      </c>
      <c r="AW23" s="287">
        <f>-SUM('B5'!AI22)</f>
        <v>-157</v>
      </c>
      <c r="AX23" s="287">
        <f t="shared" si="20"/>
        <v>-4066.4838709677497</v>
      </c>
      <c r="AY23" s="37">
        <f t="shared" si="41"/>
        <v>-4223.4838709677497</v>
      </c>
      <c r="AZ23" s="100">
        <f>ELEC!A21</f>
        <v>0</v>
      </c>
      <c r="BA23" s="118">
        <f>'General information '!D23</f>
        <v>27.5</v>
      </c>
      <c r="BB23" s="390">
        <f>SUM('General information '!E23)</f>
        <v>0.75</v>
      </c>
      <c r="BC23" s="3">
        <f t="shared" si="45"/>
        <v>0</v>
      </c>
      <c r="BD23" s="102">
        <v>19222</v>
      </c>
      <c r="BE23" s="14">
        <f>(305/1185)*ELEC!Q22</f>
        <v>3856.3839662447708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116</v>
      </c>
      <c r="C24" s="203">
        <f t="shared" si="21"/>
        <v>2495.8709677419356</v>
      </c>
      <c r="D24">
        <f t="shared" si="22"/>
        <v>116</v>
      </c>
      <c r="E24" s="203">
        <f t="shared" si="21"/>
        <v>2495.8709677419356</v>
      </c>
      <c r="F24">
        <f t="shared" si="23"/>
        <v>116</v>
      </c>
      <c r="G24" s="203">
        <f t="shared" si="1"/>
        <v>2495.8709677419356</v>
      </c>
      <c r="H24" s="203">
        <f t="shared" si="24"/>
        <v>116</v>
      </c>
      <c r="I24" s="203">
        <f t="shared" si="2"/>
        <v>2495.8709677419356</v>
      </c>
      <c r="J24" s="203">
        <f t="shared" si="25"/>
        <v>116</v>
      </c>
      <c r="K24" s="203">
        <f t="shared" si="3"/>
        <v>2495.8709677419356</v>
      </c>
      <c r="L24" s="203">
        <f t="shared" si="26"/>
        <v>116</v>
      </c>
      <c r="M24" s="203">
        <f t="shared" si="4"/>
        <v>2495.8709677419356</v>
      </c>
      <c r="N24" s="203">
        <f t="shared" si="27"/>
        <v>116</v>
      </c>
      <c r="O24" s="203">
        <f t="shared" si="5"/>
        <v>2495.8709677419356</v>
      </c>
      <c r="P24" s="203">
        <f t="shared" si="28"/>
        <v>116</v>
      </c>
      <c r="Q24" s="203">
        <f t="shared" si="6"/>
        <v>2495.8709677419356</v>
      </c>
      <c r="R24" s="203">
        <f t="shared" si="29"/>
        <v>116</v>
      </c>
      <c r="S24" s="203">
        <f t="shared" si="7"/>
        <v>2495.8709677419356</v>
      </c>
      <c r="T24" s="203">
        <f t="shared" si="30"/>
        <v>116</v>
      </c>
      <c r="U24" s="203">
        <f t="shared" si="8"/>
        <v>2495.8709677419356</v>
      </c>
      <c r="V24" s="203">
        <f t="shared" si="31"/>
        <v>116</v>
      </c>
      <c r="W24" s="203">
        <f t="shared" si="9"/>
        <v>2495.8709677419356</v>
      </c>
      <c r="X24" s="35">
        <f t="shared" si="10"/>
        <v>0.37419354838709679</v>
      </c>
      <c r="Y24" s="36">
        <f t="shared" si="32"/>
        <v>27454.580645161292</v>
      </c>
      <c r="Z24" s="203">
        <f>'B5'!C23</f>
        <v>123</v>
      </c>
      <c r="AA24" s="203">
        <f t="shared" si="33"/>
        <v>1230</v>
      </c>
      <c r="AB24" s="203">
        <f t="shared" si="34"/>
        <v>123</v>
      </c>
      <c r="AC24" s="203">
        <f t="shared" si="33"/>
        <v>1230</v>
      </c>
      <c r="AD24" s="203">
        <f t="shared" si="35"/>
        <v>123</v>
      </c>
      <c r="AE24" s="203">
        <f t="shared" si="11"/>
        <v>1230</v>
      </c>
      <c r="AF24" s="203">
        <f t="shared" si="36"/>
        <v>123</v>
      </c>
      <c r="AG24" s="203">
        <f t="shared" si="12"/>
        <v>1230</v>
      </c>
      <c r="AH24" s="203">
        <f t="shared" si="37"/>
        <v>123</v>
      </c>
      <c r="AI24" s="203">
        <f t="shared" si="13"/>
        <v>1230</v>
      </c>
      <c r="AJ24" s="203">
        <f t="shared" si="38"/>
        <v>123</v>
      </c>
      <c r="AK24" s="203">
        <f t="shared" si="14"/>
        <v>1230</v>
      </c>
      <c r="AL24" s="203">
        <f t="shared" si="39"/>
        <v>123</v>
      </c>
      <c r="AM24" s="203">
        <f t="shared" si="15"/>
        <v>1230</v>
      </c>
      <c r="AN24" s="35">
        <f t="shared" si="16"/>
        <v>0.43928571428571428</v>
      </c>
      <c r="AO24" s="36">
        <f t="shared" si="17"/>
        <v>8610</v>
      </c>
      <c r="AQ24" s="223">
        <f t="shared" si="40"/>
        <v>0.38791632403099158</v>
      </c>
      <c r="AR24" s="38">
        <f t="shared" si="46"/>
        <v>36064.580645161288</v>
      </c>
      <c r="AS24" s="197">
        <f t="shared" si="47"/>
        <v>-4504.9838709677497</v>
      </c>
      <c r="AT24" s="351">
        <v>4930</v>
      </c>
      <c r="AU24" s="614">
        <v>1.1719999999999999</v>
      </c>
      <c r="AV24" s="508">
        <f t="shared" si="44"/>
        <v>1.1719999999999999</v>
      </c>
      <c r="AW24" s="287">
        <f>-SUM('B5'!AI23)</f>
        <v>0</v>
      </c>
      <c r="AX24" s="287">
        <f t="shared" si="20"/>
        <v>-4504.9838709677497</v>
      </c>
      <c r="AY24" s="37">
        <f t="shared" si="41"/>
        <v>-4504.9838709677497</v>
      </c>
      <c r="AZ24" s="100">
        <f>ELEC!A22</f>
        <v>0</v>
      </c>
      <c r="BA24" s="118">
        <f>'General information '!D24</f>
        <v>28.5</v>
      </c>
      <c r="BB24" s="390">
        <f>SUM('General information '!E24)</f>
        <v>0.72</v>
      </c>
      <c r="BC24" s="3">
        <f t="shared" si="45"/>
        <v>1</v>
      </c>
      <c r="BD24" s="102">
        <v>19222</v>
      </c>
      <c r="BE24" s="14">
        <f>(305/1185)*ELEC!Q23</f>
        <v>3388.4599156120394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101</v>
      </c>
      <c r="C25" s="203">
        <f t="shared" si="21"/>
        <v>2173.1290322580644</v>
      </c>
      <c r="D25">
        <f t="shared" si="22"/>
        <v>101</v>
      </c>
      <c r="E25" s="203">
        <f t="shared" si="21"/>
        <v>2173.1290322580644</v>
      </c>
      <c r="F25">
        <f t="shared" si="23"/>
        <v>101</v>
      </c>
      <c r="G25" s="203">
        <f t="shared" si="1"/>
        <v>2173.1290322580644</v>
      </c>
      <c r="H25" s="203">
        <f t="shared" si="24"/>
        <v>101</v>
      </c>
      <c r="I25" s="203">
        <f t="shared" si="2"/>
        <v>2173.1290322580644</v>
      </c>
      <c r="J25" s="203">
        <f t="shared" si="25"/>
        <v>101</v>
      </c>
      <c r="K25" s="203">
        <f t="shared" si="3"/>
        <v>2173.1290322580644</v>
      </c>
      <c r="L25" s="203">
        <f t="shared" si="26"/>
        <v>101</v>
      </c>
      <c r="M25" s="203">
        <f t="shared" si="4"/>
        <v>2173.1290322580644</v>
      </c>
      <c r="N25" s="203">
        <f t="shared" si="27"/>
        <v>101</v>
      </c>
      <c r="O25" s="203">
        <f t="shared" si="5"/>
        <v>2173.1290322580644</v>
      </c>
      <c r="P25" s="203">
        <f t="shared" si="28"/>
        <v>101</v>
      </c>
      <c r="Q25" s="203">
        <f t="shared" si="6"/>
        <v>2173.1290322580644</v>
      </c>
      <c r="R25" s="203">
        <f t="shared" si="29"/>
        <v>101</v>
      </c>
      <c r="S25" s="203">
        <f t="shared" si="7"/>
        <v>2173.1290322580644</v>
      </c>
      <c r="T25" s="203">
        <f t="shared" si="30"/>
        <v>101</v>
      </c>
      <c r="U25" s="203">
        <f t="shared" si="8"/>
        <v>2173.1290322580644</v>
      </c>
      <c r="V25" s="203">
        <f t="shared" si="31"/>
        <v>101</v>
      </c>
      <c r="W25" s="203">
        <f t="shared" si="9"/>
        <v>2173.1290322580644</v>
      </c>
      <c r="X25" s="35">
        <f t="shared" si="10"/>
        <v>0.32580645161290323</v>
      </c>
      <c r="Y25" s="36">
        <f t="shared" si="32"/>
        <v>23904.419354838708</v>
      </c>
      <c r="Z25" s="203">
        <f>'B5'!C24</f>
        <v>109</v>
      </c>
      <c r="AA25" s="203">
        <f t="shared" si="33"/>
        <v>1090</v>
      </c>
      <c r="AB25" s="203">
        <f t="shared" si="34"/>
        <v>109</v>
      </c>
      <c r="AC25" s="203">
        <f t="shared" si="33"/>
        <v>1090</v>
      </c>
      <c r="AD25" s="203">
        <f t="shared" si="35"/>
        <v>109</v>
      </c>
      <c r="AE25" s="203">
        <f t="shared" si="11"/>
        <v>1090</v>
      </c>
      <c r="AF25" s="203">
        <f t="shared" si="36"/>
        <v>109</v>
      </c>
      <c r="AG25" s="203">
        <f t="shared" si="12"/>
        <v>1090</v>
      </c>
      <c r="AH25" s="203">
        <f t="shared" si="37"/>
        <v>109</v>
      </c>
      <c r="AI25" s="203">
        <f t="shared" si="13"/>
        <v>1090</v>
      </c>
      <c r="AJ25" s="203">
        <f t="shared" si="38"/>
        <v>109</v>
      </c>
      <c r="AK25" s="203">
        <f t="shared" si="14"/>
        <v>1090</v>
      </c>
      <c r="AL25" s="203">
        <f t="shared" si="39"/>
        <v>109</v>
      </c>
      <c r="AM25" s="203">
        <f t="shared" si="15"/>
        <v>1090</v>
      </c>
      <c r="AN25" s="35">
        <f t="shared" si="16"/>
        <v>0.38928571428571429</v>
      </c>
      <c r="AO25" s="36">
        <f t="shared" si="17"/>
        <v>7630</v>
      </c>
      <c r="AQ25" s="223">
        <f t="shared" si="40"/>
        <v>0.33918919387801127</v>
      </c>
      <c r="AR25" s="38">
        <f t="shared" si="46"/>
        <v>31534.419354838708</v>
      </c>
      <c r="AS25" s="197">
        <f t="shared" si="47"/>
        <v>-4530.1612903225796</v>
      </c>
      <c r="AT25" s="351"/>
      <c r="AU25" s="615"/>
      <c r="AV25" s="508">
        <f t="shared" si="44"/>
        <v>1.1719999999999999</v>
      </c>
      <c r="AW25" s="287">
        <f>-SUM('B5'!AI24)</f>
        <v>-135</v>
      </c>
      <c r="AX25" s="287">
        <f t="shared" si="20"/>
        <v>-4395.1612903225796</v>
      </c>
      <c r="AY25" s="37">
        <f t="shared" si="41"/>
        <v>-4530.1612903225796</v>
      </c>
      <c r="AZ25" s="100">
        <f>ELEC!A23</f>
        <v>0</v>
      </c>
      <c r="BA25" s="118">
        <f>'General information '!D25</f>
        <v>29</v>
      </c>
      <c r="BB25" s="390">
        <f>SUM('General information '!E25)</f>
        <v>0.7</v>
      </c>
      <c r="BC25" s="3">
        <f t="shared" si="45"/>
        <v>0</v>
      </c>
      <c r="BD25" s="102">
        <v>19222</v>
      </c>
      <c r="BE25" s="14">
        <f>(305/1185)*ELEC!Q24</f>
        <v>3737.2151898725942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85</v>
      </c>
      <c r="C26" s="203">
        <f t="shared" si="21"/>
        <v>1828.8709677419354</v>
      </c>
      <c r="D26">
        <f t="shared" si="22"/>
        <v>85</v>
      </c>
      <c r="E26" s="203">
        <f t="shared" si="21"/>
        <v>1828.8709677419354</v>
      </c>
      <c r="F26">
        <f t="shared" si="23"/>
        <v>85</v>
      </c>
      <c r="G26" s="203">
        <f t="shared" si="1"/>
        <v>1828.8709677419354</v>
      </c>
      <c r="H26" s="203">
        <f t="shared" si="24"/>
        <v>85</v>
      </c>
      <c r="I26" s="203">
        <f t="shared" si="2"/>
        <v>1828.8709677419354</v>
      </c>
      <c r="J26" s="203">
        <f t="shared" si="25"/>
        <v>85</v>
      </c>
      <c r="K26" s="203">
        <f t="shared" si="3"/>
        <v>1828.8709677419354</v>
      </c>
      <c r="L26" s="203">
        <f t="shared" si="26"/>
        <v>85</v>
      </c>
      <c r="M26" s="203">
        <f t="shared" si="4"/>
        <v>1828.8709677419354</v>
      </c>
      <c r="N26" s="203">
        <f t="shared" si="27"/>
        <v>85</v>
      </c>
      <c r="O26" s="203">
        <f t="shared" si="5"/>
        <v>1828.8709677419354</v>
      </c>
      <c r="P26" s="203">
        <f t="shared" si="28"/>
        <v>85</v>
      </c>
      <c r="Q26" s="203">
        <f t="shared" si="6"/>
        <v>1828.8709677419354</v>
      </c>
      <c r="R26" s="203">
        <f t="shared" si="29"/>
        <v>85</v>
      </c>
      <c r="S26" s="203">
        <f t="shared" si="7"/>
        <v>1828.8709677419354</v>
      </c>
      <c r="T26" s="203">
        <f t="shared" si="30"/>
        <v>85</v>
      </c>
      <c r="U26" s="203">
        <f t="shared" si="8"/>
        <v>1828.8709677419354</v>
      </c>
      <c r="V26" s="203">
        <f t="shared" si="31"/>
        <v>85</v>
      </c>
      <c r="W26" s="203">
        <f t="shared" si="9"/>
        <v>1828.8709677419354</v>
      </c>
      <c r="X26" s="35">
        <f t="shared" si="10"/>
        <v>0.27419354838709675</v>
      </c>
      <c r="Y26" s="36">
        <f t="shared" si="32"/>
        <v>20117.580645161288</v>
      </c>
      <c r="Z26" s="203">
        <f>'B5'!C25</f>
        <v>93</v>
      </c>
      <c r="AA26" s="203">
        <f t="shared" si="33"/>
        <v>930</v>
      </c>
      <c r="AB26" s="203">
        <f t="shared" si="34"/>
        <v>93</v>
      </c>
      <c r="AC26" s="203">
        <f t="shared" si="33"/>
        <v>930</v>
      </c>
      <c r="AD26" s="203">
        <f t="shared" si="35"/>
        <v>93</v>
      </c>
      <c r="AE26" s="203">
        <f t="shared" si="11"/>
        <v>930</v>
      </c>
      <c r="AF26" s="203">
        <f t="shared" si="36"/>
        <v>93</v>
      </c>
      <c r="AG26" s="203">
        <f t="shared" si="12"/>
        <v>930</v>
      </c>
      <c r="AH26" s="203">
        <f t="shared" si="37"/>
        <v>93</v>
      </c>
      <c r="AI26" s="203">
        <f t="shared" si="13"/>
        <v>930</v>
      </c>
      <c r="AJ26" s="203">
        <f t="shared" si="38"/>
        <v>93</v>
      </c>
      <c r="AK26" s="203">
        <f t="shared" si="14"/>
        <v>930</v>
      </c>
      <c r="AL26" s="203">
        <f t="shared" si="39"/>
        <v>93</v>
      </c>
      <c r="AM26" s="203">
        <f t="shared" si="15"/>
        <v>930</v>
      </c>
      <c r="AN26" s="35">
        <f t="shared" si="16"/>
        <v>0.33214285714285713</v>
      </c>
      <c r="AO26" s="36">
        <f t="shared" si="17"/>
        <v>6510</v>
      </c>
      <c r="AQ26" s="223">
        <f t="shared" si="40"/>
        <v>0.28641046192493586</v>
      </c>
      <c r="AR26" s="38">
        <f t="shared" si="46"/>
        <v>26627.580645161288</v>
      </c>
      <c r="AS26" s="197">
        <f t="shared" si="47"/>
        <v>-4906.8387096774204</v>
      </c>
      <c r="AT26" s="351"/>
      <c r="AU26" s="614"/>
      <c r="AV26" s="508">
        <f t="shared" si="44"/>
        <v>1.1719999999999999</v>
      </c>
      <c r="AW26" s="287">
        <f>-SUM('B5'!AI25)</f>
        <v>-26</v>
      </c>
      <c r="AX26" s="287">
        <f t="shared" si="20"/>
        <v>-4880.8387096774204</v>
      </c>
      <c r="AY26" s="37">
        <f t="shared" si="41"/>
        <v>-4906.8387096774204</v>
      </c>
      <c r="AZ26" s="100">
        <f>ELEC!A24</f>
        <v>0</v>
      </c>
      <c r="BA26" s="118">
        <f>'General information '!D26</f>
        <v>28.5</v>
      </c>
      <c r="BB26" s="390">
        <f>SUM('General information '!E26)</f>
        <v>0.63</v>
      </c>
      <c r="BC26" s="3">
        <f t="shared" si="45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85</v>
      </c>
      <c r="C27" s="203">
        <f t="shared" si="21"/>
        <v>1828.8709677419354</v>
      </c>
      <c r="D27">
        <f t="shared" si="22"/>
        <v>85</v>
      </c>
      <c r="E27" s="203">
        <f t="shared" si="21"/>
        <v>1828.8709677419354</v>
      </c>
      <c r="F27">
        <f t="shared" si="23"/>
        <v>85</v>
      </c>
      <c r="G27" s="203">
        <f t="shared" si="1"/>
        <v>1828.8709677419354</v>
      </c>
      <c r="H27" s="203">
        <f t="shared" si="24"/>
        <v>85</v>
      </c>
      <c r="I27" s="203">
        <f t="shared" si="2"/>
        <v>1828.8709677419354</v>
      </c>
      <c r="J27" s="203">
        <f t="shared" si="25"/>
        <v>85</v>
      </c>
      <c r="K27" s="203">
        <f t="shared" si="3"/>
        <v>1828.8709677419354</v>
      </c>
      <c r="L27" s="203">
        <f t="shared" si="26"/>
        <v>85</v>
      </c>
      <c r="M27" s="203">
        <f t="shared" si="4"/>
        <v>1828.8709677419354</v>
      </c>
      <c r="N27" s="203">
        <f t="shared" si="27"/>
        <v>85</v>
      </c>
      <c r="O27" s="203">
        <f t="shared" si="5"/>
        <v>1828.8709677419354</v>
      </c>
      <c r="P27" s="203">
        <f t="shared" si="28"/>
        <v>85</v>
      </c>
      <c r="Q27" s="203">
        <f t="shared" si="6"/>
        <v>1828.8709677419354</v>
      </c>
      <c r="R27" s="203">
        <f t="shared" si="29"/>
        <v>85</v>
      </c>
      <c r="S27" s="203">
        <f t="shared" si="7"/>
        <v>1828.8709677419354</v>
      </c>
      <c r="T27" s="203">
        <f t="shared" si="30"/>
        <v>85</v>
      </c>
      <c r="U27" s="203">
        <f t="shared" si="8"/>
        <v>1828.8709677419354</v>
      </c>
      <c r="V27" s="203">
        <f t="shared" si="31"/>
        <v>85</v>
      </c>
      <c r="W27" s="203">
        <f t="shared" si="9"/>
        <v>1828.8709677419354</v>
      </c>
      <c r="X27" s="35">
        <f t="shared" si="10"/>
        <v>0.27419354838709675</v>
      </c>
      <c r="Y27" s="36">
        <f t="shared" si="32"/>
        <v>20117.580645161288</v>
      </c>
      <c r="Z27" s="203">
        <f>'B5'!C26</f>
        <v>93</v>
      </c>
      <c r="AA27" s="203">
        <f t="shared" si="33"/>
        <v>930</v>
      </c>
      <c r="AB27" s="203">
        <f t="shared" si="34"/>
        <v>93</v>
      </c>
      <c r="AC27" s="203">
        <f t="shared" si="33"/>
        <v>930</v>
      </c>
      <c r="AD27" s="203">
        <f t="shared" si="35"/>
        <v>93</v>
      </c>
      <c r="AE27" s="203">
        <f t="shared" si="11"/>
        <v>930</v>
      </c>
      <c r="AF27" s="203">
        <f t="shared" si="36"/>
        <v>93</v>
      </c>
      <c r="AG27" s="203">
        <f t="shared" si="12"/>
        <v>930</v>
      </c>
      <c r="AH27" s="203">
        <f t="shared" si="37"/>
        <v>93</v>
      </c>
      <c r="AI27" s="203">
        <f t="shared" si="13"/>
        <v>930</v>
      </c>
      <c r="AJ27" s="203">
        <f t="shared" si="38"/>
        <v>93</v>
      </c>
      <c r="AK27" s="203">
        <f t="shared" si="14"/>
        <v>930</v>
      </c>
      <c r="AL27" s="203">
        <f t="shared" si="39"/>
        <v>93</v>
      </c>
      <c r="AM27" s="203">
        <f t="shared" si="15"/>
        <v>930</v>
      </c>
      <c r="AN27" s="35">
        <f t="shared" si="16"/>
        <v>0.33214285714285713</v>
      </c>
      <c r="AO27" s="36">
        <f t="shared" si="17"/>
        <v>6510</v>
      </c>
      <c r="AQ27" s="223">
        <f t="shared" si="40"/>
        <v>0.28641046192493586</v>
      </c>
      <c r="AR27" s="38">
        <f t="shared" si="46"/>
        <v>26627.580645161288</v>
      </c>
      <c r="AS27" s="197">
        <f t="shared" si="47"/>
        <v>0</v>
      </c>
      <c r="AT27" s="351"/>
      <c r="AU27" s="614"/>
      <c r="AV27" s="508">
        <f t="shared" si="44"/>
        <v>1.1719999999999999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5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85</v>
      </c>
      <c r="C28" s="203">
        <f t="shared" si="21"/>
        <v>1828.8709677419354</v>
      </c>
      <c r="D28">
        <f t="shared" si="22"/>
        <v>85</v>
      </c>
      <c r="E28" s="203">
        <f t="shared" si="21"/>
        <v>1828.8709677419354</v>
      </c>
      <c r="F28">
        <f t="shared" si="23"/>
        <v>85</v>
      </c>
      <c r="G28" s="203">
        <f t="shared" si="1"/>
        <v>1828.8709677419354</v>
      </c>
      <c r="H28" s="203">
        <f t="shared" si="24"/>
        <v>85</v>
      </c>
      <c r="I28" s="203">
        <f t="shared" si="2"/>
        <v>1828.8709677419354</v>
      </c>
      <c r="J28" s="203">
        <f t="shared" si="25"/>
        <v>85</v>
      </c>
      <c r="K28" s="203">
        <f t="shared" si="3"/>
        <v>1828.8709677419354</v>
      </c>
      <c r="L28" s="203">
        <f t="shared" si="26"/>
        <v>85</v>
      </c>
      <c r="M28" s="203">
        <f t="shared" si="4"/>
        <v>1828.8709677419354</v>
      </c>
      <c r="N28" s="203">
        <f t="shared" si="27"/>
        <v>85</v>
      </c>
      <c r="O28" s="203">
        <f t="shared" si="5"/>
        <v>1828.8709677419354</v>
      </c>
      <c r="P28" s="203">
        <f t="shared" si="28"/>
        <v>85</v>
      </c>
      <c r="Q28" s="203">
        <f t="shared" si="6"/>
        <v>1828.8709677419354</v>
      </c>
      <c r="R28" s="203">
        <f t="shared" si="29"/>
        <v>85</v>
      </c>
      <c r="S28" s="203">
        <f t="shared" si="7"/>
        <v>1828.8709677419354</v>
      </c>
      <c r="T28" s="203">
        <f t="shared" si="30"/>
        <v>85</v>
      </c>
      <c r="U28" s="203">
        <f t="shared" si="8"/>
        <v>1828.8709677419354</v>
      </c>
      <c r="V28" s="203">
        <f t="shared" si="31"/>
        <v>85</v>
      </c>
      <c r="W28" s="203">
        <f t="shared" si="9"/>
        <v>1828.8709677419354</v>
      </c>
      <c r="X28" s="35">
        <f t="shared" si="10"/>
        <v>0.27419354838709675</v>
      </c>
      <c r="Y28" s="36">
        <f t="shared" si="32"/>
        <v>20117.580645161288</v>
      </c>
      <c r="Z28" s="203">
        <f>'B5'!C27</f>
        <v>93</v>
      </c>
      <c r="AA28" s="203">
        <f t="shared" si="33"/>
        <v>930</v>
      </c>
      <c r="AB28" s="203">
        <f t="shared" si="34"/>
        <v>93</v>
      </c>
      <c r="AC28" s="203">
        <f t="shared" si="33"/>
        <v>930</v>
      </c>
      <c r="AD28" s="203">
        <f t="shared" si="35"/>
        <v>93</v>
      </c>
      <c r="AE28" s="203">
        <f t="shared" si="11"/>
        <v>930</v>
      </c>
      <c r="AF28" s="203">
        <f t="shared" si="36"/>
        <v>93</v>
      </c>
      <c r="AG28" s="203">
        <f t="shared" si="12"/>
        <v>930</v>
      </c>
      <c r="AH28" s="203">
        <f t="shared" si="37"/>
        <v>93</v>
      </c>
      <c r="AI28" s="203">
        <f t="shared" si="13"/>
        <v>930</v>
      </c>
      <c r="AJ28" s="203">
        <f t="shared" si="38"/>
        <v>93</v>
      </c>
      <c r="AK28" s="203">
        <f t="shared" si="14"/>
        <v>930</v>
      </c>
      <c r="AL28" s="203">
        <f t="shared" si="39"/>
        <v>93</v>
      </c>
      <c r="AM28" s="203">
        <f t="shared" si="15"/>
        <v>930</v>
      </c>
      <c r="AN28" s="35">
        <f t="shared" si="16"/>
        <v>0.33214285714285713</v>
      </c>
      <c r="AO28" s="36">
        <f t="shared" si="17"/>
        <v>6510</v>
      </c>
      <c r="AQ28" s="223">
        <f t="shared" si="40"/>
        <v>0.28641046192493586</v>
      </c>
      <c r="AR28" s="38">
        <f t="shared" si="46"/>
        <v>26627.580645161288</v>
      </c>
      <c r="AS28" s="197">
        <f t="shared" si="47"/>
        <v>0</v>
      </c>
      <c r="AT28" s="351"/>
      <c r="AU28" s="615"/>
      <c r="AV28" s="508">
        <f t="shared" si="44"/>
        <v>1.1719999999999999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5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85</v>
      </c>
      <c r="C29" s="203">
        <f t="shared" si="21"/>
        <v>1828.8709677419354</v>
      </c>
      <c r="D29">
        <f t="shared" si="22"/>
        <v>85</v>
      </c>
      <c r="E29" s="203">
        <f t="shared" si="21"/>
        <v>1828.8709677419354</v>
      </c>
      <c r="F29">
        <f t="shared" si="23"/>
        <v>85</v>
      </c>
      <c r="G29" s="203">
        <f t="shared" si="1"/>
        <v>1828.8709677419354</v>
      </c>
      <c r="H29" s="203">
        <f t="shared" si="24"/>
        <v>85</v>
      </c>
      <c r="I29" s="203">
        <f t="shared" si="2"/>
        <v>1828.8709677419354</v>
      </c>
      <c r="J29" s="203">
        <f t="shared" si="25"/>
        <v>85</v>
      </c>
      <c r="K29" s="203">
        <f t="shared" si="3"/>
        <v>1828.8709677419354</v>
      </c>
      <c r="L29" s="203">
        <f t="shared" si="26"/>
        <v>85</v>
      </c>
      <c r="M29" s="203">
        <f t="shared" si="4"/>
        <v>1828.8709677419354</v>
      </c>
      <c r="N29" s="203">
        <f t="shared" si="27"/>
        <v>85</v>
      </c>
      <c r="O29" s="203">
        <f t="shared" si="5"/>
        <v>1828.8709677419354</v>
      </c>
      <c r="P29" s="203">
        <f t="shared" si="28"/>
        <v>85</v>
      </c>
      <c r="Q29" s="203">
        <f t="shared" si="6"/>
        <v>1828.8709677419354</v>
      </c>
      <c r="R29" s="203">
        <f t="shared" si="29"/>
        <v>85</v>
      </c>
      <c r="S29" s="203">
        <f t="shared" si="7"/>
        <v>1828.8709677419354</v>
      </c>
      <c r="T29" s="203">
        <f t="shared" si="30"/>
        <v>85</v>
      </c>
      <c r="U29" s="203">
        <f t="shared" si="8"/>
        <v>1828.8709677419354</v>
      </c>
      <c r="V29" s="203">
        <f t="shared" si="31"/>
        <v>85</v>
      </c>
      <c r="W29" s="203">
        <f t="shared" si="9"/>
        <v>1828.8709677419354</v>
      </c>
      <c r="X29" s="35">
        <f t="shared" si="10"/>
        <v>0.27419354838709675</v>
      </c>
      <c r="Y29" s="36">
        <f t="shared" si="32"/>
        <v>20117.580645161288</v>
      </c>
      <c r="Z29" s="203">
        <f>'B5'!C28</f>
        <v>93</v>
      </c>
      <c r="AA29" s="203">
        <f t="shared" si="33"/>
        <v>930</v>
      </c>
      <c r="AB29" s="203">
        <f t="shared" si="34"/>
        <v>93</v>
      </c>
      <c r="AC29" s="203">
        <f t="shared" si="33"/>
        <v>930</v>
      </c>
      <c r="AD29" s="203">
        <f t="shared" si="35"/>
        <v>93</v>
      </c>
      <c r="AE29" s="203">
        <f t="shared" si="11"/>
        <v>930</v>
      </c>
      <c r="AF29" s="203">
        <f t="shared" si="36"/>
        <v>93</v>
      </c>
      <c r="AG29" s="203">
        <f t="shared" si="12"/>
        <v>930</v>
      </c>
      <c r="AH29" s="203">
        <f t="shared" si="37"/>
        <v>93</v>
      </c>
      <c r="AI29" s="203">
        <f t="shared" si="13"/>
        <v>930</v>
      </c>
      <c r="AJ29" s="203">
        <f t="shared" si="38"/>
        <v>93</v>
      </c>
      <c r="AK29" s="203">
        <f t="shared" si="14"/>
        <v>930</v>
      </c>
      <c r="AL29" s="203">
        <f t="shared" si="39"/>
        <v>93</v>
      </c>
      <c r="AM29" s="203">
        <f t="shared" si="15"/>
        <v>930</v>
      </c>
      <c r="AN29" s="35">
        <f t="shared" si="16"/>
        <v>0.33214285714285713</v>
      </c>
      <c r="AO29" s="36">
        <f t="shared" si="17"/>
        <v>6510</v>
      </c>
      <c r="AQ29" s="223">
        <f t="shared" si="40"/>
        <v>0.28641046192493586</v>
      </c>
      <c r="AR29" s="38">
        <f t="shared" si="46"/>
        <v>26627.580645161288</v>
      </c>
      <c r="AS29" s="197">
        <f t="shared" si="47"/>
        <v>0</v>
      </c>
      <c r="AT29" s="351"/>
      <c r="AU29" s="615"/>
      <c r="AV29" s="508">
        <f t="shared" si="44"/>
        <v>1.1719999999999999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5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85</v>
      </c>
      <c r="C30" s="203">
        <f t="shared" si="21"/>
        <v>1828.8709677419354</v>
      </c>
      <c r="D30">
        <f t="shared" ref="D30:D35" si="48">SUM(B30)</f>
        <v>85</v>
      </c>
      <c r="E30" s="203">
        <f t="shared" si="21"/>
        <v>1828.8709677419354</v>
      </c>
      <c r="F30">
        <f t="shared" ref="F30:F35" si="49">SUM(D30)</f>
        <v>85</v>
      </c>
      <c r="G30" s="203">
        <f t="shared" si="1"/>
        <v>1828.8709677419354</v>
      </c>
      <c r="H30" s="203">
        <f t="shared" ref="H30:H35" si="50">SUM(F30)</f>
        <v>85</v>
      </c>
      <c r="I30" s="203">
        <f t="shared" si="2"/>
        <v>1828.8709677419354</v>
      </c>
      <c r="J30" s="203">
        <f t="shared" ref="J30:J35" si="51">SUM(H30)</f>
        <v>85</v>
      </c>
      <c r="K30" s="203">
        <f t="shared" si="3"/>
        <v>1828.8709677419354</v>
      </c>
      <c r="L30" s="203">
        <f t="shared" ref="L30:L35" si="52">SUM(J30)</f>
        <v>85</v>
      </c>
      <c r="M30" s="203">
        <f t="shared" si="4"/>
        <v>1828.8709677419354</v>
      </c>
      <c r="N30" s="203">
        <f t="shared" ref="N30:N35" si="53">SUM(L30)</f>
        <v>85</v>
      </c>
      <c r="O30" s="203">
        <f t="shared" si="5"/>
        <v>1828.8709677419354</v>
      </c>
      <c r="P30" s="203">
        <f t="shared" ref="P30:P35" si="54">SUM(N30)</f>
        <v>85</v>
      </c>
      <c r="Q30" s="203">
        <f t="shared" si="6"/>
        <v>1828.8709677419354</v>
      </c>
      <c r="R30" s="203">
        <f t="shared" ref="R30:R35" si="55">SUM(P30)</f>
        <v>85</v>
      </c>
      <c r="S30" s="203">
        <f t="shared" si="7"/>
        <v>1828.8709677419354</v>
      </c>
      <c r="T30" s="203">
        <f t="shared" ref="T30:T35" si="56">SUM(R30)</f>
        <v>85</v>
      </c>
      <c r="U30" s="203">
        <f t="shared" si="8"/>
        <v>1828.8709677419354</v>
      </c>
      <c r="V30" s="203">
        <f t="shared" ref="V30:V35" si="57">SUM(T30)</f>
        <v>85</v>
      </c>
      <c r="W30" s="203">
        <f t="shared" si="9"/>
        <v>1828.8709677419354</v>
      </c>
      <c r="X30" s="35">
        <f t="shared" ref="X30:X35" si="58">SUM(Y30/73370)</f>
        <v>0.27419354838709675</v>
      </c>
      <c r="Y30" s="36">
        <f t="shared" ref="Y30:Y35" si="59">SUM(C30+E30+G30+I30+K30+M30+O30+Q30+S30+U30+W30)</f>
        <v>20117.580645161288</v>
      </c>
      <c r="Z30" s="203">
        <f>'B5'!C29</f>
        <v>93</v>
      </c>
      <c r="AA30" s="203">
        <f t="shared" si="33"/>
        <v>930</v>
      </c>
      <c r="AB30" s="203">
        <f t="shared" ref="AB30:AB35" si="60">SUM(Z30)</f>
        <v>93</v>
      </c>
      <c r="AC30" s="203">
        <f t="shared" si="33"/>
        <v>930</v>
      </c>
      <c r="AD30" s="203">
        <f t="shared" ref="AD30:AD35" si="61">SUM(AB30)</f>
        <v>93</v>
      </c>
      <c r="AE30" s="203">
        <f t="shared" si="11"/>
        <v>930</v>
      </c>
      <c r="AF30" s="203">
        <f t="shared" ref="AF30:AF35" si="62">SUM(AD30)</f>
        <v>93</v>
      </c>
      <c r="AG30" s="203">
        <f t="shared" si="12"/>
        <v>930</v>
      </c>
      <c r="AH30" s="203">
        <f t="shared" ref="AH30:AH35" si="63">SUM(AF30)</f>
        <v>93</v>
      </c>
      <c r="AI30" s="203">
        <f t="shared" si="13"/>
        <v>930</v>
      </c>
      <c r="AJ30" s="203">
        <f t="shared" ref="AJ30:AJ35" si="64">SUM(AH30)</f>
        <v>93</v>
      </c>
      <c r="AK30" s="203">
        <f t="shared" si="14"/>
        <v>930</v>
      </c>
      <c r="AL30" s="203">
        <f t="shared" ref="AL30:AL35" si="65">SUM(AJ30)</f>
        <v>93</v>
      </c>
      <c r="AM30" s="203">
        <f t="shared" si="15"/>
        <v>930</v>
      </c>
      <c r="AN30" s="35">
        <f t="shared" ref="AN30:AN35" si="66">SUM(AO30/19600)</f>
        <v>0.33214285714285713</v>
      </c>
      <c r="AO30" s="36">
        <f t="shared" ref="AO30:AO35" si="67">SUM(AA30+AC30+AE30+AG30+AI30+AK30+AM30)</f>
        <v>6510</v>
      </c>
      <c r="AQ30" s="223">
        <f t="shared" si="40"/>
        <v>0.28641046192493586</v>
      </c>
      <c r="AR30" s="38">
        <f t="shared" si="46"/>
        <v>26627.580645161288</v>
      </c>
      <c r="AS30" s="197">
        <f t="shared" si="47"/>
        <v>0</v>
      </c>
      <c r="AT30" s="351"/>
      <c r="AU30" s="614"/>
      <c r="AV30" s="508">
        <f t="shared" si="44"/>
        <v>1.1719999999999999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5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85</v>
      </c>
      <c r="C31" s="203">
        <f t="shared" si="21"/>
        <v>1828.8709677419354</v>
      </c>
      <c r="D31">
        <f t="shared" si="48"/>
        <v>85</v>
      </c>
      <c r="E31" s="203">
        <f t="shared" si="21"/>
        <v>1828.8709677419354</v>
      </c>
      <c r="F31">
        <f t="shared" si="49"/>
        <v>85</v>
      </c>
      <c r="G31" s="203">
        <f t="shared" si="1"/>
        <v>1828.8709677419354</v>
      </c>
      <c r="H31" s="203">
        <f t="shared" si="50"/>
        <v>85</v>
      </c>
      <c r="I31" s="203">
        <f t="shared" si="2"/>
        <v>1828.8709677419354</v>
      </c>
      <c r="J31" s="203">
        <f t="shared" si="51"/>
        <v>85</v>
      </c>
      <c r="K31" s="203">
        <f t="shared" si="3"/>
        <v>1828.8709677419354</v>
      </c>
      <c r="L31" s="203">
        <f t="shared" si="52"/>
        <v>85</v>
      </c>
      <c r="M31" s="203">
        <f t="shared" si="4"/>
        <v>1828.8709677419354</v>
      </c>
      <c r="N31" s="203">
        <f t="shared" si="53"/>
        <v>85</v>
      </c>
      <c r="O31" s="203">
        <f t="shared" si="5"/>
        <v>1828.8709677419354</v>
      </c>
      <c r="P31" s="203">
        <f t="shared" si="54"/>
        <v>85</v>
      </c>
      <c r="Q31" s="203">
        <f t="shared" si="6"/>
        <v>1828.8709677419354</v>
      </c>
      <c r="R31" s="203">
        <f t="shared" si="55"/>
        <v>85</v>
      </c>
      <c r="S31" s="203">
        <f t="shared" si="7"/>
        <v>1828.8709677419354</v>
      </c>
      <c r="T31" s="203">
        <f t="shared" si="56"/>
        <v>85</v>
      </c>
      <c r="U31" s="203">
        <f t="shared" si="8"/>
        <v>1828.8709677419354</v>
      </c>
      <c r="V31" s="203">
        <f t="shared" si="57"/>
        <v>85</v>
      </c>
      <c r="W31" s="203">
        <f t="shared" si="9"/>
        <v>1828.8709677419354</v>
      </c>
      <c r="X31" s="35">
        <f t="shared" si="58"/>
        <v>0.27419354838709675</v>
      </c>
      <c r="Y31" s="36">
        <f t="shared" si="59"/>
        <v>20117.580645161288</v>
      </c>
      <c r="Z31" s="203">
        <f>'B5'!C30</f>
        <v>93</v>
      </c>
      <c r="AA31" s="203">
        <f t="shared" si="33"/>
        <v>930</v>
      </c>
      <c r="AB31" s="203">
        <f t="shared" si="60"/>
        <v>93</v>
      </c>
      <c r="AC31" s="203">
        <f t="shared" si="33"/>
        <v>930</v>
      </c>
      <c r="AD31" s="203">
        <f t="shared" si="61"/>
        <v>93</v>
      </c>
      <c r="AE31" s="203">
        <f t="shared" si="11"/>
        <v>930</v>
      </c>
      <c r="AF31" s="203">
        <f t="shared" si="62"/>
        <v>93</v>
      </c>
      <c r="AG31" s="203">
        <f t="shared" si="12"/>
        <v>930</v>
      </c>
      <c r="AH31" s="203">
        <f t="shared" si="63"/>
        <v>93</v>
      </c>
      <c r="AI31" s="203">
        <f t="shared" si="13"/>
        <v>930</v>
      </c>
      <c r="AJ31" s="203">
        <f t="shared" si="64"/>
        <v>93</v>
      </c>
      <c r="AK31" s="203">
        <f t="shared" si="14"/>
        <v>930</v>
      </c>
      <c r="AL31" s="203">
        <f t="shared" si="65"/>
        <v>93</v>
      </c>
      <c r="AM31" s="203">
        <f t="shared" si="15"/>
        <v>930</v>
      </c>
      <c r="AN31" s="35">
        <f t="shared" si="66"/>
        <v>0.33214285714285713</v>
      </c>
      <c r="AO31" s="36">
        <f t="shared" si="67"/>
        <v>6510</v>
      </c>
      <c r="AQ31" s="223">
        <f t="shared" si="40"/>
        <v>0.28641046192493586</v>
      </c>
      <c r="AR31" s="38">
        <f t="shared" si="46"/>
        <v>26627.580645161288</v>
      </c>
      <c r="AS31" s="197">
        <f t="shared" si="47"/>
        <v>0</v>
      </c>
      <c r="AT31" s="351"/>
      <c r="AU31" s="614"/>
      <c r="AV31" s="508">
        <f t="shared" si="44"/>
        <v>1.1719999999999999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5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85</v>
      </c>
      <c r="C32" s="203">
        <f t="shared" si="21"/>
        <v>1828.8709677419354</v>
      </c>
      <c r="D32">
        <f t="shared" si="48"/>
        <v>85</v>
      </c>
      <c r="E32" s="203">
        <f t="shared" si="21"/>
        <v>1828.8709677419354</v>
      </c>
      <c r="F32">
        <f t="shared" si="49"/>
        <v>85</v>
      </c>
      <c r="G32" s="203">
        <f t="shared" si="1"/>
        <v>1828.8709677419354</v>
      </c>
      <c r="H32" s="203">
        <f t="shared" si="50"/>
        <v>85</v>
      </c>
      <c r="I32" s="203">
        <f t="shared" si="2"/>
        <v>1828.8709677419354</v>
      </c>
      <c r="J32" s="203">
        <f t="shared" si="51"/>
        <v>85</v>
      </c>
      <c r="K32" s="203">
        <f t="shared" si="3"/>
        <v>1828.8709677419354</v>
      </c>
      <c r="L32" s="203">
        <f t="shared" si="52"/>
        <v>85</v>
      </c>
      <c r="M32" s="203">
        <f t="shared" si="4"/>
        <v>1828.8709677419354</v>
      </c>
      <c r="N32" s="203">
        <f t="shared" si="53"/>
        <v>85</v>
      </c>
      <c r="O32" s="203">
        <f t="shared" si="5"/>
        <v>1828.8709677419354</v>
      </c>
      <c r="P32" s="203">
        <f t="shared" si="54"/>
        <v>85</v>
      </c>
      <c r="Q32" s="203">
        <f t="shared" si="6"/>
        <v>1828.8709677419354</v>
      </c>
      <c r="R32" s="203">
        <f t="shared" si="55"/>
        <v>85</v>
      </c>
      <c r="S32" s="203">
        <f t="shared" si="7"/>
        <v>1828.8709677419354</v>
      </c>
      <c r="T32" s="203">
        <f t="shared" si="56"/>
        <v>85</v>
      </c>
      <c r="U32" s="203">
        <f t="shared" si="8"/>
        <v>1828.8709677419354</v>
      </c>
      <c r="V32" s="203">
        <f t="shared" si="57"/>
        <v>85</v>
      </c>
      <c r="W32" s="203">
        <f t="shared" si="9"/>
        <v>1828.8709677419354</v>
      </c>
      <c r="X32" s="35">
        <f t="shared" si="58"/>
        <v>0.27419354838709675</v>
      </c>
      <c r="Y32" s="36">
        <f t="shared" si="59"/>
        <v>20117.580645161288</v>
      </c>
      <c r="Z32" s="203">
        <f>'B5'!C31</f>
        <v>93</v>
      </c>
      <c r="AA32" s="203">
        <f t="shared" si="33"/>
        <v>930</v>
      </c>
      <c r="AB32" s="203">
        <f t="shared" si="60"/>
        <v>93</v>
      </c>
      <c r="AC32" s="203">
        <f t="shared" si="33"/>
        <v>930</v>
      </c>
      <c r="AD32" s="203">
        <f t="shared" si="61"/>
        <v>93</v>
      </c>
      <c r="AE32" s="203">
        <f t="shared" si="11"/>
        <v>930</v>
      </c>
      <c r="AF32" s="203">
        <f t="shared" si="62"/>
        <v>93</v>
      </c>
      <c r="AG32" s="203">
        <f t="shared" si="12"/>
        <v>930</v>
      </c>
      <c r="AH32" s="203">
        <f t="shared" si="63"/>
        <v>93</v>
      </c>
      <c r="AI32" s="203">
        <f t="shared" si="13"/>
        <v>930</v>
      </c>
      <c r="AJ32" s="203">
        <f t="shared" si="64"/>
        <v>93</v>
      </c>
      <c r="AK32" s="203">
        <f t="shared" si="14"/>
        <v>930</v>
      </c>
      <c r="AL32" s="203">
        <f t="shared" si="65"/>
        <v>93</v>
      </c>
      <c r="AM32" s="203">
        <f t="shared" si="15"/>
        <v>930</v>
      </c>
      <c r="AN32" s="35">
        <f t="shared" si="66"/>
        <v>0.33214285714285713</v>
      </c>
      <c r="AO32" s="36">
        <f t="shared" si="67"/>
        <v>6510</v>
      </c>
      <c r="AQ32" s="223">
        <f t="shared" si="40"/>
        <v>0.28641046192493586</v>
      </c>
      <c r="AR32" s="38">
        <f t="shared" si="46"/>
        <v>26627.580645161288</v>
      </c>
      <c r="AS32" s="197">
        <f t="shared" si="47"/>
        <v>0</v>
      </c>
      <c r="AT32" s="351"/>
      <c r="AU32" s="614"/>
      <c r="AV32" s="508">
        <f>IF(AT32&gt;0,AU32,AV31)</f>
        <v>1.1719999999999999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5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85</v>
      </c>
      <c r="C33" s="203">
        <f t="shared" si="21"/>
        <v>1828.8709677419354</v>
      </c>
      <c r="D33">
        <f t="shared" si="48"/>
        <v>85</v>
      </c>
      <c r="E33" s="203">
        <f t="shared" si="21"/>
        <v>1828.8709677419354</v>
      </c>
      <c r="F33">
        <f t="shared" si="49"/>
        <v>85</v>
      </c>
      <c r="G33" s="203">
        <f t="shared" si="1"/>
        <v>1828.8709677419354</v>
      </c>
      <c r="H33" s="203">
        <f t="shared" si="50"/>
        <v>85</v>
      </c>
      <c r="I33" s="203">
        <f t="shared" si="2"/>
        <v>1828.8709677419354</v>
      </c>
      <c r="J33" s="203">
        <f t="shared" si="51"/>
        <v>85</v>
      </c>
      <c r="K33" s="203">
        <f t="shared" si="3"/>
        <v>1828.8709677419354</v>
      </c>
      <c r="L33" s="203">
        <f t="shared" si="52"/>
        <v>85</v>
      </c>
      <c r="M33" s="203">
        <f t="shared" si="4"/>
        <v>1828.8709677419354</v>
      </c>
      <c r="N33" s="203">
        <f t="shared" si="53"/>
        <v>85</v>
      </c>
      <c r="O33" s="203">
        <f t="shared" si="5"/>
        <v>1828.8709677419354</v>
      </c>
      <c r="P33" s="203">
        <f t="shared" si="54"/>
        <v>85</v>
      </c>
      <c r="Q33" s="203">
        <f t="shared" si="6"/>
        <v>1828.8709677419354</v>
      </c>
      <c r="R33" s="203">
        <f t="shared" si="55"/>
        <v>85</v>
      </c>
      <c r="S33" s="203">
        <f t="shared" si="7"/>
        <v>1828.8709677419354</v>
      </c>
      <c r="T33" s="203">
        <f t="shared" si="56"/>
        <v>85</v>
      </c>
      <c r="U33" s="203">
        <f t="shared" si="8"/>
        <v>1828.8709677419354</v>
      </c>
      <c r="V33" s="203">
        <f t="shared" si="57"/>
        <v>85</v>
      </c>
      <c r="W33" s="203">
        <f t="shared" si="9"/>
        <v>1828.8709677419354</v>
      </c>
      <c r="X33" s="35">
        <f t="shared" si="58"/>
        <v>0.27419354838709675</v>
      </c>
      <c r="Y33" s="36">
        <f t="shared" si="59"/>
        <v>20117.580645161288</v>
      </c>
      <c r="Z33" s="203">
        <f>'B5'!C32</f>
        <v>93</v>
      </c>
      <c r="AA33" s="203">
        <f t="shared" si="33"/>
        <v>930</v>
      </c>
      <c r="AB33" s="203">
        <f t="shared" si="60"/>
        <v>93</v>
      </c>
      <c r="AC33" s="203">
        <f t="shared" si="33"/>
        <v>930</v>
      </c>
      <c r="AD33" s="203">
        <f t="shared" si="61"/>
        <v>93</v>
      </c>
      <c r="AE33" s="203">
        <f t="shared" si="11"/>
        <v>930</v>
      </c>
      <c r="AF33" s="203">
        <f t="shared" si="62"/>
        <v>93</v>
      </c>
      <c r="AG33" s="203">
        <f t="shared" si="12"/>
        <v>930</v>
      </c>
      <c r="AH33" s="203">
        <f t="shared" si="63"/>
        <v>93</v>
      </c>
      <c r="AI33" s="203">
        <f t="shared" si="13"/>
        <v>930</v>
      </c>
      <c r="AJ33" s="203">
        <f t="shared" si="64"/>
        <v>93</v>
      </c>
      <c r="AK33" s="203">
        <f t="shared" si="14"/>
        <v>930</v>
      </c>
      <c r="AL33" s="203">
        <f t="shared" si="65"/>
        <v>93</v>
      </c>
      <c r="AM33" s="203">
        <f t="shared" si="15"/>
        <v>930</v>
      </c>
      <c r="AN33" s="35">
        <f t="shared" si="66"/>
        <v>0.33214285714285713</v>
      </c>
      <c r="AO33" s="36">
        <f t="shared" si="67"/>
        <v>6510</v>
      </c>
      <c r="AQ33" s="223">
        <f t="shared" si="40"/>
        <v>0.28641046192493586</v>
      </c>
      <c r="AR33" s="38">
        <f t="shared" si="46"/>
        <v>26627.580645161288</v>
      </c>
      <c r="AS33" s="197">
        <f t="shared" si="47"/>
        <v>0</v>
      </c>
      <c r="AT33" s="351"/>
      <c r="AU33" s="614"/>
      <c r="AV33" s="508">
        <f>IF(AT33&gt;0,AU33,AV32)</f>
        <v>1.1719999999999999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5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85</v>
      </c>
      <c r="C34" s="203">
        <f>B34*$B$4</f>
        <v>1828.8709677419354</v>
      </c>
      <c r="D34">
        <f t="shared" si="48"/>
        <v>85</v>
      </c>
      <c r="E34" s="203">
        <f>D34*$B$4</f>
        <v>1828.8709677419354</v>
      </c>
      <c r="F34">
        <f t="shared" si="49"/>
        <v>85</v>
      </c>
      <c r="G34" s="203">
        <f>F34*$B$4</f>
        <v>1828.8709677419354</v>
      </c>
      <c r="H34" s="203">
        <f t="shared" si="50"/>
        <v>85</v>
      </c>
      <c r="I34" s="203">
        <f>H34*$B$4</f>
        <v>1828.8709677419354</v>
      </c>
      <c r="J34" s="203">
        <f t="shared" si="51"/>
        <v>85</v>
      </c>
      <c r="K34" s="203">
        <f>J34*$B$4</f>
        <v>1828.8709677419354</v>
      </c>
      <c r="L34" s="203">
        <f t="shared" si="52"/>
        <v>85</v>
      </c>
      <c r="M34" s="203">
        <f>L34*$B$4</f>
        <v>1828.8709677419354</v>
      </c>
      <c r="N34" s="203">
        <f t="shared" si="53"/>
        <v>85</v>
      </c>
      <c r="O34" s="203">
        <f>N34*$B$4</f>
        <v>1828.8709677419354</v>
      </c>
      <c r="P34" s="203">
        <f t="shared" si="54"/>
        <v>85</v>
      </c>
      <c r="Q34" s="203">
        <f>P34*$B$4</f>
        <v>1828.8709677419354</v>
      </c>
      <c r="R34" s="203">
        <f t="shared" si="55"/>
        <v>85</v>
      </c>
      <c r="S34" s="203">
        <f>R34*$B$4</f>
        <v>1828.8709677419354</v>
      </c>
      <c r="T34" s="203">
        <f t="shared" si="56"/>
        <v>85</v>
      </c>
      <c r="U34" s="203">
        <f>T34*$B$4</f>
        <v>1828.8709677419354</v>
      </c>
      <c r="V34" s="203">
        <f t="shared" si="57"/>
        <v>85</v>
      </c>
      <c r="W34" s="203">
        <f>V34*$B$4</f>
        <v>1828.8709677419354</v>
      </c>
      <c r="X34" s="35">
        <f t="shared" si="58"/>
        <v>0.27419354838709675</v>
      </c>
      <c r="Y34" s="36">
        <f t="shared" si="59"/>
        <v>20117.580645161288</v>
      </c>
      <c r="Z34" s="203">
        <f>'B5'!C33</f>
        <v>93</v>
      </c>
      <c r="AA34" s="203">
        <f>SUM(Z34*$Z$4)</f>
        <v>930</v>
      </c>
      <c r="AB34" s="203">
        <f t="shared" si="60"/>
        <v>93</v>
      </c>
      <c r="AC34" s="203">
        <f>SUM(AB34*$Z$4)</f>
        <v>930</v>
      </c>
      <c r="AD34" s="203">
        <f t="shared" si="61"/>
        <v>93</v>
      </c>
      <c r="AE34" s="203">
        <f>SUM(AD34*$Z$4)</f>
        <v>930</v>
      </c>
      <c r="AF34" s="203">
        <f t="shared" si="62"/>
        <v>93</v>
      </c>
      <c r="AG34" s="203">
        <f>SUM(AF34*$Z$4)</f>
        <v>930</v>
      </c>
      <c r="AH34" s="203">
        <f t="shared" si="63"/>
        <v>93</v>
      </c>
      <c r="AI34" s="203">
        <f>SUM(AH34*$Z$4)</f>
        <v>930</v>
      </c>
      <c r="AJ34" s="203">
        <f t="shared" si="64"/>
        <v>93</v>
      </c>
      <c r="AK34" s="203">
        <f>SUM(AJ34*$Z$4)</f>
        <v>930</v>
      </c>
      <c r="AL34" s="203">
        <f t="shared" si="65"/>
        <v>93</v>
      </c>
      <c r="AM34" s="203">
        <f>SUM(AL34*$Z$4)</f>
        <v>930</v>
      </c>
      <c r="AN34" s="35">
        <f t="shared" si="66"/>
        <v>0.33214285714285713</v>
      </c>
      <c r="AO34" s="36">
        <f t="shared" si="67"/>
        <v>6510</v>
      </c>
      <c r="AQ34" s="223">
        <f>SUM(AR34/92970)</f>
        <v>0.28641046192493586</v>
      </c>
      <c r="AR34" s="38">
        <f t="shared" si="46"/>
        <v>26627.580645161288</v>
      </c>
      <c r="AS34" s="197">
        <f t="shared" si="47"/>
        <v>0</v>
      </c>
      <c r="AT34" s="351"/>
      <c r="AU34" s="614"/>
      <c r="AV34" s="508">
        <f>IF(AT34&gt;0,AU34,AV33)</f>
        <v>1.1719999999999999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85</v>
      </c>
      <c r="C35" s="203">
        <f>B35*$B$4</f>
        <v>1828.8709677419354</v>
      </c>
      <c r="D35">
        <f t="shared" si="48"/>
        <v>85</v>
      </c>
      <c r="E35" s="203">
        <f>D35*$B$4</f>
        <v>1828.8709677419354</v>
      </c>
      <c r="F35">
        <f t="shared" si="49"/>
        <v>85</v>
      </c>
      <c r="G35" s="203">
        <f>F35*$B$4</f>
        <v>1828.8709677419354</v>
      </c>
      <c r="H35" s="203">
        <f t="shared" si="50"/>
        <v>85</v>
      </c>
      <c r="I35" s="203">
        <f>H35*$B$4</f>
        <v>1828.8709677419354</v>
      </c>
      <c r="J35" s="203">
        <f t="shared" si="51"/>
        <v>85</v>
      </c>
      <c r="K35" s="203">
        <f>J35*$B$4</f>
        <v>1828.8709677419354</v>
      </c>
      <c r="L35" s="203">
        <f t="shared" si="52"/>
        <v>85</v>
      </c>
      <c r="M35" s="203">
        <f>L35*$B$4</f>
        <v>1828.8709677419354</v>
      </c>
      <c r="N35" s="203">
        <f t="shared" si="53"/>
        <v>85</v>
      </c>
      <c r="O35" s="203">
        <f>N35*$B$4</f>
        <v>1828.8709677419354</v>
      </c>
      <c r="P35" s="203">
        <f t="shared" si="54"/>
        <v>85</v>
      </c>
      <c r="Q35" s="203">
        <f>P35*$B$4</f>
        <v>1828.8709677419354</v>
      </c>
      <c r="R35" s="203">
        <f t="shared" si="55"/>
        <v>85</v>
      </c>
      <c r="S35" s="203">
        <f>R35*$B$4</f>
        <v>1828.8709677419354</v>
      </c>
      <c r="T35" s="203">
        <f t="shared" si="56"/>
        <v>85</v>
      </c>
      <c r="U35" s="203">
        <f>T35*$B$4</f>
        <v>1828.8709677419354</v>
      </c>
      <c r="V35" s="203">
        <f t="shared" si="57"/>
        <v>85</v>
      </c>
      <c r="W35" s="203">
        <f>V35*$B$4</f>
        <v>1828.8709677419354</v>
      </c>
      <c r="X35" s="35">
        <f t="shared" si="58"/>
        <v>0.27419354838709675</v>
      </c>
      <c r="Y35" s="36">
        <f t="shared" si="59"/>
        <v>20117.580645161288</v>
      </c>
      <c r="Z35" s="203">
        <f>'B5'!C34</f>
        <v>93</v>
      </c>
      <c r="AA35" s="203">
        <f>SUM(Z35*$Z$4)</f>
        <v>930</v>
      </c>
      <c r="AB35" s="203">
        <f t="shared" si="60"/>
        <v>93</v>
      </c>
      <c r="AC35" s="203">
        <f>SUM(AB35*$Z$4)</f>
        <v>930</v>
      </c>
      <c r="AD35" s="203">
        <f t="shared" si="61"/>
        <v>93</v>
      </c>
      <c r="AE35" s="203">
        <f>SUM(AD35*$Z$4)</f>
        <v>930</v>
      </c>
      <c r="AF35" s="203">
        <f t="shared" si="62"/>
        <v>93</v>
      </c>
      <c r="AG35" s="203">
        <f>SUM(AF35*$Z$4)</f>
        <v>930</v>
      </c>
      <c r="AH35" s="203">
        <f t="shared" si="63"/>
        <v>93</v>
      </c>
      <c r="AI35" s="203">
        <f>SUM(AH35*$Z$4)</f>
        <v>930</v>
      </c>
      <c r="AJ35" s="203">
        <f t="shared" si="64"/>
        <v>93</v>
      </c>
      <c r="AK35" s="203">
        <f>SUM(AJ35*$Z$4)</f>
        <v>930</v>
      </c>
      <c r="AL35" s="203">
        <f t="shared" si="65"/>
        <v>93</v>
      </c>
      <c r="AM35" s="203">
        <f>SUM(AL35*$Z$4)</f>
        <v>930</v>
      </c>
      <c r="AN35" s="35">
        <f t="shared" si="66"/>
        <v>0.33214285714285713</v>
      </c>
      <c r="AO35" s="36">
        <f t="shared" si="67"/>
        <v>6510</v>
      </c>
      <c r="AQ35" s="223">
        <f>SUM(AR35/92970)</f>
        <v>0.28641046192493586</v>
      </c>
      <c r="AR35" s="38">
        <f t="shared" si="46"/>
        <v>26627.580645161288</v>
      </c>
      <c r="AS35" s="197">
        <f t="shared" si="47"/>
        <v>0</v>
      </c>
      <c r="AT35" s="351"/>
      <c r="AU35" s="614"/>
      <c r="AV35" s="574">
        <f>IF(AT35&gt;0,AU35,AV34)</f>
        <v>1.1719999999999999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85</v>
      </c>
      <c r="C36" s="203">
        <f>B36*$B$4</f>
        <v>1828.8709677419354</v>
      </c>
      <c r="D36">
        <f t="shared" ref="D36" si="68">SUM(B36)</f>
        <v>85</v>
      </c>
      <c r="E36" s="203">
        <f>D36*$B$4</f>
        <v>1828.8709677419354</v>
      </c>
      <c r="F36">
        <f t="shared" ref="F36" si="69">SUM(D36)</f>
        <v>85</v>
      </c>
      <c r="G36" s="203">
        <f>F36*$B$4</f>
        <v>1828.8709677419354</v>
      </c>
      <c r="H36" s="203">
        <f t="shared" ref="H36" si="70">SUM(F36)</f>
        <v>85</v>
      </c>
      <c r="I36" s="203">
        <f>H36*$B$4</f>
        <v>1828.8709677419354</v>
      </c>
      <c r="J36" s="203">
        <f t="shared" ref="J36" si="71">SUM(H36)</f>
        <v>85</v>
      </c>
      <c r="K36" s="203">
        <f>J36*$B$4</f>
        <v>1828.8709677419354</v>
      </c>
      <c r="L36" s="203">
        <f t="shared" ref="L36" si="72">SUM(J36)</f>
        <v>85</v>
      </c>
      <c r="M36" s="203">
        <f>L36*$B$4</f>
        <v>1828.8709677419354</v>
      </c>
      <c r="N36" s="203">
        <f t="shared" ref="N36" si="73">SUM(L36)</f>
        <v>85</v>
      </c>
      <c r="O36" s="203">
        <f>N36*$B$4</f>
        <v>1828.8709677419354</v>
      </c>
      <c r="P36" s="203">
        <f t="shared" ref="P36" si="74">SUM(N36)</f>
        <v>85</v>
      </c>
      <c r="Q36" s="203">
        <f>P36*$B$4</f>
        <v>1828.8709677419354</v>
      </c>
      <c r="R36" s="203">
        <f t="shared" ref="R36" si="75">SUM(P36)</f>
        <v>85</v>
      </c>
      <c r="S36" s="203">
        <f>R36*$B$4</f>
        <v>1828.8709677419354</v>
      </c>
      <c r="T36" s="203">
        <f t="shared" ref="T36" si="76">SUM(R36)</f>
        <v>85</v>
      </c>
      <c r="U36" s="203">
        <f>T36*$B$4</f>
        <v>1828.8709677419354</v>
      </c>
      <c r="V36" s="203">
        <f t="shared" ref="V36" si="77">SUM(T36)</f>
        <v>85</v>
      </c>
      <c r="W36" s="203">
        <f>V36*$B$4</f>
        <v>1828.8709677419354</v>
      </c>
      <c r="X36" s="35">
        <f t="shared" ref="X36" si="78">SUM(Y36/73370)</f>
        <v>0.27419354838709675</v>
      </c>
      <c r="Y36" s="36">
        <f t="shared" ref="Y36" si="79">SUM(C36+E36+G36+I36+K36+M36+O36+Q36+S36+U36+W36)</f>
        <v>20117.580645161288</v>
      </c>
      <c r="Z36" s="203">
        <f>'B5'!C35</f>
        <v>93</v>
      </c>
      <c r="AA36" s="203">
        <f>SUM(Z36*$Z$4)</f>
        <v>930</v>
      </c>
      <c r="AB36" s="203">
        <f t="shared" ref="AB36" si="80">SUM(Z36)</f>
        <v>93</v>
      </c>
      <c r="AC36" s="203">
        <f>SUM(AB36*$Z$4)</f>
        <v>930</v>
      </c>
      <c r="AD36" s="203">
        <f t="shared" ref="AD36" si="81">SUM(AB36)</f>
        <v>93</v>
      </c>
      <c r="AE36" s="203">
        <f>SUM(AD36*$Z$4)</f>
        <v>930</v>
      </c>
      <c r="AF36" s="203">
        <f t="shared" ref="AF36" si="82">SUM(AD36)</f>
        <v>93</v>
      </c>
      <c r="AG36" s="203">
        <f>SUM(AF36*$Z$4)</f>
        <v>930</v>
      </c>
      <c r="AH36" s="203">
        <f t="shared" ref="AH36" si="83">SUM(AF36)</f>
        <v>93</v>
      </c>
      <c r="AI36" s="203">
        <f>SUM(AH36*$Z$4)</f>
        <v>930</v>
      </c>
      <c r="AJ36" s="203">
        <f t="shared" ref="AJ36" si="84">SUM(AH36)</f>
        <v>93</v>
      </c>
      <c r="AK36" s="203">
        <f>SUM(AJ36*$Z$4)</f>
        <v>930</v>
      </c>
      <c r="AL36" s="203">
        <f t="shared" ref="AL36" si="85">SUM(AJ36)</f>
        <v>93</v>
      </c>
      <c r="AM36" s="203">
        <f>SUM(AL36*$Z$4)</f>
        <v>930</v>
      </c>
      <c r="AN36" s="35">
        <f t="shared" ref="AN36" si="86">SUM(AO36/19600)</f>
        <v>0.33214285714285713</v>
      </c>
      <c r="AO36" s="36">
        <f t="shared" ref="AO36" si="87">SUM(AA36+AC36+AE36+AG36+AI36+AK36+AM36)</f>
        <v>6510</v>
      </c>
      <c r="AQ36" s="223">
        <f>SUM(AR36/92970)</f>
        <v>0.28641046192493586</v>
      </c>
      <c r="AR36" s="38">
        <f t="shared" si="46"/>
        <v>26627.580645161288</v>
      </c>
      <c r="AS36" s="197">
        <f t="shared" si="47"/>
        <v>0</v>
      </c>
      <c r="AT36" s="351"/>
      <c r="AU36" s="614"/>
      <c r="AV36" s="574">
        <f>IF(AT36&gt;0,AU36,AV35)</f>
        <v>1.1719999999999999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38"/>
      <c r="BE36" s="639"/>
      <c r="BF36" s="639"/>
      <c r="BG36" s="639"/>
      <c r="BH36" s="640"/>
    </row>
    <row r="37" spans="1:60">
      <c r="AQ37" s="20"/>
      <c r="AR37" s="472" t="s">
        <v>225</v>
      </c>
      <c r="AS37" s="477">
        <f>COUNT(AT6:AT36)</f>
        <v>8</v>
      </c>
      <c r="AT37" s="203">
        <f>SUM(AT6:AT35)</f>
        <v>66650</v>
      </c>
      <c r="AU37" s="607">
        <f>SUM(AU6:AU36)/AS37</f>
        <v>1.6483750000000001</v>
      </c>
      <c r="AX37" s="203">
        <f>SUM(AX6:AX36)</f>
        <v>-72307.558064516183</v>
      </c>
      <c r="AY37" s="203">
        <f>SUM(AY6:AY36)</f>
        <v>-73940.258064516136</v>
      </c>
    </row>
    <row r="38" spans="1:60">
      <c r="AS38" s="206"/>
      <c r="AT38" s="82">
        <f>+AT37*AU37</f>
        <v>109864.19375000001</v>
      </c>
    </row>
    <row r="40" spans="1:60">
      <c r="AS40" s="165">
        <f>SUM(AS6:AS36)/'EDl log'!A35</f>
        <v>-5687.712158808934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-1.6695734850612156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E1" zoomScale="70" zoomScaleNormal="70" workbookViewId="0">
      <selection activeCell="J24" sqref="J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69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5">
        <f>F3</f>
        <v>157717</v>
      </c>
      <c r="G4" s="160">
        <f t="shared" ref="G4:G30" si="1">F4-F3</f>
        <v>0</v>
      </c>
      <c r="H4" s="575">
        <f>H3</f>
        <v>524114</v>
      </c>
      <c r="I4" s="161">
        <f t="shared" ref="I4:I30" si="2">H4-H3</f>
        <v>0</v>
      </c>
      <c r="J4" s="575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9"/>
      <c r="AC4" s="710"/>
    </row>
    <row r="5" spans="1:32" ht="20.100000000000001" customHeight="1">
      <c r="A5" s="163">
        <f>ELEC!C5</f>
        <v>44379</v>
      </c>
      <c r="B5" s="620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0">
        <f t="shared" ref="F5:F34" si="9">F4</f>
        <v>157717</v>
      </c>
      <c r="G5" s="160">
        <f t="shared" si="1"/>
        <v>0</v>
      </c>
      <c r="H5" s="620">
        <f t="shared" ref="H5:H34" si="10">H4</f>
        <v>524114</v>
      </c>
      <c r="I5" s="161">
        <f t="shared" si="2"/>
        <v>0</v>
      </c>
      <c r="J5" s="620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15.579802419345167</v>
      </c>
      <c r="R5" s="294">
        <f t="shared" ref="R5:R30" si="14">SUM(P5:Q5)</f>
        <v>170.38284098993307</v>
      </c>
      <c r="S5" s="296">
        <f>SUM(ELEC!N5)</f>
        <v>0</v>
      </c>
      <c r="T5" s="332">
        <f>IF(S5&gt;0,R5/S5,0)</f>
        <v>0</v>
      </c>
      <c r="U5" s="248"/>
      <c r="V5" s="703"/>
      <c r="W5" s="704"/>
      <c r="X5" s="704"/>
      <c r="Y5" s="705"/>
      <c r="Z5" s="26" t="s">
        <v>203</v>
      </c>
      <c r="AA5" s="262">
        <f>'[6]EDl log'!AA22</f>
        <v>5000</v>
      </c>
      <c r="AB5" s="711"/>
      <c r="AC5" s="712"/>
    </row>
    <row r="6" spans="1:32" ht="20.100000000000001" customHeight="1">
      <c r="A6" s="163">
        <f>ELEC!C6</f>
        <v>44380</v>
      </c>
      <c r="B6" s="620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0">
        <f t="shared" si="9"/>
        <v>157717</v>
      </c>
      <c r="G6" s="160">
        <f t="shared" si="1"/>
        <v>0</v>
      </c>
      <c r="H6" s="620">
        <f t="shared" si="10"/>
        <v>524114</v>
      </c>
      <c r="I6" s="161">
        <f t="shared" si="2"/>
        <v>0</v>
      </c>
      <c r="J6" s="620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706"/>
      <c r="W6" s="707"/>
      <c r="X6" s="707"/>
      <c r="Y6" s="708"/>
      <c r="Z6" s="3"/>
      <c r="AA6" s="3"/>
      <c r="AB6" s="711"/>
      <c r="AC6" s="712"/>
    </row>
    <row r="7" spans="1:32" ht="20.100000000000001" customHeight="1">
      <c r="A7" s="163">
        <f>ELEC!C7</f>
        <v>44381</v>
      </c>
      <c r="B7" s="620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0">
        <f t="shared" si="9"/>
        <v>157717</v>
      </c>
      <c r="G7" s="160">
        <f t="shared" si="1"/>
        <v>0</v>
      </c>
      <c r="H7" s="620">
        <f t="shared" si="10"/>
        <v>524114</v>
      </c>
      <c r="I7" s="161">
        <f t="shared" si="2"/>
        <v>0</v>
      </c>
      <c r="J7" s="620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1823.9535241935719</v>
      </c>
      <c r="R7" s="294">
        <f t="shared" si="14"/>
        <v>1978.7565627641598</v>
      </c>
      <c r="S7" s="296">
        <f>SUM(ELEC!N7)</f>
        <v>11907</v>
      </c>
      <c r="T7" s="332">
        <f t="shared" si="16"/>
        <v>0.16618430862216846</v>
      </c>
      <c r="V7" s="699" t="s">
        <v>204</v>
      </c>
      <c r="W7" s="700"/>
      <c r="X7" s="701" t="s">
        <v>205</v>
      </c>
      <c r="Y7" s="702"/>
      <c r="Z7" s="700"/>
      <c r="AA7" s="26"/>
      <c r="AB7" s="713"/>
      <c r="AC7" s="714"/>
    </row>
    <row r="8" spans="1:32" ht="20.100000000000001" customHeight="1">
      <c r="A8" s="163">
        <f>ELEC!C8</f>
        <v>44382</v>
      </c>
      <c r="B8" s="620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0">
        <f t="shared" si="9"/>
        <v>157717</v>
      </c>
      <c r="G8" s="160">
        <f t="shared" si="1"/>
        <v>0</v>
      </c>
      <c r="H8" s="620">
        <f t="shared" si="10"/>
        <v>524114</v>
      </c>
      <c r="I8" s="161">
        <f t="shared" si="2"/>
        <v>0</v>
      </c>
      <c r="J8" s="620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3337.5339879032026</v>
      </c>
      <c r="R8" s="294">
        <f t="shared" si="14"/>
        <v>3492.3370264737905</v>
      </c>
      <c r="S8" s="296">
        <f>SUM(ELEC!N8)</f>
        <v>4047</v>
      </c>
      <c r="T8" s="332">
        <f>IF(S8&gt;0,R8/S8,0)</f>
        <v>0.8629446568998741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0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0">
        <v>157717</v>
      </c>
      <c r="G9" s="160">
        <f t="shared" si="1"/>
        <v>0</v>
      </c>
      <c r="H9" s="620">
        <v>524540</v>
      </c>
      <c r="I9" s="161">
        <f t="shared" si="2"/>
        <v>426</v>
      </c>
      <c r="J9" s="620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6136.1025241935604</v>
      </c>
      <c r="R9" s="294">
        <f>SUM(P9:Q9)</f>
        <v>6332.8505047210301</v>
      </c>
      <c r="S9" s="296">
        <f>SUM(ELEC!N9)</f>
        <v>15086</v>
      </c>
      <c r="T9" s="332">
        <f t="shared" si="16"/>
        <v>0.41978327619786759</v>
      </c>
      <c r="V9" s="252">
        <f>'[1]EDl log'!V26</f>
        <v>386167</v>
      </c>
      <c r="W9" s="252">
        <f>'[1]EDl log'!W26</f>
        <v>392065</v>
      </c>
      <c r="X9" s="252" t="s">
        <v>199</v>
      </c>
      <c r="Y9" s="595">
        <f>'[1]EDl log'!Y26</f>
        <v>80</v>
      </c>
      <c r="Z9" s="595">
        <f>'[1]EDl log'!Z26</f>
        <v>1</v>
      </c>
      <c r="AA9" s="595">
        <f>'[1]EDl log'!AA26</f>
        <v>5898</v>
      </c>
      <c r="AB9" s="595">
        <f>'[1]EDl log'!AB26</f>
        <v>471840</v>
      </c>
      <c r="AC9" s="595">
        <f>'[1]EDl log'!AC26</f>
        <v>1033333</v>
      </c>
      <c r="AD9" s="576">
        <f>'[1]EDl log'!AD26</f>
        <v>0.36628990187554339</v>
      </c>
    </row>
    <row r="10" spans="1:32" ht="20.100000000000001" customHeight="1">
      <c r="A10" s="163">
        <f>ELEC!C10</f>
        <v>44384</v>
      </c>
      <c r="B10" s="651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57">
        <v>157717</v>
      </c>
      <c r="G10" s="160">
        <f t="shared" si="1"/>
        <v>0</v>
      </c>
      <c r="H10" s="651">
        <v>524705</v>
      </c>
      <c r="I10" s="161">
        <f t="shared" si="2"/>
        <v>165</v>
      </c>
      <c r="J10" s="651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8404.2665241935483</v>
      </c>
      <c r="R10" s="294">
        <f t="shared" si="14"/>
        <v>8572.601901072594</v>
      </c>
      <c r="S10" s="296">
        <f>SUM(ELEC!N10)</f>
        <v>15446</v>
      </c>
      <c r="T10" s="332">
        <f t="shared" si="16"/>
        <v>0.55500465499628349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595">
        <f>'[1]EDl log'!Y27</f>
        <v>112</v>
      </c>
      <c r="Z10" s="595">
        <f>'[1]EDl log'!Z27</f>
        <v>1</v>
      </c>
      <c r="AA10" s="595">
        <f>'[1]EDl log'!AA27</f>
        <v>8572</v>
      </c>
      <c r="AB10" s="595">
        <f>'[1]EDl log'!AB27</f>
        <v>960064</v>
      </c>
      <c r="AC10" s="595">
        <f>'[1]EDl log'!AC27</f>
        <v>6200000</v>
      </c>
      <c r="AD10" s="576">
        <f>'[1]EDl log'!AD27</f>
        <v>0.5323562290398709</v>
      </c>
    </row>
    <row r="11" spans="1:32" ht="20.100000000000001" customHeight="1">
      <c r="A11" s="163">
        <f>ELEC!C11</f>
        <v>44385</v>
      </c>
      <c r="B11" s="620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0">
        <f t="shared" si="9"/>
        <v>157717</v>
      </c>
      <c r="G11" s="160">
        <f t="shared" si="1"/>
        <v>0</v>
      </c>
      <c r="H11" s="620">
        <f t="shared" si="10"/>
        <v>524705</v>
      </c>
      <c r="I11" s="161">
        <f t="shared" si="2"/>
        <v>0</v>
      </c>
      <c r="J11" s="620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7401.4696169354884</v>
      </c>
      <c r="R11" s="294">
        <f t="shared" si="14"/>
        <v>7556.2726555060763</v>
      </c>
      <c r="S11" s="296">
        <f>SUM(ELEC!N11)</f>
        <v>14886</v>
      </c>
      <c r="T11" s="332">
        <f t="shared" si="16"/>
        <v>0.50760934136141855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595">
        <f>'[1]EDl log'!Y28</f>
        <v>320</v>
      </c>
      <c r="Z11" s="595">
        <f>'[1]EDl log'!Z28</f>
        <v>1</v>
      </c>
      <c r="AA11" s="595">
        <f>'[1]EDl log'!AA28</f>
        <v>1630</v>
      </c>
      <c r="AB11" s="595">
        <f>'[1]EDl log'!AB28</f>
        <v>521600</v>
      </c>
      <c r="AC11" s="595">
        <f>'[1]EDl log'!AC28</f>
        <v>1000</v>
      </c>
      <c r="AD11" s="576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0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0">
        <f t="shared" si="9"/>
        <v>157717</v>
      </c>
      <c r="G12" s="160">
        <f t="shared" si="1"/>
        <v>0</v>
      </c>
      <c r="H12" s="620">
        <f t="shared" si="10"/>
        <v>524705</v>
      </c>
      <c r="I12" s="161">
        <f t="shared" si="2"/>
        <v>0</v>
      </c>
      <c r="J12" s="620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5055.9383387096914</v>
      </c>
      <c r="R12" s="294">
        <f t="shared" si="14"/>
        <v>5210.7413772802793</v>
      </c>
      <c r="S12" s="296">
        <f>SUM(ELEC!N12)</f>
        <v>16946</v>
      </c>
      <c r="T12" s="332">
        <f t="shared" si="16"/>
        <v>0.30749093457336713</v>
      </c>
      <c r="V12" s="553"/>
      <c r="W12" s="262"/>
      <c r="X12" s="3"/>
      <c r="Y12" s="595">
        <f>'[1]EDl log'!Y29</f>
        <v>0</v>
      </c>
      <c r="Z12" s="595">
        <f>'[1]EDl log'!Z29</f>
        <v>0</v>
      </c>
      <c r="AA12" s="595">
        <f>'[1]EDl log'!AA29</f>
        <v>16100</v>
      </c>
      <c r="AB12" s="595">
        <f>'[1]EDl log'!AB29</f>
        <v>0</v>
      </c>
      <c r="AC12" s="595">
        <f>'[1]EDl log'!AC29</f>
        <v>7234333</v>
      </c>
      <c r="AD12" s="595">
        <f>'[1]EDl log'!AD29</f>
        <v>0</v>
      </c>
    </row>
    <row r="13" spans="1:32" ht="20.100000000000001" customHeight="1">
      <c r="A13" s="163">
        <f>ELEC!C13</f>
        <v>44387</v>
      </c>
      <c r="B13" s="620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20">
        <v>157874</v>
      </c>
      <c r="G13" s="160">
        <f t="shared" si="1"/>
        <v>157</v>
      </c>
      <c r="H13" s="620">
        <v>525123</v>
      </c>
      <c r="I13" s="161">
        <f t="shared" si="2"/>
        <v>418</v>
      </c>
      <c r="J13" s="620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8983.962790322561</v>
      </c>
      <c r="R13" s="294">
        <f t="shared" si="14"/>
        <v>9209.8344856095664</v>
      </c>
      <c r="S13" s="296">
        <f>SUM(ELEC!N13)</f>
        <v>16710</v>
      </c>
      <c r="T13" s="332">
        <f>IF(S13&gt;0,R13/S13,0)</f>
        <v>0.55115706077854976</v>
      </c>
      <c r="V13" s="553" t="str">
        <f>'[6]EDl log'!V30</f>
        <v>Occ %</v>
      </c>
      <c r="W13" s="576">
        <f>'[1]EDl log'!W30</f>
        <v>0</v>
      </c>
      <c r="X13" s="496"/>
      <c r="Y13" s="262" t="str">
        <f>'[8]EDl log'!Y30</f>
        <v>Per G</v>
      </c>
      <c r="Z13" s="3"/>
      <c r="AA13" s="3"/>
      <c r="AB13" s="595">
        <f>'[1]EDl log'!AB30</f>
        <v>1953504</v>
      </c>
      <c r="AC13" s="595">
        <f>'[1]EDl log'!AC30</f>
        <v>0</v>
      </c>
    </row>
    <row r="14" spans="1:32" ht="20.100000000000001" customHeight="1">
      <c r="A14" s="163">
        <f>ELEC!C14</f>
        <v>44388</v>
      </c>
      <c r="B14" s="658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57">
        <v>157876</v>
      </c>
      <c r="G14" s="160">
        <f t="shared" si="1"/>
        <v>2</v>
      </c>
      <c r="H14" s="658">
        <v>525228</v>
      </c>
      <c r="I14" s="161">
        <f t="shared" si="2"/>
        <v>105</v>
      </c>
      <c r="J14" s="658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6511.4534637096667</v>
      </c>
      <c r="R14" s="294">
        <f>SUM(P14:Q14)</f>
        <v>6687.1122236732899</v>
      </c>
      <c r="S14" s="296">
        <f>SUM(ELEC!N14)</f>
        <v>15916</v>
      </c>
      <c r="T14" s="332">
        <f>IF(S14&gt;0,R14/S14,0)</f>
        <v>0.42015030307070178</v>
      </c>
      <c r="V14" s="553" t="str">
        <f>'[6]EDl log'!V31</f>
        <v>Gen RH</v>
      </c>
      <c r="W14" s="577">
        <f>'[1]EDl log'!$W$33</f>
        <v>573</v>
      </c>
      <c r="X14" s="608">
        <f>'[1]EDl log'!$X$33</f>
        <v>20.464285714285715</v>
      </c>
      <c r="Y14" s="596">
        <f>'[1]EDl log'!$Y$33</f>
        <v>20.464285714285715</v>
      </c>
      <c r="Z14" s="262"/>
      <c r="AA14" s="3"/>
      <c r="AB14" s="595">
        <f>'[1]EDl log'!AB31</f>
        <v>0</v>
      </c>
      <c r="AC14" s="595">
        <f>'[1]EDl log'!AC31</f>
        <v>0</v>
      </c>
    </row>
    <row r="15" spans="1:32" ht="20.100000000000001" customHeight="1">
      <c r="A15" s="163">
        <f>ELEC!C15</f>
        <v>44389</v>
      </c>
      <c r="B15" s="620">
        <v>1076495</v>
      </c>
      <c r="C15" s="262">
        <f t="shared" si="0"/>
        <v>743</v>
      </c>
      <c r="D15" s="305">
        <f t="shared" si="8"/>
        <v>745</v>
      </c>
      <c r="E15" s="305">
        <f t="shared" si="15"/>
        <v>1076497</v>
      </c>
      <c r="F15" s="620">
        <v>158015</v>
      </c>
      <c r="G15" s="160">
        <f t="shared" si="1"/>
        <v>139</v>
      </c>
      <c r="H15" s="620">
        <v>525508</v>
      </c>
      <c r="I15" s="161">
        <f t="shared" si="2"/>
        <v>280</v>
      </c>
      <c r="J15" s="620">
        <v>392973</v>
      </c>
      <c r="K15" s="162">
        <f>J15-J14</f>
        <v>326</v>
      </c>
      <c r="L15" s="293">
        <f>SUM(G15*$Y$28)/1507.5</f>
        <v>29.505804311774462</v>
      </c>
      <c r="M15" s="293">
        <f>SUM(I15*$Y$27)/1507.5</f>
        <v>20.802653399668326</v>
      </c>
      <c r="N15" s="293">
        <f>SUM(K15*$Y$26)/1507.5</f>
        <v>17.30016583747927</v>
      </c>
      <c r="O15" s="293">
        <f t="shared" si="12"/>
        <v>154.80303857058792</v>
      </c>
      <c r="P15" s="294">
        <f>SUM(L15:O15)</f>
        <v>222.41166211950997</v>
      </c>
      <c r="Q15" s="294">
        <f>SUM(-tanks!AX17*tanks!$AU$37)</f>
        <v>6390.4308346774296</v>
      </c>
      <c r="R15" s="294">
        <f>SUM(P15:Q15)</f>
        <v>6612.8424967969395</v>
      </c>
      <c r="S15" s="296">
        <f>SUM(ELEC!N15)</f>
        <v>13408</v>
      </c>
      <c r="T15" s="332">
        <f>IF(S15&gt;0,R15/S15,0)</f>
        <v>0.49320126020263572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5">
        <f>'[1]EDl log'!AB32</f>
        <v>0</v>
      </c>
      <c r="AC15" s="595">
        <f>'[1]EDl log'!AC32</f>
        <v>0</v>
      </c>
    </row>
    <row r="16" spans="1:32" ht="20.100000000000001" customHeight="1">
      <c r="A16" s="163">
        <f>ELEC!C16</f>
        <v>44390</v>
      </c>
      <c r="B16" s="620">
        <v>1076890</v>
      </c>
      <c r="C16" s="262">
        <f t="shared" si="0"/>
        <v>395</v>
      </c>
      <c r="D16" s="305">
        <f t="shared" si="8"/>
        <v>393</v>
      </c>
      <c r="E16" s="305">
        <f t="shared" si="15"/>
        <v>1076888</v>
      </c>
      <c r="F16" s="620">
        <v>158015</v>
      </c>
      <c r="G16" s="160">
        <f t="shared" si="1"/>
        <v>0</v>
      </c>
      <c r="H16" s="620">
        <v>525836</v>
      </c>
      <c r="I16" s="161">
        <f t="shared" si="2"/>
        <v>328</v>
      </c>
      <c r="J16" s="620">
        <v>393038</v>
      </c>
      <c r="K16" s="162">
        <f>J16-J15</f>
        <v>65</v>
      </c>
      <c r="L16" s="293">
        <f>SUM(G16*$Y$28)/1507.5</f>
        <v>0</v>
      </c>
      <c r="M16" s="293">
        <f>SUM(I16*$Y$27)/1507.5</f>
        <v>24.368822553897182</v>
      </c>
      <c r="N16" s="293">
        <f>SUM(K16*$Y$26)/1507.5</f>
        <v>3.4494195688225537</v>
      </c>
      <c r="O16" s="293">
        <f t="shared" si="12"/>
        <v>154.80303857058792</v>
      </c>
      <c r="P16" s="294">
        <f>SUM(L16:O16)</f>
        <v>182.62128069330765</v>
      </c>
      <c r="Q16" s="294">
        <f>SUM(-tanks!AX18*tanks!$AU$37)</f>
        <v>6948.2887907258992</v>
      </c>
      <c r="R16" s="294">
        <f>SUM(P16:Q16)</f>
        <v>7130.9100714192064</v>
      </c>
      <c r="S16" s="296">
        <f>SUM(ELEC!N16)</f>
        <v>17093</v>
      </c>
      <c r="T16" s="332">
        <f>IF(S16&gt;0,R16/S16,0)</f>
        <v>0.41718306157018697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5">
        <f>'[1]EDl log'!AB33</f>
        <v>9187837</v>
      </c>
      <c r="AC16" s="595">
        <f>'[1]EDl log'!AC33</f>
        <v>7234333</v>
      </c>
    </row>
    <row r="17" spans="1:32" ht="20.100000000000001" customHeight="1">
      <c r="A17" s="163">
        <f>ELEC!C17</f>
        <v>44391</v>
      </c>
      <c r="B17" s="620">
        <f t="shared" si="7"/>
        <v>1076890</v>
      </c>
      <c r="C17" s="262">
        <f t="shared" si="0"/>
        <v>0</v>
      </c>
      <c r="D17" s="305">
        <f t="shared" si="8"/>
        <v>0</v>
      </c>
      <c r="E17" s="305">
        <f t="shared" si="15"/>
        <v>1076890</v>
      </c>
      <c r="F17" s="620">
        <f t="shared" si="9"/>
        <v>158015</v>
      </c>
      <c r="G17" s="160">
        <f>F17-F16</f>
        <v>0</v>
      </c>
      <c r="H17" s="620">
        <f t="shared" si="10"/>
        <v>525836</v>
      </c>
      <c r="I17" s="161">
        <f t="shared" si="2"/>
        <v>0</v>
      </c>
      <c r="J17" s="620">
        <f t="shared" si="11"/>
        <v>393038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8067.4397036290366</v>
      </c>
      <c r="R17" s="294">
        <f>SUM(P17:Q17)</f>
        <v>8222.2427421996254</v>
      </c>
      <c r="S17" s="296">
        <f>SUM(ELEC!N17)</f>
        <v>14998</v>
      </c>
      <c r="T17" s="332">
        <f>IF(S17&gt;0,R17/S17,0)</f>
        <v>0.54822261249497439</v>
      </c>
      <c r="V17" s="251"/>
      <c r="W17" s="496"/>
      <c r="X17" s="17"/>
      <c r="Y17" s="426"/>
      <c r="Z17" s="496" t="s">
        <v>415</v>
      </c>
      <c r="AA17" s="568">
        <f>'[9]EDl log'!AA34</f>
        <v>0.11</v>
      </c>
      <c r="AB17" s="595">
        <f>'[1]EDl log'!AB34</f>
        <v>0</v>
      </c>
      <c r="AC17" s="595">
        <f>'[1]EDl log'!AC34</f>
        <v>0</v>
      </c>
    </row>
    <row r="18" spans="1:32" ht="20.100000000000001" customHeight="1" thickBot="1">
      <c r="A18" s="163">
        <f>ELEC!C18</f>
        <v>44392</v>
      </c>
      <c r="B18" s="620">
        <v>1077641</v>
      </c>
      <c r="C18" s="262">
        <f>SUM(B18-B17)</f>
        <v>751</v>
      </c>
      <c r="D18" s="305">
        <f>SUM(G18+I18+K18)</f>
        <v>750</v>
      </c>
      <c r="E18" s="305">
        <f t="shared" si="15"/>
        <v>1077640</v>
      </c>
      <c r="F18" s="620">
        <v>158170</v>
      </c>
      <c r="G18" s="160">
        <f t="shared" si="1"/>
        <v>155</v>
      </c>
      <c r="H18" s="620">
        <v>526076</v>
      </c>
      <c r="I18" s="161">
        <f t="shared" si="2"/>
        <v>240</v>
      </c>
      <c r="J18" s="620">
        <v>393393</v>
      </c>
      <c r="K18" s="162">
        <f t="shared" si="3"/>
        <v>355</v>
      </c>
      <c r="L18" s="293">
        <f t="shared" ref="L18:L30" si="17">SUM(G18*$Y$28)/1507.5</f>
        <v>32.902155887230514</v>
      </c>
      <c r="M18" s="293">
        <f t="shared" ref="M18:M30" si="18">SUM(I18*$Y$27)/1507.5</f>
        <v>17.830845771144279</v>
      </c>
      <c r="N18" s="293">
        <f t="shared" ref="N18:N30" si="19">SUM(K18*$Y$26)/1507.5</f>
        <v>18.839137645107794</v>
      </c>
      <c r="O18" s="293">
        <f t="shared" si="12"/>
        <v>154.80303857058792</v>
      </c>
      <c r="P18" s="294">
        <f t="shared" si="13"/>
        <v>224.37517787407052</v>
      </c>
      <c r="Q18" s="294">
        <f>SUM(-tanks!AX20*tanks!$AU$37)</f>
        <v>8716.3677197580491</v>
      </c>
      <c r="R18" s="294">
        <f t="shared" si="14"/>
        <v>8940.7428976321189</v>
      </c>
      <c r="S18" s="296">
        <f>SUM(ELEC!N18)</f>
        <v>16323</v>
      </c>
      <c r="T18" s="332">
        <f t="shared" si="16"/>
        <v>0.54773895102812709</v>
      </c>
      <c r="V18" s="226"/>
      <c r="W18" s="227"/>
      <c r="X18" s="227"/>
      <c r="Y18" s="426"/>
      <c r="Z18" s="496"/>
      <c r="AA18" s="568"/>
      <c r="AB18" s="595">
        <f>'[1]EDl log'!AB35</f>
        <v>0</v>
      </c>
      <c r="AC18" s="595">
        <f>'[1]EDl log'!AC35</f>
        <v>0</v>
      </c>
    </row>
    <row r="19" spans="1:32" ht="20.100000000000001" customHeight="1" thickBot="1">
      <c r="A19" s="163">
        <f>ELEC!C19</f>
        <v>44393</v>
      </c>
      <c r="B19" s="620">
        <v>1078151</v>
      </c>
      <c r="C19" s="262">
        <f t="shared" si="0"/>
        <v>510</v>
      </c>
      <c r="D19" s="305">
        <f t="shared" si="8"/>
        <v>501</v>
      </c>
      <c r="E19" s="305">
        <f t="shared" si="15"/>
        <v>1078142</v>
      </c>
      <c r="F19" s="620">
        <v>158171</v>
      </c>
      <c r="G19" s="160">
        <f t="shared" si="1"/>
        <v>1</v>
      </c>
      <c r="H19" s="620">
        <v>526286</v>
      </c>
      <c r="I19" s="161">
        <f t="shared" si="2"/>
        <v>210</v>
      </c>
      <c r="J19" s="620">
        <v>393683</v>
      </c>
      <c r="K19" s="162">
        <f t="shared" si="3"/>
        <v>290</v>
      </c>
      <c r="L19" s="293">
        <f t="shared" si="17"/>
        <v>0.21227197346600332</v>
      </c>
      <c r="M19" s="293">
        <f t="shared" si="18"/>
        <v>15.601990049751244</v>
      </c>
      <c r="N19" s="293">
        <f t="shared" si="19"/>
        <v>15.38971807628524</v>
      </c>
      <c r="O19" s="293">
        <f t="shared" si="12"/>
        <v>154.80303857058792</v>
      </c>
      <c r="P19" s="294">
        <f t="shared" si="13"/>
        <v>186.00701867009042</v>
      </c>
      <c r="Q19" s="294">
        <f>SUM(-tanks!AX21*tanks!$AU$37)</f>
        <v>4534.2542379032384</v>
      </c>
      <c r="R19" s="294">
        <f t="shared" si="14"/>
        <v>4720.2612565733289</v>
      </c>
      <c r="S19" s="296">
        <f>SUM(ELEC!N19)</f>
        <v>14493</v>
      </c>
      <c r="T19" s="332">
        <f t="shared" si="16"/>
        <v>0.32569248993123084</v>
      </c>
      <c r="V19" s="226"/>
      <c r="W19" s="227"/>
      <c r="X19" s="227"/>
      <c r="Y19" s="554"/>
      <c r="Z19" s="554"/>
      <c r="AA19" s="568"/>
      <c r="AB19" s="595">
        <f>'[1]EDl log'!AB36</f>
        <v>6094.7509121061357</v>
      </c>
      <c r="AC19" s="595">
        <f>'[1]EDl log'!AC36</f>
        <v>0</v>
      </c>
    </row>
    <row r="20" spans="1:32" ht="20.100000000000001" customHeight="1" thickBot="1">
      <c r="A20" s="163">
        <f>ELEC!C20</f>
        <v>44394</v>
      </c>
      <c r="B20" s="620">
        <v>1078392</v>
      </c>
      <c r="C20" s="262">
        <f t="shared" si="0"/>
        <v>241</v>
      </c>
      <c r="D20" s="305">
        <f t="shared" si="8"/>
        <v>251</v>
      </c>
      <c r="E20" s="305">
        <f t="shared" si="15"/>
        <v>1078402</v>
      </c>
      <c r="F20" s="620">
        <v>158171</v>
      </c>
      <c r="G20" s="160">
        <f t="shared" si="1"/>
        <v>0</v>
      </c>
      <c r="H20" s="620">
        <v>526423</v>
      </c>
      <c r="I20" s="161">
        <f t="shared" si="2"/>
        <v>137</v>
      </c>
      <c r="J20" s="620">
        <v>393797</v>
      </c>
      <c r="K20" s="162">
        <f t="shared" si="3"/>
        <v>114</v>
      </c>
      <c r="L20" s="293">
        <f t="shared" si="17"/>
        <v>0</v>
      </c>
      <c r="M20" s="293">
        <f t="shared" si="18"/>
        <v>10.178441127694859</v>
      </c>
      <c r="N20" s="293">
        <f t="shared" si="19"/>
        <v>6.0497512437810945</v>
      </c>
      <c r="O20" s="293">
        <f t="shared" si="12"/>
        <v>154.80303857058792</v>
      </c>
      <c r="P20" s="294">
        <f t="shared" si="13"/>
        <v>171.03123094206387</v>
      </c>
      <c r="Q20" s="294">
        <f>SUM(-tanks!AX22*tanks!$AU$37)</f>
        <v>7443.6095262096433</v>
      </c>
      <c r="R20" s="294">
        <f t="shared" si="14"/>
        <v>7614.6407571517075</v>
      </c>
      <c r="S20" s="296">
        <f>SUM(ELEC!N20)</f>
        <v>15076</v>
      </c>
      <c r="T20" s="332">
        <f t="shared" si="16"/>
        <v>0.50508362676782348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0">
        <v>1079243</v>
      </c>
      <c r="C21" s="262">
        <f t="shared" si="0"/>
        <v>851</v>
      </c>
      <c r="D21" s="305">
        <f t="shared" si="8"/>
        <v>850</v>
      </c>
      <c r="E21" s="305">
        <f t="shared" si="15"/>
        <v>1079242</v>
      </c>
      <c r="F21" s="620">
        <v>158385</v>
      </c>
      <c r="G21" s="160">
        <f t="shared" si="1"/>
        <v>214</v>
      </c>
      <c r="H21" s="620">
        <v>526537</v>
      </c>
      <c r="I21" s="161">
        <f t="shared" si="2"/>
        <v>114</v>
      </c>
      <c r="J21" s="620">
        <v>394319</v>
      </c>
      <c r="K21" s="162">
        <f t="shared" si="3"/>
        <v>522</v>
      </c>
      <c r="L21" s="293">
        <f t="shared" si="17"/>
        <v>45.426202321724709</v>
      </c>
      <c r="M21" s="293">
        <f t="shared" si="18"/>
        <v>8.4696517412935322</v>
      </c>
      <c r="N21" s="293">
        <f t="shared" si="19"/>
        <v>27.701492537313431</v>
      </c>
      <c r="O21" s="293">
        <f t="shared" si="12"/>
        <v>154.80303857058792</v>
      </c>
      <c r="P21" s="294">
        <f t="shared" si="13"/>
        <v>236.40038517091961</v>
      </c>
      <c r="Q21" s="294">
        <f>SUM(-tanks!AX23*tanks!$AU$37)</f>
        <v>6703.0903508064648</v>
      </c>
      <c r="R21" s="294">
        <f t="shared" si="14"/>
        <v>6939.4907359773842</v>
      </c>
      <c r="S21" s="296">
        <f>SUM(ELEC!N21)</f>
        <v>15663</v>
      </c>
      <c r="T21" s="332">
        <f t="shared" si="16"/>
        <v>0.44304990972210845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9"/>
      <c r="AC21" s="710"/>
    </row>
    <row r="22" spans="1:32" ht="20.100000000000001" customHeight="1">
      <c r="A22" s="163">
        <f>ELEC!C22</f>
        <v>44396</v>
      </c>
      <c r="B22" s="620">
        <v>1079424</v>
      </c>
      <c r="C22" s="262">
        <f t="shared" si="0"/>
        <v>181</v>
      </c>
      <c r="D22" s="305">
        <f t="shared" si="8"/>
        <v>182</v>
      </c>
      <c r="E22" s="305">
        <f t="shared" si="15"/>
        <v>1079425</v>
      </c>
      <c r="F22" s="620">
        <v>158385</v>
      </c>
      <c r="G22" s="160">
        <f t="shared" si="1"/>
        <v>0</v>
      </c>
      <c r="H22" s="620">
        <v>526649</v>
      </c>
      <c r="I22" s="161">
        <f t="shared" si="2"/>
        <v>112</v>
      </c>
      <c r="J22" s="620">
        <v>394389</v>
      </c>
      <c r="K22" s="162">
        <f t="shared" si="3"/>
        <v>70</v>
      </c>
      <c r="L22" s="293">
        <f t="shared" si="17"/>
        <v>0</v>
      </c>
      <c r="M22" s="293">
        <f t="shared" si="18"/>
        <v>8.3210613598673309</v>
      </c>
      <c r="N22" s="293">
        <f t="shared" si="19"/>
        <v>3.714759535655058</v>
      </c>
      <c r="O22" s="293">
        <f t="shared" si="12"/>
        <v>154.80303857058792</v>
      </c>
      <c r="P22" s="294">
        <f t="shared" si="13"/>
        <v>166.83885946611031</v>
      </c>
      <c r="Q22" s="294">
        <f>SUM(-tanks!AX24*tanks!$AU$37)</f>
        <v>7425.9027883064655</v>
      </c>
      <c r="R22" s="294">
        <f t="shared" si="14"/>
        <v>7592.7416477725756</v>
      </c>
      <c r="S22" s="296">
        <f>SUM(ELEC!N22)</f>
        <v>15055</v>
      </c>
      <c r="T22" s="332">
        <f t="shared" si="16"/>
        <v>0.50433355348871312</v>
      </c>
      <c r="V22" s="715"/>
      <c r="W22" s="716"/>
      <c r="X22" s="716"/>
      <c r="Y22" s="717"/>
      <c r="Z22" s="26" t="s">
        <v>203</v>
      </c>
      <c r="AA22" s="26">
        <v>5000</v>
      </c>
      <c r="AB22" s="711"/>
      <c r="AC22" s="712"/>
    </row>
    <row r="23" spans="1:32" ht="20.100000000000001" customHeight="1">
      <c r="A23" s="163">
        <f>ELEC!C23</f>
        <v>44397</v>
      </c>
      <c r="B23" s="666">
        <v>1079772</v>
      </c>
      <c r="C23" s="262">
        <f t="shared" si="0"/>
        <v>348</v>
      </c>
      <c r="D23" s="305">
        <f t="shared" si="8"/>
        <v>347</v>
      </c>
      <c r="E23" s="305">
        <f t="shared" si="15"/>
        <v>1079771</v>
      </c>
      <c r="F23" s="666">
        <v>158385</v>
      </c>
      <c r="G23" s="160">
        <f t="shared" si="1"/>
        <v>0</v>
      </c>
      <c r="H23" s="666">
        <v>526885</v>
      </c>
      <c r="I23" s="161">
        <f t="shared" si="2"/>
        <v>236</v>
      </c>
      <c r="J23" s="666">
        <v>394500</v>
      </c>
      <c r="K23" s="162">
        <f t="shared" si="3"/>
        <v>111</v>
      </c>
      <c r="L23" s="293">
        <f t="shared" si="17"/>
        <v>0</v>
      </c>
      <c r="M23" s="293">
        <f t="shared" si="18"/>
        <v>17.533665008291873</v>
      </c>
      <c r="N23" s="293">
        <f t="shared" si="19"/>
        <v>5.8905472636815919</v>
      </c>
      <c r="O23" s="293">
        <f t="shared" si="12"/>
        <v>154.80303857058792</v>
      </c>
      <c r="P23" s="294">
        <f t="shared" si="13"/>
        <v>178.22725084256138</v>
      </c>
      <c r="Q23" s="294">
        <f>SUM(-tanks!AX25*tanks!$AU$37)</f>
        <v>7244.873991935483</v>
      </c>
      <c r="R23" s="294">
        <f t="shared" si="14"/>
        <v>7423.1012427780443</v>
      </c>
      <c r="S23" s="296">
        <f>SUM(ELEC!N23)</f>
        <v>13608</v>
      </c>
      <c r="T23" s="332">
        <f t="shared" si="16"/>
        <v>0.54549538821120258</v>
      </c>
      <c r="V23" s="718"/>
      <c r="W23" s="719"/>
      <c r="X23" s="719"/>
      <c r="Y23" s="720"/>
      <c r="Z23" s="721"/>
      <c r="AA23" s="722"/>
      <c r="AB23" s="711"/>
      <c r="AC23" s="712"/>
    </row>
    <row r="24" spans="1:32" ht="20.100000000000001" customHeight="1">
      <c r="A24" s="163">
        <f>ELEC!C24</f>
        <v>44398</v>
      </c>
      <c r="B24" s="669">
        <v>1080020</v>
      </c>
      <c r="C24" s="262">
        <f t="shared" si="0"/>
        <v>248</v>
      </c>
      <c r="D24" s="305">
        <f t="shared" si="8"/>
        <v>248</v>
      </c>
      <c r="E24" s="305">
        <f t="shared" si="15"/>
        <v>1080020</v>
      </c>
      <c r="F24" s="620">
        <f t="shared" si="9"/>
        <v>158385</v>
      </c>
      <c r="G24" s="160">
        <f t="shared" si="1"/>
        <v>0</v>
      </c>
      <c r="H24" s="669">
        <v>527006</v>
      </c>
      <c r="I24" s="161">
        <f t="shared" si="2"/>
        <v>121</v>
      </c>
      <c r="J24" s="669">
        <v>394627</v>
      </c>
      <c r="K24" s="162">
        <f t="shared" si="3"/>
        <v>127</v>
      </c>
      <c r="L24" s="293">
        <f t="shared" si="17"/>
        <v>0</v>
      </c>
      <c r="M24" s="293">
        <f t="shared" si="18"/>
        <v>8.9897180762852411</v>
      </c>
      <c r="N24" s="293">
        <f t="shared" si="19"/>
        <v>6.7396351575456057</v>
      </c>
      <c r="O24" s="293">
        <f t="shared" si="12"/>
        <v>154.80303857058792</v>
      </c>
      <c r="P24" s="294">
        <f t="shared" si="13"/>
        <v>170.53239180441875</v>
      </c>
      <c r="Q24" s="294">
        <f>SUM(-tanks!AX26*tanks!$AU$37)</f>
        <v>8045.452508064519</v>
      </c>
      <c r="R24" s="294">
        <f t="shared" si="14"/>
        <v>8215.9848998689376</v>
      </c>
      <c r="S24" s="296">
        <f>SUM(ELEC!N24)</f>
        <v>14612</v>
      </c>
      <c r="T24" s="332">
        <f t="shared" si="16"/>
        <v>0.56227654666499716</v>
      </c>
      <c r="V24" s="723" t="s">
        <v>204</v>
      </c>
      <c r="W24" s="724"/>
      <c r="X24" s="725" t="s">
        <v>205</v>
      </c>
      <c r="Y24" s="726"/>
      <c r="Z24" s="727"/>
      <c r="AA24" s="170"/>
      <c r="AB24" s="713"/>
      <c r="AC24" s="714"/>
    </row>
    <row r="25" spans="1:32" ht="20.100000000000001" customHeight="1">
      <c r="A25" s="163">
        <f>ELEC!C25</f>
        <v>44399</v>
      </c>
      <c r="B25" s="620">
        <f t="shared" si="7"/>
        <v>1080020</v>
      </c>
      <c r="C25" s="262">
        <f t="shared" si="0"/>
        <v>0</v>
      </c>
      <c r="D25" s="305">
        <f t="shared" si="8"/>
        <v>0</v>
      </c>
      <c r="E25" s="305">
        <f t="shared" si="15"/>
        <v>1080020</v>
      </c>
      <c r="F25" s="620">
        <f t="shared" si="9"/>
        <v>158385</v>
      </c>
      <c r="G25" s="160">
        <f t="shared" si="1"/>
        <v>0</v>
      </c>
      <c r="H25" s="620">
        <f t="shared" si="10"/>
        <v>527006</v>
      </c>
      <c r="I25" s="161">
        <f t="shared" si="2"/>
        <v>0</v>
      </c>
      <c r="J25" s="620">
        <f t="shared" si="11"/>
        <v>394627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0">
        <f t="shared" si="7"/>
        <v>1080020</v>
      </c>
      <c r="C26" s="262">
        <f t="shared" si="0"/>
        <v>0</v>
      </c>
      <c r="D26" s="305">
        <f t="shared" si="8"/>
        <v>0</v>
      </c>
      <c r="E26" s="305">
        <f t="shared" si="15"/>
        <v>1080020</v>
      </c>
      <c r="F26" s="620">
        <f t="shared" si="9"/>
        <v>158385</v>
      </c>
      <c r="G26" s="160">
        <f t="shared" si="1"/>
        <v>0</v>
      </c>
      <c r="H26" s="620">
        <f t="shared" si="10"/>
        <v>527006</v>
      </c>
      <c r="I26" s="161">
        <f t="shared" si="2"/>
        <v>0</v>
      </c>
      <c r="J26" s="620">
        <f t="shared" si="11"/>
        <v>394627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394627</v>
      </c>
      <c r="X26" s="172" t="s">
        <v>199</v>
      </c>
      <c r="Y26" s="172">
        <v>80</v>
      </c>
      <c r="Z26" s="172">
        <v>1</v>
      </c>
      <c r="AA26" s="334">
        <f>(W26-V26)*Z26</f>
        <v>2562</v>
      </c>
      <c r="AB26" s="334">
        <f>AA26*Y26</f>
        <v>204960</v>
      </c>
      <c r="AC26" s="247">
        <f>AC9</f>
        <v>1033333</v>
      </c>
      <c r="AD26" s="495">
        <f>SUM(K36)</f>
        <v>0.41849068931721661</v>
      </c>
    </row>
    <row r="27" spans="1:32" ht="20.100000000000001" customHeight="1">
      <c r="A27" s="163">
        <f>ELEC!C27</f>
        <v>44401</v>
      </c>
      <c r="B27" s="620">
        <f t="shared" si="7"/>
        <v>1080020</v>
      </c>
      <c r="C27" s="262">
        <f t="shared" si="0"/>
        <v>0</v>
      </c>
      <c r="D27" s="305">
        <f t="shared" si="8"/>
        <v>0</v>
      </c>
      <c r="E27" s="305">
        <f t="shared" si="15"/>
        <v>1080020</v>
      </c>
      <c r="F27" s="620">
        <f t="shared" si="9"/>
        <v>158385</v>
      </c>
      <c r="G27" s="160">
        <f t="shared" si="1"/>
        <v>0</v>
      </c>
      <c r="H27" s="620">
        <f t="shared" si="10"/>
        <v>527006</v>
      </c>
      <c r="I27" s="161">
        <f t="shared" si="2"/>
        <v>0</v>
      </c>
      <c r="J27" s="620">
        <f t="shared" si="11"/>
        <v>394627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527006</v>
      </c>
      <c r="X27" s="172" t="s">
        <v>213</v>
      </c>
      <c r="Y27" s="172">
        <v>112</v>
      </c>
      <c r="Z27" s="172">
        <v>1</v>
      </c>
      <c r="AA27" s="334">
        <f>(W27-V27)*Z27</f>
        <v>2892</v>
      </c>
      <c r="AB27" s="334">
        <f>SUM(AA27*Y27)</f>
        <v>323904</v>
      </c>
      <c r="AC27" s="247">
        <f>AC10</f>
        <v>6200000</v>
      </c>
      <c r="AD27" s="495">
        <f>SUM(I36)</f>
        <v>0.47239464227376676</v>
      </c>
    </row>
    <row r="28" spans="1:32" ht="20.100000000000001" customHeight="1">
      <c r="A28" s="163">
        <f>ELEC!C28</f>
        <v>44402</v>
      </c>
      <c r="B28" s="620">
        <f t="shared" si="7"/>
        <v>1080020</v>
      </c>
      <c r="C28" s="262">
        <f t="shared" si="0"/>
        <v>0</v>
      </c>
      <c r="D28" s="305">
        <f t="shared" si="8"/>
        <v>0</v>
      </c>
      <c r="E28" s="305">
        <f t="shared" si="15"/>
        <v>1080020</v>
      </c>
      <c r="F28" s="620">
        <f t="shared" si="9"/>
        <v>158385</v>
      </c>
      <c r="G28" s="160">
        <f t="shared" si="1"/>
        <v>0</v>
      </c>
      <c r="H28" s="620">
        <f t="shared" si="10"/>
        <v>527006</v>
      </c>
      <c r="I28" s="161">
        <f t="shared" si="2"/>
        <v>0</v>
      </c>
      <c r="J28" s="620">
        <f t="shared" si="11"/>
        <v>394627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158385</v>
      </c>
      <c r="X28" s="172" t="s">
        <v>197</v>
      </c>
      <c r="Y28" s="172">
        <v>320</v>
      </c>
      <c r="Z28" s="172">
        <v>1</v>
      </c>
      <c r="AA28" s="334">
        <f>(W28-V28)*Z28</f>
        <v>668</v>
      </c>
      <c r="AB28" s="334">
        <f>SUM(AA28*Y28)</f>
        <v>213760</v>
      </c>
      <c r="AC28" s="247">
        <f>AC11</f>
        <v>1000</v>
      </c>
      <c r="AD28" s="495">
        <f>SUM(G36)</f>
        <v>0.10911466840901667</v>
      </c>
      <c r="AE28" s="40">
        <f>SUM(AB28*5%)</f>
        <v>10688</v>
      </c>
      <c r="AF28" s="82">
        <f>SUM(AE28/7)*31</f>
        <v>47332.571428571428</v>
      </c>
    </row>
    <row r="29" spans="1:32" ht="20.100000000000001" customHeight="1">
      <c r="A29" s="163">
        <f>ELEC!C29</f>
        <v>44403</v>
      </c>
      <c r="B29" s="620">
        <f t="shared" si="7"/>
        <v>1080020</v>
      </c>
      <c r="C29" s="262">
        <f t="shared" si="0"/>
        <v>0</v>
      </c>
      <c r="D29" s="305">
        <f t="shared" si="8"/>
        <v>0</v>
      </c>
      <c r="E29" s="305">
        <f t="shared" si="15"/>
        <v>1080020</v>
      </c>
      <c r="F29" s="620">
        <f t="shared" si="9"/>
        <v>158385</v>
      </c>
      <c r="G29" s="160">
        <f t="shared" si="1"/>
        <v>0</v>
      </c>
      <c r="H29" s="620">
        <f t="shared" si="10"/>
        <v>527006</v>
      </c>
      <c r="I29" s="161">
        <f t="shared" si="2"/>
        <v>0</v>
      </c>
      <c r="J29" s="620">
        <f t="shared" si="11"/>
        <v>394627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6122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0">
        <f t="shared" si="7"/>
        <v>1080020</v>
      </c>
      <c r="C30" s="262">
        <f t="shared" si="0"/>
        <v>0</v>
      </c>
      <c r="D30" s="305">
        <f t="shared" si="8"/>
        <v>0</v>
      </c>
      <c r="E30" s="305">
        <f t="shared" si="15"/>
        <v>1080020</v>
      </c>
      <c r="F30" s="620">
        <f t="shared" si="9"/>
        <v>158385</v>
      </c>
      <c r="G30" s="160">
        <f t="shared" si="1"/>
        <v>0</v>
      </c>
      <c r="H30" s="620">
        <f t="shared" si="10"/>
        <v>527006</v>
      </c>
      <c r="I30" s="161">
        <f t="shared" si="2"/>
        <v>0</v>
      </c>
      <c r="J30" s="620">
        <f t="shared" si="11"/>
        <v>394627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742624</v>
      </c>
      <c r="AC30" s="247"/>
    </row>
    <row r="31" spans="1:32" ht="20.100000000000001" customHeight="1">
      <c r="A31" s="163">
        <f>ELEC!C31</f>
        <v>44405</v>
      </c>
      <c r="B31" s="620">
        <f t="shared" si="7"/>
        <v>1080020</v>
      </c>
      <c r="C31" s="262">
        <f>SUM(B31-B30)</f>
        <v>0</v>
      </c>
      <c r="D31" s="305">
        <f t="shared" si="8"/>
        <v>0</v>
      </c>
      <c r="E31" s="305">
        <f>B30+D31</f>
        <v>1080020</v>
      </c>
      <c r="F31" s="620">
        <f t="shared" si="9"/>
        <v>158385</v>
      </c>
      <c r="G31" s="160">
        <f>F31-F30</f>
        <v>0</v>
      </c>
      <c r="H31" s="620">
        <f t="shared" si="10"/>
        <v>527006</v>
      </c>
      <c r="I31" s="161">
        <f>H31-H30</f>
        <v>0</v>
      </c>
      <c r="J31" s="620">
        <f t="shared" si="11"/>
        <v>394627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0">
        <f t="shared" si="7"/>
        <v>1080020</v>
      </c>
      <c r="C32" s="262">
        <f>SUM(B32-B31)</f>
        <v>0</v>
      </c>
      <c r="D32" s="305">
        <f t="shared" si="8"/>
        <v>0</v>
      </c>
      <c r="E32" s="305">
        <f>B31+D32</f>
        <v>1080020</v>
      </c>
      <c r="F32" s="620">
        <f t="shared" si="9"/>
        <v>158385</v>
      </c>
      <c r="G32" s="160">
        <f>F32-F31</f>
        <v>0</v>
      </c>
      <c r="H32" s="620">
        <f t="shared" si="10"/>
        <v>527006</v>
      </c>
      <c r="I32" s="161">
        <f>H32-H31</f>
        <v>0</v>
      </c>
      <c r="J32" s="620">
        <f t="shared" si="11"/>
        <v>394627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0">
        <f t="shared" si="7"/>
        <v>1080020</v>
      </c>
      <c r="C33" s="262">
        <f>SUM(B33-B32)</f>
        <v>0</v>
      </c>
      <c r="D33" s="305">
        <f t="shared" si="8"/>
        <v>0</v>
      </c>
      <c r="E33" s="305">
        <f>B32+D33</f>
        <v>1080020</v>
      </c>
      <c r="F33" s="620">
        <f t="shared" si="9"/>
        <v>158385</v>
      </c>
      <c r="G33" s="160">
        <f>F33-F32</f>
        <v>0</v>
      </c>
      <c r="H33" s="620">
        <f t="shared" si="10"/>
        <v>527006</v>
      </c>
      <c r="I33" s="161">
        <f>H33-H32</f>
        <v>0</v>
      </c>
      <c r="J33" s="620">
        <f t="shared" si="11"/>
        <v>394627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369</v>
      </c>
      <c r="X33" s="222">
        <f>SUM(W33/A35)</f>
        <v>28.384615384615383</v>
      </c>
      <c r="Y33" s="258">
        <f>SUM(X33/1)</f>
        <v>28.384615384615383</v>
      </c>
      <c r="Z33" s="3"/>
      <c r="AA33" s="3"/>
      <c r="AB33" s="529">
        <f>SUM(AB30+AC33)</f>
        <v>7976957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0">
        <f t="shared" si="7"/>
        <v>1080020</v>
      </c>
      <c r="C34" s="262">
        <f>SUM(B34-B33)</f>
        <v>0</v>
      </c>
      <c r="D34" s="305">
        <f t="shared" ref="D34" si="20">SUM(G34+I34+K34)</f>
        <v>0</v>
      </c>
      <c r="E34" s="305">
        <f>B33+D34</f>
        <v>1080020</v>
      </c>
      <c r="F34" s="620">
        <f t="shared" si="9"/>
        <v>158385</v>
      </c>
      <c r="G34" s="160">
        <f>F34-F33</f>
        <v>0</v>
      </c>
      <c r="H34" s="620">
        <f t="shared" si="10"/>
        <v>527006</v>
      </c>
      <c r="I34" s="161">
        <f>H34-H33</f>
        <v>0</v>
      </c>
      <c r="J34" s="620">
        <f t="shared" si="11"/>
        <v>394627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13</v>
      </c>
      <c r="C35" s="173">
        <f>SUM(C4:C34)/A35</f>
        <v>470.92307692307691</v>
      </c>
      <c r="D35" s="173"/>
      <c r="E35" s="173"/>
      <c r="F35" s="641"/>
      <c r="G35" s="641">
        <f>SUM(G4:G34)/A35</f>
        <v>51.384615384615387</v>
      </c>
      <c r="H35" s="173"/>
      <c r="I35" s="173">
        <f>SUM(I4:I34)/A35</f>
        <v>222.46153846153845</v>
      </c>
      <c r="K35" s="173">
        <f>SUM(K4:K34)/A35</f>
        <v>197.07692307692307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0.10911466840901667</v>
      </c>
      <c r="H36" s="212"/>
      <c r="I36" s="225">
        <f>SUM(I35/C35)</f>
        <v>0.47239464227376676</v>
      </c>
      <c r="J36" s="212"/>
      <c r="K36" s="225">
        <f>SUM(K35/C35)</f>
        <v>0.41849068931721661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5291.5137645107798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5291.5137645107798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96"/>
      <c r="AC45" s="696"/>
      <c r="AD45" s="587"/>
      <c r="AE45" s="17"/>
      <c r="AF45" s="17"/>
    </row>
    <row r="46" spans="1:32">
      <c r="V46" s="696"/>
      <c r="W46" s="696"/>
      <c r="X46" s="696"/>
      <c r="Y46" s="696"/>
      <c r="Z46" s="533"/>
      <c r="AA46" s="533"/>
      <c r="AB46" s="696"/>
      <c r="AC46" s="696"/>
      <c r="AD46" s="587"/>
      <c r="AE46" s="17"/>
      <c r="AF46" s="17"/>
    </row>
    <row r="47" spans="1:32">
      <c r="V47" s="696"/>
      <c r="W47" s="696"/>
      <c r="X47" s="696"/>
      <c r="Y47" s="696"/>
      <c r="Z47" s="696"/>
      <c r="AA47" s="696"/>
      <c r="AB47" s="696"/>
      <c r="AC47" s="696"/>
      <c r="AD47" s="587"/>
      <c r="AE47" s="17"/>
      <c r="AF47" s="17"/>
    </row>
    <row r="48" spans="1:32">
      <c r="V48" s="697"/>
      <c r="W48" s="697"/>
      <c r="X48" s="698"/>
      <c r="Y48" s="698"/>
      <c r="Z48" s="698"/>
      <c r="AA48" s="534"/>
      <c r="AB48" s="696"/>
      <c r="AC48" s="696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6" sqref="F2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8" t="s">
        <v>193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30"/>
    </row>
    <row r="2" spans="1:15" ht="15.75" customHeight="1" thickBot="1">
      <c r="A2" s="731"/>
      <c r="B2" s="732"/>
      <c r="C2" s="732"/>
      <c r="D2" s="732"/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3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>
        <v>31</v>
      </c>
      <c r="C17" s="37">
        <v>26</v>
      </c>
      <c r="D17" s="26">
        <f t="shared" si="3"/>
        <v>28.5</v>
      </c>
      <c r="E17" s="336">
        <v>0.75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>
        <v>31</v>
      </c>
      <c r="C18" s="37">
        <v>27</v>
      </c>
      <c r="D18" s="26">
        <f t="shared" si="3"/>
        <v>29</v>
      </c>
      <c r="E18" s="423">
        <v>0.77</v>
      </c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>
        <v>30</v>
      </c>
      <c r="C19" s="37">
        <v>26</v>
      </c>
      <c r="D19" s="26">
        <f t="shared" si="3"/>
        <v>28</v>
      </c>
      <c r="E19" s="336">
        <v>0.65</v>
      </c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>
        <v>28</v>
      </c>
      <c r="C20" s="37">
        <v>26</v>
      </c>
      <c r="D20" s="26">
        <f t="shared" si="3"/>
        <v>27</v>
      </c>
      <c r="E20" s="336">
        <v>0.72</v>
      </c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>
        <v>30</v>
      </c>
      <c r="C21" s="37">
        <v>26</v>
      </c>
      <c r="D21" s="26">
        <f>(C21+B21)/2</f>
        <v>28</v>
      </c>
      <c r="E21" s="336">
        <v>0.72</v>
      </c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>
        <v>30</v>
      </c>
      <c r="C22" s="37">
        <v>26</v>
      </c>
      <c r="D22" s="26">
        <f t="shared" si="3"/>
        <v>28</v>
      </c>
      <c r="E22" s="336">
        <v>0.75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>
        <v>30</v>
      </c>
      <c r="C23" s="37">
        <v>25</v>
      </c>
      <c r="D23" s="26">
        <f>(C23+B23)/2</f>
        <v>27.5</v>
      </c>
      <c r="E23" s="336">
        <v>0.75</v>
      </c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>
        <v>31</v>
      </c>
      <c r="C24" s="37">
        <v>26</v>
      </c>
      <c r="D24" s="26">
        <f>(C24+B24)/2</f>
        <v>28.5</v>
      </c>
      <c r="E24" s="390">
        <v>0.72</v>
      </c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>
        <v>31</v>
      </c>
      <c r="C25" s="37">
        <v>27</v>
      </c>
      <c r="D25" s="26">
        <f t="shared" si="3"/>
        <v>29</v>
      </c>
      <c r="E25" s="336">
        <v>0.7</v>
      </c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>
        <v>31</v>
      </c>
      <c r="C26" s="37">
        <v>26</v>
      </c>
      <c r="D26" s="26">
        <f>(C26+B26)/2</f>
        <v>28.5</v>
      </c>
      <c r="E26" s="336">
        <v>0.63</v>
      </c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36.92307692307692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16</v>
      </c>
      <c r="B13" s="3">
        <f>ELEC!AF15</f>
        <v>4297</v>
      </c>
      <c r="C13" s="3">
        <f>ELEC!N15</f>
        <v>13408</v>
      </c>
      <c r="D13" s="3">
        <f t="shared" si="0"/>
        <v>1351.9999999995052</v>
      </c>
      <c r="E13" s="3">
        <f>ELEC!Q15</f>
        <v>12056.000000000495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60.800000000000026</v>
      </c>
      <c r="J13" s="9">
        <f>'B5'!A15</f>
        <v>44388</v>
      </c>
    </row>
    <row r="14" spans="1:10">
      <c r="A14" s="3">
        <f>ELEC!T16+ELEC!X16+ELEC!AB16</f>
        <v>19</v>
      </c>
      <c r="B14" s="3">
        <f>ELEC!AF16</f>
        <v>5097</v>
      </c>
      <c r="C14" s="3">
        <f>ELEC!N16</f>
        <v>17093</v>
      </c>
      <c r="D14" s="3">
        <f t="shared" si="0"/>
        <v>1019.9999999996799</v>
      </c>
      <c r="E14" s="3">
        <f>ELEC!Q16</f>
        <v>16073.00000000032</v>
      </c>
      <c r="F14" s="3">
        <f>GEN!Z14</f>
        <v>16</v>
      </c>
      <c r="G14" s="3">
        <f>WATER!C17+WATER!H17</f>
        <v>261</v>
      </c>
      <c r="H14" s="3">
        <f>WATER!L17</f>
        <v>2</v>
      </c>
      <c r="I14" s="15">
        <f>WATER!BC17+WATER!BD17+WATER!BE18-Sheet1!G14</f>
        <v>-294.5</v>
      </c>
      <c r="J14" s="9">
        <f>'B5'!A16</f>
        <v>44389</v>
      </c>
    </row>
    <row r="15" spans="1:10">
      <c r="A15" s="3">
        <f>ELEC!T17+ELEC!X17+ELEC!AB17</f>
        <v>20</v>
      </c>
      <c r="B15" s="3">
        <f>ELEC!AF17</f>
        <v>5240</v>
      </c>
      <c r="C15" s="3">
        <f>ELEC!N17</f>
        <v>14998</v>
      </c>
      <c r="D15" s="3">
        <f t="shared" si="0"/>
        <v>-25.000000001047738</v>
      </c>
      <c r="E15" s="3">
        <f>ELEC!Q17</f>
        <v>15023.000000001048</v>
      </c>
      <c r="F15" s="3">
        <f>GEN!Z15</f>
        <v>22</v>
      </c>
      <c r="G15" s="3">
        <f>WATER!C18+WATER!H18</f>
        <v>0</v>
      </c>
      <c r="H15" s="3">
        <f>WATER!L18</f>
        <v>0</v>
      </c>
      <c r="I15" s="15">
        <f>WATER!BC18+WATER!BD18+WATER!BE19-Sheet1!G15</f>
        <v>159.9</v>
      </c>
      <c r="J15" s="9">
        <f>'B5'!A17</f>
        <v>44390</v>
      </c>
    </row>
    <row r="16" spans="1:10">
      <c r="A16" s="3">
        <f>ELEC!T18+ELEC!X18+ELEC!AB18</f>
        <v>21</v>
      </c>
      <c r="B16" s="3">
        <f>ELEC!AF18</f>
        <v>5308</v>
      </c>
      <c r="C16" s="3">
        <f>ELEC!N18</f>
        <v>16323</v>
      </c>
      <c r="D16" s="3">
        <f t="shared" si="0"/>
        <v>278.00000000174623</v>
      </c>
      <c r="E16" s="3">
        <f>ELEC!Q18</f>
        <v>16044.999999998254</v>
      </c>
      <c r="F16" s="3">
        <f>GEN!Z16</f>
        <v>20</v>
      </c>
      <c r="G16" s="3">
        <f>WATER!C19+WATER!H19</f>
        <v>234</v>
      </c>
      <c r="H16" s="3">
        <f>WATER!L19</f>
        <v>0</v>
      </c>
      <c r="I16" s="15">
        <f>WATER!BC19+WATER!BD19+WATER!BE20-Sheet1!G16</f>
        <v>-309.7</v>
      </c>
      <c r="J16" s="9">
        <f>'B5'!A18</f>
        <v>44391</v>
      </c>
    </row>
    <row r="17" spans="1:10">
      <c r="A17" s="3">
        <f>ELEC!T19+ELEC!X19+ELEC!AB19</f>
        <v>19</v>
      </c>
      <c r="B17" s="3">
        <f>ELEC!AF19</f>
        <v>4496</v>
      </c>
      <c r="C17" s="3">
        <f>ELEC!N19</f>
        <v>14493</v>
      </c>
      <c r="D17" s="3">
        <f t="shared" si="0"/>
        <v>701.99999999892316</v>
      </c>
      <c r="E17" s="3">
        <f>ELEC!Q19</f>
        <v>13791.000000001077</v>
      </c>
      <c r="F17" s="3">
        <f>GEN!Z17</f>
        <v>22</v>
      </c>
      <c r="G17" s="3">
        <f>WATER!C20+WATER!H20</f>
        <v>0</v>
      </c>
      <c r="H17" s="3">
        <f>WATER!L20</f>
        <v>0</v>
      </c>
      <c r="I17" s="15">
        <f>WATER!BC20+WATER!BD20+WATER!BE21-Sheet1!G17</f>
        <v>146.69999999999999</v>
      </c>
      <c r="J17" s="9">
        <f>'B5'!A19</f>
        <v>44392</v>
      </c>
    </row>
    <row r="18" spans="1:10">
      <c r="A18" s="3">
        <f>ELEC!T20+ELEC!X20+ELEC!AB20</f>
        <v>21</v>
      </c>
      <c r="B18" s="3">
        <f>ELEC!AF20</f>
        <v>3265</v>
      </c>
      <c r="C18" s="3">
        <f>ELEC!N20</f>
        <v>15076</v>
      </c>
      <c r="D18" s="3">
        <f t="shared" si="0"/>
        <v>36.999999999330612</v>
      </c>
      <c r="E18" s="3">
        <f>ELEC!Q20</f>
        <v>15039.000000000669</v>
      </c>
      <c r="F18" s="3">
        <f>GEN!Z18</f>
        <v>20</v>
      </c>
      <c r="G18" s="3">
        <f>WATER!C21+WATER!H21</f>
        <v>151</v>
      </c>
      <c r="H18" s="3">
        <f>WATER!L21</f>
        <v>1</v>
      </c>
      <c r="I18" s="15">
        <f>WATER!BC21+WATER!BD21+WATER!BE22-Sheet1!G18</f>
        <v>-167.20000000000005</v>
      </c>
      <c r="J18" s="9">
        <f>'B5'!A20</f>
        <v>44393</v>
      </c>
    </row>
    <row r="19" spans="1:10">
      <c r="A19" s="3">
        <f>ELEC!T21+ELEC!X21+ELEC!AB21</f>
        <v>18</v>
      </c>
      <c r="B19" s="3">
        <f>ELEC!AF21</f>
        <v>6798</v>
      </c>
      <c r="C19" s="3">
        <f>ELEC!N21</f>
        <v>15663</v>
      </c>
      <c r="D19" s="3">
        <f t="shared" si="0"/>
        <v>1219.0000000004948</v>
      </c>
      <c r="E19" s="3">
        <f>ELEC!Q21</f>
        <v>14443.999999999505</v>
      </c>
      <c r="F19" s="3">
        <f>GEN!Z19</f>
        <v>22</v>
      </c>
      <c r="G19" s="3">
        <f>WATER!C22+WATER!H22</f>
        <v>0</v>
      </c>
      <c r="H19" s="3">
        <f>WATER!L22</f>
        <v>1</v>
      </c>
      <c r="I19" s="15">
        <f>WATER!BC22+WATER!BD22+WATER!BE23-Sheet1!G19</f>
        <v>24.500000000000028</v>
      </c>
      <c r="J19" s="9">
        <f>'B5'!A21</f>
        <v>44394</v>
      </c>
    </row>
    <row r="20" spans="1:10">
      <c r="A20" s="3">
        <f>ELEC!T22+ELEC!X22+ELEC!AB22</f>
        <v>22</v>
      </c>
      <c r="B20" s="3">
        <f>ELEC!AF22</f>
        <v>5138</v>
      </c>
      <c r="C20" s="3">
        <f>ELEC!N22</f>
        <v>15055</v>
      </c>
      <c r="D20" s="3">
        <f t="shared" si="0"/>
        <v>71.999999999825377</v>
      </c>
      <c r="E20" s="3">
        <f>ELEC!Q22</f>
        <v>14983.000000000175</v>
      </c>
      <c r="F20" s="3">
        <f>GEN!Z20</f>
        <v>19</v>
      </c>
      <c r="G20" s="3">
        <f>WATER!C23+WATER!H23</f>
        <v>38</v>
      </c>
      <c r="H20" s="3">
        <f>WATER!L23</f>
        <v>0</v>
      </c>
      <c r="I20" s="15">
        <f>WATER!BC23+WATER!BD23+WATER!BE24-Sheet1!G20</f>
        <v>-33.699999999999989</v>
      </c>
      <c r="J20" s="9">
        <f>'B5'!A22</f>
        <v>44395</v>
      </c>
    </row>
    <row r="21" spans="1:10">
      <c r="A21" s="3">
        <f>ELEC!T23+ELEC!X23+ELEC!AB23</f>
        <v>20</v>
      </c>
      <c r="B21" s="3">
        <f>ELEC!AF23</f>
        <v>4163</v>
      </c>
      <c r="C21" s="3">
        <f>ELEC!N23</f>
        <v>13608</v>
      </c>
      <c r="D21" s="3">
        <f t="shared" si="0"/>
        <v>442.99999999912689</v>
      </c>
      <c r="E21" s="3">
        <f>ELEC!Q23</f>
        <v>13165.000000000873</v>
      </c>
      <c r="F21" s="3">
        <f>GEN!Z21</f>
        <v>23</v>
      </c>
      <c r="G21" s="3">
        <f>WATER!C24+WATER!H24</f>
        <v>0</v>
      </c>
      <c r="H21" s="3">
        <f>WATER!L24</f>
        <v>0</v>
      </c>
      <c r="I21" s="15">
        <f>WATER!BC24+WATER!BD24+WATER!BE25-Sheet1!G21</f>
        <v>-24.000000000000028</v>
      </c>
      <c r="J21" s="9">
        <f>'B5'!A23</f>
        <v>44396</v>
      </c>
    </row>
    <row r="22" spans="1:10">
      <c r="A22" s="3">
        <f>ELEC!T24+ELEC!X24+ELEC!AB24</f>
        <v>22</v>
      </c>
      <c r="B22" s="3">
        <f>ELEC!AF24</f>
        <v>4587</v>
      </c>
      <c r="C22" s="3">
        <f>ELEC!N24</f>
        <v>14612</v>
      </c>
      <c r="D22" s="3">
        <f t="shared" si="0"/>
        <v>92.000000003201421</v>
      </c>
      <c r="E22" s="3">
        <f>ELEC!Q24</f>
        <v>14519.999999996799</v>
      </c>
      <c r="F22" s="3">
        <f>GEN!Z22</f>
        <v>20</v>
      </c>
      <c r="G22" s="3">
        <f>WATER!C25+WATER!H25</f>
        <v>0</v>
      </c>
      <c r="H22" s="3">
        <f>WATER!L25</f>
        <v>1</v>
      </c>
      <c r="I22" s="15">
        <f>WATER!BC25+WATER!BD25+WATER!BE26-Sheet1!G22</f>
        <v>-25.299999999999969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24</v>
      </c>
      <c r="G23" s="3">
        <f>WATER!C26+WATER!H26</f>
        <v>0</v>
      </c>
      <c r="H23" s="3">
        <f>WATER!L26</f>
        <v>0</v>
      </c>
      <c r="I23" s="15">
        <f>WATER!BC26+WATER!BD26+WATER!BE27-Sheet1!G23</f>
        <v>58.700000000000045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7"/>
      <c r="B1" s="734" t="s">
        <v>119</v>
      </c>
      <c r="C1" s="734" t="s">
        <v>118</v>
      </c>
      <c r="D1" s="739" t="s">
        <v>113</v>
      </c>
      <c r="E1" s="739" t="s">
        <v>114</v>
      </c>
      <c r="F1" s="740" t="s">
        <v>120</v>
      </c>
      <c r="G1" s="741" t="s">
        <v>75</v>
      </c>
      <c r="H1" s="742" t="s">
        <v>115</v>
      </c>
      <c r="I1" s="743" t="s">
        <v>116</v>
      </c>
      <c r="J1" s="742" t="s">
        <v>117</v>
      </c>
      <c r="K1" s="736" t="s">
        <v>121</v>
      </c>
      <c r="L1" s="736" t="s">
        <v>122</v>
      </c>
      <c r="M1" s="736" t="s">
        <v>123</v>
      </c>
      <c r="N1" s="736" t="s">
        <v>124</v>
      </c>
    </row>
    <row r="2" spans="1:14">
      <c r="A2" s="738"/>
      <c r="B2" s="735"/>
      <c r="C2" s="735"/>
      <c r="D2" s="739"/>
      <c r="E2" s="739"/>
      <c r="F2" s="740"/>
      <c r="G2" s="741"/>
      <c r="H2" s="742"/>
      <c r="I2" s="744"/>
      <c r="J2" s="742"/>
      <c r="K2" s="736"/>
      <c r="L2" s="736"/>
      <c r="M2" s="736"/>
      <c r="N2" s="7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110</v>
      </c>
      <c r="C16" s="76">
        <f>'B5'!AH16</f>
        <v>0</v>
      </c>
      <c r="D16" s="76">
        <f>GEN!AI14</f>
        <v>3103.0210970465409</v>
      </c>
      <c r="E16" s="240">
        <f t="shared" si="0"/>
        <v>3213.0210970465409</v>
      </c>
      <c r="F16" s="75">
        <f>WATER!L16</f>
        <v>2</v>
      </c>
      <c r="G16" s="78">
        <f>WATER!BG16</f>
        <v>-13.79999999999999</v>
      </c>
      <c r="H16" s="79">
        <f>ELEC!AF15</f>
        <v>4297</v>
      </c>
      <c r="I16" s="79">
        <f>ELEC!Q15</f>
        <v>12056.000000000495</v>
      </c>
      <c r="J16" s="79">
        <f>ELEC!R15</f>
        <v>1351.9999999995052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48</v>
      </c>
      <c r="C17" s="76">
        <f>'B5'!AH17</f>
        <v>46.699999999953434</v>
      </c>
      <c r="D17" s="76">
        <f>GEN!AI15</f>
        <v>4136.9324894515594</v>
      </c>
      <c r="E17" s="240">
        <f t="shared" si="0"/>
        <v>4231.6324894515128</v>
      </c>
      <c r="F17" s="75">
        <f>WATER!L17</f>
        <v>2</v>
      </c>
      <c r="G17" s="78">
        <f>WATER!BG17</f>
        <v>76.400000000000034</v>
      </c>
      <c r="H17" s="79">
        <f>ELEC!AF16</f>
        <v>5097</v>
      </c>
      <c r="I17" s="79">
        <f>ELEC!Q16</f>
        <v>16073.00000000032</v>
      </c>
      <c r="J17" s="79">
        <f>ELEC!R16</f>
        <v>1019.9999999996799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131</v>
      </c>
      <c r="C18" s="76">
        <f>'B5'!AH18</f>
        <v>0</v>
      </c>
      <c r="D18" s="76">
        <f>GEN!AI16</f>
        <v>3866.6793248947847</v>
      </c>
      <c r="E18" s="240">
        <f t="shared" si="0"/>
        <v>3997.6793248947847</v>
      </c>
      <c r="F18" s="75">
        <f>WATER!L18</f>
        <v>0</v>
      </c>
      <c r="G18" s="78">
        <f>WATER!BG18</f>
        <v>-31.599999999999994</v>
      </c>
      <c r="H18" s="79">
        <f>ELEC!AF17</f>
        <v>5240</v>
      </c>
      <c r="I18" s="79">
        <f>ELEC!Q17</f>
        <v>15023.000000001048</v>
      </c>
      <c r="J18" s="79">
        <f>ELEC!R17</f>
        <v>-25.000000001047738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44</v>
      </c>
      <c r="C19" s="76">
        <f>'B5'!AH19</f>
        <v>0</v>
      </c>
      <c r="D19" s="76">
        <f>GEN!AI17</f>
        <v>4129.7257383961751</v>
      </c>
      <c r="E19" s="240">
        <f t="shared" si="0"/>
        <v>4173.7257383961751</v>
      </c>
      <c r="F19" s="75">
        <f>WATER!L19</f>
        <v>0</v>
      </c>
      <c r="G19" s="78">
        <f>WATER!BG19</f>
        <v>92.5</v>
      </c>
      <c r="H19" s="79">
        <f>ELEC!AF18</f>
        <v>5308</v>
      </c>
      <c r="I19" s="79">
        <f>ELEC!Q18</f>
        <v>16044.999999998254</v>
      </c>
      <c r="J19" s="79">
        <f>ELEC!R18</f>
        <v>278.00000000174623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109</v>
      </c>
      <c r="C20" s="76">
        <f>'B5'!AH20</f>
        <v>0</v>
      </c>
      <c r="D20" s="76">
        <f>GEN!AI18</f>
        <v>3549.5822784812899</v>
      </c>
      <c r="E20" s="240">
        <f t="shared" si="0"/>
        <v>3658.5822784812899</v>
      </c>
      <c r="F20" s="75">
        <f>WATER!L20</f>
        <v>0</v>
      </c>
      <c r="G20" s="78">
        <f>WATER!BG20</f>
        <v>-42.199999999999989</v>
      </c>
      <c r="H20" s="79">
        <f>ELEC!AF19</f>
        <v>4496</v>
      </c>
      <c r="I20" s="79">
        <f>ELEC!Q19</f>
        <v>13791.000000001077</v>
      </c>
      <c r="J20" s="79">
        <f>ELEC!R19</f>
        <v>701.99999999892316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106</v>
      </c>
      <c r="C21" s="76">
        <f>'B5'!AH21</f>
        <v>0</v>
      </c>
      <c r="D21" s="76">
        <f>GEN!AI19</f>
        <v>3870.7974683546031</v>
      </c>
      <c r="E21" s="240">
        <f t="shared" si="0"/>
        <v>3976.7974683546031</v>
      </c>
      <c r="F21" s="75">
        <f>WATER!L21</f>
        <v>1</v>
      </c>
      <c r="G21" s="78">
        <f>WATER!BG21</f>
        <v>76.399999999999977</v>
      </c>
      <c r="H21" s="79">
        <f>ELEC!AF20</f>
        <v>3265</v>
      </c>
      <c r="I21" s="79">
        <f>ELEC!Q20</f>
        <v>15039.000000000669</v>
      </c>
      <c r="J21" s="79">
        <f>ELEC!R20</f>
        <v>36.999999999330612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157</v>
      </c>
      <c r="C22" s="76">
        <f>'B5'!AH22</f>
        <v>0</v>
      </c>
      <c r="D22" s="76">
        <f>GEN!AI20</f>
        <v>3717.6540084386916</v>
      </c>
      <c r="E22" s="240">
        <f t="shared" si="0"/>
        <v>3874.6540084386916</v>
      </c>
      <c r="F22" s="75">
        <f>WATER!L22</f>
        <v>1</v>
      </c>
      <c r="G22" s="78">
        <f>WATER!BG22</f>
        <v>-11.600000000000023</v>
      </c>
      <c r="H22" s="79">
        <f>ELEC!AF21</f>
        <v>6798</v>
      </c>
      <c r="I22" s="79">
        <f>ELEC!Q21</f>
        <v>14443.999999999505</v>
      </c>
      <c r="J22" s="79">
        <f>ELEC!R21</f>
        <v>1219.0000000004948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3856.3839662447708</v>
      </c>
      <c r="E23" s="240">
        <f t="shared" si="0"/>
        <v>3856.3839662447708</v>
      </c>
      <c r="F23" s="75">
        <f>WATER!L23</f>
        <v>0</v>
      </c>
      <c r="G23" s="78">
        <f>WATER!BG23</f>
        <v>36.100000000000051</v>
      </c>
      <c r="H23" s="79">
        <f>ELEC!AF22</f>
        <v>5138</v>
      </c>
      <c r="I23" s="79">
        <f>ELEC!Q22</f>
        <v>14983.000000000175</v>
      </c>
      <c r="J23" s="79">
        <f>ELEC!R22</f>
        <v>71.999999999825377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135</v>
      </c>
      <c r="C24" s="76">
        <f>'B5'!AH24</f>
        <v>0</v>
      </c>
      <c r="D24" s="76">
        <f>GEN!AI22</f>
        <v>3388.4599156120394</v>
      </c>
      <c r="E24" s="240">
        <f t="shared" si="0"/>
        <v>3523.4599156120394</v>
      </c>
      <c r="F24" s="75">
        <f>WATER!L24</f>
        <v>0</v>
      </c>
      <c r="G24" s="78">
        <f>WATER!BG24</f>
        <v>-12.000000000000028</v>
      </c>
      <c r="H24" s="79">
        <f>ELEC!AF23</f>
        <v>4163</v>
      </c>
      <c r="I24" s="79">
        <f>ELEC!Q23</f>
        <v>13165.000000000873</v>
      </c>
      <c r="J24" s="79">
        <f>ELEC!R23</f>
        <v>442.99999999912689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26</v>
      </c>
      <c r="C25" s="76">
        <f>'B5'!AH25</f>
        <v>0</v>
      </c>
      <c r="D25" s="76">
        <f>GEN!AI23</f>
        <v>3737.2151898725942</v>
      </c>
      <c r="E25" s="240">
        <f t="shared" si="0"/>
        <v>3763.2151898725942</v>
      </c>
      <c r="F25" s="75">
        <f>WATER!L25</f>
        <v>1</v>
      </c>
      <c r="G25" s="78">
        <f>WATER!BG25</f>
        <v>-12</v>
      </c>
      <c r="H25" s="79">
        <f>ELEC!AF24</f>
        <v>4587</v>
      </c>
      <c r="I25" s="79">
        <f>ELEC!Q24</f>
        <v>14519.999999996799</v>
      </c>
      <c r="J25" s="79">
        <f>ELEC!R24</f>
        <v>92.000000003201421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-13.299999999999969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5" t="s">
        <v>151</v>
      </c>
      <c r="U3" s="745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26" sqref="B26:G2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46" t="s">
        <v>51</v>
      </c>
      <c r="B1" s="758" t="s">
        <v>318</v>
      </c>
      <c r="C1" s="759"/>
      <c r="D1" s="761"/>
      <c r="E1" s="758" t="s">
        <v>319</v>
      </c>
      <c r="F1" s="759"/>
      <c r="G1" s="760"/>
      <c r="H1" s="755" t="s">
        <v>324</v>
      </c>
      <c r="I1" s="752" t="s">
        <v>325</v>
      </c>
      <c r="J1" s="749" t="s">
        <v>43</v>
      </c>
    </row>
    <row r="2" spans="1:18" ht="38.25" thickBot="1">
      <c r="A2" s="747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56"/>
      <c r="I2" s="753"/>
      <c r="J2" s="750"/>
    </row>
    <row r="3" spans="1:18" ht="24" customHeight="1" thickBot="1">
      <c r="A3" s="748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7"/>
      <c r="I3" s="754"/>
      <c r="J3" s="751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0"/>
      <c r="D6" s="170"/>
      <c r="E6" s="170"/>
      <c r="F6" s="170"/>
      <c r="G6" s="566"/>
      <c r="H6" s="567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0"/>
      <c r="D7" s="170"/>
      <c r="E7" s="170"/>
      <c r="F7" s="170"/>
      <c r="G7" s="566"/>
      <c r="H7" s="567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0"/>
      <c r="D8" s="570"/>
      <c r="E8" s="570"/>
      <c r="F8" s="570"/>
      <c r="G8" s="567"/>
      <c r="H8" s="567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88"/>
      <c r="D9" s="170"/>
      <c r="E9" s="616"/>
      <c r="F9" s="616"/>
      <c r="G9" s="45"/>
      <c r="H9" s="567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4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8">
        <v>7.8</v>
      </c>
      <c r="D12" s="170">
        <v>0</v>
      </c>
      <c r="E12" s="170">
        <v>0</v>
      </c>
      <c r="F12" s="170">
        <v>0</v>
      </c>
      <c r="G12" s="525">
        <v>0</v>
      </c>
      <c r="H12" s="567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52">
        <v>7.8</v>
      </c>
      <c r="D13" s="525">
        <v>0</v>
      </c>
      <c r="E13" s="525">
        <v>0</v>
      </c>
      <c r="F13" s="525">
        <v>0</v>
      </c>
      <c r="G13" s="525">
        <v>0</v>
      </c>
      <c r="H13" s="567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597">
        <v>7.8</v>
      </c>
      <c r="D14" s="170">
        <v>0</v>
      </c>
      <c r="E14" s="170">
        <v>0</v>
      </c>
      <c r="F14" s="170">
        <v>0</v>
      </c>
      <c r="G14" s="170">
        <v>0</v>
      </c>
      <c r="H14" s="567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0">
        <v>7.8</v>
      </c>
      <c r="D15" s="570">
        <v>0</v>
      </c>
      <c r="E15" s="570">
        <v>0</v>
      </c>
      <c r="F15" s="570">
        <v>0</v>
      </c>
      <c r="G15" s="565">
        <v>0</v>
      </c>
      <c r="H15" s="567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>
        <v>1.5</v>
      </c>
      <c r="C17" s="659">
        <v>7.8</v>
      </c>
      <c r="D17" s="170">
        <v>0</v>
      </c>
      <c r="E17" s="170">
        <v>0</v>
      </c>
      <c r="F17" s="602">
        <v>0</v>
      </c>
      <c r="G17" s="601">
        <v>0</v>
      </c>
      <c r="H17" s="567">
        <v>6807</v>
      </c>
      <c r="I17" s="499">
        <f t="shared" si="4"/>
        <v>2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>
        <v>1.5</v>
      </c>
      <c r="C18" s="579">
        <v>7.8</v>
      </c>
      <c r="D18" s="170">
        <v>0</v>
      </c>
      <c r="E18" s="170">
        <v>0</v>
      </c>
      <c r="F18" s="617">
        <v>0</v>
      </c>
      <c r="G18" s="604">
        <v>0</v>
      </c>
      <c r="H18" s="563">
        <f t="shared" si="1"/>
        <v>6807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>
        <v>1.5</v>
      </c>
      <c r="C19" s="661">
        <v>7.8</v>
      </c>
      <c r="D19" s="170">
        <v>0</v>
      </c>
      <c r="E19" s="170">
        <v>0</v>
      </c>
      <c r="F19" s="661">
        <v>0</v>
      </c>
      <c r="G19" s="660">
        <v>0</v>
      </c>
      <c r="H19" s="563">
        <v>6807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>
        <v>1.5</v>
      </c>
      <c r="C20" s="663">
        <v>7.8</v>
      </c>
      <c r="D20" s="170">
        <v>0</v>
      </c>
      <c r="E20" s="170">
        <v>0</v>
      </c>
      <c r="F20" s="663">
        <v>0</v>
      </c>
      <c r="G20" s="662">
        <v>0</v>
      </c>
      <c r="H20" s="563">
        <f t="shared" si="1"/>
        <v>6807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>
        <v>1.5</v>
      </c>
      <c r="C21" s="598">
        <v>7.8</v>
      </c>
      <c r="D21" s="170">
        <v>0</v>
      </c>
      <c r="E21" s="170">
        <v>0</v>
      </c>
      <c r="F21" s="602">
        <v>0</v>
      </c>
      <c r="G21" s="604">
        <v>0</v>
      </c>
      <c r="H21" s="563">
        <v>6808</v>
      </c>
      <c r="I21" s="499">
        <f t="shared" si="4"/>
        <v>1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>
        <v>1.5</v>
      </c>
      <c r="C22" s="580">
        <v>7.8</v>
      </c>
      <c r="D22" s="581">
        <v>0</v>
      </c>
      <c r="E22" s="580">
        <v>0</v>
      </c>
      <c r="F22" s="602">
        <v>0</v>
      </c>
      <c r="G22" s="601">
        <v>0</v>
      </c>
      <c r="H22" s="567">
        <v>6809</v>
      </c>
      <c r="I22" s="499">
        <f t="shared" si="4"/>
        <v>1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>
        <v>1.5</v>
      </c>
      <c r="C23" s="599">
        <v>7.8</v>
      </c>
      <c r="D23" s="600">
        <v>0</v>
      </c>
      <c r="E23" s="599">
        <v>0</v>
      </c>
      <c r="F23" s="602">
        <v>0</v>
      </c>
      <c r="G23" s="601">
        <v>0</v>
      </c>
      <c r="H23" s="567">
        <v>6809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>
        <v>1.5</v>
      </c>
      <c r="C24" s="602">
        <v>7.8</v>
      </c>
      <c r="D24" s="603">
        <v>0</v>
      </c>
      <c r="E24" s="602">
        <v>0</v>
      </c>
      <c r="F24" s="602">
        <v>0</v>
      </c>
      <c r="G24" s="604">
        <v>0</v>
      </c>
      <c r="H24" s="567">
        <f t="shared" si="1"/>
        <v>6809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252">
        <v>1.5</v>
      </c>
      <c r="C25" s="666">
        <v>7.8</v>
      </c>
      <c r="D25" s="664">
        <v>0</v>
      </c>
      <c r="E25" s="666">
        <v>0</v>
      </c>
      <c r="F25" s="666">
        <v>0</v>
      </c>
      <c r="G25" s="665">
        <v>0</v>
      </c>
      <c r="H25" s="567">
        <v>6810</v>
      </c>
      <c r="I25" s="499">
        <f t="shared" si="4"/>
        <v>1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>
        <v>1.5</v>
      </c>
      <c r="C26" s="669">
        <v>7.8</v>
      </c>
      <c r="D26" s="667">
        <v>0</v>
      </c>
      <c r="E26" s="669">
        <v>0</v>
      </c>
      <c r="F26" s="669">
        <v>0</v>
      </c>
      <c r="G26" s="668">
        <v>0</v>
      </c>
      <c r="H26" s="567">
        <f t="shared" si="1"/>
        <v>6810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18"/>
      <c r="E27" s="619"/>
      <c r="F27" s="619"/>
      <c r="G27" s="170"/>
      <c r="H27" s="567">
        <f t="shared" si="1"/>
        <v>6810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18"/>
      <c r="E28" s="619"/>
      <c r="F28" s="619"/>
      <c r="G28" s="170"/>
      <c r="H28" s="567">
        <f t="shared" si="1"/>
        <v>6810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2"/>
      <c r="D29" s="583"/>
      <c r="E29" s="602"/>
      <c r="F29" s="602"/>
      <c r="G29" s="601"/>
      <c r="H29" s="567">
        <f t="shared" si="1"/>
        <v>6810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4"/>
      <c r="D30" s="585"/>
      <c r="E30" s="584"/>
      <c r="F30" s="584"/>
      <c r="G30" s="170"/>
      <c r="H30" s="567">
        <f t="shared" si="1"/>
        <v>6810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0"/>
      <c r="D31" s="170"/>
      <c r="E31" s="170"/>
      <c r="F31" s="170"/>
      <c r="G31" s="170"/>
      <c r="H31" s="567">
        <f t="shared" si="1"/>
        <v>6810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7">
        <f t="shared" si="1"/>
        <v>6810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7">
        <f t="shared" si="1"/>
        <v>6810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7">
        <f t="shared" si="1"/>
        <v>6810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7">
        <f t="shared" si="1"/>
        <v>6810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7">
        <f t="shared" si="1"/>
        <v>6810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62" t="s">
        <v>161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</row>
    <row r="2" spans="1:28" ht="19.5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</row>
    <row r="3" spans="1:28" ht="19.5">
      <c r="A3" s="763" t="s">
        <v>162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3" t="s">
        <v>408</v>
      </c>
      <c r="B5" s="763"/>
      <c r="C5" s="763"/>
      <c r="D5" s="763"/>
      <c r="E5" s="763"/>
      <c r="F5" s="763"/>
      <c r="G5" s="763"/>
      <c r="H5" s="763"/>
      <c r="I5" s="763"/>
      <c r="J5" s="763"/>
      <c r="K5" s="763"/>
      <c r="L5" s="763"/>
      <c r="M5" s="763"/>
      <c r="N5" s="763"/>
      <c r="O5" s="763"/>
      <c r="P5" s="763"/>
      <c r="Q5" s="763"/>
      <c r="R5" s="763"/>
      <c r="S5" s="763"/>
      <c r="T5" s="763"/>
      <c r="U5" s="763"/>
      <c r="V5" s="763"/>
      <c r="W5" s="763"/>
      <c r="X5" s="763"/>
    </row>
    <row r="6" spans="1:28" ht="15.75" thickBot="1">
      <c r="A6" s="764"/>
      <c r="B6" s="764"/>
      <c r="C6" s="764"/>
      <c r="D6" s="764"/>
      <c r="E6" s="764"/>
      <c r="F6" s="764"/>
      <c r="G6" s="764"/>
      <c r="H6" s="764"/>
      <c r="I6" s="764"/>
      <c r="J6" s="764"/>
      <c r="K6" s="764"/>
      <c r="L6" s="764"/>
      <c r="M6" s="764"/>
      <c r="N6" s="764"/>
      <c r="O6" s="764"/>
      <c r="P6" s="764"/>
      <c r="Q6" s="764"/>
      <c r="R6" s="764"/>
      <c r="S6" s="764"/>
      <c r="T6" s="764"/>
      <c r="U6" s="764"/>
      <c r="V6" s="764"/>
      <c r="W6" s="764"/>
      <c r="X6" s="764"/>
    </row>
    <row r="7" spans="1:28" ht="15.75" thickBot="1">
      <c r="A7" s="766" t="s">
        <v>163</v>
      </c>
      <c r="B7" s="767"/>
      <c r="C7" s="768" t="s">
        <v>164</v>
      </c>
      <c r="D7" s="769"/>
      <c r="E7" s="769"/>
      <c r="F7" s="769"/>
      <c r="G7" s="769"/>
      <c r="H7" s="769"/>
      <c r="I7" s="769"/>
      <c r="J7" s="769"/>
      <c r="K7" s="77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31</v>
      </c>
      <c r="C59" s="269">
        <f>'General information '!C17</f>
        <v>26</v>
      </c>
      <c r="D59" s="119">
        <f t="shared" si="9"/>
        <v>10.199999999999999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31</v>
      </c>
      <c r="C60" s="269">
        <f>'General information '!C18</f>
        <v>27</v>
      </c>
      <c r="D60" s="119">
        <f t="shared" si="9"/>
        <v>10.7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30</v>
      </c>
      <c r="C61" s="269">
        <f>'General information '!C19</f>
        <v>26</v>
      </c>
      <c r="D61" s="119">
        <f t="shared" si="9"/>
        <v>9.6999999999999993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28</v>
      </c>
      <c r="C62" s="269">
        <f>'General information '!C20</f>
        <v>26</v>
      </c>
      <c r="D62" s="119">
        <f t="shared" si="9"/>
        <v>8.6999999999999993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30</v>
      </c>
      <c r="C63" s="269">
        <f>'General information '!C21</f>
        <v>26</v>
      </c>
      <c r="D63" s="119">
        <f t="shared" si="9"/>
        <v>9.6999999999999993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30</v>
      </c>
      <c r="C64" s="269">
        <f>'General information '!C22</f>
        <v>26</v>
      </c>
      <c r="D64" s="119">
        <f t="shared" si="9"/>
        <v>9.6999999999999993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30</v>
      </c>
      <c r="C65" s="269">
        <f>'General information '!C23</f>
        <v>25</v>
      </c>
      <c r="D65" s="119">
        <f t="shared" si="9"/>
        <v>9.1999999999999993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31</v>
      </c>
      <c r="C66" s="269">
        <f>'General information '!C24</f>
        <v>26</v>
      </c>
      <c r="D66" s="119">
        <f t="shared" si="9"/>
        <v>10.199999999999999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31</v>
      </c>
      <c r="C67" s="269">
        <f>'General information '!C25</f>
        <v>27</v>
      </c>
      <c r="D67" s="119">
        <f t="shared" si="9"/>
        <v>10.7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31</v>
      </c>
      <c r="C68" s="269">
        <f>'General information '!C26</f>
        <v>26</v>
      </c>
      <c r="D68" s="119">
        <f t="shared" si="9"/>
        <v>10.199999999999999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-256.20000000000005</v>
      </c>
      <c r="C81" s="119">
        <f>SUMIF(D48:D78,"&gt;0")</f>
        <v>168.89999999999998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71" t="s">
        <v>174</v>
      </c>
      <c r="O84" s="771" t="s">
        <v>175</v>
      </c>
      <c r="P84" s="134"/>
      <c r="T84" s="134"/>
      <c r="X84" s="134"/>
    </row>
    <row r="85" spans="1:24" ht="20.25" thickBot="1">
      <c r="D85" s="134"/>
      <c r="I85" s="773" t="s">
        <v>182</v>
      </c>
      <c r="J85" s="774"/>
      <c r="K85" s="774"/>
      <c r="L85" s="774"/>
      <c r="N85" s="772"/>
      <c r="O85" s="772"/>
      <c r="P85" s="134"/>
      <c r="R85" s="17"/>
      <c r="S85" s="17"/>
      <c r="T85" s="140"/>
      <c r="U85" s="141"/>
      <c r="X85" s="134"/>
    </row>
    <row r="86" spans="1:24" ht="18.75" thickBot="1">
      <c r="D86" s="134"/>
      <c r="I86" s="775" t="s">
        <v>183</v>
      </c>
      <c r="J86" s="775"/>
      <c r="K86" s="775"/>
      <c r="L86" s="775"/>
      <c r="N86" s="142">
        <f>B43+F43+J43+N43+R43+V43+B81+F81+J81+N81+R81+V81</f>
        <v>-3338.0000000000005</v>
      </c>
      <c r="O86" s="142">
        <f>C43+G43+K43+O43+S43+W43+C81+G81+K81+O81+S81+W81</f>
        <v>610.99999999999989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65"/>
      <c r="C88" s="765"/>
      <c r="D88" s="765"/>
      <c r="E88" s="765"/>
      <c r="F88" s="765"/>
      <c r="G88" s="765"/>
      <c r="H88" s="765"/>
      <c r="I88" s="765"/>
      <c r="J88" s="765"/>
      <c r="K88" s="765"/>
      <c r="L88" s="765"/>
      <c r="M88" s="765"/>
      <c r="N88" s="765"/>
      <c r="O88" s="765"/>
      <c r="P88" s="765"/>
      <c r="Q88" s="765"/>
      <c r="R88" s="765"/>
      <c r="S88" s="765"/>
      <c r="T88" s="765"/>
      <c r="U88" s="765"/>
      <c r="V88" s="765"/>
      <c r="W88" s="76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6" t="s">
        <v>216</v>
      </c>
      <c r="B2" s="776"/>
      <c r="C2" s="776"/>
      <c r="D2" s="776"/>
      <c r="E2" s="776"/>
      <c r="F2" s="776"/>
      <c r="G2" s="776"/>
      <c r="H2" s="776"/>
      <c r="I2" s="776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13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992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3553.333333333333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66650</v>
      </c>
      <c r="C8" s="484">
        <f>SUM(tanks!AU37)</f>
        <v>1.6483750000000001</v>
      </c>
      <c r="D8" s="191">
        <f>SUM(B8*C8)*D4</f>
        <v>165620272.078125</v>
      </c>
      <c r="E8" s="192">
        <f>SUM(D8/D4/F4)</f>
        <v>8451.091826923077</v>
      </c>
      <c r="F8" s="192">
        <f>SUM(E8*F4)</f>
        <v>109864.19375000001</v>
      </c>
      <c r="G8" s="500">
        <f>E8*$G$4</f>
        <v>253532.75480769231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6122</v>
      </c>
      <c r="C10" s="181"/>
      <c r="D10" s="183">
        <f>'EDl log'!AB33</f>
        <v>7976957</v>
      </c>
      <c r="E10" s="182">
        <f>SUM(D10/D4/F4)</f>
        <v>407.03952034698307</v>
      </c>
      <c r="F10" s="182">
        <f>SUM(E10*F4)</f>
        <v>5291.5137645107798</v>
      </c>
      <c r="G10" s="500">
        <f>E10*$G$4</f>
        <v>12211.185610409491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9131.4646806033943</v>
      </c>
      <c r="F12" s="180">
        <f>SUM(F6:F10)</f>
        <v>118709.04084784411</v>
      </c>
      <c r="G12" s="179">
        <f>SUM(G6:G10)</f>
        <v>273943.94041810179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215743.94041810179</v>
      </c>
      <c r="I14" s="419">
        <f>SUM(G12-I12)</f>
        <v>215743.94041810179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36.92307692307692</v>
      </c>
      <c r="C16" s="429">
        <f>'[15]Utility Cost '!B16</f>
        <v>26.274193548387096</v>
      </c>
      <c r="D16" s="428"/>
      <c r="E16" s="429">
        <f>B16-C16</f>
        <v>10.648883374689824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369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-194</v>
      </c>
      <c r="F18" s="518">
        <f>B18-D18</f>
        <v>166.33333333333334</v>
      </c>
    </row>
    <row r="19" spans="1:10">
      <c r="A19" s="512" t="s">
        <v>410</v>
      </c>
      <c r="B19" s="510">
        <f>SUM(B18/$F$4)</f>
        <v>28.384615384615383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2021-07-22T03:39:44Z</dcterms:modified>
</cp:coreProperties>
</file>