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Milan\"/>
    </mc:Choice>
  </mc:AlternateContent>
  <bookViews>
    <workbookView xWindow="0" yWindow="0" windowWidth="28800" windowHeight="12435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52511"/>
  <fileRecoveryPr autoRecover="0"/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BI24" i="2"/>
  <c r="BH24" i="2"/>
  <c r="BG24" i="2"/>
  <c r="BF24" i="2"/>
  <c r="BE24" i="2"/>
  <c r="AQ24" i="2"/>
  <c r="AM24" i="2"/>
  <c r="AI24" i="2"/>
  <c r="AF24" i="2"/>
  <c r="AC24" i="2"/>
  <c r="Z24" i="2"/>
  <c r="U24" i="2"/>
  <c r="S24" i="2"/>
  <c r="Q24" i="2"/>
  <c r="O24" i="2"/>
  <c r="M24" i="2"/>
  <c r="K24" i="2"/>
  <c r="I24" i="2"/>
  <c r="G24" i="2"/>
  <c r="E24" i="2"/>
  <c r="BI23" i="2"/>
  <c r="BH23" i="2"/>
  <c r="BG23" i="2"/>
  <c r="BF23" i="2"/>
  <c r="BE23" i="2"/>
  <c r="BD23" i="2"/>
  <c r="AQ23" i="2"/>
  <c r="AM23" i="2"/>
  <c r="AI23" i="2"/>
  <c r="AF23" i="2"/>
  <c r="AC23" i="2"/>
  <c r="Z23" i="2"/>
  <c r="U23" i="2"/>
  <c r="S23" i="2"/>
  <c r="Q23" i="2"/>
  <c r="H21" i="4"/>
  <c r="O23" i="2"/>
  <c r="M23" i="2"/>
  <c r="K23" i="2"/>
  <c r="I23" i="2"/>
  <c r="G23" i="2"/>
  <c r="E23" i="2"/>
  <c r="BI22" i="2"/>
  <c r="BH22" i="2"/>
  <c r="BG22" i="2"/>
  <c r="BF22" i="2"/>
  <c r="BE22" i="2"/>
  <c r="BD22" i="2"/>
  <c r="AQ22" i="2"/>
  <c r="AM22" i="2"/>
  <c r="AI22" i="2"/>
  <c r="AF22" i="2"/>
  <c r="AC22" i="2"/>
  <c r="Z22" i="2"/>
  <c r="U22" i="2"/>
  <c r="S22" i="2"/>
  <c r="Q22" i="2"/>
  <c r="O22" i="2"/>
  <c r="K22" i="2"/>
  <c r="I22" i="2"/>
  <c r="M22" i="2"/>
  <c r="G22" i="2"/>
  <c r="F20" i="4"/>
  <c r="E22" i="2"/>
  <c r="BI21" i="2"/>
  <c r="BH21" i="2"/>
  <c r="BG21" i="2"/>
  <c r="BF21" i="2"/>
  <c r="BE21" i="2"/>
  <c r="BD21" i="2"/>
  <c r="AQ21" i="2"/>
  <c r="AM21" i="2"/>
  <c r="AI21" i="2"/>
  <c r="AF21" i="2"/>
  <c r="AC21" i="2"/>
  <c r="Z21" i="2"/>
  <c r="U21" i="2"/>
  <c r="S21" i="2"/>
  <c r="Q21" i="2"/>
  <c r="O21" i="2"/>
  <c r="M21" i="2"/>
  <c r="K21" i="2"/>
  <c r="I21" i="2"/>
  <c r="G21" i="2"/>
  <c r="E21" i="2"/>
  <c r="BI20" i="2"/>
  <c r="BH20" i="2"/>
  <c r="BG20" i="2"/>
  <c r="BF20" i="2"/>
  <c r="BE20" i="2"/>
  <c r="BD20" i="2"/>
  <c r="AQ20" i="2"/>
  <c r="AM20" i="2"/>
  <c r="AI20" i="2"/>
  <c r="AF20" i="2"/>
  <c r="AC20" i="2"/>
  <c r="Z20" i="2"/>
  <c r="U20" i="2"/>
  <c r="S20" i="2"/>
  <c r="I18" i="4"/>
  <c r="Q20" i="2"/>
  <c r="O20" i="2"/>
  <c r="M20" i="2"/>
  <c r="K20" i="2"/>
  <c r="I20" i="2"/>
  <c r="G20" i="2"/>
  <c r="E20" i="2"/>
  <c r="BI19" i="2"/>
  <c r="BH19" i="2"/>
  <c r="BG19" i="2"/>
  <c r="BF19" i="2"/>
  <c r="BE19" i="2"/>
  <c r="BD19" i="2"/>
  <c r="AQ19" i="2"/>
  <c r="AM19" i="2"/>
  <c r="AI19" i="2"/>
  <c r="AF19" i="2"/>
  <c r="AC19" i="2"/>
  <c r="Z19" i="2"/>
  <c r="U19" i="2"/>
  <c r="S19" i="2"/>
  <c r="Q19" i="2"/>
  <c r="O19" i="2"/>
  <c r="K19" i="2"/>
  <c r="I19" i="2"/>
  <c r="M19" i="2"/>
  <c r="G19" i="2"/>
  <c r="E19" i="2"/>
  <c r="BI18" i="2"/>
  <c r="BH18" i="2"/>
  <c r="BG18" i="2"/>
  <c r="BF18" i="2"/>
  <c r="BE18" i="2"/>
  <c r="BD18" i="2"/>
  <c r="AQ18" i="2"/>
  <c r="AM18" i="2"/>
  <c r="AI18" i="2"/>
  <c r="AF18" i="2"/>
  <c r="AC18" i="2"/>
  <c r="Z18" i="2"/>
  <c r="U18" i="2"/>
  <c r="S18" i="2"/>
  <c r="Q18" i="2"/>
  <c r="O18" i="2"/>
  <c r="G16" i="4"/>
  <c r="K18" i="2"/>
  <c r="I18" i="2"/>
  <c r="M18" i="2"/>
  <c r="G18" i="2"/>
  <c r="E18" i="2"/>
  <c r="A18" i="2"/>
  <c r="BC18" i="2"/>
  <c r="BI17" i="2"/>
  <c r="BH17" i="2"/>
  <c r="BG17" i="2"/>
  <c r="BF17" i="2"/>
  <c r="BE17" i="2"/>
  <c r="BD17" i="2"/>
  <c r="BC17" i="2"/>
  <c r="BB17" i="2"/>
  <c r="BA17" i="2"/>
  <c r="AZ17" i="2"/>
  <c r="AQ17" i="2"/>
  <c r="AM17" i="2"/>
  <c r="AI17" i="2"/>
  <c r="AF17" i="2"/>
  <c r="AC17" i="2"/>
  <c r="Z17" i="2"/>
  <c r="U17" i="2"/>
  <c r="J15" i="4"/>
  <c r="S17" i="2"/>
  <c r="Q17" i="2"/>
  <c r="O17" i="2"/>
  <c r="K17" i="2"/>
  <c r="I17" i="2"/>
  <c r="M17" i="2"/>
  <c r="G17" i="2"/>
  <c r="E17" i="2"/>
  <c r="E15" i="4"/>
  <c r="BI16" i="2"/>
  <c r="BH16" i="2"/>
  <c r="BG16" i="2"/>
  <c r="BF16" i="2"/>
  <c r="BE16" i="2"/>
  <c r="BD16" i="2"/>
  <c r="AY16" i="2"/>
  <c r="AY17" i="2"/>
  <c r="AY18" i="2"/>
  <c r="AY19" i="2"/>
  <c r="AY20" i="2"/>
  <c r="AY21" i="2"/>
  <c r="AY22" i="2"/>
  <c r="AY23" i="2"/>
  <c r="AY24" i="2"/>
  <c r="AQ16" i="2"/>
  <c r="AM16" i="2"/>
  <c r="AI16" i="2"/>
  <c r="AF16" i="2"/>
  <c r="AC16" i="2"/>
  <c r="Z16" i="2"/>
  <c r="U16" i="2"/>
  <c r="S16" i="2"/>
  <c r="Q16" i="2"/>
  <c r="O16" i="2"/>
  <c r="K16" i="2"/>
  <c r="I16" i="2"/>
  <c r="M16" i="2"/>
  <c r="G16" i="2"/>
  <c r="E16" i="2"/>
  <c r="BI15" i="2"/>
  <c r="BH15" i="2"/>
  <c r="BG15" i="2"/>
  <c r="BF15" i="2"/>
  <c r="BE15" i="2"/>
  <c r="BD15" i="2"/>
  <c r="BB15" i="2"/>
  <c r="AQ15" i="2"/>
  <c r="AM15" i="2"/>
  <c r="AI15" i="2"/>
  <c r="AF15" i="2"/>
  <c r="AC15" i="2"/>
  <c r="Z15" i="2"/>
  <c r="U15" i="2"/>
  <c r="S15" i="2"/>
  <c r="Q15" i="2"/>
  <c r="O15" i="2"/>
  <c r="M15" i="2"/>
  <c r="K15" i="2"/>
  <c r="I15" i="2"/>
  <c r="G15" i="2"/>
  <c r="E15" i="2"/>
  <c r="A15" i="2"/>
  <c r="BC15" i="2"/>
  <c r="BI14" i="2"/>
  <c r="BH14" i="2"/>
  <c r="BG14" i="2"/>
  <c r="BF14" i="2"/>
  <c r="BE14" i="2"/>
  <c r="BD14" i="2"/>
  <c r="BB14" i="2"/>
  <c r="AZ14" i="2"/>
  <c r="AQ14" i="2"/>
  <c r="AM14" i="2"/>
  <c r="AI14" i="2"/>
  <c r="AF14" i="2"/>
  <c r="AC14" i="2"/>
  <c r="Z14" i="2"/>
  <c r="W14" i="2"/>
  <c r="U14" i="2"/>
  <c r="S14" i="2"/>
  <c r="Q14" i="2"/>
  <c r="O14" i="2"/>
  <c r="K14" i="2"/>
  <c r="I14" i="2"/>
  <c r="M14" i="2"/>
  <c r="G14" i="2"/>
  <c r="E14" i="2"/>
  <c r="A14" i="2"/>
  <c r="BA14" i="2"/>
  <c r="BI13" i="2"/>
  <c r="BH13" i="2"/>
  <c r="BG13" i="2"/>
  <c r="BF13" i="2"/>
  <c r="BE13" i="2"/>
  <c r="BD13" i="2"/>
  <c r="BC13" i="2"/>
  <c r="BB13" i="2"/>
  <c r="BA13" i="2"/>
  <c r="AZ13" i="2"/>
  <c r="AQ13" i="2"/>
  <c r="AM13" i="2"/>
  <c r="AI13" i="2"/>
  <c r="AF13" i="2"/>
  <c r="AC13" i="2"/>
  <c r="Z13" i="2"/>
  <c r="U13" i="2"/>
  <c r="J11" i="4"/>
  <c r="S13" i="2"/>
  <c r="Q13" i="2"/>
  <c r="H11" i="4"/>
  <c r="O13" i="2"/>
  <c r="M13" i="2"/>
  <c r="K13" i="2"/>
  <c r="I13" i="2"/>
  <c r="G13" i="2"/>
  <c r="E13" i="2"/>
  <c r="E11" i="4"/>
  <c r="BI12" i="2"/>
  <c r="BH12" i="2"/>
  <c r="BG12" i="2"/>
  <c r="BF12" i="2"/>
  <c r="BE12" i="2"/>
  <c r="BD12" i="2"/>
  <c r="AQ12" i="2"/>
  <c r="AM12" i="2"/>
  <c r="AI12" i="2"/>
  <c r="AF12" i="2"/>
  <c r="AC12" i="2"/>
  <c r="Z12" i="2"/>
  <c r="U12" i="2"/>
  <c r="J10" i="4"/>
  <c r="S12" i="2"/>
  <c r="Q12" i="2"/>
  <c r="O12" i="2"/>
  <c r="K12" i="2"/>
  <c r="I12" i="2"/>
  <c r="M12" i="2"/>
  <c r="G12" i="2"/>
  <c r="E12" i="2"/>
  <c r="E10" i="4"/>
  <c r="BI11" i="2"/>
  <c r="BH11" i="2"/>
  <c r="BG11" i="2"/>
  <c r="BF11" i="2"/>
  <c r="BE11" i="2"/>
  <c r="BD11" i="2"/>
  <c r="AQ11" i="2"/>
  <c r="AM11" i="2"/>
  <c r="AI11" i="2"/>
  <c r="AF11" i="2"/>
  <c r="AC11" i="2"/>
  <c r="Z11" i="2"/>
  <c r="U11" i="2"/>
  <c r="S11" i="2"/>
  <c r="Q11" i="2"/>
  <c r="O11" i="2"/>
  <c r="G9" i="4"/>
  <c r="K11" i="2"/>
  <c r="I11" i="2"/>
  <c r="M11" i="2"/>
  <c r="G11" i="2"/>
  <c r="E11" i="2"/>
  <c r="BI10" i="2"/>
  <c r="BH10" i="2"/>
  <c r="BG10" i="2"/>
  <c r="BF10" i="2"/>
  <c r="BE10" i="2"/>
  <c r="BD10" i="2"/>
  <c r="AQ10" i="2"/>
  <c r="AM10" i="2"/>
  <c r="AI10" i="2"/>
  <c r="AF10" i="2"/>
  <c r="AC10" i="2"/>
  <c r="Z10" i="2"/>
  <c r="U10" i="2"/>
  <c r="S10" i="2"/>
  <c r="Q10" i="2"/>
  <c r="H8" i="4"/>
  <c r="O10" i="2"/>
  <c r="M10" i="2"/>
  <c r="K10" i="2"/>
  <c r="I10" i="2"/>
  <c r="G10" i="2"/>
  <c r="E10" i="2"/>
  <c r="E8" i="4"/>
  <c r="BI9" i="2"/>
  <c r="BH9" i="2"/>
  <c r="BG9" i="2"/>
  <c r="BF9" i="2"/>
  <c r="BE9" i="2"/>
  <c r="BD9" i="2"/>
  <c r="AQ9" i="2"/>
  <c r="AM9" i="2"/>
  <c r="AI9" i="2"/>
  <c r="AF9" i="2"/>
  <c r="AC9" i="2"/>
  <c r="Z9" i="2"/>
  <c r="U9" i="2"/>
  <c r="S9" i="2"/>
  <c r="Q9" i="2"/>
  <c r="O9" i="2"/>
  <c r="K9" i="2"/>
  <c r="I9" i="2"/>
  <c r="M9" i="2"/>
  <c r="G9" i="2"/>
  <c r="F7" i="4"/>
  <c r="E9" i="2"/>
  <c r="BI8" i="2"/>
  <c r="BH8" i="2"/>
  <c r="BG8" i="2"/>
  <c r="BF8" i="2"/>
  <c r="BE8" i="2"/>
  <c r="BD8" i="2"/>
  <c r="AQ8" i="2"/>
  <c r="AM8" i="2"/>
  <c r="AI8" i="2"/>
  <c r="AF8" i="2"/>
  <c r="AC8" i="2"/>
  <c r="Z8" i="2"/>
  <c r="U8" i="2"/>
  <c r="S8" i="2"/>
  <c r="Q8" i="2"/>
  <c r="H6" i="4"/>
  <c r="O8" i="2"/>
  <c r="M8" i="2"/>
  <c r="K8" i="2"/>
  <c r="I8" i="2"/>
  <c r="G8" i="2"/>
  <c r="E8" i="2"/>
  <c r="BI7" i="2"/>
  <c r="BH7" i="2"/>
  <c r="BG7" i="2"/>
  <c r="BF7" i="2"/>
  <c r="BE7" i="2"/>
  <c r="BD7" i="2"/>
  <c r="AY7" i="2"/>
  <c r="AY8" i="2"/>
  <c r="AY9" i="2"/>
  <c r="AY10" i="2"/>
  <c r="AY11" i="2"/>
  <c r="AY12" i="2"/>
  <c r="AY13" i="2"/>
  <c r="AY14" i="2"/>
  <c r="AQ7" i="2"/>
  <c r="AM7" i="2"/>
  <c r="AI7" i="2"/>
  <c r="AF7" i="2"/>
  <c r="AC7" i="2"/>
  <c r="Z7" i="2"/>
  <c r="U7" i="2"/>
  <c r="S7" i="2"/>
  <c r="I5" i="4"/>
  <c r="Q7" i="2"/>
  <c r="O7" i="2"/>
  <c r="M7" i="2"/>
  <c r="K7" i="2"/>
  <c r="I7" i="2"/>
  <c r="G7" i="2"/>
  <c r="F5" i="4"/>
  <c r="E7" i="2"/>
  <c r="A7" i="2"/>
  <c r="BC7" i="2"/>
  <c r="BI6" i="2"/>
  <c r="BH6" i="2"/>
  <c r="BG6" i="2"/>
  <c r="BF6" i="2"/>
  <c r="BE6" i="2"/>
  <c r="BD6" i="2"/>
  <c r="BB6" i="2"/>
  <c r="AZ6" i="2"/>
  <c r="AY6" i="2"/>
  <c r="AQ6" i="2"/>
  <c r="AM6" i="2"/>
  <c r="AI6" i="2"/>
  <c r="AF6" i="2"/>
  <c r="AC6" i="2"/>
  <c r="Z6" i="2"/>
  <c r="U6" i="2"/>
  <c r="S6" i="2"/>
  <c r="Q6" i="2"/>
  <c r="O6" i="2"/>
  <c r="K6" i="2"/>
  <c r="I6" i="2"/>
  <c r="M6" i="2"/>
  <c r="G6" i="2"/>
  <c r="E6" i="2"/>
  <c r="A6" i="2"/>
  <c r="BA6" i="2"/>
  <c r="BI5" i="2"/>
  <c r="BH5" i="2"/>
  <c r="BG5" i="2"/>
  <c r="BF5" i="2"/>
  <c r="BE5" i="2"/>
  <c r="BD5" i="2"/>
  <c r="BC5" i="2"/>
  <c r="BB5" i="2"/>
  <c r="BA5" i="2"/>
  <c r="AZ5" i="2"/>
  <c r="AQ5" i="2"/>
  <c r="AM5" i="2"/>
  <c r="AI5" i="2"/>
  <c r="AF5" i="2"/>
  <c r="AC5" i="2"/>
  <c r="Z5" i="2"/>
  <c r="BE4" i="2"/>
  <c r="BC4" i="2"/>
  <c r="BB4" i="2"/>
  <c r="AR4" i="2"/>
  <c r="AP4" i="2"/>
  <c r="AN4" i="2"/>
  <c r="AL4" i="2"/>
  <c r="AJ4" i="2"/>
  <c r="AH4" i="2"/>
  <c r="AG4" i="2"/>
  <c r="AE4" i="2"/>
  <c r="AD4" i="2"/>
  <c r="AB4" i="2"/>
  <c r="AA4" i="2"/>
  <c r="Y4" i="2"/>
  <c r="X4" i="2"/>
  <c r="V4" i="2"/>
  <c r="T4" i="2"/>
  <c r="U5" i="2"/>
  <c r="J3" i="4"/>
  <c r="R4" i="2"/>
  <c r="S5" i="2"/>
  <c r="I3" i="4"/>
  <c r="P4" i="2"/>
  <c r="Q5" i="2"/>
  <c r="H3" i="4"/>
  <c r="N4" i="2"/>
  <c r="O5" i="2"/>
  <c r="G3" i="4"/>
  <c r="K5" i="2"/>
  <c r="I2" i="5" s="1"/>
  <c r="H4" i="2"/>
  <c r="I5" i="2"/>
  <c r="M5" i="2"/>
  <c r="F4" i="2"/>
  <c r="G5" i="2"/>
  <c r="F3" i="4"/>
  <c r="E5" i="2"/>
  <c r="I13" i="4"/>
  <c r="J12" i="4"/>
  <c r="I12" i="4"/>
  <c r="G11" i="5"/>
  <c r="F11" i="4"/>
  <c r="I10" i="4"/>
  <c r="G10" i="4"/>
  <c r="I9" i="4"/>
  <c r="I8" i="4"/>
  <c r="J7" i="4"/>
  <c r="H7" i="4"/>
  <c r="G7" i="4"/>
  <c r="J6" i="4"/>
  <c r="G6" i="4"/>
  <c r="F6" i="4"/>
  <c r="G5" i="5"/>
  <c r="E5" i="4"/>
  <c r="J4" i="4"/>
  <c r="H4" i="4"/>
  <c r="G4" i="4"/>
  <c r="K3" i="4"/>
  <c r="E2" i="5"/>
  <c r="I4" i="4"/>
  <c r="F4" i="4"/>
  <c r="I30" i="4"/>
  <c r="H30" i="4"/>
  <c r="I29" i="4"/>
  <c r="H29" i="4"/>
  <c r="G29" i="4"/>
  <c r="F29" i="4"/>
  <c r="H28" i="4"/>
  <c r="G28" i="4"/>
  <c r="F28" i="4"/>
  <c r="F23" i="4"/>
  <c r="G22" i="4"/>
  <c r="F22" i="4"/>
  <c r="G21" i="5"/>
  <c r="G21" i="4"/>
  <c r="I20" i="4"/>
  <c r="G20" i="4"/>
  <c r="G19" i="5"/>
  <c r="F19" i="4"/>
  <c r="J18" i="4"/>
  <c r="F18" i="4"/>
  <c r="E18" i="4"/>
  <c r="J13" i="4"/>
  <c r="G12" i="5"/>
  <c r="H12" i="4"/>
  <c r="I11" i="4"/>
  <c r="G11" i="4"/>
  <c r="G9" i="5"/>
  <c r="G13" i="4"/>
  <c r="F12" i="4"/>
  <c r="H10" i="4"/>
  <c r="J9" i="4"/>
  <c r="G8" i="5"/>
  <c r="J8" i="4"/>
  <c r="F8" i="4"/>
  <c r="G7" i="5"/>
  <c r="I6" i="4"/>
  <c r="G5" i="4"/>
  <c r="I7" i="4"/>
  <c r="G6" i="5"/>
  <c r="J5" i="4"/>
  <c r="J30" i="4"/>
  <c r="G30" i="4"/>
  <c r="J29" i="4"/>
  <c r="G28" i="5"/>
  <c r="E28" i="4"/>
  <c r="J27" i="4"/>
  <c r="F27" i="4"/>
  <c r="E27" i="4"/>
  <c r="I26" i="4"/>
  <c r="H26" i="4"/>
  <c r="G26" i="4"/>
  <c r="J25" i="4"/>
  <c r="F25" i="4"/>
  <c r="E25" i="4"/>
  <c r="J24" i="4"/>
  <c r="G23" i="5"/>
  <c r="J23" i="4"/>
  <c r="E23" i="4"/>
  <c r="F21" i="4"/>
  <c r="G20" i="5"/>
  <c r="H20" i="4"/>
  <c r="G18" i="5"/>
  <c r="G18" i="4"/>
  <c r="F17" i="4"/>
  <c r="E17" i="4"/>
  <c r="H16" i="4"/>
  <c r="H14" i="4"/>
  <c r="G14" i="4"/>
  <c r="H13" i="4"/>
  <c r="F13" i="4"/>
  <c r="F10" i="4"/>
  <c r="E7" i="4"/>
  <c r="G25" i="5"/>
  <c r="I24" i="4"/>
  <c r="H24" i="4"/>
  <c r="F24" i="4"/>
  <c r="E24" i="4"/>
  <c r="H18" i="4"/>
  <c r="H17" i="4"/>
  <c r="G17" i="4"/>
  <c r="G15" i="5"/>
  <c r="H15" i="4"/>
  <c r="G15" i="4"/>
  <c r="F15" i="4"/>
  <c r="J14" i="4"/>
  <c r="I14" i="4"/>
  <c r="E14" i="4"/>
  <c r="I15" i="4"/>
  <c r="H23" i="4"/>
  <c r="J16" i="4"/>
  <c r="AB38" i="2"/>
  <c r="AJ38" i="2"/>
  <c r="E30" i="4"/>
  <c r="I28" i="4"/>
  <c r="G27" i="5"/>
  <c r="I27" i="4"/>
  <c r="H27" i="4"/>
  <c r="G27" i="4"/>
  <c r="J26" i="4"/>
  <c r="I25" i="4"/>
  <c r="H25" i="4"/>
  <c r="G25" i="4"/>
  <c r="G24" i="5"/>
  <c r="I23" i="4"/>
  <c r="J22" i="4"/>
  <c r="I22" i="4"/>
  <c r="J21" i="4"/>
  <c r="J19" i="4"/>
  <c r="I19" i="4"/>
  <c r="H19" i="4"/>
  <c r="G19" i="4"/>
  <c r="J17" i="4"/>
  <c r="I17" i="4"/>
  <c r="F14" i="4"/>
  <c r="G12" i="4"/>
  <c r="F9" i="4"/>
  <c r="G8" i="4"/>
  <c r="G24" i="4"/>
  <c r="G23" i="4"/>
  <c r="I21" i="4"/>
  <c r="H9" i="4"/>
  <c r="H5" i="4"/>
  <c r="F16" i="4"/>
  <c r="I16" i="4"/>
  <c r="J20" i="4"/>
  <c r="H22" i="4"/>
  <c r="F26" i="4"/>
  <c r="J28" i="4"/>
  <c r="L8" i="4"/>
  <c r="K8" i="4"/>
  <c r="F30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G29" i="5"/>
  <c r="G4" i="5"/>
  <c r="E16" i="4"/>
  <c r="G13" i="5"/>
  <c r="E26" i="4"/>
  <c r="G22" i="5"/>
  <c r="G26" i="5"/>
  <c r="G16" i="5"/>
  <c r="E21" i="4"/>
  <c r="E29" i="4"/>
  <c r="E19" i="4"/>
  <c r="E13" i="4"/>
  <c r="E9" i="4"/>
  <c r="G17" i="5"/>
  <c r="E22" i="4"/>
  <c r="E20" i="4"/>
  <c r="BC6" i="2"/>
  <c r="AZ7" i="2"/>
  <c r="BC14" i="2"/>
  <c r="BB7" i="2"/>
  <c r="A8" i="2"/>
  <c r="BA7" i="2"/>
  <c r="G10" i="5"/>
  <c r="E12" i="4"/>
  <c r="E6" i="4"/>
  <c r="BC8" i="2"/>
  <c r="A9" i="2"/>
  <c r="BB8" i="2"/>
  <c r="BA8" i="2"/>
  <c r="AZ8" i="2"/>
  <c r="E4" i="4"/>
  <c r="G3" i="5"/>
  <c r="AZ9" i="2"/>
  <c r="BA9" i="2"/>
  <c r="BC9" i="2"/>
  <c r="A10" i="2"/>
  <c r="BB9" i="2"/>
  <c r="AZ10" i="2"/>
  <c r="BC10" i="2"/>
  <c r="A11" i="2"/>
  <c r="BB10" i="2"/>
  <c r="BA10" i="2"/>
  <c r="A12" i="2"/>
  <c r="BB11" i="2"/>
  <c r="BA11" i="2"/>
  <c r="AZ11" i="2"/>
  <c r="BC11" i="2"/>
  <c r="BB12" i="2"/>
  <c r="BC12" i="2"/>
  <c r="BA12" i="2"/>
  <c r="AZ12" i="2"/>
  <c r="G14" i="5"/>
  <c r="AZ15" i="2"/>
  <c r="AZ18" i="2"/>
  <c r="BA15" i="2"/>
  <c r="BA18" i="2"/>
  <c r="A16" i="2"/>
  <c r="BB18" i="2"/>
  <c r="A19" i="2"/>
  <c r="E3" i="4"/>
  <c r="G2" i="5"/>
  <c r="AZ16" i="2"/>
  <c r="BB16" i="2"/>
  <c r="BC16" i="2"/>
  <c r="BA16" i="2"/>
  <c r="AZ19" i="2"/>
  <c r="BC19" i="2"/>
  <c r="A20" i="2"/>
  <c r="BA19" i="2"/>
  <c r="BB19" i="2"/>
  <c r="BC20" i="2"/>
  <c r="A21" i="2"/>
  <c r="BB20" i="2"/>
  <c r="BA20" i="2"/>
  <c r="AZ20" i="2"/>
  <c r="A22" i="2"/>
  <c r="BB21" i="2"/>
  <c r="BA21" i="2"/>
  <c r="AZ21" i="2"/>
  <c r="BC21" i="2"/>
  <c r="BC22" i="2"/>
  <c r="A23" i="2"/>
  <c r="BB22" i="2"/>
  <c r="AZ22" i="2"/>
  <c r="BA22" i="2"/>
  <c r="BC23" i="2"/>
  <c r="A24" i="2"/>
  <c r="BB23" i="2"/>
  <c r="BA23" i="2"/>
  <c r="AZ23" i="2"/>
  <c r="BA24" i="2"/>
  <c r="AZ24" i="2"/>
  <c r="BD24" i="2"/>
  <c r="BC24" i="2"/>
  <c r="BB24" i="2"/>
</calcChain>
</file>

<file path=xl/sharedStrings.xml><?xml version="1.0" encoding="utf-8"?>
<sst xmlns="http://schemas.openxmlformats.org/spreadsheetml/2006/main" count="195" uniqueCount="80">
  <si>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</si>
  <si>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</si>
  <si>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</si>
  <si>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</si>
  <si>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</si>
  <si>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</si>
  <si>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</si>
  <si>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</si>
  <si>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</si>
  <si>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</si>
  <si>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</si>
  <si>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</si>
  <si>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</si>
  <si>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</si>
  <si>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</si>
  <si>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</si>
  <si>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</si>
  <si>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</si>
  <si>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</si>
  <si>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</si>
  <si>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</si>
  <si>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</si>
  <si>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</si>
  <si>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</si>
  <si>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</si>
  <si>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</si>
  <si>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</si>
  <si>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</si>
  <si>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</si>
  <si>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</si>
  <si>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>00:00</t>
  </si>
  <si>
    <t xml:space="preserve">TOTALE </t>
  </si>
  <si>
    <t>CONSUMI</t>
  </si>
  <si>
    <t>BUDGET</t>
  </si>
  <si>
    <t>RIMECO 15</t>
  </si>
  <si>
    <t>RIMECO 16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</si>
  <si>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</si>
  <si>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</si>
  <si>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</si>
  <si>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</si>
  <si>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</si>
  <si>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</si>
  <si>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</si>
  <si>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</si>
  <si>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</si>
  <si>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</si>
  <si>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</si>
  <si>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</si>
  <si>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</si>
  <si>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</si>
  <si>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</si>
  <si>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</si>
  <si>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</si>
  <si>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</si>
  <si>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</si>
  <si>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</si>
  <si>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</si>
  <si>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</si>
  <si>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</si>
  <si>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</si>
  <si>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</si>
  <si>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</si>
  <si>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</si>
  <si>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</si>
  <si>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</si>
  <si>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</si>
  <si>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</si>
  <si>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</si>
  <si>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</si>
  <si>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</si>
  <si>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</si>
  <si>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</si>
  <si>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</si>
  <si>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</si>
  <si>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x</t>
  </si>
  <si>
    <t xml:space="preserve">         MEDIA</t>
  </si>
  <si>
    <t>RIMECO 17</t>
  </si>
  <si>
    <t>RIMECO 18</t>
  </si>
  <si>
    <t>RIMECO 19</t>
  </si>
  <si>
    <t>00:30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</si>
</sst>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9" formatCode="_-* #,##0_-;\-* #,##0_-;_-* &quot;-&quot;_-;_-@_-"/>
    <numFmt numFmtId="171" formatCode="_-* #,##0.00_-;\-* #,##0.00_-;_-* &quot;-&quot;??_-;_-@_-"/>
    <numFmt numFmtId="172" formatCode="_-* #,##0.000_-;\-* #,##0.000_-;_-* &quot;-&quot;_-;_-@_-"/>
    <numFmt numFmtId="173" formatCode="#,##0_ ;\-#,##0\ "/>
    <numFmt numFmtId="174" formatCode="_-* #,##0.00_-;\-* #,##0.00_-;_-* &quot;-&quot;_-;_-@_-"/>
    <numFmt numFmtId="175" formatCode="_-* #,##0.00000_-;\-* #,##0.00000_-;_-* &quot;-&quot;_-;_-@_-"/>
    <numFmt numFmtId="179" formatCode="#,##0.0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theme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169" fontId="8" fillId="0" borderId="0" applyFont="0" applyFill="0" applyBorder="0" applyAlignment="0" applyProtection="0"/>
  </cellStyleXfs>
  <cellXfs count="148">
    <xf numFmtId="0" fontId="0" fillId="0" borderId="0" xfId="0"/>
    <xf numFmtId="169" fontId="1" fillId="0" borderId="0" xfId="1" applyFont="1"/>
    <xf numFmtId="169" fontId="2" fillId="0" borderId="0" xfId="1" applyFont="1"/>
    <xf numFmtId="169" fontId="2" fillId="3" borderId="1" xfId="1" applyFont="1" applyFill="1" applyBorder="1" applyAlignment="1" applyProtection="1">
      <alignment horizontal="left"/>
    </xf>
    <xf numFmtId="169" fontId="2" fillId="3" borderId="2" xfId="1" applyFont="1" applyFill="1" applyBorder="1" applyAlignment="1" applyProtection="1">
      <alignment horizontal="left"/>
    </xf>
    <xf numFmtId="169" fontId="4" fillId="3" borderId="3" xfId="1" applyFont="1" applyFill="1" applyBorder="1" applyAlignment="1" applyProtection="1">
      <alignment horizontal="left"/>
    </xf>
    <xf numFmtId="169" fontId="5" fillId="0" borderId="4" xfId="1" applyFont="1" applyBorder="1" applyProtection="1"/>
    <xf numFmtId="169" fontId="3" fillId="0" borderId="4" xfId="1" applyFont="1" applyBorder="1" applyProtection="1"/>
    <xf numFmtId="169" fontId="1" fillId="0" borderId="4" xfId="1" applyFont="1" applyBorder="1" applyProtection="1"/>
    <xf numFmtId="3" fontId="1" fillId="0" borderId="4" xfId="1" applyNumberFormat="1" applyFont="1" applyBorder="1" applyProtection="1"/>
    <xf numFmtId="169" fontId="1" fillId="0" borderId="4" xfId="1" applyFont="1" applyBorder="1" applyAlignment="1" applyProtection="1">
      <alignment horizontal="left"/>
    </xf>
    <xf numFmtId="172" fontId="6" fillId="0" borderId="4" xfId="1" applyNumberFormat="1" applyFont="1" applyBorder="1" applyProtection="1"/>
    <xf numFmtId="3" fontId="5" fillId="0" borderId="4" xfId="1" applyNumberFormat="1" applyFont="1" applyBorder="1" applyProtection="1"/>
    <xf numFmtId="174" fontId="5" fillId="0" borderId="4" xfId="1" applyNumberFormat="1" applyFont="1" applyBorder="1" applyProtection="1"/>
    <xf numFmtId="169" fontId="5" fillId="0" borderId="4" xfId="1" applyFont="1" applyFill="1" applyBorder="1" applyProtection="1"/>
    <xf numFmtId="169" fontId="1" fillId="0" borderId="5" xfId="1" applyFont="1" applyBorder="1" applyProtection="1"/>
    <xf numFmtId="169" fontId="1" fillId="0" borderId="6" xfId="1" applyFont="1" applyBorder="1" applyProtection="1"/>
    <xf numFmtId="169" fontId="1" fillId="0" borderId="7" xfId="1" applyFont="1" applyBorder="1"/>
    <xf numFmtId="169" fontId="2" fillId="0" borderId="8" xfId="1" applyFont="1" applyBorder="1" applyProtection="1"/>
    <xf numFmtId="169" fontId="2" fillId="0" borderId="9" xfId="1" applyFont="1" applyBorder="1" applyProtection="1"/>
    <xf numFmtId="169" fontId="2" fillId="0" borderId="0" xfId="1" applyFont="1" applyBorder="1" applyProtection="1"/>
    <xf numFmtId="169" fontId="1" fillId="2" borderId="10" xfId="1" applyFont="1" applyFill="1" applyBorder="1"/>
    <xf numFmtId="169" fontId="1" fillId="0" borderId="10" xfId="1" applyFont="1" applyBorder="1"/>
    <xf numFmtId="169" fontId="1" fillId="0" borderId="1" xfId="1" applyFont="1" applyBorder="1"/>
    <xf numFmtId="169" fontId="2" fillId="5" borderId="11" xfId="1" applyFont="1" applyFill="1" applyBorder="1"/>
    <xf numFmtId="169" fontId="2" fillId="0" borderId="0" xfId="1" applyFont="1" applyAlignment="1" applyProtection="1">
      <alignment horizontal="center"/>
    </xf>
    <xf numFmtId="174" fontId="2" fillId="0" borderId="0" xfId="1" applyNumberFormat="1" applyFont="1" applyBorder="1" applyProtection="1"/>
    <xf numFmtId="174" fontId="1" fillId="0" borderId="0" xfId="1" applyNumberFormat="1" applyFont="1"/>
    <xf numFmtId="169" fontId="2" fillId="0" borderId="12" xfId="1" applyFont="1" applyBorder="1"/>
    <xf numFmtId="169" fontId="2" fillId="0" borderId="12" xfId="1" applyFont="1" applyBorder="1" applyProtection="1"/>
    <xf numFmtId="169" fontId="1" fillId="0" borderId="0" xfId="1" applyNumberFormat="1" applyFont="1"/>
    <xf numFmtId="1" fontId="0" fillId="0" borderId="0" xfId="0" applyNumberFormat="1"/>
    <xf numFmtId="1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" fontId="9" fillId="0" borderId="0" xfId="0" applyNumberFormat="1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9" fontId="1" fillId="0" borderId="13" xfId="1" applyFont="1" applyBorder="1" applyProtection="1"/>
    <xf numFmtId="169" fontId="1" fillId="0" borderId="14" xfId="1" applyFont="1" applyBorder="1" applyProtection="1"/>
    <xf numFmtId="1" fontId="11" fillId="0" borderId="0" xfId="0" applyNumberFormat="1" applyFont="1"/>
    <xf numFmtId="1" fontId="14" fillId="0" borderId="0" xfId="0" applyNumberFormat="1" applyFont="1" applyAlignment="1">
      <alignment wrapText="1"/>
    </xf>
    <xf numFmtId="1" fontId="13" fillId="0" borderId="0" xfId="0" applyNumberFormat="1" applyFont="1"/>
    <xf numFmtId="1" fontId="10" fillId="0" borderId="0" xfId="0" applyNumberFormat="1" applyFont="1"/>
    <xf numFmtId="169" fontId="1" fillId="3" borderId="15" xfId="1" applyFont="1" applyFill="1" applyBorder="1" applyAlignment="1">
      <alignment horizontal="center" vertical="center" wrapText="1"/>
    </xf>
    <xf numFmtId="169" fontId="1" fillId="3" borderId="16" xfId="1" applyFont="1" applyFill="1" applyBorder="1" applyAlignment="1">
      <alignment horizontal="center" vertical="center" wrapText="1"/>
    </xf>
    <xf numFmtId="169" fontId="1" fillId="3" borderId="17" xfId="1" applyFont="1" applyFill="1" applyBorder="1" applyAlignment="1">
      <alignment horizontal="center" vertical="center" wrapText="1"/>
    </xf>
    <xf numFmtId="169" fontId="1" fillId="0" borderId="0" xfId="1" applyFont="1" applyBorder="1"/>
    <xf numFmtId="169" fontId="1" fillId="0" borderId="0" xfId="1" applyFont="1" applyBorder="1" applyAlignment="1">
      <alignment horizontal="center" vertical="center" wrapText="1"/>
    </xf>
    <xf numFmtId="169" fontId="2" fillId="3" borderId="1" xfId="1" applyFont="1" applyFill="1" applyBorder="1" applyAlignment="1" applyProtection="1">
      <alignment horizontal="center" vertical="center" wrapText="1"/>
    </xf>
    <xf numFmtId="169" fontId="2" fillId="3" borderId="1" xfId="1" applyFont="1" applyFill="1" applyBorder="1" applyAlignment="1" applyProtection="1">
      <alignment horizontal="left" vertical="center"/>
    </xf>
    <xf numFmtId="169" fontId="2" fillId="3" borderId="10" xfId="1" applyFont="1" applyFill="1" applyBorder="1" applyAlignment="1">
      <alignment horizontal="center" vertical="center" wrapText="1"/>
    </xf>
    <xf numFmtId="3" fontId="1" fillId="0" borderId="1" xfId="1" applyNumberFormat="1" applyFont="1" applyBorder="1" applyProtection="1"/>
    <xf numFmtId="169" fontId="2" fillId="4" borderId="18" xfId="1" applyFont="1" applyFill="1" applyBorder="1" applyAlignment="1" applyProtection="1">
      <alignment horizontal="right"/>
    </xf>
    <xf numFmtId="169" fontId="2" fillId="0" borderId="0" xfId="1" applyFont="1" applyBorder="1" applyAlignment="1" applyProtection="1">
      <alignment horizontal="left"/>
    </xf>
    <xf numFmtId="169" fontId="2" fillId="0" borderId="19" xfId="1" applyFont="1" applyBorder="1" applyProtection="1"/>
    <xf numFmtId="169" fontId="1" fillId="2" borderId="0" xfId="1" applyFont="1" applyFill="1" applyBorder="1"/>
    <xf numFmtId="169" fontId="1" fillId="0" borderId="0" xfId="1" applyFont="1" applyBorder="1" applyProtection="1"/>
    <xf numFmtId="174" fontId="2" fillId="0" borderId="0" xfId="1" applyNumberFormat="1" applyFont="1"/>
    <xf numFmtId="169" fontId="2" fillId="0" borderId="11" xfId="1" applyFont="1" applyFill="1" applyBorder="1"/>
    <xf numFmtId="169" fontId="2" fillId="4" borderId="20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3" fontId="1" fillId="0" borderId="21" xfId="1" applyNumberFormat="1" applyFont="1" applyBorder="1" applyProtection="1"/>
    <xf numFmtId="169" fontId="2" fillId="0" borderId="0" xfId="1" applyFont="1" applyAlignment="1" applyProtection="1">
      <alignment horizontal="left"/>
    </xf>
    <xf numFmtId="169" fontId="2" fillId="0" borderId="22" xfId="1" applyFont="1" applyBorder="1" applyProtection="1"/>
    <xf numFmtId="169" fontId="2" fillId="0" borderId="23" xfId="1" applyFont="1" applyBorder="1" applyProtection="1"/>
    <xf numFmtId="169" fontId="2" fillId="0" borderId="24" xfId="1" applyFont="1" applyBorder="1" applyProtection="1"/>
    <xf numFmtId="4" fontId="1" fillId="0" borderId="21" xfId="1" applyNumberFormat="1" applyFont="1" applyBorder="1" applyProtection="1"/>
    <xf numFmtId="169" fontId="2" fillId="0" borderId="8" xfId="1" applyNumberFormat="1" applyFont="1" applyBorder="1" applyProtection="1"/>
    <xf numFmtId="169" fontId="2" fillId="0" borderId="25" xfId="1" applyFont="1" applyBorder="1" applyProtection="1"/>
    <xf numFmtId="169" fontId="2" fillId="0" borderId="26" xfId="1" applyFont="1" applyBorder="1" applyProtection="1"/>
    <xf numFmtId="172" fontId="5" fillId="0" borderId="0" xfId="1" applyNumberFormat="1" applyFont="1" applyBorder="1" applyProtection="1"/>
    <xf numFmtId="169" fontId="5" fillId="0" borderId="27" xfId="1" applyFont="1" applyBorder="1" applyProtection="1"/>
    <xf numFmtId="169" fontId="1" fillId="3" borderId="20" xfId="1" applyFont="1" applyFill="1" applyBorder="1"/>
    <xf numFmtId="169" fontId="5" fillId="0" borderId="5" xfId="1" applyFont="1" applyBorder="1" applyProtection="1"/>
    <xf numFmtId="169" fontId="5" fillId="0" borderId="6" xfId="1" applyFont="1" applyBorder="1" applyProtection="1"/>
    <xf numFmtId="169" fontId="3" fillId="0" borderId="6" xfId="1" applyFont="1" applyFill="1" applyBorder="1"/>
    <xf numFmtId="169" fontId="15" fillId="0" borderId="4" xfId="1" applyFont="1" applyBorder="1" applyProtection="1"/>
    <xf numFmtId="169" fontId="7" fillId="0" borderId="4" xfId="1" applyFont="1" applyBorder="1" applyProtection="1"/>
    <xf numFmtId="179" fontId="5" fillId="0" borderId="4" xfId="1" applyNumberFormat="1" applyFont="1" applyBorder="1" applyProtection="1"/>
    <xf numFmtId="169" fontId="1" fillId="4" borderId="20" xfId="1" applyFont="1" applyFill="1" applyBorder="1" applyProtection="1"/>
    <xf numFmtId="169" fontId="15" fillId="0" borderId="28" xfId="1" applyFont="1" applyBorder="1" applyProtection="1"/>
    <xf numFmtId="169" fontId="5" fillId="6" borderId="4" xfId="1" applyFont="1" applyFill="1" applyBorder="1" applyProtection="1"/>
    <xf numFmtId="171" fontId="5" fillId="0" borderId="4" xfId="1" applyNumberFormat="1" applyFont="1" applyBorder="1" applyProtection="1"/>
    <xf numFmtId="1" fontId="5" fillId="0" borderId="4" xfId="1" applyNumberFormat="1" applyFont="1" applyFill="1" applyBorder="1" applyProtection="1"/>
    <xf numFmtId="169" fontId="1" fillId="4" borderId="5" xfId="1" applyFont="1" applyFill="1" applyBorder="1" applyProtection="1"/>
    <xf numFmtId="175" fontId="5" fillId="0" borderId="29" xfId="1" applyNumberFormat="1" applyFont="1" applyBorder="1" applyProtection="1"/>
    <xf numFmtId="169" fontId="16" fillId="0" borderId="4" xfId="1" applyFont="1" applyBorder="1" applyProtection="1"/>
    <xf numFmtId="169" fontId="5" fillId="0" borderId="4" xfId="1" applyFont="1" applyFill="1" applyBorder="1"/>
    <xf numFmtId="169" fontId="3" fillId="0" borderId="4" xfId="1" applyFont="1" applyBorder="1" applyAlignment="1" applyProtection="1">
      <alignment horizontal="left"/>
    </xf>
    <xf numFmtId="4" fontId="1" fillId="0" borderId="4" xfId="1" applyNumberFormat="1" applyFont="1" applyBorder="1" applyProtection="1"/>
    <xf numFmtId="4" fontId="1" fillId="0" borderId="1" xfId="1" applyNumberFormat="1" applyFont="1" applyBorder="1" applyProtection="1"/>
    <xf numFmtId="169" fontId="1" fillId="0" borderId="1" xfId="1" applyFont="1" applyBorder="1" applyProtection="1"/>
    <xf numFmtId="169" fontId="3" fillId="0" borderId="1" xfId="1" applyFont="1" applyBorder="1" applyProtection="1"/>
    <xf numFmtId="1" fontId="5" fillId="0" borderId="4" xfId="1" applyNumberFormat="1" applyFont="1" applyFill="1" applyBorder="1" applyAlignment="1" applyProtection="1">
      <alignment horizontal="right"/>
    </xf>
    <xf numFmtId="169" fontId="1" fillId="2" borderId="5" xfId="1" applyFont="1" applyFill="1" applyBorder="1"/>
    <xf numFmtId="173" fontId="3" fillId="0" borderId="6" xfId="1" applyNumberFormat="1" applyFont="1" applyFill="1" applyBorder="1"/>
    <xf numFmtId="169" fontId="3" fillId="0" borderId="6" xfId="1" applyNumberFormat="1" applyFont="1" applyFill="1" applyBorder="1"/>
    <xf numFmtId="169" fontId="5" fillId="0" borderId="4" xfId="1" applyFont="1" applyFill="1" applyBorder="1" applyAlignment="1" applyProtection="1">
      <alignment horizontal="right"/>
    </xf>
    <xf numFmtId="172" fontId="5" fillId="0" borderId="4" xfId="1" applyNumberFormat="1" applyFont="1" applyBorder="1" applyProtection="1"/>
    <xf numFmtId="169" fontId="2" fillId="4" borderId="5" xfId="1" applyFont="1" applyFill="1" applyBorder="1" applyProtection="1"/>
    <xf numFmtId="169" fontId="17" fillId="0" borderId="5" xfId="1" applyFont="1" applyBorder="1" applyProtection="1"/>
    <xf numFmtId="169" fontId="1" fillId="0" borderId="5" xfId="1" applyNumberFormat="1" applyFont="1" applyBorder="1" applyProtection="1"/>
    <xf numFmtId="169" fontId="5" fillId="0" borderId="4" xfId="1" quotePrefix="1" applyFont="1" applyFill="1" applyBorder="1" applyAlignment="1" applyProtection="1">
      <alignment horizontal="right"/>
    </xf>
    <xf numFmtId="3" fontId="16" fillId="0" borderId="4" xfId="1" applyNumberFormat="1" applyFont="1" applyBorder="1" applyProtection="1"/>
    <xf numFmtId="169" fontId="5" fillId="0" borderId="4" xfId="1" applyFont="1" applyFill="1" applyBorder="1" applyAlignment="1">
      <alignment horizontal="right"/>
    </xf>
    <xf numFmtId="169" fontId="3" fillId="0" borderId="4" xfId="1" applyFont="1" applyBorder="1"/>
    <xf numFmtId="4" fontId="2" fillId="3" borderId="34" xfId="1" applyNumberFormat="1" applyFont="1" applyFill="1" applyBorder="1" applyAlignment="1" applyProtection="1">
      <alignment horizontal="center" vertical="center" wrapText="1"/>
    </xf>
    <xf numFmtId="4" fontId="2" fillId="3" borderId="36" xfId="1" applyNumberFormat="1" applyFont="1" applyFill="1" applyBorder="1" applyAlignment="1" applyProtection="1">
      <alignment horizontal="center" vertical="center" wrapText="1"/>
    </xf>
    <xf numFmtId="169" fontId="2" fillId="3" borderId="34" xfId="1" applyFont="1" applyFill="1" applyBorder="1" applyAlignment="1" applyProtection="1">
      <alignment horizontal="center" vertical="center" wrapText="1"/>
    </xf>
    <xf numFmtId="169" fontId="2" fillId="3" borderId="35" xfId="1" applyFont="1" applyFill="1" applyBorder="1" applyAlignment="1" applyProtection="1">
      <alignment horizontal="center" vertical="center" wrapText="1"/>
    </xf>
    <xf numFmtId="169" fontId="2" fillId="3" borderId="36" xfId="1" applyFont="1" applyFill="1" applyBorder="1" applyAlignment="1" applyProtection="1">
      <alignment horizontal="center" vertical="center" wrapText="1"/>
    </xf>
    <xf numFmtId="169" fontId="2" fillId="3" borderId="15" xfId="1" applyFont="1" applyFill="1" applyBorder="1" applyAlignment="1" applyProtection="1">
      <alignment horizontal="center" vertical="center" wrapText="1"/>
    </xf>
    <xf numFmtId="169" fontId="2" fillId="3" borderId="33" xfId="1" applyFont="1" applyFill="1" applyBorder="1" applyAlignment="1" applyProtection="1">
      <alignment horizontal="center" vertical="center" wrapText="1"/>
    </xf>
    <xf numFmtId="169" fontId="2" fillId="3" borderId="37" xfId="1" applyFont="1" applyFill="1" applyBorder="1" applyAlignment="1" applyProtection="1">
      <alignment horizontal="center" vertical="center" wrapText="1"/>
    </xf>
    <xf numFmtId="169" fontId="2" fillId="3" borderId="16" xfId="1" applyFont="1" applyFill="1" applyBorder="1" applyAlignment="1" applyProtection="1">
      <alignment horizontal="center" vertical="center" wrapText="1"/>
    </xf>
    <xf numFmtId="169" fontId="2" fillId="3" borderId="19" xfId="1" applyFont="1" applyFill="1" applyBorder="1" applyAlignment="1" applyProtection="1">
      <alignment horizontal="center" vertical="center" wrapText="1"/>
    </xf>
    <xf numFmtId="169" fontId="2" fillId="3" borderId="38" xfId="1" applyFont="1" applyFill="1" applyBorder="1" applyAlignment="1" applyProtection="1">
      <alignment horizontal="center" vertical="center" wrapText="1"/>
    </xf>
    <xf numFmtId="169" fontId="2" fillId="3" borderId="39" xfId="1" applyFont="1" applyFill="1" applyBorder="1" applyAlignment="1">
      <alignment horizontal="center" vertical="center" wrapText="1"/>
    </xf>
    <xf numFmtId="169" fontId="2" fillId="3" borderId="40" xfId="1" applyFont="1" applyFill="1" applyBorder="1" applyAlignment="1">
      <alignment horizontal="center" vertical="center" wrapText="1"/>
    </xf>
    <xf numFmtId="169" fontId="1" fillId="3" borderId="15" xfId="1" applyFont="1" applyFill="1" applyBorder="1" applyAlignment="1">
      <alignment horizontal="center" vertical="center" wrapText="1"/>
    </xf>
    <xf numFmtId="169" fontId="1" fillId="3" borderId="33" xfId="1" applyFont="1" applyFill="1" applyBorder="1" applyAlignment="1">
      <alignment horizontal="center" vertical="center" wrapText="1"/>
    </xf>
    <xf numFmtId="169" fontId="1" fillId="3" borderId="37" xfId="1" applyFont="1" applyFill="1" applyBorder="1" applyAlignment="1">
      <alignment horizontal="center" vertical="center" wrapText="1"/>
    </xf>
    <xf numFmtId="169" fontId="1" fillId="3" borderId="16" xfId="1" applyFont="1" applyFill="1" applyBorder="1" applyAlignment="1">
      <alignment horizontal="center" vertical="center" wrapText="1"/>
    </xf>
    <xf numFmtId="169" fontId="1" fillId="3" borderId="19" xfId="1" applyFont="1" applyFill="1" applyBorder="1" applyAlignment="1">
      <alignment horizontal="center" vertical="center" wrapText="1"/>
    </xf>
    <xf numFmtId="169" fontId="1" fillId="3" borderId="38" xfId="1" applyFont="1" applyFill="1" applyBorder="1" applyAlignment="1">
      <alignment horizontal="center" vertical="center" wrapText="1"/>
    </xf>
    <xf numFmtId="169" fontId="2" fillId="3" borderId="41" xfId="1" applyFont="1" applyFill="1" applyBorder="1" applyAlignment="1" applyProtection="1">
      <alignment horizontal="center" vertical="center" wrapText="1"/>
    </xf>
    <xf numFmtId="169" fontId="2" fillId="3" borderId="42" xfId="1" applyFont="1" applyFill="1" applyBorder="1" applyAlignment="1" applyProtection="1">
      <alignment horizontal="center" vertical="center" wrapText="1"/>
    </xf>
    <xf numFmtId="169" fontId="2" fillId="3" borderId="43" xfId="1" applyFont="1" applyFill="1" applyBorder="1" applyAlignment="1" applyProtection="1">
      <alignment horizontal="center" vertical="center" wrapText="1"/>
    </xf>
    <xf numFmtId="169" fontId="2" fillId="3" borderId="17" xfId="1" applyFont="1" applyFill="1" applyBorder="1" applyAlignment="1" applyProtection="1">
      <alignment horizontal="center" vertical="center" wrapText="1"/>
    </xf>
    <xf numFmtId="169" fontId="2" fillId="3" borderId="0" xfId="1" applyFont="1" applyFill="1" applyBorder="1" applyAlignment="1" applyProtection="1">
      <alignment horizontal="center" vertical="center" wrapText="1"/>
    </xf>
    <xf numFmtId="169" fontId="2" fillId="3" borderId="44" xfId="1" applyFont="1" applyFill="1" applyBorder="1" applyAlignment="1" applyProtection="1">
      <alignment horizontal="center" vertical="center" wrapText="1"/>
    </xf>
    <xf numFmtId="169" fontId="2" fillId="3" borderId="45" xfId="1" applyFont="1" applyFill="1" applyBorder="1" applyAlignment="1" applyProtection="1">
      <alignment horizontal="center" vertical="center" wrapText="1"/>
    </xf>
    <xf numFmtId="169" fontId="2" fillId="3" borderId="46" xfId="1" applyFont="1" applyFill="1" applyBorder="1" applyAlignment="1" applyProtection="1">
      <alignment horizontal="center" vertical="center" wrapText="1"/>
    </xf>
    <xf numFmtId="169" fontId="2" fillId="3" borderId="15" xfId="1" applyFont="1" applyFill="1" applyBorder="1" applyAlignment="1">
      <alignment horizontal="center" vertical="center" wrapText="1"/>
    </xf>
    <xf numFmtId="169" fontId="2" fillId="3" borderId="37" xfId="1" applyFont="1" applyFill="1" applyBorder="1" applyAlignment="1">
      <alignment horizontal="center" vertical="center" wrapText="1"/>
    </xf>
    <xf numFmtId="169" fontId="2" fillId="3" borderId="16" xfId="1" applyFont="1" applyFill="1" applyBorder="1" applyAlignment="1">
      <alignment horizontal="center" vertical="center" wrapText="1"/>
    </xf>
    <xf numFmtId="169" fontId="2" fillId="3" borderId="38" xfId="1" applyFont="1" applyFill="1" applyBorder="1" applyAlignment="1">
      <alignment horizontal="center" vertical="center" wrapText="1"/>
    </xf>
    <xf numFmtId="169" fontId="2" fillId="5" borderId="30" xfId="1" applyFont="1" applyFill="1" applyBorder="1" applyAlignment="1">
      <alignment horizontal="center"/>
    </xf>
    <xf numFmtId="169" fontId="2" fillId="5" borderId="31" xfId="1" applyFont="1" applyFill="1" applyBorder="1" applyAlignment="1">
      <alignment horizontal="center"/>
    </xf>
    <xf numFmtId="169" fontId="2" fillId="5" borderId="32" xfId="1" applyFont="1" applyFill="1" applyBorder="1" applyAlignment="1">
      <alignment horizontal="center"/>
    </xf>
    <xf numFmtId="169" fontId="2" fillId="0" borderId="33" xfId="1" applyFont="1" applyBorder="1" applyAlignment="1">
      <alignment horizontal="center"/>
    </xf>
    <xf numFmtId="169" fontId="2" fillId="3" borderId="34" xfId="1" applyFont="1" applyFill="1" applyBorder="1" applyAlignment="1">
      <alignment horizontal="center" vertical="center" wrapText="1"/>
    </xf>
    <xf numFmtId="169" fontId="2" fillId="3" borderId="36" xfId="1" applyFont="1" applyFill="1" applyBorder="1" applyAlignment="1">
      <alignment horizontal="center" vertical="center" wrapText="1"/>
    </xf>
    <xf numFmtId="4" fontId="2" fillId="3" borderId="34" xfId="1" applyNumberFormat="1" applyFont="1" applyFill="1" applyBorder="1" applyAlignment="1">
      <alignment horizontal="center" vertical="center" wrapText="1"/>
    </xf>
    <xf numFmtId="4" fontId="2" fillId="3" borderId="36" xfId="1" applyNumberFormat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UMI\CONS_GIORN\Consumi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>
        <row r="33">
          <cell r="D33">
            <v>43211</v>
          </cell>
          <cell r="F33">
            <v>6578</v>
          </cell>
          <cell r="H33">
            <v>523901</v>
          </cell>
          <cell r="N33">
            <v>87312</v>
          </cell>
          <cell r="P33">
            <v>79200</v>
          </cell>
          <cell r="R33">
            <v>14225</v>
          </cell>
          <cell r="T33">
            <v>168606</v>
          </cell>
          <cell r="X33">
            <v>10704.8</v>
          </cell>
          <cell r="AA33">
            <v>2093.6</v>
          </cell>
          <cell r="AD33">
            <v>303.39</v>
          </cell>
          <cell r="AG33">
            <v>1139.0999999999999</v>
          </cell>
          <cell r="AJ33">
            <v>232</v>
          </cell>
          <cell r="AN33">
            <v>655.01</v>
          </cell>
          <cell r="AR33">
            <v>288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zoomScale="130" zoomScaleNormal="130" workbookViewId="0">
      <selection activeCell="F9" sqref="F9"/>
    </sheetView>
  </sheetViews>
  <sheetFormatPr defaultColWidth="11.5703125" defaultRowHeight="15" x14ac:dyDescent="0.25"/>
  <cols>
    <col min="4" max="4" width="13.42578125" customWidth="1"/>
    <col min="5" max="5" width="13" style="45" customWidth="1"/>
    <col min="6" max="6" width="12.5703125" customWidth="1"/>
    <col min="7" max="7" width="13" style="31" customWidth="1"/>
  </cols>
  <sheetData>
    <row r="1" spans="1:12" s="35" customFormat="1" ht="60" x14ac:dyDescent="0.25">
      <c r="A1" s="35" t="s">
        <v>36</v>
      </c>
      <c r="B1" s="35" t="s">
        <v>37</v>
      </c>
      <c r="C1" s="35" t="s">
        <v>38</v>
      </c>
      <c r="D1" s="35" t="s">
        <v>39</v>
      </c>
      <c r="E1" s="43" t="s">
        <v>40</v>
      </c>
      <c r="F1" s="34" t="s">
        <v>57</v>
      </c>
      <c r="G1" s="36" t="s">
        <v>41</v>
      </c>
      <c r="H1" s="34" t="s">
        <v>58</v>
      </c>
      <c r="I1" s="34" t="s">
        <v>42</v>
      </c>
      <c r="J1" s="34" t="s">
        <v>59</v>
      </c>
      <c r="K1" s="34" t="s">
        <v>43</v>
      </c>
      <c r="L1" s="34" t="s">
        <v>44</v>
      </c>
    </row>
    <row r="2" spans="1:12" s="37" customFormat="1" ht="12.75" x14ac:dyDescent="0.2">
      <c r="A2" s="37" t="s">
        <v>45</v>
      </c>
      <c r="B2" s="37">
        <v>1</v>
      </c>
      <c r="C2" s="39">
        <v>2</v>
      </c>
      <c r="D2" s="37">
        <v>2020</v>
      </c>
      <c r="E2" s="44">
        <f>'Hotel Data'!X5</f>
        <v>11107.8</v>
      </c>
      <c r="F2" s="37">
        <v>0.1431</v>
      </c>
      <c r="G2" s="42">
        <f>'Hotel Data'!E5</f>
        <v>319</v>
      </c>
      <c r="H2" s="37">
        <v>0.4279</v>
      </c>
      <c r="I2" s="42">
        <f>'Hotel Data'!K5</f>
        <v>171</v>
      </c>
      <c r="J2" s="37">
        <v>0.98</v>
      </c>
      <c r="K2" s="37">
        <v>82</v>
      </c>
      <c r="L2" s="37">
        <v>148</v>
      </c>
    </row>
    <row r="3" spans="1:12" s="38" customFormat="1" x14ac:dyDescent="0.25">
      <c r="A3" s="38" t="s">
        <v>45</v>
      </c>
      <c r="B3" s="38">
        <f>B2+1</f>
        <v>2</v>
      </c>
      <c r="C3" s="39">
        <v>2</v>
      </c>
      <c r="D3" s="37">
        <v>2020</v>
      </c>
      <c r="E3" s="44">
        <f>'Hotel Data'!X6</f>
        <v>11391.6</v>
      </c>
      <c r="F3" s="37">
        <v>0.1431</v>
      </c>
      <c r="G3" s="42">
        <f>'Hotel Data'!E6</f>
        <v>502</v>
      </c>
      <c r="H3" s="37">
        <v>0.4279</v>
      </c>
      <c r="I3" s="42">
        <f>'Hotel Data'!K6</f>
        <v>137</v>
      </c>
      <c r="J3" s="37">
        <v>0.98</v>
      </c>
      <c r="K3" s="37">
        <v>99</v>
      </c>
      <c r="L3" s="37">
        <v>155</v>
      </c>
    </row>
    <row r="4" spans="1:12" s="38" customFormat="1" x14ac:dyDescent="0.25">
      <c r="A4" s="38" t="s">
        <v>45</v>
      </c>
      <c r="B4" s="38">
        <f t="shared" ref="B4:B29" si="0">B3+1</f>
        <v>3</v>
      </c>
      <c r="C4" s="39">
        <v>2</v>
      </c>
      <c r="D4" s="37">
        <v>2020</v>
      </c>
      <c r="E4" s="44">
        <f>'Hotel Data'!X7</f>
        <v>11166.8</v>
      </c>
      <c r="F4" s="37">
        <v>0.1431</v>
      </c>
      <c r="G4" s="42">
        <f>'Hotel Data'!E7</f>
        <v>342</v>
      </c>
      <c r="H4" s="37">
        <v>0.4279</v>
      </c>
      <c r="I4" s="42">
        <f>'Hotel Data'!K7</f>
        <v>126</v>
      </c>
      <c r="J4" s="37">
        <v>0.98</v>
      </c>
      <c r="K4" s="37">
        <v>99</v>
      </c>
      <c r="L4" s="37">
        <v>155</v>
      </c>
    </row>
    <row r="5" spans="1:12" s="38" customFormat="1" x14ac:dyDescent="0.25">
      <c r="A5" s="38" t="s">
        <v>45</v>
      </c>
      <c r="B5" s="38">
        <f t="shared" si="0"/>
        <v>4</v>
      </c>
      <c r="C5" s="39">
        <v>2</v>
      </c>
      <c r="D5" s="37">
        <v>2020</v>
      </c>
      <c r="E5" s="44">
        <f>'Hotel Data'!X8</f>
        <v>10769.6</v>
      </c>
      <c r="F5" s="37">
        <v>0.1431</v>
      </c>
      <c r="G5" s="42">
        <f>'Hotel Data'!E8</f>
        <v>424</v>
      </c>
      <c r="H5" s="37">
        <v>0.4279</v>
      </c>
      <c r="I5" s="42">
        <f>'Hotel Data'!K8</f>
        <v>136</v>
      </c>
      <c r="J5" s="37">
        <v>0.98</v>
      </c>
      <c r="K5" s="37">
        <v>99</v>
      </c>
      <c r="L5" s="37">
        <v>142</v>
      </c>
    </row>
    <row r="6" spans="1:12" s="38" customFormat="1" x14ac:dyDescent="0.25">
      <c r="A6" s="38" t="s">
        <v>45</v>
      </c>
      <c r="B6" s="38">
        <f t="shared" si="0"/>
        <v>5</v>
      </c>
      <c r="C6" s="39">
        <v>2</v>
      </c>
      <c r="D6" s="37">
        <v>2020</v>
      </c>
      <c r="E6" s="44">
        <f>'Hotel Data'!X9</f>
        <v>10673.6</v>
      </c>
      <c r="F6" s="37">
        <v>0.1431</v>
      </c>
      <c r="G6" s="42">
        <f>'Hotel Data'!E9</f>
        <v>437</v>
      </c>
      <c r="H6" s="37">
        <v>0.4279</v>
      </c>
      <c r="I6" s="42">
        <f>'Hotel Data'!K9</f>
        <v>124</v>
      </c>
      <c r="J6" s="37">
        <v>0.98</v>
      </c>
      <c r="K6" s="37">
        <v>88</v>
      </c>
      <c r="L6" s="37">
        <v>136</v>
      </c>
    </row>
    <row r="7" spans="1:12" s="38" customFormat="1" x14ac:dyDescent="0.25">
      <c r="A7" s="38" t="s">
        <v>45</v>
      </c>
      <c r="B7" s="38">
        <f t="shared" si="0"/>
        <v>6</v>
      </c>
      <c r="C7" s="39">
        <v>2</v>
      </c>
      <c r="D7" s="37">
        <v>2020</v>
      </c>
      <c r="E7" s="44">
        <f>'Hotel Data'!X10</f>
        <v>10660</v>
      </c>
      <c r="F7" s="37">
        <v>0.1431</v>
      </c>
      <c r="G7" s="42">
        <f>'Hotel Data'!E10</f>
        <v>503</v>
      </c>
      <c r="H7" s="37">
        <v>0.4279</v>
      </c>
      <c r="I7" s="42">
        <f>'Hotel Data'!K10</f>
        <v>115</v>
      </c>
      <c r="J7" s="37">
        <v>0.98</v>
      </c>
      <c r="K7" s="37">
        <v>72</v>
      </c>
      <c r="L7" s="37">
        <v>127</v>
      </c>
    </row>
    <row r="8" spans="1:12" s="38" customFormat="1" x14ac:dyDescent="0.25">
      <c r="A8" s="38" t="s">
        <v>45</v>
      </c>
      <c r="B8" s="38">
        <f t="shared" si="0"/>
        <v>7</v>
      </c>
      <c r="C8" s="39">
        <v>2</v>
      </c>
      <c r="D8" s="37">
        <v>2020</v>
      </c>
      <c r="E8" s="44">
        <f>'Hotel Data'!X11</f>
        <v>10705</v>
      </c>
      <c r="F8" s="37">
        <v>0.1431</v>
      </c>
      <c r="G8" s="42">
        <f>'Hotel Data'!E11</f>
        <v>467</v>
      </c>
      <c r="H8" s="37">
        <v>0.4279</v>
      </c>
      <c r="I8" s="42">
        <f>'Hotel Data'!K11</f>
        <v>115</v>
      </c>
      <c r="J8" s="37">
        <v>0.98</v>
      </c>
      <c r="K8" s="37">
        <v>72</v>
      </c>
      <c r="L8" s="37">
        <v>127</v>
      </c>
    </row>
    <row r="9" spans="1:12" s="38" customFormat="1" x14ac:dyDescent="0.25">
      <c r="A9" s="38" t="s">
        <v>45</v>
      </c>
      <c r="B9" s="38">
        <f t="shared" si="0"/>
        <v>8</v>
      </c>
      <c r="C9" s="39">
        <v>2</v>
      </c>
      <c r="D9" s="37">
        <v>2020</v>
      </c>
      <c r="E9" s="44">
        <f>'Hotel Data'!X12</f>
        <v>10701</v>
      </c>
      <c r="F9" s="37">
        <v>0.1431</v>
      </c>
      <c r="G9" s="42">
        <f>'Hotel Data'!E12</f>
        <v>437</v>
      </c>
      <c r="H9" s="37">
        <v>0.4279</v>
      </c>
      <c r="I9" s="42">
        <f>'Hotel Data'!K12</f>
        <v>126</v>
      </c>
      <c r="J9" s="37">
        <v>0.98</v>
      </c>
      <c r="K9" s="37">
        <v>65</v>
      </c>
      <c r="L9" s="37">
        <v>114</v>
      </c>
    </row>
    <row r="10" spans="1:12" s="38" customFormat="1" x14ac:dyDescent="0.25">
      <c r="A10" s="38" t="s">
        <v>45</v>
      </c>
      <c r="B10" s="38">
        <f t="shared" si="0"/>
        <v>9</v>
      </c>
      <c r="C10" s="39">
        <v>2</v>
      </c>
      <c r="D10" s="37">
        <v>2020</v>
      </c>
      <c r="E10" s="44">
        <f>'Hotel Data'!X13</f>
        <v>10589</v>
      </c>
      <c r="F10" s="37">
        <v>0.1431</v>
      </c>
      <c r="G10" s="42">
        <f>'Hotel Data'!E13</f>
        <v>499</v>
      </c>
      <c r="H10" s="37">
        <v>0.4279</v>
      </c>
      <c r="I10" s="42">
        <f>'Hotel Data'!K13</f>
        <v>121</v>
      </c>
      <c r="J10" s="37">
        <v>0.98</v>
      </c>
      <c r="K10" s="37">
        <v>41</v>
      </c>
      <c r="L10" s="37">
        <v>76</v>
      </c>
    </row>
    <row r="11" spans="1:12" s="38" customFormat="1" x14ac:dyDescent="0.25">
      <c r="A11" s="38" t="s">
        <v>45</v>
      </c>
      <c r="B11" s="38">
        <f t="shared" si="0"/>
        <v>10</v>
      </c>
      <c r="C11" s="39">
        <v>2</v>
      </c>
      <c r="D11" s="37">
        <v>2020</v>
      </c>
      <c r="E11" s="44">
        <f>'Hotel Data'!X14</f>
        <v>10509.4</v>
      </c>
      <c r="F11" s="37">
        <v>0.1431</v>
      </c>
      <c r="G11" s="42">
        <f>'Hotel Data'!E14</f>
        <v>391</v>
      </c>
      <c r="H11" s="37">
        <v>0.4279</v>
      </c>
      <c r="I11" s="42">
        <f>'Hotel Data'!K14</f>
        <v>98</v>
      </c>
      <c r="J11" s="37">
        <v>0.98</v>
      </c>
      <c r="K11" s="37">
        <v>54</v>
      </c>
      <c r="L11" s="37">
        <v>83</v>
      </c>
    </row>
    <row r="12" spans="1:12" s="38" customFormat="1" x14ac:dyDescent="0.25">
      <c r="A12" s="38" t="s">
        <v>45</v>
      </c>
      <c r="B12" s="38">
        <f t="shared" si="0"/>
        <v>11</v>
      </c>
      <c r="C12" s="39">
        <v>2</v>
      </c>
      <c r="D12" s="37">
        <v>2020</v>
      </c>
      <c r="E12" s="44">
        <f>'Hotel Data'!X15</f>
        <v>10890.2</v>
      </c>
      <c r="F12" s="37">
        <v>0.1431</v>
      </c>
      <c r="G12" s="42">
        <f>'Hotel Data'!E15</f>
        <v>259</v>
      </c>
      <c r="H12" s="37">
        <v>0.4279</v>
      </c>
      <c r="I12" s="42">
        <f>'Hotel Data'!K15</f>
        <v>109</v>
      </c>
      <c r="J12" s="37">
        <v>0.98</v>
      </c>
      <c r="K12" s="37">
        <v>67</v>
      </c>
      <c r="L12" s="37">
        <v>102</v>
      </c>
    </row>
    <row r="13" spans="1:12" s="38" customFormat="1" x14ac:dyDescent="0.25">
      <c r="A13" s="38" t="s">
        <v>45</v>
      </c>
      <c r="B13" s="38">
        <f t="shared" si="0"/>
        <v>12</v>
      </c>
      <c r="C13" s="39">
        <v>2</v>
      </c>
      <c r="D13" s="37">
        <v>2020</v>
      </c>
      <c r="E13" s="44">
        <f>'Hotel Data'!X16</f>
        <v>11015</v>
      </c>
      <c r="F13" s="37">
        <v>0.1431</v>
      </c>
      <c r="G13" s="42">
        <f>'Hotel Data'!E16</f>
        <v>161</v>
      </c>
      <c r="H13" s="37">
        <v>0.4279</v>
      </c>
      <c r="I13" s="42">
        <f>'Hotel Data'!K16</f>
        <v>108</v>
      </c>
      <c r="J13" s="37">
        <v>0.98</v>
      </c>
      <c r="K13" s="37">
        <v>73</v>
      </c>
      <c r="L13" s="37">
        <v>103</v>
      </c>
    </row>
    <row r="14" spans="1:12" s="38" customFormat="1" x14ac:dyDescent="0.25">
      <c r="A14" s="38" t="s">
        <v>45</v>
      </c>
      <c r="B14" s="38">
        <f t="shared" si="0"/>
        <v>13</v>
      </c>
      <c r="C14" s="39">
        <v>2</v>
      </c>
      <c r="D14" s="37">
        <v>2020</v>
      </c>
      <c r="E14" s="44">
        <f>'Hotel Data'!X17</f>
        <v>10915.6</v>
      </c>
      <c r="F14" s="37">
        <v>0.1431</v>
      </c>
      <c r="G14" s="42">
        <f>'Hotel Data'!E17</f>
        <v>258</v>
      </c>
      <c r="H14" s="37">
        <v>0.4279</v>
      </c>
      <c r="I14" s="42">
        <f>'Hotel Data'!K17</f>
        <v>116</v>
      </c>
      <c r="J14" s="37">
        <v>0.98</v>
      </c>
      <c r="K14" s="37">
        <v>103</v>
      </c>
      <c r="L14" s="37">
        <v>163</v>
      </c>
    </row>
    <row r="15" spans="1:12" s="38" customFormat="1" x14ac:dyDescent="0.25">
      <c r="A15" s="38" t="s">
        <v>45</v>
      </c>
      <c r="B15" s="38">
        <f t="shared" si="0"/>
        <v>14</v>
      </c>
      <c r="C15" s="39">
        <v>2</v>
      </c>
      <c r="D15" s="37">
        <v>2020</v>
      </c>
      <c r="E15" s="44">
        <f>'Hotel Data'!X18</f>
        <v>10814.4</v>
      </c>
      <c r="F15" s="37">
        <v>0.1431</v>
      </c>
      <c r="G15" s="42">
        <f>'Hotel Data'!E18</f>
        <v>350</v>
      </c>
      <c r="H15" s="37">
        <v>0.4279</v>
      </c>
      <c r="I15" s="42">
        <f>'Hotel Data'!K18</f>
        <v>135</v>
      </c>
      <c r="J15" s="37">
        <v>0.98</v>
      </c>
      <c r="K15" s="37">
        <v>90</v>
      </c>
      <c r="L15" s="37">
        <v>166</v>
      </c>
    </row>
    <row r="16" spans="1:12" s="38" customFormat="1" x14ac:dyDescent="0.25">
      <c r="A16" s="38" t="s">
        <v>45</v>
      </c>
      <c r="B16" s="38">
        <f t="shared" si="0"/>
        <v>15</v>
      </c>
      <c r="C16" s="39">
        <v>2</v>
      </c>
      <c r="D16" s="37">
        <v>2020</v>
      </c>
      <c r="E16" s="44">
        <f>'Hotel Data'!X19</f>
        <v>10962.4</v>
      </c>
      <c r="F16" s="37">
        <v>0.1431</v>
      </c>
      <c r="G16" s="42">
        <f>'Hotel Data'!E19</f>
        <v>271</v>
      </c>
      <c r="H16" s="37">
        <v>0.4279</v>
      </c>
      <c r="I16" s="42">
        <f>'Hotel Data'!K19</f>
        <v>128</v>
      </c>
      <c r="J16" s="37">
        <v>0.98</v>
      </c>
      <c r="K16" s="37">
        <v>71</v>
      </c>
      <c r="L16" s="37">
        <v>131</v>
      </c>
    </row>
    <row r="17" spans="1:12" s="38" customFormat="1" x14ac:dyDescent="0.25">
      <c r="A17" s="38" t="s">
        <v>45</v>
      </c>
      <c r="B17" s="38">
        <f t="shared" si="0"/>
        <v>16</v>
      </c>
      <c r="C17" s="39">
        <v>2</v>
      </c>
      <c r="D17" s="37">
        <v>2020</v>
      </c>
      <c r="E17" s="44">
        <f>'Hotel Data'!X20</f>
        <v>10801.2</v>
      </c>
      <c r="F17" s="37">
        <v>0.1431</v>
      </c>
      <c r="G17" s="42">
        <f>'Hotel Data'!E20</f>
        <v>313</v>
      </c>
      <c r="H17" s="37">
        <v>0.4279</v>
      </c>
      <c r="I17" s="42">
        <f>'Hotel Data'!K20</f>
        <v>122</v>
      </c>
      <c r="J17" s="37">
        <v>0.98</v>
      </c>
      <c r="K17" s="37">
        <v>50</v>
      </c>
      <c r="L17" s="37">
        <v>78</v>
      </c>
    </row>
    <row r="18" spans="1:12" s="38" customFormat="1" x14ac:dyDescent="0.25">
      <c r="A18" s="38" t="s">
        <v>45</v>
      </c>
      <c r="B18" s="38">
        <f t="shared" si="0"/>
        <v>17</v>
      </c>
      <c r="C18" s="39">
        <v>2</v>
      </c>
      <c r="D18" s="37">
        <v>2020</v>
      </c>
      <c r="E18" s="44">
        <f>'Hotel Data'!X21</f>
        <v>11309.8</v>
      </c>
      <c r="F18" s="37">
        <v>0.1431</v>
      </c>
      <c r="G18" s="42">
        <f>'Hotel Data'!E21</f>
        <v>146</v>
      </c>
      <c r="H18" s="37">
        <v>0.4279</v>
      </c>
      <c r="I18" s="42">
        <f>'Hotel Data'!K21</f>
        <v>123</v>
      </c>
      <c r="J18" s="37">
        <v>0.98</v>
      </c>
      <c r="K18" s="37">
        <v>75</v>
      </c>
      <c r="L18" s="37">
        <v>102</v>
      </c>
    </row>
    <row r="19" spans="1:12" s="38" customFormat="1" x14ac:dyDescent="0.25">
      <c r="A19" s="38" t="s">
        <v>45</v>
      </c>
      <c r="B19" s="38">
        <f t="shared" si="0"/>
        <v>18</v>
      </c>
      <c r="C19" s="39">
        <v>2</v>
      </c>
      <c r="D19" s="37">
        <v>2020</v>
      </c>
      <c r="E19" s="44">
        <f>'Hotel Data'!X22</f>
        <v>10996.8</v>
      </c>
      <c r="F19" s="37">
        <v>0.1431</v>
      </c>
      <c r="G19" s="42">
        <f>'Hotel Data'!E22</f>
        <v>162</v>
      </c>
      <c r="H19" s="37">
        <v>0.4279</v>
      </c>
      <c r="I19" s="42">
        <f>'Hotel Data'!K22</f>
        <v>108</v>
      </c>
      <c r="J19" s="37">
        <v>0.98</v>
      </c>
      <c r="K19" s="37">
        <v>95</v>
      </c>
      <c r="L19" s="37">
        <v>128</v>
      </c>
    </row>
    <row r="20" spans="1:12" s="38" customFormat="1" x14ac:dyDescent="0.25">
      <c r="A20" s="38" t="s">
        <v>45</v>
      </c>
      <c r="B20" s="38">
        <f t="shared" si="0"/>
        <v>19</v>
      </c>
      <c r="C20" s="39">
        <v>2</v>
      </c>
      <c r="D20" s="37">
        <v>2020</v>
      </c>
      <c r="E20" s="44">
        <f>'Hotel Data'!X23</f>
        <v>11513.8</v>
      </c>
      <c r="F20" s="37">
        <v>0.1431</v>
      </c>
      <c r="G20" s="42">
        <f>'Hotel Data'!E23</f>
        <v>205</v>
      </c>
      <c r="H20" s="37">
        <v>0.4279</v>
      </c>
      <c r="I20" s="42">
        <f>'Hotel Data'!K23</f>
        <v>131</v>
      </c>
      <c r="J20" s="37">
        <v>0.98</v>
      </c>
      <c r="K20" s="37">
        <v>101</v>
      </c>
      <c r="L20" s="37">
        <v>136</v>
      </c>
    </row>
    <row r="21" spans="1:12" s="38" customFormat="1" x14ac:dyDescent="0.25">
      <c r="A21" s="38" t="s">
        <v>45</v>
      </c>
      <c r="B21" s="38">
        <f t="shared" si="0"/>
        <v>20</v>
      </c>
      <c r="C21" s="39">
        <v>2</v>
      </c>
      <c r="D21" s="37">
        <v>2020</v>
      </c>
      <c r="E21" s="44">
        <f>'Hotel Data'!X24</f>
        <v>11512.4</v>
      </c>
      <c r="F21" s="37">
        <v>0.1431</v>
      </c>
      <c r="G21" s="42">
        <f>'Hotel Data'!E24</f>
        <v>281</v>
      </c>
      <c r="H21" s="37">
        <v>0.4279</v>
      </c>
      <c r="I21" s="42">
        <f>'Hotel Data'!K24</f>
        <v>151</v>
      </c>
      <c r="J21" s="37">
        <v>0.98</v>
      </c>
      <c r="K21" s="37">
        <v>108</v>
      </c>
      <c r="L21" s="37">
        <v>150</v>
      </c>
    </row>
    <row r="22" spans="1:12" s="38" customFormat="1" x14ac:dyDescent="0.25">
      <c r="A22" s="38" t="s">
        <v>45</v>
      </c>
      <c r="B22" s="38">
        <f t="shared" si="0"/>
        <v>21</v>
      </c>
      <c r="C22" s="39">
        <v>2</v>
      </c>
      <c r="D22" s="37">
        <v>2020</v>
      </c>
      <c r="E22" s="44">
        <f>'Hotel Data'!X25</f>
        <v>0</v>
      </c>
      <c r="F22" s="37">
        <v>0.1431</v>
      </c>
      <c r="G22" s="42">
        <f>'Hotel Data'!E25</f>
        <v>0</v>
      </c>
      <c r="H22" s="37">
        <v>0.4279</v>
      </c>
      <c r="I22" s="42">
        <f>'Hotel Data'!K25</f>
        <v>0</v>
      </c>
      <c r="J22" s="37">
        <v>0.98</v>
      </c>
      <c r="K22" s="37"/>
      <c r="L22" s="37"/>
    </row>
    <row r="23" spans="1:12" s="38" customFormat="1" x14ac:dyDescent="0.25">
      <c r="A23" s="38" t="s">
        <v>45</v>
      </c>
      <c r="B23" s="38">
        <f t="shared" si="0"/>
        <v>22</v>
      </c>
      <c r="C23" s="39">
        <v>2</v>
      </c>
      <c r="D23" s="37">
        <v>2020</v>
      </c>
      <c r="E23" s="44">
        <f>'Hotel Data'!X26</f>
        <v>0</v>
      </c>
      <c r="F23" s="37">
        <v>0.1431</v>
      </c>
      <c r="G23" s="42">
        <f>'Hotel Data'!E26</f>
        <v>0</v>
      </c>
      <c r="H23" s="37">
        <v>0.4279</v>
      </c>
      <c r="I23" s="42">
        <f>'Hotel Data'!K26</f>
        <v>0</v>
      </c>
      <c r="J23" s="37">
        <v>0.98</v>
      </c>
      <c r="K23" s="37"/>
      <c r="L23" s="37"/>
    </row>
    <row r="24" spans="1:12" s="38" customFormat="1" x14ac:dyDescent="0.25">
      <c r="A24" s="38" t="s">
        <v>45</v>
      </c>
      <c r="B24" s="38">
        <f t="shared" si="0"/>
        <v>23</v>
      </c>
      <c r="C24" s="39">
        <v>2</v>
      </c>
      <c r="D24" s="37">
        <v>2020</v>
      </c>
      <c r="E24" s="44">
        <f>'Hotel Data'!X27</f>
        <v>0</v>
      </c>
      <c r="F24" s="37">
        <v>0.1431</v>
      </c>
      <c r="G24" s="42">
        <f>'Hotel Data'!E27</f>
        <v>0</v>
      </c>
      <c r="H24" s="37">
        <v>0.4279</v>
      </c>
      <c r="I24" s="42">
        <f>'Hotel Data'!K27</f>
        <v>0</v>
      </c>
      <c r="J24" s="37">
        <v>0.98</v>
      </c>
      <c r="K24" s="37"/>
      <c r="L24" s="37"/>
    </row>
    <row r="25" spans="1:12" s="38" customFormat="1" x14ac:dyDescent="0.25">
      <c r="A25" s="38" t="s">
        <v>45</v>
      </c>
      <c r="B25" s="38">
        <f t="shared" si="0"/>
        <v>24</v>
      </c>
      <c r="C25" s="39">
        <v>2</v>
      </c>
      <c r="D25" s="37">
        <v>2020</v>
      </c>
      <c r="E25" s="44">
        <f>'Hotel Data'!X28</f>
        <v>0</v>
      </c>
      <c r="F25" s="37">
        <v>0.1431</v>
      </c>
      <c r="G25" s="42">
        <f>'Hotel Data'!E28</f>
        <v>0</v>
      </c>
      <c r="H25" s="37">
        <v>0.4279</v>
      </c>
      <c r="I25" s="42">
        <f>'Hotel Data'!K28</f>
        <v>0</v>
      </c>
      <c r="J25" s="37">
        <v>0.98</v>
      </c>
      <c r="K25" s="37"/>
      <c r="L25" s="37"/>
    </row>
    <row r="26" spans="1:12" s="38" customFormat="1" x14ac:dyDescent="0.25">
      <c r="A26" s="38" t="s">
        <v>45</v>
      </c>
      <c r="B26" s="38">
        <f>B25+1</f>
        <v>25</v>
      </c>
      <c r="C26" s="39">
        <v>2</v>
      </c>
      <c r="D26" s="37">
        <v>2020</v>
      </c>
      <c r="E26" s="44">
        <f>'Hotel Data'!X29</f>
        <v>0</v>
      </c>
      <c r="F26" s="37">
        <v>0.1431</v>
      </c>
      <c r="G26" s="42">
        <f>'Hotel Data'!E29</f>
        <v>0</v>
      </c>
      <c r="H26" s="37">
        <v>0.4279</v>
      </c>
      <c r="I26" s="42">
        <f>'Hotel Data'!K29</f>
        <v>0</v>
      </c>
      <c r="J26" s="37">
        <v>0.98</v>
      </c>
      <c r="K26" s="37"/>
      <c r="L26" s="37"/>
    </row>
    <row r="27" spans="1:12" s="38" customFormat="1" x14ac:dyDescent="0.25">
      <c r="A27" s="38" t="s">
        <v>45</v>
      </c>
      <c r="B27" s="38">
        <f t="shared" si="0"/>
        <v>26</v>
      </c>
      <c r="C27" s="39">
        <v>2</v>
      </c>
      <c r="D27" s="37">
        <v>2020</v>
      </c>
      <c r="E27" s="44">
        <f>'Hotel Data'!X30</f>
        <v>0</v>
      </c>
      <c r="F27" s="37">
        <v>0.1431</v>
      </c>
      <c r="G27" s="42">
        <f>'Hotel Data'!E30</f>
        <v>0</v>
      </c>
      <c r="H27" s="37">
        <v>0.4279</v>
      </c>
      <c r="I27" s="42">
        <f>'Hotel Data'!K30</f>
        <v>0</v>
      </c>
      <c r="J27" s="37">
        <v>0.98</v>
      </c>
      <c r="K27" s="37"/>
      <c r="L27" s="37"/>
    </row>
    <row r="28" spans="1:12" s="38" customFormat="1" x14ac:dyDescent="0.25">
      <c r="A28" s="38" t="s">
        <v>45</v>
      </c>
      <c r="B28" s="38">
        <f t="shared" si="0"/>
        <v>27</v>
      </c>
      <c r="C28" s="39">
        <v>2</v>
      </c>
      <c r="D28" s="37">
        <v>2020</v>
      </c>
      <c r="E28" s="44">
        <f>'Hotel Data'!X31</f>
        <v>0</v>
      </c>
      <c r="F28" s="37">
        <v>0.1431</v>
      </c>
      <c r="G28" s="42">
        <f>'Hotel Data'!E31</f>
        <v>0</v>
      </c>
      <c r="H28" s="37">
        <v>0.4279</v>
      </c>
      <c r="I28" s="42">
        <f>'Hotel Data'!K31</f>
        <v>0</v>
      </c>
      <c r="J28" s="37">
        <v>0.98</v>
      </c>
      <c r="K28" s="37"/>
      <c r="L28" s="37"/>
    </row>
    <row r="29" spans="1:12" s="38" customFormat="1" x14ac:dyDescent="0.25">
      <c r="A29" s="38" t="s">
        <v>45</v>
      </c>
      <c r="B29" s="38">
        <f t="shared" si="0"/>
        <v>28</v>
      </c>
      <c r="C29" s="39">
        <v>2</v>
      </c>
      <c r="D29" s="37">
        <v>2020</v>
      </c>
      <c r="E29" s="44">
        <f>'Hotel Data'!X32</f>
        <v>0</v>
      </c>
      <c r="F29" s="37">
        <v>0.1431</v>
      </c>
      <c r="G29" s="42">
        <f>'Hotel Data'!E32</f>
        <v>0</v>
      </c>
      <c r="H29" s="37">
        <v>0.4279</v>
      </c>
      <c r="I29" s="42">
        <f>'Hotel Data'!K32</f>
        <v>0</v>
      </c>
      <c r="J29" s="37">
        <v>0.98</v>
      </c>
      <c r="K29" s="37"/>
      <c r="L29" s="37"/>
    </row>
    <row r="30" spans="1:12" x14ac:dyDescent="0.25">
      <c r="C30" s="39"/>
      <c r="D30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activeCell="E11" sqref="E11"/>
    </sheetView>
  </sheetViews>
  <sheetFormatPr defaultColWidth="11.5703125" defaultRowHeight="15" x14ac:dyDescent="0.25"/>
  <cols>
    <col min="4" max="4" width="13.42578125" customWidth="1"/>
    <col min="5" max="5" width="13" style="31" customWidth="1"/>
    <col min="6" max="6" width="12.5703125" customWidth="1"/>
    <col min="7" max="7" width="13" style="31" customWidth="1"/>
    <col min="12" max="12" width="11.5703125" style="31"/>
    <col min="15" max="15" width="14" customWidth="1"/>
  </cols>
  <sheetData>
    <row r="1" spans="1:16" s="35" customFormat="1" ht="45" x14ac:dyDescent="0.25">
      <c r="A1" s="35" t="s">
        <v>36</v>
      </c>
      <c r="B1" s="35" t="s">
        <v>37</v>
      </c>
      <c r="C1" s="35" t="s">
        <v>38</v>
      </c>
      <c r="D1" s="35" t="s">
        <v>39</v>
      </c>
      <c r="E1" s="32" t="s">
        <v>55</v>
      </c>
      <c r="F1" s="32" t="s">
        <v>46</v>
      </c>
      <c r="G1" s="32" t="s">
        <v>47</v>
      </c>
      <c r="H1" s="33" t="s">
        <v>48</v>
      </c>
      <c r="I1" s="33" t="s">
        <v>49</v>
      </c>
      <c r="J1" s="33" t="s">
        <v>50</v>
      </c>
      <c r="K1" s="33" t="s">
        <v>51</v>
      </c>
      <c r="L1" s="32" t="s">
        <v>52</v>
      </c>
      <c r="M1" s="33" t="s">
        <v>53</v>
      </c>
      <c r="N1" s="33" t="s">
        <v>54</v>
      </c>
      <c r="O1" s="34" t="s">
        <v>56</v>
      </c>
      <c r="P1" s="34" t="s">
        <v>43</v>
      </c>
    </row>
    <row r="2" spans="1:16" s="35" customFormat="1" x14ac:dyDescent="0.25">
      <c r="E2" s="32"/>
      <c r="F2" s="32"/>
      <c r="G2" s="32"/>
      <c r="H2" s="33"/>
      <c r="I2" s="33"/>
      <c r="J2" s="33"/>
      <c r="K2" s="33"/>
      <c r="L2" s="32"/>
      <c r="M2" s="33"/>
      <c r="N2" s="33"/>
      <c r="O2" s="34"/>
      <c r="P2" s="34"/>
    </row>
    <row r="3" spans="1:16" s="37" customFormat="1" x14ac:dyDescent="0.25">
      <c r="A3" s="37" t="s">
        <v>45</v>
      </c>
      <c r="B3" s="37">
        <v>1</v>
      </c>
      <c r="C3" s="39">
        <v>2</v>
      </c>
      <c r="D3" s="37">
        <v>2020</v>
      </c>
      <c r="E3" s="42">
        <f>'Hotel Data'!E5</f>
        <v>319</v>
      </c>
      <c r="F3" s="42">
        <f>'Hotel Data'!G5</f>
        <v>12</v>
      </c>
      <c r="G3" s="42">
        <f>'Hotel Data'!O5</f>
        <v>0</v>
      </c>
      <c r="H3" s="42">
        <f>'Hotel Data'!Q5</f>
        <v>0</v>
      </c>
      <c r="I3" s="42">
        <f>'Hotel Data'!S5</f>
        <v>36</v>
      </c>
      <c r="J3" s="42">
        <f>'Hotel Data'!U5</f>
        <v>217</v>
      </c>
      <c r="K3" s="42">
        <f>'Hotel Data'!AD5</f>
        <v>311.10000000000002</v>
      </c>
      <c r="L3" s="42">
        <f>'Hotel Data'!AG5</f>
        <v>1236.3</v>
      </c>
      <c r="M3" s="42">
        <f>'Hotel Data'!AJ5</f>
        <v>312</v>
      </c>
      <c r="N3" s="42">
        <f>'Hotel Data'!AN5</f>
        <v>655.22</v>
      </c>
      <c r="O3" s="42">
        <f>'Hotel Data'!AR5</f>
        <v>248</v>
      </c>
      <c r="P3" s="38">
        <f>TOTAL!K2</f>
        <v>82</v>
      </c>
    </row>
    <row r="4" spans="1:16" s="38" customFormat="1" x14ac:dyDescent="0.25">
      <c r="A4" s="38" t="s">
        <v>45</v>
      </c>
      <c r="B4" s="38">
        <f>B3+1</f>
        <v>2</v>
      </c>
      <c r="C4" s="39">
        <v>2</v>
      </c>
      <c r="D4" s="37">
        <v>2020</v>
      </c>
      <c r="E4" s="42">
        <f>'Hotel Data'!E6</f>
        <v>502</v>
      </c>
      <c r="F4" s="42">
        <f>'Hotel Data'!G6</f>
        <v>2</v>
      </c>
      <c r="G4" s="42">
        <f>'Hotel Data'!O6</f>
        <v>0</v>
      </c>
      <c r="H4" s="42">
        <f>'Hotel Data'!Q6</f>
        <v>0</v>
      </c>
      <c r="I4" s="42">
        <f>'Hotel Data'!S6</f>
        <v>4</v>
      </c>
      <c r="J4" s="42">
        <f>'Hotel Data'!U6</f>
        <v>28</v>
      </c>
      <c r="K4" s="42">
        <f>'Hotel Data'!AD6</f>
        <v>316.79000000000002</v>
      </c>
      <c r="L4" s="42">
        <f>'Hotel Data'!AG6</f>
        <v>1264.4000000000001</v>
      </c>
      <c r="M4" s="42">
        <f>'Hotel Data'!AJ6</f>
        <v>272</v>
      </c>
      <c r="N4" s="42">
        <f>'Hotel Data'!AN6</f>
        <v>655.33000000000004</v>
      </c>
      <c r="O4" s="42">
        <f>'Hotel Data'!AR6</f>
        <v>296</v>
      </c>
      <c r="P4" s="38">
        <f>TOTAL!K3</f>
        <v>99</v>
      </c>
    </row>
    <row r="5" spans="1:16" s="38" customFormat="1" x14ac:dyDescent="0.25">
      <c r="A5" s="38" t="s">
        <v>45</v>
      </c>
      <c r="B5" s="38">
        <f t="shared" ref="B5:B30" si="0">B4+1</f>
        <v>3</v>
      </c>
      <c r="C5" s="39">
        <v>2</v>
      </c>
      <c r="D5" s="37">
        <v>2020</v>
      </c>
      <c r="E5" s="42">
        <f>'Hotel Data'!E7</f>
        <v>342</v>
      </c>
      <c r="F5" s="42">
        <f>'Hotel Data'!G7</f>
        <v>1</v>
      </c>
      <c r="G5" s="42">
        <f>'Hotel Data'!O7</f>
        <v>0</v>
      </c>
      <c r="H5" s="42">
        <f>'Hotel Data'!Q7</f>
        <v>0</v>
      </c>
      <c r="I5" s="42">
        <f>'Hotel Data'!S7</f>
        <v>4</v>
      </c>
      <c r="J5" s="42">
        <f>'Hotel Data'!U7</f>
        <v>30</v>
      </c>
      <c r="K5" s="42">
        <f>'Hotel Data'!AD7</f>
        <v>309.11</v>
      </c>
      <c r="L5" s="42">
        <f>'Hotel Data'!AG7</f>
        <v>1367.5</v>
      </c>
      <c r="M5" s="42">
        <f>'Hotel Data'!AJ7</f>
        <v>312</v>
      </c>
      <c r="N5" s="42">
        <f>'Hotel Data'!AN7</f>
        <v>504.78</v>
      </c>
      <c r="O5" s="42">
        <f>'Hotel Data'!AR7</f>
        <v>264</v>
      </c>
      <c r="P5" s="38">
        <f>TOTAL!K4</f>
        <v>99</v>
      </c>
    </row>
    <row r="6" spans="1:16" s="38" customFormat="1" x14ac:dyDescent="0.25">
      <c r="A6" s="38" t="s">
        <v>45</v>
      </c>
      <c r="B6" s="38">
        <f t="shared" si="0"/>
        <v>4</v>
      </c>
      <c r="C6" s="39">
        <v>2</v>
      </c>
      <c r="D6" s="37">
        <v>2020</v>
      </c>
      <c r="E6" s="42">
        <f>'Hotel Data'!E8</f>
        <v>424</v>
      </c>
      <c r="F6" s="42">
        <f>'Hotel Data'!G8</f>
        <v>3</v>
      </c>
      <c r="G6" s="42">
        <f>'Hotel Data'!O8</f>
        <v>0</v>
      </c>
      <c r="H6" s="42">
        <f>'Hotel Data'!Q8</f>
        <v>0</v>
      </c>
      <c r="I6" s="42">
        <f>'Hotel Data'!S8</f>
        <v>4</v>
      </c>
      <c r="J6" s="42">
        <f>'Hotel Data'!U8</f>
        <v>32</v>
      </c>
      <c r="K6" s="42">
        <f>'Hotel Data'!AD8</f>
        <v>311.55</v>
      </c>
      <c r="L6" s="42">
        <f>'Hotel Data'!AG8</f>
        <v>1233</v>
      </c>
      <c r="M6" s="42">
        <f>'Hotel Data'!AJ8</f>
        <v>296</v>
      </c>
      <c r="N6" s="42">
        <f>'Hotel Data'!AN8</f>
        <v>453.58</v>
      </c>
      <c r="O6" s="42">
        <f>'Hotel Data'!AR8</f>
        <v>288</v>
      </c>
      <c r="P6" s="38">
        <f>TOTAL!K5</f>
        <v>99</v>
      </c>
    </row>
    <row r="7" spans="1:16" s="38" customFormat="1" x14ac:dyDescent="0.25">
      <c r="A7" s="38" t="s">
        <v>45</v>
      </c>
      <c r="B7" s="38">
        <f t="shared" si="0"/>
        <v>5</v>
      </c>
      <c r="C7" s="39">
        <v>2</v>
      </c>
      <c r="D7" s="37">
        <v>2020</v>
      </c>
      <c r="E7" s="42">
        <f>'Hotel Data'!E9</f>
        <v>437</v>
      </c>
      <c r="F7" s="42">
        <f>'Hotel Data'!G9</f>
        <v>1</v>
      </c>
      <c r="G7" s="42">
        <f>'Hotel Data'!O9</f>
        <v>1</v>
      </c>
      <c r="H7" s="42">
        <f>'Hotel Data'!Q9</f>
        <v>0</v>
      </c>
      <c r="I7" s="42">
        <f>'Hotel Data'!S9</f>
        <v>6</v>
      </c>
      <c r="J7" s="42">
        <f>'Hotel Data'!U9</f>
        <v>28</v>
      </c>
      <c r="K7" s="42">
        <f>'Hotel Data'!AD9</f>
        <v>309.12</v>
      </c>
      <c r="L7" s="42">
        <f>'Hotel Data'!AG9</f>
        <v>1258.4000000000001</v>
      </c>
      <c r="M7" s="42">
        <f>'Hotel Data'!AJ9</f>
        <v>224</v>
      </c>
      <c r="N7" s="42">
        <f>'Hotel Data'!AN9</f>
        <v>422.73</v>
      </c>
      <c r="O7" s="42">
        <f>'Hotel Data'!AR9</f>
        <v>248</v>
      </c>
      <c r="P7" s="38">
        <f>TOTAL!K6</f>
        <v>88</v>
      </c>
    </row>
    <row r="8" spans="1:16" s="38" customFormat="1" x14ac:dyDescent="0.25">
      <c r="A8" s="38" t="s">
        <v>45</v>
      </c>
      <c r="B8" s="38">
        <f t="shared" si="0"/>
        <v>6</v>
      </c>
      <c r="C8" s="39">
        <v>2</v>
      </c>
      <c r="D8" s="37">
        <v>2020</v>
      </c>
      <c r="E8" s="42">
        <f>'Hotel Data'!E10</f>
        <v>503</v>
      </c>
      <c r="F8" s="42">
        <f>'Hotel Data'!G10</f>
        <v>2</v>
      </c>
      <c r="G8" s="42">
        <f>'Hotel Data'!O10</f>
        <v>0</v>
      </c>
      <c r="H8" s="42">
        <f>'Hotel Data'!Q10</f>
        <v>0</v>
      </c>
      <c r="I8" s="42">
        <f>'Hotel Data'!S10</f>
        <v>2</v>
      </c>
      <c r="J8" s="42">
        <f>'Hotel Data'!U10</f>
        <v>29</v>
      </c>
      <c r="K8" s="42">
        <f>'Hotel Data'!AD10</f>
        <v>307.58</v>
      </c>
      <c r="L8" s="42">
        <f>'Hotel Data'!AG10</f>
        <v>1376.7</v>
      </c>
      <c r="M8" s="42">
        <f>'Hotel Data'!AJ10</f>
        <v>240</v>
      </c>
      <c r="N8" s="42">
        <f>'Hotel Data'!AN10</f>
        <v>377.31</v>
      </c>
      <c r="O8" s="42">
        <f>'Hotel Data'!AR10</f>
        <v>264</v>
      </c>
      <c r="P8" s="38">
        <f>TOTAL!K7</f>
        <v>72</v>
      </c>
    </row>
    <row r="9" spans="1:16" s="38" customFormat="1" x14ac:dyDescent="0.25">
      <c r="A9" s="38" t="s">
        <v>45</v>
      </c>
      <c r="B9" s="38">
        <f t="shared" si="0"/>
        <v>7</v>
      </c>
      <c r="C9" s="39">
        <v>2</v>
      </c>
      <c r="D9" s="37">
        <v>2020</v>
      </c>
      <c r="E9" s="42">
        <f>'Hotel Data'!E11</f>
        <v>467</v>
      </c>
      <c r="F9" s="42">
        <f>'Hotel Data'!G11</f>
        <v>1</v>
      </c>
      <c r="G9" s="42">
        <f>'Hotel Data'!O11</f>
        <v>0</v>
      </c>
      <c r="H9" s="42">
        <f>'Hotel Data'!Q11</f>
        <v>0</v>
      </c>
      <c r="I9" s="42">
        <f>'Hotel Data'!S11</f>
        <v>3</v>
      </c>
      <c r="J9" s="42">
        <f>'Hotel Data'!U11</f>
        <v>27</v>
      </c>
      <c r="K9" s="42">
        <f>'Hotel Data'!AD11</f>
        <v>301.27</v>
      </c>
      <c r="L9" s="42">
        <f>'Hotel Data'!AG11</f>
        <v>1225.7</v>
      </c>
      <c r="M9" s="42">
        <f>'Hotel Data'!AJ11</f>
        <v>224</v>
      </c>
      <c r="N9" s="42">
        <f>'Hotel Data'!AN11</f>
        <v>400.93</v>
      </c>
      <c r="O9" s="42">
        <f>'Hotel Data'!AR11</f>
        <v>216</v>
      </c>
      <c r="P9" s="38">
        <f>TOTAL!K8</f>
        <v>72</v>
      </c>
    </row>
    <row r="10" spans="1:16" s="38" customFormat="1" x14ac:dyDescent="0.25">
      <c r="A10" s="38" t="s">
        <v>45</v>
      </c>
      <c r="B10" s="38">
        <f t="shared" si="0"/>
        <v>8</v>
      </c>
      <c r="C10" s="39">
        <v>2</v>
      </c>
      <c r="D10" s="37">
        <v>2020</v>
      </c>
      <c r="E10" s="42">
        <f>'Hotel Data'!E12</f>
        <v>437</v>
      </c>
      <c r="F10" s="42">
        <f>'Hotel Data'!G12</f>
        <v>3</v>
      </c>
      <c r="G10" s="42">
        <f>'Hotel Data'!O12</f>
        <v>0</v>
      </c>
      <c r="H10" s="42">
        <f>'Hotel Data'!Q12</f>
        <v>0</v>
      </c>
      <c r="I10" s="42">
        <f>'Hotel Data'!S12</f>
        <v>5</v>
      </c>
      <c r="J10" s="42">
        <f>'Hotel Data'!U12</f>
        <v>25</v>
      </c>
      <c r="K10" s="42">
        <f>'Hotel Data'!AD12</f>
        <v>313.45</v>
      </c>
      <c r="L10" s="42">
        <f>'Hotel Data'!AG12</f>
        <v>1347.7</v>
      </c>
      <c r="M10" s="42">
        <f>'Hotel Data'!AJ12</f>
        <v>296</v>
      </c>
      <c r="N10" s="42">
        <f>'Hotel Data'!AN12</f>
        <v>483.01</v>
      </c>
      <c r="O10" s="42">
        <f>'Hotel Data'!AR12</f>
        <v>296</v>
      </c>
      <c r="P10" s="38">
        <f>TOTAL!K9</f>
        <v>65</v>
      </c>
    </row>
    <row r="11" spans="1:16" s="38" customFormat="1" x14ac:dyDescent="0.25">
      <c r="A11" s="38" t="s">
        <v>45</v>
      </c>
      <c r="B11" s="38">
        <f t="shared" si="0"/>
        <v>9</v>
      </c>
      <c r="C11" s="39">
        <v>2</v>
      </c>
      <c r="D11" s="37">
        <v>2020</v>
      </c>
      <c r="E11" s="42">
        <f>'Hotel Data'!E13</f>
        <v>499</v>
      </c>
      <c r="F11" s="42">
        <f>'Hotel Data'!G13</f>
        <v>3</v>
      </c>
      <c r="G11" s="42">
        <f>'Hotel Data'!O13</f>
        <v>0</v>
      </c>
      <c r="H11" s="42">
        <f>'Hotel Data'!Q13</f>
        <v>0</v>
      </c>
      <c r="I11" s="42">
        <f>'Hotel Data'!S13</f>
        <v>3</v>
      </c>
      <c r="J11" s="42">
        <f>'Hotel Data'!U13</f>
        <v>25</v>
      </c>
      <c r="K11" s="42">
        <f>'Hotel Data'!AD13</f>
        <v>313.18</v>
      </c>
      <c r="L11" s="42">
        <f>'Hotel Data'!AG13</f>
        <v>1373.1</v>
      </c>
      <c r="M11" s="42">
        <f>'Hotel Data'!AJ13</f>
        <v>280</v>
      </c>
      <c r="N11" s="42">
        <f>'Hotel Data'!AN13</f>
        <v>430.4</v>
      </c>
      <c r="O11" s="42">
        <f>'Hotel Data'!AR13</f>
        <v>280</v>
      </c>
      <c r="P11" s="38">
        <f>TOTAL!K10</f>
        <v>41</v>
      </c>
    </row>
    <row r="12" spans="1:16" s="38" customFormat="1" x14ac:dyDescent="0.25">
      <c r="A12" s="38" t="s">
        <v>45</v>
      </c>
      <c r="B12" s="38">
        <f t="shared" si="0"/>
        <v>10</v>
      </c>
      <c r="C12" s="39">
        <v>2</v>
      </c>
      <c r="D12" s="37">
        <v>2020</v>
      </c>
      <c r="E12" s="42">
        <f>'Hotel Data'!E14</f>
        <v>391</v>
      </c>
      <c r="F12" s="42">
        <f>'Hotel Data'!G14</f>
        <v>5</v>
      </c>
      <c r="G12" s="42">
        <f>'Hotel Data'!O14</f>
        <v>0</v>
      </c>
      <c r="H12" s="42">
        <f>'Hotel Data'!Q14</f>
        <v>0</v>
      </c>
      <c r="I12" s="42">
        <f>'Hotel Data'!S14</f>
        <v>3</v>
      </c>
      <c r="J12" s="42">
        <f>'Hotel Data'!U14</f>
        <v>20</v>
      </c>
      <c r="K12" s="42">
        <f>'Hotel Data'!AD14</f>
        <v>298.02</v>
      </c>
      <c r="L12" s="42">
        <f>'Hotel Data'!AG14</f>
        <v>1163.8</v>
      </c>
      <c r="M12" s="42">
        <f>'Hotel Data'!AJ14</f>
        <v>200</v>
      </c>
      <c r="N12" s="42">
        <f>'Hotel Data'!AN14</f>
        <v>655.34</v>
      </c>
      <c r="O12" s="42">
        <f>'Hotel Data'!AR14</f>
        <v>240</v>
      </c>
      <c r="P12" s="38">
        <f>TOTAL!K11</f>
        <v>54</v>
      </c>
    </row>
    <row r="13" spans="1:16" s="38" customFormat="1" x14ac:dyDescent="0.25">
      <c r="A13" s="38" t="s">
        <v>45</v>
      </c>
      <c r="B13" s="38">
        <f t="shared" si="0"/>
        <v>11</v>
      </c>
      <c r="C13" s="39">
        <v>2</v>
      </c>
      <c r="D13" s="37">
        <v>2020</v>
      </c>
      <c r="E13" s="42">
        <f>'Hotel Data'!E15</f>
        <v>259</v>
      </c>
      <c r="F13" s="42">
        <f>'Hotel Data'!G15</f>
        <v>2</v>
      </c>
      <c r="G13" s="42">
        <f>'Hotel Data'!O15</f>
        <v>0</v>
      </c>
      <c r="H13" s="42">
        <f>'Hotel Data'!Q15</f>
        <v>0</v>
      </c>
      <c r="I13" s="42">
        <f>'Hotel Data'!S15</f>
        <v>4</v>
      </c>
      <c r="J13" s="42">
        <f>'Hotel Data'!U15</f>
        <v>21</v>
      </c>
      <c r="K13" s="42">
        <f>'Hotel Data'!AD15</f>
        <v>300.62</v>
      </c>
      <c r="L13" s="42">
        <f>'Hotel Data'!AG15</f>
        <v>1376.8</v>
      </c>
      <c r="M13" s="42">
        <f>'Hotel Data'!AJ15</f>
        <v>296</v>
      </c>
      <c r="N13" s="42">
        <f>'Hotel Data'!AN15</f>
        <v>398.72</v>
      </c>
      <c r="O13" s="42">
        <f>'Hotel Data'!AR15</f>
        <v>200</v>
      </c>
      <c r="P13" s="38">
        <f>TOTAL!K12</f>
        <v>67</v>
      </c>
    </row>
    <row r="14" spans="1:16" s="38" customFormat="1" x14ac:dyDescent="0.25">
      <c r="A14" s="38" t="s">
        <v>45</v>
      </c>
      <c r="B14" s="38">
        <f t="shared" si="0"/>
        <v>12</v>
      </c>
      <c r="C14" s="39">
        <v>2</v>
      </c>
      <c r="D14" s="37">
        <v>2020</v>
      </c>
      <c r="E14" s="42">
        <f>'Hotel Data'!E16</f>
        <v>161</v>
      </c>
      <c r="F14" s="42">
        <f>'Hotel Data'!G16</f>
        <v>2</v>
      </c>
      <c r="G14" s="42">
        <f>'Hotel Data'!O16</f>
        <v>0</v>
      </c>
      <c r="H14" s="42">
        <f>'Hotel Data'!Q16</f>
        <v>0</v>
      </c>
      <c r="I14" s="42">
        <f>'Hotel Data'!S16</f>
        <v>4</v>
      </c>
      <c r="J14" s="42">
        <f>'Hotel Data'!U16</f>
        <v>24</v>
      </c>
      <c r="K14" s="42">
        <f>'Hotel Data'!AD16</f>
        <v>313.14999999999998</v>
      </c>
      <c r="L14" s="42">
        <f>'Hotel Data'!AG16</f>
        <v>1252.7</v>
      </c>
      <c r="M14" s="42">
        <f>'Hotel Data'!AJ16</f>
        <v>200</v>
      </c>
      <c r="N14" s="42">
        <f>'Hotel Data'!AN16</f>
        <v>424.51</v>
      </c>
      <c r="O14" s="42">
        <f>'Hotel Data'!AR16</f>
        <v>296</v>
      </c>
      <c r="P14" s="38">
        <f>TOTAL!K13</f>
        <v>73</v>
      </c>
    </row>
    <row r="15" spans="1:16" s="38" customFormat="1" x14ac:dyDescent="0.25">
      <c r="A15" s="38" t="s">
        <v>45</v>
      </c>
      <c r="B15" s="38">
        <f t="shared" si="0"/>
        <v>13</v>
      </c>
      <c r="C15" s="39">
        <v>2</v>
      </c>
      <c r="D15" s="37">
        <v>2020</v>
      </c>
      <c r="E15" s="42">
        <f>'Hotel Data'!E17</f>
        <v>258</v>
      </c>
      <c r="F15" s="42">
        <f>'Hotel Data'!G17</f>
        <v>1</v>
      </c>
      <c r="G15" s="42">
        <f>'Hotel Data'!O17</f>
        <v>0</v>
      </c>
      <c r="H15" s="42">
        <f>'Hotel Data'!Q17</f>
        <v>0</v>
      </c>
      <c r="I15" s="42">
        <f>'Hotel Data'!S17</f>
        <v>3</v>
      </c>
      <c r="J15" s="42">
        <f>'Hotel Data'!U17</f>
        <v>24</v>
      </c>
      <c r="K15" s="42">
        <f>'Hotel Data'!AD17</f>
        <v>306.60000000000002</v>
      </c>
      <c r="L15" s="42">
        <f>'Hotel Data'!AG17</f>
        <v>1295.7</v>
      </c>
      <c r="M15" s="42">
        <f>'Hotel Data'!AJ17</f>
        <v>224</v>
      </c>
      <c r="N15" s="42">
        <f>'Hotel Data'!AN17</f>
        <v>419.66</v>
      </c>
      <c r="O15" s="42">
        <f>'Hotel Data'!AR17</f>
        <v>296</v>
      </c>
      <c r="P15" s="38">
        <f>TOTAL!K14</f>
        <v>103</v>
      </c>
    </row>
    <row r="16" spans="1:16" s="38" customFormat="1" x14ac:dyDescent="0.25">
      <c r="A16" s="38" t="s">
        <v>45</v>
      </c>
      <c r="B16" s="38">
        <f t="shared" si="0"/>
        <v>14</v>
      </c>
      <c r="C16" s="39">
        <v>2</v>
      </c>
      <c r="D16" s="37">
        <v>2020</v>
      </c>
      <c r="E16" s="42">
        <f>'Hotel Data'!E18</f>
        <v>350</v>
      </c>
      <c r="F16" s="42">
        <f>'Hotel Data'!G18</f>
        <v>1</v>
      </c>
      <c r="G16" s="42">
        <f>'Hotel Data'!O18</f>
        <v>0</v>
      </c>
      <c r="H16" s="42">
        <f>'Hotel Data'!Q18</f>
        <v>0</v>
      </c>
      <c r="I16" s="42">
        <f>'Hotel Data'!S18</f>
        <v>4</v>
      </c>
      <c r="J16" s="42">
        <f>'Hotel Data'!U18</f>
        <v>36</v>
      </c>
      <c r="K16" s="42">
        <f>'Hotel Data'!AD18</f>
        <v>295.19</v>
      </c>
      <c r="L16" s="42">
        <f>'Hotel Data'!AG18</f>
        <v>1195.4000000000001</v>
      </c>
      <c r="M16" s="42">
        <f>'Hotel Data'!AJ18</f>
        <v>256</v>
      </c>
      <c r="N16" s="42">
        <f>'Hotel Data'!AN18</f>
        <v>428.59</v>
      </c>
      <c r="O16" s="42">
        <f>'Hotel Data'!AR18</f>
        <v>336</v>
      </c>
      <c r="P16" s="38">
        <f>TOTAL!K15</f>
        <v>90</v>
      </c>
    </row>
    <row r="17" spans="1:16" s="38" customFormat="1" x14ac:dyDescent="0.25">
      <c r="A17" s="38" t="s">
        <v>45</v>
      </c>
      <c r="B17" s="38">
        <f t="shared" si="0"/>
        <v>15</v>
      </c>
      <c r="C17" s="39">
        <v>2</v>
      </c>
      <c r="D17" s="37">
        <v>2020</v>
      </c>
      <c r="E17" s="42">
        <f>'Hotel Data'!E19</f>
        <v>271</v>
      </c>
      <c r="F17" s="42">
        <f>'Hotel Data'!G19</f>
        <v>0</v>
      </c>
      <c r="G17" s="42">
        <f>'Hotel Data'!O19</f>
        <v>0</v>
      </c>
      <c r="H17" s="42">
        <f>'Hotel Data'!Q19</f>
        <v>0</v>
      </c>
      <c r="I17" s="42">
        <f>'Hotel Data'!S19</f>
        <v>2</v>
      </c>
      <c r="J17" s="42">
        <f>'Hotel Data'!U19</f>
        <v>31</v>
      </c>
      <c r="K17" s="42">
        <f>'Hotel Data'!AD19</f>
        <v>318.58999999999997</v>
      </c>
      <c r="L17" s="42">
        <f>'Hotel Data'!AG19</f>
        <v>1522.6</v>
      </c>
      <c r="M17" s="42">
        <f>'Hotel Data'!AJ19</f>
        <v>264</v>
      </c>
      <c r="N17" s="42">
        <f>'Hotel Data'!AN19</f>
        <v>287.12</v>
      </c>
      <c r="O17" s="42">
        <f>'Hotel Data'!AR19</f>
        <v>264</v>
      </c>
      <c r="P17" s="38">
        <f>TOTAL!K16</f>
        <v>71</v>
      </c>
    </row>
    <row r="18" spans="1:16" s="38" customFormat="1" x14ac:dyDescent="0.25">
      <c r="A18" s="38" t="s">
        <v>45</v>
      </c>
      <c r="B18" s="38">
        <f t="shared" si="0"/>
        <v>16</v>
      </c>
      <c r="C18" s="39">
        <v>2</v>
      </c>
      <c r="D18" s="37">
        <v>2020</v>
      </c>
      <c r="E18" s="42">
        <f>'Hotel Data'!E20</f>
        <v>313</v>
      </c>
      <c r="F18" s="42">
        <f>'Hotel Data'!G20</f>
        <v>2</v>
      </c>
      <c r="G18" s="42">
        <f>'Hotel Data'!O20</f>
        <v>0</v>
      </c>
      <c r="H18" s="42">
        <f>'Hotel Data'!Q20</f>
        <v>0</v>
      </c>
      <c r="I18" s="42">
        <f>'Hotel Data'!S20</f>
        <v>4</v>
      </c>
      <c r="J18" s="42">
        <f>'Hotel Data'!U20</f>
        <v>29</v>
      </c>
      <c r="K18" s="42">
        <f>'Hotel Data'!AD20</f>
        <v>307.13</v>
      </c>
      <c r="L18" s="42">
        <f>'Hotel Data'!AG20</f>
        <v>1330.3</v>
      </c>
      <c r="M18" s="42">
        <f>'Hotel Data'!AJ20</f>
        <v>280</v>
      </c>
      <c r="N18" s="42">
        <f>'Hotel Data'!AN20</f>
        <v>329.01</v>
      </c>
      <c r="O18" s="42">
        <f>'Hotel Data'!AR20</f>
        <v>288</v>
      </c>
      <c r="P18" s="38">
        <f>TOTAL!K17</f>
        <v>50</v>
      </c>
    </row>
    <row r="19" spans="1:16" s="38" customFormat="1" x14ac:dyDescent="0.25">
      <c r="A19" s="38" t="s">
        <v>45</v>
      </c>
      <c r="B19" s="38">
        <f t="shared" si="0"/>
        <v>17</v>
      </c>
      <c r="C19" s="39">
        <v>2</v>
      </c>
      <c r="D19" s="37">
        <v>2020</v>
      </c>
      <c r="E19" s="42">
        <f>'Hotel Data'!E21</f>
        <v>146</v>
      </c>
      <c r="F19" s="42">
        <f>'Hotel Data'!G21</f>
        <v>0</v>
      </c>
      <c r="G19" s="42">
        <f>'Hotel Data'!O21</f>
        <v>0</v>
      </c>
      <c r="H19" s="42">
        <f>'Hotel Data'!Q21</f>
        <v>0</v>
      </c>
      <c r="I19" s="42">
        <f>'Hotel Data'!S21</f>
        <v>2</v>
      </c>
      <c r="J19" s="42">
        <f>'Hotel Data'!U21</f>
        <v>22</v>
      </c>
      <c r="K19" s="42">
        <f>'Hotel Data'!AD21</f>
        <v>314.02999999999997</v>
      </c>
      <c r="L19" s="42">
        <f>'Hotel Data'!AG21</f>
        <v>1247.8</v>
      </c>
      <c r="M19" s="42">
        <f>'Hotel Data'!AJ21</f>
        <v>304</v>
      </c>
      <c r="N19" s="42">
        <f>'Hotel Data'!AN21</f>
        <v>413.41</v>
      </c>
      <c r="O19" s="42">
        <f>'Hotel Data'!AR21</f>
        <v>352</v>
      </c>
      <c r="P19" s="38">
        <f>TOTAL!K18</f>
        <v>75</v>
      </c>
    </row>
    <row r="20" spans="1:16" s="38" customFormat="1" x14ac:dyDescent="0.25">
      <c r="A20" s="38" t="s">
        <v>45</v>
      </c>
      <c r="B20" s="38">
        <f t="shared" si="0"/>
        <v>18</v>
      </c>
      <c r="C20" s="39">
        <v>2</v>
      </c>
      <c r="D20" s="37">
        <v>2020</v>
      </c>
      <c r="E20" s="42">
        <f>'Hotel Data'!E22</f>
        <v>162</v>
      </c>
      <c r="F20" s="42">
        <f>'Hotel Data'!G22</f>
        <v>1</v>
      </c>
      <c r="G20" s="42">
        <f>'Hotel Data'!O22</f>
        <v>0</v>
      </c>
      <c r="H20" s="42">
        <f>'Hotel Data'!Q22</f>
        <v>0</v>
      </c>
      <c r="I20" s="42">
        <f>'Hotel Data'!S22</f>
        <v>3</v>
      </c>
      <c r="J20" s="42">
        <f>'Hotel Data'!U22</f>
        <v>25</v>
      </c>
      <c r="K20" s="42">
        <f>'Hotel Data'!AD22</f>
        <v>296.69</v>
      </c>
      <c r="L20" s="42">
        <f>'Hotel Data'!AG22</f>
        <v>1149.7</v>
      </c>
      <c r="M20" s="42">
        <f>'Hotel Data'!AJ22</f>
        <v>208</v>
      </c>
      <c r="N20" s="42">
        <f>'Hotel Data'!AN22</f>
        <v>440.66</v>
      </c>
      <c r="O20" s="42">
        <f>'Hotel Data'!AR22</f>
        <v>320</v>
      </c>
      <c r="P20" s="38">
        <f>TOTAL!K19</f>
        <v>95</v>
      </c>
    </row>
    <row r="21" spans="1:16" s="38" customFormat="1" x14ac:dyDescent="0.25">
      <c r="A21" s="38" t="s">
        <v>45</v>
      </c>
      <c r="B21" s="38">
        <f t="shared" si="0"/>
        <v>19</v>
      </c>
      <c r="C21" s="39">
        <v>2</v>
      </c>
      <c r="D21" s="37">
        <v>2020</v>
      </c>
      <c r="E21" s="42">
        <f>'Hotel Data'!E23</f>
        <v>205</v>
      </c>
      <c r="F21" s="42">
        <f>'Hotel Data'!G23</f>
        <v>3</v>
      </c>
      <c r="G21" s="42">
        <f>'Hotel Data'!O23</f>
        <v>0</v>
      </c>
      <c r="H21" s="42">
        <f>'Hotel Data'!Q23</f>
        <v>0</v>
      </c>
      <c r="I21" s="42">
        <f>'Hotel Data'!S23</f>
        <v>2</v>
      </c>
      <c r="J21" s="42">
        <f>'Hotel Data'!U23</f>
        <v>28</v>
      </c>
      <c r="K21" s="42">
        <f>'Hotel Data'!AD23</f>
        <v>303.88</v>
      </c>
      <c r="L21" s="42">
        <f>'Hotel Data'!AG23</f>
        <v>1342.8</v>
      </c>
      <c r="M21" s="42">
        <f>'Hotel Data'!AJ23</f>
        <v>280</v>
      </c>
      <c r="N21" s="42">
        <f>'Hotel Data'!AN23</f>
        <v>510.7</v>
      </c>
      <c r="O21" s="42">
        <f>'Hotel Data'!AR23</f>
        <v>448</v>
      </c>
      <c r="P21" s="38">
        <f>TOTAL!K20</f>
        <v>101</v>
      </c>
    </row>
    <row r="22" spans="1:16" s="38" customFormat="1" x14ac:dyDescent="0.25">
      <c r="A22" s="38" t="s">
        <v>45</v>
      </c>
      <c r="B22" s="38">
        <f t="shared" si="0"/>
        <v>20</v>
      </c>
      <c r="C22" s="39">
        <v>2</v>
      </c>
      <c r="D22" s="37">
        <v>2020</v>
      </c>
      <c r="E22" s="42">
        <f>'Hotel Data'!E24</f>
        <v>281</v>
      </c>
      <c r="F22" s="42">
        <f>'Hotel Data'!G24</f>
        <v>1</v>
      </c>
      <c r="G22" s="42">
        <f>'Hotel Data'!O24</f>
        <v>0</v>
      </c>
      <c r="H22" s="42">
        <f>'Hotel Data'!Q24</f>
        <v>0</v>
      </c>
      <c r="I22" s="42">
        <f>'Hotel Data'!S24</f>
        <v>3</v>
      </c>
      <c r="J22" s="42">
        <f>'Hotel Data'!U24</f>
        <v>33</v>
      </c>
      <c r="K22" s="42">
        <f>'Hotel Data'!AD24</f>
        <v>316.31</v>
      </c>
      <c r="L22" s="42">
        <f>'Hotel Data'!AG24</f>
        <v>1483.7</v>
      </c>
      <c r="M22" s="42">
        <f>'Hotel Data'!AJ24</f>
        <v>304</v>
      </c>
      <c r="N22" s="42">
        <f>'Hotel Data'!AN24</f>
        <v>527.70000000000005</v>
      </c>
      <c r="O22" s="42">
        <f>'Hotel Data'!AR24</f>
        <v>424</v>
      </c>
      <c r="P22" s="38">
        <f>TOTAL!K21</f>
        <v>108</v>
      </c>
    </row>
    <row r="23" spans="1:16" s="38" customFormat="1" x14ac:dyDescent="0.25">
      <c r="A23" s="38" t="s">
        <v>45</v>
      </c>
      <c r="B23" s="38">
        <f t="shared" si="0"/>
        <v>21</v>
      </c>
      <c r="C23" s="39">
        <v>2</v>
      </c>
      <c r="D23" s="37">
        <v>2020</v>
      </c>
      <c r="E23" s="42">
        <f>'Hotel Data'!E25</f>
        <v>0</v>
      </c>
      <c r="F23" s="42">
        <f>'Hotel Data'!G25</f>
        <v>0</v>
      </c>
      <c r="G23" s="42">
        <f>'Hotel Data'!O25</f>
        <v>0</v>
      </c>
      <c r="H23" s="42">
        <f>'Hotel Data'!Q25</f>
        <v>0</v>
      </c>
      <c r="I23" s="42">
        <f>'Hotel Data'!S25</f>
        <v>0</v>
      </c>
      <c r="J23" s="42">
        <f>'Hotel Data'!U25</f>
        <v>0</v>
      </c>
      <c r="K23" s="42">
        <f>'Hotel Data'!AD25</f>
        <v>0</v>
      </c>
      <c r="L23" s="42">
        <f>'Hotel Data'!AG25</f>
        <v>0</v>
      </c>
      <c r="M23" s="42">
        <f>'Hotel Data'!AJ25</f>
        <v>0</v>
      </c>
      <c r="N23" s="42">
        <f>'Hotel Data'!AN25</f>
        <v>0</v>
      </c>
      <c r="O23" s="42">
        <f>'Hotel Data'!AR25</f>
        <v>0</v>
      </c>
      <c r="P23" s="38">
        <f>TOTAL!K22</f>
        <v>0</v>
      </c>
    </row>
    <row r="24" spans="1:16" s="38" customFormat="1" x14ac:dyDescent="0.25">
      <c r="A24" s="38" t="s">
        <v>45</v>
      </c>
      <c r="B24" s="38">
        <f t="shared" si="0"/>
        <v>22</v>
      </c>
      <c r="C24" s="39">
        <v>2</v>
      </c>
      <c r="D24" s="37">
        <v>2020</v>
      </c>
      <c r="E24" s="42">
        <f>'Hotel Data'!E26</f>
        <v>0</v>
      </c>
      <c r="F24" s="42">
        <f>'Hotel Data'!G26</f>
        <v>0</v>
      </c>
      <c r="G24" s="42">
        <f>'Hotel Data'!O26</f>
        <v>0</v>
      </c>
      <c r="H24" s="42">
        <f>'Hotel Data'!Q26</f>
        <v>0</v>
      </c>
      <c r="I24" s="42">
        <f>'Hotel Data'!S26</f>
        <v>0</v>
      </c>
      <c r="J24" s="42">
        <f>'Hotel Data'!U26</f>
        <v>0</v>
      </c>
      <c r="K24" s="42">
        <f>'Hotel Data'!AD26</f>
        <v>0</v>
      </c>
      <c r="L24" s="42">
        <f>'Hotel Data'!AG26</f>
        <v>0</v>
      </c>
      <c r="M24" s="42">
        <f>'Hotel Data'!AJ26</f>
        <v>0</v>
      </c>
      <c r="N24" s="42">
        <f>'Hotel Data'!AN26</f>
        <v>0</v>
      </c>
      <c r="O24" s="42">
        <f>'Hotel Data'!AR26</f>
        <v>0</v>
      </c>
      <c r="P24" s="38">
        <f>TOTAL!K23</f>
        <v>0</v>
      </c>
    </row>
    <row r="25" spans="1:16" s="38" customFormat="1" x14ac:dyDescent="0.25">
      <c r="A25" s="38" t="s">
        <v>45</v>
      </c>
      <c r="B25" s="38">
        <f t="shared" si="0"/>
        <v>23</v>
      </c>
      <c r="C25" s="39">
        <v>2</v>
      </c>
      <c r="D25" s="37">
        <v>2020</v>
      </c>
      <c r="E25" s="42">
        <f>'Hotel Data'!E27</f>
        <v>0</v>
      </c>
      <c r="F25" s="42">
        <f>'Hotel Data'!G27</f>
        <v>0</v>
      </c>
      <c r="G25" s="42">
        <f>'Hotel Data'!O27</f>
        <v>0</v>
      </c>
      <c r="H25" s="42">
        <f>'Hotel Data'!Q27</f>
        <v>0</v>
      </c>
      <c r="I25" s="42">
        <f>'Hotel Data'!S27</f>
        <v>0</v>
      </c>
      <c r="J25" s="42">
        <f>'Hotel Data'!U27</f>
        <v>0</v>
      </c>
      <c r="K25" s="42">
        <f>'Hotel Data'!AD27</f>
        <v>0</v>
      </c>
      <c r="L25" s="42">
        <f>'Hotel Data'!AG27</f>
        <v>0</v>
      </c>
      <c r="M25" s="42">
        <f>'Hotel Data'!AJ27</f>
        <v>0</v>
      </c>
      <c r="N25" s="42">
        <f>'Hotel Data'!AN27</f>
        <v>0</v>
      </c>
      <c r="O25" s="42">
        <f>'Hotel Data'!AR27</f>
        <v>0</v>
      </c>
      <c r="P25" s="38">
        <f>TOTAL!K24</f>
        <v>0</v>
      </c>
    </row>
    <row r="26" spans="1:16" s="38" customFormat="1" x14ac:dyDescent="0.25">
      <c r="A26" s="38" t="s">
        <v>45</v>
      </c>
      <c r="B26" s="38">
        <f t="shared" si="0"/>
        <v>24</v>
      </c>
      <c r="C26" s="39">
        <v>2</v>
      </c>
      <c r="D26" s="37">
        <v>2020</v>
      </c>
      <c r="E26" s="42">
        <f>'Hotel Data'!E28</f>
        <v>0</v>
      </c>
      <c r="F26" s="42">
        <f>'Hotel Data'!G28</f>
        <v>0</v>
      </c>
      <c r="G26" s="42">
        <f>'Hotel Data'!O28</f>
        <v>0</v>
      </c>
      <c r="H26" s="42">
        <f>'Hotel Data'!Q28</f>
        <v>0</v>
      </c>
      <c r="I26" s="42">
        <f>'Hotel Data'!S28</f>
        <v>0</v>
      </c>
      <c r="J26" s="42">
        <f>'Hotel Data'!U28</f>
        <v>0</v>
      </c>
      <c r="K26" s="42">
        <f>'Hotel Data'!AD28</f>
        <v>0</v>
      </c>
      <c r="L26" s="42">
        <f>'Hotel Data'!AG28</f>
        <v>0</v>
      </c>
      <c r="M26" s="42">
        <f>'Hotel Data'!AJ28</f>
        <v>0</v>
      </c>
      <c r="N26" s="42">
        <f>'Hotel Data'!AN28</f>
        <v>0</v>
      </c>
      <c r="O26" s="42">
        <f>'Hotel Data'!AR28</f>
        <v>0</v>
      </c>
      <c r="P26" s="38">
        <f>TOTAL!K25</f>
        <v>0</v>
      </c>
    </row>
    <row r="27" spans="1:16" s="38" customFormat="1" x14ac:dyDescent="0.25">
      <c r="A27" s="38" t="s">
        <v>45</v>
      </c>
      <c r="B27" s="38">
        <f>B26+1</f>
        <v>25</v>
      </c>
      <c r="C27" s="39">
        <v>2</v>
      </c>
      <c r="D27" s="37">
        <v>2020</v>
      </c>
      <c r="E27" s="42">
        <f>'Hotel Data'!E29</f>
        <v>0</v>
      </c>
      <c r="F27" s="42">
        <f>'Hotel Data'!G29</f>
        <v>0</v>
      </c>
      <c r="G27" s="42">
        <f>'Hotel Data'!O29</f>
        <v>0</v>
      </c>
      <c r="H27" s="42">
        <f>'Hotel Data'!Q29</f>
        <v>0</v>
      </c>
      <c r="I27" s="42">
        <f>'Hotel Data'!S29</f>
        <v>0</v>
      </c>
      <c r="J27" s="42">
        <f>'Hotel Data'!U29</f>
        <v>0</v>
      </c>
      <c r="K27" s="42">
        <f>'Hotel Data'!AD29</f>
        <v>0</v>
      </c>
      <c r="L27" s="42">
        <f>'Hotel Data'!AG29</f>
        <v>0</v>
      </c>
      <c r="M27" s="42">
        <f>'Hotel Data'!AJ29</f>
        <v>0</v>
      </c>
      <c r="N27" s="42">
        <f>'Hotel Data'!AN29</f>
        <v>0</v>
      </c>
      <c r="O27" s="42">
        <f>'Hotel Data'!AR29</f>
        <v>0</v>
      </c>
      <c r="P27" s="38">
        <f>TOTAL!K26</f>
        <v>0</v>
      </c>
    </row>
    <row r="28" spans="1:16" s="38" customFormat="1" x14ac:dyDescent="0.25">
      <c r="A28" s="38" t="s">
        <v>45</v>
      </c>
      <c r="B28" s="38">
        <f t="shared" si="0"/>
        <v>26</v>
      </c>
      <c r="C28" s="39">
        <v>2</v>
      </c>
      <c r="D28" s="37">
        <v>2020</v>
      </c>
      <c r="E28" s="42">
        <f>'Hotel Data'!E30</f>
        <v>0</v>
      </c>
      <c r="F28" s="42">
        <f>'Hotel Data'!G30</f>
        <v>0</v>
      </c>
      <c r="G28" s="42">
        <f>'Hotel Data'!O30</f>
        <v>0</v>
      </c>
      <c r="H28" s="42">
        <f>'Hotel Data'!Q30</f>
        <v>0</v>
      </c>
      <c r="I28" s="42">
        <f>'Hotel Data'!S30</f>
        <v>0</v>
      </c>
      <c r="J28" s="42">
        <f>'Hotel Data'!U30</f>
        <v>0</v>
      </c>
      <c r="K28" s="42">
        <f>'Hotel Data'!AD30</f>
        <v>0</v>
      </c>
      <c r="L28" s="42">
        <f>'Hotel Data'!AG30</f>
        <v>0</v>
      </c>
      <c r="M28" s="42">
        <f>'Hotel Data'!AJ30</f>
        <v>0</v>
      </c>
      <c r="N28" s="42">
        <f>'Hotel Data'!AN30</f>
        <v>0</v>
      </c>
      <c r="O28" s="42">
        <f>'Hotel Data'!AR30</f>
        <v>0</v>
      </c>
      <c r="P28" s="38">
        <f>TOTAL!K27</f>
        <v>0</v>
      </c>
    </row>
    <row r="29" spans="1:16" s="38" customFormat="1" x14ac:dyDescent="0.25">
      <c r="A29" s="38" t="s">
        <v>45</v>
      </c>
      <c r="B29" s="38">
        <f t="shared" si="0"/>
        <v>27</v>
      </c>
      <c r="C29" s="39">
        <v>2</v>
      </c>
      <c r="D29" s="37">
        <v>2020</v>
      </c>
      <c r="E29" s="42">
        <f>'Hotel Data'!E31</f>
        <v>0</v>
      </c>
      <c r="F29" s="42">
        <f>'Hotel Data'!G31</f>
        <v>0</v>
      </c>
      <c r="G29" s="42">
        <f>'Hotel Data'!O31</f>
        <v>0</v>
      </c>
      <c r="H29" s="42">
        <f>'Hotel Data'!Q31</f>
        <v>0</v>
      </c>
      <c r="I29" s="42">
        <f>'Hotel Data'!S31</f>
        <v>0</v>
      </c>
      <c r="J29" s="42">
        <f>'Hotel Data'!U31</f>
        <v>0</v>
      </c>
      <c r="K29" s="42">
        <f>'Hotel Data'!AD31</f>
        <v>0</v>
      </c>
      <c r="L29" s="42">
        <f>'Hotel Data'!AG31</f>
        <v>0</v>
      </c>
      <c r="M29" s="42">
        <f>'Hotel Data'!AJ31</f>
        <v>0</v>
      </c>
      <c r="N29" s="42">
        <f>'Hotel Data'!AN31</f>
        <v>0</v>
      </c>
      <c r="O29" s="42">
        <f>'Hotel Data'!AR31</f>
        <v>0</v>
      </c>
      <c r="P29" s="38">
        <f>TOTAL!K28</f>
        <v>0</v>
      </c>
    </row>
    <row r="30" spans="1:16" s="38" customFormat="1" x14ac:dyDescent="0.25">
      <c r="A30" s="38" t="s">
        <v>45</v>
      </c>
      <c r="B30" s="38">
        <f t="shared" si="0"/>
        <v>28</v>
      </c>
      <c r="C30" s="39">
        <v>2</v>
      </c>
      <c r="D30" s="37">
        <v>2020</v>
      </c>
      <c r="E30" s="42">
        <f>'Hotel Data'!E32</f>
        <v>0</v>
      </c>
      <c r="F30" s="42">
        <f>'Hotel Data'!G32</f>
        <v>0</v>
      </c>
      <c r="G30" s="42">
        <f>'Hotel Data'!O32</f>
        <v>0</v>
      </c>
      <c r="H30" s="42">
        <f>'Hotel Data'!Q32</f>
        <v>0</v>
      </c>
      <c r="I30" s="42">
        <f>'Hotel Data'!S32</f>
        <v>0</v>
      </c>
      <c r="J30" s="42">
        <f>'Hotel Data'!U32</f>
        <v>0</v>
      </c>
      <c r="K30" s="42">
        <f>'Hotel Data'!AD32</f>
        <v>0</v>
      </c>
      <c r="L30" s="42">
        <f>'Hotel Data'!AG32</f>
        <v>0</v>
      </c>
      <c r="M30" s="42">
        <f>'Hotel Data'!AJ32</f>
        <v>0</v>
      </c>
      <c r="N30" s="42">
        <f>'Hotel Data'!AN32</f>
        <v>0</v>
      </c>
      <c r="O30" s="42">
        <f>'Hotel Data'!AR32</f>
        <v>0</v>
      </c>
      <c r="P30" s="38">
        <f>TOTAL!K29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6"/>
  <sheetViews>
    <sheetView zoomScale="85" zoomScaleNormal="85" workbookViewId="0">
      <selection activeCell="J5" sqref="J5"/>
    </sheetView>
  </sheetViews>
  <sheetFormatPr defaultColWidth="8.5703125" defaultRowHeight="15" x14ac:dyDescent="0.2"/>
  <cols>
    <col min="1" max="1" width="6" style="49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7" customWidth="1"/>
    <col min="26" max="26" width="16.42578125" style="1" customWidth="1"/>
    <col min="27" max="27" width="11.5703125" style="1" customWidth="1"/>
    <col min="28" max="28" width="16.5703125" style="49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122"/>
      <c r="B1" s="123"/>
      <c r="C1" s="124"/>
      <c r="D1" s="114" t="s">
        <v>61</v>
      </c>
      <c r="E1" s="116"/>
      <c r="F1" s="114" t="s">
        <v>62</v>
      </c>
      <c r="G1" s="116"/>
      <c r="H1" s="128" t="s">
        <v>1</v>
      </c>
      <c r="I1" s="129"/>
      <c r="J1" s="129"/>
      <c r="K1" s="129"/>
      <c r="L1" s="129"/>
      <c r="M1" s="130"/>
      <c r="N1" s="134" t="s">
        <v>2</v>
      </c>
      <c r="O1" s="116"/>
      <c r="P1" s="136" t="s">
        <v>63</v>
      </c>
      <c r="Q1" s="137"/>
      <c r="R1" s="136" t="s">
        <v>3</v>
      </c>
      <c r="S1" s="137"/>
      <c r="T1" s="136" t="s">
        <v>4</v>
      </c>
      <c r="U1" s="137"/>
      <c r="V1" s="114" t="s">
        <v>5</v>
      </c>
      <c r="W1" s="115"/>
      <c r="X1" s="116"/>
      <c r="Y1" s="114" t="s">
        <v>6</v>
      </c>
      <c r="Z1" s="115"/>
      <c r="AA1" s="116"/>
      <c r="AB1" s="114" t="s">
        <v>64</v>
      </c>
      <c r="AC1" s="115"/>
      <c r="AD1" s="116"/>
      <c r="AE1" s="114" t="s">
        <v>65</v>
      </c>
      <c r="AF1" s="115"/>
      <c r="AG1" s="116"/>
      <c r="AH1" s="114" t="s">
        <v>66</v>
      </c>
      <c r="AI1" s="115"/>
      <c r="AJ1" s="115"/>
      <c r="AK1" s="116"/>
      <c r="AL1" s="114" t="s">
        <v>67</v>
      </c>
      <c r="AM1" s="115"/>
      <c r="AN1" s="115"/>
      <c r="AO1" s="116"/>
      <c r="AP1" s="114" t="s">
        <v>68</v>
      </c>
      <c r="AQ1" s="115"/>
      <c r="AR1" s="116"/>
      <c r="AS1" s="114" t="s">
        <v>69</v>
      </c>
      <c r="AT1" s="116"/>
      <c r="AU1" s="144" t="s">
        <v>7</v>
      </c>
      <c r="AV1" s="146" t="s">
        <v>8</v>
      </c>
      <c r="AW1" s="109" t="s">
        <v>9</v>
      </c>
      <c r="AX1" s="50"/>
      <c r="AY1" s="46"/>
      <c r="AZ1" s="111" t="s">
        <v>70</v>
      </c>
      <c r="BA1" s="111" t="s">
        <v>0</v>
      </c>
      <c r="BB1" s="111" t="s">
        <v>10</v>
      </c>
      <c r="BC1" s="111" t="s">
        <v>11</v>
      </c>
      <c r="BD1" s="111" t="s">
        <v>12</v>
      </c>
      <c r="BE1" s="111" t="s">
        <v>13</v>
      </c>
      <c r="BF1" s="111" t="s">
        <v>60</v>
      </c>
      <c r="BG1" s="111" t="s">
        <v>66</v>
      </c>
      <c r="BH1" s="111" t="s">
        <v>71</v>
      </c>
      <c r="BI1" s="111" t="s">
        <v>72</v>
      </c>
    </row>
    <row r="2" spans="1:61" ht="15.75" thickBot="1" x14ac:dyDescent="0.25">
      <c r="A2" s="125"/>
      <c r="B2" s="126"/>
      <c r="C2" s="127"/>
      <c r="D2" s="117"/>
      <c r="E2" s="119"/>
      <c r="F2" s="117"/>
      <c r="G2" s="119"/>
      <c r="H2" s="131"/>
      <c r="I2" s="132"/>
      <c r="J2" s="132"/>
      <c r="K2" s="132"/>
      <c r="L2" s="132"/>
      <c r="M2" s="133"/>
      <c r="N2" s="135"/>
      <c r="O2" s="119"/>
      <c r="P2" s="138"/>
      <c r="Q2" s="139"/>
      <c r="R2" s="138"/>
      <c r="S2" s="139"/>
      <c r="T2" s="138"/>
      <c r="U2" s="139"/>
      <c r="V2" s="117"/>
      <c r="W2" s="118"/>
      <c r="X2" s="119"/>
      <c r="Y2" s="117"/>
      <c r="Z2" s="118"/>
      <c r="AA2" s="119"/>
      <c r="AB2" s="117"/>
      <c r="AC2" s="118"/>
      <c r="AD2" s="119"/>
      <c r="AE2" s="117"/>
      <c r="AF2" s="118"/>
      <c r="AG2" s="119"/>
      <c r="AH2" s="117"/>
      <c r="AI2" s="118"/>
      <c r="AJ2" s="118"/>
      <c r="AK2" s="119"/>
      <c r="AL2" s="117"/>
      <c r="AM2" s="118"/>
      <c r="AN2" s="118"/>
      <c r="AO2" s="119"/>
      <c r="AP2" s="117"/>
      <c r="AQ2" s="118"/>
      <c r="AR2" s="119"/>
      <c r="AS2" s="117"/>
      <c r="AT2" s="119"/>
      <c r="AU2" s="145"/>
      <c r="AV2" s="147"/>
      <c r="AW2" s="110"/>
      <c r="AX2" s="50"/>
      <c r="AY2" s="48"/>
      <c r="AZ2" s="112"/>
      <c r="BA2" s="112"/>
      <c r="BB2" s="112"/>
      <c r="BC2" s="112"/>
      <c r="BD2" s="112"/>
      <c r="BE2" s="112"/>
      <c r="BF2" s="112"/>
      <c r="BG2" s="112"/>
      <c r="BH2" s="112"/>
      <c r="BI2" s="112"/>
    </row>
    <row r="3" spans="1:61" ht="16.5" thickBot="1" x14ac:dyDescent="0.3">
      <c r="A3" s="51" t="s">
        <v>14</v>
      </c>
      <c r="B3" s="51" t="s">
        <v>15</v>
      </c>
      <c r="C3" s="51" t="s">
        <v>16</v>
      </c>
      <c r="D3" s="52" t="s">
        <v>17</v>
      </c>
      <c r="E3" s="52" t="s">
        <v>18</v>
      </c>
      <c r="F3" s="52" t="s">
        <v>17</v>
      </c>
      <c r="G3" s="52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52" t="s">
        <v>17</v>
      </c>
      <c r="O3" s="52" t="s">
        <v>18</v>
      </c>
      <c r="P3" s="52" t="s">
        <v>17</v>
      </c>
      <c r="Q3" s="52" t="s">
        <v>18</v>
      </c>
      <c r="R3" s="52" t="s">
        <v>17</v>
      </c>
      <c r="S3" s="52" t="s">
        <v>18</v>
      </c>
      <c r="T3" s="52" t="s">
        <v>17</v>
      </c>
      <c r="U3" s="52" t="s">
        <v>18</v>
      </c>
      <c r="V3" s="52" t="s">
        <v>22</v>
      </c>
      <c r="W3" s="52" t="s">
        <v>18</v>
      </c>
      <c r="X3" s="52" t="s">
        <v>73</v>
      </c>
      <c r="Y3" s="52" t="s">
        <v>23</v>
      </c>
      <c r="Z3" s="52" t="s">
        <v>18</v>
      </c>
      <c r="AA3" s="52"/>
      <c r="AB3" s="52" t="s">
        <v>24</v>
      </c>
      <c r="AC3" s="52" t="s">
        <v>18</v>
      </c>
      <c r="AD3" s="52" t="s">
        <v>73</v>
      </c>
      <c r="AE3" s="52" t="s">
        <v>24</v>
      </c>
      <c r="AF3" s="52" t="s">
        <v>18</v>
      </c>
      <c r="AG3" s="52" t="s">
        <v>73</v>
      </c>
      <c r="AH3" s="52" t="s">
        <v>25</v>
      </c>
      <c r="AI3" s="52" t="s">
        <v>18</v>
      </c>
      <c r="AJ3" s="52" t="s">
        <v>73</v>
      </c>
      <c r="AK3" s="52" t="s">
        <v>26</v>
      </c>
      <c r="AL3" s="52" t="s">
        <v>24</v>
      </c>
      <c r="AM3" s="52" t="s">
        <v>18</v>
      </c>
      <c r="AN3" s="52" t="s">
        <v>73</v>
      </c>
      <c r="AO3" s="52" t="s">
        <v>26</v>
      </c>
      <c r="AP3" s="52" t="s">
        <v>25</v>
      </c>
      <c r="AQ3" s="52" t="s">
        <v>18</v>
      </c>
      <c r="AR3" s="52" t="s">
        <v>73</v>
      </c>
      <c r="AS3" s="51" t="s">
        <v>27</v>
      </c>
      <c r="AT3" s="51" t="s">
        <v>28</v>
      </c>
      <c r="AU3" s="120" t="s">
        <v>29</v>
      </c>
      <c r="AV3" s="121"/>
      <c r="AW3" s="53"/>
      <c r="AX3" s="50"/>
      <c r="AY3" s="47"/>
      <c r="AZ3" s="113"/>
      <c r="BA3" s="113"/>
      <c r="BB3" s="113"/>
      <c r="BC3" s="113"/>
      <c r="BD3" s="113"/>
      <c r="BE3" s="113"/>
      <c r="BF3" s="113"/>
      <c r="BG3" s="113"/>
      <c r="BH3" s="113"/>
      <c r="BI3" s="113"/>
    </row>
    <row r="4" spans="1:61" ht="13.9" customHeight="1" thickTop="1" thickBot="1" x14ac:dyDescent="0.3">
      <c r="A4" s="75"/>
      <c r="B4" s="63"/>
      <c r="C4" s="91"/>
      <c r="D4" s="6">
        <v>46211</v>
      </c>
      <c r="E4" s="92"/>
      <c r="F4" s="6">
        <f>[1]January!F33</f>
        <v>6578</v>
      </c>
      <c r="G4" s="92"/>
      <c r="H4" s="6">
        <f>[1]January!H33</f>
        <v>523901</v>
      </c>
      <c r="I4" s="92"/>
      <c r="J4" s="83">
        <v>495004</v>
      </c>
      <c r="K4" s="83"/>
      <c r="L4" s="7"/>
      <c r="M4" s="7"/>
      <c r="N4" s="6">
        <f>[1]January!N33</f>
        <v>87312</v>
      </c>
      <c r="O4" s="93"/>
      <c r="P4" s="6">
        <f>[1]January!P33</f>
        <v>79200</v>
      </c>
      <c r="Q4" s="54"/>
      <c r="R4" s="6">
        <f>[1]January!R33</f>
        <v>14225</v>
      </c>
      <c r="S4" s="54"/>
      <c r="T4" s="6">
        <f>[1]January!T33</f>
        <v>168606</v>
      </c>
      <c r="U4" s="54"/>
      <c r="V4" s="13">
        <f>[1]January!V33</f>
        <v>0</v>
      </c>
      <c r="W4" s="94"/>
      <c r="X4" s="80">
        <f>[1]January!X33</f>
        <v>10704.8</v>
      </c>
      <c r="Y4" s="85">
        <f>[1]January!Y33</f>
        <v>0</v>
      </c>
      <c r="Z4" s="54"/>
      <c r="AA4" s="80">
        <f>[1]January!AA33</f>
        <v>2093.6</v>
      </c>
      <c r="AB4" s="85">
        <f>[1]January!AB33</f>
        <v>0</v>
      </c>
      <c r="AC4" s="54"/>
      <c r="AD4" s="80">
        <f>[1]January!AD33</f>
        <v>303.39</v>
      </c>
      <c r="AE4" s="85">
        <f>[1]January!AE33</f>
        <v>0</v>
      </c>
      <c r="AF4" s="54"/>
      <c r="AG4" s="80">
        <f>[1]January!AG33</f>
        <v>1139.0999999999999</v>
      </c>
      <c r="AH4" s="6">
        <f>[1]January!AH33</f>
        <v>0</v>
      </c>
      <c r="AI4" s="93"/>
      <c r="AJ4" s="80">
        <f>[1]January!AJ33</f>
        <v>232</v>
      </c>
      <c r="AK4" s="95"/>
      <c r="AL4" s="6">
        <f>[1]January!AL33</f>
        <v>0</v>
      </c>
      <c r="AM4" s="92"/>
      <c r="AN4" s="80">
        <f>[1]January!AN33</f>
        <v>655.01</v>
      </c>
      <c r="AO4" s="95"/>
      <c r="AP4" s="6">
        <f>[1]January!AP33</f>
        <v>0</v>
      </c>
      <c r="AQ4" s="93"/>
      <c r="AR4" s="80">
        <f>[1]January!AR33</f>
        <v>288</v>
      </c>
      <c r="AS4" s="96"/>
      <c r="AT4" s="14"/>
      <c r="AU4" s="6"/>
      <c r="AV4" s="81"/>
      <c r="AW4" s="9"/>
      <c r="AY4" s="97"/>
      <c r="AZ4" s="18">
        <v>28000</v>
      </c>
      <c r="BA4" s="18">
        <v>130</v>
      </c>
      <c r="BB4" s="76">
        <f>H40</f>
        <v>0</v>
      </c>
      <c r="BC4" s="76">
        <f>N43</f>
        <v>20</v>
      </c>
      <c r="BD4" s="77">
        <v>370000</v>
      </c>
      <c r="BE4" s="77">
        <f>BD4</f>
        <v>370000</v>
      </c>
      <c r="BF4" s="98">
        <v>38650</v>
      </c>
      <c r="BG4" s="99">
        <v>6808</v>
      </c>
      <c r="BH4" s="98">
        <v>18616</v>
      </c>
      <c r="BI4" s="78">
        <v>9336</v>
      </c>
    </row>
    <row r="5" spans="1:61" ht="16.5" thickTop="1" x14ac:dyDescent="0.25">
      <c r="A5" s="62">
        <v>1</v>
      </c>
      <c r="B5" s="63" t="s">
        <v>30</v>
      </c>
      <c r="C5" s="10"/>
      <c r="D5" s="6">
        <v>46530</v>
      </c>
      <c r="E5" s="8">
        <f t="shared" ref="E5:E24" si="0">IF(ISBLANK(D5),0,D5-D4)</f>
        <v>319</v>
      </c>
      <c r="F5" s="6">
        <v>6590</v>
      </c>
      <c r="G5" s="8">
        <f t="shared" ref="G5:G24" si="1">IF(ISBLANK(F5),0,F5-F4)</f>
        <v>12</v>
      </c>
      <c r="H5" s="6">
        <v>524918</v>
      </c>
      <c r="I5" s="8">
        <f t="shared" ref="I5:K20" si="2">IF(ISBLANK(H5),0,H5-H4)</f>
        <v>1017</v>
      </c>
      <c r="J5" s="83">
        <v>495175</v>
      </c>
      <c r="K5" s="8">
        <f t="shared" si="2"/>
        <v>171</v>
      </c>
      <c r="L5" s="7"/>
      <c r="M5" s="11" t="e">
        <f>I5/L5</f>
        <v>#DIV/0!</v>
      </c>
      <c r="N5" s="6">
        <v>87312</v>
      </c>
      <c r="O5" s="8">
        <f t="shared" ref="O5:O24" si="3">IF(ISBLANK(N5),0,N5-N4)</f>
        <v>0</v>
      </c>
      <c r="P5" s="12">
        <v>79200</v>
      </c>
      <c r="Q5" s="8">
        <f t="shared" ref="Q5:Q24" si="4">IF(ISBLANK(P5),0,P5-P4)</f>
        <v>0</v>
      </c>
      <c r="R5" s="12">
        <v>14261</v>
      </c>
      <c r="S5" s="8">
        <f t="shared" ref="S5:S24" si="5">IF(ISBLANK(R5),0,R5-R4)</f>
        <v>36</v>
      </c>
      <c r="T5" s="12">
        <v>168823</v>
      </c>
      <c r="U5" s="8">
        <f t="shared" ref="U5:U24" si="6">IF(ISBLANK(T5),0,T5-T4)</f>
        <v>217</v>
      </c>
      <c r="V5" s="13"/>
      <c r="W5" s="8"/>
      <c r="X5" s="80">
        <v>11107.8</v>
      </c>
      <c r="Y5" s="12"/>
      <c r="Z5" s="8">
        <f>IF(ISBLANK(Y5),0,Y5-Y4)*2200</f>
        <v>0</v>
      </c>
      <c r="AA5" s="80">
        <v>2132.1999999999998</v>
      </c>
      <c r="AB5" s="6"/>
      <c r="AC5" s="9">
        <f>IF(ISBLANK(AB5),0,SUM(AB5-AB4))</f>
        <v>0</v>
      </c>
      <c r="AD5" s="80">
        <v>311.10000000000002</v>
      </c>
      <c r="AE5" s="12"/>
      <c r="AF5" s="9">
        <f>IF(ISBLANK(AE5),0,SUM(AE5-AE4))</f>
        <v>0</v>
      </c>
      <c r="AG5" s="80">
        <v>1236.3</v>
      </c>
      <c r="AH5" s="6"/>
      <c r="AI5" s="8">
        <f>IF(ISBLANK(AH5),0,AH5-AH4)*80</f>
        <v>0</v>
      </c>
      <c r="AJ5" s="80">
        <v>312</v>
      </c>
      <c r="AK5" s="7"/>
      <c r="AL5" s="6"/>
      <c r="AM5" s="8">
        <f t="shared" ref="AM5:AM24" si="7">IF(ISBLANK(AL5),0,AL5-AL4)</f>
        <v>0</v>
      </c>
      <c r="AN5" s="80">
        <v>655.22</v>
      </c>
      <c r="AO5" s="7"/>
      <c r="AP5" s="6"/>
      <c r="AQ5" s="8">
        <f>IF(ISBLANK(AP5),0,AP5-AP4)*80</f>
        <v>0</v>
      </c>
      <c r="AR5" s="80">
        <v>248</v>
      </c>
      <c r="AS5" s="100">
        <v>7</v>
      </c>
      <c r="AT5" s="14">
        <v>10</v>
      </c>
      <c r="AU5" s="7"/>
      <c r="AV5" s="81"/>
      <c r="AW5" s="88"/>
      <c r="AY5" s="102">
        <v>1</v>
      </c>
      <c r="AZ5" s="15">
        <f>IF(D5&lt;&gt;0,(+D5-D$10)/A5*D$5,0)</f>
        <v>-102738240</v>
      </c>
      <c r="BA5" s="15">
        <f>IF(F5&lt;&gt;0,(+F5-F$10)/$A5*D$5,0)</f>
        <v>-418770</v>
      </c>
      <c r="BB5" s="15">
        <f>IF(H5&lt;&gt;0,(+H5-H$10)/$A5*D$5,0)</f>
        <v>-31082040</v>
      </c>
      <c r="BC5" s="15">
        <f>IF(N5&lt;&gt;0,(+N5-N$10)/$A5*D$5,0)</f>
        <v>-46530</v>
      </c>
      <c r="BD5" s="16">
        <f t="shared" ref="BD5:BD24" si="8">IF(V5&lt;&gt;0,(+V5-V$10)*2200/$A5*D$5,0)</f>
        <v>0</v>
      </c>
      <c r="BE5" s="103">
        <f>IF(X5&lt;&gt;0,AVERAGE(X5:X$11)*D$5,)</f>
        <v>508336261.71428567</v>
      </c>
      <c r="BF5" s="15">
        <f>IF(AD5+AG5&lt;&gt;0,AVERAGE(AD5:AD$11)*D$5+AVERAGE(AG5:AG$11)*D$5,)</f>
        <v>73972862.22857143</v>
      </c>
      <c r="BG5" s="104">
        <f>AVERAGE(AD5:AD$11)*D$5</f>
        <v>14401167.942857143</v>
      </c>
      <c r="BH5" s="15">
        <f>AVERAGE(AN5:AN$11)*D$5</f>
        <v>23064788.057142857</v>
      </c>
      <c r="BI5" s="15">
        <f>AVERAGE(AR5:AR$11)*D$5</f>
        <v>12124388.571428571</v>
      </c>
    </row>
    <row r="6" spans="1:61" ht="15.75" x14ac:dyDescent="0.25">
      <c r="A6" s="62">
        <f t="shared" ref="A6:A12" si="9">1+A5</f>
        <v>2</v>
      </c>
      <c r="B6" s="63" t="s">
        <v>30</v>
      </c>
      <c r="C6" s="10"/>
      <c r="D6" s="6">
        <v>47032</v>
      </c>
      <c r="E6" s="8">
        <f t="shared" si="0"/>
        <v>502</v>
      </c>
      <c r="F6" s="6">
        <v>6592</v>
      </c>
      <c r="G6" s="8">
        <f t="shared" si="1"/>
        <v>2</v>
      </c>
      <c r="H6" s="6">
        <v>525062</v>
      </c>
      <c r="I6" s="8">
        <f t="shared" si="2"/>
        <v>144</v>
      </c>
      <c r="J6" s="83">
        <v>495312</v>
      </c>
      <c r="K6" s="8">
        <f t="shared" si="2"/>
        <v>137</v>
      </c>
      <c r="L6" s="7"/>
      <c r="M6" s="11" t="e">
        <f t="shared" ref="M6:M24" si="10">I6/L6</f>
        <v>#DIV/0!</v>
      </c>
      <c r="N6" s="6">
        <v>87312</v>
      </c>
      <c r="O6" s="8">
        <f t="shared" si="3"/>
        <v>0</v>
      </c>
      <c r="P6" s="12">
        <v>79200</v>
      </c>
      <c r="Q6" s="8">
        <f t="shared" si="4"/>
        <v>0</v>
      </c>
      <c r="R6" s="12">
        <v>14265</v>
      </c>
      <c r="S6" s="8">
        <f t="shared" si="5"/>
        <v>4</v>
      </c>
      <c r="T6" s="12">
        <v>168851</v>
      </c>
      <c r="U6" s="8">
        <f t="shared" si="6"/>
        <v>28</v>
      </c>
      <c r="V6" s="13"/>
      <c r="W6" s="8"/>
      <c r="X6" s="80">
        <v>11391.6</v>
      </c>
      <c r="Y6" s="85"/>
      <c r="Z6" s="8">
        <f t="shared" ref="Z6:Z24" si="11">IF(ISBLANK(Y6),0,Y6-Y5)*2200</f>
        <v>0</v>
      </c>
      <c r="AA6" s="80">
        <v>2204</v>
      </c>
      <c r="AB6" s="6"/>
      <c r="AC6" s="9">
        <f t="shared" ref="AC6:AC24" si="12">IF(ISBLANK(AB6),0,SUM(AB6-AB5))</f>
        <v>0</v>
      </c>
      <c r="AD6" s="80">
        <v>316.79000000000002</v>
      </c>
      <c r="AE6" s="12"/>
      <c r="AF6" s="9">
        <f t="shared" ref="AF6:AF24" si="13">IF(ISBLANK(AE6),0,SUM(AE6-AE5))</f>
        <v>0</v>
      </c>
      <c r="AG6" s="80">
        <v>1264.4000000000001</v>
      </c>
      <c r="AH6" s="6"/>
      <c r="AI6" s="8">
        <f t="shared" ref="AI6:AI24" si="14">IF(ISBLANK(AH6),0,AH6-AH5)*80</f>
        <v>0</v>
      </c>
      <c r="AJ6" s="80">
        <v>272</v>
      </c>
      <c r="AK6" s="7"/>
      <c r="AL6" s="6"/>
      <c r="AM6" s="8">
        <f t="shared" si="7"/>
        <v>0</v>
      </c>
      <c r="AN6" s="80">
        <v>655.33000000000004</v>
      </c>
      <c r="AO6" s="7"/>
      <c r="AP6" s="6"/>
      <c r="AQ6" s="8">
        <f t="shared" ref="AQ6:AQ24" si="15">IF(ISBLANK(AP6),0,AP6-AP5)*80</f>
        <v>0</v>
      </c>
      <c r="AR6" s="80">
        <v>296</v>
      </c>
      <c r="AS6" s="100">
        <v>6</v>
      </c>
      <c r="AT6" s="14">
        <v>13</v>
      </c>
      <c r="AU6" s="7">
        <v>1</v>
      </c>
      <c r="AV6" s="81">
        <v>3.319</v>
      </c>
      <c r="AW6" s="88"/>
      <c r="AY6" s="102">
        <f t="shared" ref="AY6:AY14" si="16">1+AY5</f>
        <v>2</v>
      </c>
      <c r="AZ6" s="15">
        <f t="shared" ref="AZ6:AZ24" si="17">IF(D6&lt;&gt;0,(+D6-D$10)/A6*D$5,0)</f>
        <v>-39690090</v>
      </c>
      <c r="BA6" s="15">
        <f t="shared" ref="BA6:BA24" si="18">IF(F6&lt;&gt;0,(+F6-F$10)/$A6*D$5,0)</f>
        <v>-162855</v>
      </c>
      <c r="BB6" s="15">
        <f t="shared" ref="BB6:BB24" si="19">IF(H6&lt;&gt;0,(+H6-H$10)/$A6*D$5,0)</f>
        <v>-12190860</v>
      </c>
      <c r="BC6" s="15">
        <f t="shared" ref="BC6:BC24" si="20">IF(N6&lt;&gt;0,(+N6-N$10)/$A6*D$5,0)</f>
        <v>-23265</v>
      </c>
      <c r="BD6" s="16">
        <f t="shared" si="8"/>
        <v>0</v>
      </c>
      <c r="BE6" s="103">
        <f>IF(X6&lt;&gt;0,AVERAGE(X6:X$11)*D$5,)</f>
        <v>506917982.99999994</v>
      </c>
      <c r="BF6" s="15">
        <f>IF(AD6+AG6&lt;&gt;0,AVERAGE(AD6:AD$11)*D$5+AVERAGE(AG6:AG$11)*D$5,)</f>
        <v>74301585.599999994</v>
      </c>
      <c r="BG6" s="104">
        <f>AVERAGE(AD6:AD$11)*D$5</f>
        <v>14388782.100000001</v>
      </c>
      <c r="BH6" s="15">
        <f>AVERAGE(AN6:AN$11)*D$5</f>
        <v>21827688.299999997</v>
      </c>
      <c r="BI6" s="15">
        <f>AVERAGE(AR6:AR$11)*D$5</f>
        <v>12221880</v>
      </c>
    </row>
    <row r="7" spans="1:61" ht="15.75" x14ac:dyDescent="0.25">
      <c r="A7" s="62">
        <f t="shared" si="9"/>
        <v>3</v>
      </c>
      <c r="B7" s="63" t="s">
        <v>30</v>
      </c>
      <c r="C7" s="10"/>
      <c r="D7" s="6">
        <v>47374</v>
      </c>
      <c r="E7" s="8">
        <f t="shared" si="0"/>
        <v>342</v>
      </c>
      <c r="F7" s="6">
        <v>6593</v>
      </c>
      <c r="G7" s="8">
        <f t="shared" si="1"/>
        <v>1</v>
      </c>
      <c r="H7" s="6">
        <v>525193</v>
      </c>
      <c r="I7" s="8">
        <f t="shared" si="2"/>
        <v>131</v>
      </c>
      <c r="J7" s="83">
        <v>495438</v>
      </c>
      <c r="K7" s="8">
        <f t="shared" si="2"/>
        <v>126</v>
      </c>
      <c r="L7" s="7"/>
      <c r="M7" s="11" t="e">
        <f t="shared" si="10"/>
        <v>#DIV/0!</v>
      </c>
      <c r="N7" s="6">
        <v>87312</v>
      </c>
      <c r="O7" s="8">
        <f t="shared" si="3"/>
        <v>0</v>
      </c>
      <c r="P7" s="12">
        <v>79200</v>
      </c>
      <c r="Q7" s="8">
        <f t="shared" si="4"/>
        <v>0</v>
      </c>
      <c r="R7" s="12">
        <v>14269</v>
      </c>
      <c r="S7" s="8">
        <f t="shared" si="5"/>
        <v>4</v>
      </c>
      <c r="T7" s="12">
        <v>168881</v>
      </c>
      <c r="U7" s="8">
        <f t="shared" si="6"/>
        <v>30</v>
      </c>
      <c r="V7" s="13"/>
      <c r="W7" s="8"/>
      <c r="X7" s="80">
        <v>11166.8</v>
      </c>
      <c r="Y7" s="85"/>
      <c r="Z7" s="8">
        <f t="shared" si="11"/>
        <v>0</v>
      </c>
      <c r="AA7" s="80">
        <v>2192.8000000000002</v>
      </c>
      <c r="AB7" s="6"/>
      <c r="AC7" s="9">
        <f t="shared" si="12"/>
        <v>0</v>
      </c>
      <c r="AD7" s="80">
        <v>309.11</v>
      </c>
      <c r="AE7" s="12"/>
      <c r="AF7" s="9">
        <f t="shared" si="13"/>
        <v>0</v>
      </c>
      <c r="AG7" s="80">
        <v>1367.5</v>
      </c>
      <c r="AH7" s="6"/>
      <c r="AI7" s="8">
        <f t="shared" si="14"/>
        <v>0</v>
      </c>
      <c r="AJ7" s="80">
        <v>312</v>
      </c>
      <c r="AK7" s="7"/>
      <c r="AL7" s="6"/>
      <c r="AM7" s="8">
        <f t="shared" si="7"/>
        <v>0</v>
      </c>
      <c r="AN7" s="80">
        <v>504.78</v>
      </c>
      <c r="AO7" s="7"/>
      <c r="AP7" s="6"/>
      <c r="AQ7" s="8">
        <f t="shared" si="15"/>
        <v>0</v>
      </c>
      <c r="AR7" s="80">
        <v>264</v>
      </c>
      <c r="AS7" s="105">
        <v>4</v>
      </c>
      <c r="AT7" s="14">
        <v>16</v>
      </c>
      <c r="AU7" s="7"/>
      <c r="AV7" s="81"/>
      <c r="AW7" s="88"/>
      <c r="AY7" s="102">
        <f t="shared" si="16"/>
        <v>3</v>
      </c>
      <c r="AZ7" s="15">
        <f t="shared" si="17"/>
        <v>-21155640</v>
      </c>
      <c r="BA7" s="15">
        <f t="shared" si="18"/>
        <v>-93060</v>
      </c>
      <c r="BB7" s="15">
        <f t="shared" si="19"/>
        <v>-6095430</v>
      </c>
      <c r="BC7" s="15">
        <f t="shared" si="20"/>
        <v>-15510</v>
      </c>
      <c r="BD7" s="16">
        <f t="shared" si="8"/>
        <v>0</v>
      </c>
      <c r="BE7" s="103">
        <f>IF(X7&lt;&gt;0,AVERAGE(X7:X$11)*D$5,)</f>
        <v>502291350</v>
      </c>
      <c r="BF7" s="15">
        <f>IF(AD7+AG7&lt;&gt;0,AVERAGE(AD7:AD$11)*D$5+AVERAGE(AG7:AG$11)*D$5,)</f>
        <v>74447348.579999998</v>
      </c>
      <c r="BG7" s="104">
        <f>AVERAGE(AD7:AD$11)*D$5</f>
        <v>14318490.779999999</v>
      </c>
      <c r="BH7" s="15">
        <f>AVERAGE(AN7:AN$11)*D$5</f>
        <v>20094724.98</v>
      </c>
      <c r="BI7" s="15">
        <f>AVERAGE(AR7:AR$11)*D$5</f>
        <v>11911680</v>
      </c>
    </row>
    <row r="8" spans="1:61" ht="15.75" x14ac:dyDescent="0.25">
      <c r="A8" s="62">
        <f t="shared" si="9"/>
        <v>4</v>
      </c>
      <c r="B8" s="63" t="s">
        <v>30</v>
      </c>
      <c r="C8" s="10"/>
      <c r="D8" s="6">
        <v>47798</v>
      </c>
      <c r="E8" s="8">
        <f t="shared" si="0"/>
        <v>424</v>
      </c>
      <c r="F8" s="6">
        <v>6596</v>
      </c>
      <c r="G8" s="8">
        <f t="shared" si="1"/>
        <v>3</v>
      </c>
      <c r="H8" s="6">
        <v>525336</v>
      </c>
      <c r="I8" s="8">
        <f t="shared" si="2"/>
        <v>143</v>
      </c>
      <c r="J8" s="83">
        <v>495574</v>
      </c>
      <c r="K8" s="8">
        <f t="shared" si="2"/>
        <v>136</v>
      </c>
      <c r="L8" s="7"/>
      <c r="M8" s="11" t="e">
        <f t="shared" si="10"/>
        <v>#DIV/0!</v>
      </c>
      <c r="N8" s="6">
        <v>87312</v>
      </c>
      <c r="O8" s="8">
        <f t="shared" si="3"/>
        <v>0</v>
      </c>
      <c r="P8" s="12">
        <v>79200</v>
      </c>
      <c r="Q8" s="8">
        <f t="shared" si="4"/>
        <v>0</v>
      </c>
      <c r="R8" s="12">
        <v>14273</v>
      </c>
      <c r="S8" s="8">
        <f t="shared" si="5"/>
        <v>4</v>
      </c>
      <c r="T8" s="12">
        <v>168913</v>
      </c>
      <c r="U8" s="8">
        <f t="shared" si="6"/>
        <v>32</v>
      </c>
      <c r="V8" s="13"/>
      <c r="W8" s="8"/>
      <c r="X8" s="80">
        <v>10769.6</v>
      </c>
      <c r="Y8" s="85"/>
      <c r="Z8" s="8">
        <f t="shared" si="11"/>
        <v>0</v>
      </c>
      <c r="AA8" s="80">
        <v>2045.8</v>
      </c>
      <c r="AB8" s="6"/>
      <c r="AC8" s="9">
        <f t="shared" si="12"/>
        <v>0</v>
      </c>
      <c r="AD8" s="80">
        <v>311.55</v>
      </c>
      <c r="AE8" s="12"/>
      <c r="AF8" s="9">
        <f t="shared" si="13"/>
        <v>0</v>
      </c>
      <c r="AG8" s="80">
        <v>1233</v>
      </c>
      <c r="AH8" s="6"/>
      <c r="AI8" s="8">
        <f t="shared" si="14"/>
        <v>0</v>
      </c>
      <c r="AJ8" s="80">
        <v>296</v>
      </c>
      <c r="AK8" s="7"/>
      <c r="AL8" s="6"/>
      <c r="AM8" s="8">
        <f t="shared" si="7"/>
        <v>0</v>
      </c>
      <c r="AN8" s="80">
        <v>453.58</v>
      </c>
      <c r="AO8" s="7"/>
      <c r="AP8" s="6"/>
      <c r="AQ8" s="8">
        <f t="shared" si="15"/>
        <v>0</v>
      </c>
      <c r="AR8" s="80">
        <v>288</v>
      </c>
      <c r="AS8" s="100">
        <v>4</v>
      </c>
      <c r="AT8" s="14">
        <v>14</v>
      </c>
      <c r="AU8" s="7">
        <v>1</v>
      </c>
      <c r="AV8" s="81">
        <v>31.58</v>
      </c>
      <c r="AW8" s="88"/>
      <c r="AY8" s="102">
        <f t="shared" si="16"/>
        <v>4</v>
      </c>
      <c r="AZ8" s="15">
        <f t="shared" si="17"/>
        <v>-10934550</v>
      </c>
      <c r="BA8" s="15">
        <f t="shared" si="18"/>
        <v>-34897.5</v>
      </c>
      <c r="BB8" s="15">
        <f t="shared" si="19"/>
        <v>-2908125</v>
      </c>
      <c r="BC8" s="15">
        <f t="shared" si="20"/>
        <v>-11632.5</v>
      </c>
      <c r="BD8" s="16">
        <f t="shared" si="8"/>
        <v>0</v>
      </c>
      <c r="BE8" s="103">
        <f>IF(X8&lt;&gt;0,AVERAGE(X8:X$11)*D$5,)</f>
        <v>497966386.49999994</v>
      </c>
      <c r="BF8" s="15">
        <f>IF(AD8+AG8&lt;&gt;0,AVERAGE(AD8:AD$11)*D$5+AVERAGE(AG8:AG$11)*D$5,)</f>
        <v>73556019.900000006</v>
      </c>
      <c r="BG8" s="104">
        <f>AVERAGE(AD8:AD$11)*D$5</f>
        <v>14302391.4</v>
      </c>
      <c r="BH8" s="15">
        <f>AVERAGE(AN8:AN$11)*D$5</f>
        <v>19246552.875</v>
      </c>
      <c r="BI8" s="15">
        <f>AVERAGE(AR8:AR$11)*D$5</f>
        <v>11818620</v>
      </c>
    </row>
    <row r="9" spans="1:61" ht="15.75" x14ac:dyDescent="0.25">
      <c r="A9" s="62">
        <f t="shared" si="9"/>
        <v>5</v>
      </c>
      <c r="B9" s="63" t="s">
        <v>30</v>
      </c>
      <c r="C9" s="10"/>
      <c r="D9" s="6">
        <v>48235</v>
      </c>
      <c r="E9" s="8">
        <f t="shared" si="0"/>
        <v>437</v>
      </c>
      <c r="F9" s="6">
        <v>6597</v>
      </c>
      <c r="G9" s="8">
        <f t="shared" si="1"/>
        <v>1</v>
      </c>
      <c r="H9" s="6">
        <v>525465</v>
      </c>
      <c r="I9" s="8">
        <f t="shared" si="2"/>
        <v>129</v>
      </c>
      <c r="J9" s="83">
        <v>495698</v>
      </c>
      <c r="K9" s="8">
        <f t="shared" si="2"/>
        <v>124</v>
      </c>
      <c r="L9" s="7"/>
      <c r="M9" s="11" t="e">
        <f t="shared" si="10"/>
        <v>#DIV/0!</v>
      </c>
      <c r="N9" s="6">
        <v>87313</v>
      </c>
      <c r="O9" s="8">
        <f t="shared" si="3"/>
        <v>1</v>
      </c>
      <c r="P9" s="12">
        <v>79200</v>
      </c>
      <c r="Q9" s="8">
        <f t="shared" si="4"/>
        <v>0</v>
      </c>
      <c r="R9" s="12">
        <v>14279</v>
      </c>
      <c r="S9" s="8">
        <f t="shared" si="5"/>
        <v>6</v>
      </c>
      <c r="T9" s="12">
        <v>168941</v>
      </c>
      <c r="U9" s="8">
        <f t="shared" si="6"/>
        <v>28</v>
      </c>
      <c r="V9" s="13"/>
      <c r="W9" s="8"/>
      <c r="X9" s="80">
        <v>10673.6</v>
      </c>
      <c r="Y9" s="85"/>
      <c r="Z9" s="8">
        <f t="shared" si="11"/>
        <v>0</v>
      </c>
      <c r="AA9" s="80">
        <v>2068.1999999999998</v>
      </c>
      <c r="AB9" s="6"/>
      <c r="AC9" s="9">
        <f t="shared" si="12"/>
        <v>0</v>
      </c>
      <c r="AD9" s="80">
        <v>309.12</v>
      </c>
      <c r="AE9" s="12"/>
      <c r="AF9" s="9">
        <f t="shared" si="13"/>
        <v>0</v>
      </c>
      <c r="AG9" s="80">
        <v>1258.4000000000001</v>
      </c>
      <c r="AH9" s="6"/>
      <c r="AI9" s="8">
        <f t="shared" si="14"/>
        <v>0</v>
      </c>
      <c r="AJ9" s="80">
        <v>224</v>
      </c>
      <c r="AK9" s="7"/>
      <c r="AL9" s="6"/>
      <c r="AM9" s="8">
        <f t="shared" si="7"/>
        <v>0</v>
      </c>
      <c r="AN9" s="80">
        <v>422.73</v>
      </c>
      <c r="AO9" s="7"/>
      <c r="AP9" s="6"/>
      <c r="AQ9" s="8">
        <f t="shared" si="15"/>
        <v>0</v>
      </c>
      <c r="AR9" s="80">
        <v>248</v>
      </c>
      <c r="AS9" s="105">
        <v>-1</v>
      </c>
      <c r="AT9" s="14">
        <v>14</v>
      </c>
      <c r="AU9" s="7">
        <v>3</v>
      </c>
      <c r="AV9" s="81">
        <v>22.635000000000002</v>
      </c>
      <c r="AW9" s="88"/>
      <c r="AY9" s="102">
        <f t="shared" si="16"/>
        <v>5</v>
      </c>
      <c r="AZ9" s="15">
        <f t="shared" si="17"/>
        <v>-4680918</v>
      </c>
      <c r="BA9" s="15">
        <f t="shared" si="18"/>
        <v>-18612</v>
      </c>
      <c r="BB9" s="15">
        <f t="shared" si="19"/>
        <v>-1126026</v>
      </c>
      <c r="BC9" s="15">
        <f t="shared" si="20"/>
        <v>0</v>
      </c>
      <c r="BD9" s="16">
        <f t="shared" si="8"/>
        <v>0</v>
      </c>
      <c r="BE9" s="103">
        <f>IF(X9&lt;&gt;0,AVERAGE(X9:X$11)*D$5,)</f>
        <v>496918686</v>
      </c>
      <c r="BF9" s="15">
        <f>IF(AD9+AG9&lt;&gt;0,AVERAGE(AD9:AD$11)*D$5+AVERAGE(AG9:AG$11)*D$5,)</f>
        <v>74118722.700000003</v>
      </c>
      <c r="BG9" s="104">
        <f>AVERAGE(AD9:AD$11)*D$5</f>
        <v>14237714.700000001</v>
      </c>
      <c r="BH9" s="15">
        <f>AVERAGE(AN9:AN$11)*D$5</f>
        <v>18627044.699999999</v>
      </c>
      <c r="BI9" s="15">
        <f>AVERAGE(AR9:AR$11)*D$5</f>
        <v>11291280</v>
      </c>
    </row>
    <row r="10" spans="1:61" ht="15.75" x14ac:dyDescent="0.25">
      <c r="A10" s="62">
        <f t="shared" si="9"/>
        <v>6</v>
      </c>
      <c r="B10" s="63" t="s">
        <v>30</v>
      </c>
      <c r="C10" s="10"/>
      <c r="D10" s="6">
        <v>48738</v>
      </c>
      <c r="E10" s="8">
        <f t="shared" si="0"/>
        <v>503</v>
      </c>
      <c r="F10" s="6">
        <v>6599</v>
      </c>
      <c r="G10" s="8">
        <f t="shared" si="1"/>
        <v>2</v>
      </c>
      <c r="H10" s="6">
        <v>525586</v>
      </c>
      <c r="I10" s="8">
        <f t="shared" si="2"/>
        <v>121</v>
      </c>
      <c r="J10" s="83">
        <v>495813</v>
      </c>
      <c r="K10" s="8">
        <f t="shared" si="2"/>
        <v>115</v>
      </c>
      <c r="L10" s="7"/>
      <c r="M10" s="11" t="e">
        <f t="shared" si="10"/>
        <v>#DIV/0!</v>
      </c>
      <c r="N10" s="6">
        <v>87313</v>
      </c>
      <c r="O10" s="8">
        <f t="shared" si="3"/>
        <v>0</v>
      </c>
      <c r="P10" s="12">
        <v>79200</v>
      </c>
      <c r="Q10" s="8">
        <f t="shared" si="4"/>
        <v>0</v>
      </c>
      <c r="R10" s="12">
        <v>14281</v>
      </c>
      <c r="S10" s="8">
        <f t="shared" si="5"/>
        <v>2</v>
      </c>
      <c r="T10" s="12">
        <v>168970</v>
      </c>
      <c r="U10" s="8">
        <f t="shared" si="6"/>
        <v>29</v>
      </c>
      <c r="V10" s="13"/>
      <c r="W10" s="8"/>
      <c r="X10" s="80">
        <v>10660</v>
      </c>
      <c r="Y10" s="85"/>
      <c r="Z10" s="8">
        <f t="shared" si="11"/>
        <v>0</v>
      </c>
      <c r="AA10" s="80">
        <v>2010.4</v>
      </c>
      <c r="AB10" s="6"/>
      <c r="AC10" s="9">
        <f t="shared" si="12"/>
        <v>0</v>
      </c>
      <c r="AD10" s="80">
        <v>307.58</v>
      </c>
      <c r="AE10" s="12"/>
      <c r="AF10" s="9">
        <f t="shared" si="13"/>
        <v>0</v>
      </c>
      <c r="AG10" s="80">
        <v>1376.7</v>
      </c>
      <c r="AH10" s="6"/>
      <c r="AI10" s="8">
        <f t="shared" si="14"/>
        <v>0</v>
      </c>
      <c r="AJ10" s="80">
        <v>240</v>
      </c>
      <c r="AK10" s="7"/>
      <c r="AL10" s="6"/>
      <c r="AM10" s="8">
        <f t="shared" si="7"/>
        <v>0</v>
      </c>
      <c r="AN10" s="80">
        <v>377.31</v>
      </c>
      <c r="AO10" s="7"/>
      <c r="AP10" s="6"/>
      <c r="AQ10" s="8">
        <f t="shared" si="15"/>
        <v>0</v>
      </c>
      <c r="AR10" s="80">
        <v>264</v>
      </c>
      <c r="AS10" s="105">
        <v>-2</v>
      </c>
      <c r="AT10" s="14">
        <v>14</v>
      </c>
      <c r="AU10" s="7">
        <v>2</v>
      </c>
      <c r="AV10" s="81">
        <v>24.972999999999999</v>
      </c>
      <c r="AW10" s="88"/>
      <c r="AY10" s="102">
        <f t="shared" si="16"/>
        <v>6</v>
      </c>
      <c r="AZ10" s="15">
        <f t="shared" si="17"/>
        <v>0</v>
      </c>
      <c r="BA10" s="15">
        <f t="shared" si="18"/>
        <v>0</v>
      </c>
      <c r="BB10" s="15">
        <f t="shared" si="19"/>
        <v>0</v>
      </c>
      <c r="BC10" s="15">
        <f t="shared" si="20"/>
        <v>0</v>
      </c>
      <c r="BD10" s="16">
        <f t="shared" si="8"/>
        <v>0</v>
      </c>
      <c r="BE10" s="103">
        <f>IF(X10&lt;&gt;0,AVERAGE(X10:X$11)*D$5,)</f>
        <v>497056725</v>
      </c>
      <c r="BF10" s="15">
        <f>IF(AD10+AG10&lt;&gt;0,AVERAGE(AD10:AD$11)*D$5+AVERAGE(AG10:AG$11)*D$5,)</f>
        <v>74709731.25</v>
      </c>
      <c r="BG10" s="104">
        <f>AVERAGE(AD10:AD$11)*D$5</f>
        <v>14164895.249999998</v>
      </c>
      <c r="BH10" s="15">
        <f>AVERAGE(AN10:AN$11)*D$5</f>
        <v>18105753.600000001</v>
      </c>
      <c r="BI10" s="15">
        <f>AVERAGE(AR10:AR$11)*D$5</f>
        <v>11167200</v>
      </c>
    </row>
    <row r="11" spans="1:61" ht="15.75" x14ac:dyDescent="0.25">
      <c r="A11" s="62">
        <f t="shared" si="9"/>
        <v>7</v>
      </c>
      <c r="B11" s="63" t="s">
        <v>30</v>
      </c>
      <c r="C11" s="10"/>
      <c r="D11" s="6">
        <v>49205</v>
      </c>
      <c r="E11" s="8">
        <f t="shared" si="0"/>
        <v>467</v>
      </c>
      <c r="F11" s="6">
        <v>6600</v>
      </c>
      <c r="G11" s="8">
        <f t="shared" si="1"/>
        <v>1</v>
      </c>
      <c r="H11" s="6">
        <v>525707</v>
      </c>
      <c r="I11" s="8">
        <f t="shared" si="2"/>
        <v>121</v>
      </c>
      <c r="J11" s="83">
        <v>495928</v>
      </c>
      <c r="K11" s="8">
        <f t="shared" si="2"/>
        <v>115</v>
      </c>
      <c r="L11" s="7"/>
      <c r="M11" s="11" t="e">
        <f t="shared" si="10"/>
        <v>#DIV/0!</v>
      </c>
      <c r="N11" s="6">
        <v>87313</v>
      </c>
      <c r="O11" s="8">
        <f t="shared" si="3"/>
        <v>0</v>
      </c>
      <c r="P11" s="106">
        <v>79200</v>
      </c>
      <c r="Q11" s="8">
        <f t="shared" si="4"/>
        <v>0</v>
      </c>
      <c r="R11" s="12">
        <v>14284</v>
      </c>
      <c r="S11" s="8">
        <f t="shared" si="5"/>
        <v>3</v>
      </c>
      <c r="T11" s="12">
        <v>168997</v>
      </c>
      <c r="U11" s="8">
        <f t="shared" si="6"/>
        <v>27</v>
      </c>
      <c r="V11" s="13"/>
      <c r="W11" s="8"/>
      <c r="X11" s="80">
        <v>10705</v>
      </c>
      <c r="Y11" s="85"/>
      <c r="Z11" s="8">
        <f t="shared" si="11"/>
        <v>0</v>
      </c>
      <c r="AA11" s="80">
        <v>2053.6</v>
      </c>
      <c r="AB11" s="6"/>
      <c r="AC11" s="9">
        <f t="shared" si="12"/>
        <v>0</v>
      </c>
      <c r="AD11" s="80">
        <v>301.27</v>
      </c>
      <c r="AE11" s="12"/>
      <c r="AF11" s="9">
        <f t="shared" si="13"/>
        <v>0</v>
      </c>
      <c r="AG11" s="80">
        <v>1225.7</v>
      </c>
      <c r="AH11" s="6"/>
      <c r="AI11" s="8">
        <f t="shared" si="14"/>
        <v>0</v>
      </c>
      <c r="AJ11" s="80">
        <v>224</v>
      </c>
      <c r="AK11" s="7"/>
      <c r="AL11" s="6"/>
      <c r="AM11" s="8">
        <f t="shared" si="7"/>
        <v>0</v>
      </c>
      <c r="AN11" s="80">
        <v>400.93</v>
      </c>
      <c r="AO11" s="7"/>
      <c r="AP11" s="6"/>
      <c r="AQ11" s="8">
        <f t="shared" si="15"/>
        <v>0</v>
      </c>
      <c r="AR11" s="80">
        <v>216</v>
      </c>
      <c r="AS11" s="100">
        <v>1</v>
      </c>
      <c r="AT11" s="14">
        <v>13</v>
      </c>
      <c r="AU11" s="7">
        <v>1</v>
      </c>
      <c r="AV11" s="81">
        <v>11.268000000000001</v>
      </c>
      <c r="AW11" s="88"/>
      <c r="AY11" s="102">
        <f t="shared" si="16"/>
        <v>7</v>
      </c>
      <c r="AZ11" s="15">
        <f t="shared" si="17"/>
        <v>3104215.7142857141</v>
      </c>
      <c r="BA11" s="15">
        <f t="shared" si="18"/>
        <v>6647.1428571428569</v>
      </c>
      <c r="BB11" s="15">
        <f t="shared" si="19"/>
        <v>804304.28571428568</v>
      </c>
      <c r="BC11" s="15">
        <f t="shared" si="20"/>
        <v>0</v>
      </c>
      <c r="BD11" s="16">
        <f t="shared" si="8"/>
        <v>0</v>
      </c>
      <c r="BE11" s="103">
        <f>IF(X11&lt;&gt;0,AVERAGE(X$11:X11)*D$5,)</f>
        <v>498103650</v>
      </c>
      <c r="BF11" s="15">
        <f>IF(AD11+AG11&lt;&gt;0,AVERAGE(AD$11:AD11)*D$5+AVERAGE(AG$11:AG11)*D$5,)</f>
        <v>71049914.099999994</v>
      </c>
      <c r="BG11" s="104">
        <f>AVERAGE(AD$11:AD11)*D$5</f>
        <v>14018093.1</v>
      </c>
      <c r="BH11" s="15">
        <f>AVERAGE(AN$11:AN11)*D$5</f>
        <v>18655272.899999999</v>
      </c>
      <c r="BI11" s="15">
        <f>AVERAGE(AR$11:AR11)*D$5</f>
        <v>10050480</v>
      </c>
    </row>
    <row r="12" spans="1:61" ht="15.75" x14ac:dyDescent="0.25">
      <c r="A12" s="62">
        <f t="shared" si="9"/>
        <v>8</v>
      </c>
      <c r="B12" s="63" t="s">
        <v>30</v>
      </c>
      <c r="C12" s="10"/>
      <c r="D12" s="6">
        <v>49642</v>
      </c>
      <c r="E12" s="8">
        <f t="shared" si="0"/>
        <v>437</v>
      </c>
      <c r="F12" s="6">
        <v>6603</v>
      </c>
      <c r="G12" s="8">
        <f t="shared" si="1"/>
        <v>3</v>
      </c>
      <c r="H12" s="89">
        <v>525838</v>
      </c>
      <c r="I12" s="8">
        <f t="shared" si="2"/>
        <v>131</v>
      </c>
      <c r="J12" s="83">
        <v>496054</v>
      </c>
      <c r="K12" s="8">
        <f t="shared" si="2"/>
        <v>126</v>
      </c>
      <c r="L12" s="7"/>
      <c r="M12" s="11" t="e">
        <f t="shared" si="10"/>
        <v>#DIV/0!</v>
      </c>
      <c r="N12" s="6">
        <v>87313</v>
      </c>
      <c r="O12" s="8">
        <f t="shared" si="3"/>
        <v>0</v>
      </c>
      <c r="P12" s="12">
        <v>79200</v>
      </c>
      <c r="Q12" s="8">
        <f t="shared" si="4"/>
        <v>0</v>
      </c>
      <c r="R12" s="12">
        <v>14289</v>
      </c>
      <c r="S12" s="8">
        <f t="shared" si="5"/>
        <v>5</v>
      </c>
      <c r="T12" s="12">
        <v>169022</v>
      </c>
      <c r="U12" s="8">
        <f t="shared" si="6"/>
        <v>25</v>
      </c>
      <c r="V12" s="13"/>
      <c r="W12" s="8"/>
      <c r="X12" s="80">
        <v>10701</v>
      </c>
      <c r="Y12" s="85"/>
      <c r="Z12" s="8">
        <f t="shared" si="11"/>
        <v>0</v>
      </c>
      <c r="AA12" s="80">
        <v>1966.6</v>
      </c>
      <c r="AB12" s="6"/>
      <c r="AC12" s="9">
        <f t="shared" si="12"/>
        <v>0</v>
      </c>
      <c r="AD12" s="80">
        <v>313.45</v>
      </c>
      <c r="AE12" s="12"/>
      <c r="AF12" s="9">
        <f t="shared" si="13"/>
        <v>0</v>
      </c>
      <c r="AG12" s="80">
        <v>1347.7</v>
      </c>
      <c r="AH12" s="6"/>
      <c r="AI12" s="8">
        <f t="shared" si="14"/>
        <v>0</v>
      </c>
      <c r="AJ12" s="80">
        <v>296</v>
      </c>
      <c r="AK12" s="7"/>
      <c r="AL12" s="6"/>
      <c r="AM12" s="8">
        <f t="shared" si="7"/>
        <v>0</v>
      </c>
      <c r="AN12" s="80">
        <v>483.01</v>
      </c>
      <c r="AO12" s="7"/>
      <c r="AP12" s="6"/>
      <c r="AQ12" s="8">
        <f t="shared" si="15"/>
        <v>0</v>
      </c>
      <c r="AR12" s="80">
        <v>296</v>
      </c>
      <c r="AS12" s="100">
        <v>1</v>
      </c>
      <c r="AT12" s="14">
        <v>10</v>
      </c>
      <c r="AU12" s="7"/>
      <c r="AV12" s="81"/>
      <c r="AW12" s="88"/>
      <c r="AY12" s="102">
        <f t="shared" si="16"/>
        <v>8</v>
      </c>
      <c r="AZ12" s="15">
        <f t="shared" si="17"/>
        <v>5257890</v>
      </c>
      <c r="BA12" s="15">
        <f t="shared" si="18"/>
        <v>23265</v>
      </c>
      <c r="BB12" s="15">
        <f t="shared" si="19"/>
        <v>1465695</v>
      </c>
      <c r="BC12" s="15">
        <f t="shared" si="20"/>
        <v>0</v>
      </c>
      <c r="BD12" s="16">
        <f t="shared" si="8"/>
        <v>0</v>
      </c>
      <c r="BE12" s="103">
        <f>IF(X12&lt;&gt;0,AVERAGE(X$11:X12)*D$5,)</f>
        <v>498010590</v>
      </c>
      <c r="BF12" s="15">
        <f>IF(AD12+AG12&lt;&gt;0,AVERAGE(AD$11:AD12)*D$5+AVERAGE(AG$11:AG12)*D$5,)</f>
        <v>74171611.799999997</v>
      </c>
      <c r="BG12" s="104">
        <f>AVERAGE(AD$11:AD12)*D$5</f>
        <v>14301460.800000001</v>
      </c>
      <c r="BH12" s="15">
        <f>AVERAGE(AN$11:AN12)*D$5</f>
        <v>20564864.100000001</v>
      </c>
      <c r="BI12" s="15">
        <f>AVERAGE(AR$11:AR12)*D$5</f>
        <v>11911680</v>
      </c>
    </row>
    <row r="13" spans="1:61" ht="15.75" x14ac:dyDescent="0.25">
      <c r="A13" s="62">
        <v>9</v>
      </c>
      <c r="B13" s="63" t="s">
        <v>30</v>
      </c>
      <c r="C13" s="10"/>
      <c r="D13" s="6">
        <v>50141</v>
      </c>
      <c r="E13" s="8">
        <f t="shared" si="0"/>
        <v>499</v>
      </c>
      <c r="F13" s="6">
        <v>6606</v>
      </c>
      <c r="G13" s="8">
        <f t="shared" si="1"/>
        <v>3</v>
      </c>
      <c r="H13" s="89">
        <v>525965</v>
      </c>
      <c r="I13" s="8">
        <f t="shared" si="2"/>
        <v>127</v>
      </c>
      <c r="J13" s="83">
        <v>496175</v>
      </c>
      <c r="K13" s="8">
        <f t="shared" si="2"/>
        <v>121</v>
      </c>
      <c r="L13" s="7"/>
      <c r="M13" s="11" t="e">
        <f t="shared" si="10"/>
        <v>#DIV/0!</v>
      </c>
      <c r="N13" s="6">
        <v>87313</v>
      </c>
      <c r="O13" s="8">
        <f t="shared" si="3"/>
        <v>0</v>
      </c>
      <c r="P13" s="12">
        <v>79200</v>
      </c>
      <c r="Q13" s="8">
        <f t="shared" si="4"/>
        <v>0</v>
      </c>
      <c r="R13" s="12">
        <v>14292</v>
      </c>
      <c r="S13" s="8">
        <f t="shared" si="5"/>
        <v>3</v>
      </c>
      <c r="T13" s="12">
        <v>169047</v>
      </c>
      <c r="U13" s="8">
        <f t="shared" si="6"/>
        <v>25</v>
      </c>
      <c r="V13" s="13"/>
      <c r="W13" s="8"/>
      <c r="X13" s="80">
        <v>10589</v>
      </c>
      <c r="Y13" s="85"/>
      <c r="Z13" s="8">
        <f t="shared" si="11"/>
        <v>0</v>
      </c>
      <c r="AA13" s="80">
        <v>2045.6</v>
      </c>
      <c r="AB13" s="6"/>
      <c r="AC13" s="9">
        <f t="shared" si="12"/>
        <v>0</v>
      </c>
      <c r="AD13" s="80">
        <v>313.18</v>
      </c>
      <c r="AE13" s="12"/>
      <c r="AF13" s="9">
        <f t="shared" si="13"/>
        <v>0</v>
      </c>
      <c r="AG13" s="80">
        <v>1373.1</v>
      </c>
      <c r="AH13" s="6"/>
      <c r="AI13" s="8">
        <f t="shared" si="14"/>
        <v>0</v>
      </c>
      <c r="AJ13" s="80">
        <v>280</v>
      </c>
      <c r="AK13" s="7"/>
      <c r="AL13" s="6"/>
      <c r="AM13" s="8">
        <f t="shared" si="7"/>
        <v>0</v>
      </c>
      <c r="AN13" s="80">
        <v>430.4</v>
      </c>
      <c r="AO13" s="7"/>
      <c r="AP13" s="6"/>
      <c r="AQ13" s="8">
        <f t="shared" si="15"/>
        <v>0</v>
      </c>
      <c r="AR13" s="80">
        <v>280</v>
      </c>
      <c r="AS13" s="100">
        <v>5</v>
      </c>
      <c r="AT13" s="14">
        <v>11</v>
      </c>
      <c r="AU13" s="7"/>
      <c r="AV13" s="81"/>
      <c r="AW13" s="88"/>
      <c r="AY13" s="102">
        <f t="shared" si="16"/>
        <v>9</v>
      </c>
      <c r="AZ13" s="15">
        <f t="shared" si="17"/>
        <v>7253510</v>
      </c>
      <c r="BA13" s="15">
        <f t="shared" si="18"/>
        <v>36190</v>
      </c>
      <c r="BB13" s="15">
        <f t="shared" si="19"/>
        <v>1959430.0000000002</v>
      </c>
      <c r="BC13" s="15">
        <f t="shared" si="20"/>
        <v>0</v>
      </c>
      <c r="BD13" s="16">
        <f t="shared" si="8"/>
        <v>0</v>
      </c>
      <c r="BE13" s="103">
        <f>IF(X13&lt;&gt;0,AVERAGE(X$11:X13)*D$5,)</f>
        <v>496242450</v>
      </c>
      <c r="BF13" s="15">
        <f>IF(AD13+AG13&lt;&gt;0,AVERAGE(AD$11:AD13)*D$5+AVERAGE(AG$11:AG13)*D$5,)</f>
        <v>75601944</v>
      </c>
      <c r="BG13" s="104">
        <f>AVERAGE(AD$11:AD13)*D$5</f>
        <v>14391729</v>
      </c>
      <c r="BH13" s="15">
        <f>AVERAGE(AN$11:AN13)*D$5</f>
        <v>20385413.400000002</v>
      </c>
      <c r="BI13" s="15">
        <f>AVERAGE(AR$11:AR13)*D$5</f>
        <v>12283920</v>
      </c>
    </row>
    <row r="14" spans="1:61" ht="15.75" x14ac:dyDescent="0.25">
      <c r="A14" s="62">
        <f>1+A13</f>
        <v>10</v>
      </c>
      <c r="B14" s="63" t="s">
        <v>30</v>
      </c>
      <c r="C14" s="10"/>
      <c r="D14" s="6">
        <v>50532</v>
      </c>
      <c r="E14" s="8">
        <f t="shared" si="0"/>
        <v>391</v>
      </c>
      <c r="F14" s="6">
        <v>6611</v>
      </c>
      <c r="G14" s="8">
        <f t="shared" si="1"/>
        <v>5</v>
      </c>
      <c r="H14" s="6">
        <v>526067</v>
      </c>
      <c r="I14" s="8">
        <f t="shared" si="2"/>
        <v>102</v>
      </c>
      <c r="J14" s="79">
        <v>496273</v>
      </c>
      <c r="K14" s="8">
        <f t="shared" si="2"/>
        <v>98</v>
      </c>
      <c r="L14" s="7"/>
      <c r="M14" s="11" t="e">
        <f t="shared" si="10"/>
        <v>#DIV/0!</v>
      </c>
      <c r="N14" s="6">
        <v>87313</v>
      </c>
      <c r="O14" s="8">
        <f t="shared" si="3"/>
        <v>0</v>
      </c>
      <c r="P14" s="12">
        <v>79200</v>
      </c>
      <c r="Q14" s="8">
        <f t="shared" si="4"/>
        <v>0</v>
      </c>
      <c r="R14" s="12">
        <v>14295</v>
      </c>
      <c r="S14" s="8">
        <f t="shared" si="5"/>
        <v>3</v>
      </c>
      <c r="T14" s="12">
        <v>169067</v>
      </c>
      <c r="U14" s="8">
        <f t="shared" si="6"/>
        <v>20</v>
      </c>
      <c r="V14" s="13">
        <v>1096.58</v>
      </c>
      <c r="W14" s="8">
        <f>IF(ISBLANK(V14),0,V14-V13)*2200</f>
        <v>2412476</v>
      </c>
      <c r="X14" s="80">
        <v>10509.4</v>
      </c>
      <c r="Y14" s="85">
        <v>202.47</v>
      </c>
      <c r="Z14" s="8">
        <f t="shared" si="11"/>
        <v>445434</v>
      </c>
      <c r="AA14" s="80">
        <v>2050.1999999999998</v>
      </c>
      <c r="AB14" s="6">
        <v>1564159.28</v>
      </c>
      <c r="AC14" s="9">
        <f t="shared" si="12"/>
        <v>1564159.28</v>
      </c>
      <c r="AD14" s="80">
        <v>298.02</v>
      </c>
      <c r="AE14" s="12">
        <v>4544167</v>
      </c>
      <c r="AF14" s="9">
        <f t="shared" si="13"/>
        <v>4544167</v>
      </c>
      <c r="AG14" s="80">
        <v>1163.8</v>
      </c>
      <c r="AH14" s="6">
        <v>32300</v>
      </c>
      <c r="AI14" s="8">
        <f t="shared" si="14"/>
        <v>2584000</v>
      </c>
      <c r="AJ14" s="80">
        <v>200</v>
      </c>
      <c r="AK14" s="7"/>
      <c r="AL14" s="6">
        <v>2037924</v>
      </c>
      <c r="AM14" s="8">
        <f t="shared" si="7"/>
        <v>2037924</v>
      </c>
      <c r="AN14" s="80">
        <v>655.34</v>
      </c>
      <c r="AO14" s="7"/>
      <c r="AP14" s="6">
        <v>45104</v>
      </c>
      <c r="AQ14" s="8">
        <f t="shared" si="15"/>
        <v>3608320</v>
      </c>
      <c r="AR14" s="80">
        <v>240</v>
      </c>
      <c r="AS14" s="100">
        <v>2</v>
      </c>
      <c r="AT14" s="14">
        <v>14</v>
      </c>
      <c r="AU14" s="7"/>
      <c r="AV14" s="81"/>
      <c r="AW14" s="88"/>
      <c r="AY14" s="102">
        <f t="shared" si="16"/>
        <v>10</v>
      </c>
      <c r="AZ14" s="15">
        <f t="shared" si="17"/>
        <v>8347482</v>
      </c>
      <c r="BA14" s="15">
        <f t="shared" si="18"/>
        <v>55836</v>
      </c>
      <c r="BB14" s="15">
        <f t="shared" si="19"/>
        <v>2238093</v>
      </c>
      <c r="BC14" s="15">
        <f t="shared" si="20"/>
        <v>0</v>
      </c>
      <c r="BD14" s="16">
        <f t="shared" si="8"/>
        <v>11225250828</v>
      </c>
      <c r="BE14" s="103">
        <f>IF(X14&lt;&gt;0,AVERAGE(X$11:X14)*D$5,)</f>
        <v>494432433</v>
      </c>
      <c r="BF14" s="15">
        <f>IF(AD14+AG14&lt;&gt;0,AVERAGE(AD$11:AD14)*D$5+AVERAGE(AG$11:AG14)*D$5,)</f>
        <v>73706079.150000006</v>
      </c>
      <c r="BG14" s="104">
        <f>AVERAGE(AD$11:AD14)*D$5</f>
        <v>14260514.4</v>
      </c>
      <c r="BH14" s="15">
        <f>AVERAGE(AN$11:AN14)*D$5</f>
        <v>22912302.600000005</v>
      </c>
      <c r="BI14" s="15">
        <f>AVERAGE(AR$11:AR14)*D$5</f>
        <v>12004740</v>
      </c>
    </row>
    <row r="15" spans="1:61" ht="15.75" x14ac:dyDescent="0.25">
      <c r="A15" s="62">
        <f>1+A14</f>
        <v>11</v>
      </c>
      <c r="B15" s="63" t="s">
        <v>30</v>
      </c>
      <c r="C15" s="10"/>
      <c r="D15" s="6">
        <v>50791</v>
      </c>
      <c r="E15" s="8">
        <f t="shared" si="0"/>
        <v>259</v>
      </c>
      <c r="F15" s="6">
        <v>6613</v>
      </c>
      <c r="G15" s="8">
        <f t="shared" si="1"/>
        <v>2</v>
      </c>
      <c r="H15" s="6">
        <v>526181</v>
      </c>
      <c r="I15" s="8">
        <f t="shared" si="2"/>
        <v>114</v>
      </c>
      <c r="J15" s="79">
        <v>496382</v>
      </c>
      <c r="K15" s="8">
        <f t="shared" si="2"/>
        <v>109</v>
      </c>
      <c r="L15" s="7"/>
      <c r="M15" s="11" t="e">
        <f t="shared" si="10"/>
        <v>#DIV/0!</v>
      </c>
      <c r="N15" s="6">
        <v>87313</v>
      </c>
      <c r="O15" s="8">
        <f t="shared" si="3"/>
        <v>0</v>
      </c>
      <c r="P15" s="12">
        <v>79200</v>
      </c>
      <c r="Q15" s="8">
        <f t="shared" si="4"/>
        <v>0</v>
      </c>
      <c r="R15" s="12">
        <v>14299</v>
      </c>
      <c r="S15" s="8">
        <f t="shared" si="5"/>
        <v>4</v>
      </c>
      <c r="T15" s="12">
        <v>169088</v>
      </c>
      <c r="U15" s="8">
        <f t="shared" si="6"/>
        <v>21</v>
      </c>
      <c r="V15" s="13"/>
      <c r="W15" s="8"/>
      <c r="X15" s="80">
        <v>10890.2</v>
      </c>
      <c r="Y15" s="85"/>
      <c r="Z15" s="8">
        <f t="shared" si="11"/>
        <v>0</v>
      </c>
      <c r="AA15" s="80">
        <v>2400.8000000000002</v>
      </c>
      <c r="AB15" s="6"/>
      <c r="AC15" s="9">
        <f t="shared" si="12"/>
        <v>0</v>
      </c>
      <c r="AD15" s="80">
        <v>300.62</v>
      </c>
      <c r="AE15" s="12"/>
      <c r="AF15" s="9">
        <f t="shared" si="13"/>
        <v>0</v>
      </c>
      <c r="AG15" s="80">
        <v>1376.8</v>
      </c>
      <c r="AH15" s="6"/>
      <c r="AI15" s="8">
        <f t="shared" si="14"/>
        <v>0</v>
      </c>
      <c r="AJ15" s="80">
        <v>296</v>
      </c>
      <c r="AK15" s="7"/>
      <c r="AL15" s="6"/>
      <c r="AM15" s="8">
        <f t="shared" si="7"/>
        <v>0</v>
      </c>
      <c r="AN15" s="80">
        <v>398.72</v>
      </c>
      <c r="AO15" s="7"/>
      <c r="AP15" s="6"/>
      <c r="AQ15" s="8">
        <f t="shared" si="15"/>
        <v>0</v>
      </c>
      <c r="AR15" s="80">
        <v>200</v>
      </c>
      <c r="AS15" s="100">
        <v>3</v>
      </c>
      <c r="AT15" s="14">
        <v>18</v>
      </c>
      <c r="AU15" s="7"/>
      <c r="AV15" s="81"/>
      <c r="AW15" s="88"/>
      <c r="AY15" s="102">
        <v>11</v>
      </c>
      <c r="AZ15" s="15">
        <f t="shared" si="17"/>
        <v>8684190</v>
      </c>
      <c r="BA15" s="15">
        <f t="shared" si="18"/>
        <v>59220</v>
      </c>
      <c r="BB15" s="15">
        <f t="shared" si="19"/>
        <v>2516850</v>
      </c>
      <c r="BC15" s="15">
        <f t="shared" si="20"/>
        <v>0</v>
      </c>
      <c r="BD15" s="16">
        <f t="shared" si="8"/>
        <v>0</v>
      </c>
      <c r="BE15" s="103">
        <f>IF(X15&lt;&gt;0,AVERAGE(X$11:X15)*D$5,)</f>
        <v>496890147.60000008</v>
      </c>
      <c r="BF15" s="15">
        <f>IF(AD15+AG15&lt;&gt;0,AVERAGE(AD$11:AD15)*D$5+AVERAGE(AG$11:AG15)*D$5,)</f>
        <v>74574933.840000004</v>
      </c>
      <c r="BG15" s="104">
        <f>AVERAGE(AD$11:AD15)*D$5</f>
        <v>14205981.24</v>
      </c>
      <c r="BH15" s="15">
        <f>AVERAGE(AN$11:AN15)*D$5</f>
        <v>22040330.400000006</v>
      </c>
      <c r="BI15" s="15">
        <f>AVERAGE(AR$11:AR15)*D$5</f>
        <v>11464992</v>
      </c>
    </row>
    <row r="16" spans="1:61" ht="15.75" x14ac:dyDescent="0.25">
      <c r="A16" s="62">
        <f>1+A15</f>
        <v>12</v>
      </c>
      <c r="B16" s="63" t="s">
        <v>30</v>
      </c>
      <c r="C16" s="10"/>
      <c r="D16" s="6">
        <v>50952</v>
      </c>
      <c r="E16" s="8">
        <f t="shared" si="0"/>
        <v>161</v>
      </c>
      <c r="F16" s="6">
        <v>6615</v>
      </c>
      <c r="G16" s="8">
        <f t="shared" si="1"/>
        <v>2</v>
      </c>
      <c r="H16" s="6">
        <v>526295</v>
      </c>
      <c r="I16" s="8">
        <f t="shared" si="2"/>
        <v>114</v>
      </c>
      <c r="J16" s="79">
        <v>496490</v>
      </c>
      <c r="K16" s="8">
        <f t="shared" si="2"/>
        <v>108</v>
      </c>
      <c r="L16" s="7"/>
      <c r="M16" s="11" t="e">
        <f t="shared" si="10"/>
        <v>#DIV/0!</v>
      </c>
      <c r="N16" s="6">
        <v>87313</v>
      </c>
      <c r="O16" s="8">
        <f t="shared" si="3"/>
        <v>0</v>
      </c>
      <c r="P16" s="12">
        <v>79200</v>
      </c>
      <c r="Q16" s="8">
        <f t="shared" si="4"/>
        <v>0</v>
      </c>
      <c r="R16" s="12">
        <v>14303</v>
      </c>
      <c r="S16" s="8">
        <f t="shared" si="5"/>
        <v>4</v>
      </c>
      <c r="T16" s="12">
        <v>169112</v>
      </c>
      <c r="U16" s="8">
        <f t="shared" si="6"/>
        <v>24</v>
      </c>
      <c r="V16" s="13"/>
      <c r="W16" s="8"/>
      <c r="X16" s="80">
        <v>11015</v>
      </c>
      <c r="Y16" s="85"/>
      <c r="Z16" s="8">
        <f t="shared" si="11"/>
        <v>0</v>
      </c>
      <c r="AA16" s="80">
        <v>2449.8000000000002</v>
      </c>
      <c r="AB16" s="6"/>
      <c r="AC16" s="9">
        <f t="shared" si="12"/>
        <v>0</v>
      </c>
      <c r="AD16" s="80">
        <v>313.14999999999998</v>
      </c>
      <c r="AE16" s="12"/>
      <c r="AF16" s="9">
        <f t="shared" si="13"/>
        <v>0</v>
      </c>
      <c r="AG16" s="80">
        <v>1252.7</v>
      </c>
      <c r="AH16" s="6"/>
      <c r="AI16" s="8">
        <f t="shared" si="14"/>
        <v>0</v>
      </c>
      <c r="AJ16" s="80">
        <v>200</v>
      </c>
      <c r="AK16" s="7"/>
      <c r="AL16" s="6"/>
      <c r="AM16" s="8">
        <f t="shared" si="7"/>
        <v>0</v>
      </c>
      <c r="AN16" s="80">
        <v>424.51</v>
      </c>
      <c r="AO16" s="7"/>
      <c r="AP16" s="6"/>
      <c r="AQ16" s="8">
        <f t="shared" si="15"/>
        <v>0</v>
      </c>
      <c r="AR16" s="80">
        <v>296</v>
      </c>
      <c r="AS16" s="100">
        <v>2</v>
      </c>
      <c r="AT16" s="14">
        <v>16</v>
      </c>
      <c r="AU16" s="7"/>
      <c r="AV16" s="81"/>
      <c r="AW16" s="88"/>
      <c r="AY16" s="102">
        <f t="shared" ref="AY16:AY24" si="21">1+AY15</f>
        <v>12</v>
      </c>
      <c r="AZ16" s="15">
        <f t="shared" si="17"/>
        <v>8584785</v>
      </c>
      <c r="BA16" s="15">
        <f t="shared" si="18"/>
        <v>62040</v>
      </c>
      <c r="BB16" s="15">
        <f t="shared" si="19"/>
        <v>2749147.5</v>
      </c>
      <c r="BC16" s="15">
        <f t="shared" si="20"/>
        <v>0</v>
      </c>
      <c r="BD16" s="16">
        <f t="shared" si="8"/>
        <v>0</v>
      </c>
      <c r="BE16" s="103">
        <f>IF(X16&lt;&gt;0,AVERAGE(X$11:X16)*D$5,)</f>
        <v>499496448.00000006</v>
      </c>
      <c r="BF16" s="15">
        <f>IF(AD16+AG16&lt;&gt;0,AVERAGE(AD$11:AD16)*D$5+AVERAGE(AG$11:AG16)*D$5,)</f>
        <v>74288944.950000003</v>
      </c>
      <c r="BG16" s="104">
        <f>AVERAGE(AD$11:AD16)*D$5</f>
        <v>14266795.950000001</v>
      </c>
      <c r="BH16" s="15">
        <f>AVERAGE(AN$11:AN16)*D$5</f>
        <v>21659017.050000004</v>
      </c>
      <c r="BI16" s="15">
        <f>AVERAGE(AR$11:AR16)*D$5</f>
        <v>11849640</v>
      </c>
    </row>
    <row r="17" spans="1:61" ht="15.75" x14ac:dyDescent="0.25">
      <c r="A17" s="62">
        <v>13</v>
      </c>
      <c r="B17" s="63" t="s">
        <v>30</v>
      </c>
      <c r="C17" s="10"/>
      <c r="D17" s="6">
        <v>51210</v>
      </c>
      <c r="E17" s="8">
        <f t="shared" si="0"/>
        <v>258</v>
      </c>
      <c r="F17" s="6">
        <v>6616</v>
      </c>
      <c r="G17" s="8">
        <f t="shared" si="1"/>
        <v>1</v>
      </c>
      <c r="H17" s="6">
        <v>526416</v>
      </c>
      <c r="I17" s="8">
        <f t="shared" si="2"/>
        <v>121</v>
      </c>
      <c r="J17" s="79">
        <v>496606</v>
      </c>
      <c r="K17" s="8">
        <f t="shared" si="2"/>
        <v>116</v>
      </c>
      <c r="L17" s="7"/>
      <c r="M17" s="11" t="e">
        <f t="shared" si="10"/>
        <v>#DIV/0!</v>
      </c>
      <c r="N17" s="6">
        <v>87313</v>
      </c>
      <c r="O17" s="8">
        <f t="shared" si="3"/>
        <v>0</v>
      </c>
      <c r="P17" s="12">
        <v>79200</v>
      </c>
      <c r="Q17" s="8">
        <f t="shared" si="4"/>
        <v>0</v>
      </c>
      <c r="R17" s="12">
        <v>14306</v>
      </c>
      <c r="S17" s="8">
        <f t="shared" si="5"/>
        <v>3</v>
      </c>
      <c r="T17" s="12">
        <v>169136</v>
      </c>
      <c r="U17" s="8">
        <f t="shared" si="6"/>
        <v>24</v>
      </c>
      <c r="V17" s="13"/>
      <c r="W17" s="8"/>
      <c r="X17" s="80">
        <v>10915.6</v>
      </c>
      <c r="Y17" s="85"/>
      <c r="Z17" s="8">
        <f t="shared" si="11"/>
        <v>0</v>
      </c>
      <c r="AA17" s="80">
        <v>2369.6</v>
      </c>
      <c r="AB17" s="6"/>
      <c r="AC17" s="9">
        <f t="shared" si="12"/>
        <v>0</v>
      </c>
      <c r="AD17" s="80">
        <v>306.60000000000002</v>
      </c>
      <c r="AE17" s="12"/>
      <c r="AF17" s="9">
        <f t="shared" si="13"/>
        <v>0</v>
      </c>
      <c r="AG17" s="80">
        <v>1295.7</v>
      </c>
      <c r="AH17" s="6"/>
      <c r="AI17" s="8">
        <f t="shared" si="14"/>
        <v>0</v>
      </c>
      <c r="AJ17" s="80">
        <v>224</v>
      </c>
      <c r="AK17" s="7"/>
      <c r="AL17" s="6"/>
      <c r="AM17" s="8">
        <f t="shared" si="7"/>
        <v>0</v>
      </c>
      <c r="AN17" s="80">
        <v>419.66</v>
      </c>
      <c r="AO17" s="7"/>
      <c r="AP17" s="6"/>
      <c r="AQ17" s="8">
        <f t="shared" si="15"/>
        <v>0</v>
      </c>
      <c r="AR17" s="80">
        <v>296</v>
      </c>
      <c r="AS17" s="100">
        <v>3</v>
      </c>
      <c r="AT17" s="14">
        <v>14</v>
      </c>
      <c r="AU17" s="7">
        <v>1</v>
      </c>
      <c r="AV17" s="81">
        <v>0.1</v>
      </c>
      <c r="AW17" s="88"/>
      <c r="AY17" s="102">
        <f t="shared" si="21"/>
        <v>13</v>
      </c>
      <c r="AZ17" s="15">
        <f t="shared" si="17"/>
        <v>8847858.461538462</v>
      </c>
      <c r="BA17" s="15">
        <f t="shared" si="18"/>
        <v>60846.923076923078</v>
      </c>
      <c r="BB17" s="15">
        <f t="shared" si="19"/>
        <v>2970761.5384615385</v>
      </c>
      <c r="BC17" s="15">
        <f t="shared" si="20"/>
        <v>0</v>
      </c>
      <c r="BD17" s="16">
        <f t="shared" si="8"/>
        <v>0</v>
      </c>
      <c r="BE17" s="103">
        <f>IF(X17&lt;&gt;0,AVERAGE(X$11:X17)*D$5,)</f>
        <v>500697365.14285725</v>
      </c>
      <c r="BF17" s="15">
        <f>IF(AD17+AG17&lt;&gt;0,AVERAGE(AD$11:AD17)*D$5+AVERAGE(AG$11:AG17)*D$5,)</f>
        <v>74326955.528571427</v>
      </c>
      <c r="BG17" s="104">
        <f>AVERAGE(AD$11:AD17)*D$5</f>
        <v>14266696.242857143</v>
      </c>
      <c r="BH17" s="15">
        <f>AVERAGE(AN$11:AN17)*D$5</f>
        <v>21354411.72857143</v>
      </c>
      <c r="BI17" s="15">
        <f>AVERAGE(AR$11:AR17)*D$5</f>
        <v>12124388.571428571</v>
      </c>
    </row>
    <row r="18" spans="1:61" ht="15.75" x14ac:dyDescent="0.25">
      <c r="A18" s="62">
        <f t="shared" ref="A18:A24" si="22">1+A17</f>
        <v>14</v>
      </c>
      <c r="B18" s="63" t="s">
        <v>30</v>
      </c>
      <c r="C18" s="10"/>
      <c r="D18" s="6">
        <v>51560</v>
      </c>
      <c r="E18" s="8">
        <f t="shared" si="0"/>
        <v>350</v>
      </c>
      <c r="F18" s="6">
        <v>6617</v>
      </c>
      <c r="G18" s="8">
        <f t="shared" si="1"/>
        <v>1</v>
      </c>
      <c r="H18" s="6">
        <v>526558</v>
      </c>
      <c r="I18" s="8">
        <f t="shared" si="2"/>
        <v>142</v>
      </c>
      <c r="J18" s="79">
        <v>496741</v>
      </c>
      <c r="K18" s="8">
        <f t="shared" si="2"/>
        <v>135</v>
      </c>
      <c r="L18" s="7"/>
      <c r="M18" s="11" t="e">
        <f t="shared" si="10"/>
        <v>#DIV/0!</v>
      </c>
      <c r="N18" s="6">
        <v>87313</v>
      </c>
      <c r="O18" s="8">
        <f t="shared" si="3"/>
        <v>0</v>
      </c>
      <c r="P18" s="12">
        <v>79200</v>
      </c>
      <c r="Q18" s="8">
        <f t="shared" si="4"/>
        <v>0</v>
      </c>
      <c r="R18" s="12">
        <v>14310</v>
      </c>
      <c r="S18" s="8">
        <f t="shared" si="5"/>
        <v>4</v>
      </c>
      <c r="T18" s="12">
        <v>169172</v>
      </c>
      <c r="U18" s="8">
        <f t="shared" si="6"/>
        <v>36</v>
      </c>
      <c r="V18" s="13"/>
      <c r="W18" s="8"/>
      <c r="X18" s="80">
        <v>10814.4</v>
      </c>
      <c r="Y18" s="85"/>
      <c r="Z18" s="8">
        <f t="shared" si="11"/>
        <v>0</v>
      </c>
      <c r="AA18" s="80">
        <v>2442.6</v>
      </c>
      <c r="AB18" s="6"/>
      <c r="AC18" s="9">
        <f t="shared" si="12"/>
        <v>0</v>
      </c>
      <c r="AD18" s="80">
        <v>295.19</v>
      </c>
      <c r="AE18" s="12"/>
      <c r="AF18" s="9">
        <f t="shared" si="13"/>
        <v>0</v>
      </c>
      <c r="AG18" s="80">
        <v>1195.4000000000001</v>
      </c>
      <c r="AH18" s="6"/>
      <c r="AI18" s="8">
        <f t="shared" si="14"/>
        <v>0</v>
      </c>
      <c r="AJ18" s="80">
        <v>256</v>
      </c>
      <c r="AK18" s="7"/>
      <c r="AL18" s="6"/>
      <c r="AM18" s="8">
        <f t="shared" si="7"/>
        <v>0</v>
      </c>
      <c r="AN18" s="80">
        <v>428.59</v>
      </c>
      <c r="AO18" s="7"/>
      <c r="AP18" s="6"/>
      <c r="AQ18" s="8">
        <f t="shared" si="15"/>
        <v>0</v>
      </c>
      <c r="AR18" s="80">
        <v>336</v>
      </c>
      <c r="AS18" s="100">
        <v>3</v>
      </c>
      <c r="AT18" s="14">
        <v>15</v>
      </c>
      <c r="AU18" s="7"/>
      <c r="AV18" s="81"/>
      <c r="AW18" s="88"/>
      <c r="AY18" s="102">
        <f t="shared" si="21"/>
        <v>14</v>
      </c>
      <c r="AZ18" s="15">
        <f t="shared" si="17"/>
        <v>9379118.5714285728</v>
      </c>
      <c r="BA18" s="15">
        <f t="shared" si="18"/>
        <v>59824.285714285717</v>
      </c>
      <c r="BB18" s="15">
        <f t="shared" si="19"/>
        <v>3230511.4285714286</v>
      </c>
      <c r="BC18" s="15">
        <f t="shared" si="20"/>
        <v>0</v>
      </c>
      <c r="BD18" s="16">
        <f t="shared" si="8"/>
        <v>0</v>
      </c>
      <c r="BE18" s="103">
        <f>IF(X18&lt;&gt;0,AVERAGE(X$11:X18)*D$5,)</f>
        <v>501009448.50000006</v>
      </c>
      <c r="BF18" s="15">
        <f>IF(AD18+AG18&lt;&gt;0,AVERAGE(AD$11:AD18)*D$5+AVERAGE(AG$11:AG18)*D$5,)</f>
        <v>73705730.174999997</v>
      </c>
      <c r="BG18" s="104">
        <f>AVERAGE(AD$11:AD18)*D$5</f>
        <v>14200258.050000001</v>
      </c>
      <c r="BH18" s="15">
        <f>AVERAGE(AN$11:AN18)*D$5</f>
        <v>21177896.850000005</v>
      </c>
      <c r="BI18" s="15">
        <f>AVERAGE(AR$11:AR18)*D$5</f>
        <v>12563100</v>
      </c>
    </row>
    <row r="19" spans="1:61" ht="15.75" x14ac:dyDescent="0.25">
      <c r="A19" s="62">
        <f t="shared" si="22"/>
        <v>15</v>
      </c>
      <c r="B19" s="63" t="s">
        <v>30</v>
      </c>
      <c r="C19" s="10"/>
      <c r="D19" s="6">
        <v>51831</v>
      </c>
      <c r="E19" s="8">
        <f t="shared" si="0"/>
        <v>271</v>
      </c>
      <c r="F19" s="6">
        <v>6617</v>
      </c>
      <c r="G19" s="8">
        <f t="shared" si="1"/>
        <v>0</v>
      </c>
      <c r="H19" s="6">
        <v>526692</v>
      </c>
      <c r="I19" s="8">
        <f t="shared" si="2"/>
        <v>134</v>
      </c>
      <c r="J19" s="79">
        <v>496869</v>
      </c>
      <c r="K19" s="8">
        <f t="shared" si="2"/>
        <v>128</v>
      </c>
      <c r="L19" s="7"/>
      <c r="M19" s="11" t="e">
        <f t="shared" si="10"/>
        <v>#DIV/0!</v>
      </c>
      <c r="N19" s="6">
        <v>87313</v>
      </c>
      <c r="O19" s="8">
        <f t="shared" si="3"/>
        <v>0</v>
      </c>
      <c r="P19" s="12">
        <v>79200</v>
      </c>
      <c r="Q19" s="8">
        <f t="shared" si="4"/>
        <v>0</v>
      </c>
      <c r="R19" s="12">
        <v>14312</v>
      </c>
      <c r="S19" s="8">
        <f t="shared" si="5"/>
        <v>2</v>
      </c>
      <c r="T19" s="12">
        <v>169203</v>
      </c>
      <c r="U19" s="8">
        <f t="shared" si="6"/>
        <v>31</v>
      </c>
      <c r="V19" s="13"/>
      <c r="W19" s="8"/>
      <c r="X19" s="80">
        <v>10962.4</v>
      </c>
      <c r="Y19" s="85"/>
      <c r="Z19" s="8">
        <f t="shared" si="11"/>
        <v>0</v>
      </c>
      <c r="AA19" s="80">
        <v>2411.6</v>
      </c>
      <c r="AB19" s="6"/>
      <c r="AC19" s="9">
        <f t="shared" si="12"/>
        <v>0</v>
      </c>
      <c r="AD19" s="80">
        <v>318.58999999999997</v>
      </c>
      <c r="AE19" s="12"/>
      <c r="AF19" s="9">
        <f t="shared" si="13"/>
        <v>0</v>
      </c>
      <c r="AG19" s="80">
        <v>1522.6</v>
      </c>
      <c r="AH19" s="6"/>
      <c r="AI19" s="8">
        <f t="shared" si="14"/>
        <v>0</v>
      </c>
      <c r="AJ19" s="80">
        <v>264</v>
      </c>
      <c r="AK19" s="7"/>
      <c r="AL19" s="6"/>
      <c r="AM19" s="8">
        <f t="shared" si="7"/>
        <v>0</v>
      </c>
      <c r="AN19" s="80">
        <v>287.12</v>
      </c>
      <c r="AO19" s="7"/>
      <c r="AP19" s="6"/>
      <c r="AQ19" s="8">
        <f t="shared" si="15"/>
        <v>0</v>
      </c>
      <c r="AR19" s="80">
        <v>264</v>
      </c>
      <c r="AS19" s="100">
        <v>2</v>
      </c>
      <c r="AT19" s="14">
        <v>13</v>
      </c>
      <c r="AU19" s="7"/>
      <c r="AV19" s="81"/>
      <c r="AW19" s="88"/>
      <c r="AY19" s="102">
        <f t="shared" si="21"/>
        <v>15</v>
      </c>
      <c r="AZ19" s="15">
        <f t="shared" si="17"/>
        <v>9594486</v>
      </c>
      <c r="BA19" s="15">
        <f t="shared" si="18"/>
        <v>55836</v>
      </c>
      <c r="BB19" s="15">
        <f t="shared" si="19"/>
        <v>3430812</v>
      </c>
      <c r="BC19" s="15">
        <f t="shared" si="20"/>
        <v>0</v>
      </c>
      <c r="BD19" s="16">
        <f t="shared" si="8"/>
        <v>0</v>
      </c>
      <c r="BE19" s="103">
        <f>IF(X19&lt;&gt;0,AVERAGE(X$11:X19)*D$5,)</f>
        <v>502017340</v>
      </c>
      <c r="BF19" s="15">
        <f>IF(AD19+AG19&lt;&gt;0,AVERAGE(AD$11:AD19)*D$5+AVERAGE(AG$11:AG19)*D$5,)</f>
        <v>75035156.899999991</v>
      </c>
      <c r="BG19" s="104">
        <f>AVERAGE(AD$11:AD19)*D$5</f>
        <v>14269561.900000002</v>
      </c>
      <c r="BH19" s="15">
        <f>AVERAGE(AN$11:AN19)*D$5</f>
        <v>20309207.600000001</v>
      </c>
      <c r="BI19" s="15">
        <f>AVERAGE(AR$11:AR19)*D$5</f>
        <v>12532080</v>
      </c>
    </row>
    <row r="20" spans="1:61" ht="15.75" x14ac:dyDescent="0.25">
      <c r="A20" s="62">
        <f t="shared" si="22"/>
        <v>16</v>
      </c>
      <c r="B20" s="63" t="s">
        <v>30</v>
      </c>
      <c r="C20" s="10"/>
      <c r="D20" s="6">
        <v>52144</v>
      </c>
      <c r="E20" s="8">
        <f t="shared" si="0"/>
        <v>313</v>
      </c>
      <c r="F20" s="6">
        <v>6619</v>
      </c>
      <c r="G20" s="8">
        <f t="shared" si="1"/>
        <v>2</v>
      </c>
      <c r="H20" s="6">
        <v>526820</v>
      </c>
      <c r="I20" s="8">
        <f t="shared" si="2"/>
        <v>128</v>
      </c>
      <c r="J20" s="79">
        <v>496991</v>
      </c>
      <c r="K20" s="8">
        <f t="shared" si="2"/>
        <v>122</v>
      </c>
      <c r="L20" s="7"/>
      <c r="M20" s="11" t="e">
        <f t="shared" si="10"/>
        <v>#DIV/0!</v>
      </c>
      <c r="N20" s="6">
        <v>87313</v>
      </c>
      <c r="O20" s="8">
        <f t="shared" si="3"/>
        <v>0</v>
      </c>
      <c r="P20" s="12">
        <v>79200</v>
      </c>
      <c r="Q20" s="8">
        <f t="shared" si="4"/>
        <v>0</v>
      </c>
      <c r="R20" s="12">
        <v>14316</v>
      </c>
      <c r="S20" s="8">
        <f t="shared" si="5"/>
        <v>4</v>
      </c>
      <c r="T20" s="12">
        <v>169232</v>
      </c>
      <c r="U20" s="8">
        <f t="shared" si="6"/>
        <v>29</v>
      </c>
      <c r="V20" s="13"/>
      <c r="W20" s="8"/>
      <c r="X20" s="80">
        <v>10801.2</v>
      </c>
      <c r="Y20" s="85"/>
      <c r="Z20" s="8">
        <f t="shared" si="11"/>
        <v>0</v>
      </c>
      <c r="AA20" s="80">
        <v>2341.6</v>
      </c>
      <c r="AB20" s="6"/>
      <c r="AC20" s="9">
        <f t="shared" si="12"/>
        <v>0</v>
      </c>
      <c r="AD20" s="80">
        <v>307.13</v>
      </c>
      <c r="AE20" s="12"/>
      <c r="AF20" s="9">
        <f t="shared" si="13"/>
        <v>0</v>
      </c>
      <c r="AG20" s="80">
        <v>1330.3</v>
      </c>
      <c r="AH20" s="6"/>
      <c r="AI20" s="8">
        <f t="shared" si="14"/>
        <v>0</v>
      </c>
      <c r="AJ20" s="80">
        <v>280</v>
      </c>
      <c r="AK20" s="7"/>
      <c r="AL20" s="6"/>
      <c r="AM20" s="8">
        <f t="shared" si="7"/>
        <v>0</v>
      </c>
      <c r="AN20" s="80">
        <v>329.01</v>
      </c>
      <c r="AO20" s="7"/>
      <c r="AP20" s="6"/>
      <c r="AQ20" s="8">
        <f t="shared" si="15"/>
        <v>0</v>
      </c>
      <c r="AR20" s="80">
        <v>288</v>
      </c>
      <c r="AS20" s="100">
        <v>6</v>
      </c>
      <c r="AT20" s="14">
        <v>15</v>
      </c>
      <c r="AU20" s="7"/>
      <c r="AV20" s="81"/>
      <c r="AW20" s="88"/>
      <c r="AY20" s="102">
        <f t="shared" si="21"/>
        <v>16</v>
      </c>
      <c r="AZ20" s="15">
        <f t="shared" si="17"/>
        <v>9905073.75</v>
      </c>
      <c r="BA20" s="15">
        <f t="shared" si="18"/>
        <v>58162.5</v>
      </c>
      <c r="BB20" s="15">
        <f t="shared" si="19"/>
        <v>3588626.25</v>
      </c>
      <c r="BC20" s="15">
        <f t="shared" si="20"/>
        <v>0</v>
      </c>
      <c r="BD20" s="16">
        <f t="shared" si="8"/>
        <v>0</v>
      </c>
      <c r="BE20" s="103">
        <f>IF(X20&lt;&gt;0,AVERAGE(X$11:X20)*D$5,)</f>
        <v>502073589.59999996</v>
      </c>
      <c r="BF20" s="15">
        <f>IF(AD20+AG20&lt;&gt;0,AVERAGE(AD$11:AD20)*D$5+AVERAGE(AG$11:AG20)*D$5,)</f>
        <v>75150603</v>
      </c>
      <c r="BG20" s="104">
        <f>AVERAGE(AD$11:AD20)*D$5</f>
        <v>14271681.600000001</v>
      </c>
      <c r="BH20" s="15">
        <f>AVERAGE(AN$11:AN20)*D$5</f>
        <v>19809170.370000005</v>
      </c>
      <c r="BI20" s="15">
        <f>AVERAGE(AR$11:AR20)*D$5</f>
        <v>12618936</v>
      </c>
    </row>
    <row r="21" spans="1:61" ht="15.75" x14ac:dyDescent="0.25">
      <c r="A21" s="62">
        <f t="shared" si="22"/>
        <v>17</v>
      </c>
      <c r="B21" s="63" t="s">
        <v>79</v>
      </c>
      <c r="C21" s="10"/>
      <c r="D21" s="6">
        <v>52290</v>
      </c>
      <c r="E21" s="8">
        <f t="shared" si="0"/>
        <v>146</v>
      </c>
      <c r="F21" s="6">
        <v>6619</v>
      </c>
      <c r="G21" s="8">
        <f t="shared" si="1"/>
        <v>0</v>
      </c>
      <c r="H21" s="6">
        <v>526949</v>
      </c>
      <c r="I21" s="8">
        <f t="shared" ref="I21:K24" si="23">IF(ISBLANK(H21),0,H21-H20)</f>
        <v>129</v>
      </c>
      <c r="J21" s="79">
        <v>497114</v>
      </c>
      <c r="K21" s="8">
        <f t="shared" si="23"/>
        <v>123</v>
      </c>
      <c r="L21" s="7"/>
      <c r="M21" s="11" t="e">
        <f t="shared" si="10"/>
        <v>#DIV/0!</v>
      </c>
      <c r="N21" s="6">
        <v>87313</v>
      </c>
      <c r="O21" s="8">
        <f t="shared" si="3"/>
        <v>0</v>
      </c>
      <c r="P21" s="12">
        <v>79200</v>
      </c>
      <c r="Q21" s="8">
        <f t="shared" si="4"/>
        <v>0</v>
      </c>
      <c r="R21" s="12">
        <v>14318</v>
      </c>
      <c r="S21" s="8">
        <f t="shared" si="5"/>
        <v>2</v>
      </c>
      <c r="T21" s="12">
        <v>169254</v>
      </c>
      <c r="U21" s="8">
        <f t="shared" si="6"/>
        <v>22</v>
      </c>
      <c r="V21" s="13"/>
      <c r="W21" s="8"/>
      <c r="X21" s="80">
        <v>11309.8</v>
      </c>
      <c r="Y21" s="85"/>
      <c r="Z21" s="8">
        <f t="shared" si="11"/>
        <v>0</v>
      </c>
      <c r="AA21" s="80">
        <v>2550.6</v>
      </c>
      <c r="AB21" s="6"/>
      <c r="AC21" s="9">
        <f t="shared" si="12"/>
        <v>0</v>
      </c>
      <c r="AD21" s="80">
        <v>314.02999999999997</v>
      </c>
      <c r="AE21" s="12"/>
      <c r="AF21" s="9">
        <f t="shared" si="13"/>
        <v>0</v>
      </c>
      <c r="AG21" s="80">
        <v>1247.8</v>
      </c>
      <c r="AH21" s="6"/>
      <c r="AI21" s="8">
        <f t="shared" si="14"/>
        <v>0</v>
      </c>
      <c r="AJ21" s="80">
        <v>304</v>
      </c>
      <c r="AK21" s="7"/>
      <c r="AL21" s="6"/>
      <c r="AM21" s="8">
        <f t="shared" si="7"/>
        <v>0</v>
      </c>
      <c r="AN21" s="80">
        <v>413.41</v>
      </c>
      <c r="AO21" s="7"/>
      <c r="AP21" s="6"/>
      <c r="AQ21" s="8">
        <f t="shared" si="15"/>
        <v>0</v>
      </c>
      <c r="AR21" s="80">
        <v>352</v>
      </c>
      <c r="AS21" s="100">
        <v>7</v>
      </c>
      <c r="AT21" s="14">
        <v>14</v>
      </c>
      <c r="AU21" s="7"/>
      <c r="AV21" s="81"/>
      <c r="AW21" s="88"/>
      <c r="AY21" s="102">
        <f t="shared" si="21"/>
        <v>17</v>
      </c>
      <c r="AZ21" s="15">
        <f t="shared" si="17"/>
        <v>9722032.9411764704</v>
      </c>
      <c r="BA21" s="15">
        <f t="shared" si="18"/>
        <v>54741.176470588238</v>
      </c>
      <c r="BB21" s="15">
        <f t="shared" si="19"/>
        <v>3730611.176470588</v>
      </c>
      <c r="BC21" s="15">
        <f t="shared" si="20"/>
        <v>0</v>
      </c>
      <c r="BD21" s="16">
        <f t="shared" si="8"/>
        <v>0</v>
      </c>
      <c r="BE21" s="103">
        <f>IF(X21&lt;&gt;0,AVERAGE(X$11:X21)*D$5,)</f>
        <v>504270990</v>
      </c>
      <c r="BF21" s="15">
        <f>IF(AD21+AG21&lt;&gt;0,AVERAGE(AD$11:AD21)*D$5+AVERAGE(AG$11:AG21)*D$5,)</f>
        <v>74925270.899999991</v>
      </c>
      <c r="BG21" s="104">
        <f>AVERAGE(AD$11:AD21)*D$5</f>
        <v>14302602.900000002</v>
      </c>
      <c r="BH21" s="15">
        <f>AVERAGE(AN$11:AN21)*D$5</f>
        <v>19757061.000000004</v>
      </c>
      <c r="BI21" s="15">
        <f>AVERAGE(AR$11:AR21)*D$5</f>
        <v>12960720</v>
      </c>
    </row>
    <row r="22" spans="1:61" ht="15.75" x14ac:dyDescent="0.25">
      <c r="A22" s="62">
        <f t="shared" si="22"/>
        <v>18</v>
      </c>
      <c r="B22" s="63" t="s">
        <v>30</v>
      </c>
      <c r="C22" s="10"/>
      <c r="D22" s="6">
        <v>52452</v>
      </c>
      <c r="E22" s="8">
        <f t="shared" si="0"/>
        <v>162</v>
      </c>
      <c r="F22" s="6">
        <v>6620</v>
      </c>
      <c r="G22" s="8">
        <f t="shared" si="1"/>
        <v>1</v>
      </c>
      <c r="H22" s="6">
        <v>527061</v>
      </c>
      <c r="I22" s="8">
        <f t="shared" si="23"/>
        <v>112</v>
      </c>
      <c r="J22" s="79">
        <v>497222</v>
      </c>
      <c r="K22" s="8">
        <f t="shared" si="23"/>
        <v>108</v>
      </c>
      <c r="L22" s="7"/>
      <c r="M22" s="11" t="e">
        <f t="shared" si="10"/>
        <v>#DIV/0!</v>
      </c>
      <c r="N22" s="6">
        <v>87313</v>
      </c>
      <c r="O22" s="8">
        <f t="shared" si="3"/>
        <v>0</v>
      </c>
      <c r="P22" s="12">
        <v>79200</v>
      </c>
      <c r="Q22" s="8">
        <f t="shared" si="4"/>
        <v>0</v>
      </c>
      <c r="R22" s="12">
        <v>14321</v>
      </c>
      <c r="S22" s="8">
        <f t="shared" si="5"/>
        <v>3</v>
      </c>
      <c r="T22" s="12">
        <v>169279</v>
      </c>
      <c r="U22" s="8">
        <f t="shared" si="6"/>
        <v>25</v>
      </c>
      <c r="V22" s="13"/>
      <c r="W22" s="8"/>
      <c r="X22" s="80">
        <v>10996.8</v>
      </c>
      <c r="Y22" s="85"/>
      <c r="Z22" s="8">
        <f t="shared" si="11"/>
        <v>0</v>
      </c>
      <c r="AA22" s="80">
        <v>2491.8000000000002</v>
      </c>
      <c r="AB22" s="6"/>
      <c r="AC22" s="9">
        <f t="shared" si="12"/>
        <v>0</v>
      </c>
      <c r="AD22" s="80">
        <v>296.69</v>
      </c>
      <c r="AE22" s="12"/>
      <c r="AF22" s="9">
        <f t="shared" si="13"/>
        <v>0</v>
      </c>
      <c r="AG22" s="80">
        <v>1149.7</v>
      </c>
      <c r="AH22" s="6"/>
      <c r="AI22" s="8">
        <f t="shared" si="14"/>
        <v>0</v>
      </c>
      <c r="AJ22" s="80">
        <v>208</v>
      </c>
      <c r="AK22" s="7"/>
      <c r="AL22" s="6"/>
      <c r="AM22" s="8">
        <f t="shared" si="7"/>
        <v>0</v>
      </c>
      <c r="AN22" s="80">
        <v>440.66</v>
      </c>
      <c r="AO22" s="7"/>
      <c r="AP22" s="6"/>
      <c r="AQ22" s="8">
        <f t="shared" si="15"/>
        <v>0</v>
      </c>
      <c r="AR22" s="80">
        <v>320</v>
      </c>
      <c r="AS22" s="100">
        <v>4</v>
      </c>
      <c r="AT22" s="14">
        <v>12</v>
      </c>
      <c r="AU22" s="7"/>
      <c r="AV22" s="81"/>
      <c r="AW22" s="88"/>
      <c r="AY22" s="102">
        <f t="shared" si="21"/>
        <v>18</v>
      </c>
      <c r="AZ22" s="15">
        <f t="shared" si="17"/>
        <v>9600690</v>
      </c>
      <c r="BA22" s="15">
        <f t="shared" si="18"/>
        <v>54285</v>
      </c>
      <c r="BB22" s="15">
        <f t="shared" si="19"/>
        <v>3812875</v>
      </c>
      <c r="BC22" s="15">
        <f t="shared" si="20"/>
        <v>0</v>
      </c>
      <c r="BD22" s="16">
        <f t="shared" si="8"/>
        <v>0</v>
      </c>
      <c r="BE22" s="103">
        <f>IF(X22&lt;&gt;0,AVERAGE(X$11:X22)*D$5,)</f>
        <v>504888499.50000006</v>
      </c>
      <c r="BF22" s="15">
        <f>IF(AD22+AG22&lt;&gt;0,AVERAGE(AD$11:AD22)*D$5+AVERAGE(AG$11:AG22)*D$5,)</f>
        <v>74289875.549999997</v>
      </c>
      <c r="BG22" s="104">
        <f>AVERAGE(AD$11:AD22)*D$5</f>
        <v>14261134.800000003</v>
      </c>
      <c r="BH22" s="15">
        <f>AVERAGE(AN$11:AN22)*D$5</f>
        <v>19819298.400000002</v>
      </c>
      <c r="BI22" s="15">
        <f>AVERAGE(AR$11:AR22)*D$5</f>
        <v>13121460</v>
      </c>
    </row>
    <row r="23" spans="1:61" ht="15.75" x14ac:dyDescent="0.25">
      <c r="A23" s="62">
        <f t="shared" si="22"/>
        <v>19</v>
      </c>
      <c r="B23" s="63" t="s">
        <v>30</v>
      </c>
      <c r="C23" s="10"/>
      <c r="D23" s="6">
        <v>52657</v>
      </c>
      <c r="E23" s="8">
        <f t="shared" si="0"/>
        <v>205</v>
      </c>
      <c r="F23" s="6">
        <v>6623</v>
      </c>
      <c r="G23" s="8">
        <f t="shared" si="1"/>
        <v>3</v>
      </c>
      <c r="H23" s="6">
        <v>527199</v>
      </c>
      <c r="I23" s="8">
        <f t="shared" si="23"/>
        <v>138</v>
      </c>
      <c r="J23" s="79">
        <v>497353</v>
      </c>
      <c r="K23" s="8">
        <f t="shared" si="23"/>
        <v>131</v>
      </c>
      <c r="L23" s="7"/>
      <c r="M23" s="11" t="e">
        <f t="shared" si="10"/>
        <v>#DIV/0!</v>
      </c>
      <c r="N23" s="6">
        <v>87313</v>
      </c>
      <c r="O23" s="8">
        <f t="shared" si="3"/>
        <v>0</v>
      </c>
      <c r="P23" s="12">
        <v>79200</v>
      </c>
      <c r="Q23" s="8">
        <f t="shared" si="4"/>
        <v>0</v>
      </c>
      <c r="R23" s="12">
        <v>14323</v>
      </c>
      <c r="S23" s="8">
        <f t="shared" si="5"/>
        <v>2</v>
      </c>
      <c r="T23" s="12">
        <v>169307</v>
      </c>
      <c r="U23" s="8">
        <f t="shared" si="6"/>
        <v>28</v>
      </c>
      <c r="V23" s="13"/>
      <c r="W23" s="8"/>
      <c r="X23" s="80">
        <v>11513.8</v>
      </c>
      <c r="Y23" s="85"/>
      <c r="Z23" s="8">
        <f t="shared" si="11"/>
        <v>0</v>
      </c>
      <c r="AA23" s="80">
        <v>2563.8000000000002</v>
      </c>
      <c r="AB23" s="6"/>
      <c r="AC23" s="9">
        <f t="shared" si="12"/>
        <v>0</v>
      </c>
      <c r="AD23" s="80">
        <v>303.88</v>
      </c>
      <c r="AE23" s="12"/>
      <c r="AF23" s="9">
        <f t="shared" si="13"/>
        <v>0</v>
      </c>
      <c r="AG23" s="80">
        <v>1342.8</v>
      </c>
      <c r="AH23" s="6"/>
      <c r="AI23" s="8">
        <f t="shared" si="14"/>
        <v>0</v>
      </c>
      <c r="AJ23" s="80">
        <v>280</v>
      </c>
      <c r="AK23" s="7"/>
      <c r="AL23" s="6"/>
      <c r="AM23" s="8">
        <f t="shared" si="7"/>
        <v>0</v>
      </c>
      <c r="AN23" s="80">
        <v>510.7</v>
      </c>
      <c r="AO23" s="7"/>
      <c r="AP23" s="6"/>
      <c r="AQ23" s="8">
        <f t="shared" si="15"/>
        <v>0</v>
      </c>
      <c r="AR23" s="80">
        <v>448</v>
      </c>
      <c r="AS23" s="100">
        <v>5</v>
      </c>
      <c r="AT23" s="14">
        <v>15</v>
      </c>
      <c r="AU23" s="7"/>
      <c r="AV23" s="81"/>
      <c r="AW23" s="88"/>
      <c r="AY23" s="102">
        <f t="shared" si="21"/>
        <v>19</v>
      </c>
      <c r="AZ23" s="15">
        <f t="shared" si="17"/>
        <v>9597424.7368421052</v>
      </c>
      <c r="BA23" s="15">
        <f t="shared" si="18"/>
        <v>58774.73684210526</v>
      </c>
      <c r="BB23" s="15">
        <f t="shared" si="19"/>
        <v>3950152.1052631577</v>
      </c>
      <c r="BC23" s="15">
        <f t="shared" si="20"/>
        <v>0</v>
      </c>
      <c r="BD23" s="16">
        <f t="shared" si="8"/>
        <v>0</v>
      </c>
      <c r="BE23" s="103">
        <f>IF(X23&lt;&gt;0,AVERAGE(X$11:X23)*D$5,)</f>
        <v>507261469.84615391</v>
      </c>
      <c r="BF23" s="15">
        <f>IF(AD23+AG23&lt;&gt;0,AVERAGE(AD$11:AD23)*D$5+AVERAGE(AG$11:AG23)*D$5,)</f>
        <v>74469117.461538464</v>
      </c>
      <c r="BG23" s="104">
        <f>AVERAGE(AD$11:AD23)*D$5</f>
        <v>14251781.07692308</v>
      </c>
      <c r="BH23" s="15">
        <f>AVERAGE(AN$11:AN23)*D$5</f>
        <v>20122650.138461541</v>
      </c>
      <c r="BI23" s="15">
        <f>AVERAGE(AR$11:AR23)*D$5</f>
        <v>13715612.307692308</v>
      </c>
    </row>
    <row r="24" spans="1:61" ht="15.75" x14ac:dyDescent="0.25">
      <c r="A24" s="62">
        <f t="shared" si="22"/>
        <v>20</v>
      </c>
      <c r="B24" s="63" t="s">
        <v>30</v>
      </c>
      <c r="C24" s="10"/>
      <c r="D24" s="6">
        <v>52938</v>
      </c>
      <c r="E24" s="8">
        <f t="shared" si="0"/>
        <v>281</v>
      </c>
      <c r="F24" s="6">
        <v>6624</v>
      </c>
      <c r="G24" s="8">
        <f t="shared" si="1"/>
        <v>1</v>
      </c>
      <c r="H24" s="6">
        <v>527357</v>
      </c>
      <c r="I24" s="8">
        <f t="shared" si="23"/>
        <v>158</v>
      </c>
      <c r="J24" s="79">
        <v>497504</v>
      </c>
      <c r="K24" s="8">
        <f t="shared" si="23"/>
        <v>151</v>
      </c>
      <c r="L24" s="7"/>
      <c r="M24" s="11" t="e">
        <f t="shared" si="10"/>
        <v>#DIV/0!</v>
      </c>
      <c r="N24" s="6">
        <v>87313</v>
      </c>
      <c r="O24" s="8">
        <f t="shared" si="3"/>
        <v>0</v>
      </c>
      <c r="P24" s="12">
        <v>79200</v>
      </c>
      <c r="Q24" s="8">
        <f t="shared" si="4"/>
        <v>0</v>
      </c>
      <c r="R24" s="12">
        <v>14326</v>
      </c>
      <c r="S24" s="8">
        <f t="shared" si="5"/>
        <v>3</v>
      </c>
      <c r="T24" s="12">
        <v>169340</v>
      </c>
      <c r="U24" s="8">
        <f t="shared" si="6"/>
        <v>33</v>
      </c>
      <c r="V24" s="13">
        <v>1152.02</v>
      </c>
      <c r="W24" s="8"/>
      <c r="X24" s="80">
        <v>11512.4</v>
      </c>
      <c r="Y24" s="85">
        <v>214.76</v>
      </c>
      <c r="Z24" s="8">
        <f t="shared" si="11"/>
        <v>472472</v>
      </c>
      <c r="AA24" s="80">
        <v>2524</v>
      </c>
      <c r="AB24" s="6">
        <v>1567242</v>
      </c>
      <c r="AC24" s="9">
        <f t="shared" si="12"/>
        <v>1567242</v>
      </c>
      <c r="AD24" s="80">
        <v>316.31</v>
      </c>
      <c r="AE24" s="12">
        <v>4557399</v>
      </c>
      <c r="AF24" s="9">
        <f t="shared" si="13"/>
        <v>4557399</v>
      </c>
      <c r="AG24" s="80">
        <v>1483.7</v>
      </c>
      <c r="AH24" s="6">
        <v>32299</v>
      </c>
      <c r="AI24" s="8">
        <f t="shared" si="14"/>
        <v>2583920</v>
      </c>
      <c r="AJ24" s="80">
        <v>304</v>
      </c>
      <c r="AK24" s="7"/>
      <c r="AL24" s="6">
        <v>2042106</v>
      </c>
      <c r="AM24" s="8">
        <f t="shared" si="7"/>
        <v>2042106</v>
      </c>
      <c r="AN24" s="80">
        <v>527.70000000000005</v>
      </c>
      <c r="AO24" s="7"/>
      <c r="AP24" s="6">
        <v>45145</v>
      </c>
      <c r="AQ24" s="8">
        <f t="shared" si="15"/>
        <v>3611600</v>
      </c>
      <c r="AR24" s="80">
        <v>424</v>
      </c>
      <c r="AS24" s="100">
        <v>5</v>
      </c>
      <c r="AT24" s="14">
        <v>13</v>
      </c>
      <c r="AU24" s="7"/>
      <c r="AV24" s="81"/>
      <c r="AW24" s="88"/>
      <c r="AY24" s="102">
        <f t="shared" si="21"/>
        <v>20</v>
      </c>
      <c r="AZ24" s="15">
        <f t="shared" si="17"/>
        <v>9771300</v>
      </c>
      <c r="BA24" s="15">
        <f t="shared" si="18"/>
        <v>58162.5</v>
      </c>
      <c r="BB24" s="15">
        <f t="shared" si="19"/>
        <v>4120231.5</v>
      </c>
      <c r="BC24" s="15">
        <f t="shared" si="20"/>
        <v>0</v>
      </c>
      <c r="BD24" s="16">
        <f t="shared" si="8"/>
        <v>5896383966</v>
      </c>
      <c r="BE24" s="103">
        <f>IF(X24&lt;&gt;0,AVERAGE(X$11:X24)*D$5,)</f>
        <v>509290791.4285714</v>
      </c>
      <c r="BF24" s="15">
        <f>IF(AD24+AG24&lt;&gt;0,AVERAGE(AD$11:AD24)*D$5+AVERAGE(AG$11:AG24)*D$5,)</f>
        <v>75132356.592857152</v>
      </c>
      <c r="BG24" s="104">
        <f>AVERAGE(AD$11:AD24)*D$5</f>
        <v>14285075.592857145</v>
      </c>
      <c r="BH24" s="15">
        <f>AVERAGE(AN$11:AN24)*D$5</f>
        <v>20439166.628571428</v>
      </c>
      <c r="BI24" s="15">
        <f>AVERAGE(AR$11:AR24)*D$5</f>
        <v>14145120</v>
      </c>
    </row>
    <row r="25" spans="1:61" ht="15.75" x14ac:dyDescent="0.25">
      <c r="A25" s="62"/>
      <c r="B25" s="63"/>
      <c r="C25" s="10"/>
      <c r="D25" s="6"/>
      <c r="E25" s="8"/>
      <c r="F25" s="6"/>
      <c r="G25" s="8"/>
      <c r="H25" s="6"/>
      <c r="I25" s="8"/>
      <c r="J25" s="79"/>
      <c r="K25" s="8"/>
      <c r="L25" s="7"/>
      <c r="M25" s="11"/>
      <c r="N25" s="6"/>
      <c r="O25" s="8"/>
      <c r="P25" s="12"/>
      <c r="Q25" s="8"/>
      <c r="R25" s="12"/>
      <c r="S25" s="8"/>
      <c r="T25" s="12"/>
      <c r="U25" s="8"/>
      <c r="V25" s="13"/>
      <c r="W25" s="8"/>
      <c r="X25" s="80"/>
      <c r="Y25" s="85"/>
      <c r="Z25" s="8"/>
      <c r="AA25" s="80"/>
      <c r="AB25" s="6"/>
      <c r="AC25" s="9"/>
      <c r="AD25" s="80"/>
      <c r="AE25" s="12"/>
      <c r="AF25" s="9"/>
      <c r="AG25" s="80"/>
      <c r="AH25" s="6"/>
      <c r="AI25" s="8"/>
      <c r="AJ25" s="80"/>
      <c r="AK25" s="7"/>
      <c r="AL25" s="6"/>
      <c r="AM25" s="8"/>
      <c r="AN25" s="80"/>
      <c r="AO25" s="7"/>
      <c r="AP25" s="6"/>
      <c r="AQ25" s="8"/>
      <c r="AR25" s="80"/>
      <c r="AS25" s="100"/>
      <c r="AT25" s="14"/>
      <c r="AU25" s="7"/>
      <c r="AV25" s="81"/>
      <c r="AW25" s="88"/>
      <c r="AY25" s="102"/>
      <c r="AZ25" s="15"/>
      <c r="BA25" s="15"/>
      <c r="BB25" s="15"/>
      <c r="BC25" s="15"/>
      <c r="BD25" s="16"/>
      <c r="BE25" s="103"/>
      <c r="BF25" s="15"/>
      <c r="BG25" s="104"/>
      <c r="BH25" s="15"/>
      <c r="BI25" s="15"/>
    </row>
    <row r="26" spans="1:61" ht="15.75" x14ac:dyDescent="0.25">
      <c r="A26" s="62"/>
      <c r="B26" s="63"/>
      <c r="C26" s="10"/>
      <c r="D26" s="6"/>
      <c r="E26" s="8"/>
      <c r="F26" s="6"/>
      <c r="G26" s="8"/>
      <c r="H26" s="6"/>
      <c r="I26" s="8"/>
      <c r="J26" s="79"/>
      <c r="K26" s="8"/>
      <c r="L26" s="7"/>
      <c r="M26" s="11"/>
      <c r="N26" s="6"/>
      <c r="O26" s="8"/>
      <c r="P26" s="12"/>
      <c r="Q26" s="8"/>
      <c r="R26" s="12"/>
      <c r="S26" s="8"/>
      <c r="T26" s="12"/>
      <c r="U26" s="8"/>
      <c r="V26" s="13"/>
      <c r="W26" s="8"/>
      <c r="X26" s="80"/>
      <c r="Y26" s="85"/>
      <c r="Z26" s="8"/>
      <c r="AA26" s="80"/>
      <c r="AB26" s="6"/>
      <c r="AC26" s="9"/>
      <c r="AD26" s="80"/>
      <c r="AE26" s="12"/>
      <c r="AF26" s="9"/>
      <c r="AG26" s="80"/>
      <c r="AH26" s="6"/>
      <c r="AI26" s="8"/>
      <c r="AJ26" s="80"/>
      <c r="AK26" s="7"/>
      <c r="AL26" s="6"/>
      <c r="AM26" s="8"/>
      <c r="AN26" s="80"/>
      <c r="AO26" s="7"/>
      <c r="AP26" s="6"/>
      <c r="AQ26" s="8"/>
      <c r="AR26" s="80"/>
      <c r="AS26" s="100"/>
      <c r="AT26" s="14"/>
      <c r="AU26" s="7"/>
      <c r="AV26" s="81"/>
      <c r="AW26" s="88"/>
      <c r="AY26" s="102"/>
      <c r="AZ26" s="15"/>
      <c r="BA26" s="15"/>
      <c r="BB26" s="15"/>
      <c r="BC26" s="15"/>
      <c r="BD26" s="16"/>
      <c r="BE26" s="103"/>
      <c r="BF26" s="15"/>
      <c r="BG26" s="104"/>
      <c r="BH26" s="15"/>
      <c r="BI26" s="15"/>
    </row>
    <row r="27" spans="1:61" ht="15.75" x14ac:dyDescent="0.25">
      <c r="A27" s="62"/>
      <c r="B27" s="63"/>
      <c r="C27" s="10"/>
      <c r="D27" s="6"/>
      <c r="E27" s="8"/>
      <c r="F27" s="6"/>
      <c r="G27" s="8"/>
      <c r="H27" s="6"/>
      <c r="I27" s="8"/>
      <c r="J27" s="79"/>
      <c r="K27" s="8"/>
      <c r="L27" s="7"/>
      <c r="M27" s="11"/>
      <c r="N27" s="6"/>
      <c r="O27" s="8"/>
      <c r="P27" s="12"/>
      <c r="Q27" s="8"/>
      <c r="R27" s="12"/>
      <c r="S27" s="8"/>
      <c r="T27" s="12"/>
      <c r="U27" s="8"/>
      <c r="V27" s="13"/>
      <c r="W27" s="8"/>
      <c r="X27" s="80"/>
      <c r="Y27" s="85"/>
      <c r="Z27" s="8"/>
      <c r="AA27" s="80"/>
      <c r="AB27" s="6"/>
      <c r="AC27" s="9"/>
      <c r="AD27" s="80"/>
      <c r="AE27" s="12"/>
      <c r="AF27" s="9"/>
      <c r="AG27" s="80"/>
      <c r="AH27" s="6"/>
      <c r="AI27" s="8"/>
      <c r="AJ27" s="80"/>
      <c r="AK27" s="7"/>
      <c r="AL27" s="6"/>
      <c r="AM27" s="8"/>
      <c r="AN27" s="80"/>
      <c r="AO27" s="7"/>
      <c r="AP27" s="6"/>
      <c r="AQ27" s="8"/>
      <c r="AR27" s="80"/>
      <c r="AS27" s="100"/>
      <c r="AT27" s="14"/>
      <c r="AU27" s="7"/>
      <c r="AV27" s="81"/>
      <c r="AW27" s="88"/>
      <c r="AY27" s="102"/>
      <c r="AZ27" s="15"/>
      <c r="BA27" s="15"/>
      <c r="BB27" s="15"/>
      <c r="BC27" s="15"/>
      <c r="BD27" s="16"/>
      <c r="BE27" s="103"/>
      <c r="BF27" s="15"/>
      <c r="BG27" s="104"/>
      <c r="BH27" s="15"/>
      <c r="BI27" s="15"/>
    </row>
    <row r="28" spans="1:61" ht="15.75" x14ac:dyDescent="0.25">
      <c r="A28" s="62"/>
      <c r="B28" s="63"/>
      <c r="C28" s="10"/>
      <c r="D28" s="6"/>
      <c r="E28" s="8"/>
      <c r="F28" s="6"/>
      <c r="G28" s="8"/>
      <c r="H28" s="6"/>
      <c r="I28" s="8"/>
      <c r="J28" s="79"/>
      <c r="K28" s="8"/>
      <c r="L28" s="7"/>
      <c r="M28" s="11"/>
      <c r="N28" s="6"/>
      <c r="O28" s="8"/>
      <c r="P28" s="12"/>
      <c r="Q28" s="8"/>
      <c r="R28" s="12"/>
      <c r="S28" s="8"/>
      <c r="T28" s="12"/>
      <c r="U28" s="8"/>
      <c r="V28" s="13"/>
      <c r="W28" s="8"/>
      <c r="X28" s="80"/>
      <c r="Y28" s="85"/>
      <c r="Z28" s="8"/>
      <c r="AA28" s="80"/>
      <c r="AB28" s="6"/>
      <c r="AC28" s="9"/>
      <c r="AD28" s="80"/>
      <c r="AE28" s="12"/>
      <c r="AF28" s="9"/>
      <c r="AG28" s="80"/>
      <c r="AH28" s="6"/>
      <c r="AI28" s="8"/>
      <c r="AJ28" s="80"/>
      <c r="AK28" s="7"/>
      <c r="AL28" s="6"/>
      <c r="AM28" s="8"/>
      <c r="AN28" s="80"/>
      <c r="AO28" s="7"/>
      <c r="AP28" s="6"/>
      <c r="AQ28" s="8"/>
      <c r="AR28" s="80"/>
      <c r="AS28" s="100"/>
      <c r="AT28" s="14"/>
      <c r="AU28" s="7"/>
      <c r="AV28" s="81"/>
      <c r="AW28" s="88"/>
      <c r="AY28" s="102"/>
      <c r="AZ28" s="15"/>
      <c r="BA28" s="15"/>
      <c r="BB28" s="15"/>
      <c r="BC28" s="15"/>
      <c r="BD28" s="16"/>
      <c r="BE28" s="103"/>
      <c r="BF28" s="15"/>
      <c r="BG28" s="104"/>
      <c r="BH28" s="15"/>
      <c r="BI28" s="15"/>
    </row>
    <row r="29" spans="1:61" ht="15.75" x14ac:dyDescent="0.25">
      <c r="A29" s="62"/>
      <c r="B29" s="63"/>
      <c r="C29" s="10"/>
      <c r="D29" s="6"/>
      <c r="E29" s="8"/>
      <c r="F29" s="6"/>
      <c r="G29" s="8"/>
      <c r="H29" s="6"/>
      <c r="I29" s="8"/>
      <c r="J29" s="79"/>
      <c r="K29" s="8"/>
      <c r="L29" s="7"/>
      <c r="M29" s="11"/>
      <c r="N29" s="6"/>
      <c r="O29" s="8"/>
      <c r="P29" s="12"/>
      <c r="Q29" s="8"/>
      <c r="R29" s="12"/>
      <c r="S29" s="8"/>
      <c r="T29" s="12"/>
      <c r="U29" s="8"/>
      <c r="V29" s="13"/>
      <c r="W29" s="8"/>
      <c r="X29" s="80"/>
      <c r="Y29" s="85"/>
      <c r="Z29" s="8"/>
      <c r="AA29" s="80"/>
      <c r="AB29" s="6"/>
      <c r="AC29" s="9"/>
      <c r="AD29" s="80"/>
      <c r="AE29" s="12"/>
      <c r="AF29" s="9"/>
      <c r="AG29" s="80"/>
      <c r="AH29" s="6"/>
      <c r="AI29" s="8"/>
      <c r="AJ29" s="80"/>
      <c r="AK29" s="7"/>
      <c r="AL29" s="6"/>
      <c r="AM29" s="8"/>
      <c r="AN29" s="80"/>
      <c r="AO29" s="7"/>
      <c r="AP29" s="6"/>
      <c r="AQ29" s="8"/>
      <c r="AR29" s="80"/>
      <c r="AS29" s="100"/>
      <c r="AT29" s="14"/>
      <c r="AU29" s="7"/>
      <c r="AV29" s="81"/>
      <c r="AW29" s="88"/>
      <c r="AY29" s="102"/>
      <c r="AZ29" s="15"/>
      <c r="BA29" s="15"/>
      <c r="BB29" s="15"/>
      <c r="BC29" s="15"/>
      <c r="BD29" s="16"/>
      <c r="BE29" s="103"/>
      <c r="BF29" s="15"/>
      <c r="BG29" s="104"/>
      <c r="BH29" s="15"/>
      <c r="BI29" s="15"/>
    </row>
    <row r="30" spans="1:61" ht="15.75" x14ac:dyDescent="0.25">
      <c r="A30" s="62"/>
      <c r="B30" s="63"/>
      <c r="C30" s="10"/>
      <c r="D30" s="6"/>
      <c r="E30" s="8"/>
      <c r="F30" s="6"/>
      <c r="G30" s="8"/>
      <c r="H30" s="6"/>
      <c r="I30" s="8"/>
      <c r="J30" s="79"/>
      <c r="K30" s="8"/>
      <c r="L30" s="7"/>
      <c r="M30" s="11"/>
      <c r="N30" s="6"/>
      <c r="O30" s="8"/>
      <c r="P30" s="12"/>
      <c r="Q30" s="8"/>
      <c r="R30" s="12"/>
      <c r="S30" s="8"/>
      <c r="T30" s="12"/>
      <c r="U30" s="8"/>
      <c r="V30" s="13"/>
      <c r="W30" s="8"/>
      <c r="X30" s="80"/>
      <c r="Y30" s="85"/>
      <c r="Z30" s="8"/>
      <c r="AA30" s="80"/>
      <c r="AB30" s="6"/>
      <c r="AC30" s="9"/>
      <c r="AD30" s="80"/>
      <c r="AE30" s="12"/>
      <c r="AF30" s="9"/>
      <c r="AG30" s="80"/>
      <c r="AH30" s="6"/>
      <c r="AI30" s="8"/>
      <c r="AJ30" s="80"/>
      <c r="AK30" s="7"/>
      <c r="AL30" s="6"/>
      <c r="AM30" s="8"/>
      <c r="AN30" s="80"/>
      <c r="AO30" s="7"/>
      <c r="AP30" s="6"/>
      <c r="AQ30" s="8"/>
      <c r="AR30" s="80"/>
      <c r="AS30" s="100"/>
      <c r="AT30" s="14"/>
      <c r="AU30" s="7"/>
      <c r="AV30" s="81"/>
      <c r="AW30" s="88"/>
      <c r="AY30" s="102"/>
      <c r="AZ30" s="15"/>
      <c r="BA30" s="15"/>
      <c r="BB30" s="15"/>
      <c r="BC30" s="15"/>
      <c r="BD30" s="16"/>
      <c r="BE30" s="103"/>
      <c r="BF30" s="15"/>
      <c r="BG30" s="104"/>
      <c r="BH30" s="15"/>
      <c r="BI30" s="15"/>
    </row>
    <row r="31" spans="1:61" ht="15.75" x14ac:dyDescent="0.25">
      <c r="A31" s="62"/>
      <c r="B31" s="63"/>
      <c r="C31" s="10"/>
      <c r="D31" s="6"/>
      <c r="E31" s="8"/>
      <c r="F31" s="6"/>
      <c r="G31" s="8"/>
      <c r="H31" s="6"/>
      <c r="I31" s="8"/>
      <c r="J31" s="79"/>
      <c r="K31" s="8"/>
      <c r="L31" s="7"/>
      <c r="M31" s="11"/>
      <c r="N31" s="6"/>
      <c r="O31" s="8"/>
      <c r="P31" s="12"/>
      <c r="Q31" s="8"/>
      <c r="R31" s="12"/>
      <c r="S31" s="8"/>
      <c r="T31" s="12"/>
      <c r="U31" s="8"/>
      <c r="V31" s="13"/>
      <c r="W31" s="8"/>
      <c r="X31" s="80"/>
      <c r="Y31" s="85"/>
      <c r="Z31" s="8"/>
      <c r="AA31" s="80"/>
      <c r="AB31" s="6"/>
      <c r="AC31" s="9"/>
      <c r="AD31" s="80"/>
      <c r="AE31" s="12"/>
      <c r="AF31" s="9"/>
      <c r="AG31" s="80"/>
      <c r="AH31" s="6"/>
      <c r="AI31" s="8"/>
      <c r="AJ31" s="80"/>
      <c r="AK31" s="7"/>
      <c r="AL31" s="6"/>
      <c r="AM31" s="8"/>
      <c r="AN31" s="80"/>
      <c r="AO31" s="7"/>
      <c r="AP31" s="6"/>
      <c r="AQ31" s="8"/>
      <c r="AR31" s="80"/>
      <c r="AS31" s="107"/>
      <c r="AT31" s="90"/>
      <c r="AU31" s="108"/>
      <c r="AV31" s="81"/>
      <c r="AW31" s="88"/>
      <c r="AY31" s="102"/>
      <c r="AZ31" s="15"/>
      <c r="BA31" s="15"/>
      <c r="BB31" s="15"/>
      <c r="BC31" s="15"/>
      <c r="BD31" s="16"/>
      <c r="BE31" s="103"/>
      <c r="BF31" s="15"/>
      <c r="BG31" s="104"/>
      <c r="BH31" s="15"/>
      <c r="BI31" s="15"/>
    </row>
    <row r="32" spans="1:61" ht="15.75" x14ac:dyDescent="0.25">
      <c r="A32" s="62"/>
      <c r="B32" s="63"/>
      <c r="C32" s="10"/>
      <c r="D32" s="6"/>
      <c r="E32" s="8"/>
      <c r="F32" s="6"/>
      <c r="G32" s="8"/>
      <c r="H32" s="6"/>
      <c r="I32" s="8"/>
      <c r="J32" s="79"/>
      <c r="K32" s="8"/>
      <c r="L32" s="7"/>
      <c r="M32" s="11"/>
      <c r="N32" s="6"/>
      <c r="O32" s="8"/>
      <c r="P32" s="12"/>
      <c r="Q32" s="8"/>
      <c r="R32" s="12"/>
      <c r="S32" s="8"/>
      <c r="T32" s="12"/>
      <c r="U32" s="8"/>
      <c r="V32" s="13"/>
      <c r="W32" s="8"/>
      <c r="X32" s="80"/>
      <c r="Y32" s="85"/>
      <c r="Z32" s="8"/>
      <c r="AA32" s="80"/>
      <c r="AB32" s="6"/>
      <c r="AC32" s="9"/>
      <c r="AD32" s="80"/>
      <c r="AE32" s="12"/>
      <c r="AF32" s="9"/>
      <c r="AG32" s="80"/>
      <c r="AH32" s="6"/>
      <c r="AI32" s="8"/>
      <c r="AJ32" s="80"/>
      <c r="AK32" s="7"/>
      <c r="AL32" s="6"/>
      <c r="AM32" s="8"/>
      <c r="AN32" s="80"/>
      <c r="AO32" s="7"/>
      <c r="AP32" s="6"/>
      <c r="AQ32" s="8"/>
      <c r="AR32" s="80"/>
      <c r="AS32" s="107"/>
      <c r="AT32" s="90"/>
      <c r="AU32" s="108"/>
      <c r="AV32" s="81"/>
      <c r="AW32" s="88"/>
      <c r="AY32" s="102"/>
      <c r="AZ32" s="15"/>
      <c r="BA32" s="15"/>
      <c r="BB32" s="15"/>
      <c r="BC32" s="15"/>
      <c r="BD32" s="16"/>
      <c r="BE32" s="103"/>
      <c r="BF32" s="15"/>
      <c r="BG32" s="104"/>
      <c r="BH32" s="15"/>
      <c r="BI32" s="15"/>
    </row>
    <row r="33" spans="1:61" ht="15.75" x14ac:dyDescent="0.25">
      <c r="A33" s="62">
        <v>29</v>
      </c>
      <c r="B33" s="63" t="s">
        <v>30</v>
      </c>
      <c r="C33" s="10"/>
      <c r="D33" s="6"/>
      <c r="E33" s="8">
        <v>0</v>
      </c>
      <c r="F33" s="6"/>
      <c r="G33" s="8">
        <v>0</v>
      </c>
      <c r="H33" s="6"/>
      <c r="I33" s="8">
        <v>0</v>
      </c>
      <c r="J33" s="79"/>
      <c r="K33" s="8" t="e">
        <v>#REF!</v>
      </c>
      <c r="L33" s="7"/>
      <c r="M33" s="11" t="e">
        <v>#DIV/0!</v>
      </c>
      <c r="N33" s="6"/>
      <c r="O33" s="8">
        <v>0</v>
      </c>
      <c r="P33" s="12"/>
      <c r="Q33" s="8">
        <v>0</v>
      </c>
      <c r="R33" s="12"/>
      <c r="S33" s="8">
        <v>0</v>
      </c>
      <c r="T33" s="12"/>
      <c r="U33" s="8">
        <v>0</v>
      </c>
      <c r="V33" s="13"/>
      <c r="W33" s="8">
        <v>0</v>
      </c>
      <c r="X33" s="80"/>
      <c r="Y33" s="85"/>
      <c r="Z33" s="8">
        <v>0</v>
      </c>
      <c r="AA33" s="80"/>
      <c r="AB33" s="6"/>
      <c r="AC33" s="9">
        <v>0</v>
      </c>
      <c r="AD33" s="80"/>
      <c r="AE33" s="12"/>
      <c r="AF33" s="9">
        <v>0</v>
      </c>
      <c r="AG33" s="80"/>
      <c r="AH33" s="6"/>
      <c r="AI33" s="8">
        <v>0</v>
      </c>
      <c r="AJ33" s="80"/>
      <c r="AK33" s="7"/>
      <c r="AL33" s="6"/>
      <c r="AM33" s="8">
        <v>0</v>
      </c>
      <c r="AN33" s="80"/>
      <c r="AO33" s="7"/>
      <c r="AP33" s="6"/>
      <c r="AQ33" s="8">
        <v>0</v>
      </c>
      <c r="AR33" s="80"/>
      <c r="AS33" s="100"/>
      <c r="AT33" s="14"/>
      <c r="AU33" s="108"/>
      <c r="AV33" s="101">
        <v>58.805999999999997</v>
      </c>
      <c r="AW33" s="88" t="e">
        <v>#REF!</v>
      </c>
      <c r="AY33" s="102" t="e">
        <v>#REF!</v>
      </c>
      <c r="AZ33" s="15">
        <v>0</v>
      </c>
      <c r="BA33" s="15">
        <v>0</v>
      </c>
      <c r="BB33" s="15">
        <v>0</v>
      </c>
      <c r="BC33" s="15">
        <v>0</v>
      </c>
      <c r="BD33" s="16">
        <v>0</v>
      </c>
      <c r="BE33" s="103">
        <v>0</v>
      </c>
      <c r="BF33" s="15">
        <v>0</v>
      </c>
      <c r="BG33" s="104">
        <v>8562.8092857142856</v>
      </c>
      <c r="BH33" s="15">
        <v>18990.018214285712</v>
      </c>
      <c r="BI33" s="15">
        <v>8998.2857142857138</v>
      </c>
    </row>
    <row r="34" spans="1:61" x14ac:dyDescent="0.2">
      <c r="A34" s="82" t="e">
        <v>#REF!</v>
      </c>
      <c r="B34" s="63" t="s">
        <v>30</v>
      </c>
      <c r="C34" s="10"/>
      <c r="D34" s="6"/>
      <c r="E34" s="8">
        <v>0</v>
      </c>
      <c r="F34" s="6"/>
      <c r="G34" s="8">
        <v>0</v>
      </c>
      <c r="H34" s="6"/>
      <c r="I34" s="8">
        <v>0</v>
      </c>
      <c r="J34" s="83"/>
      <c r="K34" s="8">
        <v>0</v>
      </c>
      <c r="L34" s="7"/>
      <c r="M34" s="11" t="e">
        <v>#DIV/0!</v>
      </c>
      <c r="N34" s="84"/>
      <c r="O34" s="8">
        <v>0</v>
      </c>
      <c r="P34" s="12"/>
      <c r="Q34" s="8">
        <v>0</v>
      </c>
      <c r="R34" s="12"/>
      <c r="S34" s="8">
        <v>0</v>
      </c>
      <c r="T34" s="12"/>
      <c r="U34" s="8">
        <v>0</v>
      </c>
      <c r="V34" s="13"/>
      <c r="W34" s="8">
        <v>0</v>
      </c>
      <c r="X34" s="80"/>
      <c r="Y34" s="85"/>
      <c r="Z34" s="8">
        <v>0</v>
      </c>
      <c r="AA34" s="80"/>
      <c r="AB34" s="6"/>
      <c r="AC34" s="9">
        <v>0</v>
      </c>
      <c r="AD34" s="80"/>
      <c r="AE34" s="6"/>
      <c r="AF34" s="9">
        <v>0</v>
      </c>
      <c r="AG34" s="80"/>
      <c r="AH34" s="6"/>
      <c r="AI34" s="8">
        <v>0</v>
      </c>
      <c r="AJ34" s="80"/>
      <c r="AK34" s="7"/>
      <c r="AL34" s="6"/>
      <c r="AM34" s="8">
        <v>0</v>
      </c>
      <c r="AN34" s="80"/>
      <c r="AO34" s="7"/>
      <c r="AP34" s="6"/>
      <c r="AQ34" s="8">
        <v>0</v>
      </c>
      <c r="AR34" s="80"/>
      <c r="AS34" s="86"/>
      <c r="AT34" s="14"/>
      <c r="AU34" s="7"/>
      <c r="AV34" s="81">
        <v>58.805999999999997</v>
      </c>
      <c r="AW34" s="88"/>
      <c r="AY34" s="87" t="e">
        <v>#REF!</v>
      </c>
      <c r="AZ34" s="15"/>
      <c r="BA34" s="15"/>
      <c r="BB34" s="15"/>
      <c r="BC34" s="15"/>
      <c r="BD34" s="16"/>
      <c r="BE34" s="15"/>
      <c r="BF34" s="16"/>
      <c r="BG34" s="16"/>
      <c r="BH34" s="16"/>
      <c r="BI34" s="16"/>
    </row>
    <row r="35" spans="1:61" ht="15.75" thickBot="1" x14ac:dyDescent="0.25">
      <c r="A35" s="82" t="e">
        <v>#REF!</v>
      </c>
      <c r="B35" s="63" t="s">
        <v>30</v>
      </c>
      <c r="C35" s="10"/>
      <c r="D35" s="6"/>
      <c r="E35" s="8">
        <v>0</v>
      </c>
      <c r="F35" s="6"/>
      <c r="G35" s="8">
        <v>0</v>
      </c>
      <c r="H35" s="6"/>
      <c r="I35" s="8">
        <v>0</v>
      </c>
      <c r="J35" s="83"/>
      <c r="K35" s="8">
        <v>0</v>
      </c>
      <c r="L35" s="7"/>
      <c r="M35" s="11" t="e">
        <v>#DIV/0!</v>
      </c>
      <c r="N35" s="84"/>
      <c r="O35" s="8">
        <v>0</v>
      </c>
      <c r="P35" s="12"/>
      <c r="Q35" s="8">
        <v>0</v>
      </c>
      <c r="R35" s="12"/>
      <c r="S35" s="8">
        <v>0</v>
      </c>
      <c r="T35" s="12"/>
      <c r="U35" s="8">
        <v>0</v>
      </c>
      <c r="V35" s="13"/>
      <c r="W35" s="8">
        <v>0</v>
      </c>
      <c r="X35" s="80"/>
      <c r="Y35" s="85"/>
      <c r="Z35" s="8">
        <v>0</v>
      </c>
      <c r="AA35" s="80"/>
      <c r="AB35" s="6"/>
      <c r="AC35" s="9">
        <v>0</v>
      </c>
      <c r="AD35" s="80"/>
      <c r="AE35" s="6"/>
      <c r="AF35" s="9">
        <v>0</v>
      </c>
      <c r="AG35" s="80"/>
      <c r="AH35" s="6"/>
      <c r="AI35" s="8">
        <v>0</v>
      </c>
      <c r="AJ35" s="80"/>
      <c r="AK35" s="7"/>
      <c r="AL35" s="6"/>
      <c r="AM35" s="8">
        <v>0</v>
      </c>
      <c r="AN35" s="80"/>
      <c r="AO35" s="7"/>
      <c r="AP35" s="6"/>
      <c r="AQ35" s="8">
        <v>0</v>
      </c>
      <c r="AR35" s="80"/>
      <c r="AS35" s="86"/>
      <c r="AT35" s="14"/>
      <c r="AU35" s="7"/>
      <c r="AV35" s="81">
        <v>58.805999999999997</v>
      </c>
      <c r="AW35" s="88"/>
      <c r="AY35" s="87" t="e">
        <v>#REF!</v>
      </c>
      <c r="AZ35" s="15"/>
      <c r="BA35" s="15"/>
      <c r="BB35" s="15"/>
      <c r="BC35" s="15"/>
      <c r="BD35" s="16"/>
      <c r="BE35" s="15"/>
      <c r="BF35" s="16"/>
      <c r="BG35" s="16"/>
      <c r="BH35" s="16"/>
      <c r="BI35" s="16"/>
    </row>
    <row r="36" spans="1:61" ht="15" customHeight="1" thickTop="1" thickBot="1" x14ac:dyDescent="0.3">
      <c r="A36" s="65" t="s">
        <v>31</v>
      </c>
      <c r="C36" s="17"/>
      <c r="D36" s="18">
        <v>16950.899999999907</v>
      </c>
      <c r="E36" s="66"/>
      <c r="F36" s="18">
        <v>126.57099999999991</v>
      </c>
      <c r="G36" s="66"/>
      <c r="H36" s="18">
        <v>4134</v>
      </c>
      <c r="I36" s="67"/>
      <c r="J36" s="20"/>
      <c r="K36" s="20"/>
      <c r="L36" s="68"/>
      <c r="M36" s="11"/>
      <c r="N36" s="18">
        <v>7</v>
      </c>
      <c r="O36" s="66"/>
      <c r="P36" s="18">
        <v>87</v>
      </c>
      <c r="Q36" s="64"/>
      <c r="R36" s="18">
        <v>60</v>
      </c>
      <c r="S36" s="69"/>
      <c r="T36" s="18">
        <v>853</v>
      </c>
      <c r="U36" s="64"/>
      <c r="V36" s="18">
        <v>346961.99999999808</v>
      </c>
      <c r="W36" s="66"/>
      <c r="X36" s="18">
        <v>358873.24000000011</v>
      </c>
      <c r="Y36" s="18">
        <v>27.890000000000327</v>
      </c>
      <c r="Z36" s="66"/>
      <c r="AA36" s="70">
        <v>61470.92</v>
      </c>
      <c r="AB36" s="19">
        <v>8267.6899999999441</v>
      </c>
      <c r="AC36" s="2"/>
      <c r="AD36" s="70">
        <v>8545.5400000000009</v>
      </c>
      <c r="AE36" s="19">
        <v>28418.700000000186</v>
      </c>
      <c r="AF36" s="54"/>
      <c r="AG36" s="70">
        <v>31861.200000000001</v>
      </c>
      <c r="AH36" s="18">
        <v>6223.9999999999418</v>
      </c>
      <c r="AI36" s="67"/>
      <c r="AJ36" s="70">
        <v>5720</v>
      </c>
      <c r="AK36" s="68"/>
      <c r="AL36" s="18">
        <v>21764</v>
      </c>
      <c r="AM36" s="67"/>
      <c r="AN36" s="70">
        <v>18989.189999999999</v>
      </c>
      <c r="AO36" s="68"/>
      <c r="AP36" s="18">
        <v>107.80000000000291</v>
      </c>
      <c r="AQ36" s="66"/>
      <c r="AR36" s="70">
        <v>8920</v>
      </c>
      <c r="AS36" s="71"/>
      <c r="AT36" s="72"/>
      <c r="AU36" s="20"/>
      <c r="AV36" s="73"/>
      <c r="AW36" s="74"/>
      <c r="AY36" s="21"/>
      <c r="AZ36" s="22"/>
      <c r="BA36" s="22"/>
      <c r="BB36" s="22"/>
      <c r="BC36" s="22"/>
      <c r="BD36" s="23"/>
      <c r="BE36" s="41"/>
      <c r="BF36" s="41"/>
      <c r="BG36" s="40"/>
      <c r="BH36" s="40"/>
      <c r="BI36" s="40"/>
    </row>
    <row r="37" spans="1:61" ht="17.25" thickTop="1" thickBot="1" x14ac:dyDescent="0.3">
      <c r="A37" s="56" t="s">
        <v>32</v>
      </c>
      <c r="C37" s="49"/>
      <c r="D37" s="20" t="s">
        <v>74</v>
      </c>
      <c r="E37" s="20"/>
      <c r="F37" s="20" t="s">
        <v>74</v>
      </c>
      <c r="G37" s="20"/>
      <c r="H37" s="20" t="s">
        <v>74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 t="s">
        <v>74</v>
      </c>
      <c r="Y37" s="26"/>
      <c r="Z37" s="20"/>
      <c r="AA37" s="20"/>
      <c r="AB37" s="57">
        <v>40406.740000000005</v>
      </c>
      <c r="AC37" s="2"/>
      <c r="AD37" s="20"/>
      <c r="AE37" s="20"/>
      <c r="AF37" s="20"/>
      <c r="AG37" s="20">
        <v>40406.740000000005</v>
      </c>
      <c r="AH37" s="20"/>
      <c r="AI37" s="20">
        <v>46630.739999999947</v>
      </c>
      <c r="AJ37" s="20">
        <v>46126.740000000005</v>
      </c>
      <c r="AK37" s="20"/>
      <c r="AL37" s="20"/>
      <c r="AM37" s="20"/>
      <c r="AN37" s="20"/>
      <c r="AO37" s="20"/>
      <c r="AP37" s="20"/>
      <c r="AQ37" s="20"/>
      <c r="AR37" s="20"/>
      <c r="AS37" s="20" t="s">
        <v>75</v>
      </c>
      <c r="AT37" s="20"/>
      <c r="AU37" s="20"/>
      <c r="AV37" s="20"/>
      <c r="AW37" s="20"/>
      <c r="AY37" s="58"/>
      <c r="AZ37" s="49"/>
      <c r="BA37" s="49"/>
      <c r="BB37" s="49"/>
      <c r="BC37" s="49"/>
      <c r="BD37" s="49"/>
      <c r="BE37" s="59"/>
      <c r="BF37" s="59"/>
      <c r="BG37" s="59"/>
      <c r="BH37" s="59"/>
      <c r="BI37" s="59"/>
    </row>
    <row r="38" spans="1:61" ht="16.5" thickBot="1" x14ac:dyDescent="0.3">
      <c r="A38" s="56" t="s">
        <v>32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0"/>
      <c r="Q38" s="2"/>
      <c r="R38" s="20"/>
      <c r="S38" s="2"/>
      <c r="T38" s="2"/>
      <c r="U38" s="2"/>
      <c r="V38" s="2"/>
      <c r="W38" s="2"/>
      <c r="X38" s="2"/>
      <c r="Y38" s="60"/>
      <c r="Z38" s="2"/>
      <c r="AA38" s="2"/>
      <c r="AB38" s="140">
        <f>AD36+AG36</f>
        <v>40406.740000000005</v>
      </c>
      <c r="AC38" s="141"/>
      <c r="AD38" s="141"/>
      <c r="AE38" s="142"/>
      <c r="AF38" s="2"/>
      <c r="AG38" s="2"/>
      <c r="AH38" s="2"/>
      <c r="AI38" s="61"/>
      <c r="AJ38" s="24">
        <f>AB38+AJ36</f>
        <v>46126.740000000005</v>
      </c>
      <c r="AK38" s="2"/>
      <c r="AL38" s="2"/>
      <c r="AM38" s="2"/>
      <c r="AN38" s="2"/>
      <c r="AO38" s="2"/>
      <c r="AP38" s="2"/>
      <c r="AQ38" s="2"/>
      <c r="AR38" s="2"/>
      <c r="AS38" s="25"/>
      <c r="AT38" s="2"/>
      <c r="AU38" s="2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60"/>
      <c r="Z39" s="2"/>
      <c r="AA39" s="2"/>
      <c r="AB39" s="143"/>
      <c r="AC39" s="143"/>
      <c r="AD39" s="143"/>
      <c r="AE39" s="143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7.25" thickTop="1" thickBot="1" x14ac:dyDescent="0.3">
      <c r="A41" s="55" t="s">
        <v>33</v>
      </c>
      <c r="B41" s="55"/>
      <c r="C41" s="28"/>
      <c r="D41" s="18">
        <v>28000</v>
      </c>
      <c r="E41" s="29"/>
      <c r="F41" s="18">
        <v>130</v>
      </c>
      <c r="G41" s="29"/>
      <c r="H41" s="18">
        <v>4780</v>
      </c>
      <c r="I41" s="29"/>
      <c r="J41" s="29"/>
      <c r="K41" s="29"/>
      <c r="L41" s="28"/>
      <c r="M41" s="28"/>
      <c r="N41" s="18">
        <v>30</v>
      </c>
      <c r="O41" s="29"/>
      <c r="P41" s="29"/>
      <c r="Q41" s="29"/>
      <c r="R41" s="29"/>
      <c r="S41" s="29"/>
      <c r="T41" s="29"/>
      <c r="U41" s="29"/>
      <c r="V41" s="18">
        <v>370000</v>
      </c>
      <c r="Y41" s="1"/>
      <c r="AB41" s="1"/>
      <c r="AS41" s="30"/>
    </row>
    <row r="42" spans="1:61" ht="16.5" thickTop="1" x14ac:dyDescent="0.25">
      <c r="A42" s="2" t="s">
        <v>34</v>
      </c>
      <c r="D42" s="1">
        <v>28146</v>
      </c>
      <c r="F42" s="1">
        <v>84</v>
      </c>
      <c r="H42" s="1">
        <v>4423</v>
      </c>
      <c r="N42" s="1">
        <v>37</v>
      </c>
      <c r="V42" s="1">
        <v>363254</v>
      </c>
    </row>
    <row r="43" spans="1:61" ht="15" customHeight="1" x14ac:dyDescent="0.25">
      <c r="A43" s="2" t="s">
        <v>35</v>
      </c>
      <c r="D43" s="1">
        <v>22839</v>
      </c>
      <c r="F43" s="1">
        <v>107</v>
      </c>
      <c r="H43" s="1">
        <v>3715</v>
      </c>
      <c r="N43" s="1">
        <v>20</v>
      </c>
      <c r="V43" s="1">
        <v>384875</v>
      </c>
    </row>
    <row r="44" spans="1:61" ht="16.5" customHeight="1" x14ac:dyDescent="0.25">
      <c r="A44" s="2" t="s">
        <v>76</v>
      </c>
      <c r="D44" s="1">
        <v>26416</v>
      </c>
      <c r="F44" s="1">
        <v>128</v>
      </c>
      <c r="H44" s="1">
        <v>4161</v>
      </c>
      <c r="N44" s="1">
        <v>38</v>
      </c>
      <c r="V44" s="1">
        <v>374460</v>
      </c>
    </row>
    <row r="45" spans="1:61" x14ac:dyDescent="0.2">
      <c r="A45" s="49" t="s">
        <v>77</v>
      </c>
      <c r="D45" s="1">
        <v>24149</v>
      </c>
      <c r="F45" s="1">
        <v>84</v>
      </c>
      <c r="H45" s="1">
        <v>4743</v>
      </c>
      <c r="N45" s="1">
        <v>8</v>
      </c>
      <c r="V45" s="1">
        <v>355500</v>
      </c>
    </row>
    <row r="46" spans="1:61" x14ac:dyDescent="0.2">
      <c r="A46" s="49" t="s">
        <v>78</v>
      </c>
      <c r="D46" s="1">
        <v>16951</v>
      </c>
      <c r="F46" s="1">
        <v>127</v>
      </c>
      <c r="H46" s="1">
        <v>4130</v>
      </c>
      <c r="N46" s="1">
        <v>7</v>
      </c>
      <c r="V46" s="1">
        <v>358873</v>
      </c>
    </row>
  </sheetData>
  <mergeCells count="32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AW1:AW2"/>
    <mergeCell ref="AZ1:AZ3"/>
    <mergeCell ref="BA1:BA3"/>
    <mergeCell ref="BB1:BB3"/>
    <mergeCell ref="BC1:BC3"/>
    <mergeCell ref="BD1:B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2020-02-24T07:36:12Z</dcterms:modified>
</cp:coreProperties>
</file>