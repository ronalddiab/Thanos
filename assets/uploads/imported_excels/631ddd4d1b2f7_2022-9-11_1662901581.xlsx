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9"/>
  <workbookPr/>
  <mc:AlternateContent xmlns:mc="http://schemas.openxmlformats.org/markup-compatibility/2006">
    <mc:Choice Requires="x15">
      <x15ac:absPath xmlns:x15ac="http://schemas.microsoft.com/office/spreadsheetml/2010/11/ac" url="G:\Management\Direction ET\Energy\"/>
    </mc:Choice>
  </mc:AlternateContent>
  <xr:revisionPtr revIDLastSave="0" documentId="13_ncr:1_{D0E2CE97-ABC7-456E-AE77-86CD4D1F00B2}" xr6:coauthVersionLast="36" xr6:coauthVersionMax="47" xr10:uidLastSave="{00000000-0000-0000-0000-000000000000}"/>
  <bookViews>
    <workbookView xWindow="0" yWindow="0" windowWidth="23040" windowHeight="81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  <c r="K9" i="1"/>
  <c r="F8" i="1" l="1"/>
  <c r="F7" i="1" l="1"/>
</calcChain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<sst xmlns="http://schemas.openxmlformats.org/spreadsheetml/2006/main" count="29" uniqueCount="18">
  <si>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</si>
  <si>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</si>
  <si>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</si>
  <si>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cardboard</t>
  </si>
  <si>
    <t>Total cost cardboard</t>
  </si>
  <si>
    <t>Total (per Unit) kitchen grease</t>
  </si>
  <si>
    <t>Total cost kitchen grease</t>
  </si>
  <si>
    <t>Total (per Unit) batteries</t>
  </si>
  <si>
    <t>Total cost batteries</t>
  </si>
  <si>
    <t>Total (per Unit) commingled recyclables</t>
  </si>
  <si>
    <t>Total cost commingled recyclables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</si>
  <si>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</si>
  <si>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</si>
  <si>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</si>
  <si>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</si>
  <si>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waste</t>
  </si>
  <si>
    <t>Total cost hazardous waste</t>
  </si>
  <si>
    <t>Montreal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</si>
</sst>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zoomScale="85" zoomScaleNormal="85" workbookViewId="0">
      <selection activeCell="A9" sqref="A9"/>
    </sheetView>
  </sheetViews>
  <sheetFormatPr defaultRowHeight="14.5" x14ac:dyDescent="0.35"/>
  <cols>
    <col min="1" max="1" width="9.81640625" bestFit="1" customWidth="1"/>
    <col min="2" max="2" width="6.7265625" bestFit="1" customWidth="1"/>
    <col min="3" max="3" width="5" bestFit="1" customWidth="1"/>
    <col min="4" max="4" width="23.54296875" style="5" bestFit="1" customWidth="1"/>
    <col min="5" max="5" width="18.453125" style="5" bestFit="1" customWidth="1"/>
    <col min="6" max="6" width="27.7265625" style="5" bestFit="1" customWidth="1"/>
    <col min="7" max="7" width="22.453125" style="5" bestFit="1" customWidth="1"/>
    <col min="8" max="8" width="22.7265625" style="5" bestFit="1" customWidth="1"/>
    <col min="9" max="9" width="17.7265625" style="5" bestFit="1" customWidth="1"/>
    <col min="10" max="12" width="25.7265625" style="5" customWidth="1"/>
    <col min="13" max="13" width="19.453125" style="5" bestFit="1" customWidth="1"/>
    <col min="14" max="17" width="25.7265625" style="5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5">
      <c r="A2" t="s">
        <v>17</v>
      </c>
      <c r="B2" s="1">
        <v>1</v>
      </c>
      <c r="C2" s="1">
        <v>2022</v>
      </c>
      <c r="D2" s="5">
        <v>6</v>
      </c>
      <c r="E2" s="5">
        <v>150</v>
      </c>
      <c r="F2" s="5">
        <v>340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N2" s="5">
        <v>6.81</v>
      </c>
      <c r="O2" s="5">
        <v>1431</v>
      </c>
      <c r="P2" s="5">
        <v>0</v>
      </c>
      <c r="Q2" s="5">
        <v>0</v>
      </c>
    </row>
    <row r="3" spans="1:17" x14ac:dyDescent="0.35">
      <c r="A3" t="s">
        <v>17</v>
      </c>
      <c r="B3" s="1">
        <v>2</v>
      </c>
      <c r="C3" s="1">
        <v>2022</v>
      </c>
      <c r="D3" s="5">
        <v>9</v>
      </c>
      <c r="E3" s="5">
        <v>150</v>
      </c>
      <c r="F3" s="5">
        <v>430</v>
      </c>
      <c r="H3" s="5">
        <v>0</v>
      </c>
      <c r="I3" s="5">
        <v>0</v>
      </c>
      <c r="J3" s="5">
        <v>26</v>
      </c>
      <c r="K3" s="5">
        <v>140</v>
      </c>
      <c r="L3" s="5">
        <v>0</v>
      </c>
      <c r="M3" s="5">
        <v>0</v>
      </c>
      <c r="N3" s="5">
        <v>7.12</v>
      </c>
      <c r="O3" s="5">
        <v>1233</v>
      </c>
      <c r="P3" s="5">
        <v>0</v>
      </c>
      <c r="Q3" s="5">
        <v>0</v>
      </c>
    </row>
    <row r="4" spans="1:17" x14ac:dyDescent="0.35">
      <c r="A4" t="s">
        <v>17</v>
      </c>
      <c r="B4" s="1">
        <v>3</v>
      </c>
      <c r="C4" s="1">
        <v>2022</v>
      </c>
      <c r="D4" s="5">
        <v>11</v>
      </c>
      <c r="E4" s="5">
        <v>150</v>
      </c>
      <c r="F4" s="5">
        <v>7790</v>
      </c>
      <c r="G4" s="5">
        <v>1050</v>
      </c>
      <c r="H4" s="5">
        <v>0</v>
      </c>
      <c r="I4" s="5">
        <v>0</v>
      </c>
      <c r="J4" s="5">
        <v>52</v>
      </c>
      <c r="K4" s="5">
        <v>401</v>
      </c>
      <c r="L4" s="5">
        <v>0</v>
      </c>
      <c r="M4" s="5">
        <v>0</v>
      </c>
      <c r="N4" s="5">
        <v>20.010000000000002</v>
      </c>
      <c r="O4" s="5">
        <v>2660</v>
      </c>
      <c r="P4" s="5">
        <v>0</v>
      </c>
      <c r="Q4" s="5">
        <v>0</v>
      </c>
    </row>
    <row r="5" spans="1:17" x14ac:dyDescent="0.35">
      <c r="A5" t="s">
        <v>17</v>
      </c>
      <c r="B5" s="2">
        <v>4</v>
      </c>
      <c r="C5" s="1">
        <v>2022</v>
      </c>
      <c r="D5" s="5">
        <v>12</v>
      </c>
      <c r="E5" s="5">
        <v>150</v>
      </c>
      <c r="F5" s="5">
        <v>510</v>
      </c>
      <c r="G5" s="5">
        <v>1050</v>
      </c>
      <c r="H5" s="5">
        <v>0</v>
      </c>
      <c r="I5" s="5">
        <v>0</v>
      </c>
      <c r="J5" s="5">
        <v>60</v>
      </c>
      <c r="K5" s="5">
        <v>323</v>
      </c>
      <c r="L5" s="5">
        <v>0</v>
      </c>
      <c r="M5" s="5">
        <v>0</v>
      </c>
      <c r="N5" s="5">
        <v>13.76</v>
      </c>
      <c r="O5" s="5">
        <v>2203</v>
      </c>
      <c r="P5" s="5">
        <v>0</v>
      </c>
      <c r="Q5" s="5">
        <v>0</v>
      </c>
    </row>
    <row r="6" spans="1:17" x14ac:dyDescent="0.35">
      <c r="A6" t="s">
        <v>17</v>
      </c>
      <c r="B6" s="1">
        <v>5</v>
      </c>
      <c r="C6" s="1">
        <v>2022</v>
      </c>
      <c r="D6" s="5">
        <v>12</v>
      </c>
      <c r="E6" s="5">
        <v>150</v>
      </c>
      <c r="F6" s="5">
        <v>3500</v>
      </c>
      <c r="G6" s="5">
        <v>1050</v>
      </c>
      <c r="H6" s="5">
        <v>0</v>
      </c>
      <c r="I6" s="5">
        <v>0</v>
      </c>
      <c r="J6" s="5">
        <v>75</v>
      </c>
      <c r="K6" s="5">
        <v>351</v>
      </c>
      <c r="L6" s="5">
        <v>0</v>
      </c>
      <c r="M6" s="5">
        <v>0</v>
      </c>
      <c r="N6" s="5">
        <v>22.98</v>
      </c>
      <c r="O6" s="5">
        <v>2393</v>
      </c>
      <c r="P6" s="5">
        <v>0</v>
      </c>
      <c r="Q6" s="5">
        <v>0</v>
      </c>
    </row>
    <row r="7" spans="1:17" x14ac:dyDescent="0.35">
      <c r="A7" t="s">
        <v>17</v>
      </c>
      <c r="B7" s="1">
        <v>6</v>
      </c>
      <c r="C7" s="1">
        <v>2022</v>
      </c>
      <c r="D7" s="5">
        <v>12</v>
      </c>
      <c r="E7" s="5">
        <v>150</v>
      </c>
      <c r="F7" s="5">
        <f>SUM(7460+7325)</f>
        <v>14785</v>
      </c>
      <c r="G7" s="5">
        <v>2100</v>
      </c>
      <c r="H7" s="5">
        <v>22</v>
      </c>
      <c r="I7" s="5">
        <v>0</v>
      </c>
      <c r="J7" s="5">
        <v>60</v>
      </c>
      <c r="K7" s="5">
        <v>336</v>
      </c>
      <c r="L7" s="5">
        <v>0</v>
      </c>
      <c r="M7" s="5">
        <v>0</v>
      </c>
      <c r="N7" s="5">
        <v>22.42</v>
      </c>
      <c r="O7" s="5">
        <v>3142</v>
      </c>
      <c r="P7" s="5">
        <v>0</v>
      </c>
      <c r="Q7" s="5">
        <v>0</v>
      </c>
    </row>
    <row r="8" spans="1:17" x14ac:dyDescent="0.35">
      <c r="A8" t="s">
        <v>17</v>
      </c>
      <c r="B8" s="1">
        <v>7</v>
      </c>
      <c r="C8" s="1">
        <v>2022</v>
      </c>
      <c r="D8" s="5">
        <v>12</v>
      </c>
      <c r="E8" s="5">
        <v>150</v>
      </c>
      <c r="F8" s="5">
        <f>SUM(7325+840)</f>
        <v>8165</v>
      </c>
      <c r="G8" s="5">
        <v>1050</v>
      </c>
      <c r="H8" s="5">
        <v>0</v>
      </c>
      <c r="I8" s="5">
        <v>0</v>
      </c>
      <c r="J8" s="5">
        <v>60</v>
      </c>
      <c r="K8" s="5">
        <v>322</v>
      </c>
      <c r="L8" s="5">
        <v>0</v>
      </c>
      <c r="M8" s="5">
        <v>0</v>
      </c>
      <c r="N8" s="5">
        <v>18.559999999999999</v>
      </c>
      <c r="O8" s="5">
        <v>3130.95</v>
      </c>
      <c r="P8" s="5">
        <v>0</v>
      </c>
      <c r="Q8" s="5">
        <v>0</v>
      </c>
    </row>
    <row r="9" spans="1:17" x14ac:dyDescent="0.35">
      <c r="A9" t="s">
        <v>17</v>
      </c>
      <c r="B9" s="1">
        <v>8</v>
      </c>
      <c r="C9" s="1">
        <v>2022</v>
      </c>
      <c r="D9" s="5">
        <v>11</v>
      </c>
      <c r="E9" s="5">
        <v>150</v>
      </c>
      <c r="F9" s="5">
        <v>1340</v>
      </c>
      <c r="G9" s="5">
        <v>1050</v>
      </c>
      <c r="H9" s="5">
        <v>0</v>
      </c>
      <c r="I9" s="5">
        <v>0</v>
      </c>
      <c r="J9" s="5">
        <v>75</v>
      </c>
      <c r="K9" s="5">
        <f>SUM(5*70.2)</f>
        <v>351</v>
      </c>
      <c r="L9" s="5">
        <v>588.12</v>
      </c>
      <c r="M9" s="5">
        <f>SUM(62.4+49.92+124.8)</f>
        <v>237.12</v>
      </c>
      <c r="N9" s="5">
        <v>27.6</v>
      </c>
      <c r="O9" s="5">
        <v>4303.05</v>
      </c>
      <c r="P9" s="5">
        <v>0</v>
      </c>
      <c r="Q9" s="5">
        <v>0</v>
      </c>
    </row>
    <row r="10" spans="1:17" x14ac:dyDescent="0.35">
      <c r="A10" t="s">
        <v>17</v>
      </c>
      <c r="B10" s="1">
        <v>9</v>
      </c>
      <c r="C10" s="1">
        <v>2022</v>
      </c>
    </row>
    <row r="11" spans="1:17" x14ac:dyDescent="0.35">
      <c r="A11" t="s">
        <v>17</v>
      </c>
      <c r="B11" s="1">
        <v>10</v>
      </c>
      <c r="C11" s="1">
        <v>2022</v>
      </c>
    </row>
    <row r="12" spans="1:17" x14ac:dyDescent="0.35">
      <c r="A12" t="s">
        <v>17</v>
      </c>
      <c r="B12" s="1">
        <v>11</v>
      </c>
      <c r="C12" s="1">
        <v>2022</v>
      </c>
    </row>
    <row r="13" spans="1:17" x14ac:dyDescent="0.35">
      <c r="A13" t="s">
        <v>17</v>
      </c>
      <c r="B13" s="1">
        <v>12</v>
      </c>
      <c r="C13" s="1">
        <v>2022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Joël Gosselin</cp:lastModifiedBy>
  <cp:lastPrinted>2022-04-08T14:42:42Z</cp:lastPrinted>
  <dcterms:created xsi:type="dcterms:W3CDTF">2022-01-28T13:49:17Z</dcterms:created>
  <dcterms:modified xsi:type="dcterms:W3CDTF">2022-09-11T13:05:07Z</dcterms:modified>
</cp:coreProperties>
</file>