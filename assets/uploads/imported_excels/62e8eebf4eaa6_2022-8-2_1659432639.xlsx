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4145" documentId="8_{5B502D95-7A37-4D5A-8B6B-374537CC2F26}" xr6:coauthVersionLast="47" xr6:coauthVersionMax="47" xr10:uidLastSave="{606FEEA3-93F9-400A-81BA-9F01FB1A260C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0" i="2" l="1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G4" i="4"/>
  <c r="E4" i="4"/>
  <c r="C4" i="4"/>
  <c r="P36" i="4"/>
  <c r="P37" i="4"/>
  <c r="P38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I25" i="2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L30" i="22"/>
  <c r="L31" i="22"/>
  <c r="L32" i="22"/>
  <c r="K29" i="22"/>
  <c r="K30" i="22"/>
  <c r="K31" i="22"/>
  <c r="K32" i="22"/>
  <c r="G30" i="22"/>
  <c r="G31" i="22"/>
  <c r="G32" i="22"/>
  <c r="B31" i="21"/>
  <c r="B32" i="21"/>
  <c r="B31" i="22"/>
  <c r="B32" i="22"/>
  <c r="G32" i="21"/>
  <c r="F32" i="21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E32" i="21" l="1"/>
  <c r="E32" i="22" s="1"/>
  <c r="Q40" i="2"/>
  <c r="O40" i="2"/>
  <c r="E31" i="2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1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1" i="2"/>
  <c r="I32" i="22"/>
  <c r="H40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<sst xmlns="http://schemas.openxmlformats.org/spreadsheetml/2006/main" count="484" uniqueCount="187">
  <si>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</si>
  <si>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</si>
  <si>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</si>
  <si>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</si>
  <si>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</si>
  <si>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</si>
  <si>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</si>
  <si>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</si>
  <si>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</si>
  <si>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</si>
  <si>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</si>
  <si>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</si>
  <si>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</si>
  <si>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</si>
  <si>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</si>
  <si>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</si>
  <si>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</si>
  <si>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</si>
  <si>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</si>
  <si>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</si>
  <si>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</si>
  <si>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</si>
  <si>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</si>
  <si>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</si>
  <si>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</si>
  <si>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</si>
  <si>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</si>
  <si>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</si>
  <si>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</si>
  <si>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</si>
  <si>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</si>
  <si>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</si>
  <si>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</si>
  <si>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</si>
  <si>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</si>
  <si>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</si>
  <si>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</si>
  <si>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</si>
  <si>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</si>
  <si>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</si>
  <si>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</si>
  <si>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</si>
  <si>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</si>
  <si>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</si>
  <si>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</si>
  <si>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</si>
  <si>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</si>
  <si>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</si>
  <si>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</si>
  <si>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</si>
  <si>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</si>
  <si>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</si>
  <si>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</si>
  <si>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</si>
  <si>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</si>
  <si>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</si>
  <si>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</si>
  <si>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</si>
  <si>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</si>
  <si>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</si>
  <si>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</si>
  <si>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</si>
  <si>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</si>
  <si>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</si>
  <si>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</si>
  <si>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</si>
  <si>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</si>
  <si>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</si>
  <si>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</si>
  <si>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</si>
  <si>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</si>
  <si>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</si>
  <si>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</si>
  <si>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</si>
  <si>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</si>
  <si>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</si>
  <si>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</si>
  <si>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</si>
  <si>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</si>
  <si>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</si>
  <si>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</si>
  <si>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</si>
  <si>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</si>
  <si>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</si>
  <si>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</si>
  <si>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</si>
  <si>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</si>
  <si>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</si>
  <si>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</si>
  <si>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</si>
  <si>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</si>
  <si>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</si>
  <si>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</si>
  <si>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</si>
  <si>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</si>
  <si>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</si>
  <si>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</si>
  <si>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</si>
  <si>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</si>
  <si>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</si>
  <si>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</si>
  <si>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</si>
  <si>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</si>
  <si>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</si>
  <si>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</si>
  <si>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</si>
  <si>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</si>
  <si>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</si>
  <si>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</si>
  <si>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</si>
  <si>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</si>
  <si>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</si>
  <si>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</si>
  <si>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</si>
  <si>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</si>
  <si>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</si>
  <si>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</si>
  <si>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</si>
  <si>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</si>
  <si>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</si>
  <si>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</si>
  <si>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</si>
  <si>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</si>
  <si>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</si>
  <si>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</si>
  <si>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</si>
  <si>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</si>
  <si>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</si>
  <si>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</si>
  <si>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</si>
  <si>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</si>
  <si>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AOUT 2022</t>
  </si>
  <si>
    <t>30jours</t>
  </si>
  <si>
    <t>Estimation de la consommation d'Eau Sanitaire AOUT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</si>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</sst>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175</c:v>
                </c:pt>
                <c:pt idx="1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5304</c:v>
                </c:pt>
                <c:pt idx="1">
                  <c:v>5392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10570</c:v>
                </c:pt>
                <c:pt idx="1">
                  <c:v>12346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4675</c:v>
                </c:pt>
                <c:pt idx="1">
                  <c:v>4772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79140.881010000012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5" workbookViewId="0">
      <selection activeCell="C2" sqref="C2:C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8</v>
      </c>
      <c r="D2" s="141">
        <v>2022</v>
      </c>
      <c r="E2" s="137">
        <f>submetering!E2+submetering!F2+submetering!G2</f>
        <v>20549</v>
      </c>
      <c r="F2" s="134">
        <v>1.05</v>
      </c>
      <c r="G2" s="134">
        <f>'Consommation mensuel énergie'!V10</f>
        <v>159.99605</v>
      </c>
      <c r="H2" s="134">
        <v>11.766</v>
      </c>
      <c r="I2" s="134">
        <f>'Consommation mensuel énergie'!F10</f>
        <v>175</v>
      </c>
      <c r="J2" s="134">
        <v>11.4</v>
      </c>
      <c r="K2" s="137">
        <f>'Consommation mensuel énergie'!D10</f>
        <v>149</v>
      </c>
      <c r="L2" s="137">
        <f>'Consommation mensuel énergie'!E10</f>
        <v>262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submetering!E3+submetering!F3+submetering!G3</f>
        <v>17738</v>
      </c>
      <c r="F3" s="134">
        <v>1.05</v>
      </c>
      <c r="G3" s="134">
        <f>'Consommation mensuel énergie'!V11</f>
        <v>0</v>
      </c>
      <c r="H3" s="134">
        <v>11.766</v>
      </c>
      <c r="I3" s="134">
        <f>'Consommation mensuel énergie'!F11</f>
        <v>157</v>
      </c>
      <c r="J3" s="134">
        <v>11.4</v>
      </c>
      <c r="K3" s="137">
        <f>'Consommation mensuel énergie'!D11</f>
        <v>0</v>
      </c>
      <c r="L3" s="137">
        <f>'Consommation mensuel énergie'!E11</f>
        <v>0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submetering!E4+submetering!F4+submetering!G4</f>
        <v>0</v>
      </c>
      <c r="F4" s="134">
        <v>1.05</v>
      </c>
      <c r="G4" s="134">
        <f>'Consommation mensuel énergie'!V12</f>
        <v>0</v>
      </c>
      <c r="H4" s="134">
        <v>11.766</v>
      </c>
      <c r="I4" s="134">
        <f>'Consommation mensuel énergie'!F12</f>
        <v>0</v>
      </c>
      <c r="J4" s="134">
        <v>11.4</v>
      </c>
      <c r="K4" s="137">
        <f>'Consommation mensuel énergie'!D12</f>
        <v>0</v>
      </c>
      <c r="L4" s="137">
        <f>'Consommation mensuel énergie'!E12</f>
        <v>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submetering!E5+submetering!F5+submetering!G5</f>
        <v>0</v>
      </c>
      <c r="F5" s="134">
        <v>1.05</v>
      </c>
      <c r="G5" s="134">
        <f>'Consommation mensuel énergie'!V13</f>
        <v>0</v>
      </c>
      <c r="H5" s="134">
        <v>11.766</v>
      </c>
      <c r="I5" s="134">
        <f>'Consommation mensuel énergie'!F13</f>
        <v>0</v>
      </c>
      <c r="J5" s="134">
        <v>11.4</v>
      </c>
      <c r="K5" s="137">
        <f>'Consommation mensuel énergie'!D13</f>
        <v>0</v>
      </c>
      <c r="L5" s="137">
        <f>'Consommation mensuel énergie'!E13</f>
        <v>0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submetering!E6+submetering!F6+submetering!G6</f>
        <v>0</v>
      </c>
      <c r="F6" s="134">
        <v>1.05</v>
      </c>
      <c r="G6" s="134">
        <f>'Consommation mensuel énergie'!V14</f>
        <v>0</v>
      </c>
      <c r="H6" s="134">
        <v>11.766</v>
      </c>
      <c r="I6" s="134">
        <f>'Consommation mensuel énergie'!F14</f>
        <v>0</v>
      </c>
      <c r="J6" s="134">
        <v>11.4</v>
      </c>
      <c r="K6" s="137">
        <f>'Consommation mensuel énergie'!D14</f>
        <v>0</v>
      </c>
      <c r="L6" s="137">
        <f>'Consommation mensuel énergie'!E14</f>
        <v>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submetering!E7+submetering!F7+submetering!G7</f>
        <v>0</v>
      </c>
      <c r="F7" s="134">
        <v>1.05</v>
      </c>
      <c r="G7" s="134">
        <f>'Consommation mensuel énergie'!V15</f>
        <v>0</v>
      </c>
      <c r="H7" s="134">
        <v>11.766</v>
      </c>
      <c r="I7" s="134">
        <f>'Consommation mensuel énergie'!F15</f>
        <v>0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11.766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11.766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énergie'!V18</f>
        <v>0</v>
      </c>
      <c r="H10" s="134">
        <v>11.766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énergie'!V19</f>
        <v>0</v>
      </c>
      <c r="H11" s="134">
        <v>11.766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énergie'!V20</f>
        <v>0</v>
      </c>
      <c r="H12" s="134">
        <v>11.766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énergie'!V21</f>
        <v>0</v>
      </c>
      <c r="H13" s="134">
        <v>11.766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énergie'!V22</f>
        <v>0</v>
      </c>
      <c r="H14" s="134">
        <v>11.766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énergie'!V23</f>
        <v>0</v>
      </c>
      <c r="H15" s="134">
        <v>11.766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11.766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11.766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11.766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11.766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11.766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11.766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11.766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11.766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11.766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11.766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11.766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11.766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11.766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11.766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11.766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11.766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submetering!E32+submetering!F32+submetering!G32</f>
        <v>0</v>
      </c>
      <c r="F32" s="134">
        <v>1.05</v>
      </c>
      <c r="G32" s="134">
        <f>'Consommation mensuel énergie'!V40</f>
        <v>0</v>
      </c>
      <c r="H32" s="134">
        <v>11.766</v>
      </c>
      <c r="I32" s="134">
        <f>'Consommation mensuel énergie'!F40</f>
        <v>0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C2" sqref="C2:C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8</v>
      </c>
      <c r="D2" s="141">
        <v>2022</v>
      </c>
      <c r="E2" s="137">
        <f>'Consommation mensuel énergie'!L10</f>
        <v>5304</v>
      </c>
      <c r="F2" s="137">
        <f>'Consommation mensuel énergie'!M10</f>
        <v>10570</v>
      </c>
      <c r="G2" s="137">
        <f>'Consommation mensuel énergie'!N10</f>
        <v>4675</v>
      </c>
      <c r="H2" s="137">
        <f>'Consommation mensuel énergie'!D10</f>
        <v>149</v>
      </c>
      <c r="I2" s="137">
        <f>'Consommation mensuel énergie'!E10</f>
        <v>262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'Consommation mensuel énergie'!L11</f>
        <v>5392</v>
      </c>
      <c r="F3" s="137">
        <f>'Consommation mensuel énergie'!M11</f>
        <v>12346</v>
      </c>
      <c r="G3" s="137">
        <f>'Consommation mensuel énergie'!N14</f>
        <v>0</v>
      </c>
      <c r="H3" s="137">
        <f>'Consommation mensuel énergie'!D11</f>
        <v>0</v>
      </c>
      <c r="I3" s="137">
        <f>'Consommation mensuel énergie'!E11</f>
        <v>0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'Consommation mensuel énergie'!L12</f>
        <v>0</v>
      </c>
      <c r="F4" s="137">
        <f>'Consommation mensuel énergie'!M12</f>
        <v>0</v>
      </c>
      <c r="G4" s="137">
        <f>'Consommation mensuel énergie'!N12</f>
        <v>0</v>
      </c>
      <c r="H4" s="137">
        <f>'Consommation mensuel énergie'!D12</f>
        <v>0</v>
      </c>
      <c r="I4" s="137">
        <f>'Consommation mensuel énergie'!E12</f>
        <v>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'Consommation mensuel énergie'!L13</f>
        <v>0</v>
      </c>
      <c r="F5" s="137">
        <f>'Consommation mensuel énergie'!M13</f>
        <v>0</v>
      </c>
      <c r="G5" s="137">
        <f>'Consommation mensuel énergie'!N13</f>
        <v>0</v>
      </c>
      <c r="H5" s="137">
        <f>'Consommation mensuel énergie'!D13</f>
        <v>0</v>
      </c>
      <c r="I5" s="137">
        <f>'Consommation mensuel énergie'!E13</f>
        <v>0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'Consommation mensuel énergie'!L14</f>
        <v>0</v>
      </c>
      <c r="F6" s="137">
        <f>'Consommation mensuel énergie'!M14</f>
        <v>0</v>
      </c>
      <c r="G6" s="137">
        <f>'Consommation mensuel énergie'!N14</f>
        <v>0</v>
      </c>
      <c r="H6" s="137">
        <f>'Consommation mensuel énergie'!D14</f>
        <v>0</v>
      </c>
      <c r="I6" s="137">
        <f>'Consommation mensuel énergie'!E14</f>
        <v>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'Consommation mensuel énergie'!L15</f>
        <v>0</v>
      </c>
      <c r="F7" s="137">
        <f>'Consommation mensuel énergie'!M15</f>
        <v>0</v>
      </c>
      <c r="G7" s="137">
        <f>'Consommation mensuel énergie'!N15</f>
        <v>0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F39" activePane="bottomRight" state="frozen"/>
      <selection pane="bottomRight" activeCell="E11" sqref="E1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44774</v>
      </c>
      <c r="C10" s="7"/>
      <c r="D10" s="143">
        <v>149</v>
      </c>
      <c r="E10" s="143">
        <v>262</v>
      </c>
      <c r="F10" s="13">
        <f>'Suivi EAU-ELEC'!E9</f>
        <v>175</v>
      </c>
      <c r="G10" s="11"/>
      <c r="H10" s="168">
        <f>F10*8.79</f>
        <v>1538.2499999999998</v>
      </c>
      <c r="I10" s="169"/>
      <c r="J10" s="169"/>
      <c r="K10" s="60">
        <v>42278</v>
      </c>
      <c r="L10" s="90">
        <f>'Suivi EAU-ELEC'!G9</f>
        <v>5304</v>
      </c>
      <c r="M10" s="91">
        <f>'Suivi EAU-ELEC'!I9</f>
        <v>10570</v>
      </c>
      <c r="N10" s="91">
        <f>'Suivi EAU-ELEC'!K9</f>
        <v>4675</v>
      </c>
      <c r="O10" s="91">
        <f>L10+M10+N10</f>
        <v>20549</v>
      </c>
      <c r="P10" s="11"/>
      <c r="Q10" s="34">
        <f>L10*0.6985+M10*0.9514+N10*1.3304</f>
        <v>19980.761999999999</v>
      </c>
      <c r="R10" s="11"/>
      <c r="S10" s="28"/>
      <c r="T10" s="11"/>
      <c r="U10" s="28"/>
      <c r="V10" s="146">
        <f>'Suvi Gaz'!O4</f>
        <v>159.99605</v>
      </c>
      <c r="W10" s="11"/>
      <c r="X10" s="34">
        <f>V10*11.766</f>
        <v>1882.5135243</v>
      </c>
    </row>
    <row r="11" spans="1:24" ht="32.25" customHeight="1">
      <c r="A11" s="2"/>
      <c r="B11" s="6">
        <v>44775</v>
      </c>
      <c r="C11" s="7"/>
      <c r="D11" s="143"/>
      <c r="E11" s="143"/>
      <c r="F11" s="13">
        <f>'Suivi EAU-ELEC'!E10</f>
        <v>157</v>
      </c>
      <c r="G11" s="11"/>
      <c r="H11" s="168">
        <f t="shared" ref="H11:H21" si="0">F11*8.79</f>
        <v>1380.03</v>
      </c>
      <c r="I11" s="169"/>
      <c r="J11" s="169"/>
      <c r="K11" s="60">
        <v>42279</v>
      </c>
      <c r="L11" s="90">
        <f>'Suivi EAU-ELEC'!G10</f>
        <v>5392</v>
      </c>
      <c r="M11" s="91">
        <f>'Suivi EAU-ELEC'!I10</f>
        <v>12346</v>
      </c>
      <c r="N11" s="91">
        <f>'Suivi EAU-ELEC'!K10</f>
        <v>4772</v>
      </c>
      <c r="O11" s="91">
        <f>L11+M11+N11</f>
        <v>22510</v>
      </c>
      <c r="P11" s="11"/>
      <c r="Q11" s="34">
        <f>L11*0.6985+M11*0.9514+N14*1.3304</f>
        <v>15512.296400000001</v>
      </c>
      <c r="R11" s="11"/>
      <c r="S11" s="28"/>
      <c r="T11" s="11"/>
      <c r="U11" s="28"/>
      <c r="V11" s="146"/>
      <c r="W11" s="11"/>
      <c r="X11" s="34">
        <f t="shared" ref="X11:X40" si="1">V11*11.766</f>
        <v>0</v>
      </c>
    </row>
    <row r="12" spans="1:24" ht="32.25" customHeight="1">
      <c r="A12" s="2"/>
      <c r="B12" s="6">
        <v>44776</v>
      </c>
      <c r="C12" s="7"/>
      <c r="D12" s="143"/>
      <c r="E12" s="143"/>
      <c r="F12" s="13"/>
      <c r="G12" s="11"/>
      <c r="H12" s="168">
        <f t="shared" si="0"/>
        <v>0</v>
      </c>
      <c r="I12" s="169"/>
      <c r="J12" s="169"/>
      <c r="K12" s="60">
        <v>42280</v>
      </c>
      <c r="L12" s="90"/>
      <c r="M12" s="91"/>
      <c r="N12" s="91"/>
      <c r="O12" s="91">
        <f>L12+M12+N12</f>
        <v>0</v>
      </c>
      <c r="P12" s="11"/>
      <c r="Q12" s="34">
        <f>L12*0.6985+M12*0.9514+N12*1.3304</f>
        <v>0</v>
      </c>
      <c r="R12" s="11"/>
      <c r="S12" s="28"/>
      <c r="T12" s="11"/>
      <c r="U12" s="28"/>
      <c r="V12" s="146"/>
      <c r="W12" s="11"/>
      <c r="X12" s="34">
        <f t="shared" si="1"/>
        <v>0</v>
      </c>
    </row>
    <row r="13" spans="1:24" ht="32.25" customHeight="1">
      <c r="A13" s="2"/>
      <c r="B13" s="6">
        <v>44777</v>
      </c>
      <c r="C13" s="7"/>
      <c r="D13" s="143"/>
      <c r="E13" s="143"/>
      <c r="F13" s="13"/>
      <c r="G13" s="11"/>
      <c r="H13" s="168">
        <f t="shared" si="0"/>
        <v>0</v>
      </c>
      <c r="I13" s="169"/>
      <c r="J13" s="169"/>
      <c r="K13" s="60">
        <v>42281</v>
      </c>
      <c r="L13" s="90"/>
      <c r="M13" s="91"/>
      <c r="N13" s="91"/>
      <c r="O13" s="91">
        <f t="shared" ref="O13:O36" si="2">L13+M13+N13</f>
        <v>0</v>
      </c>
      <c r="P13" s="11"/>
      <c r="Q13" s="34">
        <f t="shared" ref="Q13:Q36" si="3">L13*0.6985+M13*0.9514+N13*1.3304</f>
        <v>0</v>
      </c>
      <c r="R13" s="11"/>
      <c r="S13" s="28"/>
      <c r="T13" s="11"/>
      <c r="U13" s="28"/>
      <c r="V13" s="146"/>
      <c r="W13" s="11"/>
      <c r="X13" s="34">
        <f t="shared" si="1"/>
        <v>0</v>
      </c>
    </row>
    <row r="14" spans="1:24" ht="32.25" customHeight="1">
      <c r="A14" s="2"/>
      <c r="B14" s="6">
        <v>44778</v>
      </c>
      <c r="C14" s="7"/>
      <c r="D14" s="143"/>
      <c r="E14" s="143"/>
      <c r="F14" s="13"/>
      <c r="G14" s="12"/>
      <c r="H14" s="168">
        <f t="shared" si="0"/>
        <v>0</v>
      </c>
      <c r="I14" s="169"/>
      <c r="J14" s="169"/>
      <c r="K14" s="60">
        <v>42282</v>
      </c>
      <c r="L14" s="90"/>
      <c r="M14" s="91"/>
      <c r="N14" s="91"/>
      <c r="O14" s="91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46"/>
      <c r="W14" s="11"/>
      <c r="X14" s="34">
        <f t="shared" si="1"/>
        <v>0</v>
      </c>
    </row>
    <row r="15" spans="1:24" ht="32.25" customHeight="1">
      <c r="A15" s="5"/>
      <c r="B15" s="6">
        <v>44779</v>
      </c>
      <c r="C15" s="7"/>
      <c r="D15" s="143"/>
      <c r="E15" s="143"/>
      <c r="F15" s="13"/>
      <c r="G15" s="11"/>
      <c r="H15" s="168">
        <f t="shared" si="0"/>
        <v>0</v>
      </c>
      <c r="I15" s="169"/>
      <c r="J15" s="169"/>
      <c r="K15" s="60">
        <v>42283</v>
      </c>
      <c r="L15" s="90"/>
      <c r="M15" s="91"/>
      <c r="N15" s="91"/>
      <c r="O15" s="91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46"/>
      <c r="W15" s="11"/>
      <c r="X15" s="34">
        <f t="shared" si="1"/>
        <v>0</v>
      </c>
    </row>
    <row r="16" spans="1:24" ht="32.25" customHeight="1">
      <c r="A16" s="5"/>
      <c r="B16" s="6">
        <v>44780</v>
      </c>
      <c r="C16" s="7"/>
      <c r="D16" s="143"/>
      <c r="E16" s="143"/>
      <c r="F16" s="13"/>
      <c r="G16" s="11"/>
      <c r="H16" s="168">
        <f t="shared" si="0"/>
        <v>0</v>
      </c>
      <c r="I16" s="169"/>
      <c r="J16" s="169"/>
      <c r="K16" s="60">
        <v>42284</v>
      </c>
      <c r="L16" s="90"/>
      <c r="M16" s="91"/>
      <c r="N16" s="91"/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44781</v>
      </c>
      <c r="C17" s="7"/>
      <c r="D17" s="143"/>
      <c r="E17" s="143"/>
      <c r="F17" s="13"/>
      <c r="G17" s="11"/>
      <c r="H17" s="168">
        <f t="shared" si="0"/>
        <v>0</v>
      </c>
      <c r="I17" s="169"/>
      <c r="J17" s="169"/>
      <c r="K17" s="60">
        <v>42285</v>
      </c>
      <c r="L17" s="90"/>
      <c r="M17" s="91"/>
      <c r="N17" s="91"/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44782</v>
      </c>
      <c r="C18" s="7"/>
      <c r="D18" s="143"/>
      <c r="E18" s="143"/>
      <c r="F18" s="13"/>
      <c r="G18" s="11"/>
      <c r="H18" s="168">
        <f t="shared" si="0"/>
        <v>0</v>
      </c>
      <c r="I18" s="169"/>
      <c r="J18" s="169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44783</v>
      </c>
      <c r="C19" s="7"/>
      <c r="D19" s="143"/>
      <c r="E19" s="143"/>
      <c r="F19" s="13"/>
      <c r="G19" s="12"/>
      <c r="H19" s="168">
        <f t="shared" si="0"/>
        <v>0</v>
      </c>
      <c r="I19" s="169"/>
      <c r="J19" s="169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44784</v>
      </c>
      <c r="C20" s="7"/>
      <c r="D20" s="143"/>
      <c r="E20" s="143"/>
      <c r="F20" s="13"/>
      <c r="G20" s="12"/>
      <c r="H20" s="168">
        <f t="shared" si="0"/>
        <v>0</v>
      </c>
      <c r="I20" s="169"/>
      <c r="J20" s="169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44785</v>
      </c>
      <c r="C21" s="7"/>
      <c r="D21" s="143"/>
      <c r="E21" s="143"/>
      <c r="F21" s="13"/>
      <c r="G21" s="12"/>
      <c r="H21" s="168">
        <f t="shared" si="0"/>
        <v>0</v>
      </c>
      <c r="I21" s="169"/>
      <c r="J21" s="169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44786</v>
      </c>
      <c r="C22" s="7"/>
      <c r="D22" s="143"/>
      <c r="E22" s="143"/>
      <c r="F22" s="13"/>
      <c r="G22" s="12"/>
      <c r="H22" s="168">
        <f t="shared" ref="H22:H35" si="4">F22*8.79</f>
        <v>0</v>
      </c>
      <c r="I22" s="169"/>
      <c r="J22" s="16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44787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44788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44789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44790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44791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44792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44793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44794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44795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44796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44797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44798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44799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44800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44801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44802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44803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:O40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44804</v>
      </c>
      <c r="C40" s="7"/>
      <c r="D40" s="143"/>
      <c r="E40" s="143"/>
      <c r="F40" s="13"/>
      <c r="G40" s="11"/>
      <c r="H40" s="168">
        <f>F40*8.79</f>
        <v>0</v>
      </c>
      <c r="I40" s="169"/>
      <c r="J40" s="169"/>
      <c r="K40" s="60"/>
      <c r="L40" s="90"/>
      <c r="M40" s="91"/>
      <c r="N40" s="91"/>
      <c r="O40" s="91">
        <f t="shared" si="6"/>
        <v>0</v>
      </c>
      <c r="P40" s="11"/>
      <c r="Q40" s="34">
        <f t="shared" si="7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149</v>
      </c>
      <c r="E41" s="8">
        <f>SUM(E10:E40)</f>
        <v>262</v>
      </c>
      <c r="F41" s="152">
        <f>SUM(F10:F40)</f>
        <v>332</v>
      </c>
      <c r="G41" s="1"/>
      <c r="H41" s="206">
        <f>SUM(H10:H40)</f>
        <v>2918.2799999999997</v>
      </c>
      <c r="I41" s="207"/>
      <c r="J41" s="208"/>
      <c r="K41" s="1"/>
      <c r="L41" s="53">
        <f>SUM(L10:L40)</f>
        <v>10696</v>
      </c>
      <c r="M41" s="53">
        <f>SUM(M10:M40)</f>
        <v>22916</v>
      </c>
      <c r="N41" s="54">
        <f>SUM(N10:N40)</f>
        <v>9447</v>
      </c>
      <c r="O41" s="55">
        <f>SUM(O10:O40)</f>
        <v>43059</v>
      </c>
      <c r="P41" s="31"/>
      <c r="Q41" s="34">
        <f t="shared" ref="Q40:Q41" si="8">L41*0.6985+M41*0.9514+N41*1.3304</f>
        <v>41841.727200000001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159.99605</v>
      </c>
      <c r="W41" s="31"/>
      <c r="X41" s="32">
        <f>SUM(X10:X40)</f>
        <v>1882.5135243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6" t="s">
        <v>33</v>
      </c>
      <c r="B43" s="187"/>
      <c r="C43" s="187"/>
      <c r="D43" s="187"/>
      <c r="E43" s="187"/>
      <c r="F43" s="188"/>
      <c r="G43" s="26"/>
      <c r="H43" s="27" t="s">
        <v>34</v>
      </c>
      <c r="I43" s="198" t="s">
        <v>35</v>
      </c>
      <c r="J43" s="199"/>
      <c r="K43" s="200"/>
      <c r="L43" s="229" t="s">
        <v>36</v>
      </c>
      <c r="M43" s="230"/>
      <c r="N43" s="186" t="s">
        <v>37</v>
      </c>
      <c r="O43" s="187"/>
      <c r="P43" s="187"/>
      <c r="Q43" s="187"/>
      <c r="R43" s="187"/>
      <c r="S43" s="187"/>
      <c r="T43" s="187"/>
      <c r="U43" s="187"/>
      <c r="V43" s="187"/>
      <c r="W43" s="187"/>
      <c r="X43" s="188"/>
    </row>
    <row r="44" spans="1:24" s="18" customFormat="1" ht="29.25" customHeight="1" thickBot="1">
      <c r="A44" s="223" t="s">
        <v>38</v>
      </c>
      <c r="B44" s="224"/>
      <c r="C44" s="225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0">
        <f>L41</f>
        <v>10696</v>
      </c>
      <c r="J44" s="221"/>
      <c r="K44" s="222"/>
      <c r="L44" s="204">
        <f>I44*H44</f>
        <v>7471.1559999999999</v>
      </c>
      <c r="M44" s="205"/>
      <c r="N44" s="177">
        <f>L44+L45+L46</f>
        <v>41841.727200000001</v>
      </c>
      <c r="O44" s="178"/>
      <c r="P44" s="178"/>
      <c r="Q44" s="178"/>
      <c r="R44" s="178"/>
      <c r="S44" s="178"/>
      <c r="T44" s="178"/>
      <c r="U44" s="178"/>
      <c r="V44" s="178"/>
      <c r="W44" s="178"/>
      <c r="X44" s="179"/>
    </row>
    <row r="45" spans="1:24" s="18" customFormat="1" ht="29.25" customHeight="1" thickBot="1">
      <c r="A45" s="226"/>
      <c r="B45" s="227"/>
      <c r="C45" s="228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0">
        <f>M41</f>
        <v>22916</v>
      </c>
      <c r="J45" s="221"/>
      <c r="K45" s="222"/>
      <c r="L45" s="204">
        <f>I45*H45</f>
        <v>21802.2824</v>
      </c>
      <c r="M45" s="205"/>
      <c r="N45" s="180"/>
      <c r="O45" s="181"/>
      <c r="P45" s="181"/>
      <c r="Q45" s="181"/>
      <c r="R45" s="181"/>
      <c r="S45" s="181"/>
      <c r="T45" s="181"/>
      <c r="U45" s="181"/>
      <c r="V45" s="181"/>
      <c r="W45" s="181"/>
      <c r="X45" s="182"/>
    </row>
    <row r="46" spans="1:24" s="18" customFormat="1" ht="24.75" customHeight="1" thickBot="1">
      <c r="A46" s="226"/>
      <c r="B46" s="227"/>
      <c r="C46" s="228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5">
        <f>N41</f>
        <v>9447</v>
      </c>
      <c r="J46" s="196"/>
      <c r="K46" s="197"/>
      <c r="L46" s="204">
        <f>I46*H46</f>
        <v>12568.2888</v>
      </c>
      <c r="M46" s="205"/>
      <c r="N46" s="183"/>
      <c r="O46" s="184"/>
      <c r="P46" s="184"/>
      <c r="Q46" s="184"/>
      <c r="R46" s="184"/>
      <c r="S46" s="184"/>
      <c r="T46" s="184"/>
      <c r="U46" s="184"/>
      <c r="V46" s="184"/>
      <c r="W46" s="184"/>
      <c r="X46" s="185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1">
        <f>N44*1.3</f>
        <v>54394.245360000001</v>
      </c>
      <c r="O47" s="202"/>
      <c r="P47" s="202"/>
      <c r="Q47" s="202"/>
      <c r="R47" s="202"/>
      <c r="S47" s="202"/>
      <c r="T47" s="202"/>
      <c r="U47" s="202"/>
      <c r="V47" s="202"/>
      <c r="W47" s="202"/>
      <c r="X47" s="203"/>
    </row>
    <row r="48" spans="1:24" s="23" customFormat="1" ht="32.25" customHeight="1" thickBot="1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332</v>
      </c>
      <c r="J48" s="216"/>
      <c r="K48" s="217"/>
      <c r="L48" s="218">
        <f>I48*H48</f>
        <v>2918.2799999999997</v>
      </c>
      <c r="M48" s="219"/>
      <c r="N48" s="174">
        <f>L48</f>
        <v>2918.2799999999997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6"/>
    </row>
    <row r="49" spans="1:24" s="23" customFormat="1" ht="36.75" customHeight="1">
      <c r="A49" s="189" t="s">
        <v>40</v>
      </c>
      <c r="B49" s="190"/>
      <c r="C49" s="190"/>
      <c r="D49" s="190"/>
      <c r="E49" s="190"/>
      <c r="F49" s="191"/>
      <c r="G49" s="24"/>
      <c r="H49" s="25">
        <v>11.766</v>
      </c>
      <c r="I49" s="192">
        <f>V41</f>
        <v>159.99605</v>
      </c>
      <c r="J49" s="193"/>
      <c r="K49" s="194"/>
      <c r="L49" s="192">
        <f>I49*H49</f>
        <v>1882.5135243</v>
      </c>
      <c r="M49" s="194"/>
      <c r="N49" s="171">
        <f>L49</f>
        <v>1882.5135243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3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B10" sqref="B10:K1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44774</v>
      </c>
      <c r="B9" s="116">
        <v>2560</v>
      </c>
      <c r="C9" s="115">
        <v>0</v>
      </c>
      <c r="D9" s="57">
        <v>158594</v>
      </c>
      <c r="E9" s="50">
        <v>175</v>
      </c>
      <c r="F9" s="51">
        <v>12150066</v>
      </c>
      <c r="G9" s="50">
        <v>5304</v>
      </c>
      <c r="H9" s="51">
        <v>20747339</v>
      </c>
      <c r="I9" s="50">
        <v>10570</v>
      </c>
      <c r="J9" s="51">
        <v>9083265</v>
      </c>
      <c r="K9" s="50">
        <v>4675</v>
      </c>
    </row>
    <row r="10" spans="1:12" ht="19.5">
      <c r="A10" s="59">
        <v>44775</v>
      </c>
      <c r="B10" s="116">
        <v>2560</v>
      </c>
      <c r="C10" s="115">
        <f>B10-B9</f>
        <v>0</v>
      </c>
      <c r="D10" s="57">
        <v>158751</v>
      </c>
      <c r="E10" s="50">
        <f>D10-D9</f>
        <v>157</v>
      </c>
      <c r="F10" s="51">
        <v>12155458</v>
      </c>
      <c r="G10" s="50">
        <f>F10-F9</f>
        <v>5392</v>
      </c>
      <c r="H10" s="51">
        <v>20759685</v>
      </c>
      <c r="I10" s="50">
        <f>H10-H9</f>
        <v>12346</v>
      </c>
      <c r="J10" s="51">
        <v>9088037</v>
      </c>
      <c r="K10" s="50">
        <f>J10-J9</f>
        <v>4772</v>
      </c>
    </row>
    <row r="11" spans="1:12" ht="19.5">
      <c r="A11" s="59">
        <v>44776</v>
      </c>
      <c r="B11" s="116"/>
      <c r="C11" s="115"/>
      <c r="D11" s="57"/>
      <c r="E11" s="50"/>
      <c r="F11" s="51"/>
      <c r="G11" s="50"/>
      <c r="H11" s="51"/>
      <c r="I11" s="50"/>
      <c r="J11" s="51"/>
      <c r="K11" s="50"/>
    </row>
    <row r="12" spans="1:12" ht="19.5">
      <c r="A12" s="59">
        <v>44777</v>
      </c>
      <c r="B12" s="116"/>
      <c r="C12" s="115"/>
      <c r="D12" s="57"/>
      <c r="E12" s="50"/>
      <c r="F12" s="51"/>
      <c r="G12" s="50"/>
      <c r="H12" s="51"/>
      <c r="I12" s="50"/>
      <c r="J12" s="51"/>
      <c r="K12" s="50"/>
    </row>
    <row r="13" spans="1:12" ht="19.5">
      <c r="A13" s="59">
        <v>44778</v>
      </c>
      <c r="B13" s="116"/>
      <c r="C13" s="115"/>
      <c r="D13" s="57"/>
      <c r="E13" s="50"/>
      <c r="F13" s="51"/>
      <c r="G13" s="50"/>
      <c r="H13" s="51"/>
      <c r="I13" s="50"/>
      <c r="J13" s="51"/>
      <c r="K13" s="50"/>
    </row>
    <row r="14" spans="1:12" ht="19.5">
      <c r="A14" s="59">
        <v>44779</v>
      </c>
      <c r="B14" s="116"/>
      <c r="C14" s="115"/>
      <c r="D14" s="57"/>
      <c r="E14" s="50"/>
      <c r="F14" s="51"/>
      <c r="G14" s="50"/>
      <c r="H14" s="51"/>
      <c r="I14" s="50"/>
      <c r="J14" s="51"/>
      <c r="K14" s="50"/>
    </row>
    <row r="15" spans="1:12" ht="19.5">
      <c r="A15" s="59">
        <v>44780</v>
      </c>
      <c r="B15" s="116"/>
      <c r="C15" s="115"/>
      <c r="D15" s="57"/>
      <c r="E15" s="50"/>
      <c r="F15" s="51"/>
      <c r="G15" s="50"/>
      <c r="H15" s="51"/>
      <c r="I15" s="50"/>
      <c r="J15" s="51"/>
      <c r="K15" s="50"/>
    </row>
    <row r="16" spans="1:12" ht="19.5">
      <c r="A16" s="59">
        <v>44781</v>
      </c>
      <c r="B16" s="116"/>
      <c r="C16" s="115"/>
      <c r="D16" s="57"/>
      <c r="E16" s="50"/>
      <c r="F16" s="51"/>
      <c r="G16" s="50"/>
      <c r="H16" s="51"/>
      <c r="I16" s="50"/>
      <c r="J16" s="51"/>
      <c r="K16" s="50"/>
    </row>
    <row r="17" spans="1:29" ht="19.5">
      <c r="A17" s="59">
        <v>44782</v>
      </c>
      <c r="B17" s="116"/>
      <c r="C17" s="115"/>
      <c r="D17" s="57"/>
      <c r="E17" s="50"/>
      <c r="F17" s="51"/>
      <c r="G17" s="50"/>
      <c r="H17" s="51"/>
      <c r="I17" s="50"/>
      <c r="J17" s="51"/>
      <c r="K17" s="50"/>
    </row>
    <row r="18" spans="1:29" ht="19.5">
      <c r="A18" s="59">
        <v>44783</v>
      </c>
      <c r="B18" s="116"/>
      <c r="C18" s="115"/>
      <c r="D18" s="57"/>
      <c r="E18" s="50"/>
      <c r="F18" s="51"/>
      <c r="G18" s="50"/>
      <c r="H18" s="51"/>
      <c r="I18" s="50"/>
      <c r="J18" s="51"/>
      <c r="K18" s="50"/>
    </row>
    <row r="19" spans="1:29" ht="19.5">
      <c r="A19" s="59">
        <v>44784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44785</v>
      </c>
      <c r="B20" s="116"/>
      <c r="C20" s="115"/>
      <c r="D20" s="57"/>
      <c r="E20" s="50"/>
      <c r="F20" s="51"/>
      <c r="G20" s="50"/>
      <c r="H20" s="51"/>
      <c r="I20" s="50"/>
      <c r="J20" s="51"/>
      <c r="K20" s="50"/>
      <c r="L20" s="117" t="s">
        <v>18</v>
      </c>
      <c r="AC20" t="s">
        <v>56</v>
      </c>
    </row>
    <row r="21" spans="1:29" ht="19.5">
      <c r="A21" s="59">
        <v>44786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44787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44788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44789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44790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44791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44792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44793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44794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44795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44796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44797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44798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44799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44800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44801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44802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44803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44804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44805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3" stopIfTrue="1" operator="lessThanOrEqual">
      <formula>0</formula>
    </cfRule>
  </conditionalFormatting>
  <conditionalFormatting sqref="E11:E40">
    <cfRule type="cellIs" dxfId="3" priority="10" stopIfTrue="1" operator="lessThanOrEqual">
      <formula>0</formula>
    </cfRule>
  </conditionalFormatting>
  <conditionalFormatting sqref="E11:E40">
    <cfRule type="cellIs" dxfId="2" priority="9" stopIfTrue="1" operator="lessThanOrEqual">
      <formula>0</formula>
    </cfRule>
  </conditionalFormatting>
  <conditionalFormatting sqref="E9:E10">
    <cfRule type="cellIs" dxfId="1" priority="8" stopIfTrue="1" operator="lessThanOrEqual">
      <formula>0</formula>
    </cfRule>
  </conditionalFormatting>
  <conditionalFormatting sqref="E9:E10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B5" sqref="B5:H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44774</v>
      </c>
      <c r="B4" s="41">
        <v>72</v>
      </c>
      <c r="C4" s="39">
        <f t="shared" ref="C4" si="0">IF(AC4&gt;0,((B4-R4)+(S4-B5)),IF(B5=0, ,(B4-B5)))</f>
        <v>2</v>
      </c>
      <c r="D4" s="41">
        <v>70</v>
      </c>
      <c r="E4" s="39">
        <f t="shared" ref="E4" si="1">IF(AC4&gt;0,((D4-U4)+(V4-D5)),IF(D5=0, ,(D4-D5)))</f>
        <v>0</v>
      </c>
      <c r="F4" s="41">
        <v>72</v>
      </c>
      <c r="G4" s="39">
        <f t="shared" ref="G4" si="2">IF(AC4&gt;0,((F4-X4)+(Y4-F5)),IF(F5=0, ,(F4-F5)))</f>
        <v>1</v>
      </c>
      <c r="H4" s="41">
        <v>72</v>
      </c>
      <c r="I4" s="39">
        <f>IF(AC4&gt;0,((H4-AA4)+(AB4-H5)),IF(H5=0, ,(H4-H5)))</f>
        <v>2</v>
      </c>
      <c r="J4" s="39">
        <f>B4+D4+F4+H4</f>
        <v>286</v>
      </c>
      <c r="K4" s="39">
        <f>J4/4</f>
        <v>71.5</v>
      </c>
      <c r="L4" s="39">
        <f>IF(AC4&gt;0,((K4-AD4)+(AE4-K5)),IF(K5=0, ,(K4-K5)))</f>
        <v>1.25</v>
      </c>
      <c r="M4" s="149">
        <f t="shared" ref="M4:M7" si="3">6049*4</f>
        <v>24196</v>
      </c>
      <c r="N4" s="39">
        <f>L4*M4/100</f>
        <v>302.45</v>
      </c>
      <c r="O4" s="167">
        <f>N4*0.529</f>
        <v>159.99605</v>
      </c>
      <c r="P4" s="42">
        <f>O4*11.766</f>
        <v>1882.5135243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44775</v>
      </c>
      <c r="B5" s="41">
        <v>70</v>
      </c>
      <c r="C5" s="39">
        <f t="shared" ref="C4:C35" si="7">IF(AC5&gt;0,((B5-R5)+(S5-B6)),IF(B6=0, ,(B5-B6)))</f>
        <v>0</v>
      </c>
      <c r="D5" s="41">
        <v>70</v>
      </c>
      <c r="E5" s="39">
        <f t="shared" ref="E4:E35" si="8">IF(AC5&gt;0,((D5-U5)+(V5-D6)),IF(D6=0, ,(D5-D6)))</f>
        <v>0</v>
      </c>
      <c r="F5" s="41">
        <v>71</v>
      </c>
      <c r="G5" s="39">
        <f t="shared" ref="G4:G35" si="9">IF(AC5&gt;0,((F5-X5)+(Y5-F6)),IF(F6=0, ,(F5-F6)))</f>
        <v>0</v>
      </c>
      <c r="H5" s="41">
        <v>70</v>
      </c>
      <c r="I5" s="39">
        <f>IF(AC5&gt;0,((H5-AA5)+(AB5-H6)),IF(H6=0, ,(H5-H6)))</f>
        <v>0</v>
      </c>
      <c r="J5" s="39">
        <f>B5+D5+F5+H5</f>
        <v>281</v>
      </c>
      <c r="K5" s="39">
        <f>J5/4</f>
        <v>70.25</v>
      </c>
      <c r="L5" s="39">
        <f>IF(AC5&gt;0,((K5-AD5)+(AE5-K6)),IF(K6=0, ,(K5-K6)))</f>
        <v>0</v>
      </c>
      <c r="M5" s="149">
        <f t="shared" si="3"/>
        <v>24196</v>
      </c>
      <c r="N5" s="39">
        <f>L5*M5/100</f>
        <v>0</v>
      </c>
      <c r="O5" s="39">
        <f>N5*0.529</f>
        <v>0</v>
      </c>
      <c r="P5" s="42">
        <f t="shared" ref="P5:P38" si="10">O5*11.766</f>
        <v>0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44776</v>
      </c>
      <c r="B6" s="41"/>
      <c r="C6" s="39">
        <f t="shared" si="7"/>
        <v>0</v>
      </c>
      <c r="D6" s="41"/>
      <c r="E6" s="39">
        <f t="shared" si="8"/>
        <v>0</v>
      </c>
      <c r="F6" s="41"/>
      <c r="G6" s="39">
        <f t="shared" si="9"/>
        <v>0</v>
      </c>
      <c r="H6" s="41"/>
      <c r="I6" s="39">
        <f t="shared" ref="I6:I36" si="11">IF(AC6&gt;0,((H6-AA6)+(AB6-H7)),IF(H7=0, ,(H6-H7)))</f>
        <v>0</v>
      </c>
      <c r="J6" s="39">
        <f t="shared" ref="J6:J42" si="12">B6+D6+F6+H6</f>
        <v>0</v>
      </c>
      <c r="K6" s="39">
        <f t="shared" ref="K6:K42" si="13">J6/4</f>
        <v>0</v>
      </c>
      <c r="L6" s="39">
        <f t="shared" ref="L6:L19" si="14">IF(AC6&gt;0,((K6-AD6)+(AE6-K7)),IF(K7=0, ,(K6-K7)))</f>
        <v>0</v>
      </c>
      <c r="M6" s="149">
        <f t="shared" si="3"/>
        <v>24196</v>
      </c>
      <c r="N6" s="39">
        <f t="shared" ref="N6:N42" si="15">L6*M6/100</f>
        <v>0</v>
      </c>
      <c r="O6" s="39">
        <f>N6*0.529</f>
        <v>0</v>
      </c>
      <c r="P6" s="42">
        <f t="shared" si="10"/>
        <v>0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44777</v>
      </c>
      <c r="B7" s="41"/>
      <c r="C7" s="39">
        <f t="shared" si="7"/>
        <v>0</v>
      </c>
      <c r="D7" s="41"/>
      <c r="E7" s="39">
        <f t="shared" si="8"/>
        <v>0</v>
      </c>
      <c r="F7" s="41"/>
      <c r="G7" s="39">
        <f t="shared" si="9"/>
        <v>0</v>
      </c>
      <c r="H7" s="41"/>
      <c r="I7" s="39">
        <f t="shared" si="11"/>
        <v>0</v>
      </c>
      <c r="J7" s="39">
        <f t="shared" si="12"/>
        <v>0</v>
      </c>
      <c r="K7" s="39">
        <f t="shared" si="13"/>
        <v>0</v>
      </c>
      <c r="L7" s="39">
        <f t="shared" si="14"/>
        <v>0</v>
      </c>
      <c r="M7" s="149">
        <f t="shared" si="3"/>
        <v>24196</v>
      </c>
      <c r="N7" s="39">
        <f t="shared" si="15"/>
        <v>0</v>
      </c>
      <c r="O7" s="39">
        <f>N7*0.53</f>
        <v>0</v>
      </c>
      <c r="P7" s="42">
        <f t="shared" si="10"/>
        <v>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44778</v>
      </c>
      <c r="B8" s="41"/>
      <c r="C8" s="39">
        <f t="shared" si="7"/>
        <v>0</v>
      </c>
      <c r="D8" s="41"/>
      <c r="E8" s="39">
        <f t="shared" si="8"/>
        <v>0</v>
      </c>
      <c r="F8" s="41"/>
      <c r="G8" s="39">
        <f t="shared" si="9"/>
        <v>0</v>
      </c>
      <c r="H8" s="41"/>
      <c r="I8" s="39">
        <f t="shared" si="11"/>
        <v>0</v>
      </c>
      <c r="J8" s="39">
        <f t="shared" si="12"/>
        <v>0</v>
      </c>
      <c r="K8" s="39">
        <f t="shared" si="13"/>
        <v>0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44779</v>
      </c>
      <c r="B9" s="41"/>
      <c r="C9" s="39">
        <f t="shared" si="7"/>
        <v>0</v>
      </c>
      <c r="D9" s="41"/>
      <c r="E9" s="39">
        <f t="shared" si="8"/>
        <v>0</v>
      </c>
      <c r="F9" s="41"/>
      <c r="G9" s="39">
        <f t="shared" si="9"/>
        <v>0</v>
      </c>
      <c r="H9" s="41"/>
      <c r="I9" s="39">
        <f t="shared" si="11"/>
        <v>0</v>
      </c>
      <c r="J9" s="39">
        <f t="shared" si="12"/>
        <v>0</v>
      </c>
      <c r="K9" s="39">
        <f t="shared" si="13"/>
        <v>0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44780</v>
      </c>
      <c r="B10" s="41"/>
      <c r="C10" s="39">
        <f t="shared" si="7"/>
        <v>0</v>
      </c>
      <c r="D10" s="41"/>
      <c r="E10" s="39">
        <f t="shared" si="8"/>
        <v>0</v>
      </c>
      <c r="F10" s="41"/>
      <c r="G10" s="39">
        <f t="shared" si="9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44781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44782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44783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44784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44785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44786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44787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44788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44789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44790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44791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44792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44793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44794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44795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44796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44797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44798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44799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44800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44801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44802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44803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44804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44805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0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1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1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302.45</v>
      </c>
      <c r="O43" s="39">
        <f>N43*0.529</f>
        <v>159.99605</v>
      </c>
      <c r="P43" s="42">
        <f>O43*11.766</f>
        <v>1882.5135243</v>
      </c>
      <c r="Q43" s="286">
        <f>SUM(Q4:Q42)</f>
        <v>0</v>
      </c>
      <c r="R43" s="287"/>
      <c r="S43" s="288"/>
      <c r="T43" s="289">
        <f>SUM(T4:T42)</f>
        <v>0</v>
      </c>
      <c r="U43" s="287"/>
      <c r="V43" s="288"/>
      <c r="W43" s="289">
        <f>SUM(W4:W42)</f>
        <v>0</v>
      </c>
      <c r="X43" s="287"/>
      <c r="Y43" s="288"/>
      <c r="Z43" s="289">
        <f>SUM(Z4:Z42)</f>
        <v>0</v>
      </c>
      <c r="AA43" s="287"/>
      <c r="AB43" s="288"/>
      <c r="AC43" s="39">
        <f t="shared" si="20"/>
        <v>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302.45</v>
      </c>
      <c r="L47" s="46">
        <f>O43</f>
        <v>159.99605</v>
      </c>
      <c r="M47" s="46">
        <f>P43</f>
        <v>1882.5135243</v>
      </c>
    </row>
    <row r="48" spans="1:31" ht="54.75" customHeight="1" thickBot="1">
      <c r="H48" s="282" t="s">
        <v>86</v>
      </c>
      <c r="I48" s="283"/>
      <c r="J48" s="284"/>
      <c r="K48" s="43">
        <f>AC44</f>
        <v>0</v>
      </c>
      <c r="L48" s="44">
        <f>K48*0.529</f>
        <v>0</v>
      </c>
      <c r="M48" s="44">
        <f>L48*11.766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1"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44599</v>
      </c>
      <c r="D8" s="327"/>
      <c r="E8" s="113">
        <v>44627</v>
      </c>
      <c r="F8" s="163" t="s">
        <v>97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1356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41"/>
      <c r="H17" s="342"/>
      <c r="I17" s="341">
        <f>+E17</f>
        <v>9841</v>
      </c>
      <c r="J17" s="342"/>
    </row>
    <row r="18" spans="1:10">
      <c r="A18" s="339" t="s">
        <v>111</v>
      </c>
      <c r="B18" s="340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41"/>
      <c r="H18" s="342"/>
      <c r="I18" s="341">
        <f>+E18</f>
        <v>6834</v>
      </c>
      <c r="J18" s="342"/>
    </row>
    <row r="19" spans="1:10">
      <c r="A19" s="339" t="s">
        <v>112</v>
      </c>
      <c r="B19" s="340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41"/>
      <c r="H19" s="342"/>
      <c r="I19" s="341">
        <f>+E19</f>
        <v>4802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21477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46">
        <f>SUM(H25,F25)</f>
        <v>10673.509236</v>
      </c>
      <c r="J25" s="347"/>
    </row>
    <row r="26" spans="1:10" ht="15">
      <c r="A26" s="348" t="s">
        <v>124</v>
      </c>
      <c r="B26" s="349"/>
      <c r="C26" s="350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46">
        <f t="shared" ref="I26:I31" si="0">SUM(H26,F26)</f>
        <v>5441.8458600000004</v>
      </c>
      <c r="J26" s="347"/>
    </row>
    <row r="27" spans="1:10" ht="15">
      <c r="A27" s="348" t="s">
        <v>125</v>
      </c>
      <c r="B27" s="349"/>
      <c r="C27" s="350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46">
        <f>SUM(H27,F27)</f>
        <v>7282.9821119999997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66739.527199999997</v>
      </c>
      <c r="G32" s="85"/>
      <c r="H32" s="86"/>
      <c r="I32" s="375">
        <f>SUM(I25:J31)</f>
        <v>76029.081007999994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A13" sqref="A13:J13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01" t="s">
        <v>131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/>
    <row r="7" spans="1:10" ht="36.75" thickTop="1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>
      <c r="A8" s="325">
        <v>95670781</v>
      </c>
      <c r="B8" s="325"/>
      <c r="C8" s="326">
        <v>44375</v>
      </c>
      <c r="D8" s="327"/>
      <c r="E8" s="113">
        <v>44770</v>
      </c>
      <c r="F8" s="163" t="s">
        <v>132</v>
      </c>
      <c r="G8" s="62"/>
      <c r="H8" s="62"/>
      <c r="I8" s="328"/>
      <c r="J8" s="329"/>
    </row>
    <row r="10" spans="1:10" ht="23.25" customHeight="1" thickBot="1"/>
    <row r="11" spans="1:10" ht="24.75" customHeight="1" thickTop="1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1403</v>
      </c>
      <c r="H12" s="334"/>
      <c r="I12" s="335"/>
      <c r="J12" s="335"/>
    </row>
    <row r="13" spans="1:10">
      <c r="A13" s="324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>
      <c r="A17" s="339" t="s">
        <v>110</v>
      </c>
      <c r="B17" s="340"/>
      <c r="C17" s="66">
        <v>20701572</v>
      </c>
      <c r="D17" s="66">
        <v>20380254</v>
      </c>
      <c r="E17" s="67">
        <f>MIN(C17-D17)</f>
        <v>321318</v>
      </c>
      <c r="F17" s="67">
        <f>+E17</f>
        <v>321318</v>
      </c>
      <c r="G17" s="341"/>
      <c r="H17" s="342"/>
      <c r="I17" s="341">
        <f>+E17</f>
        <v>321318</v>
      </c>
      <c r="J17" s="342"/>
    </row>
    <row r="18" spans="1:10">
      <c r="A18" s="339" t="s">
        <v>111</v>
      </c>
      <c r="B18" s="340"/>
      <c r="C18" s="66">
        <v>12124967</v>
      </c>
      <c r="D18" s="66">
        <v>11971286</v>
      </c>
      <c r="E18" s="67">
        <f>MIN(C18-D18)</f>
        <v>153681</v>
      </c>
      <c r="F18" s="67">
        <f>+E18</f>
        <v>153681</v>
      </c>
      <c r="G18" s="341"/>
      <c r="H18" s="342"/>
      <c r="I18" s="341">
        <f>+E18</f>
        <v>153681</v>
      </c>
      <c r="J18" s="342"/>
    </row>
    <row r="19" spans="1:10">
      <c r="A19" s="339" t="s">
        <v>112</v>
      </c>
      <c r="B19" s="340"/>
      <c r="C19" s="66">
        <v>9064689</v>
      </c>
      <c r="D19" s="66">
        <v>8938202</v>
      </c>
      <c r="E19" s="67">
        <f>AVERAGE(C19-D19)</f>
        <v>126487</v>
      </c>
      <c r="F19" s="67">
        <f>+E19</f>
        <v>126487</v>
      </c>
      <c r="G19" s="341"/>
      <c r="H19" s="342"/>
      <c r="I19" s="341">
        <f>+E19</f>
        <v>126487</v>
      </c>
      <c r="J19" s="342"/>
    </row>
    <row r="20" spans="1:10" ht="15">
      <c r="A20" s="361" t="s">
        <v>113</v>
      </c>
      <c r="B20" s="362"/>
      <c r="C20" s="68"/>
      <c r="D20" s="69"/>
      <c r="E20" s="68">
        <f>SUM(E17:E19)</f>
        <v>601486</v>
      </c>
      <c r="F20" s="70"/>
      <c r="G20" s="363"/>
      <c r="H20" s="364"/>
      <c r="I20" s="363"/>
      <c r="J20" s="364"/>
    </row>
    <row r="21" spans="1:10">
      <c r="C21" s="110" t="s">
        <v>18</v>
      </c>
      <c r="D21" t="s">
        <v>114</v>
      </c>
      <c r="G21" s="365"/>
      <c r="H21" s="365"/>
    </row>
    <row r="22" spans="1:10" ht="13.5" thickBot="1">
      <c r="G22" s="366"/>
      <c r="H22" s="366"/>
    </row>
    <row r="23" spans="1:10" ht="13.5" thickTop="1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>
      <c r="A24" s="354"/>
      <c r="B24" s="355"/>
      <c r="C24" s="356"/>
      <c r="D24" s="357"/>
      <c r="E24" s="357"/>
      <c r="F24" s="359"/>
      <c r="G24" s="164" t="s">
        <v>121</v>
      </c>
      <c r="H24" s="71" t="s">
        <v>122</v>
      </c>
      <c r="I24" s="367"/>
      <c r="J24" s="367"/>
    </row>
    <row r="25" spans="1:10" ht="15">
      <c r="A25" s="343" t="s">
        <v>123</v>
      </c>
      <c r="B25" s="344"/>
      <c r="C25" s="345"/>
      <c r="D25" s="67">
        <f>+E17</f>
        <v>321318</v>
      </c>
      <c r="E25" s="72">
        <v>0.95140000000000002</v>
      </c>
      <c r="F25" s="73">
        <f>PRODUCT(D25*E25)</f>
        <v>305701.94520000002</v>
      </c>
      <c r="G25" s="151">
        <v>14</v>
      </c>
      <c r="H25" s="65">
        <f>PRODUCT(0.14,F25)</f>
        <v>42798.272328000006</v>
      </c>
      <c r="I25" s="346">
        <f>SUM(H25,F25)</f>
        <v>348500.21752800001</v>
      </c>
      <c r="J25" s="347"/>
    </row>
    <row r="26" spans="1:10" ht="15">
      <c r="A26" s="348" t="s">
        <v>124</v>
      </c>
      <c r="B26" s="349"/>
      <c r="C26" s="350"/>
      <c r="D26" s="67">
        <f>+E18</f>
        <v>153681</v>
      </c>
      <c r="E26" s="74">
        <v>0.69850000000000001</v>
      </c>
      <c r="F26" s="73">
        <f>PRODUCT(D26*E26)</f>
        <v>107346.17849999999</v>
      </c>
      <c r="G26">
        <v>14</v>
      </c>
      <c r="H26" s="67">
        <f>PRODUCT(0.14,F26)</f>
        <v>15028.46499</v>
      </c>
      <c r="I26" s="346">
        <f t="shared" ref="I26:I31" si="0">SUM(H26,F26)</f>
        <v>122374.64348999999</v>
      </c>
      <c r="J26" s="347"/>
    </row>
    <row r="27" spans="1:10" ht="15">
      <c r="A27" s="348" t="s">
        <v>125</v>
      </c>
      <c r="B27" s="349"/>
      <c r="C27" s="350"/>
      <c r="D27" s="67">
        <f>+E19</f>
        <v>126487</v>
      </c>
      <c r="E27" s="74">
        <v>1.3304</v>
      </c>
      <c r="F27" s="73">
        <f>PRODUCT(D27*E27)</f>
        <v>168278.30480000001</v>
      </c>
      <c r="G27">
        <v>14</v>
      </c>
      <c r="H27" s="67">
        <f>PRODUCT(0.14,F27)</f>
        <v>23558.962672000005</v>
      </c>
      <c r="I27" s="346">
        <f>SUM(H27,F27)</f>
        <v>191837.26747200001</v>
      </c>
      <c r="J27" s="347"/>
    </row>
    <row r="28" spans="1:10" ht="1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>
      <c r="A29" s="376" t="s">
        <v>127</v>
      </c>
      <c r="B29" s="377"/>
      <c r="C29" s="378"/>
      <c r="D29" s="75">
        <f>G12-D28</f>
        <v>403</v>
      </c>
      <c r="E29" s="76">
        <f>E28*1.5</f>
        <v>65.822505000000007</v>
      </c>
      <c r="F29" s="77">
        <f>PRODUCT(D29,E29)</f>
        <v>26526.469515000004</v>
      </c>
      <c r="G29" s="78">
        <v>14</v>
      </c>
      <c r="H29" s="75">
        <f>PRODUCT(0.14,F29)</f>
        <v>3713.7057321000011</v>
      </c>
      <c r="I29" s="379">
        <f t="shared" si="0"/>
        <v>30240.175247100007</v>
      </c>
      <c r="J29" s="380"/>
    </row>
    <row r="30" spans="1:10" ht="1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>
      <c r="A32" s="371" t="s">
        <v>130</v>
      </c>
      <c r="B32" s="372"/>
      <c r="C32" s="372"/>
      <c r="D32" s="372"/>
      <c r="E32" s="372"/>
      <c r="F32" s="84">
        <f>SUM(F25:F31)</f>
        <v>654067.56801500008</v>
      </c>
      <c r="G32" s="85"/>
      <c r="H32" s="86"/>
      <c r="I32" s="375">
        <f>SUM(I25:J31)</f>
        <v>745583.04753710004</v>
      </c>
      <c r="J32" s="375"/>
    </row>
    <row r="33" spans="1:10" ht="21.75" thickBot="1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133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153235</v>
      </c>
      <c r="D8" s="97">
        <v>44743</v>
      </c>
      <c r="E8" s="96">
        <v>158594</v>
      </c>
      <c r="F8" s="97">
        <v>44774</v>
      </c>
      <c r="G8" s="98">
        <f>E8-C8</f>
        <v>5359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143</v>
      </c>
      <c r="B13" s="396">
        <f>G8</f>
        <v>5359</v>
      </c>
      <c r="C13" s="396"/>
      <c r="D13" s="396">
        <v>8.7899999999999991</v>
      </c>
      <c r="E13" s="396"/>
      <c r="F13" s="400">
        <f>PRODUCT(D13,B13)</f>
        <v>47105.609999999993</v>
      </c>
      <c r="G13" s="400"/>
      <c r="H13" s="400"/>
    </row>
    <row r="14" spans="1:8" ht="45" customHeight="1">
      <c r="A14" s="397" t="s">
        <v>144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f>G8</f>
        <v>5359</v>
      </c>
      <c r="C19" s="396"/>
      <c r="D19" s="396">
        <v>2.61</v>
      </c>
      <c r="E19" s="396"/>
      <c r="F19" s="396">
        <f>PRODUCT(D19,B19)</f>
        <v>13986.99</v>
      </c>
      <c r="G19" s="396"/>
      <c r="H19" s="396"/>
    </row>
    <row r="20" spans="1:8" ht="18.75">
      <c r="A20" s="392" t="s">
        <v>149</v>
      </c>
      <c r="B20" s="393"/>
      <c r="C20" s="393"/>
      <c r="D20" s="393"/>
      <c r="E20" s="394"/>
      <c r="F20" s="395">
        <f>SUM(F11+F13+F16+F17+F18+F19)</f>
        <v>61115.599999999991</v>
      </c>
      <c r="G20" s="395"/>
      <c r="H20" s="395"/>
    </row>
    <row r="21" spans="1:8" ht="15">
      <c r="A21" s="381" t="s">
        <v>150</v>
      </c>
      <c r="B21" s="382"/>
      <c r="C21" s="382"/>
      <c r="D21" s="382"/>
      <c r="E21" s="383"/>
      <c r="F21" s="396">
        <f>PRODUCT(F20,0.07)</f>
        <v>4278.0919999999996</v>
      </c>
      <c r="G21" s="396"/>
      <c r="H21" s="396"/>
    </row>
    <row r="22" spans="1:8" ht="15">
      <c r="A22" s="434" t="s">
        <v>151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152</v>
      </c>
      <c r="B23" s="382"/>
      <c r="C23" s="382"/>
      <c r="D23" s="382"/>
      <c r="E23" s="383"/>
      <c r="F23" s="384">
        <f>SUM(F21:H22)</f>
        <v>4486.3519999999999</v>
      </c>
      <c r="G23" s="384"/>
      <c r="H23" s="384"/>
    </row>
    <row r="24" spans="1:8">
      <c r="A24" s="385" t="s">
        <v>153</v>
      </c>
      <c r="B24" s="386"/>
      <c r="C24" s="386"/>
      <c r="D24" s="386"/>
      <c r="E24" s="387"/>
      <c r="F24" s="391">
        <f>SUM(F20,F23)</f>
        <v>65601.95199999999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133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143</v>
      </c>
      <c r="B13" s="396">
        <f>G8</f>
        <v>199</v>
      </c>
      <c r="C13" s="396"/>
      <c r="D13" s="396">
        <v>8.5</v>
      </c>
      <c r="E13" s="396"/>
      <c r="F13" s="400">
        <f>PRODUCT(D13,B13)</f>
        <v>1691.5</v>
      </c>
      <c r="G13" s="400"/>
      <c r="H13" s="400"/>
    </row>
    <row r="14" spans="1:8" ht="45" customHeight="1">
      <c r="A14" s="397" t="s">
        <v>144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6">
        <f>G8</f>
        <v>199</v>
      </c>
      <c r="C20" s="396"/>
      <c r="D20" s="396">
        <v>2.54</v>
      </c>
      <c r="E20" s="396"/>
      <c r="F20" s="396">
        <f>PRODUCT(D20,B20)</f>
        <v>505.46</v>
      </c>
      <c r="G20" s="396"/>
      <c r="H20" s="396"/>
    </row>
    <row r="21" spans="1:8" ht="18.75">
      <c r="A21" s="392" t="s">
        <v>149</v>
      </c>
      <c r="B21" s="393"/>
      <c r="C21" s="393"/>
      <c r="D21" s="393"/>
      <c r="E21" s="394"/>
      <c r="F21" s="395">
        <f>SUM(F11+F13+F16+F17+F18+F20)</f>
        <v>2219.96</v>
      </c>
      <c r="G21" s="395"/>
      <c r="H21" s="395"/>
    </row>
    <row r="22" spans="1:8" ht="15">
      <c r="A22" s="381" t="s">
        <v>150</v>
      </c>
      <c r="B22" s="382"/>
      <c r="C22" s="382"/>
      <c r="D22" s="382"/>
      <c r="E22" s="383"/>
      <c r="F22" s="396">
        <f>PRODUCT(F21,0.07)</f>
        <v>155.39720000000003</v>
      </c>
      <c r="G22" s="396"/>
      <c r="H22" s="396"/>
    </row>
    <row r="23" spans="1:8" ht="15">
      <c r="A23" s="434" t="s">
        <v>151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152</v>
      </c>
      <c r="B24" s="382"/>
      <c r="C24" s="382"/>
      <c r="D24" s="382"/>
      <c r="E24" s="383"/>
      <c r="F24" s="384">
        <f>SUM(F22:H23)</f>
        <v>363.65719999999999</v>
      </c>
      <c r="G24" s="384"/>
      <c r="H24" s="384"/>
    </row>
    <row r="25" spans="1:8">
      <c r="A25" s="385" t="s">
        <v>153</v>
      </c>
      <c r="B25" s="386"/>
      <c r="C25" s="386"/>
      <c r="D25" s="386"/>
      <c r="E25" s="387"/>
      <c r="F25" s="391">
        <f>SUM(F21,F24)</f>
        <v>2583.6172000000001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01" t="s">
        <v>155</v>
      </c>
      <c r="C1" s="302"/>
      <c r="D1" s="302"/>
      <c r="E1" s="302"/>
      <c r="F1" s="404" t="s">
        <v>88</v>
      </c>
      <c r="G1" s="405"/>
      <c r="H1" s="406"/>
    </row>
    <row r="2" spans="1:8" ht="15.75" customHeight="1" thickBot="1">
      <c r="A2" s="402"/>
      <c r="B2" s="303"/>
      <c r="C2" s="304"/>
      <c r="D2" s="304"/>
      <c r="E2" s="304"/>
      <c r="F2" s="407"/>
      <c r="G2" s="408"/>
      <c r="H2" s="409"/>
    </row>
    <row r="3" spans="1:8" ht="15" customHeight="1">
      <c r="A3" s="402"/>
      <c r="B3" s="303"/>
      <c r="C3" s="304"/>
      <c r="D3" s="304"/>
      <c r="E3" s="304"/>
      <c r="F3" s="404" t="s">
        <v>89</v>
      </c>
      <c r="G3" s="405"/>
      <c r="H3" s="406"/>
    </row>
    <row r="4" spans="1:8" ht="15.75" customHeight="1" thickBot="1">
      <c r="A4" s="403"/>
      <c r="B4" s="305"/>
      <c r="C4" s="306"/>
      <c r="D4" s="306"/>
      <c r="E4" s="306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139</v>
      </c>
      <c r="E10" s="415"/>
      <c r="F10" s="413" t="s">
        <v>140</v>
      </c>
      <c r="G10" s="416"/>
      <c r="H10" s="414"/>
    </row>
    <row r="11" spans="1:8" ht="1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142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144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149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150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151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152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153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7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4" zoomScaleNormal="100" workbookViewId="0">
      <selection activeCell="I26" sqref="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79140.881010000012</v>
      </c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2022-08-02T09:09:55Z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