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52F3B5C-C7DD-4991-A635-87E6890E339D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W8" i="2"/>
  <c r="W7" i="2"/>
  <c r="W6" i="2"/>
  <c r="P31" i="3"/>
  <c r="O31" i="3"/>
  <c r="M31" i="3"/>
  <c r="K31" i="3"/>
  <c r="I31" i="3"/>
  <c r="F31" i="3"/>
  <c r="G31" i="3"/>
  <c r="E31" i="3"/>
  <c r="AB31" i="2"/>
  <c r="Y31" i="2"/>
  <c r="W31" i="2"/>
  <c r="W30" i="2"/>
  <c r="U31" i="2"/>
  <c r="U30" i="2"/>
  <c r="N32" i="2"/>
  <c r="N31" i="2"/>
  <c r="N30" i="2"/>
  <c r="N29" i="2"/>
  <c r="N28" i="2"/>
  <c r="J31" i="2"/>
  <c r="J30" i="2"/>
  <c r="J29" i="2"/>
  <c r="J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C30" i="2"/>
  <c r="S31" i="2"/>
  <c r="K31" i="2"/>
  <c r="G32" i="3"/>
  <c r="H31" i="2" l="1"/>
  <c r="I31" i="2" s="1"/>
  <c r="P18" i="3"/>
  <c r="O18" i="3"/>
  <c r="M18" i="3"/>
  <c r="P32" i="3"/>
  <c r="P30" i="3"/>
  <c r="O32" i="3"/>
  <c r="M32" i="3"/>
  <c r="K32" i="3"/>
  <c r="I32" i="3"/>
  <c r="S32" i="2"/>
  <c r="S30" i="2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9" i="2" l="1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7" i="2" l="1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<sst xmlns="http://schemas.openxmlformats.org/spreadsheetml/2006/main" count="77" uniqueCount="40">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</sst>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5" workbookViewId="0">
      <selection activeCell="P36" sqref="P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-1010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1120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9422</v>
      </c>
      <c r="F17" s="110">
        <f>('June 2025'!C17*0.27)/('June 2025'!C17+'June 2025'!E17)</f>
        <v>0.22432180004245383</v>
      </c>
      <c r="G17" s="97">
        <f>'June 2025'!U17</f>
        <v>9</v>
      </c>
      <c r="H17" s="113">
        <v>0.62</v>
      </c>
      <c r="I17" s="98">
        <f>'June 2025'!W17</f>
        <v>137</v>
      </c>
      <c r="J17" s="99">
        <v>2.42</v>
      </c>
      <c r="K17" s="106">
        <f>'June 2025'!AB17*5.04</f>
        <v>1965.6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201</v>
      </c>
      <c r="P17" s="100">
        <f>'June 2025'!AD17</f>
        <v>391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9810</v>
      </c>
      <c r="F18" s="110">
        <f>('June 2025'!C18*0.27)/('June 2025'!C18+'June 2025'!E18)</f>
        <v>0.22577064220183485</v>
      </c>
      <c r="G18" s="97">
        <f>'June 2025'!U18</f>
        <v>260</v>
      </c>
      <c r="H18" s="113">
        <v>0.62</v>
      </c>
      <c r="I18" s="98">
        <f>'June 2025'!W18</f>
        <v>131</v>
      </c>
      <c r="J18" s="99">
        <v>2.42</v>
      </c>
      <c r="K18" s="106">
        <f>'June 2025'!AB18*5.04</f>
        <v>2268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199</v>
      </c>
      <c r="P18" s="100">
        <f>'June 2025'!AD18</f>
        <v>379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9084</v>
      </c>
      <c r="F19" s="110">
        <f>('June 2025'!C19*0.27)/('June 2025'!C19+'June 2025'!E19)</f>
        <v>0.22226552179656542</v>
      </c>
      <c r="G19" s="97">
        <f>'June 2025'!U19</f>
        <v>35</v>
      </c>
      <c r="H19" s="113">
        <v>0.62</v>
      </c>
      <c r="I19" s="98">
        <f>'June 2025'!W19</f>
        <v>131</v>
      </c>
      <c r="J19" s="99">
        <v>2.42</v>
      </c>
      <c r="K19" s="106">
        <f>'June 2025'!AB19*5.04</f>
        <v>2167.1999999999998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175</v>
      </c>
      <c r="P19" s="100">
        <f>'June 2025'!AD19</f>
        <v>338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8903</v>
      </c>
      <c r="F20" s="110">
        <f>('June 2025'!C20*0.27)/('June 2025'!C20+'June 2025'!E20)</f>
        <v>0.2209918005166798</v>
      </c>
      <c r="G20" s="97">
        <f>'June 2025'!U20</f>
        <v>190</v>
      </c>
      <c r="H20" s="113">
        <v>0.62</v>
      </c>
      <c r="I20" s="98">
        <f>'June 2025'!W20</f>
        <v>103</v>
      </c>
      <c r="J20" s="99">
        <v>2.42</v>
      </c>
      <c r="K20" s="106">
        <f>'June 2025'!AB20*5.04</f>
        <v>1764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160</v>
      </c>
      <c r="P20" s="100">
        <f>'June 2025'!AD20</f>
        <v>308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9435</v>
      </c>
      <c r="F21" s="110">
        <f>('June 2025'!C21*0.27)/('June 2025'!C21+'June 2025'!E21)</f>
        <v>0.22372655007949127</v>
      </c>
      <c r="G21" s="97">
        <f>'June 2025'!U21</f>
        <v>180</v>
      </c>
      <c r="H21" s="113">
        <v>0.62</v>
      </c>
      <c r="I21" s="98">
        <f>'June 2025'!W21</f>
        <v>124</v>
      </c>
      <c r="J21" s="99">
        <v>2.42</v>
      </c>
      <c r="K21" s="106">
        <f>'June 2025'!AB21*5.04</f>
        <v>1839.6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157</v>
      </c>
      <c r="P21" s="100">
        <f>'June 2025'!AD21</f>
        <v>307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10489</v>
      </c>
      <c r="F22" s="110">
        <f>('June 2025'!C22*0.27)/('June 2025'!C22+'June 2025'!E22)</f>
        <v>0.22876251310897133</v>
      </c>
      <c r="G22" s="97">
        <f>'June 2025'!U22</f>
        <v>65</v>
      </c>
      <c r="H22" s="113">
        <v>0.62</v>
      </c>
      <c r="I22" s="98">
        <f>'June 2025'!W22</f>
        <v>124</v>
      </c>
      <c r="J22" s="99">
        <v>2.42</v>
      </c>
      <c r="K22" s="106">
        <f>'June 2025'!AB22*5.04</f>
        <v>1789.2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172</v>
      </c>
      <c r="P22" s="100">
        <f>'June 2025'!AD22</f>
        <v>334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9551</v>
      </c>
      <c r="F23" s="110">
        <f>('June 2025'!C23*0.27)/('June 2025'!C23+'June 2025'!E23)</f>
        <v>0.22459951837503928</v>
      </c>
      <c r="G23" s="97">
        <f>'June 2025'!U23</f>
        <v>120</v>
      </c>
      <c r="H23" s="113">
        <v>0.62</v>
      </c>
      <c r="I23" s="98">
        <f>'June 2025'!W23</f>
        <v>110</v>
      </c>
      <c r="J23" s="99">
        <v>2.42</v>
      </c>
      <c r="K23" s="106">
        <f>'June 2025'!AB23*5.04</f>
        <v>806.4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194</v>
      </c>
      <c r="P23" s="100">
        <f>'June 2025'!AD23</f>
        <v>378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9916</v>
      </c>
      <c r="F24" s="110">
        <f>('June 2025'!C24*0.27)/('June 2025'!C24+'June 2025'!E24)</f>
        <v>0.22725090762404196</v>
      </c>
      <c r="G24" s="97">
        <f>'June 2025'!U24</f>
        <v>68</v>
      </c>
      <c r="H24" s="113">
        <v>0.62</v>
      </c>
      <c r="I24" s="98">
        <f>'June 2025'!W24</f>
        <v>121</v>
      </c>
      <c r="J24" s="99">
        <v>2.42</v>
      </c>
      <c r="K24" s="106">
        <f>'June 2025'!AB24*5.04</f>
        <v>957.6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195</v>
      </c>
      <c r="P24" s="100">
        <f>'June 2025'!AD24</f>
        <v>377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9778</v>
      </c>
      <c r="F25" s="110">
        <f>('June 2025'!C25*0.27)/('June 2025'!C25+'June 2025'!E25)</f>
        <v>0.2261781550419309</v>
      </c>
      <c r="G25" s="97">
        <f>'June 2025'!U25</f>
        <v>145</v>
      </c>
      <c r="H25" s="113">
        <v>0.62</v>
      </c>
      <c r="I25" s="98">
        <f>'June 2025'!W25</f>
        <v>153</v>
      </c>
      <c r="J25" s="99">
        <v>2.42</v>
      </c>
      <c r="K25" s="106">
        <f>'June 2025'!AB25*5.04</f>
        <v>1990.8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207</v>
      </c>
      <c r="P25" s="100">
        <f>'June 2025'!AD25</f>
        <v>394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9749</v>
      </c>
      <c r="F26" s="110">
        <f>('June 2025'!C26*0.27)/('June 2025'!C26+'June 2025'!E26)</f>
        <v>0.22563237255103089</v>
      </c>
      <c r="G26" s="97">
        <f>'June 2025'!U26</f>
        <v>120</v>
      </c>
      <c r="H26" s="113">
        <v>0.62</v>
      </c>
      <c r="I26" s="98">
        <f>'June 2025'!W26</f>
        <v>128</v>
      </c>
      <c r="J26" s="99">
        <v>2.42</v>
      </c>
      <c r="K26" s="106">
        <f>'June 2025'!AB26*5.04</f>
        <v>2242.8000000000002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209</v>
      </c>
      <c r="P26" s="100">
        <f>'June 2025'!AD26</f>
        <v>395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0</v>
      </c>
      <c r="F27" s="110" t="e">
        <f>('June 2025'!C27*0.27)/('June 2025'!C27+'June 2025'!E27)</f>
        <v>#DIV/0!</v>
      </c>
      <c r="G27" s="97" t="str">
        <f>'June 2025'!U27</f>
        <v>0</v>
      </c>
      <c r="H27" s="113">
        <v>0.62</v>
      </c>
      <c r="I27" s="98" t="str">
        <f>'June 2025'!W27</f>
        <v>0</v>
      </c>
      <c r="J27" s="99">
        <v>2.42</v>
      </c>
      <c r="K27" s="106">
        <f>'June 2025'!AB27*5.04</f>
        <v>0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0</v>
      </c>
      <c r="P27" s="100">
        <f>'June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0</v>
      </c>
      <c r="F28" s="110" t="e">
        <f>('June 2025'!C28*0.27)/('June 2025'!C28+'June 2025'!E28)</f>
        <v>#DIV/0!</v>
      </c>
      <c r="G28" s="97" t="str">
        <f>'June 2025'!U28</f>
        <v>0</v>
      </c>
      <c r="H28" s="113">
        <v>0.62</v>
      </c>
      <c r="I28" s="98">
        <f>'June 2025'!W28</f>
        <v>0</v>
      </c>
      <c r="J28" s="99">
        <v>2.42</v>
      </c>
      <c r="K28" s="106">
        <f>'June 2025'!AB28*5.04</f>
        <v>0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0</v>
      </c>
      <c r="P28" s="100">
        <f>'June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0</v>
      </c>
      <c r="F29" s="110" t="e">
        <f>('June 2025'!C29*0.27)/('June 2025'!C29+'June 2025'!E29)</f>
        <v>#DIV/0!</v>
      </c>
      <c r="G29" s="97" t="str">
        <f>'June 2025'!U29</f>
        <v>0</v>
      </c>
      <c r="H29" s="113">
        <v>0.62</v>
      </c>
      <c r="I29" s="98">
        <f>'June 2025'!W29</f>
        <v>0</v>
      </c>
      <c r="J29" s="99">
        <v>2.42</v>
      </c>
      <c r="K29" s="106">
        <f>'June 2025'!AB29*5.04</f>
        <v>0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0</v>
      </c>
      <c r="P29" s="100">
        <f>'June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0</v>
      </c>
      <c r="F30" s="110" t="e">
        <f>('June 2025'!C30*0.27)/('June 2025'!C30+'June 2025'!E30)</f>
        <v>#DIV/0!</v>
      </c>
      <c r="G30" s="97" t="str">
        <f>'June 2025'!U30</f>
        <v>0</v>
      </c>
      <c r="H30" s="113">
        <v>0.62</v>
      </c>
      <c r="I30" s="98">
        <f>'June 2025'!W30</f>
        <v>0</v>
      </c>
      <c r="J30" s="99">
        <v>2.42</v>
      </c>
      <c r="K30" s="106">
        <f>'June 2025'!AB30*5.04</f>
        <v>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0</v>
      </c>
      <c r="P30" s="100">
        <f>'June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0</v>
      </c>
      <c r="F31" s="110" t="e">
        <f>('June 2025'!C31*0.27)/('June 2025'!C31+'June 2025'!E31)</f>
        <v>#DIV/0!</v>
      </c>
      <c r="G31" s="97" t="str">
        <f>'June 2025'!U31</f>
        <v>0</v>
      </c>
      <c r="H31" s="113">
        <v>0.62</v>
      </c>
      <c r="I31" s="98">
        <f>'June 2025'!W31</f>
        <v>0</v>
      </c>
      <c r="J31" s="99">
        <v>2.42</v>
      </c>
      <c r="K31" s="106">
        <f>'June 2025'!AB31*5.04</f>
        <v>0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0</v>
      </c>
      <c r="P31" s="100">
        <f>'June 2025'!AD31</f>
        <v>0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IF('June 2025'!C32&lt;0,"0",'June 2025'!C32)+(IF('June 2025'!E32&lt;0,"0",'June 2025'!E32)-(IF('June 2025'!G32&lt;0,"0",'June 2025'!G32)))</f>
        <v>0</v>
      </c>
      <c r="F32" s="110" t="e">
        <f>('June 2025'!C32*0.27)/('June 2025'!C32+'June 2025'!E32)</f>
        <v>#DIV/0!</v>
      </c>
      <c r="G32" s="97">
        <f>'June 2025'!U32</f>
        <v>0</v>
      </c>
      <c r="H32" s="113">
        <v>0.62</v>
      </c>
      <c r="I32" s="98">
        <f>'June 2025'!W32</f>
        <v>0</v>
      </c>
      <c r="J32" s="99">
        <v>2.42</v>
      </c>
      <c r="K32" s="106">
        <f>'June 2025'!AB32*5.04</f>
        <v>0</v>
      </c>
      <c r="L32" s="116">
        <v>0.11509999999999999</v>
      </c>
      <c r="M32" s="107">
        <f>'June 2025'!M32</f>
        <v>0</v>
      </c>
      <c r="N32" s="119">
        <v>0.88</v>
      </c>
      <c r="O32" s="100">
        <f>'June 2025'!AC32</f>
        <v>174</v>
      </c>
      <c r="P32" s="100">
        <f>'June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Q14" zoomScale="85" zoomScaleNormal="85" workbookViewId="0">
      <selection activeCell="AD27" sqref="AD27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2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W31" si="9">IF((S3-S4+T3)=S3,"0",(S3-S4+T3))</f>
        <v>57</v>
      </c>
      <c r="V3" s="41">
        <v>16243</v>
      </c>
      <c r="W3" s="32">
        <f t="shared" ref="W3:W29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2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2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2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2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2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2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2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2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/>
      <c r="U11" s="32">
        <f t="shared" si="9"/>
        <v>-1010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2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>
        <v>1040</v>
      </c>
      <c r="U12" s="32">
        <f t="shared" si="9"/>
        <v>1120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2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2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2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2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-235.88999999999214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2">
      <c r="A17" s="19">
        <v>45824</v>
      </c>
      <c r="B17" s="10">
        <v>86133</v>
      </c>
      <c r="C17" s="14">
        <f t="shared" si="1"/>
        <v>7828</v>
      </c>
      <c r="D17" s="11">
        <v>797942</v>
      </c>
      <c r="E17" s="14">
        <f t="shared" si="2"/>
        <v>1594</v>
      </c>
      <c r="F17" s="27">
        <v>1704</v>
      </c>
      <c r="G17" s="67">
        <f t="shared" si="3"/>
        <v>0</v>
      </c>
      <c r="H17" s="69">
        <f t="shared" si="4"/>
        <v>9422</v>
      </c>
      <c r="I17" s="73">
        <f t="shared" si="5"/>
        <v>-36403.269999999997</v>
      </c>
      <c r="J17" s="32">
        <f t="shared" si="0"/>
        <v>386.59999999999854</v>
      </c>
      <c r="K17" s="20">
        <f t="shared" si="6"/>
        <v>45824</v>
      </c>
      <c r="L17" s="33">
        <v>8086</v>
      </c>
      <c r="M17" s="34">
        <v>0</v>
      </c>
      <c r="N17" s="32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9</v>
      </c>
      <c r="V17" s="41">
        <v>18044</v>
      </c>
      <c r="W17" s="32">
        <f t="shared" si="10"/>
        <v>137</v>
      </c>
      <c r="X17" s="44">
        <v>61265</v>
      </c>
      <c r="Y17" s="14">
        <f t="shared" si="11"/>
        <v>0</v>
      </c>
      <c r="Z17" s="47">
        <v>2235</v>
      </c>
      <c r="AA17" s="52"/>
      <c r="AB17" s="32">
        <f t="shared" si="12"/>
        <v>390</v>
      </c>
      <c r="AC17" s="13">
        <v>201</v>
      </c>
      <c r="AD17" s="18">
        <v>391</v>
      </c>
    </row>
    <row r="18" spans="1:30" ht="20.7" customHeight="1" x14ac:dyDescent="0.2">
      <c r="A18" s="19">
        <v>45825</v>
      </c>
      <c r="B18" s="10">
        <v>93961</v>
      </c>
      <c r="C18" s="14">
        <f t="shared" si="1"/>
        <v>8203</v>
      </c>
      <c r="D18" s="11">
        <v>799536</v>
      </c>
      <c r="E18" s="14">
        <f t="shared" si="2"/>
        <v>1607</v>
      </c>
      <c r="F18" s="27">
        <v>1704</v>
      </c>
      <c r="G18" s="67">
        <f t="shared" si="3"/>
        <v>0</v>
      </c>
      <c r="H18" s="69">
        <f t="shared" si="4"/>
        <v>9810</v>
      </c>
      <c r="I18" s="73">
        <f t="shared" si="5"/>
        <v>-36016.67</v>
      </c>
      <c r="J18" s="32">
        <f t="shared" si="0"/>
        <v>-726.90000000000146</v>
      </c>
      <c r="K18" s="20">
        <f t="shared" si="6"/>
        <v>45825</v>
      </c>
      <c r="L18" s="33">
        <v>8086</v>
      </c>
      <c r="M18" s="34">
        <v>0</v>
      </c>
      <c r="N18" s="32">
        <f t="shared" si="7"/>
        <v>0</v>
      </c>
      <c r="O18" s="85">
        <v>0.81</v>
      </c>
      <c r="P18" s="86">
        <v>0.81</v>
      </c>
      <c r="Q18" s="85">
        <v>0.86</v>
      </c>
      <c r="R18" s="86">
        <v>0.76</v>
      </c>
      <c r="S18" s="38">
        <f t="shared" si="8"/>
        <v>4860</v>
      </c>
      <c r="T18" s="123"/>
      <c r="U18" s="32">
        <f t="shared" si="9"/>
        <v>260</v>
      </c>
      <c r="V18" s="41">
        <v>18181</v>
      </c>
      <c r="W18" s="32">
        <f t="shared" si="10"/>
        <v>131</v>
      </c>
      <c r="X18" s="44">
        <v>61265</v>
      </c>
      <c r="Y18" s="14">
        <f t="shared" si="11"/>
        <v>0</v>
      </c>
      <c r="Z18" s="47">
        <v>1845</v>
      </c>
      <c r="AA18" s="52"/>
      <c r="AB18" s="32">
        <f t="shared" si="12"/>
        <v>450</v>
      </c>
      <c r="AC18" s="13">
        <v>199</v>
      </c>
      <c r="AD18" s="18">
        <v>379</v>
      </c>
    </row>
    <row r="19" spans="1:30" ht="20.7" customHeight="1" x14ac:dyDescent="0.2">
      <c r="A19" s="19">
        <v>45826</v>
      </c>
      <c r="B19" s="10">
        <v>102164</v>
      </c>
      <c r="C19" s="14">
        <f t="shared" si="1"/>
        <v>7478</v>
      </c>
      <c r="D19" s="11">
        <v>801143</v>
      </c>
      <c r="E19" s="14">
        <f t="shared" si="2"/>
        <v>1606</v>
      </c>
      <c r="F19" s="27">
        <v>1704</v>
      </c>
      <c r="G19" s="67">
        <f t="shared" si="3"/>
        <v>0</v>
      </c>
      <c r="H19" s="69">
        <f t="shared" si="4"/>
        <v>9084</v>
      </c>
      <c r="I19" s="73">
        <f t="shared" si="5"/>
        <v>-36743.57</v>
      </c>
      <c r="J19" s="32">
        <f t="shared" si="0"/>
        <v>-181.9800000000032</v>
      </c>
      <c r="K19" s="20">
        <f t="shared" si="6"/>
        <v>45826</v>
      </c>
      <c r="L19" s="33">
        <v>8086</v>
      </c>
      <c r="M19" s="34">
        <v>0</v>
      </c>
      <c r="N19" s="32">
        <f t="shared" si="7"/>
        <v>0</v>
      </c>
      <c r="O19" s="85">
        <v>0.77</v>
      </c>
      <c r="P19" s="86">
        <v>0.77</v>
      </c>
      <c r="Q19" s="85">
        <v>0.8</v>
      </c>
      <c r="R19" s="86">
        <v>0.7</v>
      </c>
      <c r="S19" s="38">
        <f t="shared" si="8"/>
        <v>4600</v>
      </c>
      <c r="T19" s="123"/>
      <c r="U19" s="32">
        <f t="shared" si="9"/>
        <v>35</v>
      </c>
      <c r="V19" s="41">
        <v>18312</v>
      </c>
      <c r="W19" s="32">
        <f t="shared" si="10"/>
        <v>131</v>
      </c>
      <c r="X19" s="44">
        <v>61265</v>
      </c>
      <c r="Y19" s="14">
        <f t="shared" si="11"/>
        <v>0</v>
      </c>
      <c r="Z19" s="47">
        <v>1395</v>
      </c>
      <c r="AA19" s="52"/>
      <c r="AB19" s="32">
        <f t="shared" si="12"/>
        <v>430</v>
      </c>
      <c r="AC19" s="13">
        <v>175</v>
      </c>
      <c r="AD19" s="18">
        <v>338</v>
      </c>
    </row>
    <row r="20" spans="1:30" ht="20.7" customHeight="1" x14ac:dyDescent="0.2">
      <c r="A20" s="19">
        <v>45827</v>
      </c>
      <c r="B20" s="10">
        <v>109642</v>
      </c>
      <c r="C20" s="14">
        <f t="shared" si="1"/>
        <v>7287</v>
      </c>
      <c r="D20" s="11">
        <v>802749</v>
      </c>
      <c r="E20" s="14">
        <f t="shared" si="2"/>
        <v>1616</v>
      </c>
      <c r="F20" s="27">
        <v>1704</v>
      </c>
      <c r="G20" s="67">
        <f t="shared" si="3"/>
        <v>0</v>
      </c>
      <c r="H20" s="69">
        <f t="shared" si="4"/>
        <v>8903</v>
      </c>
      <c r="I20" s="73">
        <f t="shared" si="5"/>
        <v>-36925.550000000003</v>
      </c>
      <c r="J20" s="32">
        <f t="shared" si="0"/>
        <v>531.11000000000058</v>
      </c>
      <c r="K20" s="20">
        <f t="shared" si="6"/>
        <v>45827</v>
      </c>
      <c r="L20" s="33">
        <v>8086</v>
      </c>
      <c r="M20" s="34">
        <v>0</v>
      </c>
      <c r="N20" s="32">
        <f t="shared" si="7"/>
        <v>0</v>
      </c>
      <c r="O20" s="85">
        <v>0.76</v>
      </c>
      <c r="P20" s="86">
        <v>0.77</v>
      </c>
      <c r="Q20" s="85">
        <v>0.79</v>
      </c>
      <c r="R20" s="86">
        <v>0.69</v>
      </c>
      <c r="S20" s="38">
        <f t="shared" si="8"/>
        <v>4565</v>
      </c>
      <c r="T20" s="123"/>
      <c r="U20" s="32">
        <f t="shared" si="9"/>
        <v>190</v>
      </c>
      <c r="V20" s="41">
        <v>18443</v>
      </c>
      <c r="W20" s="32">
        <f t="shared" si="10"/>
        <v>103</v>
      </c>
      <c r="X20" s="44">
        <v>61265</v>
      </c>
      <c r="Y20" s="14">
        <f t="shared" si="11"/>
        <v>0</v>
      </c>
      <c r="Z20" s="47">
        <v>965</v>
      </c>
      <c r="AA20" s="52"/>
      <c r="AB20" s="32">
        <f t="shared" si="12"/>
        <v>350</v>
      </c>
      <c r="AC20" s="13">
        <v>160</v>
      </c>
      <c r="AD20" s="18">
        <v>308</v>
      </c>
    </row>
    <row r="21" spans="1:30" ht="20.7" customHeight="1" x14ac:dyDescent="0.2">
      <c r="A21" s="19">
        <v>45828</v>
      </c>
      <c r="B21" s="10">
        <v>116929</v>
      </c>
      <c r="C21" s="14">
        <f t="shared" si="1"/>
        <v>7818</v>
      </c>
      <c r="D21" s="11">
        <v>804365</v>
      </c>
      <c r="E21" s="14">
        <f t="shared" si="2"/>
        <v>1617</v>
      </c>
      <c r="F21" s="27">
        <v>1704</v>
      </c>
      <c r="G21" s="67">
        <f t="shared" si="3"/>
        <v>0</v>
      </c>
      <c r="H21" s="69">
        <f t="shared" si="4"/>
        <v>9435</v>
      </c>
      <c r="I21" s="73">
        <f t="shared" si="5"/>
        <v>-36394.44</v>
      </c>
      <c r="J21" s="32">
        <f t="shared" si="0"/>
        <v>1053.0900000000038</v>
      </c>
      <c r="K21" s="20">
        <f t="shared" si="6"/>
        <v>45828</v>
      </c>
      <c r="L21" s="33">
        <v>8086</v>
      </c>
      <c r="M21" s="34">
        <v>0</v>
      </c>
      <c r="N21" s="32">
        <f t="shared" si="7"/>
        <v>0</v>
      </c>
      <c r="O21" s="85">
        <v>0.73</v>
      </c>
      <c r="P21" s="86">
        <v>0.75</v>
      </c>
      <c r="Q21" s="85">
        <v>0.71</v>
      </c>
      <c r="R21" s="86">
        <v>0.64</v>
      </c>
      <c r="S21" s="38">
        <f t="shared" si="8"/>
        <v>4375</v>
      </c>
      <c r="T21" s="123"/>
      <c r="U21" s="32">
        <f t="shared" si="9"/>
        <v>180</v>
      </c>
      <c r="V21" s="41">
        <v>18546</v>
      </c>
      <c r="W21" s="32">
        <f t="shared" si="10"/>
        <v>124</v>
      </c>
      <c r="X21" s="44">
        <v>61265</v>
      </c>
      <c r="Y21" s="14">
        <f t="shared" si="11"/>
        <v>0</v>
      </c>
      <c r="Z21" s="47">
        <v>615</v>
      </c>
      <c r="AA21" s="52">
        <v>1745</v>
      </c>
      <c r="AB21" s="32">
        <f t="shared" si="12"/>
        <v>365</v>
      </c>
      <c r="AC21" s="13">
        <v>157</v>
      </c>
      <c r="AD21" s="18">
        <v>307</v>
      </c>
    </row>
    <row r="22" spans="1:30" ht="20.7" customHeight="1" x14ac:dyDescent="0.2">
      <c r="A22" s="19">
        <v>45829</v>
      </c>
      <c r="B22" s="10">
        <v>124747</v>
      </c>
      <c r="C22" s="14">
        <f t="shared" si="1"/>
        <v>8887</v>
      </c>
      <c r="D22" s="11">
        <v>805982</v>
      </c>
      <c r="E22" s="14">
        <f t="shared" si="2"/>
        <v>1602</v>
      </c>
      <c r="F22" s="27">
        <v>1704</v>
      </c>
      <c r="G22" s="67">
        <f t="shared" si="3"/>
        <v>0</v>
      </c>
      <c r="H22" s="69">
        <f t="shared" si="4"/>
        <v>10489</v>
      </c>
      <c r="I22" s="73">
        <f t="shared" si="5"/>
        <v>-35341.35</v>
      </c>
      <c r="J22" s="32">
        <f t="shared" si="0"/>
        <v>-938.95999999999913</v>
      </c>
      <c r="K22" s="20">
        <f t="shared" si="6"/>
        <v>45829</v>
      </c>
      <c r="L22" s="33">
        <v>8086</v>
      </c>
      <c r="M22" s="34">
        <v>0</v>
      </c>
      <c r="N22" s="32">
        <f t="shared" si="7"/>
        <v>0</v>
      </c>
      <c r="O22" s="85">
        <v>0.71</v>
      </c>
      <c r="P22" s="86">
        <v>0.72</v>
      </c>
      <c r="Q22" s="85">
        <v>0.64</v>
      </c>
      <c r="R22" s="86">
        <v>0.6</v>
      </c>
      <c r="S22" s="38">
        <f t="shared" si="8"/>
        <v>4195</v>
      </c>
      <c r="T22" s="123"/>
      <c r="U22" s="32">
        <f t="shared" si="9"/>
        <v>65</v>
      </c>
      <c r="V22" s="41">
        <v>18670</v>
      </c>
      <c r="W22" s="32">
        <f t="shared" si="10"/>
        <v>124</v>
      </c>
      <c r="X22" s="44">
        <v>61265</v>
      </c>
      <c r="Y22" s="14">
        <f t="shared" si="11"/>
        <v>0</v>
      </c>
      <c r="Z22" s="47">
        <v>1995</v>
      </c>
      <c r="AA22" s="52"/>
      <c r="AB22" s="32">
        <f t="shared" si="12"/>
        <v>355</v>
      </c>
      <c r="AC22" s="13">
        <v>172</v>
      </c>
      <c r="AD22" s="18">
        <v>334</v>
      </c>
    </row>
    <row r="23" spans="1:30" ht="20.7" customHeight="1" x14ac:dyDescent="0.2">
      <c r="A23" s="19">
        <v>45830</v>
      </c>
      <c r="B23" s="10">
        <v>133634</v>
      </c>
      <c r="C23" s="14">
        <f t="shared" si="1"/>
        <v>7945</v>
      </c>
      <c r="D23" s="11">
        <v>807584</v>
      </c>
      <c r="E23" s="14">
        <f t="shared" si="2"/>
        <v>1606</v>
      </c>
      <c r="F23" s="27">
        <v>1704</v>
      </c>
      <c r="G23" s="67">
        <f t="shared" si="3"/>
        <v>0</v>
      </c>
      <c r="H23" s="69">
        <f t="shared" si="4"/>
        <v>9551</v>
      </c>
      <c r="I23" s="73">
        <f t="shared" si="5"/>
        <v>-36280.31</v>
      </c>
      <c r="J23" s="32">
        <f t="shared" si="0"/>
        <v>364.05999999999767</v>
      </c>
      <c r="K23" s="20">
        <f t="shared" si="6"/>
        <v>45830</v>
      </c>
      <c r="L23" s="33">
        <v>8086</v>
      </c>
      <c r="M23" s="34">
        <v>0</v>
      </c>
      <c r="N23" s="32">
        <f t="shared" si="7"/>
        <v>63</v>
      </c>
      <c r="O23" s="85">
        <v>0.71</v>
      </c>
      <c r="P23" s="86">
        <v>0.71</v>
      </c>
      <c r="Q23" s="85">
        <v>0.6</v>
      </c>
      <c r="R23" s="86">
        <v>0.56000000000000005</v>
      </c>
      <c r="S23" s="38">
        <f t="shared" si="8"/>
        <v>4130</v>
      </c>
      <c r="T23" s="37"/>
      <c r="U23" s="32">
        <f t="shared" si="9"/>
        <v>120</v>
      </c>
      <c r="V23" s="41">
        <v>18794</v>
      </c>
      <c r="W23" s="32">
        <f t="shared" si="10"/>
        <v>110</v>
      </c>
      <c r="X23" s="44">
        <v>61265</v>
      </c>
      <c r="Y23" s="14">
        <f t="shared" si="11"/>
        <v>0</v>
      </c>
      <c r="Z23" s="47">
        <v>1640</v>
      </c>
      <c r="AA23" s="52"/>
      <c r="AB23" s="32">
        <f t="shared" si="12"/>
        <v>160</v>
      </c>
      <c r="AC23" s="13">
        <v>194</v>
      </c>
      <c r="AD23" s="18">
        <v>378</v>
      </c>
    </row>
    <row r="24" spans="1:30" ht="20.7" customHeight="1" x14ac:dyDescent="0.2">
      <c r="A24" s="19">
        <v>45831</v>
      </c>
      <c r="B24" s="10">
        <v>141579</v>
      </c>
      <c r="C24" s="14">
        <f t="shared" si="1"/>
        <v>8346</v>
      </c>
      <c r="D24" s="11">
        <v>809190</v>
      </c>
      <c r="E24" s="14">
        <f t="shared" si="2"/>
        <v>1570</v>
      </c>
      <c r="F24" s="27">
        <v>1704</v>
      </c>
      <c r="G24" s="67">
        <f t="shared" si="3"/>
        <v>0</v>
      </c>
      <c r="H24" s="69">
        <f t="shared" si="4"/>
        <v>9916</v>
      </c>
      <c r="I24" s="73">
        <f t="shared" si="5"/>
        <v>-35916.25</v>
      </c>
      <c r="J24" s="32">
        <f t="shared" si="0"/>
        <v>-139.44999999999709</v>
      </c>
      <c r="K24" s="20">
        <f t="shared" si="6"/>
        <v>45831</v>
      </c>
      <c r="L24" s="33">
        <v>8023</v>
      </c>
      <c r="M24" s="34">
        <v>0</v>
      </c>
      <c r="N24" s="32">
        <f t="shared" si="7"/>
        <v>88</v>
      </c>
      <c r="O24" s="85">
        <v>0.69</v>
      </c>
      <c r="P24" s="86">
        <v>0.7</v>
      </c>
      <c r="Q24" s="85">
        <v>0.56000000000000005</v>
      </c>
      <c r="R24" s="86">
        <v>0.51</v>
      </c>
      <c r="S24" s="38">
        <f t="shared" si="8"/>
        <v>4010</v>
      </c>
      <c r="T24" s="37">
        <v>938</v>
      </c>
      <c r="U24" s="32">
        <f t="shared" si="9"/>
        <v>68</v>
      </c>
      <c r="V24" s="41">
        <v>18904</v>
      </c>
      <c r="W24" s="32">
        <f t="shared" si="10"/>
        <v>121</v>
      </c>
      <c r="X24" s="44">
        <v>61265</v>
      </c>
      <c r="Y24" s="14">
        <f t="shared" si="11"/>
        <v>0</v>
      </c>
      <c r="Z24" s="47">
        <v>1480</v>
      </c>
      <c r="AA24" s="52">
        <v>6730</v>
      </c>
      <c r="AB24" s="32">
        <f t="shared" si="12"/>
        <v>190</v>
      </c>
      <c r="AC24" s="13">
        <v>195</v>
      </c>
      <c r="AD24" s="18">
        <v>377</v>
      </c>
    </row>
    <row r="25" spans="1:30" ht="20.7" customHeight="1" x14ac:dyDescent="0.2">
      <c r="A25" s="19">
        <v>45832</v>
      </c>
      <c r="B25" s="10">
        <v>149925</v>
      </c>
      <c r="C25" s="14">
        <f t="shared" si="1"/>
        <v>8191</v>
      </c>
      <c r="D25" s="11">
        <v>810760</v>
      </c>
      <c r="E25" s="14">
        <f t="shared" si="2"/>
        <v>1587</v>
      </c>
      <c r="F25" s="27">
        <v>1704</v>
      </c>
      <c r="G25" s="67">
        <f t="shared" si="3"/>
        <v>0</v>
      </c>
      <c r="H25" s="69">
        <f t="shared" si="4"/>
        <v>9778</v>
      </c>
      <c r="I25" s="73">
        <f t="shared" si="5"/>
        <v>-36055.699999999997</v>
      </c>
      <c r="J25" s="32">
        <f t="shared" si="0"/>
        <v>-29.930000000000291</v>
      </c>
      <c r="K25" s="20">
        <f t="shared" si="6"/>
        <v>45832</v>
      </c>
      <c r="L25" s="33">
        <v>7935</v>
      </c>
      <c r="M25" s="34">
        <v>0</v>
      </c>
      <c r="N25" s="32">
        <f t="shared" si="7"/>
        <v>0</v>
      </c>
      <c r="O25" s="85">
        <v>0.82</v>
      </c>
      <c r="P25" s="86">
        <v>0.8</v>
      </c>
      <c r="Q25" s="85">
        <v>0.88</v>
      </c>
      <c r="R25" s="86">
        <v>0.78</v>
      </c>
      <c r="S25" s="38">
        <f t="shared" si="8"/>
        <v>4880</v>
      </c>
      <c r="T25" s="37"/>
      <c r="U25" s="32">
        <f t="shared" si="9"/>
        <v>145</v>
      </c>
      <c r="V25" s="41">
        <v>19025</v>
      </c>
      <c r="W25" s="32">
        <f t="shared" si="10"/>
        <v>153</v>
      </c>
      <c r="X25" s="44">
        <v>61265</v>
      </c>
      <c r="Y25" s="14">
        <f t="shared" si="11"/>
        <v>0</v>
      </c>
      <c r="Z25" s="47">
        <v>8020</v>
      </c>
      <c r="AA25" s="52"/>
      <c r="AB25" s="32">
        <f t="shared" si="12"/>
        <v>395</v>
      </c>
      <c r="AC25" s="13">
        <v>207</v>
      </c>
      <c r="AD25" s="18">
        <v>394</v>
      </c>
    </row>
    <row r="26" spans="1:30" ht="20.7" customHeight="1" x14ac:dyDescent="0.2">
      <c r="A26" s="19">
        <v>45833</v>
      </c>
      <c r="B26" s="10">
        <v>158116</v>
      </c>
      <c r="C26" s="14">
        <f t="shared" si="1"/>
        <v>8147</v>
      </c>
      <c r="D26" s="11">
        <v>812347</v>
      </c>
      <c r="E26" s="14">
        <f t="shared" si="2"/>
        <v>1602</v>
      </c>
      <c r="F26" s="27">
        <v>1704</v>
      </c>
      <c r="G26" s="67">
        <f t="shared" si="3"/>
        <v>0</v>
      </c>
      <c r="H26" s="69">
        <f t="shared" si="4"/>
        <v>9749</v>
      </c>
      <c r="I26" s="73">
        <f t="shared" si="5"/>
        <v>-36085.629999999997</v>
      </c>
      <c r="J26" s="32">
        <f t="shared" si="0"/>
        <v>-9749.9400000000023</v>
      </c>
      <c r="K26" s="20">
        <f t="shared" si="6"/>
        <v>45833</v>
      </c>
      <c r="L26" s="33">
        <v>7935</v>
      </c>
      <c r="M26" s="34">
        <v>0</v>
      </c>
      <c r="N26" s="32">
        <f t="shared" si="7"/>
        <v>0</v>
      </c>
      <c r="O26" s="85">
        <v>0.79</v>
      </c>
      <c r="P26" s="86">
        <v>0.79</v>
      </c>
      <c r="Q26" s="85">
        <v>0.84</v>
      </c>
      <c r="R26" s="86">
        <v>0.73</v>
      </c>
      <c r="S26" s="38">
        <f t="shared" si="8"/>
        <v>4735</v>
      </c>
      <c r="T26" s="37"/>
      <c r="U26" s="32">
        <f t="shared" si="9"/>
        <v>120</v>
      </c>
      <c r="V26" s="41">
        <v>19178</v>
      </c>
      <c r="W26" s="32">
        <f t="shared" si="10"/>
        <v>128</v>
      </c>
      <c r="X26" s="44">
        <v>61265</v>
      </c>
      <c r="Y26" s="14">
        <f t="shared" si="11"/>
        <v>0</v>
      </c>
      <c r="Z26" s="47">
        <v>7625</v>
      </c>
      <c r="AA26" s="52"/>
      <c r="AB26" s="32">
        <f t="shared" si="12"/>
        <v>445</v>
      </c>
      <c r="AC26" s="13">
        <v>209</v>
      </c>
      <c r="AD26" s="18">
        <v>395</v>
      </c>
    </row>
    <row r="27" spans="1:30" ht="20.7" customHeight="1" x14ac:dyDescent="0.2">
      <c r="A27" s="19">
        <v>45834</v>
      </c>
      <c r="B27" s="10">
        <v>166263</v>
      </c>
      <c r="C27" s="14" t="str">
        <f t="shared" si="1"/>
        <v>0</v>
      </c>
      <c r="D27" s="11">
        <v>813949</v>
      </c>
      <c r="E27" s="14" t="str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-45835.57</v>
      </c>
      <c r="J27" s="32">
        <f t="shared" si="0"/>
        <v>0.56999999999970896</v>
      </c>
      <c r="K27" s="20">
        <f t="shared" si="6"/>
        <v>45834</v>
      </c>
      <c r="L27" s="33">
        <v>7935</v>
      </c>
      <c r="M27" s="34">
        <v>0</v>
      </c>
      <c r="N27" s="32" t="str">
        <f t="shared" si="7"/>
        <v>0</v>
      </c>
      <c r="O27" s="85">
        <v>0.78</v>
      </c>
      <c r="P27" s="86">
        <v>0.77</v>
      </c>
      <c r="Q27" s="85">
        <v>0.79</v>
      </c>
      <c r="R27" s="86">
        <v>0.69</v>
      </c>
      <c r="S27" s="38">
        <f t="shared" si="8"/>
        <v>4615</v>
      </c>
      <c r="T27" s="37"/>
      <c r="U27" s="32" t="str">
        <f t="shared" si="9"/>
        <v>0</v>
      </c>
      <c r="V27" s="41">
        <v>19306</v>
      </c>
      <c r="W27" s="32" t="str">
        <f t="shared" si="10"/>
        <v>0</v>
      </c>
      <c r="X27" s="44">
        <v>61265</v>
      </c>
      <c r="Y27" s="14" t="str">
        <f t="shared" si="11"/>
        <v>0</v>
      </c>
      <c r="Z27" s="47">
        <v>7180</v>
      </c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45835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-45835</v>
      </c>
      <c r="J28" s="32">
        <f t="shared" si="0"/>
        <v>-1</v>
      </c>
      <c r="K28" s="20">
        <f t="shared" si="6"/>
        <v>45835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45836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-45836</v>
      </c>
      <c r="J29" s="32">
        <f t="shared" si="0"/>
        <v>-1</v>
      </c>
      <c r="K29" s="20">
        <f t="shared" si="6"/>
        <v>45836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45837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-45837</v>
      </c>
      <c r="J30" s="32">
        <f t="shared" si="0"/>
        <v>-1</v>
      </c>
      <c r="K30" s="20">
        <f t="shared" si="6"/>
        <v>45837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9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45838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0</v>
      </c>
      <c r="H31" s="69">
        <f t="shared" si="4"/>
        <v>0</v>
      </c>
      <c r="I31" s="73">
        <f t="shared" si="5"/>
        <v>-45838</v>
      </c>
      <c r="J31" s="32">
        <f t="shared" si="0"/>
        <v>45838</v>
      </c>
      <c r="K31" s="20">
        <f t="shared" si="6"/>
        <v>45838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9"/>
        <v>0</v>
      </c>
      <c r="V31" s="41"/>
      <c r="W31" s="32">
        <f t="shared" si="9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45809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6"/>
        <v>45809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175357</v>
      </c>
      <c r="D33" s="77"/>
      <c r="E33" s="76">
        <f>SUM(E2:E32)</f>
        <v>39247</v>
      </c>
      <c r="F33" s="78"/>
      <c r="G33" s="76">
        <f>SUM(G2:G32)</f>
        <v>0</v>
      </c>
      <c r="H33" s="77">
        <f>SUM(H2:H32)</f>
        <v>214604</v>
      </c>
      <c r="I33" s="76">
        <f>SUM(I2:I31)</f>
        <v>-1160139.1599999999</v>
      </c>
      <c r="J33" s="76">
        <f>SUM(J2:J32)</f>
        <v>39312.259999999995</v>
      </c>
      <c r="K33" s="75"/>
      <c r="L33" s="77"/>
      <c r="M33" s="77"/>
      <c r="N33" s="76">
        <f>SUM(N2:N32)</f>
        <v>282</v>
      </c>
      <c r="O33" s="75"/>
      <c r="P33" s="75"/>
      <c r="Q33" s="75"/>
      <c r="R33" s="75"/>
      <c r="S33" s="75"/>
      <c r="T33" s="77">
        <f>SUM(T2:T32)</f>
        <v>3589</v>
      </c>
      <c r="U33" s="76">
        <f>SUM(U2:U32)</f>
        <v>3084</v>
      </c>
      <c r="V33" s="75"/>
      <c r="W33" s="76">
        <f>SUM(W2:W32)</f>
        <v>3174</v>
      </c>
      <c r="X33" s="75"/>
      <c r="Y33" s="76">
        <f>SUM(Y2:Y32)</f>
        <v>0</v>
      </c>
      <c r="Z33" s="75"/>
      <c r="AA33" s="75">
        <f>SUM(AA2:AA32)</f>
        <v>8475</v>
      </c>
      <c r="AB33" s="76">
        <f>SUM(AB2:AB32)</f>
        <v>10250</v>
      </c>
      <c r="AC33" s="79">
        <f>SUM(AC2:AC32)</f>
        <v>5178</v>
      </c>
      <c r="AD33" s="80">
        <f>SUM(AD2:AD32)</f>
        <v>10011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2025-06-26T06:33:11Z</dcterms:modified>
  <cp:category/>
  <cp:contentStatus/>
</cp:coreProperties>
</file>