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29" i="7" l="1"/>
  <c r="AW30" i="7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<sst xmlns="http://schemas.openxmlformats.org/spreadsheetml/2006/main" count="128" uniqueCount="49">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</sst>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60610</v>
      </c>
      <c r="F17" s="11">
        <v>5.0000000000000001E-3</v>
      </c>
      <c r="G17" s="12">
        <f>Submetering!R17</f>
        <v>681.37379999999996</v>
      </c>
      <c r="H17" s="11">
        <v>0.52800000000000002</v>
      </c>
      <c r="I17" s="12">
        <f>Hotel!B22</f>
        <v>195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67430</v>
      </c>
      <c r="F18" s="11">
        <v>5.0000000000000001E-3</v>
      </c>
      <c r="G18" s="12">
        <f>Submetering!R18</f>
        <v>676.45276699999999</v>
      </c>
      <c r="H18" s="11">
        <v>0.52800000000000002</v>
      </c>
      <c r="I18" s="12">
        <f>Hotel!B23</f>
        <v>231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60660</v>
      </c>
      <c r="F19" s="11">
        <v>5.0000000000000001E-3</v>
      </c>
      <c r="G19" s="12">
        <f>Submetering!R19</f>
        <v>573.48961499999996</v>
      </c>
      <c r="H19" s="11">
        <v>0.52800000000000002</v>
      </c>
      <c r="I19" s="12">
        <f>Hotel!B24</f>
        <v>215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57720</v>
      </c>
      <c r="F20" s="11">
        <v>5.0000000000000001E-3</v>
      </c>
      <c r="G20" s="12">
        <f>Submetering!R20</f>
        <v>659.41842199999996</v>
      </c>
      <c r="H20" s="11">
        <v>0.52800000000000002</v>
      </c>
      <c r="I20" s="12">
        <f>Hotel!B25</f>
        <v>126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61810</v>
      </c>
      <c r="F21" s="11">
        <v>5.0000000000000001E-3</v>
      </c>
      <c r="G21" s="12">
        <f>Submetering!R21</f>
        <v>731.34121199999993</v>
      </c>
      <c r="H21" s="11">
        <v>0.52800000000000002</v>
      </c>
      <c r="I21" s="12">
        <f>Hotel!B26</f>
        <v>88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54810</v>
      </c>
      <c r="F22" s="11">
        <v>5.0000000000000001E-3</v>
      </c>
      <c r="G22" s="12">
        <f>Submetering!R22</f>
        <v>646.92656899999997</v>
      </c>
      <c r="H22" s="11">
        <v>0.52800000000000002</v>
      </c>
      <c r="I22" s="12">
        <f>Hotel!B27</f>
        <v>133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58614</v>
      </c>
      <c r="F23" s="11">
        <v>5.0000000000000001E-3</v>
      </c>
      <c r="G23" s="12">
        <f>Submetering!R23</f>
        <v>649.95489700000007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59836</v>
      </c>
      <c r="F24" s="11">
        <v>5.0000000000000001E-3</v>
      </c>
      <c r="G24" s="12">
        <f>Submetering!R24</f>
        <v>663.960914</v>
      </c>
      <c r="H24" s="11">
        <v>0.52800000000000002</v>
      </c>
      <c r="I24" s="12">
        <f>Hotel!B29</f>
        <v>152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62540</v>
      </c>
      <c r="F25" s="11">
        <v>5.0000000000000001E-3</v>
      </c>
      <c r="G25" s="12">
        <f>Submetering!R25</f>
        <v>617.02183000000002</v>
      </c>
      <c r="H25" s="11">
        <v>0.52800000000000002</v>
      </c>
      <c r="I25" s="12">
        <f>Hotel!B30</f>
        <v>224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61010</v>
      </c>
      <c r="F26" s="11">
        <v>5.0000000000000001E-3</v>
      </c>
      <c r="G26" s="12">
        <f>Submetering!R26</f>
        <v>661.68966799999998</v>
      </c>
      <c r="H26" s="11">
        <v>0.52800000000000002</v>
      </c>
      <c r="I26" s="12">
        <f>Hotel!B31</f>
        <v>232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8110</v>
      </c>
      <c r="F17" s="4">
        <f>Hotel!R22</f>
        <v>1880</v>
      </c>
      <c r="G17" s="4">
        <f>Hotel!S22</f>
        <v>0</v>
      </c>
      <c r="H17" s="4">
        <f>Hotel!T22</f>
        <v>1460</v>
      </c>
      <c r="I17" s="4">
        <f>Hotel!U22</f>
        <v>5450</v>
      </c>
      <c r="J17" s="4">
        <f>Hotel!V22</f>
        <v>4560</v>
      </c>
      <c r="K17" s="4">
        <f>Hotel!W22</f>
        <v>3050</v>
      </c>
      <c r="L17" s="4">
        <f>Hotel!X22</f>
        <v>4880</v>
      </c>
      <c r="M17" s="4">
        <f>Hotel!Y22</f>
        <v>5580</v>
      </c>
      <c r="N17" s="4">
        <f>Hotel!Z22</f>
        <v>2650</v>
      </c>
      <c r="O17" s="4">
        <f>Hotel!AA22</f>
        <v>3500</v>
      </c>
      <c r="P17" s="4">
        <f>Hotel!AB22</f>
        <v>7020</v>
      </c>
      <c r="Q17" s="4">
        <f>Hotel!AC22</f>
        <v>12470</v>
      </c>
      <c r="R17" s="4">
        <f>Hotel!AV22*0.00378541*100</f>
        <v>681.37379999999996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7370</v>
      </c>
      <c r="F18" s="4">
        <f>Hotel!R23</f>
        <v>2150</v>
      </c>
      <c r="G18" s="4">
        <f>Hotel!S23</f>
        <v>0</v>
      </c>
      <c r="H18" s="4">
        <f>Hotel!T23</f>
        <v>1660</v>
      </c>
      <c r="I18" s="4">
        <f>Hotel!U23</f>
        <v>6390</v>
      </c>
      <c r="J18" s="4">
        <f>Hotel!V23</f>
        <v>5090</v>
      </c>
      <c r="K18" s="4">
        <f>Hotel!W23</f>
        <v>3240</v>
      </c>
      <c r="L18" s="4">
        <f>Hotel!X23</f>
        <v>5700</v>
      </c>
      <c r="M18" s="4">
        <f>Hotel!Y23</f>
        <v>6200</v>
      </c>
      <c r="N18" s="4">
        <f>Hotel!Z23</f>
        <v>3090</v>
      </c>
      <c r="O18" s="4">
        <f>Hotel!AA23</f>
        <v>4000</v>
      </c>
      <c r="P18" s="4">
        <f>Hotel!AB23</f>
        <v>8050</v>
      </c>
      <c r="Q18" s="4">
        <f>Hotel!AC23</f>
        <v>14490</v>
      </c>
      <c r="R18" s="4">
        <f>Hotel!AV23*0.00378541*100</f>
        <v>676.45276699999999</v>
      </c>
      <c r="S18" s="4">
        <f>Hotel!B23</f>
        <v>231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8850</v>
      </c>
      <c r="F19" s="4">
        <f>Hotel!R24</f>
        <v>1780</v>
      </c>
      <c r="G19" s="4">
        <f>Hotel!S24</f>
        <v>0</v>
      </c>
      <c r="H19" s="4">
        <f>Hotel!T24</f>
        <v>1400</v>
      </c>
      <c r="I19" s="4">
        <f>Hotel!U24</f>
        <v>5510</v>
      </c>
      <c r="J19" s="4">
        <f>Hotel!V24</f>
        <v>4340</v>
      </c>
      <c r="K19" s="4">
        <f>Hotel!W24</f>
        <v>3010</v>
      </c>
      <c r="L19" s="4">
        <f>Hotel!X24</f>
        <v>5190</v>
      </c>
      <c r="M19" s="4">
        <f>Hotel!Y24</f>
        <v>5440</v>
      </c>
      <c r="N19" s="4">
        <f>Hotel!Z24</f>
        <v>2690</v>
      </c>
      <c r="O19" s="4">
        <f>Hotel!AA24</f>
        <v>3600</v>
      </c>
      <c r="P19" s="4">
        <f>Hotel!AB24</f>
        <v>6990</v>
      </c>
      <c r="Q19" s="4">
        <f>Hotel!AC24</f>
        <v>11860</v>
      </c>
      <c r="R19" s="4">
        <f>Hotel!AV24*0.00378541*100</f>
        <v>573.48961499999996</v>
      </c>
      <c r="S19" s="4">
        <f>Hotel!B24</f>
        <v>215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8280</v>
      </c>
      <c r="F20" s="4">
        <f>Hotel!R25</f>
        <v>1760</v>
      </c>
      <c r="G20" s="4">
        <f>Hotel!S25</f>
        <v>0</v>
      </c>
      <c r="H20" s="4">
        <f>Hotel!T25</f>
        <v>1380</v>
      </c>
      <c r="I20" s="4">
        <f>Hotel!U25</f>
        <v>5230</v>
      </c>
      <c r="J20" s="4">
        <f>Hotel!V25</f>
        <v>4250</v>
      </c>
      <c r="K20" s="4">
        <f>Hotel!W25</f>
        <v>2850</v>
      </c>
      <c r="L20" s="4">
        <f>Hotel!X25</f>
        <v>4300</v>
      </c>
      <c r="M20" s="4">
        <f>Hotel!Y25</f>
        <v>5510</v>
      </c>
      <c r="N20" s="4">
        <f>Hotel!Z25</f>
        <v>2470</v>
      </c>
      <c r="O20" s="4">
        <f>Hotel!AA25</f>
        <v>3440</v>
      </c>
      <c r="P20" s="4">
        <f>Hotel!AB25</f>
        <v>6870</v>
      </c>
      <c r="Q20" s="4">
        <f>Hotel!AC25</f>
        <v>11380</v>
      </c>
      <c r="R20" s="4">
        <f>Hotel!AV25*0.00378541*100</f>
        <v>659.41842199999996</v>
      </c>
      <c r="S20" s="4">
        <f>Hotel!B25</f>
        <v>126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9660</v>
      </c>
      <c r="F21" s="4">
        <f>Hotel!R26</f>
        <v>2030</v>
      </c>
      <c r="G21" s="4">
        <f>Hotel!S26</f>
        <v>0</v>
      </c>
      <c r="H21" s="4">
        <f>Hotel!T26</f>
        <v>1610</v>
      </c>
      <c r="I21" s="4">
        <f>Hotel!U26</f>
        <v>5520</v>
      </c>
      <c r="J21" s="4">
        <f>Hotel!V26</f>
        <v>4190</v>
      </c>
      <c r="K21" s="4">
        <f>Hotel!W26</f>
        <v>3300</v>
      </c>
      <c r="L21" s="4">
        <f>Hotel!X26</f>
        <v>4370</v>
      </c>
      <c r="M21" s="4">
        <f>Hotel!Y26</f>
        <v>6060</v>
      </c>
      <c r="N21" s="4">
        <f>Hotel!Z26</f>
        <v>2600</v>
      </c>
      <c r="O21" s="4">
        <f>Hotel!AA26</f>
        <v>3460</v>
      </c>
      <c r="P21" s="4">
        <f>Hotel!AB26</f>
        <v>7780</v>
      </c>
      <c r="Q21" s="4">
        <f>Hotel!AC26</f>
        <v>11230</v>
      </c>
      <c r="R21" s="4">
        <f>Hotel!AV26*0.00378541*100</f>
        <v>731.34121199999993</v>
      </c>
      <c r="S21" s="4">
        <f>Hotel!B26</f>
        <v>88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4410</v>
      </c>
      <c r="F22" s="4">
        <f>Hotel!R27</f>
        <v>5360</v>
      </c>
      <c r="G22" s="4">
        <f>Hotel!S27</f>
        <v>0</v>
      </c>
      <c r="H22" s="4">
        <f>Hotel!T27</f>
        <v>1370</v>
      </c>
      <c r="I22" s="4">
        <f>Hotel!U27</f>
        <v>4880</v>
      </c>
      <c r="J22" s="4">
        <f>Hotel!V27</f>
        <v>3450</v>
      </c>
      <c r="K22" s="4">
        <f>Hotel!W27</f>
        <v>2980</v>
      </c>
      <c r="L22" s="4">
        <f>Hotel!X27</f>
        <v>4390</v>
      </c>
      <c r="M22" s="4">
        <f>Hotel!Y27</f>
        <v>4990</v>
      </c>
      <c r="N22" s="4">
        <f>Hotel!Z27</f>
        <v>2330</v>
      </c>
      <c r="O22" s="4">
        <f>Hotel!AA27</f>
        <v>3100</v>
      </c>
      <c r="P22" s="4">
        <f>Hotel!AB27</f>
        <v>6660</v>
      </c>
      <c r="Q22" s="4">
        <f>Hotel!AC27</f>
        <v>10890</v>
      </c>
      <c r="R22" s="4">
        <f>Hotel!AV27*0.00378541*100</f>
        <v>646.92656899999997</v>
      </c>
      <c r="S22" s="4">
        <f>Hotel!B27</f>
        <v>133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560</v>
      </c>
      <c r="F23" s="4">
        <f>Hotel!R28</f>
        <v>10530</v>
      </c>
      <c r="G23" s="4">
        <f>Hotel!S28</f>
        <v>0</v>
      </c>
      <c r="H23" s="4">
        <f>Hotel!T28</f>
        <v>1450</v>
      </c>
      <c r="I23" s="4">
        <f>Hotel!U28</f>
        <v>5260</v>
      </c>
      <c r="J23" s="4">
        <f>Hotel!V28</f>
        <v>3640</v>
      </c>
      <c r="K23" s="4">
        <f>Hotel!W28</f>
        <v>3060</v>
      </c>
      <c r="L23" s="4">
        <f>Hotel!X28</f>
        <v>4760</v>
      </c>
      <c r="M23" s="4">
        <f>Hotel!Y28</f>
        <v>5314</v>
      </c>
      <c r="N23" s="4">
        <f>Hotel!Z28</f>
        <v>2480</v>
      </c>
      <c r="O23" s="4">
        <f>Hotel!AA28</f>
        <v>3170</v>
      </c>
      <c r="P23" s="4">
        <f>Hotel!AB28</f>
        <v>6960</v>
      </c>
      <c r="Q23" s="4">
        <f>Hotel!AC28</f>
        <v>11430</v>
      </c>
      <c r="R23" s="4">
        <f>Hotel!AV28*0.00378541*100</f>
        <v>649.95489700000007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560</v>
      </c>
      <c r="F24" s="4">
        <f>Hotel!R29</f>
        <v>11550</v>
      </c>
      <c r="G24" s="4">
        <f>Hotel!S29</f>
        <v>0</v>
      </c>
      <c r="H24" s="4">
        <f>Hotel!T29</f>
        <v>1490</v>
      </c>
      <c r="I24" s="4">
        <f>Hotel!U29</f>
        <v>5170</v>
      </c>
      <c r="J24" s="4">
        <f>Hotel!V29</f>
        <v>3730</v>
      </c>
      <c r="K24" s="4">
        <f>Hotel!W29</f>
        <v>3280</v>
      </c>
      <c r="L24" s="4">
        <f>Hotel!X29</f>
        <v>4650</v>
      </c>
      <c r="M24" s="4">
        <f>Hotel!Y29</f>
        <v>5376</v>
      </c>
      <c r="N24" s="4">
        <f>Hotel!Z29</f>
        <v>2640</v>
      </c>
      <c r="O24" s="4">
        <f>Hotel!AA29</f>
        <v>3180</v>
      </c>
      <c r="P24" s="4">
        <f>Hotel!AB29</f>
        <v>7140</v>
      </c>
      <c r="Q24" s="4">
        <f>Hotel!AC29</f>
        <v>11070</v>
      </c>
      <c r="R24" s="4">
        <f>Hotel!AV29*0.00378541*100</f>
        <v>663.960914</v>
      </c>
      <c r="S24" s="4">
        <f>Hotel!B29</f>
        <v>152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550</v>
      </c>
      <c r="F25" s="4">
        <f>Hotel!R30</f>
        <v>11490</v>
      </c>
      <c r="G25" s="4">
        <f>Hotel!S30</f>
        <v>0</v>
      </c>
      <c r="H25" s="4">
        <f>Hotel!T30</f>
        <v>1460</v>
      </c>
      <c r="I25" s="4">
        <f>Hotel!U30</f>
        <v>5150</v>
      </c>
      <c r="J25" s="4">
        <f>Hotel!V30</f>
        <v>6910</v>
      </c>
      <c r="K25" s="4">
        <f>Hotel!W30</f>
        <v>3090</v>
      </c>
      <c r="L25" s="4">
        <f>Hotel!X30</f>
        <v>4720</v>
      </c>
      <c r="M25" s="4">
        <f>Hotel!Y30</f>
        <v>4910</v>
      </c>
      <c r="N25" s="4">
        <f>Hotel!Z30</f>
        <v>2790</v>
      </c>
      <c r="O25" s="4">
        <f>Hotel!AA30</f>
        <v>3500</v>
      </c>
      <c r="P25" s="4">
        <f>Hotel!AB30</f>
        <v>7070</v>
      </c>
      <c r="Q25" s="4">
        <f>Hotel!AC30</f>
        <v>10900</v>
      </c>
      <c r="R25" s="4">
        <f>Hotel!AV30*0.00378541*100</f>
        <v>617.02183000000002</v>
      </c>
      <c r="S25" s="4">
        <f>Hotel!B30</f>
        <v>224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590</v>
      </c>
      <c r="F26" s="4">
        <f>Hotel!R31</f>
        <v>11580</v>
      </c>
      <c r="G26" s="4">
        <f>Hotel!S31</f>
        <v>0</v>
      </c>
      <c r="H26" s="4">
        <f>Hotel!T31</f>
        <v>1550</v>
      </c>
      <c r="I26" s="4">
        <f>Hotel!U31</f>
        <v>5790</v>
      </c>
      <c r="J26" s="4">
        <f>Hotel!V31</f>
        <v>1350</v>
      </c>
      <c r="K26" s="4">
        <f>Hotel!W31</f>
        <v>3230</v>
      </c>
      <c r="L26" s="4">
        <f>Hotel!X31</f>
        <v>4920</v>
      </c>
      <c r="M26" s="4">
        <f>Hotel!Y31</f>
        <v>4740</v>
      </c>
      <c r="N26" s="4">
        <f>Hotel!Z31</f>
        <v>2940</v>
      </c>
      <c r="O26" s="4">
        <f>Hotel!AA31</f>
        <v>3770</v>
      </c>
      <c r="P26" s="4">
        <f>Hotel!AB31</f>
        <v>7450</v>
      </c>
      <c r="Q26" s="4">
        <f>Hotel!AC31</f>
        <v>13100</v>
      </c>
      <c r="R26" s="4">
        <f>Hotel!AV31*0.00378541*100</f>
        <v>661.68966799999998</v>
      </c>
      <c r="S26" s="4">
        <f>Hotel!B31</f>
        <v>232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4" zoomScale="93" zoomScaleNormal="93" workbookViewId="0">
      <selection activeCell="AX27" sqref="AX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>
        <v>195</v>
      </c>
      <c r="C22" s="24">
        <v>7782410</v>
      </c>
      <c r="D22" s="24">
        <v>18161790</v>
      </c>
      <c r="E22" s="24">
        <v>3200810</v>
      </c>
      <c r="F22" s="24">
        <v>3938810</v>
      </c>
      <c r="G22" s="24">
        <v>11695200</v>
      </c>
      <c r="H22" s="24">
        <v>6608890</v>
      </c>
      <c r="I22" s="24">
        <v>5772150</v>
      </c>
      <c r="J22" s="44">
        <v>7155190</v>
      </c>
      <c r="K22" s="24">
        <v>10690640</v>
      </c>
      <c r="L22" s="24">
        <v>4562460</v>
      </c>
      <c r="M22" s="24">
        <v>8781000</v>
      </c>
      <c r="N22" s="24">
        <v>14053620</v>
      </c>
      <c r="O22" s="44">
        <v>19596430</v>
      </c>
      <c r="Q22" s="37">
        <f t="shared" si="17"/>
        <v>8110</v>
      </c>
      <c r="R22" s="37">
        <f t="shared" si="18"/>
        <v>1880</v>
      </c>
      <c r="S22" s="37">
        <f t="shared" si="16"/>
        <v>0</v>
      </c>
      <c r="T22" s="37">
        <f t="shared" si="19"/>
        <v>1460</v>
      </c>
      <c r="U22" s="37">
        <f t="shared" si="20"/>
        <v>5450</v>
      </c>
      <c r="V22" s="37">
        <f t="shared" si="21"/>
        <v>4560</v>
      </c>
      <c r="W22" s="37">
        <f t="shared" si="22"/>
        <v>3050</v>
      </c>
      <c r="X22" s="37">
        <f t="shared" si="23"/>
        <v>4880</v>
      </c>
      <c r="Y22" s="37">
        <f t="shared" si="24"/>
        <v>5580</v>
      </c>
      <c r="Z22" s="37">
        <f t="shared" si="25"/>
        <v>2650</v>
      </c>
      <c r="AA22" s="37">
        <f t="shared" si="26"/>
        <v>3500</v>
      </c>
      <c r="AB22" s="37">
        <f t="shared" si="27"/>
        <v>7020</v>
      </c>
      <c r="AC22" s="37">
        <f t="shared" si="28"/>
        <v>12470</v>
      </c>
      <c r="AD22" s="35">
        <f t="shared" si="29"/>
        <v>60610</v>
      </c>
      <c r="AF22" s="20">
        <f t="shared" si="1"/>
        <v>40.550000000000004</v>
      </c>
      <c r="AG22" s="20">
        <f t="shared" si="2"/>
        <v>9.4</v>
      </c>
      <c r="AH22" s="20">
        <f t="shared" si="3"/>
        <v>0</v>
      </c>
      <c r="AI22" s="20">
        <f t="shared" si="4"/>
        <v>7.3</v>
      </c>
      <c r="AJ22" s="20">
        <f t="shared" si="5"/>
        <v>27.25</v>
      </c>
      <c r="AK22" s="20">
        <f t="shared" si="6"/>
        <v>22.8</v>
      </c>
      <c r="AL22" s="20">
        <f t="shared" si="7"/>
        <v>15.25</v>
      </c>
      <c r="AM22" s="20">
        <f t="shared" si="8"/>
        <v>24.400000000000002</v>
      </c>
      <c r="AN22" s="20">
        <f t="shared" si="9"/>
        <v>27.900000000000002</v>
      </c>
      <c r="AO22" s="20">
        <f t="shared" si="10"/>
        <v>13.25</v>
      </c>
      <c r="AP22" s="20">
        <f t="shared" si="11"/>
        <v>17.5</v>
      </c>
      <c r="AQ22" s="20">
        <f t="shared" si="12"/>
        <v>35.1</v>
      </c>
      <c r="AR22" s="20">
        <f t="shared" si="13"/>
        <v>62.35</v>
      </c>
      <c r="AS22" s="35">
        <f t="shared" si="30"/>
        <v>303.05</v>
      </c>
      <c r="AU22" s="47">
        <v>591001</v>
      </c>
      <c r="AV22" s="37">
        <f t="shared" si="31"/>
        <v>1800</v>
      </c>
      <c r="AW22" s="35">
        <f t="shared" si="14"/>
        <v>3.6</v>
      </c>
    </row>
    <row r="23" spans="1:49" x14ac:dyDescent="0.25">
      <c r="A23" s="23">
        <v>44637</v>
      </c>
      <c r="B23" s="40">
        <v>231</v>
      </c>
      <c r="C23" s="24">
        <v>7789780</v>
      </c>
      <c r="D23" s="24">
        <v>18163940</v>
      </c>
      <c r="E23" s="24">
        <v>3200810</v>
      </c>
      <c r="F23" s="24">
        <v>3940470</v>
      </c>
      <c r="G23" s="24">
        <v>11701590</v>
      </c>
      <c r="H23" s="24">
        <v>6613980</v>
      </c>
      <c r="I23" s="24">
        <v>5775390</v>
      </c>
      <c r="J23" s="24">
        <v>7160890</v>
      </c>
      <c r="K23" s="24">
        <v>10696840</v>
      </c>
      <c r="L23" s="24">
        <v>4565550</v>
      </c>
      <c r="M23" s="24">
        <v>8785000</v>
      </c>
      <c r="N23" s="24">
        <v>14061670</v>
      </c>
      <c r="O23" s="24">
        <v>19610920</v>
      </c>
      <c r="Q23" s="37">
        <f t="shared" si="17"/>
        <v>7370</v>
      </c>
      <c r="R23" s="37">
        <f t="shared" si="18"/>
        <v>2150</v>
      </c>
      <c r="S23" s="37">
        <f t="shared" si="16"/>
        <v>0</v>
      </c>
      <c r="T23" s="37">
        <f t="shared" si="19"/>
        <v>1660</v>
      </c>
      <c r="U23" s="37">
        <f t="shared" si="20"/>
        <v>6390</v>
      </c>
      <c r="V23" s="37">
        <f t="shared" si="21"/>
        <v>5090</v>
      </c>
      <c r="W23" s="37">
        <f t="shared" si="22"/>
        <v>3240</v>
      </c>
      <c r="X23" s="37">
        <f t="shared" si="23"/>
        <v>5700</v>
      </c>
      <c r="Y23" s="37">
        <f t="shared" si="24"/>
        <v>6200</v>
      </c>
      <c r="Z23" s="37">
        <f t="shared" si="25"/>
        <v>3090</v>
      </c>
      <c r="AA23" s="37">
        <f t="shared" si="26"/>
        <v>4000</v>
      </c>
      <c r="AB23" s="37">
        <f t="shared" si="27"/>
        <v>8050</v>
      </c>
      <c r="AC23" s="37">
        <f t="shared" si="28"/>
        <v>14490</v>
      </c>
      <c r="AD23" s="35">
        <f t="shared" si="29"/>
        <v>67430</v>
      </c>
      <c r="AF23" s="20">
        <f t="shared" si="1"/>
        <v>36.85</v>
      </c>
      <c r="AG23" s="20">
        <f t="shared" si="2"/>
        <v>10.75</v>
      </c>
      <c r="AH23" s="20">
        <f t="shared" si="3"/>
        <v>0</v>
      </c>
      <c r="AI23" s="20">
        <f t="shared" si="4"/>
        <v>8.3000000000000007</v>
      </c>
      <c r="AJ23" s="20">
        <f t="shared" si="5"/>
        <v>31.95</v>
      </c>
      <c r="AK23" s="20">
        <f t="shared" si="6"/>
        <v>25.45</v>
      </c>
      <c r="AL23" s="20">
        <f t="shared" si="7"/>
        <v>16.2</v>
      </c>
      <c r="AM23" s="20">
        <f t="shared" si="8"/>
        <v>28.5</v>
      </c>
      <c r="AN23" s="20">
        <f t="shared" si="9"/>
        <v>31</v>
      </c>
      <c r="AO23" s="20">
        <f t="shared" si="10"/>
        <v>15.450000000000001</v>
      </c>
      <c r="AP23" s="20">
        <f t="shared" si="11"/>
        <v>20</v>
      </c>
      <c r="AQ23" s="20">
        <f t="shared" si="12"/>
        <v>40.25</v>
      </c>
      <c r="AR23" s="20">
        <f t="shared" si="13"/>
        <v>72.45</v>
      </c>
      <c r="AS23" s="35">
        <f t="shared" si="30"/>
        <v>337.15</v>
      </c>
      <c r="AU23" s="47">
        <v>592788</v>
      </c>
      <c r="AV23" s="37">
        <f t="shared" si="31"/>
        <v>1787</v>
      </c>
      <c r="AW23" s="35">
        <f t="shared" si="14"/>
        <v>3.5740000000000003</v>
      </c>
    </row>
    <row r="24" spans="1:49" x14ac:dyDescent="0.25">
      <c r="A24" s="23">
        <v>44638</v>
      </c>
      <c r="B24" s="40">
        <v>215</v>
      </c>
      <c r="C24" s="24">
        <v>7798630</v>
      </c>
      <c r="D24" s="24">
        <v>18165720</v>
      </c>
      <c r="E24" s="24">
        <v>3200810</v>
      </c>
      <c r="F24" s="24">
        <v>3941870</v>
      </c>
      <c r="G24" s="24">
        <v>11707100</v>
      </c>
      <c r="H24" s="24">
        <v>6618320</v>
      </c>
      <c r="I24" s="24">
        <v>5778400</v>
      </c>
      <c r="J24" s="24">
        <v>7166080</v>
      </c>
      <c r="K24" s="24">
        <v>10702280</v>
      </c>
      <c r="L24" s="24">
        <v>4568240</v>
      </c>
      <c r="M24" s="24">
        <v>8788600</v>
      </c>
      <c r="N24" s="24">
        <v>14068660</v>
      </c>
      <c r="O24" s="24">
        <v>19622780</v>
      </c>
      <c r="Q24" s="37">
        <f t="shared" si="17"/>
        <v>8850</v>
      </c>
      <c r="R24" s="37">
        <f t="shared" si="18"/>
        <v>1780</v>
      </c>
      <c r="S24" s="37">
        <f t="shared" si="16"/>
        <v>0</v>
      </c>
      <c r="T24" s="37">
        <f t="shared" si="19"/>
        <v>1400</v>
      </c>
      <c r="U24" s="37">
        <f t="shared" si="20"/>
        <v>5510</v>
      </c>
      <c r="V24" s="37">
        <f t="shared" si="21"/>
        <v>4340</v>
      </c>
      <c r="W24" s="37">
        <f t="shared" si="22"/>
        <v>3010</v>
      </c>
      <c r="X24" s="37">
        <f t="shared" si="23"/>
        <v>5190</v>
      </c>
      <c r="Y24" s="37">
        <f t="shared" si="24"/>
        <v>5440</v>
      </c>
      <c r="Z24" s="37">
        <f t="shared" si="25"/>
        <v>2690</v>
      </c>
      <c r="AA24" s="37">
        <f t="shared" si="26"/>
        <v>3600</v>
      </c>
      <c r="AB24" s="37">
        <f t="shared" si="27"/>
        <v>6990</v>
      </c>
      <c r="AC24" s="37">
        <f t="shared" si="28"/>
        <v>11860</v>
      </c>
      <c r="AD24" s="35">
        <f t="shared" si="29"/>
        <v>60660</v>
      </c>
      <c r="AF24" s="20">
        <f t="shared" si="1"/>
        <v>44.25</v>
      </c>
      <c r="AG24" s="20">
        <f t="shared" si="2"/>
        <v>8.9</v>
      </c>
      <c r="AH24" s="20">
        <f t="shared" si="3"/>
        <v>0</v>
      </c>
      <c r="AI24" s="20">
        <f t="shared" si="4"/>
        <v>7</v>
      </c>
      <c r="AJ24" s="20">
        <f t="shared" si="5"/>
        <v>27.55</v>
      </c>
      <c r="AK24" s="20">
        <f t="shared" si="6"/>
        <v>21.7</v>
      </c>
      <c r="AL24" s="20">
        <f t="shared" si="7"/>
        <v>15.05</v>
      </c>
      <c r="AM24" s="20">
        <f t="shared" si="8"/>
        <v>25.95</v>
      </c>
      <c r="AN24" s="20">
        <f t="shared" si="9"/>
        <v>27.2</v>
      </c>
      <c r="AO24" s="20">
        <f t="shared" si="10"/>
        <v>13.450000000000001</v>
      </c>
      <c r="AP24" s="20">
        <f t="shared" si="11"/>
        <v>18</v>
      </c>
      <c r="AQ24" s="20">
        <f t="shared" si="12"/>
        <v>34.950000000000003</v>
      </c>
      <c r="AR24" s="20">
        <f t="shared" si="13"/>
        <v>59.300000000000004</v>
      </c>
      <c r="AS24" s="35">
        <f t="shared" si="30"/>
        <v>303.3</v>
      </c>
      <c r="AU24" s="47">
        <v>594303</v>
      </c>
      <c r="AV24" s="37">
        <f t="shared" si="31"/>
        <v>1515</v>
      </c>
      <c r="AW24" s="35">
        <f t="shared" si="14"/>
        <v>3.0300000000000002</v>
      </c>
    </row>
    <row r="25" spans="1:49" x14ac:dyDescent="0.25">
      <c r="A25" s="23">
        <v>44639</v>
      </c>
      <c r="B25" s="40">
        <v>126</v>
      </c>
      <c r="C25" s="24">
        <v>7806910</v>
      </c>
      <c r="D25" s="24">
        <v>18167480</v>
      </c>
      <c r="E25" s="24">
        <v>3200810</v>
      </c>
      <c r="F25" s="24">
        <v>3943250</v>
      </c>
      <c r="G25" s="24">
        <v>11712330</v>
      </c>
      <c r="H25" s="24">
        <v>6622570</v>
      </c>
      <c r="I25" s="24">
        <v>5781250</v>
      </c>
      <c r="J25" s="24">
        <v>7170380</v>
      </c>
      <c r="K25" s="24">
        <v>10707790</v>
      </c>
      <c r="L25" s="24">
        <v>4570710</v>
      </c>
      <c r="M25" s="24">
        <v>8792040</v>
      </c>
      <c r="N25" s="24">
        <v>14075530</v>
      </c>
      <c r="O25" s="24">
        <v>19634160</v>
      </c>
      <c r="Q25" s="37">
        <f t="shared" ref="Q25:AC27" si="33">IF((C25-C24&lt;0), "0",C25-C24)</f>
        <v>8280</v>
      </c>
      <c r="R25" s="37">
        <f t="shared" si="33"/>
        <v>1760</v>
      </c>
      <c r="S25" s="37">
        <f t="shared" si="33"/>
        <v>0</v>
      </c>
      <c r="T25" s="37">
        <f t="shared" si="33"/>
        <v>1380</v>
      </c>
      <c r="U25" s="37">
        <f t="shared" si="33"/>
        <v>5230</v>
      </c>
      <c r="V25" s="37">
        <f t="shared" si="33"/>
        <v>4250</v>
      </c>
      <c r="W25" s="37">
        <f t="shared" si="33"/>
        <v>2850</v>
      </c>
      <c r="X25" s="37">
        <f t="shared" si="33"/>
        <v>4300</v>
      </c>
      <c r="Y25" s="37">
        <f t="shared" si="33"/>
        <v>5510</v>
      </c>
      <c r="Z25" s="37">
        <f t="shared" si="33"/>
        <v>2470</v>
      </c>
      <c r="AA25" s="37">
        <f t="shared" si="33"/>
        <v>3440</v>
      </c>
      <c r="AB25" s="37">
        <f t="shared" si="33"/>
        <v>6870</v>
      </c>
      <c r="AC25" s="37">
        <f t="shared" si="33"/>
        <v>11380</v>
      </c>
      <c r="AD25" s="35">
        <f t="shared" si="29"/>
        <v>57720</v>
      </c>
      <c r="AF25" s="20">
        <f t="shared" si="1"/>
        <v>41.4</v>
      </c>
      <c r="AG25" s="20">
        <f t="shared" si="2"/>
        <v>8.8000000000000007</v>
      </c>
      <c r="AH25" s="20">
        <f t="shared" si="3"/>
        <v>0</v>
      </c>
      <c r="AI25" s="20">
        <f t="shared" si="4"/>
        <v>6.9</v>
      </c>
      <c r="AJ25" s="20">
        <f t="shared" si="5"/>
        <v>26.150000000000002</v>
      </c>
      <c r="AK25" s="20">
        <f t="shared" si="6"/>
        <v>21.25</v>
      </c>
      <c r="AL25" s="20">
        <f t="shared" si="7"/>
        <v>14.25</v>
      </c>
      <c r="AM25" s="20">
        <f t="shared" si="8"/>
        <v>21.5</v>
      </c>
      <c r="AN25" s="20">
        <f t="shared" si="9"/>
        <v>27.55</v>
      </c>
      <c r="AO25" s="20">
        <f t="shared" si="10"/>
        <v>12.35</v>
      </c>
      <c r="AP25" s="20">
        <f t="shared" si="11"/>
        <v>17.2</v>
      </c>
      <c r="AQ25" s="20">
        <f t="shared" si="12"/>
        <v>34.35</v>
      </c>
      <c r="AR25" s="20">
        <f t="shared" si="13"/>
        <v>56.9</v>
      </c>
      <c r="AS25" s="35">
        <f t="shared" si="30"/>
        <v>288.59999999999997</v>
      </c>
      <c r="AU25" s="47">
        <v>596045</v>
      </c>
      <c r="AV25" s="37">
        <f t="shared" si="31"/>
        <v>1742</v>
      </c>
      <c r="AW25" s="35">
        <f t="shared" si="14"/>
        <v>3.484</v>
      </c>
    </row>
    <row r="26" spans="1:49" x14ac:dyDescent="0.25">
      <c r="A26" s="23">
        <v>44640</v>
      </c>
      <c r="B26" s="40">
        <v>88</v>
      </c>
      <c r="C26" s="24">
        <v>7816570</v>
      </c>
      <c r="D26" s="24">
        <v>18169510</v>
      </c>
      <c r="E26" s="24">
        <v>3200810</v>
      </c>
      <c r="F26" s="24">
        <v>3944860</v>
      </c>
      <c r="G26" s="24">
        <v>11717850</v>
      </c>
      <c r="H26" s="24">
        <v>6626760</v>
      </c>
      <c r="I26" s="24">
        <v>5784550</v>
      </c>
      <c r="J26" s="24">
        <v>7174750</v>
      </c>
      <c r="K26" s="24">
        <v>10713850</v>
      </c>
      <c r="L26" s="24">
        <v>4573310</v>
      </c>
      <c r="M26" s="24">
        <v>8795500</v>
      </c>
      <c r="N26" s="24">
        <v>14083310</v>
      </c>
      <c r="O26" s="24">
        <v>19645390</v>
      </c>
      <c r="Q26" s="37">
        <f t="shared" si="33"/>
        <v>9660</v>
      </c>
      <c r="R26" s="37">
        <f t="shared" si="33"/>
        <v>2030</v>
      </c>
      <c r="S26" s="37">
        <f t="shared" si="33"/>
        <v>0</v>
      </c>
      <c r="T26" s="37">
        <f t="shared" si="33"/>
        <v>1610</v>
      </c>
      <c r="U26" s="37">
        <f t="shared" si="33"/>
        <v>5520</v>
      </c>
      <c r="V26" s="37">
        <f t="shared" si="33"/>
        <v>4190</v>
      </c>
      <c r="W26" s="37">
        <f t="shared" si="33"/>
        <v>3300</v>
      </c>
      <c r="X26" s="37">
        <f t="shared" si="33"/>
        <v>4370</v>
      </c>
      <c r="Y26" s="37">
        <f t="shared" si="33"/>
        <v>6060</v>
      </c>
      <c r="Z26" s="37">
        <f t="shared" si="33"/>
        <v>2600</v>
      </c>
      <c r="AA26" s="37">
        <f t="shared" si="33"/>
        <v>3460</v>
      </c>
      <c r="AB26" s="37">
        <f t="shared" si="33"/>
        <v>7780</v>
      </c>
      <c r="AC26" s="37">
        <f t="shared" si="33"/>
        <v>11230</v>
      </c>
      <c r="AD26" s="35">
        <f t="shared" si="29"/>
        <v>61810</v>
      </c>
      <c r="AF26" s="20">
        <f t="shared" si="1"/>
        <v>48.300000000000004</v>
      </c>
      <c r="AG26" s="20">
        <f t="shared" si="2"/>
        <v>10.15</v>
      </c>
      <c r="AH26" s="20">
        <f t="shared" si="3"/>
        <v>0</v>
      </c>
      <c r="AI26" s="20">
        <f t="shared" si="4"/>
        <v>8.0500000000000007</v>
      </c>
      <c r="AJ26" s="20">
        <f t="shared" si="5"/>
        <v>27.6</v>
      </c>
      <c r="AK26" s="20">
        <f t="shared" si="6"/>
        <v>20.95</v>
      </c>
      <c r="AL26" s="20">
        <f t="shared" si="7"/>
        <v>16.5</v>
      </c>
      <c r="AM26" s="20">
        <f t="shared" si="8"/>
        <v>21.85</v>
      </c>
      <c r="AN26" s="20">
        <f t="shared" si="9"/>
        <v>30.3</v>
      </c>
      <c r="AO26" s="20">
        <f t="shared" si="10"/>
        <v>13</v>
      </c>
      <c r="AP26" s="20">
        <f t="shared" si="11"/>
        <v>17.3</v>
      </c>
      <c r="AQ26" s="20">
        <f t="shared" si="12"/>
        <v>38.9</v>
      </c>
      <c r="AR26" s="20">
        <f t="shared" si="13"/>
        <v>56.15</v>
      </c>
      <c r="AS26" s="35">
        <f t="shared" si="30"/>
        <v>309.05</v>
      </c>
      <c r="AU26" s="47">
        <v>597977</v>
      </c>
      <c r="AV26" s="37">
        <f t="shared" si="31"/>
        <v>1932</v>
      </c>
      <c r="AW26" s="35">
        <f t="shared" si="14"/>
        <v>3.8639999999999999</v>
      </c>
    </row>
    <row r="27" spans="1:49" x14ac:dyDescent="0.25">
      <c r="A27" s="23">
        <v>44641</v>
      </c>
      <c r="B27" s="40">
        <v>133</v>
      </c>
      <c r="C27" s="24">
        <v>7820980</v>
      </c>
      <c r="D27" s="24">
        <v>18174870</v>
      </c>
      <c r="E27" s="24">
        <v>3200810</v>
      </c>
      <c r="F27" s="24">
        <v>3946230</v>
      </c>
      <c r="G27" s="24">
        <v>11722730</v>
      </c>
      <c r="H27" s="24">
        <v>6630210</v>
      </c>
      <c r="I27" s="24">
        <v>5787530</v>
      </c>
      <c r="J27" s="24">
        <v>7179140</v>
      </c>
      <c r="K27" s="24">
        <v>10718840</v>
      </c>
      <c r="L27" s="24">
        <v>4575640</v>
      </c>
      <c r="M27" s="24">
        <v>8798600</v>
      </c>
      <c r="N27" s="24">
        <v>14089970</v>
      </c>
      <c r="O27" s="24">
        <v>19656280</v>
      </c>
      <c r="Q27" s="37">
        <f t="shared" si="33"/>
        <v>4410</v>
      </c>
      <c r="R27" s="37">
        <f t="shared" si="33"/>
        <v>5360</v>
      </c>
      <c r="S27" s="37">
        <f t="shared" si="33"/>
        <v>0</v>
      </c>
      <c r="T27" s="37">
        <f t="shared" si="33"/>
        <v>1370</v>
      </c>
      <c r="U27" s="37">
        <f t="shared" si="33"/>
        <v>4880</v>
      </c>
      <c r="V27" s="37">
        <f t="shared" si="33"/>
        <v>3450</v>
      </c>
      <c r="W27" s="37">
        <f t="shared" si="33"/>
        <v>2980</v>
      </c>
      <c r="X27" s="37">
        <f t="shared" si="33"/>
        <v>4390</v>
      </c>
      <c r="Y27" s="37">
        <f t="shared" si="33"/>
        <v>4990</v>
      </c>
      <c r="Z27" s="37">
        <f t="shared" si="33"/>
        <v>2330</v>
      </c>
      <c r="AA27" s="37">
        <f t="shared" si="33"/>
        <v>3100</v>
      </c>
      <c r="AB27" s="37">
        <f t="shared" si="33"/>
        <v>6660</v>
      </c>
      <c r="AC27" s="37">
        <f t="shared" si="33"/>
        <v>10890</v>
      </c>
      <c r="AD27" s="35">
        <f t="shared" si="29"/>
        <v>54810</v>
      </c>
      <c r="AF27" s="20">
        <f t="shared" si="1"/>
        <v>22.05</v>
      </c>
      <c r="AG27" s="20">
        <f t="shared" si="2"/>
        <v>26.8</v>
      </c>
      <c r="AH27" s="20">
        <f t="shared" si="3"/>
        <v>0</v>
      </c>
      <c r="AI27" s="20">
        <f t="shared" si="4"/>
        <v>6.8500000000000005</v>
      </c>
      <c r="AJ27" s="20">
        <f t="shared" si="5"/>
        <v>24.400000000000002</v>
      </c>
      <c r="AK27" s="20">
        <f t="shared" si="6"/>
        <v>17.25</v>
      </c>
      <c r="AL27" s="20">
        <f t="shared" si="7"/>
        <v>14.9</v>
      </c>
      <c r="AM27" s="20">
        <f t="shared" si="8"/>
        <v>21.95</v>
      </c>
      <c r="AN27" s="20">
        <f t="shared" si="9"/>
        <v>24.95</v>
      </c>
      <c r="AO27" s="20">
        <f t="shared" si="10"/>
        <v>11.65</v>
      </c>
      <c r="AP27" s="20">
        <f t="shared" si="11"/>
        <v>15.5</v>
      </c>
      <c r="AQ27" s="20">
        <f t="shared" si="12"/>
        <v>33.299999999999997</v>
      </c>
      <c r="AR27" s="20">
        <f t="shared" si="13"/>
        <v>54.45</v>
      </c>
      <c r="AS27" s="35">
        <f t="shared" si="30"/>
        <v>274.05</v>
      </c>
      <c r="AU27" s="47">
        <v>599686</v>
      </c>
      <c r="AV27" s="37">
        <f>IF((AU27-AU26&lt;0),"0",AU27-AU26)</f>
        <v>1709</v>
      </c>
      <c r="AW27" s="35">
        <f t="shared" si="14"/>
        <v>3.4180000000000001</v>
      </c>
    </row>
    <row r="28" spans="1:49" x14ac:dyDescent="0.25">
      <c r="A28" s="23">
        <v>44642</v>
      </c>
      <c r="B28" s="40">
        <v>126</v>
      </c>
      <c r="C28" s="24">
        <v>7821540</v>
      </c>
      <c r="D28" s="24">
        <v>18185400</v>
      </c>
      <c r="E28" s="24">
        <v>3200810</v>
      </c>
      <c r="F28" s="24">
        <v>3947680</v>
      </c>
      <c r="G28" s="24">
        <v>11727990</v>
      </c>
      <c r="H28" s="24">
        <v>6633850</v>
      </c>
      <c r="I28" s="24">
        <v>5790590</v>
      </c>
      <c r="J28" s="24">
        <v>7183900</v>
      </c>
      <c r="K28" s="24">
        <v>10724154</v>
      </c>
      <c r="L28" s="24">
        <v>4578120</v>
      </c>
      <c r="M28" s="24">
        <v>8801770</v>
      </c>
      <c r="N28" s="24">
        <v>14096930</v>
      </c>
      <c r="O28" s="24">
        <v>19667710</v>
      </c>
      <c r="Q28" s="37">
        <f t="shared" si="17"/>
        <v>560</v>
      </c>
      <c r="R28" s="37">
        <f t="shared" si="18"/>
        <v>10530</v>
      </c>
      <c r="S28" s="37">
        <f t="shared" si="16"/>
        <v>0</v>
      </c>
      <c r="T28" s="37">
        <f t="shared" si="19"/>
        <v>1450</v>
      </c>
      <c r="U28" s="37">
        <f t="shared" si="20"/>
        <v>5260</v>
      </c>
      <c r="V28" s="37">
        <f t="shared" si="21"/>
        <v>3640</v>
      </c>
      <c r="W28" s="37">
        <f t="shared" si="22"/>
        <v>3060</v>
      </c>
      <c r="X28" s="37">
        <f t="shared" si="23"/>
        <v>4760</v>
      </c>
      <c r="Y28" s="37">
        <f t="shared" si="24"/>
        <v>5314</v>
      </c>
      <c r="Z28" s="37">
        <f t="shared" si="25"/>
        <v>2480</v>
      </c>
      <c r="AA28" s="37">
        <f t="shared" si="26"/>
        <v>3170</v>
      </c>
      <c r="AB28" s="37">
        <f t="shared" si="27"/>
        <v>6960</v>
      </c>
      <c r="AC28" s="37">
        <f t="shared" si="28"/>
        <v>11430</v>
      </c>
      <c r="AD28" s="35">
        <f t="shared" si="29"/>
        <v>58614</v>
      </c>
      <c r="AF28" s="20">
        <f t="shared" si="1"/>
        <v>2.8000000000000003</v>
      </c>
      <c r="AG28" s="20">
        <f t="shared" si="2"/>
        <v>52.65</v>
      </c>
      <c r="AH28" s="20">
        <f t="shared" si="3"/>
        <v>0</v>
      </c>
      <c r="AI28" s="20">
        <f t="shared" si="4"/>
        <v>7.25</v>
      </c>
      <c r="AJ28" s="20">
        <f t="shared" si="5"/>
        <v>26.3</v>
      </c>
      <c r="AK28" s="20">
        <f t="shared" si="6"/>
        <v>18.2</v>
      </c>
      <c r="AL28" s="20">
        <f t="shared" si="7"/>
        <v>15.3</v>
      </c>
      <c r="AM28" s="20">
        <f t="shared" si="8"/>
        <v>23.8</v>
      </c>
      <c r="AN28" s="20">
        <f t="shared" si="9"/>
        <v>26.57</v>
      </c>
      <c r="AO28" s="20">
        <f t="shared" si="10"/>
        <v>12.4</v>
      </c>
      <c r="AP28" s="20">
        <f t="shared" si="11"/>
        <v>15.85</v>
      </c>
      <c r="AQ28" s="20">
        <f t="shared" si="12"/>
        <v>34.800000000000004</v>
      </c>
      <c r="AR28" s="20">
        <f t="shared" si="13"/>
        <v>57.15</v>
      </c>
      <c r="AS28" s="35">
        <f t="shared" si="30"/>
        <v>293.07</v>
      </c>
      <c r="AU28" s="47">
        <v>601403</v>
      </c>
      <c r="AV28" s="37">
        <f>IF((AU28-AU27&lt;0),"0",AU28-AU27)</f>
        <v>1717</v>
      </c>
      <c r="AW28" s="35">
        <f t="shared" si="14"/>
        <v>3.4340000000000002</v>
      </c>
    </row>
    <row r="29" spans="1:49" x14ac:dyDescent="0.25">
      <c r="A29" s="23">
        <v>44643</v>
      </c>
      <c r="B29" s="40">
        <v>152</v>
      </c>
      <c r="C29" s="24">
        <v>7822100</v>
      </c>
      <c r="D29" s="24">
        <v>18196950</v>
      </c>
      <c r="E29" s="24">
        <v>3200810</v>
      </c>
      <c r="F29" s="24">
        <v>3949170</v>
      </c>
      <c r="G29" s="24">
        <v>11733160</v>
      </c>
      <c r="H29" s="24">
        <v>6637580</v>
      </c>
      <c r="I29" s="24">
        <v>5793870</v>
      </c>
      <c r="J29" s="24">
        <v>7188550</v>
      </c>
      <c r="K29" s="24">
        <v>10729530</v>
      </c>
      <c r="L29" s="24">
        <v>4580760</v>
      </c>
      <c r="M29" s="24">
        <v>8804950</v>
      </c>
      <c r="N29" s="24">
        <v>14104070</v>
      </c>
      <c r="O29" s="24">
        <v>19678780</v>
      </c>
      <c r="Q29" s="37">
        <f t="shared" si="17"/>
        <v>560</v>
      </c>
      <c r="R29" s="37">
        <f t="shared" si="18"/>
        <v>11550</v>
      </c>
      <c r="S29" s="37">
        <f t="shared" si="16"/>
        <v>0</v>
      </c>
      <c r="T29" s="37">
        <f t="shared" si="19"/>
        <v>1490</v>
      </c>
      <c r="U29" s="37">
        <f t="shared" si="20"/>
        <v>5170</v>
      </c>
      <c r="V29" s="37">
        <f t="shared" si="21"/>
        <v>3730</v>
      </c>
      <c r="W29" s="37">
        <f t="shared" si="22"/>
        <v>3280</v>
      </c>
      <c r="X29" s="37">
        <f t="shared" si="23"/>
        <v>4650</v>
      </c>
      <c r="Y29" s="37">
        <f t="shared" si="24"/>
        <v>5376</v>
      </c>
      <c r="Z29" s="37">
        <f t="shared" si="25"/>
        <v>2640</v>
      </c>
      <c r="AA29" s="37">
        <f t="shared" si="26"/>
        <v>3180</v>
      </c>
      <c r="AB29" s="37">
        <f t="shared" si="27"/>
        <v>7140</v>
      </c>
      <c r="AC29" s="37">
        <f t="shared" si="28"/>
        <v>11070</v>
      </c>
      <c r="AD29" s="35">
        <f t="shared" si="29"/>
        <v>59836</v>
      </c>
      <c r="AF29" s="20">
        <f t="shared" si="1"/>
        <v>2.8000000000000003</v>
      </c>
      <c r="AG29" s="20">
        <f t="shared" si="2"/>
        <v>57.75</v>
      </c>
      <c r="AH29" s="20">
        <f t="shared" si="3"/>
        <v>0</v>
      </c>
      <c r="AI29" s="20">
        <f t="shared" si="4"/>
        <v>7.45</v>
      </c>
      <c r="AJ29" s="20">
        <f t="shared" si="5"/>
        <v>25.85</v>
      </c>
      <c r="AK29" s="20">
        <f t="shared" si="6"/>
        <v>18.650000000000002</v>
      </c>
      <c r="AL29" s="20">
        <f t="shared" si="7"/>
        <v>16.399999999999999</v>
      </c>
      <c r="AM29" s="20">
        <f t="shared" si="8"/>
        <v>23.25</v>
      </c>
      <c r="AN29" s="20">
        <f t="shared" si="9"/>
        <v>26.88</v>
      </c>
      <c r="AO29" s="20">
        <f t="shared" si="10"/>
        <v>13.200000000000001</v>
      </c>
      <c r="AP29" s="20">
        <f t="shared" si="11"/>
        <v>15.9</v>
      </c>
      <c r="AQ29" s="20">
        <f t="shared" si="12"/>
        <v>35.700000000000003</v>
      </c>
      <c r="AR29" s="20">
        <f t="shared" si="13"/>
        <v>55.35</v>
      </c>
      <c r="AS29" s="35">
        <f t="shared" si="30"/>
        <v>299.18</v>
      </c>
      <c r="AU29" s="47">
        <v>603157</v>
      </c>
      <c r="AV29" s="37">
        <f>IF((AU29-AU28&lt;0),"0",AU29-AU28)</f>
        <v>1754</v>
      </c>
      <c r="AW29" s="35">
        <f t="shared" si="14"/>
        <v>3.508</v>
      </c>
    </row>
    <row r="30" spans="1:49" x14ac:dyDescent="0.25">
      <c r="A30" s="23">
        <v>44644</v>
      </c>
      <c r="B30" s="40">
        <v>224</v>
      </c>
      <c r="C30" s="24">
        <v>7822650</v>
      </c>
      <c r="D30" s="24">
        <v>18208440</v>
      </c>
      <c r="E30" s="24">
        <v>3200810</v>
      </c>
      <c r="F30" s="24">
        <v>3950630</v>
      </c>
      <c r="G30" s="24">
        <v>11738310</v>
      </c>
      <c r="H30" s="24">
        <v>6644490</v>
      </c>
      <c r="I30" s="24">
        <v>5796960</v>
      </c>
      <c r="J30" s="24">
        <v>7193270</v>
      </c>
      <c r="K30" s="24">
        <v>10734440</v>
      </c>
      <c r="L30" s="24">
        <v>4583550</v>
      </c>
      <c r="M30" s="24">
        <v>8808450</v>
      </c>
      <c r="N30" s="24">
        <v>14111140</v>
      </c>
      <c r="O30" s="24">
        <v>19689680</v>
      </c>
      <c r="Q30" s="37">
        <f t="shared" si="17"/>
        <v>550</v>
      </c>
      <c r="R30" s="37">
        <f t="shared" si="18"/>
        <v>11490</v>
      </c>
      <c r="S30" s="37">
        <f t="shared" si="16"/>
        <v>0</v>
      </c>
      <c r="T30" s="37">
        <f t="shared" si="19"/>
        <v>1460</v>
      </c>
      <c r="U30" s="37">
        <f t="shared" si="20"/>
        <v>5150</v>
      </c>
      <c r="V30" s="37">
        <f t="shared" si="21"/>
        <v>6910</v>
      </c>
      <c r="W30" s="37">
        <f t="shared" si="22"/>
        <v>3090</v>
      </c>
      <c r="X30" s="37">
        <f t="shared" si="23"/>
        <v>4720</v>
      </c>
      <c r="Y30" s="37">
        <f t="shared" si="24"/>
        <v>4910</v>
      </c>
      <c r="Z30" s="37">
        <f t="shared" si="25"/>
        <v>2790</v>
      </c>
      <c r="AA30" s="37">
        <f t="shared" si="26"/>
        <v>3500</v>
      </c>
      <c r="AB30" s="37">
        <f t="shared" si="27"/>
        <v>7070</v>
      </c>
      <c r="AC30" s="37">
        <f t="shared" si="28"/>
        <v>10900</v>
      </c>
      <c r="AD30" s="35">
        <f t="shared" si="29"/>
        <v>62540</v>
      </c>
      <c r="AF30" s="20">
        <f t="shared" si="1"/>
        <v>2.75</v>
      </c>
      <c r="AG30" s="20">
        <f t="shared" si="2"/>
        <v>57.45</v>
      </c>
      <c r="AH30" s="20">
        <f t="shared" si="3"/>
        <v>0</v>
      </c>
      <c r="AI30" s="20">
        <f t="shared" si="4"/>
        <v>7.3</v>
      </c>
      <c r="AJ30" s="20">
        <f t="shared" si="5"/>
        <v>25.75</v>
      </c>
      <c r="AK30" s="20">
        <f t="shared" si="6"/>
        <v>34.550000000000004</v>
      </c>
      <c r="AL30" s="20">
        <f t="shared" si="7"/>
        <v>15.450000000000001</v>
      </c>
      <c r="AM30" s="20">
        <f t="shared" si="8"/>
        <v>23.6</v>
      </c>
      <c r="AN30" s="20">
        <f t="shared" si="9"/>
        <v>24.55</v>
      </c>
      <c r="AO30" s="20">
        <f t="shared" si="10"/>
        <v>13.950000000000001</v>
      </c>
      <c r="AP30" s="20">
        <f t="shared" si="11"/>
        <v>17.5</v>
      </c>
      <c r="AQ30" s="20">
        <f t="shared" si="12"/>
        <v>35.35</v>
      </c>
      <c r="AR30" s="20">
        <f t="shared" si="13"/>
        <v>54.5</v>
      </c>
      <c r="AS30" s="35">
        <f t="shared" si="30"/>
        <v>312.7</v>
      </c>
      <c r="AU30" s="47">
        <v>604787</v>
      </c>
      <c r="AV30" s="37">
        <f t="shared" ref="AV29:AV35" si="34">IF((AU30-AU29&lt;0),"0",AU30-AU29)</f>
        <v>1630</v>
      </c>
      <c r="AW30" s="35">
        <f t="shared" si="14"/>
        <v>3.2600000000000002</v>
      </c>
    </row>
    <row r="31" spans="1:49" x14ac:dyDescent="0.25">
      <c r="A31" s="23">
        <v>44645</v>
      </c>
      <c r="B31" s="40">
        <v>232</v>
      </c>
      <c r="C31" s="24">
        <v>7823240</v>
      </c>
      <c r="D31" s="24">
        <v>18220020</v>
      </c>
      <c r="E31" s="24">
        <v>3200810</v>
      </c>
      <c r="F31" s="24">
        <v>3952180</v>
      </c>
      <c r="G31" s="24">
        <v>11744100</v>
      </c>
      <c r="H31" s="24">
        <v>6645840</v>
      </c>
      <c r="I31" s="24">
        <v>5800190</v>
      </c>
      <c r="J31" s="24">
        <v>7198190</v>
      </c>
      <c r="K31" s="24">
        <v>10739180</v>
      </c>
      <c r="L31" s="24">
        <v>4586490</v>
      </c>
      <c r="M31" s="24">
        <v>8812220</v>
      </c>
      <c r="N31" s="24">
        <v>14118590</v>
      </c>
      <c r="O31" s="24">
        <v>19702780</v>
      </c>
      <c r="Q31" s="37">
        <f>IF((C31-C30&lt;0), "0",C31-C30)</f>
        <v>590</v>
      </c>
      <c r="R31" s="37">
        <f t="shared" si="18"/>
        <v>11580</v>
      </c>
      <c r="S31" s="37">
        <f t="shared" si="16"/>
        <v>0</v>
      </c>
      <c r="T31" s="37">
        <f t="shared" si="19"/>
        <v>1550</v>
      </c>
      <c r="U31" s="37">
        <f t="shared" si="20"/>
        <v>5790</v>
      </c>
      <c r="V31" s="37">
        <f t="shared" si="21"/>
        <v>1350</v>
      </c>
      <c r="W31" s="37">
        <f t="shared" si="22"/>
        <v>3230</v>
      </c>
      <c r="X31" s="37">
        <f t="shared" si="23"/>
        <v>4920</v>
      </c>
      <c r="Y31" s="37">
        <f t="shared" si="24"/>
        <v>4740</v>
      </c>
      <c r="Z31" s="37">
        <f t="shared" si="25"/>
        <v>2940</v>
      </c>
      <c r="AA31" s="37">
        <f t="shared" si="26"/>
        <v>3770</v>
      </c>
      <c r="AB31" s="37">
        <f t="shared" si="27"/>
        <v>7450</v>
      </c>
      <c r="AC31" s="37">
        <f t="shared" si="28"/>
        <v>13100</v>
      </c>
      <c r="AD31" s="35">
        <f t="shared" si="29"/>
        <v>61010</v>
      </c>
      <c r="AF31" s="20">
        <f t="shared" si="1"/>
        <v>2.95</v>
      </c>
      <c r="AG31" s="20">
        <f t="shared" si="2"/>
        <v>57.9</v>
      </c>
      <c r="AH31" s="20">
        <f t="shared" si="3"/>
        <v>0</v>
      </c>
      <c r="AI31" s="20">
        <f t="shared" si="4"/>
        <v>7.75</v>
      </c>
      <c r="AJ31" s="20">
        <f t="shared" si="5"/>
        <v>28.95</v>
      </c>
      <c r="AK31" s="20">
        <f t="shared" si="6"/>
        <v>6.75</v>
      </c>
      <c r="AL31" s="20">
        <f t="shared" si="7"/>
        <v>16.149999999999999</v>
      </c>
      <c r="AM31" s="20">
        <f t="shared" si="8"/>
        <v>24.6</v>
      </c>
      <c r="AN31" s="20">
        <f t="shared" si="9"/>
        <v>23.7</v>
      </c>
      <c r="AO31" s="20">
        <f t="shared" si="10"/>
        <v>14.700000000000001</v>
      </c>
      <c r="AP31" s="20">
        <f t="shared" si="11"/>
        <v>18.850000000000001</v>
      </c>
      <c r="AQ31" s="20">
        <f t="shared" si="12"/>
        <v>37.25</v>
      </c>
      <c r="AR31" s="20">
        <f t="shared" si="13"/>
        <v>65.5</v>
      </c>
      <c r="AS31" s="35">
        <f t="shared" si="30"/>
        <v>305.04999999999995</v>
      </c>
      <c r="AU31" s="47">
        <v>606535</v>
      </c>
      <c r="AV31" s="37">
        <f t="shared" si="34"/>
        <v>1748</v>
      </c>
      <c r="AW31" s="35">
        <f t="shared" si="14"/>
        <v>3.496</v>
      </c>
    </row>
    <row r="32" spans="1:49" x14ac:dyDescent="0.25">
      <c r="A32" s="23">
        <v>44646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 t="str">
        <f t="shared" si="34"/>
        <v>0</v>
      </c>
      <c r="AW32" s="35">
        <f t="shared" si="14"/>
        <v>0</v>
      </c>
    </row>
    <row r="33" spans="1:49" x14ac:dyDescent="0.25">
      <c r="A33" s="23">
        <v>44647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189320</v>
      </c>
      <c r="R38" s="38">
        <f t="shared" ref="R38:AD38" si="61">SUM(R7:R37)</f>
        <v>88130</v>
      </c>
      <c r="S38" s="38">
        <f t="shared" si="61"/>
        <v>0</v>
      </c>
      <c r="T38" s="38">
        <f t="shared" si="61"/>
        <v>36960</v>
      </c>
      <c r="U38" s="38">
        <f t="shared" si="61"/>
        <v>134630</v>
      </c>
      <c r="V38" s="38">
        <f t="shared" si="61"/>
        <v>109600</v>
      </c>
      <c r="W38" s="38">
        <f t="shared" si="61"/>
        <v>75800</v>
      </c>
      <c r="X38" s="38">
        <f t="shared" si="61"/>
        <v>107790</v>
      </c>
      <c r="Y38" s="38">
        <f t="shared" si="61"/>
        <v>135940</v>
      </c>
      <c r="Z38" s="38">
        <f t="shared" si="61"/>
        <v>67520</v>
      </c>
      <c r="AA38" s="38">
        <f t="shared" si="61"/>
        <v>83930</v>
      </c>
      <c r="AB38" s="38">
        <f t="shared" si="61"/>
        <v>179460</v>
      </c>
      <c r="AC38" s="38">
        <f t="shared" si="61"/>
        <v>281520</v>
      </c>
      <c r="AD38" s="38">
        <f t="shared" si="61"/>
        <v>1490600</v>
      </c>
      <c r="AF38" s="35">
        <f>SUM(AF7:AF37)</f>
        <v>946.59999999999991</v>
      </c>
      <c r="AG38" s="35">
        <f t="shared" ref="AG38:AS38" si="62">SUM(AG7:AG37)</f>
        <v>440.65</v>
      </c>
      <c r="AH38" s="35">
        <f t="shared" si="62"/>
        <v>0</v>
      </c>
      <c r="AI38" s="35">
        <f t="shared" si="62"/>
        <v>184.8</v>
      </c>
      <c r="AJ38" s="35">
        <f t="shared" si="62"/>
        <v>673.15000000000009</v>
      </c>
      <c r="AK38" s="35">
        <f t="shared" si="62"/>
        <v>547.99999999999989</v>
      </c>
      <c r="AL38" s="35">
        <f t="shared" si="62"/>
        <v>378.99999999999994</v>
      </c>
      <c r="AM38" s="35">
        <f t="shared" si="62"/>
        <v>538.94999999999993</v>
      </c>
      <c r="AN38" s="35">
        <f t="shared" si="62"/>
        <v>679.7</v>
      </c>
      <c r="AO38" s="35">
        <f t="shared" si="62"/>
        <v>337.59999999999991</v>
      </c>
      <c r="AP38" s="35">
        <f t="shared" si="62"/>
        <v>419.65</v>
      </c>
      <c r="AQ38" s="35">
        <f t="shared" si="62"/>
        <v>897.3</v>
      </c>
      <c r="AR38" s="35">
        <f t="shared" si="62"/>
        <v>1407.6000000000001</v>
      </c>
      <c r="AS38" s="35">
        <f t="shared" si="62"/>
        <v>7453.0000000000009</v>
      </c>
      <c r="AU38" s="48"/>
      <c r="AV38" s="35">
        <f>SUM(AV7:AV34)</f>
        <v>45888</v>
      </c>
      <c r="AW38" s="35">
        <f>SUM(AW7:AW34)</f>
        <v>91.775999999999996</v>
      </c>
    </row>
    <row r="39" spans="1:49" x14ac:dyDescent="0.25">
      <c r="D39">
        <v>5.0000000000000001E-3</v>
      </c>
      <c r="AV39" s="36">
        <f>AV38*0.00378541*1000</f>
        <v>173704.89408</v>
      </c>
    </row>
    <row r="40" spans="1:49" x14ac:dyDescent="0.25">
      <c r="D40">
        <v>2E-3</v>
      </c>
      <c r="AV40">
        <f>AV39/31</f>
        <v>5603.3836799999999</v>
      </c>
    </row>
    <row r="41" spans="1:49" x14ac:dyDescent="0.25">
      <c r="AV41">
        <f>AV38*0.00378541</f>
        <v>173.70489408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2022-03-26T08:32:26Z</dcterms:modified>
</cp:coreProperties>
</file>