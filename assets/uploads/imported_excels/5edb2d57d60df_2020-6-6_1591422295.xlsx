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5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7" i="22"/>
  <c r="I77" s="1"/>
  <c r="B77"/>
  <c r="D77" s="1"/>
  <c r="F77" s="1"/>
  <c r="G76"/>
  <c r="I76" s="1"/>
  <c r="B76"/>
  <c r="D76" s="1"/>
  <c r="F76" s="1"/>
  <c r="G75"/>
  <c r="I75" s="1"/>
  <c r="B75"/>
  <c r="D75" s="1"/>
  <c r="F75" s="1"/>
  <c r="I74"/>
  <c r="K74" s="1"/>
  <c r="G74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B68"/>
  <c r="D68" s="1"/>
  <c r="F68" s="1"/>
  <c r="I67"/>
  <c r="K67" s="1"/>
  <c r="G67"/>
  <c r="B67"/>
  <c r="D67" s="1"/>
  <c r="L67" s="1"/>
  <c r="I66"/>
  <c r="K66" s="1"/>
  <c r="G66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D63"/>
  <c r="F63" s="1"/>
  <c r="B63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I59"/>
  <c r="K59" s="1"/>
  <c r="G59"/>
  <c r="D59"/>
  <c r="L59" s="1"/>
  <c r="B59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D15"/>
  <c r="F15" s="1"/>
  <c r="B15"/>
  <c r="I14"/>
  <c r="K14" s="1"/>
  <c r="G14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D11"/>
  <c r="F11" s="1"/>
  <c r="B11"/>
  <c r="I10"/>
  <c r="K10" s="1"/>
  <c r="G10"/>
  <c r="B10"/>
  <c r="D10" s="1"/>
  <c r="F10" s="1"/>
  <c r="I9"/>
  <c r="K9" s="1"/>
  <c r="D9"/>
  <c r="F9" s="1"/>
  <c r="B9"/>
  <c r="G8"/>
  <c r="I8" s="1"/>
  <c r="K8" s="1"/>
  <c r="B8"/>
  <c r="D8" s="1"/>
  <c r="F8" s="1"/>
  <c r="G7"/>
  <c r="I7" s="1"/>
  <c r="K7" s="1"/>
  <c r="D7"/>
  <c r="F7" s="1"/>
  <c r="B7"/>
  <c r="G6"/>
  <c r="I6" s="1"/>
  <c r="K6" s="1"/>
  <c r="B6"/>
  <c r="D6" s="1"/>
  <c r="F6" s="1"/>
  <c r="G5"/>
  <c r="I5" s="1"/>
  <c r="K5" s="1"/>
  <c r="D5"/>
  <c r="F5" s="1"/>
  <c r="B5"/>
  <c r="G4"/>
  <c r="I4" s="1"/>
  <c r="K4" s="1"/>
  <c r="B4"/>
  <c r="D4" s="1"/>
  <c r="F4" s="1"/>
  <c r="I3"/>
  <c r="K3" s="1"/>
  <c r="D3"/>
  <c r="F3" s="1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H5"/>
  <c r="I5"/>
  <c r="T44" i="1"/>
  <c r="AK44"/>
  <c r="AS44" s="1"/>
  <c r="AT44" s="1"/>
  <c r="K11" i="22" l="1"/>
  <c r="L11"/>
  <c r="K13"/>
  <c r="L13"/>
  <c r="L16"/>
  <c r="K16"/>
  <c r="K21"/>
  <c r="L21"/>
  <c r="L24"/>
  <c r="K24"/>
  <c r="K27"/>
  <c r="L27"/>
  <c r="K29"/>
  <c r="L29"/>
  <c r="K35"/>
  <c r="L35"/>
  <c r="L60"/>
  <c r="K60"/>
  <c r="L12"/>
  <c r="K12"/>
  <c r="K15"/>
  <c r="L15"/>
  <c r="K17"/>
  <c r="L17"/>
  <c r="L20"/>
  <c r="K20"/>
  <c r="K23"/>
  <c r="L23"/>
  <c r="K25"/>
  <c r="L25"/>
  <c r="L28"/>
  <c r="K28"/>
  <c r="K31"/>
  <c r="L31"/>
  <c r="K33"/>
  <c r="L33"/>
  <c r="L36"/>
  <c r="K36"/>
  <c r="K39"/>
  <c r="L39"/>
  <c r="K41"/>
  <c r="L41"/>
  <c r="L44"/>
  <c r="K44"/>
  <c r="K47"/>
  <c r="L47"/>
  <c r="K49"/>
  <c r="L49"/>
  <c r="L52"/>
  <c r="K52"/>
  <c r="K55"/>
  <c r="L55"/>
  <c r="K57"/>
  <c r="L57"/>
  <c r="K61"/>
  <c r="L61"/>
  <c r="L64"/>
  <c r="K64"/>
  <c r="K69"/>
  <c r="L69"/>
  <c r="L72"/>
  <c r="K72"/>
  <c r="K75"/>
  <c r="L75"/>
  <c r="K77"/>
  <c r="L77"/>
  <c r="K19"/>
  <c r="L19"/>
  <c r="L32"/>
  <c r="K32"/>
  <c r="K37"/>
  <c r="L37"/>
  <c r="L40"/>
  <c r="K40"/>
  <c r="K43"/>
  <c r="L43"/>
  <c r="K45"/>
  <c r="L45"/>
  <c r="L48"/>
  <c r="K48"/>
  <c r="K51"/>
  <c r="L51"/>
  <c r="K53"/>
  <c r="L53"/>
  <c r="L56"/>
  <c r="K56"/>
  <c r="K63"/>
  <c r="L63"/>
  <c r="K65"/>
  <c r="L65"/>
  <c r="L68"/>
  <c r="K68"/>
  <c r="K71"/>
  <c r="L71"/>
  <c r="K73"/>
  <c r="L73"/>
  <c r="L76"/>
  <c r="K76"/>
  <c r="L10"/>
  <c r="L14"/>
  <c r="L18"/>
  <c r="L22"/>
  <c r="L26"/>
  <c r="L30"/>
  <c r="L34"/>
  <c r="L38"/>
  <c r="L42"/>
  <c r="L46"/>
  <c r="L50"/>
  <c r="L54"/>
  <c r="L58"/>
  <c r="L62"/>
  <c r="L66"/>
  <c r="L70"/>
  <c r="L74"/>
  <c r="F59"/>
  <c r="F67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34" i="18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6" i="3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D7" i="18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27" i="14" l="1"/>
  <c r="AI9" i="13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C8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<sst xmlns="http://schemas.openxmlformats.org/spreadsheetml/2006/main" count="533" uniqueCount="321">
  <si>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</si>
  <si>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</si>
  <si>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</si>
  <si>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</si>
  <si>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</si>
  <si>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</si>
  <si>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</si>
  <si>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</si>
  <si>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</si>
  <si>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</si>
  <si>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</si>
  <si>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</si>
  <si>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</si>
  <si>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</si>
  <si>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</si>
  <si>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</si>
  <si>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</si>
  <si>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</si>
  <si>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</si>
  <si>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</si>
  <si>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</si>
  <si>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</si>
  <si>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</si>
  <si>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</si>
  <si>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</si>
  <si>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</si>
  <si>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</si>
  <si>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</si>
  <si>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</si>
  <si>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</si>
  <si>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</si>
  <si>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</si>
  <si>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</si>
  <si>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</si>
  <si>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</si>
  <si>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</si>
  <si>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</si>
  <si>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</si>
  <si>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</si>
  <si>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</si>
  <si>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</si>
  <si>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</si>
  <si>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</si>
  <si>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</si>
  <si>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</si>
  <si>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</si>
  <si>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</si>
  <si>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</si>
  <si>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</si>
  <si>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</si>
  <si>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</si>
  <si>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</si>
  <si>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</si>
  <si>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</si>
  <si>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</si>
  <si>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</si>
  <si>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</si>
  <si>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</si>
  <si>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</si>
  <si>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</si>
  <si>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</si>
  <si>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</si>
  <si>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</si>
  <si>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</si>
  <si>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</si>
  <si>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</si>
  <si>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</si>
  <si>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</si>
  <si>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</si>
  <si>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</si>
  <si>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</si>
  <si>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</si>
  <si>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</si>
  <si>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</si>
  <si>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</si>
  <si>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</si>
  <si>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</si>
  <si>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</si>
  <si>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</si>
  <si>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</si>
  <si>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</si>
  <si>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</si>
  <si>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</si>
  <si>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</si>
  <si>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</si>
  <si>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</si>
  <si>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</si>
  <si>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</si>
  <si>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</si>
  <si>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</si>
  <si>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</si>
  <si>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</si>
  <si>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</si>
  <si>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</si>
  <si>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</si>
  <si>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</si>
  <si>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</si>
  <si>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</si>
  <si>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</si>
  <si>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</si>
  <si>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</si>
  <si>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</si>
  <si>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</si>
  <si>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</si>
  <si>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</si>
  <si>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</si>
  <si>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</si>
  <si>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</si>
  <si>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</si>
  <si>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</si>
  <si>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</si>
  <si>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</si>
  <si>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</si>
  <si>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</si>
  <si>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</si>
  <si>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</si>
  <si>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</si>
  <si>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</si>
  <si>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</si>
  <si>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</si>
  <si>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</si>
  <si>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</si>
  <si>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</si>
  <si>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</si>
  <si>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</si>
  <si>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</si>
  <si>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</si>
  <si>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</si>
  <si>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</si>
  <si>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</si>
  <si>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</si>
  <si>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</si>
  <si>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</si>
  <si>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</si>
  <si>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</si>
  <si>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</si>
  <si>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</si>
  <si>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</si>
  <si>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</si>
  <si>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</si>
  <si>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</si>
  <si>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</si>
  <si>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</si>
  <si>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</si>
  <si>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</si>
  <si>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</si>
  <si>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</si>
  <si>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</si>
  <si>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</si>
  <si>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</si>
  <si>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</si>
  <si>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</si>
  <si>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</si>
  <si>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</si>
  <si>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</si>
  <si>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</si>
  <si>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</si>
  <si>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</si>
  <si>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</si>
  <si>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</si>
  <si>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</si>
  <si>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</si>
  <si>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</si>
  <si>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</si>
  <si>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</si>
  <si>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</si>
  <si>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</si>
  <si>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</si>
  <si>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</si>
  <si>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</si>
  <si>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</si>
  <si>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</si>
  <si>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</si>
  <si>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</si>
  <si>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</si>
  <si>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</si>
  <si>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</si>
  <si>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</si>
  <si>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</si>
  <si>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</si>
  <si>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</si>
  <si>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</si>
  <si>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</si>
  <si>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</si>
  <si>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</si>
  <si>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</si>
  <si>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</si>
  <si>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</si>
  <si>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</si>
  <si>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</si>
  <si>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</si>
  <si>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</si>
  <si>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</si>
  <si>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</si>
  <si>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</si>
  <si>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</si>
  <si>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</si>
  <si>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</si>
  <si>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</si>
  <si>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</si>
  <si>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</si>
  <si>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</si>
  <si>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</si>
  <si>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</si>
  <si>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</si>
  <si>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</si>
  <si>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</si>
  <si>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</si>
  <si>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</si>
  <si>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</si>
  <si>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</si>
  <si>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</si>
  <si>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</si>
  <si>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</si>
  <si>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</si>
  <si>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</si>
  <si>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</si>
  <si>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</si>
  <si>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</si>
  <si>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</si>
  <si>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</si>
  <si>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</si>
  <si>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</si>
  <si>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</si>
  <si>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</si>
  <si>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</si>
  <si>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</si>
  <si>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</si>
  <si>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</si>
  <si>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</si>
  <si>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</si>
  <si>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</si>
  <si>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</si>
  <si>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</si>
  <si>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</si>
  <si>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</si>
  <si>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</si>
  <si>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</si>
  <si>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</si>
  <si>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</si>
  <si>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</si>
  <si>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</si>
  <si>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</si>
  <si>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</si>
  <si>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</si>
  <si>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</si>
  <si>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</si>
  <si>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</si>
  <si>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</si>
  <si>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</si>
  <si>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</si>
  <si>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</si>
  <si>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</si>
  <si>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</si>
  <si>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</si>
  <si>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</si>
  <si>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</si>
  <si>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</si>
  <si>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</si>
  <si>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</si>
  <si>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</si>
  <si>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</si>
  <si>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</si>
  <si>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</si>
  <si>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</si>
  <si>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</si>
  <si>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</si>
  <si>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</si>
  <si>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</si>
  <si>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</si>
  <si>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</si>
  <si>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</si>
  <si>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</si>
  <si>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</si>
  <si>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</si>
  <si>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</si>
  <si>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</si>
  <si>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</si>
  <si>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</si>
  <si>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</si>
  <si>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</si>
  <si>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</si>
  <si>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</si>
  <si>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</si>
  <si>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</si>
  <si>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</si>
  <si>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</si>
  <si>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</si>
  <si>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</si>
  <si>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</si>
  <si>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</si>
  <si>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</si>
  <si>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</si>
  <si>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</si>
  <si>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</si>
  <si>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</si>
  <si>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</si>
  <si>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</si>
  <si>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</si>
  <si>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</si>
  <si>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</si>
  <si>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</si>
  <si>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</si>
  <si>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</si>
  <si>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</si>
  <si>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</si>
  <si>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</si>
  <si>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</si>
  <si>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</si>
  <si>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</si>
  <si>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</si>
  <si>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</si>
  <si>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</si>
  <si>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</si>
  <si>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 May 2020</t>
  </si>
  <si>
    <t>Generator and Diseal Summry Report May 2020</t>
  </si>
  <si>
    <t>DAILY UTILITY REPORT MAY 2020</t>
  </si>
  <si>
    <t>RAHA</t>
  </si>
  <si>
    <t>HLP REPORT JUNE 2020</t>
  </si>
  <si>
    <t xml:space="preserve">Four Seasons Safari Lodge Serengeti June 2020- Water Report </t>
  </si>
  <si>
    <t>+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</si>
</sst>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6" fontId="16" fillId="11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98" xfId="0" applyNumberFormat="1" applyFill="1" applyBorder="1" applyAlignment="1">
      <alignment horizontal="center" vertical="center" wrapText="1"/>
    </xf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6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685.33</c:v>
                </c:pt>
                <c:pt idx="1">
                  <c:v>728.03</c:v>
                </c:pt>
                <c:pt idx="2">
                  <c:v>693.88</c:v>
                </c:pt>
                <c:pt idx="3">
                  <c:v>708.93000000000006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6571264"/>
        <c:axId val="858521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5853696"/>
        <c:axId val="85855232"/>
      </c:lineChart>
      <c:catAx>
        <c:axId val="8657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2160"/>
        <c:crosses val="autoZero"/>
        <c:auto val="1"/>
        <c:lblAlgn val="ctr"/>
        <c:lblOffset val="100"/>
      </c:catAx>
      <c:valAx>
        <c:axId val="8585216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71264"/>
        <c:crosses val="autoZero"/>
        <c:crossBetween val="between"/>
        <c:majorUnit val="200"/>
      </c:valAx>
      <c:catAx>
        <c:axId val="85853696"/>
        <c:scaling>
          <c:orientation val="minMax"/>
        </c:scaling>
        <c:delete val="1"/>
        <c:axPos val="b"/>
        <c:tickLblPos val="none"/>
        <c:crossAx val="85855232"/>
        <c:crosses val="autoZero"/>
        <c:auto val="1"/>
        <c:lblAlgn val="ctr"/>
        <c:lblOffset val="100"/>
      </c:catAx>
      <c:valAx>
        <c:axId val="858552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3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5901696"/>
        <c:axId val="859032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5904768"/>
        <c:axId val="85906560"/>
      </c:lineChart>
      <c:catAx>
        <c:axId val="859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3232"/>
        <c:crosses val="autoZero"/>
        <c:auto val="1"/>
        <c:lblAlgn val="ctr"/>
        <c:lblOffset val="100"/>
      </c:catAx>
      <c:valAx>
        <c:axId val="8590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1696"/>
        <c:crosses val="autoZero"/>
        <c:crossBetween val="between"/>
        <c:majorUnit val="200"/>
      </c:valAx>
      <c:catAx>
        <c:axId val="85904768"/>
        <c:scaling>
          <c:orientation val="minMax"/>
        </c:scaling>
        <c:delete val="1"/>
        <c:axPos val="b"/>
        <c:tickLblPos val="none"/>
        <c:crossAx val="85906560"/>
        <c:crosses val="autoZero"/>
        <c:auto val="1"/>
        <c:lblAlgn val="ctr"/>
        <c:lblOffset val="100"/>
      </c:catAx>
      <c:valAx>
        <c:axId val="85906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4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7946752"/>
        <c:axId val="87948288"/>
      </c:lineChart>
      <c:catAx>
        <c:axId val="879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48288"/>
        <c:crosses val="autoZero"/>
        <c:auto val="1"/>
        <c:lblAlgn val="ctr"/>
        <c:lblOffset val="200"/>
        <c:tickLblSkip val="1"/>
      </c:catAx>
      <c:valAx>
        <c:axId val="87948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7706624"/>
        <c:axId val="87741184"/>
      </c:lineChart>
      <c:catAx>
        <c:axId val="877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41184"/>
        <c:crosses val="autoZero"/>
        <c:auto val="1"/>
        <c:lblAlgn val="ctr"/>
        <c:lblOffset val="100"/>
      </c:catAx>
      <c:valAx>
        <c:axId val="877411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0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244992"/>
        <c:axId val="88246912"/>
      </c:lineChart>
      <c:catAx>
        <c:axId val="88244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6912"/>
        <c:crosses val="autoZero"/>
        <c:auto val="1"/>
        <c:lblAlgn val="ctr"/>
        <c:lblOffset val="100"/>
      </c:catAx>
      <c:valAx>
        <c:axId val="88246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4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9144320"/>
        <c:axId val="89162880"/>
      </c:lineChart>
      <c:catAx>
        <c:axId val="89144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62880"/>
        <c:crosses val="autoZero"/>
        <c:auto val="1"/>
        <c:lblAlgn val="ctr"/>
        <c:lblOffset val="100"/>
      </c:catAx>
      <c:valAx>
        <c:axId val="89162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443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-314134.74400000001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9155072"/>
        <c:axId val="89156608"/>
      </c:lineChart>
      <c:catAx>
        <c:axId val="8915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56608"/>
        <c:crosses val="autoZero"/>
        <c:auto val="1"/>
        <c:lblAlgn val="ctr"/>
        <c:lblOffset val="100"/>
      </c:catAx>
      <c:valAx>
        <c:axId val="89156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5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8948736"/>
        <c:axId val="88950272"/>
      </c:lineChart>
      <c:catAx>
        <c:axId val="8894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50272"/>
        <c:crosses val="autoZero"/>
        <c:auto val="1"/>
        <c:lblAlgn val="ctr"/>
        <c:lblOffset val="100"/>
      </c:catAx>
      <c:valAx>
        <c:axId val="8895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9990272"/>
        <c:axId val="89991808"/>
      </c:lineChart>
      <c:catAx>
        <c:axId val="8999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91808"/>
        <c:crosses val="autoZero"/>
        <c:auto val="1"/>
        <c:lblAlgn val="ctr"/>
        <c:lblOffset val="100"/>
      </c:catAx>
      <c:valAx>
        <c:axId val="8999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9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175"/>
          <c:y val="7.471324705110844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0016384"/>
        <c:axId val="90030464"/>
      </c:lineChart>
      <c:catAx>
        <c:axId val="9001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0464"/>
        <c:crosses val="autoZero"/>
        <c:auto val="1"/>
        <c:lblAlgn val="ctr"/>
        <c:lblOffset val="200"/>
        <c:tickLblSkip val="1"/>
      </c:catAx>
      <c:valAx>
        <c:axId val="90030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1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0522368"/>
        <c:axId val="90523904"/>
      </c:lineChart>
      <c:catAx>
        <c:axId val="9052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3904"/>
        <c:crosses val="autoZero"/>
        <c:auto val="1"/>
        <c:lblAlgn val="ctr"/>
        <c:lblOffset val="100"/>
      </c:catAx>
      <c:valAx>
        <c:axId val="9052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0560768"/>
        <c:axId val="90722688"/>
      </c:lineChart>
      <c:catAx>
        <c:axId val="9056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2688"/>
        <c:crosses val="autoZero"/>
        <c:auto val="1"/>
        <c:lblAlgn val="ctr"/>
        <c:lblOffset val="100"/>
      </c:catAx>
      <c:valAx>
        <c:axId val="90722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60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0764032"/>
        <c:axId val="90765952"/>
      </c:lineChart>
      <c:catAx>
        <c:axId val="90764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65952"/>
        <c:crosses val="autoZero"/>
        <c:auto val="1"/>
        <c:lblAlgn val="ctr"/>
        <c:lblOffset val="100"/>
      </c:catAx>
      <c:valAx>
        <c:axId val="90765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64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0356736"/>
        <c:axId val="90358528"/>
      </c:lineChart>
      <c:catAx>
        <c:axId val="903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58528"/>
        <c:crosses val="autoZero"/>
        <c:auto val="1"/>
        <c:lblAlgn val="ctr"/>
        <c:lblOffset val="100"/>
      </c:catAx>
      <c:valAx>
        <c:axId val="9035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1031040"/>
        <c:axId val="91032576"/>
      </c:lineChart>
      <c:catAx>
        <c:axId val="9103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32576"/>
        <c:crosses val="autoZero"/>
        <c:auto val="1"/>
        <c:lblAlgn val="ctr"/>
        <c:lblOffset val="100"/>
      </c:catAx>
      <c:valAx>
        <c:axId val="9103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3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1359872"/>
        <c:axId val="91365760"/>
      </c:lineChart>
      <c:catAx>
        <c:axId val="913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65760"/>
        <c:crosses val="autoZero"/>
        <c:auto val="1"/>
        <c:lblAlgn val="ctr"/>
        <c:lblOffset val="100"/>
      </c:catAx>
      <c:valAx>
        <c:axId val="9136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475"/>
          <c:y val="7.47132470511088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1910912"/>
        <c:axId val="9191244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1918336"/>
        <c:axId val="91919872"/>
      </c:lineChart>
      <c:catAx>
        <c:axId val="919109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2448"/>
        <c:crosses val="autoZero"/>
        <c:lblAlgn val="ctr"/>
        <c:lblOffset val="100"/>
        <c:tickMarkSkip val="1"/>
      </c:catAx>
      <c:valAx>
        <c:axId val="91912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0912"/>
        <c:crosses val="autoZero"/>
        <c:crossBetween val="between"/>
      </c:valAx>
      <c:catAx>
        <c:axId val="91918336"/>
        <c:scaling>
          <c:orientation val="minMax"/>
        </c:scaling>
        <c:delete val="1"/>
        <c:axPos val="b"/>
        <c:numFmt formatCode="[$-409]d\-mmm\-yy;@" sourceLinked="1"/>
        <c:tickLblPos val="none"/>
        <c:crossAx val="91919872"/>
        <c:crosses val="autoZero"/>
        <c:lblAlgn val="ctr"/>
        <c:lblOffset val="100"/>
      </c:catAx>
      <c:valAx>
        <c:axId val="9191987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8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739072"/>
        <c:axId val="92740608"/>
      </c:lineChart>
      <c:catAx>
        <c:axId val="9273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40608"/>
        <c:crosses val="autoZero"/>
        <c:auto val="1"/>
        <c:lblAlgn val="ctr"/>
        <c:lblOffset val="100"/>
      </c:catAx>
      <c:valAx>
        <c:axId val="927406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5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2773376"/>
        <c:axId val="92787456"/>
      </c:lineChart>
      <c:catAx>
        <c:axId val="9277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7456"/>
        <c:crosses val="autoZero"/>
        <c:auto val="1"/>
        <c:lblAlgn val="ctr"/>
        <c:lblOffset val="100"/>
      </c:catAx>
      <c:valAx>
        <c:axId val="927874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7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6494208"/>
        <c:axId val="865000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6501632"/>
        <c:axId val="86503424"/>
      </c:lineChart>
      <c:catAx>
        <c:axId val="86494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0096"/>
        <c:crosses val="autoZero"/>
        <c:lblAlgn val="ctr"/>
        <c:lblOffset val="100"/>
        <c:tickMarkSkip val="1"/>
      </c:catAx>
      <c:valAx>
        <c:axId val="8650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4208"/>
        <c:crosses val="autoZero"/>
        <c:crossBetween val="between"/>
      </c:valAx>
      <c:catAx>
        <c:axId val="86501632"/>
        <c:scaling>
          <c:orientation val="minMax"/>
        </c:scaling>
        <c:delete val="1"/>
        <c:axPos val="b"/>
        <c:numFmt formatCode="General" sourceLinked="1"/>
        <c:tickLblPos val="none"/>
        <c:crossAx val="86503424"/>
        <c:crosses val="autoZero"/>
        <c:lblAlgn val="ctr"/>
        <c:lblOffset val="100"/>
      </c:catAx>
      <c:valAx>
        <c:axId val="86503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1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7700992"/>
        <c:axId val="127702528"/>
      </c:lineChart>
      <c:catAx>
        <c:axId val="12770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2528"/>
        <c:crosses val="autoZero"/>
        <c:auto val="1"/>
        <c:lblAlgn val="ctr"/>
        <c:lblOffset val="100"/>
      </c:catAx>
      <c:valAx>
        <c:axId val="12770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8079360"/>
        <c:axId val="128080896"/>
      </c:lineChart>
      <c:catAx>
        <c:axId val="12807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80896"/>
        <c:crosses val="autoZero"/>
        <c:auto val="1"/>
        <c:lblAlgn val="ctr"/>
        <c:lblOffset val="100"/>
      </c:catAx>
      <c:valAx>
        <c:axId val="12808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7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8062208"/>
        <c:axId val="880680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8069632"/>
        <c:axId val="88071168"/>
      </c:lineChart>
      <c:catAx>
        <c:axId val="880622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8096"/>
        <c:crosses val="autoZero"/>
        <c:lblAlgn val="ctr"/>
        <c:lblOffset val="100"/>
        <c:tickMarkSkip val="1"/>
      </c:catAx>
      <c:valAx>
        <c:axId val="88068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2208"/>
        <c:crosses val="autoZero"/>
        <c:crossBetween val="between"/>
      </c:valAx>
      <c:catAx>
        <c:axId val="88069632"/>
        <c:scaling>
          <c:orientation val="minMax"/>
        </c:scaling>
        <c:delete val="1"/>
        <c:axPos val="b"/>
        <c:numFmt formatCode="[$-409]d\-mmm\-yy;@" sourceLinked="1"/>
        <c:tickLblPos val="none"/>
        <c:crossAx val="88071168"/>
        <c:crosses val="autoZero"/>
        <c:lblAlgn val="ctr"/>
        <c:lblOffset val="100"/>
      </c:catAx>
      <c:valAx>
        <c:axId val="880711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9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7897984"/>
        <c:axId val="1278995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7901056"/>
        <c:axId val="127906944"/>
      </c:lineChart>
      <c:catAx>
        <c:axId val="1278979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99520"/>
        <c:crosses val="autoZero"/>
        <c:lblAlgn val="ctr"/>
        <c:lblOffset val="100"/>
        <c:tickMarkSkip val="1"/>
      </c:catAx>
      <c:valAx>
        <c:axId val="12789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97984"/>
        <c:crosses val="autoZero"/>
        <c:crossBetween val="between"/>
      </c:valAx>
      <c:catAx>
        <c:axId val="127901056"/>
        <c:scaling>
          <c:orientation val="minMax"/>
        </c:scaling>
        <c:delete val="1"/>
        <c:axPos val="b"/>
        <c:numFmt formatCode="General" sourceLinked="1"/>
        <c:tickLblPos val="none"/>
        <c:crossAx val="127906944"/>
        <c:crosses val="autoZero"/>
        <c:lblAlgn val="ctr"/>
        <c:lblOffset val="100"/>
      </c:catAx>
      <c:valAx>
        <c:axId val="127906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01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1267968"/>
        <c:axId val="1309502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0951808"/>
        <c:axId val="130957696"/>
      </c:lineChart>
      <c:catAx>
        <c:axId val="1312679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0272"/>
        <c:crosses val="autoZero"/>
        <c:lblAlgn val="ctr"/>
        <c:lblOffset val="100"/>
        <c:tickMarkSkip val="1"/>
      </c:catAx>
      <c:valAx>
        <c:axId val="130950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67968"/>
        <c:crosses val="autoZero"/>
        <c:crossBetween val="between"/>
      </c:valAx>
      <c:catAx>
        <c:axId val="130951808"/>
        <c:scaling>
          <c:orientation val="minMax"/>
        </c:scaling>
        <c:delete val="1"/>
        <c:axPos val="b"/>
        <c:numFmt formatCode="[$-409]d\-mmm\-yy;@" sourceLinked="1"/>
        <c:tickLblPos val="none"/>
        <c:crossAx val="130957696"/>
        <c:crosses val="autoZero"/>
        <c:lblAlgn val="ctr"/>
        <c:lblOffset val="100"/>
      </c:catAx>
      <c:valAx>
        <c:axId val="1309576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1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1000192"/>
        <c:axId val="1310017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1269760"/>
        <c:axId val="131271296"/>
      </c:lineChart>
      <c:catAx>
        <c:axId val="1310001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1728"/>
        <c:crosses val="autoZero"/>
        <c:lblAlgn val="ctr"/>
        <c:lblOffset val="100"/>
        <c:tickMarkSkip val="1"/>
      </c:catAx>
      <c:valAx>
        <c:axId val="1310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0192"/>
        <c:crosses val="autoZero"/>
        <c:crossBetween val="between"/>
      </c:valAx>
      <c:catAx>
        <c:axId val="131269760"/>
        <c:scaling>
          <c:orientation val="minMax"/>
        </c:scaling>
        <c:delete val="1"/>
        <c:axPos val="b"/>
        <c:numFmt formatCode="General" sourceLinked="1"/>
        <c:tickLblPos val="none"/>
        <c:crossAx val="131271296"/>
        <c:crosses val="autoZero"/>
        <c:lblAlgn val="ctr"/>
        <c:lblOffset val="100"/>
      </c:catAx>
      <c:valAx>
        <c:axId val="1312712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69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4424704"/>
        <c:axId val="164320384"/>
      </c:lineChart>
      <c:catAx>
        <c:axId val="164424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20384"/>
        <c:crosses val="autoZero"/>
        <c:auto val="1"/>
        <c:lblAlgn val="ctr"/>
        <c:lblOffset val="100"/>
      </c:catAx>
      <c:valAx>
        <c:axId val="1643203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24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4349440"/>
        <c:axId val="164351360"/>
      </c:lineChart>
      <c:catAx>
        <c:axId val="164349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1360"/>
        <c:crosses val="autoZero"/>
        <c:auto val="1"/>
        <c:lblAlgn val="ctr"/>
        <c:lblOffset val="100"/>
      </c:catAx>
      <c:valAx>
        <c:axId val="164351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9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1747840"/>
        <c:axId val="131749376"/>
      </c:lineChart>
      <c:catAx>
        <c:axId val="13174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49376"/>
        <c:crosses val="autoZero"/>
        <c:auto val="1"/>
        <c:lblAlgn val="ctr"/>
        <c:lblOffset val="200"/>
        <c:tickLblSkip val="1"/>
      </c:catAx>
      <c:valAx>
        <c:axId val="131749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4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4427264"/>
        <c:axId val="164428800"/>
      </c:lineChart>
      <c:catAx>
        <c:axId val="16442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28800"/>
        <c:crosses val="autoZero"/>
        <c:auto val="1"/>
        <c:lblAlgn val="ctr"/>
        <c:lblOffset val="100"/>
      </c:catAx>
      <c:valAx>
        <c:axId val="1644288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2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6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-314134.74400000001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4973568"/>
        <c:axId val="164987648"/>
      </c:lineChart>
      <c:catAx>
        <c:axId val="16497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7648"/>
        <c:crosses val="autoZero"/>
        <c:auto val="1"/>
        <c:lblAlgn val="ctr"/>
        <c:lblOffset val="100"/>
      </c:catAx>
      <c:valAx>
        <c:axId val="164987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7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6089472"/>
        <c:axId val="166091392"/>
      </c:lineChart>
      <c:catAx>
        <c:axId val="16608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1392"/>
        <c:crosses val="autoZero"/>
        <c:auto val="1"/>
        <c:lblAlgn val="ctr"/>
        <c:lblOffset val="100"/>
      </c:catAx>
      <c:valAx>
        <c:axId val="166091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89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124544"/>
        <c:axId val="166278272"/>
      </c:lineChart>
      <c:catAx>
        <c:axId val="16612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78272"/>
        <c:crosses val="autoZero"/>
        <c:auto val="1"/>
        <c:lblAlgn val="ctr"/>
        <c:lblOffset val="100"/>
      </c:catAx>
      <c:valAx>
        <c:axId val="166278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24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323712"/>
        <c:axId val="166325248"/>
      </c:lineChart>
      <c:catAx>
        <c:axId val="1663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25248"/>
        <c:crosses val="autoZero"/>
        <c:auto val="1"/>
        <c:lblAlgn val="ctr"/>
        <c:lblOffset val="200"/>
        <c:tickLblSkip val="1"/>
      </c:catAx>
      <c:valAx>
        <c:axId val="166325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6022144"/>
        <c:axId val="166023936"/>
      </c:lineChart>
      <c:catAx>
        <c:axId val="16602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23936"/>
        <c:crosses val="autoZero"/>
        <c:auto val="1"/>
        <c:lblAlgn val="ctr"/>
        <c:lblOffset val="100"/>
      </c:catAx>
      <c:valAx>
        <c:axId val="1660239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2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6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-314134.74400000001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085376"/>
        <c:axId val="166086912"/>
      </c:lineChart>
      <c:catAx>
        <c:axId val="16608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86912"/>
        <c:crosses val="autoZero"/>
        <c:auto val="1"/>
        <c:lblAlgn val="ctr"/>
        <c:lblOffset val="100"/>
      </c:catAx>
      <c:valAx>
        <c:axId val="166086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8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906112"/>
        <c:axId val="167780736"/>
      </c:lineChart>
      <c:catAx>
        <c:axId val="166906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80736"/>
        <c:crosses val="autoZero"/>
        <c:auto val="1"/>
        <c:lblAlgn val="ctr"/>
        <c:lblOffset val="100"/>
      </c:catAx>
      <c:valAx>
        <c:axId val="167780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06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7813888"/>
        <c:axId val="167815808"/>
      </c:lineChart>
      <c:catAx>
        <c:axId val="167813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5808"/>
        <c:crosses val="autoZero"/>
        <c:auto val="1"/>
        <c:lblAlgn val="ctr"/>
        <c:lblOffset val="100"/>
      </c:catAx>
      <c:valAx>
        <c:axId val="167815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3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7975936"/>
        <c:axId val="167994112"/>
      </c:lineChart>
      <c:catAx>
        <c:axId val="1679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4112"/>
        <c:crosses val="autoZero"/>
        <c:auto val="1"/>
        <c:lblAlgn val="ctr"/>
        <c:lblOffset val="200"/>
        <c:tickLblSkip val="1"/>
      </c:catAx>
      <c:valAx>
        <c:axId val="1679941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014592"/>
        <c:axId val="168016128"/>
      </c:lineChart>
      <c:catAx>
        <c:axId val="1680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16128"/>
        <c:crosses val="autoZero"/>
        <c:auto val="1"/>
        <c:lblAlgn val="ctr"/>
        <c:lblOffset val="100"/>
      </c:catAx>
      <c:valAx>
        <c:axId val="16801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8028416"/>
        <c:axId val="168517632"/>
      </c:lineChart>
      <c:catAx>
        <c:axId val="16802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17632"/>
        <c:crosses val="autoZero"/>
        <c:auto val="1"/>
        <c:lblAlgn val="ctr"/>
        <c:lblOffset val="100"/>
      </c:catAx>
      <c:valAx>
        <c:axId val="16851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2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8697856"/>
        <c:axId val="168699776"/>
      </c:lineChart>
      <c:catAx>
        <c:axId val="168697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99776"/>
        <c:crosses val="autoZero"/>
        <c:auto val="1"/>
        <c:lblAlgn val="ctr"/>
        <c:lblOffset val="100"/>
      </c:catAx>
      <c:valAx>
        <c:axId val="1686997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978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8745216"/>
        <c:axId val="168751488"/>
      </c:lineChart>
      <c:catAx>
        <c:axId val="168745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51488"/>
        <c:crosses val="autoZero"/>
        <c:auto val="1"/>
        <c:lblAlgn val="ctr"/>
        <c:lblOffset val="100"/>
      </c:catAx>
      <c:valAx>
        <c:axId val="168751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45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8198912"/>
        <c:axId val="168200448"/>
      </c:lineChart>
      <c:catAx>
        <c:axId val="16819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0448"/>
        <c:crosses val="autoZero"/>
        <c:auto val="1"/>
        <c:lblAlgn val="ctr"/>
        <c:lblOffset val="200"/>
        <c:tickLblSkip val="1"/>
      </c:catAx>
      <c:valAx>
        <c:axId val="1682004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9220352"/>
        <c:axId val="169234432"/>
      </c:lineChart>
      <c:catAx>
        <c:axId val="16922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34432"/>
        <c:crosses val="autoZero"/>
        <c:auto val="1"/>
        <c:lblAlgn val="ctr"/>
        <c:lblOffset val="100"/>
      </c:catAx>
      <c:valAx>
        <c:axId val="16923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2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263104"/>
        <c:axId val="169264640"/>
      </c:lineChart>
      <c:catAx>
        <c:axId val="1692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64640"/>
        <c:crosses val="autoZero"/>
        <c:auto val="1"/>
        <c:lblAlgn val="ctr"/>
        <c:lblOffset val="100"/>
      </c:catAx>
      <c:valAx>
        <c:axId val="1692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5" width="12.5703125" style="486" customWidth="1"/>
    <col min="6" max="6" width="12.5703125" style="12" customWidth="1"/>
    <col min="7" max="7" width="11.5703125" style="12"/>
    <col min="8" max="8" width="11.5703125" style="497"/>
    <col min="9" max="9" width="11.5703125" style="12"/>
    <col min="10" max="10" width="11.5703125" style="497"/>
    <col min="11" max="11" width="11.5703125" style="48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2" customFormat="1" ht="60.75" thickBot="1">
      <c r="A1" s="476" t="s">
        <v>272</v>
      </c>
      <c r="B1" s="477" t="s">
        <v>273</v>
      </c>
      <c r="C1" s="477" t="s">
        <v>274</v>
      </c>
      <c r="D1" s="478" t="s">
        <v>275</v>
      </c>
      <c r="E1" s="479" t="s">
        <v>276</v>
      </c>
      <c r="F1" s="480" t="s">
        <v>277</v>
      </c>
      <c r="G1" s="480" t="s">
        <v>278</v>
      </c>
      <c r="H1" s="495" t="s">
        <v>279</v>
      </c>
      <c r="I1" s="480" t="s">
        <v>280</v>
      </c>
      <c r="J1" s="495" t="s">
        <v>281</v>
      </c>
      <c r="K1" s="479" t="s">
        <v>282</v>
      </c>
      <c r="L1" s="481" t="s">
        <v>283</v>
      </c>
    </row>
    <row r="2" spans="1:12">
      <c r="A2" s="483" t="s">
        <v>284</v>
      </c>
      <c r="B2" s="484">
        <v>1</v>
      </c>
      <c r="C2" s="484">
        <v>6</v>
      </c>
      <c r="D2" s="485">
        <v>2020</v>
      </c>
      <c r="E2" s="486">
        <f>'UTILITY REPORT 1'!F3</f>
        <v>1573</v>
      </c>
      <c r="F2" s="487">
        <f>('UTILITY REPORT 1'!E3*'UTILITY REPORT 1'!D3)/'UTILITY REPORT 1'!F3</f>
        <v>0.42563254926891292</v>
      </c>
      <c r="G2" s="487">
        <f>IF('Utility summery'!M6&lt;0,"0",'Utility summery'!M6)</f>
        <v>0</v>
      </c>
      <c r="H2" s="496">
        <v>0</v>
      </c>
      <c r="I2" s="487">
        <f>IF('UTILITY REPORT 1'!G3&lt;0,"0",'UTILITY REPORT 1'!G3)</f>
        <v>43</v>
      </c>
      <c r="J2" s="496">
        <v>0</v>
      </c>
      <c r="K2" s="486">
        <f>'UTILITY REPORT 1'!C3</f>
        <v>0</v>
      </c>
      <c r="L2" s="488" t="e">
        <f>E2*F2+G2*H2+#REF!*#REF!+I2*J2</f>
        <v>#REF!</v>
      </c>
    </row>
    <row r="3" spans="1:12">
      <c r="A3" s="483" t="s">
        <v>284</v>
      </c>
      <c r="B3" s="484">
        <f>B2+1</f>
        <v>2</v>
      </c>
      <c r="C3" s="484">
        <v>6</v>
      </c>
      <c r="D3" s="485">
        <v>2020</v>
      </c>
      <c r="E3" s="486">
        <f>'UTILITY REPORT 1'!F4</f>
        <v>1638</v>
      </c>
      <c r="F3" s="487">
        <f>('UTILITY REPORT 1'!E4*'UTILITY REPORT 1'!D4)/'UTILITY REPORT 1'!F4</f>
        <v>0.4183943833943834</v>
      </c>
      <c r="G3" s="487">
        <f>IF('Utility summery'!M7&lt;0,"0",'Utility summery'!M7)</f>
        <v>25.520000000012807</v>
      </c>
      <c r="H3" s="496">
        <v>0</v>
      </c>
      <c r="I3" s="487">
        <f>IF('UTILITY REPORT 1'!G4&lt;0,"0",'UTILITY REPORT 1'!G4)</f>
        <v>49</v>
      </c>
      <c r="J3" s="496">
        <v>0</v>
      </c>
      <c r="K3" s="486">
        <f>'UTILITY REPORT 1'!C4</f>
        <v>0</v>
      </c>
      <c r="L3" s="488" t="e">
        <f>E3*F3+G3*H3+#REF!*#REF!+I3*J3</f>
        <v>#REF!</v>
      </c>
    </row>
    <row r="4" spans="1:12">
      <c r="A4" s="483" t="s">
        <v>284</v>
      </c>
      <c r="B4" s="484">
        <f t="shared" ref="B4:B30" si="0">B3+1</f>
        <v>3</v>
      </c>
      <c r="C4" s="484">
        <v>6</v>
      </c>
      <c r="D4" s="485">
        <v>2020</v>
      </c>
      <c r="E4" s="486">
        <f>'UTILITY REPORT 1'!F5</f>
        <v>1600</v>
      </c>
      <c r="F4" s="487">
        <f>('UTILITY REPORT 1'!E5*'UTILITY REPORT 1'!D5)/'UTILITY REPORT 1'!F5</f>
        <v>0.45501874999999997</v>
      </c>
      <c r="G4" s="487">
        <f>IF('Utility summery'!M8&lt;0,"0",'Utility summery'!M8)</f>
        <v>14.563999999989756</v>
      </c>
      <c r="H4" s="496">
        <v>0</v>
      </c>
      <c r="I4" s="487">
        <f>IF('UTILITY REPORT 1'!G5&lt;0,"0",'UTILITY REPORT 1'!G5)</f>
        <v>41</v>
      </c>
      <c r="J4" s="496">
        <v>0</v>
      </c>
      <c r="K4" s="486">
        <f>'UTILITY REPORT 1'!C5</f>
        <v>0</v>
      </c>
      <c r="L4" s="488" t="e">
        <f>E4*F4+G4*H4+#REF!*#REF!+I4*J4</f>
        <v>#REF!</v>
      </c>
    </row>
    <row r="5" spans="1:12">
      <c r="A5" s="483" t="s">
        <v>284</v>
      </c>
      <c r="B5" s="484">
        <f t="shared" si="0"/>
        <v>4</v>
      </c>
      <c r="C5" s="484">
        <v>6</v>
      </c>
      <c r="D5" s="485">
        <v>2020</v>
      </c>
      <c r="E5" s="486">
        <f>'UTILITY REPORT 1'!F6</f>
        <v>1594</v>
      </c>
      <c r="F5" s="487">
        <f>('UTILITY REPORT 1'!E6*'UTILITY REPORT 1'!D6)/'UTILITY REPORT 1'!F6</f>
        <v>0.43530740276035129</v>
      </c>
      <c r="G5" s="487">
        <f>IF('Utility summery'!M9&lt;0,"0",'Utility summery'!M9)</f>
        <v>24.024000000028174</v>
      </c>
      <c r="H5" s="496">
        <v>0</v>
      </c>
      <c r="I5" s="487">
        <f>IF('UTILITY REPORT 1'!G6&lt;0,"0",'UTILITY REPORT 1'!G6)</f>
        <v>86</v>
      </c>
      <c r="J5" s="496">
        <v>0</v>
      </c>
      <c r="K5" s="486">
        <f>'UTILITY REPORT 1'!C6</f>
        <v>0</v>
      </c>
      <c r="L5" s="488" t="e">
        <f>E5*F5+G5*H5+#REF!*#REF!+I5*J5</f>
        <v>#REF!</v>
      </c>
    </row>
    <row r="6" spans="1:12">
      <c r="A6" s="483" t="s">
        <v>284</v>
      </c>
      <c r="B6" s="484">
        <f t="shared" si="0"/>
        <v>5</v>
      </c>
      <c r="C6" s="484">
        <v>6</v>
      </c>
      <c r="D6" s="485">
        <v>2020</v>
      </c>
      <c r="E6" s="486">
        <f>'UTILITY REPORT 1'!F7</f>
        <v>1658</v>
      </c>
      <c r="F6" s="487">
        <f>('UTILITY REPORT 1'!E7*'UTILITY REPORT 1'!D7)/'UTILITY REPORT 1'!F7</f>
        <v>0.42758142340168881</v>
      </c>
      <c r="G6" s="487">
        <f>IF('Utility summery'!M10&lt;0,"0",'Utility summery'!M10)</f>
        <v>31.152000000007686</v>
      </c>
      <c r="H6" s="496">
        <v>0</v>
      </c>
      <c r="I6" s="487">
        <f>IF('UTILITY REPORT 1'!G7&lt;0,"0",'UTILITY REPORT 1'!G7)</f>
        <v>82</v>
      </c>
      <c r="J6" s="496">
        <v>0</v>
      </c>
      <c r="K6" s="486">
        <f>'UTILITY REPORT 1'!C7</f>
        <v>0</v>
      </c>
      <c r="L6" s="488" t="e">
        <f>E6*F6+G6*H6+#REF!*#REF!+I6*J6</f>
        <v>#REF!</v>
      </c>
    </row>
    <row r="7" spans="1:12">
      <c r="A7" s="483" t="s">
        <v>284</v>
      </c>
      <c r="B7" s="484">
        <f t="shared" si="0"/>
        <v>6</v>
      </c>
      <c r="C7" s="484">
        <v>6</v>
      </c>
      <c r="D7" s="485">
        <v>2020</v>
      </c>
      <c r="E7" s="486">
        <f>'UTILITY REPORT 1'!F8</f>
        <v>0</v>
      </c>
      <c r="F7" s="487" t="e">
        <f>('UTILITY REPORT 1'!E8*'UTILITY REPORT 1'!D8)/'UTILITY REPORT 1'!F8</f>
        <v>#DIV/0!</v>
      </c>
      <c r="G7" s="487">
        <f>IF('Utility summery'!M11&lt;0,"0",'Utility summery'!M11)</f>
        <v>15.135999999946216</v>
      </c>
      <c r="H7" s="496">
        <v>0</v>
      </c>
      <c r="I7" s="487" t="str">
        <f>IF('UTILITY REPORT 1'!G8&lt;0,"0",'UTILITY REPORT 1'!G8)</f>
        <v>0</v>
      </c>
      <c r="J7" s="496">
        <v>0</v>
      </c>
      <c r="K7" s="486">
        <f>'UTILITY REPORT 1'!C8</f>
        <v>0</v>
      </c>
      <c r="L7" s="488" t="e">
        <f>E7*F7+G7*H7+#REF!*#REF!+I7*J7</f>
        <v>#DIV/0!</v>
      </c>
    </row>
    <row r="8" spans="1:12">
      <c r="A8" s="483" t="s">
        <v>284</v>
      </c>
      <c r="B8" s="484">
        <f t="shared" si="0"/>
        <v>7</v>
      </c>
      <c r="C8" s="484">
        <v>6</v>
      </c>
      <c r="D8" s="485">
        <v>2020</v>
      </c>
      <c r="E8" s="486">
        <f>'UTILITY REPORT 1'!F9</f>
        <v>0</v>
      </c>
      <c r="F8" s="487" t="e">
        <f>('UTILITY REPORT 1'!E9*'UTILITY REPORT 1'!D9)/'UTILITY REPORT 1'!F9</f>
        <v>#DIV/0!</v>
      </c>
      <c r="G8" s="487" t="str">
        <f>IF('Utility summery'!M12&lt;0,"0",'Utility summery'!M12)</f>
        <v>0</v>
      </c>
      <c r="H8" s="496">
        <v>0</v>
      </c>
      <c r="I8" s="487">
        <f>IF('UTILITY REPORT 1'!G9&lt;0,"0",'UTILITY REPORT 1'!G9)</f>
        <v>0</v>
      </c>
      <c r="J8" s="496">
        <v>0</v>
      </c>
      <c r="K8" s="486">
        <f>'UTILITY REPORT 1'!C9</f>
        <v>0</v>
      </c>
      <c r="L8" s="488" t="e">
        <f>E8*F8+G8*H8+#REF!*#REF!+I8*J8</f>
        <v>#DIV/0!</v>
      </c>
    </row>
    <row r="9" spans="1:12">
      <c r="A9" s="483" t="s">
        <v>284</v>
      </c>
      <c r="B9" s="484">
        <f t="shared" si="0"/>
        <v>8</v>
      </c>
      <c r="C9" s="484">
        <v>6</v>
      </c>
      <c r="D9" s="485">
        <v>2020</v>
      </c>
      <c r="E9" s="486">
        <f>'UTILITY REPORT 1'!F10</f>
        <v>0</v>
      </c>
      <c r="F9" s="487" t="e">
        <f>('UTILITY REPORT 1'!E10*'UTILITY REPORT 1'!D10)/'UTILITY REPORT 1'!F10</f>
        <v>#DIV/0!</v>
      </c>
      <c r="G9" s="487">
        <f>IF('Utility summery'!M13&lt;0,"0",'Utility summery'!M13)</f>
        <v>0</v>
      </c>
      <c r="H9" s="496">
        <v>0</v>
      </c>
      <c r="I9" s="487">
        <f>IF('UTILITY REPORT 1'!G10&lt;0,"0",'UTILITY REPORT 1'!G10)</f>
        <v>0</v>
      </c>
      <c r="J9" s="496">
        <v>0</v>
      </c>
      <c r="K9" s="486">
        <f>'UTILITY REPORT 1'!C10</f>
        <v>0</v>
      </c>
      <c r="L9" s="488" t="e">
        <f>E9*F9+G9*H9+#REF!*#REF!+I9*J9</f>
        <v>#DIV/0!</v>
      </c>
    </row>
    <row r="10" spans="1:12">
      <c r="A10" s="483" t="s">
        <v>284</v>
      </c>
      <c r="B10" s="484">
        <f t="shared" si="0"/>
        <v>9</v>
      </c>
      <c r="C10" s="484">
        <v>6</v>
      </c>
      <c r="D10" s="485">
        <v>2020</v>
      </c>
      <c r="E10" s="486">
        <f>'UTILITY REPORT 1'!F11</f>
        <v>0</v>
      </c>
      <c r="F10" s="487" t="e">
        <f>('UTILITY REPORT 1'!E11*'UTILITY REPORT 1'!D11)/'UTILITY REPORT 1'!F11</f>
        <v>#DIV/0!</v>
      </c>
      <c r="G10" s="487">
        <f>IF('Utility summery'!M14&lt;0,"0",'Utility summery'!M14)</f>
        <v>0</v>
      </c>
      <c r="H10" s="496">
        <v>0</v>
      </c>
      <c r="I10" s="487">
        <f>IF('UTILITY REPORT 1'!G11&lt;0,"0",'UTILITY REPORT 1'!G11)</f>
        <v>0</v>
      </c>
      <c r="J10" s="496">
        <v>0</v>
      </c>
      <c r="K10" s="486">
        <f>'UTILITY REPORT 1'!C11</f>
        <v>0</v>
      </c>
      <c r="L10" s="488" t="e">
        <f>E10*F10+G10*H10+#REF!*#REF!+I10*J10</f>
        <v>#DIV/0!</v>
      </c>
    </row>
    <row r="11" spans="1:12">
      <c r="A11" s="483" t="s">
        <v>284</v>
      </c>
      <c r="B11" s="484">
        <f t="shared" si="0"/>
        <v>10</v>
      </c>
      <c r="C11" s="484">
        <v>6</v>
      </c>
      <c r="D11" s="485">
        <v>2020</v>
      </c>
      <c r="E11" s="486">
        <f>'UTILITY REPORT 1'!F12</f>
        <v>0</v>
      </c>
      <c r="F11" s="487" t="e">
        <f>('UTILITY REPORT 1'!E12*'UTILITY REPORT 1'!D12)/'UTILITY REPORT 1'!F12</f>
        <v>#DIV/0!</v>
      </c>
      <c r="G11" s="487">
        <f>IF('Utility summery'!M15&lt;0,"0",'Utility summery'!M15)</f>
        <v>0</v>
      </c>
      <c r="H11" s="496">
        <v>0</v>
      </c>
      <c r="I11" s="487">
        <f>IF('UTILITY REPORT 1'!G12&lt;0,"0",'UTILITY REPORT 1'!G12)</f>
        <v>0</v>
      </c>
      <c r="J11" s="496">
        <v>0</v>
      </c>
      <c r="K11" s="486">
        <f>'UTILITY REPORT 1'!C12</f>
        <v>0</v>
      </c>
      <c r="L11" s="488" t="e">
        <f>E11*F11+G11*H11+#REF!*#REF!+I11*J11</f>
        <v>#DIV/0!</v>
      </c>
    </row>
    <row r="12" spans="1:12">
      <c r="A12" s="483" t="s">
        <v>284</v>
      </c>
      <c r="B12" s="484">
        <f t="shared" si="0"/>
        <v>11</v>
      </c>
      <c r="C12" s="484">
        <v>6</v>
      </c>
      <c r="D12" s="485">
        <v>2020</v>
      </c>
      <c r="E12" s="486">
        <f>'UTILITY REPORT 1'!F13</f>
        <v>0</v>
      </c>
      <c r="F12" s="487" t="e">
        <f>('UTILITY REPORT 1'!E13*'UTILITY REPORT 1'!D13)/'UTILITY REPORT 1'!F13</f>
        <v>#DIV/0!</v>
      </c>
      <c r="G12" s="487">
        <f>IF('Utility summery'!M16&lt;0,"0",'Utility summery'!M16)</f>
        <v>0</v>
      </c>
      <c r="H12" s="496">
        <v>0</v>
      </c>
      <c r="I12" s="487">
        <f>IF('UTILITY REPORT 1'!G13&lt;0,"0",'UTILITY REPORT 1'!G13)</f>
        <v>0</v>
      </c>
      <c r="J12" s="496">
        <v>0</v>
      </c>
      <c r="K12" s="486">
        <f>'UTILITY REPORT 1'!C13</f>
        <v>0</v>
      </c>
      <c r="L12" s="488" t="e">
        <f>E12*F12+G12*H12+#REF!*#REF!+I12*J12</f>
        <v>#DIV/0!</v>
      </c>
    </row>
    <row r="13" spans="1:12">
      <c r="A13" s="483" t="s">
        <v>284</v>
      </c>
      <c r="B13" s="484">
        <f t="shared" si="0"/>
        <v>12</v>
      </c>
      <c r="C13" s="484">
        <v>6</v>
      </c>
      <c r="D13" s="485">
        <v>2020</v>
      </c>
      <c r="E13" s="486">
        <f>'UTILITY REPORT 1'!F14</f>
        <v>0</v>
      </c>
      <c r="F13" s="487" t="e">
        <f>('UTILITY REPORT 1'!E14*'UTILITY REPORT 1'!D14)/'UTILITY REPORT 1'!F14</f>
        <v>#DIV/0!</v>
      </c>
      <c r="G13" s="487">
        <f>IF('Utility summery'!M17&lt;0,"0",'Utility summery'!M17)</f>
        <v>0</v>
      </c>
      <c r="H13" s="496">
        <v>0</v>
      </c>
      <c r="I13" s="487">
        <f>IF('UTILITY REPORT 1'!G14&lt;0,"0",'UTILITY REPORT 1'!G14)</f>
        <v>0</v>
      </c>
      <c r="J13" s="496">
        <v>0</v>
      </c>
      <c r="K13" s="486">
        <f>'UTILITY REPORT 1'!C14</f>
        <v>0</v>
      </c>
      <c r="L13" s="488" t="e">
        <f>E13*F13+G13*H13+#REF!*#REF!+I13*J13</f>
        <v>#DIV/0!</v>
      </c>
    </row>
    <row r="14" spans="1:12">
      <c r="A14" s="483" t="s">
        <v>284</v>
      </c>
      <c r="B14" s="484">
        <f t="shared" si="0"/>
        <v>13</v>
      </c>
      <c r="C14" s="484">
        <v>6</v>
      </c>
      <c r="D14" s="485">
        <v>2020</v>
      </c>
      <c r="E14" s="486">
        <f>'UTILITY REPORT 1'!F15</f>
        <v>0</v>
      </c>
      <c r="F14" s="487" t="e">
        <f>('UTILITY REPORT 1'!E15*'UTILITY REPORT 1'!D15)/'UTILITY REPORT 1'!F15</f>
        <v>#DIV/0!</v>
      </c>
      <c r="G14" s="487">
        <f>IF('Utility summery'!M18&lt;0,"0",'Utility summery'!M18)</f>
        <v>0</v>
      </c>
      <c r="H14" s="496">
        <v>0</v>
      </c>
      <c r="I14" s="487">
        <f>IF('UTILITY REPORT 1'!G15&lt;0,"0",'UTILITY REPORT 1'!G15)</f>
        <v>0</v>
      </c>
      <c r="J14" s="496">
        <v>0</v>
      </c>
      <c r="K14" s="486">
        <f>'UTILITY REPORT 1'!C15</f>
        <v>0</v>
      </c>
      <c r="L14" s="488" t="e">
        <f>E14*F14+G14*H14+#REF!*#REF!+I14*J14</f>
        <v>#DIV/0!</v>
      </c>
    </row>
    <row r="15" spans="1:12">
      <c r="A15" s="483" t="s">
        <v>284</v>
      </c>
      <c r="B15" s="484">
        <f t="shared" si="0"/>
        <v>14</v>
      </c>
      <c r="C15" s="484">
        <v>6</v>
      </c>
      <c r="D15" s="485">
        <v>2020</v>
      </c>
      <c r="E15" s="486">
        <f>'UTILITY REPORT 1'!F16</f>
        <v>0</v>
      </c>
      <c r="F15" s="487" t="e">
        <f>('UTILITY REPORT 1'!E16*'UTILITY REPORT 1'!D16)/'UTILITY REPORT 1'!F16</f>
        <v>#DIV/0!</v>
      </c>
      <c r="G15" s="487">
        <f>IF('Utility summery'!M19&lt;0,"0",'Utility summery'!M19)</f>
        <v>0</v>
      </c>
      <c r="H15" s="496">
        <v>0</v>
      </c>
      <c r="I15" s="487">
        <f>IF('UTILITY REPORT 1'!G16&lt;0,"0",'UTILITY REPORT 1'!G16)</f>
        <v>0</v>
      </c>
      <c r="J15" s="496">
        <v>0</v>
      </c>
      <c r="K15" s="486">
        <f>'UTILITY REPORT 1'!C16</f>
        <v>0</v>
      </c>
      <c r="L15" s="488" t="e">
        <f>E15*F15+G15*H15+#REF!*#REF!+I15*J15</f>
        <v>#DIV/0!</v>
      </c>
    </row>
    <row r="16" spans="1:12">
      <c r="A16" s="483" t="s">
        <v>284</v>
      </c>
      <c r="B16" s="484">
        <f t="shared" si="0"/>
        <v>15</v>
      </c>
      <c r="C16" s="484">
        <v>6</v>
      </c>
      <c r="D16" s="485">
        <v>2020</v>
      </c>
      <c r="E16" s="486">
        <f>'UTILITY REPORT 1'!F17</f>
        <v>0</v>
      </c>
      <c r="F16" s="487" t="e">
        <f>('UTILITY REPORT 1'!E17*'UTILITY REPORT 1'!D17)/'UTILITY REPORT 1'!F17</f>
        <v>#DIV/0!</v>
      </c>
      <c r="G16" s="487">
        <f>IF('Utility summery'!M20&lt;0,"0",'Utility summery'!M20)</f>
        <v>0</v>
      </c>
      <c r="H16" s="496">
        <v>0</v>
      </c>
      <c r="I16" s="487">
        <f>IF('UTILITY REPORT 1'!G17&lt;0,"0",'UTILITY REPORT 1'!G17)</f>
        <v>0</v>
      </c>
      <c r="J16" s="496">
        <v>0</v>
      </c>
      <c r="K16" s="486">
        <f>'UTILITY REPORT 1'!C17</f>
        <v>0</v>
      </c>
      <c r="L16" s="488" t="e">
        <f>E16*F16+G16*H16+#REF!*#REF!+I16*J16</f>
        <v>#DIV/0!</v>
      </c>
    </row>
    <row r="17" spans="1:12">
      <c r="A17" s="483" t="s">
        <v>284</v>
      </c>
      <c r="B17" s="484">
        <f t="shared" si="0"/>
        <v>16</v>
      </c>
      <c r="C17" s="484">
        <v>6</v>
      </c>
      <c r="D17" s="485">
        <v>2020</v>
      </c>
      <c r="E17" s="486">
        <f>'UTILITY REPORT 1'!F18</f>
        <v>0</v>
      </c>
      <c r="F17" s="487" t="e">
        <f>('UTILITY REPORT 1'!E18*'UTILITY REPORT 1'!D18)/'UTILITY REPORT 1'!F18</f>
        <v>#DIV/0!</v>
      </c>
      <c r="G17" s="487">
        <f>IF('Utility summery'!M21&lt;0,"0",'Utility summery'!M21)</f>
        <v>0</v>
      </c>
      <c r="H17" s="496">
        <v>0</v>
      </c>
      <c r="I17" s="487">
        <f>IF('UTILITY REPORT 1'!G18&lt;0,"0",'UTILITY REPORT 1'!G18)</f>
        <v>0</v>
      </c>
      <c r="J17" s="496">
        <v>0</v>
      </c>
      <c r="K17" s="486">
        <f>'UTILITY REPORT 1'!C18</f>
        <v>0</v>
      </c>
      <c r="L17" s="488" t="e">
        <f>E17*F17+G17*H17+#REF!*#REF!+I17*J17</f>
        <v>#DIV/0!</v>
      </c>
    </row>
    <row r="18" spans="1:12">
      <c r="A18" s="483" t="s">
        <v>284</v>
      </c>
      <c r="B18" s="484">
        <f t="shared" si="0"/>
        <v>17</v>
      </c>
      <c r="C18" s="484">
        <v>6</v>
      </c>
      <c r="D18" s="485">
        <v>2020</v>
      </c>
      <c r="E18" s="486">
        <f>'UTILITY REPORT 1'!F19</f>
        <v>0</v>
      </c>
      <c r="F18" s="487" t="e">
        <f>('UTILITY REPORT 1'!E19*'UTILITY REPORT 1'!D19)/'UTILITY REPORT 1'!F19</f>
        <v>#DIV/0!</v>
      </c>
      <c r="G18" s="487">
        <f>IF('Utility summery'!M22&lt;0,"0",'Utility summery'!M22)</f>
        <v>0</v>
      </c>
      <c r="H18" s="496">
        <v>0</v>
      </c>
      <c r="I18" s="487">
        <f>IF('UTILITY REPORT 1'!G19&lt;0,"0",'UTILITY REPORT 1'!G19)</f>
        <v>0</v>
      </c>
      <c r="J18" s="496">
        <v>0</v>
      </c>
      <c r="K18" s="486">
        <f>'UTILITY REPORT 1'!C19</f>
        <v>0</v>
      </c>
      <c r="L18" s="488" t="e">
        <f>E18*F18+G18*H18+#REF!*#REF!+I18*J18</f>
        <v>#DIV/0!</v>
      </c>
    </row>
    <row r="19" spans="1:12">
      <c r="A19" s="483" t="s">
        <v>284</v>
      </c>
      <c r="B19" s="484">
        <f t="shared" si="0"/>
        <v>18</v>
      </c>
      <c r="C19" s="484">
        <v>6</v>
      </c>
      <c r="D19" s="485">
        <v>2020</v>
      </c>
      <c r="E19" s="486">
        <f>'UTILITY REPORT 1'!F20</f>
        <v>0</v>
      </c>
      <c r="F19" s="487" t="e">
        <f>('UTILITY REPORT 1'!E20*'UTILITY REPORT 1'!D20)/'UTILITY REPORT 1'!F20</f>
        <v>#DIV/0!</v>
      </c>
      <c r="G19" s="487">
        <f>IF('Utility summery'!M23&lt;0,"0",'Utility summery'!M23)</f>
        <v>0</v>
      </c>
      <c r="H19" s="496">
        <v>0</v>
      </c>
      <c r="I19" s="487">
        <f>IF('UTILITY REPORT 1'!G20&lt;0,"0",'UTILITY REPORT 1'!G20)</f>
        <v>0</v>
      </c>
      <c r="J19" s="496">
        <v>0</v>
      </c>
      <c r="K19" s="486">
        <f>'UTILITY REPORT 1'!C20</f>
        <v>0</v>
      </c>
      <c r="L19" s="488" t="e">
        <f>E19*F19+G19*H19+#REF!*#REF!+I19*J19</f>
        <v>#DIV/0!</v>
      </c>
    </row>
    <row r="20" spans="1:12">
      <c r="A20" s="483" t="s">
        <v>284</v>
      </c>
      <c r="B20" s="484">
        <f t="shared" si="0"/>
        <v>19</v>
      </c>
      <c r="C20" s="484">
        <v>6</v>
      </c>
      <c r="D20" s="485">
        <v>2020</v>
      </c>
      <c r="E20" s="486">
        <f>'UTILITY REPORT 1'!F21</f>
        <v>0</v>
      </c>
      <c r="F20" s="487" t="e">
        <f>('UTILITY REPORT 1'!E21*'UTILITY REPORT 1'!D21)/'UTILITY REPORT 1'!F21</f>
        <v>#DIV/0!</v>
      </c>
      <c r="G20" s="487">
        <f>IF('Utility summery'!M24&lt;0,"0",'Utility summery'!M24)</f>
        <v>0</v>
      </c>
      <c r="H20" s="496">
        <v>0</v>
      </c>
      <c r="I20" s="487">
        <f>IF('UTILITY REPORT 1'!G21&lt;0,"0",'UTILITY REPORT 1'!G21)</f>
        <v>0</v>
      </c>
      <c r="J20" s="496">
        <v>0</v>
      </c>
      <c r="K20" s="486">
        <f>'UTILITY REPORT 1'!C21</f>
        <v>0</v>
      </c>
      <c r="L20" s="488" t="e">
        <f>E20*F20+G20*H20+#REF!*#REF!+I20*J20</f>
        <v>#DIV/0!</v>
      </c>
    </row>
    <row r="21" spans="1:12">
      <c r="A21" s="483" t="s">
        <v>284</v>
      </c>
      <c r="B21" s="484">
        <f t="shared" si="0"/>
        <v>20</v>
      </c>
      <c r="C21" s="484">
        <v>6</v>
      </c>
      <c r="D21" s="485">
        <v>2020</v>
      </c>
      <c r="E21" s="486">
        <f>'UTILITY REPORT 1'!F22</f>
        <v>0</v>
      </c>
      <c r="F21" s="487" t="e">
        <f>('UTILITY REPORT 1'!E22*'UTILITY REPORT 1'!D22)/'UTILITY REPORT 1'!F22</f>
        <v>#DIV/0!</v>
      </c>
      <c r="G21" s="487">
        <f>IF('Utility summery'!M25&lt;0,"0",'Utility summery'!M25)</f>
        <v>0</v>
      </c>
      <c r="H21" s="496">
        <v>0</v>
      </c>
      <c r="I21" s="487">
        <f>IF('UTILITY REPORT 1'!G22&lt;0,"0",'UTILITY REPORT 1'!G22)</f>
        <v>0</v>
      </c>
      <c r="J21" s="496">
        <v>0</v>
      </c>
      <c r="K21" s="486">
        <f>'UTILITY REPORT 1'!C22</f>
        <v>0</v>
      </c>
      <c r="L21" s="488" t="e">
        <f>E21*F21+G21*H21+#REF!*#REF!+I21*J21</f>
        <v>#DIV/0!</v>
      </c>
    </row>
    <row r="22" spans="1:12">
      <c r="A22" s="483" t="s">
        <v>284</v>
      </c>
      <c r="B22" s="484">
        <f t="shared" si="0"/>
        <v>21</v>
      </c>
      <c r="C22" s="484">
        <v>6</v>
      </c>
      <c r="D22" s="485">
        <v>2020</v>
      </c>
      <c r="E22" s="486">
        <f>'UTILITY REPORT 1'!F23</f>
        <v>0</v>
      </c>
      <c r="F22" s="487" t="e">
        <f>('UTILITY REPORT 1'!E23*'UTILITY REPORT 1'!D23)/'UTILITY REPORT 1'!F23</f>
        <v>#DIV/0!</v>
      </c>
      <c r="G22" s="487">
        <f>IF('Utility summery'!M26&lt;0,"0",'Utility summery'!M26)</f>
        <v>0</v>
      </c>
      <c r="H22" s="496">
        <v>0</v>
      </c>
      <c r="I22" s="487">
        <f>IF('UTILITY REPORT 1'!G23&lt;0,"0",'UTILITY REPORT 1'!G23)</f>
        <v>0</v>
      </c>
      <c r="J22" s="496">
        <v>0</v>
      </c>
      <c r="K22" s="486">
        <f>'UTILITY REPORT 1'!C23</f>
        <v>0</v>
      </c>
      <c r="L22" s="488" t="e">
        <f>E22*F22+G22*H22+#REF!*#REF!+I22*J22</f>
        <v>#DIV/0!</v>
      </c>
    </row>
    <row r="23" spans="1:12">
      <c r="A23" s="483" t="s">
        <v>284</v>
      </c>
      <c r="B23" s="484">
        <f t="shared" si="0"/>
        <v>22</v>
      </c>
      <c r="C23" s="484">
        <v>6</v>
      </c>
      <c r="D23" s="485">
        <v>2020</v>
      </c>
      <c r="E23" s="486">
        <f>'UTILITY REPORT 1'!F24</f>
        <v>0</v>
      </c>
      <c r="F23" s="487" t="e">
        <f>('UTILITY REPORT 1'!E24*'UTILITY REPORT 1'!D24)/'UTILITY REPORT 1'!F24</f>
        <v>#DIV/0!</v>
      </c>
      <c r="G23" s="487">
        <f>IF('Utility summery'!M27&lt;0,"0",'Utility summery'!M27)</f>
        <v>0</v>
      </c>
      <c r="H23" s="496">
        <v>0</v>
      </c>
      <c r="I23" s="487">
        <f>IF('UTILITY REPORT 1'!G24&lt;0,"0",'UTILITY REPORT 1'!G24)</f>
        <v>0</v>
      </c>
      <c r="J23" s="496">
        <v>0</v>
      </c>
      <c r="K23" s="486">
        <f>'UTILITY REPORT 1'!C24</f>
        <v>0</v>
      </c>
      <c r="L23" s="488" t="e">
        <f>E23*F23+G23*H23+#REF!*#REF!+I23*J23</f>
        <v>#DIV/0!</v>
      </c>
    </row>
    <row r="24" spans="1:12">
      <c r="A24" s="483" t="s">
        <v>284</v>
      </c>
      <c r="B24" s="484">
        <f t="shared" si="0"/>
        <v>23</v>
      </c>
      <c r="C24" s="484">
        <v>6</v>
      </c>
      <c r="D24" s="485">
        <v>2020</v>
      </c>
      <c r="E24" s="486">
        <f>'UTILITY REPORT 1'!F25</f>
        <v>0</v>
      </c>
      <c r="F24" s="487" t="e">
        <f>('UTILITY REPORT 1'!E25*'UTILITY REPORT 1'!D25)/'UTILITY REPORT 1'!F25</f>
        <v>#DIV/0!</v>
      </c>
      <c r="G24" s="487">
        <f>IF('Utility summery'!M28&lt;0,"0",'Utility summery'!M28)</f>
        <v>0</v>
      </c>
      <c r="H24" s="496">
        <v>0</v>
      </c>
      <c r="I24" s="487">
        <f>IF('UTILITY REPORT 1'!G25&lt;0,"0",'UTILITY REPORT 1'!G25)</f>
        <v>0</v>
      </c>
      <c r="J24" s="496">
        <v>0</v>
      </c>
      <c r="K24" s="486">
        <f>'UTILITY REPORT 1'!C25</f>
        <v>0</v>
      </c>
      <c r="L24" s="488" t="e">
        <f>E24*F24+G24*H24+#REF!*#REF!+I24*J24</f>
        <v>#DIV/0!</v>
      </c>
    </row>
    <row r="25" spans="1:12">
      <c r="A25" s="483" t="s">
        <v>284</v>
      </c>
      <c r="B25" s="484">
        <f t="shared" si="0"/>
        <v>24</v>
      </c>
      <c r="C25" s="484">
        <v>6</v>
      </c>
      <c r="D25" s="485">
        <v>2020</v>
      </c>
      <c r="E25" s="486">
        <f>'UTILITY REPORT 1'!F26</f>
        <v>0</v>
      </c>
      <c r="F25" s="487" t="e">
        <f>('UTILITY REPORT 1'!E26*'UTILITY REPORT 1'!D26)/'UTILITY REPORT 1'!F26</f>
        <v>#DIV/0!</v>
      </c>
      <c r="G25" s="487">
        <f>IF('Utility summery'!M29&lt;0,"0",'Utility summery'!M29)</f>
        <v>0</v>
      </c>
      <c r="H25" s="496">
        <v>0</v>
      </c>
      <c r="I25" s="487">
        <f>IF('UTILITY REPORT 1'!G26&lt;0,"0",'UTILITY REPORT 1'!G26)</f>
        <v>0</v>
      </c>
      <c r="J25" s="496">
        <v>0</v>
      </c>
      <c r="K25" s="486">
        <f>'UTILITY REPORT 1'!C26</f>
        <v>0</v>
      </c>
      <c r="L25" s="488" t="e">
        <f>E25*F25+G25*H25+#REF!*#REF!+I25*J25</f>
        <v>#DIV/0!</v>
      </c>
    </row>
    <row r="26" spans="1:12">
      <c r="A26" s="483" t="s">
        <v>284</v>
      </c>
      <c r="B26" s="484">
        <f>B25+1</f>
        <v>25</v>
      </c>
      <c r="C26" s="484">
        <v>6</v>
      </c>
      <c r="D26" s="485">
        <v>2020</v>
      </c>
      <c r="E26" s="486">
        <f>'UTILITY REPORT 1'!F27</f>
        <v>0</v>
      </c>
      <c r="F26" s="487" t="e">
        <f>('UTILITY REPORT 1'!E27*'UTILITY REPORT 1'!D27)/'UTILITY REPORT 1'!F27</f>
        <v>#DIV/0!</v>
      </c>
      <c r="G26" s="487">
        <f>IF('Utility summery'!M30&lt;0,"0",'Utility summery'!M30)</f>
        <v>0</v>
      </c>
      <c r="H26" s="496">
        <v>0</v>
      </c>
      <c r="I26" s="487">
        <f>IF('UTILITY REPORT 1'!G27&lt;0,"0",'UTILITY REPORT 1'!G27)</f>
        <v>0</v>
      </c>
      <c r="J26" s="496">
        <v>0</v>
      </c>
      <c r="K26" s="486">
        <f>'UTILITY REPORT 1'!C27</f>
        <v>0</v>
      </c>
      <c r="L26" s="488" t="e">
        <f>E26*F26+G26*H26+#REF!*#REF!+I26*J26</f>
        <v>#DIV/0!</v>
      </c>
    </row>
    <row r="27" spans="1:12">
      <c r="A27" s="483" t="s">
        <v>284</v>
      </c>
      <c r="B27" s="484">
        <f t="shared" si="0"/>
        <v>26</v>
      </c>
      <c r="C27" s="484">
        <v>6</v>
      </c>
      <c r="D27" s="485">
        <v>2020</v>
      </c>
      <c r="E27" s="486">
        <f>'UTILITY REPORT 1'!F28</f>
        <v>0</v>
      </c>
      <c r="F27" s="487" t="e">
        <f>('UTILITY REPORT 1'!E28*'UTILITY REPORT 1'!D28)/'UTILITY REPORT 1'!F28</f>
        <v>#DIV/0!</v>
      </c>
      <c r="G27" s="487">
        <f>IF('Utility summery'!M31&lt;0,"0",'Utility summery'!M31)</f>
        <v>0</v>
      </c>
      <c r="H27" s="496">
        <v>0</v>
      </c>
      <c r="I27" s="487">
        <f>IF('UTILITY REPORT 1'!G28&lt;0,"0",'UTILITY REPORT 1'!G28)</f>
        <v>0</v>
      </c>
      <c r="J27" s="496">
        <v>0</v>
      </c>
      <c r="K27" s="486">
        <f>'UTILITY REPORT 1'!C28</f>
        <v>0</v>
      </c>
      <c r="L27" s="488" t="e">
        <f>E27*F27+G27*H27+#REF!*#REF!+I27*J27</f>
        <v>#DIV/0!</v>
      </c>
    </row>
    <row r="28" spans="1:12">
      <c r="A28" s="483" t="s">
        <v>284</v>
      </c>
      <c r="B28" s="484">
        <f t="shared" si="0"/>
        <v>27</v>
      </c>
      <c r="C28" s="484">
        <v>6</v>
      </c>
      <c r="D28" s="485">
        <v>2020</v>
      </c>
      <c r="E28" s="486">
        <f>'UTILITY REPORT 1'!F29</f>
        <v>0</v>
      </c>
      <c r="F28" s="487" t="e">
        <f>('UTILITY REPORT 1'!E29*'UTILITY REPORT 1'!D29)/'UTILITY REPORT 1'!F29</f>
        <v>#DIV/0!</v>
      </c>
      <c r="G28" s="487">
        <f>IF('Utility summery'!M32&lt;0,"0",'Utility summery'!M32)</f>
        <v>0</v>
      </c>
      <c r="H28" s="496">
        <v>0</v>
      </c>
      <c r="I28" s="487">
        <f>IF('UTILITY REPORT 1'!G29&lt;0,"0",'UTILITY REPORT 1'!G29)</f>
        <v>0</v>
      </c>
      <c r="J28" s="496">
        <v>0</v>
      </c>
      <c r="K28" s="486">
        <f>'UTILITY REPORT 1'!C29</f>
        <v>0</v>
      </c>
      <c r="L28" s="488" t="e">
        <f>E28*F28+G28*H28+#REF!*#REF!+I28*J28</f>
        <v>#DIV/0!</v>
      </c>
    </row>
    <row r="29" spans="1:12">
      <c r="A29" s="483" t="s">
        <v>284</v>
      </c>
      <c r="B29" s="484">
        <f t="shared" si="0"/>
        <v>28</v>
      </c>
      <c r="C29" s="484">
        <v>6</v>
      </c>
      <c r="D29" s="485">
        <v>2020</v>
      </c>
      <c r="E29" s="486">
        <f>'UTILITY REPORT 1'!F30</f>
        <v>0</v>
      </c>
      <c r="F29" s="487" t="e">
        <f>('UTILITY REPORT 1'!E30*'UTILITY REPORT 1'!D30)/'UTILITY REPORT 1'!F30</f>
        <v>#DIV/0!</v>
      </c>
      <c r="G29" s="487">
        <f>IF('Utility summery'!M33&lt;0,"0",'Utility summery'!M33)</f>
        <v>0</v>
      </c>
      <c r="H29" s="496">
        <v>0</v>
      </c>
      <c r="I29" s="487">
        <f>IF('UTILITY REPORT 1'!G30&lt;0,"0",'UTILITY REPORT 1'!G30)</f>
        <v>0</v>
      </c>
      <c r="J29" s="496">
        <v>0</v>
      </c>
      <c r="K29" s="486">
        <f>'UTILITY REPORT 1'!C30</f>
        <v>0</v>
      </c>
      <c r="L29" s="488" t="e">
        <f>E29*F29+G29*H29+#REF!*#REF!+I29*J29</f>
        <v>#DIV/0!</v>
      </c>
    </row>
    <row r="30" spans="1:12">
      <c r="A30" s="483" t="s">
        <v>284</v>
      </c>
      <c r="B30" s="484">
        <f t="shared" si="0"/>
        <v>29</v>
      </c>
      <c r="C30" s="484">
        <v>6</v>
      </c>
      <c r="D30" s="485">
        <v>2020</v>
      </c>
      <c r="E30" s="486">
        <f>'UTILITY REPORT 1'!F31</f>
        <v>0</v>
      </c>
      <c r="F30" s="487" t="e">
        <f>('UTILITY REPORT 1'!E31*'UTILITY REPORT 1'!D31)/'UTILITY REPORT 1'!F31</f>
        <v>#DIV/0!</v>
      </c>
      <c r="G30" s="487">
        <f>IF('Utility summery'!M34&lt;0,"0",'Utility summery'!M34)</f>
        <v>0</v>
      </c>
      <c r="H30" s="496">
        <v>0</v>
      </c>
      <c r="I30" s="487">
        <f>IF('UTILITY REPORT 1'!G31&lt;0,"0",'UTILITY REPORT 1'!G31)</f>
        <v>0</v>
      </c>
      <c r="J30" s="496">
        <v>0</v>
      </c>
      <c r="K30" s="486">
        <f>'UTILITY REPORT 1'!C31</f>
        <v>0</v>
      </c>
      <c r="L30" s="488" t="e">
        <f>E30*F30+G30*H30+#REF!*#REF!+I30*J30</f>
        <v>#DIV/0!</v>
      </c>
    </row>
    <row r="31" spans="1:12">
      <c r="A31" s="483" t="s">
        <v>284</v>
      </c>
      <c r="B31" s="484">
        <v>30</v>
      </c>
      <c r="C31" s="484">
        <v>6</v>
      </c>
      <c r="D31" s="485">
        <v>2020</v>
      </c>
      <c r="E31" s="486">
        <f>'UTILITY REPORT 1'!F32</f>
        <v>0</v>
      </c>
      <c r="F31" s="487" t="e">
        <f>('UTILITY REPORT 1'!E32*'UTILITY REPORT 1'!D32)/'UTILITY REPORT 1'!F32</f>
        <v>#DIV/0!</v>
      </c>
      <c r="G31" s="487">
        <f>IF('Utility summery'!M35&lt;0,"0",'Utility summery'!M35)</f>
        <v>0</v>
      </c>
      <c r="H31" s="496">
        <v>0</v>
      </c>
      <c r="I31" s="487">
        <f>IF('UTILITY REPORT 1'!G32&lt;0,"0",'UTILITY REPORT 1'!G32)</f>
        <v>0</v>
      </c>
      <c r="J31" s="496">
        <v>0</v>
      </c>
      <c r="K31" s="486">
        <f>'UTILITY REPORT 1'!C32</f>
        <v>0</v>
      </c>
      <c r="L31" s="488" t="e">
        <f>E31*F31+G31*H31+#REF!*#REF!+I31*J31</f>
        <v>#DIV/0!</v>
      </c>
    </row>
    <row r="32" spans="1:12">
      <c r="A32" s="483" t="s">
        <v>284</v>
      </c>
      <c r="D32" s="485">
        <v>2020</v>
      </c>
      <c r="E32" s="486">
        <f>'UTILITY REPORT 1'!F33</f>
        <v>0</v>
      </c>
      <c r="F32" s="487" t="e">
        <f>('UTILITY REPORT 1'!E33*'UTILITY REPORT 1'!D33)/'UTILITY REPORT 1'!F33</f>
        <v>#DIV/0!</v>
      </c>
      <c r="G32" s="487">
        <f>IF('Utility summery'!M36&lt;0,"0",'Utility summery'!M36)</f>
        <v>0</v>
      </c>
      <c r="H32" s="496">
        <v>0</v>
      </c>
      <c r="I32" s="487">
        <f>IF('UTILITY REPORT 1'!G33&lt;0,"0",'UTILITY REPORT 1'!G33)</f>
        <v>0</v>
      </c>
      <c r="J32" s="496">
        <v>0</v>
      </c>
      <c r="K32" s="486">
        <f>'UTILITY REPORT 1'!C33</f>
        <v>0</v>
      </c>
    </row>
    <row r="33" spans="6:10">
      <c r="F33" s="487"/>
      <c r="G33" s="487"/>
      <c r="H33" s="496"/>
      <c r="I33" s="487" t="s">
        <v>254</v>
      </c>
      <c r="J33" s="496"/>
    </row>
    <row r="34" spans="6:10">
      <c r="F34" s="487"/>
      <c r="G34" s="487"/>
      <c r="H34" s="496"/>
      <c r="I34" s="487"/>
      <c r="J34" s="496"/>
    </row>
    <row r="35" spans="6:10">
      <c r="F35" s="487"/>
      <c r="G35" s="487"/>
      <c r="H35" s="496"/>
      <c r="I35" s="487"/>
      <c r="J35" s="496"/>
    </row>
    <row r="36" spans="6:10">
      <c r="F36" s="487"/>
      <c r="G36" s="487"/>
      <c r="H36" s="496"/>
      <c r="I36" s="487"/>
      <c r="J36" s="496"/>
    </row>
    <row r="37" spans="6:10">
      <c r="F37" s="487"/>
      <c r="G37" s="487"/>
      <c r="H37" s="496"/>
      <c r="I37" s="487"/>
      <c r="J37" s="496"/>
    </row>
    <row r="38" spans="6:10">
      <c r="F38" s="487"/>
      <c r="G38" s="487"/>
      <c r="H38" s="496"/>
      <c r="I38" s="487"/>
      <c r="J38" s="496"/>
    </row>
    <row r="39" spans="6:10">
      <c r="F39" s="487"/>
      <c r="G39" s="487"/>
      <c r="H39" s="496"/>
      <c r="I39" s="487"/>
      <c r="J39" s="4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E36" sqref="E36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6" width="12.5703125" style="12" customWidth="1"/>
    <col min="7" max="7" width="12.5703125" style="486" customWidth="1"/>
    <col min="8" max="10" width="11.5703125" style="12"/>
    <col min="11" max="11" width="12.5703125" style="486" customWidth="1"/>
    <col min="12" max="12" width="11.5703125" style="12"/>
    <col min="13" max="14" width="11.5703125" style="48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2" customFormat="1" ht="60.75" thickBot="1">
      <c r="A1" s="554" t="s">
        <v>272</v>
      </c>
      <c r="B1" s="555" t="s">
        <v>273</v>
      </c>
      <c r="C1" s="555" t="s">
        <v>274</v>
      </c>
      <c r="D1" s="556" t="s">
        <v>275</v>
      </c>
      <c r="E1" s="557" t="s">
        <v>288</v>
      </c>
      <c r="F1" s="557" t="s">
        <v>287</v>
      </c>
      <c r="G1" s="558" t="s">
        <v>276</v>
      </c>
      <c r="H1" s="557" t="s">
        <v>285</v>
      </c>
      <c r="I1" s="557" t="s">
        <v>286</v>
      </c>
      <c r="J1" s="557" t="s">
        <v>289</v>
      </c>
      <c r="K1" s="558" t="s">
        <v>267</v>
      </c>
      <c r="L1" s="557" t="s">
        <v>290</v>
      </c>
      <c r="M1" s="558" t="s">
        <v>291</v>
      </c>
      <c r="N1" s="558" t="s">
        <v>292</v>
      </c>
      <c r="O1" s="558" t="s">
        <v>292</v>
      </c>
      <c r="P1" s="558" t="s">
        <v>306</v>
      </c>
      <c r="Q1" s="558" t="s">
        <v>293</v>
      </c>
      <c r="R1" s="558" t="s">
        <v>294</v>
      </c>
      <c r="S1" s="558" t="s">
        <v>295</v>
      </c>
      <c r="T1" s="558" t="s">
        <v>296</v>
      </c>
      <c r="U1" s="558" t="s">
        <v>297</v>
      </c>
      <c r="V1" s="558" t="s">
        <v>298</v>
      </c>
      <c r="W1" s="561" t="s">
        <v>307</v>
      </c>
      <c r="X1" s="562" t="s">
        <v>282</v>
      </c>
    </row>
    <row r="2" spans="1:24">
      <c r="A2" s="549" t="s">
        <v>284</v>
      </c>
      <c r="B2" s="550">
        <v>1</v>
      </c>
      <c r="C2" s="550">
        <v>6</v>
      </c>
      <c r="D2" s="551">
        <v>2020</v>
      </c>
      <c r="E2" s="552">
        <f>'UTILITY REPORT 1'!I3</f>
        <v>0</v>
      </c>
      <c r="F2" s="552">
        <f>'UTILITY REPORT 1'!E3</f>
        <v>669.52</v>
      </c>
      <c r="G2" s="553">
        <f>'UTILITY REPORT 1'!F3</f>
        <v>1573</v>
      </c>
      <c r="H2" s="552">
        <f>IF('Kit report'!F4&lt;0,"0",'Kit report'!F4)</f>
        <v>120</v>
      </c>
      <c r="I2" s="552">
        <f>IF('Kit report'!X4&lt;0,"0",'Kit report'!X4)</f>
        <v>39.99999999996362</v>
      </c>
      <c r="J2" s="552">
        <f>IF('Utility summery'!H6&lt;0,"0",'Utility summery'!H6)</f>
        <v>31</v>
      </c>
      <c r="K2" s="553">
        <f>IF('UTILITY REPORT 1'!H3&lt;0,"0",'UTILITY REPORT 1'!H3)</f>
        <v>16</v>
      </c>
      <c r="L2" s="552">
        <f>'Water-Meter'!K6</f>
        <v>1</v>
      </c>
      <c r="M2" s="553">
        <f>'Water-Meter'!H6</f>
        <v>0</v>
      </c>
      <c r="N2" s="553">
        <f>'Water-Meter'!Q6</f>
        <v>0</v>
      </c>
      <c r="O2" s="552" t="e">
        <f>K2*E2+H2*I2+#REF!*#REF!+J2*L2</f>
        <v>#REF!</v>
      </c>
      <c r="P2" s="552">
        <f>'Water-Meter'!E6</f>
        <v>43</v>
      </c>
      <c r="Q2" s="474">
        <f>IF('Water-Meter'!U6&lt;0,"0",'Water-Meter'!U6)</f>
        <v>0</v>
      </c>
      <c r="R2" s="474">
        <f>IF('Water-Meter'!X6&lt;0,"0",'Water-Meter'!X6)</f>
        <v>0</v>
      </c>
      <c r="S2" s="474">
        <f>IF('Water-Meter'!AA6&lt;0,"0",'Water-Meter'!AA6)</f>
        <v>41</v>
      </c>
      <c r="T2" s="474">
        <f>IF('Water-Meter'!AD6&lt;0,"0",'Water-Meter'!AD6)</f>
        <v>19</v>
      </c>
      <c r="U2" s="474">
        <f>IF('Water-Meter'!AG6&lt;0,"0",'Water-Meter'!AG6)</f>
        <v>26</v>
      </c>
      <c r="V2" s="474">
        <f>IF('Water-Meter'!AJ6&lt;0,"0",'Water-Meter'!AJ6)</f>
        <v>0</v>
      </c>
      <c r="W2" s="31">
        <f>'Water-Meter'!AN6</f>
        <v>86</v>
      </c>
      <c r="X2" s="563">
        <f>Total!K2</f>
        <v>0</v>
      </c>
    </row>
    <row r="3" spans="1:24">
      <c r="A3" s="547" t="s">
        <v>284</v>
      </c>
      <c r="B3" s="544">
        <f>B2+1</f>
        <v>2</v>
      </c>
      <c r="C3" s="550">
        <v>6</v>
      </c>
      <c r="D3" s="551">
        <v>2020</v>
      </c>
      <c r="E3" s="545">
        <f>'UTILITY REPORT 1'!I4</f>
        <v>0</v>
      </c>
      <c r="F3" s="545">
        <f>'UTILITY REPORT 1'!E4</f>
        <v>685.33</v>
      </c>
      <c r="G3" s="546">
        <f>'UTILITY REPORT 1'!F4</f>
        <v>1638</v>
      </c>
      <c r="H3" s="545">
        <f>IF('Kit report'!F5&lt;0,"0",'Kit report'!F5)</f>
        <v>107.99999999995634</v>
      </c>
      <c r="I3" s="545">
        <f>IF('Kit report'!X5&lt;0,"0",'Kit report'!X5)</f>
        <v>0</v>
      </c>
      <c r="J3" s="545">
        <f>IF('Utility summery'!H7&lt;0,"0",'Utility summery'!H7)</f>
        <v>27</v>
      </c>
      <c r="K3" s="546">
        <f>IF('UTILITY REPORT 1'!H4&lt;0,"0",'UTILITY REPORT 1'!H4)</f>
        <v>97</v>
      </c>
      <c r="L3" s="545">
        <f>'Water-Meter'!K7</f>
        <v>1</v>
      </c>
      <c r="M3" s="546">
        <f>'Water-Meter'!H7</f>
        <v>0</v>
      </c>
      <c r="N3" s="546">
        <f>'Water-Meter'!Q7</f>
        <v>1</v>
      </c>
      <c r="O3" s="545" t="e">
        <f>K3*E3+H3*I3+#REF!*#REF!+J3*L3</f>
        <v>#REF!</v>
      </c>
      <c r="P3" s="552">
        <f>'Water-Meter'!E7</f>
        <v>49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42</v>
      </c>
      <c r="T3" s="291">
        <f>IF('Water-Meter'!AD7&lt;0,"0",'Water-Meter'!AD7)</f>
        <v>18</v>
      </c>
      <c r="U3" s="291">
        <f>IF('Water-Meter'!AG7&lt;0,"0",'Water-Meter'!AG7)</f>
        <v>27</v>
      </c>
      <c r="V3" s="291">
        <f>IF('Water-Meter'!AJ7&lt;0,"0",'Water-Meter'!AJ7)</f>
        <v>0</v>
      </c>
      <c r="W3" s="31">
        <f>'Water-Meter'!AN7</f>
        <v>87</v>
      </c>
      <c r="X3" s="563">
        <f>Total!K3</f>
        <v>0</v>
      </c>
    </row>
    <row r="4" spans="1:24">
      <c r="A4" s="547" t="s">
        <v>284</v>
      </c>
      <c r="B4" s="544">
        <f t="shared" ref="B4:B30" si="0">B3+1</f>
        <v>3</v>
      </c>
      <c r="C4" s="550">
        <v>6</v>
      </c>
      <c r="D4" s="551">
        <v>2020</v>
      </c>
      <c r="E4" s="545">
        <f>'UTILITY REPORT 1'!I5</f>
        <v>0</v>
      </c>
      <c r="F4" s="545">
        <f>'UTILITY REPORT 1'!E5</f>
        <v>728.03</v>
      </c>
      <c r="G4" s="546">
        <f>'UTILITY REPORT 1'!F5</f>
        <v>1600</v>
      </c>
      <c r="H4" s="545">
        <f>IF('Kit report'!F6&lt;0,"0",'Kit report'!F6)</f>
        <v>120</v>
      </c>
      <c r="I4" s="545">
        <f>IF('Kit report'!X6&lt;0,"0",'Kit report'!X6)</f>
        <v>20.00000000007276</v>
      </c>
      <c r="J4" s="545">
        <f>IF('Utility summery'!H8&lt;0,"0",'Utility summery'!H8)</f>
        <v>18</v>
      </c>
      <c r="K4" s="546">
        <f>IF('UTILITY REPORT 1'!H5&lt;0,"0",'UTILITY REPORT 1'!H5)</f>
        <v>164</v>
      </c>
      <c r="L4" s="545">
        <f>'Water-Meter'!K8</f>
        <v>0</v>
      </c>
      <c r="M4" s="546">
        <f>'Water-Meter'!H8</f>
        <v>0</v>
      </c>
      <c r="N4" s="546">
        <f>'Water-Meter'!Q8</f>
        <v>1</v>
      </c>
      <c r="O4" s="545" t="e">
        <f>K4*E4+H4*I4+#REF!*#REF!+J4*L4</f>
        <v>#REF!</v>
      </c>
      <c r="P4" s="552">
        <f>'Water-Meter'!E8</f>
        <v>41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38</v>
      </c>
      <c r="T4" s="291">
        <f>IF('Water-Meter'!AD8&lt;0,"0",'Water-Meter'!AD8)</f>
        <v>19</v>
      </c>
      <c r="U4" s="291">
        <f>IF('Water-Meter'!AG8&lt;0,"0",'Water-Meter'!AG8)</f>
        <v>24</v>
      </c>
      <c r="V4" s="291">
        <f>IF('Water-Meter'!AJ8&lt;0,"0",'Water-Meter'!AJ8)</f>
        <v>0</v>
      </c>
      <c r="W4" s="31">
        <f>'Water-Meter'!AN8</f>
        <v>81</v>
      </c>
      <c r="X4" s="563">
        <f>Total!K4</f>
        <v>0</v>
      </c>
    </row>
    <row r="5" spans="1:24">
      <c r="A5" s="547" t="s">
        <v>284</v>
      </c>
      <c r="B5" s="544">
        <f t="shared" si="0"/>
        <v>4</v>
      </c>
      <c r="C5" s="550">
        <v>6</v>
      </c>
      <c r="D5" s="551">
        <v>2020</v>
      </c>
      <c r="E5" s="545">
        <f>'UTILITY REPORT 1'!I6</f>
        <v>0</v>
      </c>
      <c r="F5" s="545">
        <f>'UTILITY REPORT 1'!E6</f>
        <v>693.88</v>
      </c>
      <c r="G5" s="546">
        <f>'UTILITY REPORT 1'!F6</f>
        <v>1594</v>
      </c>
      <c r="H5" s="545">
        <f>IF('Kit report'!F7&lt;0,"0",'Kit report'!F7)</f>
        <v>95.999999999912689</v>
      </c>
      <c r="I5" s="545">
        <f>IF('Kit report'!X7&lt;0,"0",'Kit report'!X7)</f>
        <v>0</v>
      </c>
      <c r="J5" s="545">
        <f>IF('Utility summery'!H9&lt;0,"0",'Utility summery'!H9)</f>
        <v>16</v>
      </c>
      <c r="K5" s="546">
        <f>IF('UTILITY REPORT 1'!H6&lt;0,"0",'UTILITY REPORT 1'!H6)</f>
        <v>39</v>
      </c>
      <c r="L5" s="545">
        <f>'Water-Meter'!K9</f>
        <v>1</v>
      </c>
      <c r="M5" s="546">
        <f>'Water-Meter'!H9</f>
        <v>0</v>
      </c>
      <c r="N5" s="546">
        <f>'Water-Meter'!Q9</f>
        <v>0</v>
      </c>
      <c r="O5" s="545" t="e">
        <f>K5*E5+H5*I5+#REF!*#REF!+J5*L5</f>
        <v>#REF!</v>
      </c>
      <c r="P5" s="552">
        <f>'Water-Meter'!E9</f>
        <v>86</v>
      </c>
      <c r="Q5" s="291">
        <f>IF('Water-Meter'!U9&lt;0,"0",'Water-Meter'!U9)</f>
        <v>82</v>
      </c>
      <c r="R5" s="291">
        <f>IF('Water-Meter'!X9&lt;0,"0",'Water-Meter'!X9)</f>
        <v>0</v>
      </c>
      <c r="S5" s="291">
        <f>IF('Water-Meter'!AA9&lt;0,"0",'Water-Meter'!AA9)</f>
        <v>40</v>
      </c>
      <c r="T5" s="291">
        <f>IF('Water-Meter'!AD9&lt;0,"0",'Water-Meter'!AD9)</f>
        <v>18</v>
      </c>
      <c r="U5" s="291">
        <f>IF('Water-Meter'!AG9&lt;0,"0",'Water-Meter'!AG9)</f>
        <v>25</v>
      </c>
      <c r="V5" s="291">
        <f>IF('Water-Meter'!AJ9&lt;0,"0",'Water-Meter'!AJ9)</f>
        <v>0</v>
      </c>
      <c r="W5" s="31">
        <f>'Water-Meter'!AN9</f>
        <v>165</v>
      </c>
      <c r="X5" s="563">
        <f>Total!K5</f>
        <v>0</v>
      </c>
    </row>
    <row r="6" spans="1:24">
      <c r="A6" s="547" t="s">
        <v>284</v>
      </c>
      <c r="B6" s="544">
        <f t="shared" si="0"/>
        <v>5</v>
      </c>
      <c r="C6" s="550">
        <v>6</v>
      </c>
      <c r="D6" s="551">
        <v>2020</v>
      </c>
      <c r="E6" s="545">
        <f>'UTILITY REPORT 1'!I7</f>
        <v>0</v>
      </c>
      <c r="F6" s="545">
        <f>'UTILITY REPORT 1'!E7</f>
        <v>708.93000000000006</v>
      </c>
      <c r="G6" s="546">
        <f>'UTILITY REPORT 1'!F7</f>
        <v>1658</v>
      </c>
      <c r="H6" s="545">
        <f>IF('Kit report'!F8&lt;0,"0",'Kit report'!F8)</f>
        <v>120</v>
      </c>
      <c r="I6" s="545">
        <f>IF('Kit report'!X8&lt;0,"0",'Kit report'!X8)</f>
        <v>0</v>
      </c>
      <c r="J6" s="545">
        <f>IF('Utility summery'!H10&lt;0,"0",'Utility summery'!H10)</f>
        <v>11</v>
      </c>
      <c r="K6" s="546">
        <f>IF('UTILITY REPORT 1'!H7&lt;0,"0",'UTILITY REPORT 1'!H7)</f>
        <v>154</v>
      </c>
      <c r="L6" s="545">
        <f>'Water-Meter'!K10</f>
        <v>1</v>
      </c>
      <c r="M6" s="546">
        <f>'Water-Meter'!H10</f>
        <v>0</v>
      </c>
      <c r="N6" s="546">
        <f>'Water-Meter'!Q10</f>
        <v>0</v>
      </c>
      <c r="O6" s="545" t="e">
        <f>K6*E6+H6*I6+#REF!*#REF!+J6*L6</f>
        <v>#REF!</v>
      </c>
      <c r="P6" s="552">
        <f>'Water-Meter'!E10</f>
        <v>82</v>
      </c>
      <c r="Q6" s="291">
        <f>IF('Water-Meter'!U10&lt;0,"0",'Water-Meter'!U10)</f>
        <v>94</v>
      </c>
      <c r="R6" s="291">
        <f>IF('Water-Meter'!X10&lt;0,"0",'Water-Meter'!X10)</f>
        <v>0</v>
      </c>
      <c r="S6" s="291">
        <f>IF('Water-Meter'!AA10&lt;0,"0",'Water-Meter'!AA10)</f>
        <v>8</v>
      </c>
      <c r="T6" s="291">
        <f>IF('Water-Meter'!AD10&lt;0,"0",'Water-Meter'!AD10)</f>
        <v>5</v>
      </c>
      <c r="U6" s="291">
        <f>IF('Water-Meter'!AG10&lt;0,"0",'Water-Meter'!AG10)</f>
        <v>24</v>
      </c>
      <c r="V6" s="291" t="str">
        <f>IF('Water-Meter'!AJ10&lt;0,"0",'Water-Meter'!AJ10)</f>
        <v>0</v>
      </c>
      <c r="W6" s="31">
        <f>'Water-Meter'!AN10</f>
        <v>131</v>
      </c>
      <c r="X6" s="563">
        <f>Total!K6</f>
        <v>0</v>
      </c>
    </row>
    <row r="7" spans="1:24">
      <c r="A7" s="547" t="s">
        <v>284</v>
      </c>
      <c r="B7" s="544">
        <f t="shared" si="0"/>
        <v>6</v>
      </c>
      <c r="C7" s="550">
        <v>6</v>
      </c>
      <c r="D7" s="551">
        <v>2020</v>
      </c>
      <c r="E7" s="545">
        <f>'UTILITY REPORT 1'!I8</f>
        <v>0</v>
      </c>
      <c r="F7" s="545">
        <f>'UTILITY REPORT 1'!E8</f>
        <v>0</v>
      </c>
      <c r="G7" s="546">
        <f>'UTILITY REPORT 1'!F8</f>
        <v>0</v>
      </c>
      <c r="H7" s="545" t="str">
        <f>IF('Kit report'!F9&lt;0,"0",'Kit report'!F9)</f>
        <v>0</v>
      </c>
      <c r="I7" s="545" t="str">
        <f>IF('Kit report'!X9&lt;0,"0",'Kit report'!X9)</f>
        <v>0</v>
      </c>
      <c r="J7" s="545" t="str">
        <f>IF('Utility summery'!H11&lt;0,"0",'Utility summery'!H11)</f>
        <v>0</v>
      </c>
      <c r="K7" s="546" t="str">
        <f>IF('UTILITY REPORT 1'!H8&lt;0,"0",'UTILITY REPORT 1'!H8)</f>
        <v>0</v>
      </c>
      <c r="L7" s="545" t="str">
        <f>'Water-Meter'!K11</f>
        <v>0</v>
      </c>
      <c r="M7" s="546" t="e">
        <f>'Water-Meter'!H11</f>
        <v>#VALUE!</v>
      </c>
      <c r="N7" s="546" t="str">
        <f>'Water-Meter'!Q11</f>
        <v>0</v>
      </c>
      <c r="O7" s="545" t="e">
        <f>K7*E7+H7*I7+#REF!*#REF!+J7*L7</f>
        <v>#REF!</v>
      </c>
      <c r="P7" s="552" t="str">
        <f>'Water-Meter'!E11</f>
        <v>0</v>
      </c>
      <c r="Q7" s="291" t="str">
        <f>IF('Water-Meter'!U11&lt;0,"0",'Water-Meter'!U11)</f>
        <v>0</v>
      </c>
      <c r="R7" s="291" t="str">
        <f>IF('Water-Meter'!X11&lt;0,"0",'Water-Meter'!X11)</f>
        <v>0</v>
      </c>
      <c r="S7" s="291" t="str">
        <f>IF('Water-Meter'!AA11&lt;0,"0",'Water-Meter'!AA11)</f>
        <v>0</v>
      </c>
      <c r="T7" s="291" t="str">
        <f>IF('Water-Meter'!AD11&lt;0,"0",'Water-Meter'!AD11)</f>
        <v>0</v>
      </c>
      <c r="U7" s="291" t="str">
        <f>IF('Water-Meter'!AG11&lt;0,"0",'Water-Meter'!AG11)</f>
        <v>0</v>
      </c>
      <c r="V7" s="291" t="str">
        <f>IF('Water-Meter'!AJ11&lt;0,"0",'Water-Meter'!AJ11)</f>
        <v>0</v>
      </c>
      <c r="W7" s="31">
        <f>'Water-Meter'!AN11</f>
        <v>0</v>
      </c>
      <c r="X7" s="563">
        <f>Total!K7</f>
        <v>0</v>
      </c>
    </row>
    <row r="8" spans="1:24">
      <c r="A8" s="547" t="s">
        <v>284</v>
      </c>
      <c r="B8" s="544">
        <f t="shared" si="0"/>
        <v>7</v>
      </c>
      <c r="C8" s="550">
        <v>6</v>
      </c>
      <c r="D8" s="551">
        <v>2020</v>
      </c>
      <c r="E8" s="545">
        <f>'UTILITY REPORT 1'!I9</f>
        <v>0</v>
      </c>
      <c r="F8" s="545">
        <f>'UTILITY REPORT 1'!E9</f>
        <v>0</v>
      </c>
      <c r="G8" s="546">
        <f>'UTILITY REPORT 1'!F9</f>
        <v>0</v>
      </c>
      <c r="H8" s="545">
        <f>IF('Kit report'!F10&lt;0,"0",'Kit report'!F10)</f>
        <v>0</v>
      </c>
      <c r="I8" s="545">
        <f>IF('Kit report'!X10&lt;0,"0",'Kit report'!X10)</f>
        <v>0</v>
      </c>
      <c r="J8" s="545">
        <f>IF('Utility summery'!H12&lt;0,"0",'Utility summery'!H12)</f>
        <v>0</v>
      </c>
      <c r="K8" s="546">
        <f>IF('UTILITY REPORT 1'!H9&lt;0,"0",'UTILITY REPORT 1'!H9)</f>
        <v>0</v>
      </c>
      <c r="L8" s="545">
        <f>'Water-Meter'!K12</f>
        <v>0</v>
      </c>
      <c r="M8" s="546" t="e">
        <f>'Water-Meter'!H12</f>
        <v>#VALUE!</v>
      </c>
      <c r="N8" s="546">
        <f>'Water-Meter'!Q12</f>
        <v>0</v>
      </c>
      <c r="O8" s="545" t="e">
        <f>K8*E8+H8*I8+#REF!*#REF!+J8*L8</f>
        <v>#REF!</v>
      </c>
      <c r="P8" s="552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3">
        <f>Total!K8</f>
        <v>0</v>
      </c>
    </row>
    <row r="9" spans="1:24">
      <c r="A9" s="547" t="s">
        <v>284</v>
      </c>
      <c r="B9" s="544">
        <f t="shared" si="0"/>
        <v>8</v>
      </c>
      <c r="C9" s="550">
        <v>6</v>
      </c>
      <c r="D9" s="551">
        <v>2020</v>
      </c>
      <c r="E9" s="545">
        <f>'UTILITY REPORT 1'!I10</f>
        <v>0</v>
      </c>
      <c r="F9" s="545">
        <f>'UTILITY REPORT 1'!E10</f>
        <v>0</v>
      </c>
      <c r="G9" s="546">
        <f>'UTILITY REPORT 1'!F10</f>
        <v>0</v>
      </c>
      <c r="H9" s="545">
        <f>IF('Kit report'!F11&lt;0,"0",'Kit report'!F11)</f>
        <v>0</v>
      </c>
      <c r="I9" s="545">
        <f>IF('Kit report'!X11&lt;0,"0",'Kit report'!X11)</f>
        <v>0</v>
      </c>
      <c r="J9" s="545">
        <f>IF('Utility summery'!H13&lt;0,"0",'Utility summery'!H13)</f>
        <v>0</v>
      </c>
      <c r="K9" s="546">
        <f>IF('UTILITY REPORT 1'!H10&lt;0,"0",'UTILITY REPORT 1'!H10)</f>
        <v>0</v>
      </c>
      <c r="L9" s="545">
        <f>'Water-Meter'!K13</f>
        <v>0</v>
      </c>
      <c r="M9" s="546">
        <f>'Water-Meter'!H13</f>
        <v>0</v>
      </c>
      <c r="N9" s="546">
        <f>'Water-Meter'!Q13</f>
        <v>0</v>
      </c>
      <c r="O9" s="545" t="e">
        <f>K9*E9+H9*I9+#REF!*#REF!+J9*L9</f>
        <v>#REF!</v>
      </c>
      <c r="P9" s="552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3">
        <f>Total!K9</f>
        <v>0</v>
      </c>
    </row>
    <row r="10" spans="1:24">
      <c r="A10" s="547" t="s">
        <v>284</v>
      </c>
      <c r="B10" s="544">
        <f t="shared" si="0"/>
        <v>9</v>
      </c>
      <c r="C10" s="550">
        <v>6</v>
      </c>
      <c r="D10" s="551">
        <v>2020</v>
      </c>
      <c r="E10" s="545">
        <f>'UTILITY REPORT 1'!I11</f>
        <v>0</v>
      </c>
      <c r="F10" s="545">
        <f>'UTILITY REPORT 1'!E11</f>
        <v>0</v>
      </c>
      <c r="G10" s="546">
        <f>'UTILITY REPORT 1'!F11</f>
        <v>0</v>
      </c>
      <c r="H10" s="545">
        <f>IF('Kit report'!F12&lt;0,"0",'Kit report'!F12)</f>
        <v>0</v>
      </c>
      <c r="I10" s="545">
        <f>IF('Kit report'!X12&lt;0,"0",'Kit report'!X12)</f>
        <v>0</v>
      </c>
      <c r="J10" s="545">
        <f>IF('Utility summery'!H14&lt;0,"0",'Utility summery'!H14)</f>
        <v>0</v>
      </c>
      <c r="K10" s="546">
        <f>IF('UTILITY REPORT 1'!H11&lt;0,"0",'UTILITY REPORT 1'!H11)</f>
        <v>0</v>
      </c>
      <c r="L10" s="545">
        <f>'Water-Meter'!K14</f>
        <v>0</v>
      </c>
      <c r="M10" s="546">
        <f>'Water-Meter'!H14</f>
        <v>0</v>
      </c>
      <c r="N10" s="546">
        <f>'Water-Meter'!Q14</f>
        <v>0</v>
      </c>
      <c r="O10" s="545" t="e">
        <f>K10*E10+H10*I10+#REF!*#REF!+J10*L10</f>
        <v>#REF!</v>
      </c>
      <c r="P10" s="552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3">
        <f>Total!K10</f>
        <v>0</v>
      </c>
    </row>
    <row r="11" spans="1:24">
      <c r="A11" s="547" t="s">
        <v>284</v>
      </c>
      <c r="B11" s="544">
        <f t="shared" si="0"/>
        <v>10</v>
      </c>
      <c r="C11" s="550">
        <v>6</v>
      </c>
      <c r="D11" s="551">
        <v>2020</v>
      </c>
      <c r="E11" s="545">
        <f>'UTILITY REPORT 1'!I12</f>
        <v>0</v>
      </c>
      <c r="F11" s="545">
        <f>'UTILITY REPORT 1'!E12</f>
        <v>0</v>
      </c>
      <c r="G11" s="546">
        <f>'UTILITY REPORT 1'!F12</f>
        <v>0</v>
      </c>
      <c r="H11" s="545">
        <f>IF('Kit report'!F13&lt;0,"0",'Kit report'!F13)</f>
        <v>0</v>
      </c>
      <c r="I11" s="545">
        <f>IF('Kit report'!X13&lt;0,"0",'Kit report'!X13)</f>
        <v>0</v>
      </c>
      <c r="J11" s="545">
        <f>IF('Utility summery'!H15&lt;0,"0",'Utility summery'!H15)</f>
        <v>0</v>
      </c>
      <c r="K11" s="546">
        <f>IF('UTILITY REPORT 1'!H12&lt;0,"0",'UTILITY REPORT 1'!H12)</f>
        <v>0</v>
      </c>
      <c r="L11" s="545">
        <f>'Water-Meter'!K15</f>
        <v>0</v>
      </c>
      <c r="M11" s="546">
        <f>'Water-Meter'!H15</f>
        <v>0</v>
      </c>
      <c r="N11" s="546">
        <f>'Water-Meter'!Q15</f>
        <v>0</v>
      </c>
      <c r="O11" s="545" t="e">
        <f>K11*E11+H11*I11+#REF!*#REF!+J11*L11</f>
        <v>#REF!</v>
      </c>
      <c r="P11" s="552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3">
        <f>Total!K11</f>
        <v>0</v>
      </c>
    </row>
    <row r="12" spans="1:24">
      <c r="A12" s="547" t="s">
        <v>284</v>
      </c>
      <c r="B12" s="544">
        <f t="shared" si="0"/>
        <v>11</v>
      </c>
      <c r="C12" s="550">
        <v>6</v>
      </c>
      <c r="D12" s="551">
        <v>2020</v>
      </c>
      <c r="E12" s="545">
        <f>'UTILITY REPORT 1'!I13</f>
        <v>0</v>
      </c>
      <c r="F12" s="545">
        <f>'UTILITY REPORT 1'!E13</f>
        <v>0</v>
      </c>
      <c r="G12" s="546">
        <f>'UTILITY REPORT 1'!F13</f>
        <v>0</v>
      </c>
      <c r="H12" s="545">
        <f>IF('Kit report'!F14&lt;0,"0",'Kit report'!F14)</f>
        <v>0</v>
      </c>
      <c r="I12" s="545">
        <f>IF('Kit report'!X14&lt;0,"0",'Kit report'!X14)</f>
        <v>0</v>
      </c>
      <c r="J12" s="545">
        <f>IF('Utility summery'!H16&lt;0,"0",'Utility summery'!H16)</f>
        <v>0</v>
      </c>
      <c r="K12" s="546">
        <f>IF('UTILITY REPORT 1'!H13&lt;0,"0",'UTILITY REPORT 1'!H13)</f>
        <v>0</v>
      </c>
      <c r="L12" s="545">
        <f>'Water-Meter'!K16</f>
        <v>0</v>
      </c>
      <c r="M12" s="546">
        <f>'Water-Meter'!H16</f>
        <v>0</v>
      </c>
      <c r="N12" s="546">
        <f>'Water-Meter'!Q16</f>
        <v>0</v>
      </c>
      <c r="O12" s="545" t="e">
        <f>K12*E12+H12*I12+#REF!*#REF!+J12*L12</f>
        <v>#REF!</v>
      </c>
      <c r="P12" s="552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3">
        <f>Total!K12</f>
        <v>0</v>
      </c>
    </row>
    <row r="13" spans="1:24">
      <c r="A13" s="547" t="s">
        <v>284</v>
      </c>
      <c r="B13" s="544">
        <f t="shared" si="0"/>
        <v>12</v>
      </c>
      <c r="C13" s="550">
        <v>6</v>
      </c>
      <c r="D13" s="551">
        <v>2020</v>
      </c>
      <c r="E13" s="545">
        <f>'UTILITY REPORT 1'!I14</f>
        <v>0</v>
      </c>
      <c r="F13" s="545">
        <f>'UTILITY REPORT 1'!E14</f>
        <v>0</v>
      </c>
      <c r="G13" s="546">
        <f>'UTILITY REPORT 1'!F14</f>
        <v>0</v>
      </c>
      <c r="H13" s="545">
        <f>IF('Kit report'!F15&lt;0,"0",'Kit report'!F15)</f>
        <v>0</v>
      </c>
      <c r="I13" s="545">
        <f>IF('Kit report'!X15&lt;0,"0",'Kit report'!X15)</f>
        <v>0</v>
      </c>
      <c r="J13" s="545">
        <f>IF('Utility summery'!H17&lt;0,"0",'Utility summery'!H17)</f>
        <v>0</v>
      </c>
      <c r="K13" s="546">
        <f>IF('UTILITY REPORT 1'!H14&lt;0,"0",'UTILITY REPORT 1'!H14)</f>
        <v>0</v>
      </c>
      <c r="L13" s="545">
        <f>'Water-Meter'!K17</f>
        <v>0</v>
      </c>
      <c r="M13" s="546">
        <f>'Water-Meter'!H17</f>
        <v>0</v>
      </c>
      <c r="N13" s="546">
        <f>'Water-Meter'!Q17</f>
        <v>0</v>
      </c>
      <c r="O13" s="545" t="e">
        <f>K13*E13+H13*I13+#REF!*#REF!+J13*L13</f>
        <v>#REF!</v>
      </c>
      <c r="P13" s="552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3">
        <f>Total!K13</f>
        <v>0</v>
      </c>
    </row>
    <row r="14" spans="1:24">
      <c r="A14" s="547" t="s">
        <v>284</v>
      </c>
      <c r="B14" s="544">
        <f t="shared" si="0"/>
        <v>13</v>
      </c>
      <c r="C14" s="550">
        <v>6</v>
      </c>
      <c r="D14" s="551">
        <v>2020</v>
      </c>
      <c r="E14" s="545">
        <f>'UTILITY REPORT 1'!I15</f>
        <v>0</v>
      </c>
      <c r="F14" s="545">
        <f>'UTILITY REPORT 1'!E15</f>
        <v>0</v>
      </c>
      <c r="G14" s="546">
        <f>'UTILITY REPORT 1'!F15</f>
        <v>0</v>
      </c>
      <c r="H14" s="545">
        <f>IF('Kit report'!F16&lt;0,"0",'Kit report'!F16)</f>
        <v>0</v>
      </c>
      <c r="I14" s="545">
        <f>IF('Kit report'!X16&lt;0,"0",'Kit report'!X16)</f>
        <v>0</v>
      </c>
      <c r="J14" s="545">
        <f>IF('Utility summery'!H18&lt;0,"0",'Utility summery'!H18)</f>
        <v>0</v>
      </c>
      <c r="K14" s="546">
        <f>IF('UTILITY REPORT 1'!H15&lt;0,"0",'UTILITY REPORT 1'!H15)</f>
        <v>0</v>
      </c>
      <c r="L14" s="545">
        <f>'Water-Meter'!K18</f>
        <v>0</v>
      </c>
      <c r="M14" s="546">
        <f>'Water-Meter'!H18</f>
        <v>0</v>
      </c>
      <c r="N14" s="546">
        <f>'Water-Meter'!Q18</f>
        <v>0</v>
      </c>
      <c r="O14" s="545" t="e">
        <f>K14*E14+H14*I14+#REF!*#REF!+J14*L14</f>
        <v>#REF!</v>
      </c>
      <c r="P14" s="552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3">
        <f>Total!K14</f>
        <v>0</v>
      </c>
    </row>
    <row r="15" spans="1:24">
      <c r="A15" s="547" t="s">
        <v>284</v>
      </c>
      <c r="B15" s="544">
        <f t="shared" si="0"/>
        <v>14</v>
      </c>
      <c r="C15" s="550">
        <v>6</v>
      </c>
      <c r="D15" s="551">
        <v>2020</v>
      </c>
      <c r="E15" s="545">
        <f>'UTILITY REPORT 1'!I16</f>
        <v>0</v>
      </c>
      <c r="F15" s="545">
        <f>'UTILITY REPORT 1'!E16</f>
        <v>0</v>
      </c>
      <c r="G15" s="546">
        <f>'UTILITY REPORT 1'!F16</f>
        <v>0</v>
      </c>
      <c r="H15" s="545">
        <f>IF('Kit report'!F17&lt;0,"0",'Kit report'!F17)</f>
        <v>0</v>
      </c>
      <c r="I15" s="545">
        <f>IF('Kit report'!X17&lt;0,"0",'Kit report'!X17)</f>
        <v>0</v>
      </c>
      <c r="J15" s="545">
        <f>IF('Utility summery'!H19&lt;0,"0",'Utility summery'!H19)</f>
        <v>0</v>
      </c>
      <c r="K15" s="546">
        <f>IF('UTILITY REPORT 1'!H16&lt;0,"0",'UTILITY REPORT 1'!H16)</f>
        <v>0</v>
      </c>
      <c r="L15" s="545">
        <f>'Water-Meter'!K19</f>
        <v>0</v>
      </c>
      <c r="M15" s="546">
        <f>'Water-Meter'!H19</f>
        <v>0</v>
      </c>
      <c r="N15" s="546">
        <f>'Water-Meter'!Q19</f>
        <v>0</v>
      </c>
      <c r="O15" s="545" t="e">
        <f>K15*E15+H15*I15+#REF!*#REF!+J15*L15</f>
        <v>#REF!</v>
      </c>
      <c r="P15" s="552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3">
        <f>Total!K15</f>
        <v>0</v>
      </c>
    </row>
    <row r="16" spans="1:24">
      <c r="A16" s="547" t="s">
        <v>284</v>
      </c>
      <c r="B16" s="544">
        <f t="shared" si="0"/>
        <v>15</v>
      </c>
      <c r="C16" s="550">
        <v>6</v>
      </c>
      <c r="D16" s="551">
        <v>2020</v>
      </c>
      <c r="E16" s="545">
        <f>'UTILITY REPORT 1'!I17</f>
        <v>0</v>
      </c>
      <c r="F16" s="545">
        <f>'UTILITY REPORT 1'!E17</f>
        <v>0</v>
      </c>
      <c r="G16" s="546">
        <f>'UTILITY REPORT 1'!F17</f>
        <v>0</v>
      </c>
      <c r="H16" s="545">
        <f>IF('Kit report'!F18&lt;0,"0",'Kit report'!F18)</f>
        <v>0</v>
      </c>
      <c r="I16" s="545">
        <f>IF('Kit report'!X18&lt;0,"0",'Kit report'!X18)</f>
        <v>0</v>
      </c>
      <c r="J16" s="545">
        <f>IF('Utility summery'!H20&lt;0,"0",'Utility summery'!H20)</f>
        <v>0</v>
      </c>
      <c r="K16" s="546">
        <f>IF('UTILITY REPORT 1'!H17&lt;0,"0",'UTILITY REPORT 1'!H17)</f>
        <v>0</v>
      </c>
      <c r="L16" s="545">
        <f>'Water-Meter'!K20</f>
        <v>0</v>
      </c>
      <c r="M16" s="546">
        <f>'Water-Meter'!H20</f>
        <v>0</v>
      </c>
      <c r="N16" s="546">
        <f>'Water-Meter'!Q20</f>
        <v>0</v>
      </c>
      <c r="O16" s="545" t="e">
        <f>K16*E16+H16*I16+#REF!*#REF!+J16*L16</f>
        <v>#REF!</v>
      </c>
      <c r="P16" s="552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3">
        <f>Total!K16</f>
        <v>0</v>
      </c>
    </row>
    <row r="17" spans="1:24">
      <c r="A17" s="547" t="s">
        <v>284</v>
      </c>
      <c r="B17" s="544">
        <f t="shared" si="0"/>
        <v>16</v>
      </c>
      <c r="C17" s="550">
        <v>6</v>
      </c>
      <c r="D17" s="551">
        <v>2020</v>
      </c>
      <c r="E17" s="545">
        <f>'UTILITY REPORT 1'!I18</f>
        <v>0</v>
      </c>
      <c r="F17" s="545">
        <f>'UTILITY REPORT 1'!E18</f>
        <v>0</v>
      </c>
      <c r="G17" s="546">
        <f>'UTILITY REPORT 1'!F18</f>
        <v>0</v>
      </c>
      <c r="H17" s="545">
        <f>IF('Kit report'!F19&lt;0,"0",'Kit report'!F19)</f>
        <v>0</v>
      </c>
      <c r="I17" s="545">
        <f>IF('Kit report'!X19&lt;0,"0",'Kit report'!X19)</f>
        <v>0</v>
      </c>
      <c r="J17" s="545">
        <f>IF('Utility summery'!H21&lt;0,"0",'Utility summery'!H21)</f>
        <v>0</v>
      </c>
      <c r="K17" s="546">
        <f>IF('UTILITY REPORT 1'!H18&lt;0,"0",'UTILITY REPORT 1'!H18)</f>
        <v>0</v>
      </c>
      <c r="L17" s="545">
        <f>'Water-Meter'!K21</f>
        <v>0</v>
      </c>
      <c r="M17" s="546">
        <f>'Water-Meter'!H21</f>
        <v>0</v>
      </c>
      <c r="N17" s="546">
        <f>'Water-Meter'!Q21</f>
        <v>0</v>
      </c>
      <c r="O17" s="545" t="e">
        <f>K17*E17+H17*I17+#REF!*#REF!+J17*L17</f>
        <v>#REF!</v>
      </c>
      <c r="P17" s="552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3">
        <f>Total!K17</f>
        <v>0</v>
      </c>
    </row>
    <row r="18" spans="1:24">
      <c r="A18" s="547" t="s">
        <v>284</v>
      </c>
      <c r="B18" s="544">
        <f t="shared" si="0"/>
        <v>17</v>
      </c>
      <c r="C18" s="550">
        <v>6</v>
      </c>
      <c r="D18" s="551">
        <v>2020</v>
      </c>
      <c r="E18" s="545">
        <f>'UTILITY REPORT 1'!I19</f>
        <v>0</v>
      </c>
      <c r="F18" s="545">
        <f>'UTILITY REPORT 1'!E19</f>
        <v>0</v>
      </c>
      <c r="G18" s="546">
        <f>'UTILITY REPORT 1'!F19</f>
        <v>0</v>
      </c>
      <c r="H18" s="545">
        <f>IF('Kit report'!F20&lt;0,"0",'Kit report'!F20)</f>
        <v>0</v>
      </c>
      <c r="I18" s="545">
        <f>IF('Kit report'!X20&lt;0,"0",'Kit report'!X20)</f>
        <v>0</v>
      </c>
      <c r="J18" s="545">
        <f>IF('Utility summery'!H22&lt;0,"0",'Utility summery'!H22)</f>
        <v>0</v>
      </c>
      <c r="K18" s="546">
        <f>IF('UTILITY REPORT 1'!H19&lt;0,"0",'UTILITY REPORT 1'!H19)</f>
        <v>0</v>
      </c>
      <c r="L18" s="545">
        <f>'Water-Meter'!K22</f>
        <v>0</v>
      </c>
      <c r="M18" s="546">
        <f>'Water-Meter'!H22</f>
        <v>0</v>
      </c>
      <c r="N18" s="546">
        <f>'Water-Meter'!Q22</f>
        <v>0</v>
      </c>
      <c r="O18" s="545" t="e">
        <f>K18*E18+H18*I18+#REF!*#REF!+J18*L18</f>
        <v>#REF!</v>
      </c>
      <c r="P18" s="552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3">
        <f>Total!K18</f>
        <v>0</v>
      </c>
    </row>
    <row r="19" spans="1:24">
      <c r="A19" s="547" t="s">
        <v>284</v>
      </c>
      <c r="B19" s="544">
        <f t="shared" si="0"/>
        <v>18</v>
      </c>
      <c r="C19" s="550">
        <v>6</v>
      </c>
      <c r="D19" s="551">
        <v>2020</v>
      </c>
      <c r="E19" s="545">
        <f>'UTILITY REPORT 1'!I20</f>
        <v>0</v>
      </c>
      <c r="F19" s="545">
        <f>'UTILITY REPORT 1'!E20</f>
        <v>0</v>
      </c>
      <c r="G19" s="546">
        <f>'UTILITY REPORT 1'!F20</f>
        <v>0</v>
      </c>
      <c r="H19" s="545">
        <f>IF('Kit report'!F21&lt;0,"0",'Kit report'!F21)</f>
        <v>0</v>
      </c>
      <c r="I19" s="545">
        <f>IF('Kit report'!X21&lt;0,"0",'Kit report'!X21)</f>
        <v>0</v>
      </c>
      <c r="J19" s="545">
        <f>IF('Utility summery'!H23&lt;0,"0",'Utility summery'!H23)</f>
        <v>0</v>
      </c>
      <c r="K19" s="546">
        <f>IF('UTILITY REPORT 1'!H20&lt;0,"0",'UTILITY REPORT 1'!H20)</f>
        <v>0</v>
      </c>
      <c r="L19" s="545">
        <f>'Water-Meter'!K23</f>
        <v>0</v>
      </c>
      <c r="M19" s="546">
        <f>'Water-Meter'!H23</f>
        <v>0</v>
      </c>
      <c r="N19" s="546">
        <f>'Water-Meter'!Q23</f>
        <v>0</v>
      </c>
      <c r="O19" s="545" t="e">
        <f>K19*E19+H19*I19+#REF!*#REF!+J19*L19</f>
        <v>#REF!</v>
      </c>
      <c r="P19" s="552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3">
        <f>Total!K19</f>
        <v>0</v>
      </c>
    </row>
    <row r="20" spans="1:24">
      <c r="A20" s="547" t="s">
        <v>284</v>
      </c>
      <c r="B20" s="544">
        <f t="shared" si="0"/>
        <v>19</v>
      </c>
      <c r="C20" s="550">
        <v>6</v>
      </c>
      <c r="D20" s="551">
        <v>2020</v>
      </c>
      <c r="E20" s="545">
        <f>'UTILITY REPORT 1'!I21</f>
        <v>0</v>
      </c>
      <c r="F20" s="545">
        <f>'UTILITY REPORT 1'!E21</f>
        <v>0</v>
      </c>
      <c r="G20" s="546">
        <f>'UTILITY REPORT 1'!F21</f>
        <v>0</v>
      </c>
      <c r="H20" s="545">
        <f>IF('Kit report'!F22&lt;0,"0",'Kit report'!F22)</f>
        <v>0</v>
      </c>
      <c r="I20" s="545">
        <f>IF('Kit report'!X22&lt;0,"0",'Kit report'!X22)</f>
        <v>0</v>
      </c>
      <c r="J20" s="545">
        <f>IF('Utility summery'!H24&lt;0,"0",'Utility summery'!H24)</f>
        <v>0</v>
      </c>
      <c r="K20" s="546">
        <f>IF('UTILITY REPORT 1'!H21&lt;0,"0",'UTILITY REPORT 1'!H21)</f>
        <v>0</v>
      </c>
      <c r="L20" s="545">
        <f>'Water-Meter'!K24</f>
        <v>0</v>
      </c>
      <c r="M20" s="546">
        <f>'Water-Meter'!H24</f>
        <v>0</v>
      </c>
      <c r="N20" s="546">
        <f>'Water-Meter'!Q24</f>
        <v>0</v>
      </c>
      <c r="O20" s="545" t="e">
        <f>K20*E20+H20*I20+#REF!*#REF!+J20*L20</f>
        <v>#REF!</v>
      </c>
      <c r="P20" s="552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3">
        <f>Total!K20</f>
        <v>0</v>
      </c>
    </row>
    <row r="21" spans="1:24">
      <c r="A21" s="547" t="s">
        <v>284</v>
      </c>
      <c r="B21" s="544">
        <f t="shared" si="0"/>
        <v>20</v>
      </c>
      <c r="C21" s="550">
        <v>6</v>
      </c>
      <c r="D21" s="551">
        <v>2020</v>
      </c>
      <c r="E21" s="545">
        <f>'UTILITY REPORT 1'!I22</f>
        <v>0</v>
      </c>
      <c r="F21" s="545">
        <f>'UTILITY REPORT 1'!E22</f>
        <v>0</v>
      </c>
      <c r="G21" s="546">
        <f>'UTILITY REPORT 1'!F22</f>
        <v>0</v>
      </c>
      <c r="H21" s="545">
        <f>IF('Kit report'!F23&lt;0,"0",'Kit report'!F23)</f>
        <v>0</v>
      </c>
      <c r="I21" s="545">
        <f>IF('Kit report'!X23&lt;0,"0",'Kit report'!X23)</f>
        <v>0</v>
      </c>
      <c r="J21" s="545">
        <f>IF('Utility summery'!H25&lt;0,"0",'Utility summery'!H25)</f>
        <v>0</v>
      </c>
      <c r="K21" s="546">
        <f>IF('UTILITY REPORT 1'!H22&lt;0,"0",'UTILITY REPORT 1'!H22)</f>
        <v>0</v>
      </c>
      <c r="L21" s="545">
        <f>'Water-Meter'!K25</f>
        <v>0</v>
      </c>
      <c r="M21" s="546">
        <f>'Water-Meter'!H25</f>
        <v>0</v>
      </c>
      <c r="N21" s="546">
        <f>'Water-Meter'!Q25</f>
        <v>0</v>
      </c>
      <c r="O21" s="545" t="e">
        <f>K21*E21+H21*I21+#REF!*#REF!+J21*L21</f>
        <v>#REF!</v>
      </c>
      <c r="P21" s="552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3">
        <f>Total!K21</f>
        <v>0</v>
      </c>
    </row>
    <row r="22" spans="1:24">
      <c r="A22" s="547" t="s">
        <v>284</v>
      </c>
      <c r="B22" s="544">
        <f t="shared" si="0"/>
        <v>21</v>
      </c>
      <c r="C22" s="550">
        <v>6</v>
      </c>
      <c r="D22" s="551">
        <v>2020</v>
      </c>
      <c r="E22" s="545">
        <f>'UTILITY REPORT 1'!I23</f>
        <v>0</v>
      </c>
      <c r="F22" s="545">
        <f>'UTILITY REPORT 1'!E23</f>
        <v>0</v>
      </c>
      <c r="G22" s="546">
        <f>'UTILITY REPORT 1'!F23</f>
        <v>0</v>
      </c>
      <c r="H22" s="545">
        <f>IF('Kit report'!F24&lt;0,"0",'Kit report'!F24)</f>
        <v>0</v>
      </c>
      <c r="I22" s="545">
        <f>IF('Kit report'!X24&lt;0,"0",'Kit report'!X24)</f>
        <v>0</v>
      </c>
      <c r="J22" s="545">
        <f>IF('Utility summery'!H26&lt;0,"0",'Utility summery'!H26)</f>
        <v>0</v>
      </c>
      <c r="K22" s="546">
        <f>IF('UTILITY REPORT 1'!H23&lt;0,"0",'UTILITY REPORT 1'!H23)</f>
        <v>0</v>
      </c>
      <c r="L22" s="545">
        <f>'Water-Meter'!K26</f>
        <v>0</v>
      </c>
      <c r="M22" s="546">
        <f>'Water-Meter'!H26</f>
        <v>0</v>
      </c>
      <c r="N22" s="546">
        <f>'Water-Meter'!Q26</f>
        <v>0</v>
      </c>
      <c r="O22" s="545" t="e">
        <f>K22*E22+H22*I22+#REF!*#REF!+J22*L22</f>
        <v>#REF!</v>
      </c>
      <c r="P22" s="552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3">
        <f>Total!K22</f>
        <v>0</v>
      </c>
    </row>
    <row r="23" spans="1:24">
      <c r="A23" s="547" t="s">
        <v>284</v>
      </c>
      <c r="B23" s="544">
        <f t="shared" si="0"/>
        <v>22</v>
      </c>
      <c r="C23" s="550">
        <v>6</v>
      </c>
      <c r="D23" s="551">
        <v>2020</v>
      </c>
      <c r="E23" s="545">
        <f>'UTILITY REPORT 1'!I24</f>
        <v>0</v>
      </c>
      <c r="F23" s="545">
        <f>'UTILITY REPORT 1'!E24</f>
        <v>0</v>
      </c>
      <c r="G23" s="546">
        <f>'UTILITY REPORT 1'!F24</f>
        <v>0</v>
      </c>
      <c r="H23" s="545">
        <f>IF('Kit report'!F25&lt;0,"0",'Kit report'!F25)</f>
        <v>0</v>
      </c>
      <c r="I23" s="545">
        <f>IF('Kit report'!X25&lt;0,"0",'Kit report'!X25)</f>
        <v>0</v>
      </c>
      <c r="J23" s="545">
        <f>IF('Utility summery'!H27&lt;0,"0",'Utility summery'!H27)</f>
        <v>0</v>
      </c>
      <c r="K23" s="546">
        <f>IF('UTILITY REPORT 1'!H24&lt;0,"0",'UTILITY REPORT 1'!H24)</f>
        <v>0</v>
      </c>
      <c r="L23" s="545">
        <f>'Water-Meter'!K27</f>
        <v>0</v>
      </c>
      <c r="M23" s="546">
        <f>'Water-Meter'!H27</f>
        <v>0</v>
      </c>
      <c r="N23" s="546">
        <f>'Water-Meter'!Q27</f>
        <v>0</v>
      </c>
      <c r="O23" s="545" t="e">
        <f>K23*E23+H23*I23+#REF!*#REF!+J23*L23</f>
        <v>#REF!</v>
      </c>
      <c r="P23" s="552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3">
        <f>Total!K23</f>
        <v>0</v>
      </c>
    </row>
    <row r="24" spans="1:24">
      <c r="A24" s="547" t="s">
        <v>284</v>
      </c>
      <c r="B24" s="544">
        <f t="shared" si="0"/>
        <v>23</v>
      </c>
      <c r="C24" s="550">
        <v>6</v>
      </c>
      <c r="D24" s="551">
        <v>2020</v>
      </c>
      <c r="E24" s="545">
        <f>'UTILITY REPORT 1'!I25</f>
        <v>0</v>
      </c>
      <c r="F24" s="545">
        <f>'UTILITY REPORT 1'!E25</f>
        <v>0</v>
      </c>
      <c r="G24" s="546">
        <f>'UTILITY REPORT 1'!F25</f>
        <v>0</v>
      </c>
      <c r="H24" s="545">
        <f>IF('Kit report'!F26&lt;0,"0",'Kit report'!F26)</f>
        <v>0</v>
      </c>
      <c r="I24" s="545">
        <f>IF('Kit report'!X26&lt;0,"0",'Kit report'!X26)</f>
        <v>0</v>
      </c>
      <c r="J24" s="545">
        <f>IF('Utility summery'!H28&lt;0,"0",'Utility summery'!H28)</f>
        <v>0</v>
      </c>
      <c r="K24" s="546">
        <f>IF('UTILITY REPORT 1'!H25&lt;0,"0",'UTILITY REPORT 1'!H25)</f>
        <v>0</v>
      </c>
      <c r="L24" s="545">
        <f>'Water-Meter'!K28</f>
        <v>0</v>
      </c>
      <c r="M24" s="546">
        <f>'Water-Meter'!H28</f>
        <v>0</v>
      </c>
      <c r="N24" s="546">
        <f>'Water-Meter'!Q28</f>
        <v>0</v>
      </c>
      <c r="O24" s="545" t="e">
        <f>K24*E24+H24*I24+#REF!*#REF!+J24*L24</f>
        <v>#REF!</v>
      </c>
      <c r="P24" s="552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3">
        <f>Total!K24</f>
        <v>0</v>
      </c>
    </row>
    <row r="25" spans="1:24">
      <c r="A25" s="547" t="s">
        <v>284</v>
      </c>
      <c r="B25" s="544">
        <f t="shared" si="0"/>
        <v>24</v>
      </c>
      <c r="C25" s="550">
        <v>6</v>
      </c>
      <c r="D25" s="551">
        <v>2020</v>
      </c>
      <c r="E25" s="545">
        <f>'UTILITY REPORT 1'!I26</f>
        <v>0</v>
      </c>
      <c r="F25" s="545">
        <f>'UTILITY REPORT 1'!E26</f>
        <v>0</v>
      </c>
      <c r="G25" s="546">
        <f>'UTILITY REPORT 1'!F26</f>
        <v>0</v>
      </c>
      <c r="H25" s="545">
        <f>IF('Kit report'!F27&lt;0,"0",'Kit report'!F27)</f>
        <v>0</v>
      </c>
      <c r="I25" s="545">
        <f>IF('Kit report'!X27&lt;0,"0",'Kit report'!X27)</f>
        <v>0</v>
      </c>
      <c r="J25" s="545">
        <f>IF('Utility summery'!H29&lt;0,"0",'Utility summery'!H29)</f>
        <v>0</v>
      </c>
      <c r="K25" s="546">
        <f>IF('UTILITY REPORT 1'!H26&lt;0,"0",'UTILITY REPORT 1'!H26)</f>
        <v>0</v>
      </c>
      <c r="L25" s="545">
        <f>'Water-Meter'!K29</f>
        <v>0</v>
      </c>
      <c r="M25" s="546">
        <f>'Water-Meter'!H29</f>
        <v>0</v>
      </c>
      <c r="N25" s="546">
        <f>'Water-Meter'!Q29</f>
        <v>0</v>
      </c>
      <c r="O25" s="545" t="e">
        <f>K25*E25+H25*I25+#REF!*#REF!+J25*L25</f>
        <v>#REF!</v>
      </c>
      <c r="P25" s="552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3">
        <f>Total!K25</f>
        <v>0</v>
      </c>
    </row>
    <row r="26" spans="1:24">
      <c r="A26" s="547" t="s">
        <v>284</v>
      </c>
      <c r="B26" s="544">
        <f>B25+1</f>
        <v>25</v>
      </c>
      <c r="C26" s="550">
        <v>6</v>
      </c>
      <c r="D26" s="551">
        <v>2020</v>
      </c>
      <c r="E26" s="545">
        <f>'UTILITY REPORT 1'!I27</f>
        <v>0</v>
      </c>
      <c r="F26" s="545">
        <f>'UTILITY REPORT 1'!E27</f>
        <v>0</v>
      </c>
      <c r="G26" s="546">
        <f>'UTILITY REPORT 1'!F27</f>
        <v>0</v>
      </c>
      <c r="H26" s="545">
        <f>IF('Kit report'!F28&lt;0,"0",'Kit report'!F28)</f>
        <v>0</v>
      </c>
      <c r="I26" s="545">
        <f>IF('Kit report'!X28&lt;0,"0",'Kit report'!X28)</f>
        <v>0</v>
      </c>
      <c r="J26" s="545">
        <f>IF('Utility summery'!H30&lt;0,"0",'Utility summery'!H30)</f>
        <v>0</v>
      </c>
      <c r="K26" s="546">
        <f>IF('UTILITY REPORT 1'!H27&lt;0,"0",'UTILITY REPORT 1'!H27)</f>
        <v>0</v>
      </c>
      <c r="L26" s="545">
        <f>'Water-Meter'!K30</f>
        <v>0</v>
      </c>
      <c r="M26" s="546">
        <f>'Water-Meter'!H30</f>
        <v>0</v>
      </c>
      <c r="N26" s="546">
        <f>'Water-Meter'!Q30</f>
        <v>0</v>
      </c>
      <c r="O26" s="545" t="e">
        <f>K26*E26+H26*I26+#REF!*#REF!+J26*L26</f>
        <v>#REF!</v>
      </c>
      <c r="P26" s="552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3">
        <f>Total!K26</f>
        <v>0</v>
      </c>
    </row>
    <row r="27" spans="1:24">
      <c r="A27" s="547" t="s">
        <v>284</v>
      </c>
      <c r="B27" s="544">
        <f t="shared" si="0"/>
        <v>26</v>
      </c>
      <c r="C27" s="550">
        <v>6</v>
      </c>
      <c r="D27" s="551">
        <v>2020</v>
      </c>
      <c r="E27" s="545">
        <f>'UTILITY REPORT 1'!I28</f>
        <v>0</v>
      </c>
      <c r="F27" s="545">
        <f>'UTILITY REPORT 1'!E28</f>
        <v>0</v>
      </c>
      <c r="G27" s="546">
        <f>'UTILITY REPORT 1'!F28</f>
        <v>0</v>
      </c>
      <c r="H27" s="545">
        <f>IF('Kit report'!F29&lt;0,"0",'Kit report'!F29)</f>
        <v>0</v>
      </c>
      <c r="I27" s="545">
        <f>IF('Kit report'!X29&lt;0,"0",'Kit report'!X29)</f>
        <v>0</v>
      </c>
      <c r="J27" s="545">
        <f>IF('Utility summery'!H31&lt;0,"0",'Utility summery'!H31)</f>
        <v>0</v>
      </c>
      <c r="K27" s="546">
        <f>IF('UTILITY REPORT 1'!H28&lt;0,"0",'UTILITY REPORT 1'!H28)</f>
        <v>0</v>
      </c>
      <c r="L27" s="545">
        <f>'Water-Meter'!K31</f>
        <v>0</v>
      </c>
      <c r="M27" s="546">
        <f>'Water-Meter'!H31</f>
        <v>0</v>
      </c>
      <c r="N27" s="546">
        <f>'Water-Meter'!Q31</f>
        <v>0</v>
      </c>
      <c r="O27" s="545" t="e">
        <f>K27*E27+H27*I27+#REF!*#REF!+J27*L27</f>
        <v>#REF!</v>
      </c>
      <c r="P27" s="552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3">
        <f>Total!K27</f>
        <v>0</v>
      </c>
    </row>
    <row r="28" spans="1:24">
      <c r="A28" s="547" t="s">
        <v>284</v>
      </c>
      <c r="B28" s="544">
        <f t="shared" si="0"/>
        <v>27</v>
      </c>
      <c r="C28" s="550">
        <v>6</v>
      </c>
      <c r="D28" s="551">
        <v>2020</v>
      </c>
      <c r="E28" s="545">
        <f>'UTILITY REPORT 1'!I29</f>
        <v>0</v>
      </c>
      <c r="F28" s="545">
        <f>'UTILITY REPORT 1'!E29</f>
        <v>0</v>
      </c>
      <c r="G28" s="546">
        <f>'UTILITY REPORT 1'!F29</f>
        <v>0</v>
      </c>
      <c r="H28" s="545">
        <f>IF('Kit report'!F30&lt;0,"0",'Kit report'!F30)</f>
        <v>0</v>
      </c>
      <c r="I28" s="545">
        <f>IF('Kit report'!X30&lt;0,"0",'Kit report'!X30)</f>
        <v>0</v>
      </c>
      <c r="J28" s="545">
        <f>IF('Utility summery'!H32&lt;0,"0",'Utility summery'!H32)</f>
        <v>0</v>
      </c>
      <c r="K28" s="546">
        <f>IF('UTILITY REPORT 1'!H29&lt;0,"0",'UTILITY REPORT 1'!H29)</f>
        <v>0</v>
      </c>
      <c r="L28" s="545">
        <f>'Water-Meter'!K32</f>
        <v>0</v>
      </c>
      <c r="M28" s="546">
        <f>'Water-Meter'!H32</f>
        <v>0</v>
      </c>
      <c r="N28" s="546">
        <f>'Water-Meter'!Q32</f>
        <v>0</v>
      </c>
      <c r="O28" s="545" t="e">
        <f>K28*E28+H28*I28+#REF!*#REF!+J28*L28</f>
        <v>#REF!</v>
      </c>
      <c r="P28" s="552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3">
        <f>Total!K28</f>
        <v>0</v>
      </c>
    </row>
    <row r="29" spans="1:24">
      <c r="A29" s="547" t="s">
        <v>284</v>
      </c>
      <c r="B29" s="544">
        <f t="shared" si="0"/>
        <v>28</v>
      </c>
      <c r="C29" s="550">
        <v>6</v>
      </c>
      <c r="D29" s="551">
        <v>2020</v>
      </c>
      <c r="E29" s="545">
        <f>'UTILITY REPORT 1'!I30</f>
        <v>0</v>
      </c>
      <c r="F29" s="545">
        <f>'UTILITY REPORT 1'!E30</f>
        <v>0</v>
      </c>
      <c r="G29" s="546">
        <f>'UTILITY REPORT 1'!F30</f>
        <v>0</v>
      </c>
      <c r="H29" s="545">
        <f>IF('Kit report'!F31&lt;0,"0",'Kit report'!F31)</f>
        <v>0</v>
      </c>
      <c r="I29" s="545">
        <f>IF('Kit report'!X31&lt;0,"0",'Kit report'!X31)</f>
        <v>0</v>
      </c>
      <c r="J29" s="545">
        <f>IF('Utility summery'!H33&lt;0,"0",'Utility summery'!H33)</f>
        <v>0</v>
      </c>
      <c r="K29" s="546">
        <f>IF('UTILITY REPORT 1'!H30&lt;0,"0",'UTILITY REPORT 1'!H30)</f>
        <v>0</v>
      </c>
      <c r="L29" s="545">
        <f>'Water-Meter'!K33</f>
        <v>0</v>
      </c>
      <c r="M29" s="546">
        <f>'Water-Meter'!H33</f>
        <v>0</v>
      </c>
      <c r="N29" s="546">
        <f>'Water-Meter'!Q33</f>
        <v>0</v>
      </c>
      <c r="O29" s="545" t="e">
        <f>K29*E29+H29*I29+#REF!*#REF!+J29*L29</f>
        <v>#REF!</v>
      </c>
      <c r="P29" s="552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3">
        <f>Total!K29</f>
        <v>0</v>
      </c>
    </row>
    <row r="30" spans="1:24">
      <c r="A30" s="547" t="s">
        <v>284</v>
      </c>
      <c r="B30" s="544">
        <f t="shared" si="0"/>
        <v>29</v>
      </c>
      <c r="C30" s="550">
        <v>6</v>
      </c>
      <c r="D30" s="551">
        <v>2020</v>
      </c>
      <c r="E30" s="545">
        <f>'UTILITY REPORT 1'!I31</f>
        <v>0</v>
      </c>
      <c r="F30" s="545">
        <f>'UTILITY REPORT 1'!E31</f>
        <v>0</v>
      </c>
      <c r="G30" s="546">
        <f>'UTILITY REPORT 1'!F31</f>
        <v>0</v>
      </c>
      <c r="H30" s="545">
        <f>IF('Kit report'!F32&lt;0,"0",'Kit report'!F32)</f>
        <v>0</v>
      </c>
      <c r="I30" s="545">
        <f>IF('Kit report'!X32&lt;0,"0",'Kit report'!X32)</f>
        <v>0</v>
      </c>
      <c r="J30" s="545">
        <f>IF('Utility summery'!H34&lt;0,"0",'Utility summery'!H34)</f>
        <v>0</v>
      </c>
      <c r="K30" s="546">
        <f>IF('UTILITY REPORT 1'!H31&lt;0,"0",'UTILITY REPORT 1'!H31)</f>
        <v>0</v>
      </c>
      <c r="L30" s="545">
        <f>'Water-Meter'!K34</f>
        <v>0</v>
      </c>
      <c r="M30" s="546">
        <f>'Water-Meter'!H34</f>
        <v>0</v>
      </c>
      <c r="N30" s="546">
        <f>'Water-Meter'!Q34</f>
        <v>0</v>
      </c>
      <c r="O30" s="545" t="e">
        <f>K30*E30+H30*I30+#REF!*#REF!+J30*L30</f>
        <v>#REF!</v>
      </c>
      <c r="P30" s="552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3">
        <f>Total!K30</f>
        <v>0</v>
      </c>
    </row>
    <row r="31" spans="1:24">
      <c r="A31" s="547" t="s">
        <v>284</v>
      </c>
      <c r="B31" s="544">
        <v>30</v>
      </c>
      <c r="C31" s="550">
        <v>6</v>
      </c>
      <c r="D31" s="551">
        <v>2020</v>
      </c>
      <c r="E31" s="545">
        <f>'UTILITY REPORT 1'!I32</f>
        <v>0</v>
      </c>
      <c r="F31" s="545">
        <f>'UTILITY REPORT 1'!E32</f>
        <v>0</v>
      </c>
      <c r="G31" s="546">
        <f>'UTILITY REPORT 1'!F32</f>
        <v>0</v>
      </c>
      <c r="H31" s="545">
        <f>IF('Kit report'!F33&lt;0,"0",'Kit report'!F33)</f>
        <v>0</v>
      </c>
      <c r="I31" s="545">
        <f>IF('Kit report'!X33&lt;0,"0",'Kit report'!X33)</f>
        <v>0</v>
      </c>
      <c r="J31" s="545">
        <f>IF('Utility summery'!H35&lt;0,"0",'Utility summery'!H35)</f>
        <v>0</v>
      </c>
      <c r="K31" s="546">
        <f>IF('UTILITY REPORT 1'!H32&lt;0,"0",'UTILITY REPORT 1'!H32)</f>
        <v>0</v>
      </c>
      <c r="L31" s="545">
        <f>'Water-Meter'!K35</f>
        <v>0</v>
      </c>
      <c r="M31" s="546">
        <f>'Water-Meter'!H35</f>
        <v>0</v>
      </c>
      <c r="N31" s="546">
        <f>'Water-Meter'!Q35</f>
        <v>0</v>
      </c>
      <c r="O31" s="545" t="e">
        <f>K31*E31+H31*I31+#REF!*#REF!+J31*L31</f>
        <v>#REF!</v>
      </c>
      <c r="P31" s="552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3">
        <f>Total!K31</f>
        <v>0</v>
      </c>
    </row>
    <row r="32" spans="1:24">
      <c r="A32" s="547" t="s">
        <v>284</v>
      </c>
      <c r="B32" s="544"/>
      <c r="C32" s="550"/>
      <c r="D32" s="551"/>
      <c r="E32" s="545">
        <f>'UTILITY REPORT 1'!I33</f>
        <v>0</v>
      </c>
      <c r="F32" s="545">
        <f>'UTILITY REPORT 1'!E33</f>
        <v>0</v>
      </c>
      <c r="G32" s="546">
        <f>'UTILITY REPORT 1'!F33</f>
        <v>0</v>
      </c>
      <c r="H32" s="545">
        <f>IF('Kit report'!F34&lt;0,"0",'Kit report'!F34)</f>
        <v>0</v>
      </c>
      <c r="I32" s="545">
        <f>IF('Kit report'!X34&lt;0,"0",'Kit report'!X34)</f>
        <v>0</v>
      </c>
      <c r="J32" s="545">
        <f>IF('Utility summery'!H36&lt;0,"0",'Utility summery'!H36)</f>
        <v>0</v>
      </c>
      <c r="K32" s="546">
        <f>IF('UTILITY REPORT 1'!H33&lt;0,"0",'UTILITY REPORT 1'!H33)</f>
        <v>0</v>
      </c>
      <c r="L32" s="545">
        <f>'Water-Meter'!K36</f>
        <v>0</v>
      </c>
      <c r="M32" s="546">
        <f>'Water-Meter'!H36</f>
        <v>0</v>
      </c>
      <c r="N32" s="546">
        <f>'Water-Meter'!Q36</f>
        <v>0</v>
      </c>
      <c r="O32" s="291"/>
      <c r="P32" s="552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3">
        <f>Total!K32</f>
        <v>0</v>
      </c>
    </row>
    <row r="33" spans="5:12">
      <c r="E33" s="487"/>
      <c r="F33" s="487"/>
      <c r="H33" s="487"/>
      <c r="I33" s="487"/>
      <c r="J33" s="487"/>
      <c r="L33" s="487"/>
    </row>
    <row r="34" spans="5:12">
      <c r="E34" s="487"/>
      <c r="F34" s="487"/>
      <c r="H34" s="487"/>
      <c r="I34" s="487"/>
      <c r="J34" s="487"/>
      <c r="L34" s="487"/>
    </row>
    <row r="35" spans="5:12">
      <c r="E35" s="487"/>
      <c r="F35" s="487"/>
      <c r="H35" s="487"/>
      <c r="I35" s="487"/>
      <c r="J35" s="487"/>
      <c r="L35" s="487"/>
    </row>
    <row r="36" spans="5:12">
      <c r="E36" s="487"/>
      <c r="F36" s="487"/>
      <c r="H36" s="487"/>
      <c r="I36" s="487"/>
      <c r="J36" s="487"/>
      <c r="L36" s="487"/>
    </row>
    <row r="37" spans="5:12">
      <c r="E37" s="487"/>
      <c r="F37" s="487"/>
      <c r="H37" s="487"/>
      <c r="I37" s="487"/>
      <c r="J37" s="487"/>
      <c r="L37" s="487"/>
    </row>
    <row r="38" spans="5:12">
      <c r="E38" s="487"/>
      <c r="F38" s="487"/>
      <c r="H38" s="487"/>
      <c r="I38" s="487"/>
      <c r="J38" s="487"/>
      <c r="L38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34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4" t="s">
        <v>305</v>
      </c>
      <c r="B1" s="774"/>
      <c r="C1" s="774"/>
      <c r="D1" s="774"/>
      <c r="E1" s="774"/>
      <c r="F1" s="774"/>
      <c r="G1" s="774"/>
      <c r="H1" s="774"/>
    </row>
    <row r="2" spans="1:9" ht="48" customHeight="1" thickBot="1">
      <c r="A2" s="290" t="s">
        <v>0</v>
      </c>
      <c r="B2" s="141" t="s">
        <v>1</v>
      </c>
      <c r="C2" s="472" t="s">
        <v>269</v>
      </c>
      <c r="D2" s="339" t="s">
        <v>270</v>
      </c>
      <c r="E2" s="470" t="s">
        <v>268</v>
      </c>
      <c r="F2" s="339" t="s">
        <v>265</v>
      </c>
      <c r="G2" s="339" t="s">
        <v>266</v>
      </c>
      <c r="H2" s="472" t="s">
        <v>267</v>
      </c>
      <c r="I2" s="339" t="s">
        <v>271</v>
      </c>
    </row>
    <row r="3" spans="1:9" ht="13.5">
      <c r="A3" s="471">
        <v>43862</v>
      </c>
      <c r="B3" s="473">
        <f>Gen!C11</f>
        <v>0</v>
      </c>
      <c r="C3" s="474">
        <f>'Summery Report'!E5</f>
        <v>0</v>
      </c>
      <c r="D3" s="475">
        <v>1</v>
      </c>
      <c r="E3" s="474">
        <f>Gen!T11</f>
        <v>669.52</v>
      </c>
      <c r="F3" s="474">
        <f>Gen!U11</f>
        <v>1573</v>
      </c>
      <c r="G3" s="474">
        <f>'Water-Meter'!E6</f>
        <v>43</v>
      </c>
      <c r="H3" s="474">
        <f>'Utility report '!AC6</f>
        <v>16</v>
      </c>
      <c r="I3" s="474">
        <f>Gen!AK11</f>
        <v>0</v>
      </c>
    </row>
    <row r="4" spans="1:9" ht="13.5">
      <c r="A4" s="471">
        <v>43863</v>
      </c>
      <c r="B4" s="473">
        <f>Gen!C12</f>
        <v>0</v>
      </c>
      <c r="C4" s="474">
        <f>'Summery Report'!E6</f>
        <v>0</v>
      </c>
      <c r="D4" s="475">
        <v>1</v>
      </c>
      <c r="E4" s="474">
        <f>Gen!T12</f>
        <v>685.33</v>
      </c>
      <c r="F4" s="474">
        <f>Gen!U12</f>
        <v>1638</v>
      </c>
      <c r="G4" s="474">
        <f>'Water-Meter'!E7</f>
        <v>49</v>
      </c>
      <c r="H4" s="474">
        <f>'Utility report '!AC7</f>
        <v>97</v>
      </c>
      <c r="I4" s="474">
        <f>Gen!AK12</f>
        <v>0</v>
      </c>
    </row>
    <row r="5" spans="1:9" ht="13.5">
      <c r="A5" s="471">
        <v>43864</v>
      </c>
      <c r="B5" s="473">
        <f>Gen!C13</f>
        <v>0</v>
      </c>
      <c r="C5" s="474">
        <f>'Summery Report'!E7</f>
        <v>0</v>
      </c>
      <c r="D5" s="475">
        <v>1</v>
      </c>
      <c r="E5" s="474">
        <f>Gen!T13</f>
        <v>728.03</v>
      </c>
      <c r="F5" s="474">
        <f>Gen!U13</f>
        <v>1600</v>
      </c>
      <c r="G5" s="474">
        <f>'Water-Meter'!E8</f>
        <v>41</v>
      </c>
      <c r="H5" s="474">
        <f>'Utility report '!AC8</f>
        <v>164</v>
      </c>
      <c r="I5" s="474">
        <f>Gen!AK13</f>
        <v>0</v>
      </c>
    </row>
    <row r="6" spans="1:9" ht="13.5">
      <c r="A6" s="471">
        <v>43865</v>
      </c>
      <c r="B6" s="473">
        <f>Gen!C14</f>
        <v>0</v>
      </c>
      <c r="C6" s="474">
        <f>'Summery Report'!E8</f>
        <v>0</v>
      </c>
      <c r="D6" s="475">
        <v>1</v>
      </c>
      <c r="E6" s="474">
        <f>Gen!T14</f>
        <v>693.88</v>
      </c>
      <c r="F6" s="474">
        <f>Gen!U14</f>
        <v>1594</v>
      </c>
      <c r="G6" s="474">
        <f>'Water-Meter'!E9</f>
        <v>86</v>
      </c>
      <c r="H6" s="474">
        <f>'Utility report '!AC9</f>
        <v>39</v>
      </c>
      <c r="I6" s="474">
        <f>Gen!AK14</f>
        <v>0</v>
      </c>
    </row>
    <row r="7" spans="1:9" ht="13.5">
      <c r="A7" s="471">
        <v>43866</v>
      </c>
      <c r="B7" s="473">
        <f>Gen!C15</f>
        <v>0</v>
      </c>
      <c r="C7" s="474">
        <f>'Summery Report'!E9</f>
        <v>0</v>
      </c>
      <c r="D7" s="475">
        <v>1</v>
      </c>
      <c r="E7" s="474">
        <f>Gen!T15</f>
        <v>708.93000000000006</v>
      </c>
      <c r="F7" s="474">
        <f>Gen!U15</f>
        <v>1658</v>
      </c>
      <c r="G7" s="474">
        <f>'Water-Meter'!E10</f>
        <v>82</v>
      </c>
      <c r="H7" s="474">
        <f>'Utility report '!AC10</f>
        <v>154</v>
      </c>
      <c r="I7" s="474">
        <f>Gen!AK15</f>
        <v>0</v>
      </c>
    </row>
    <row r="8" spans="1:9" ht="13.5">
      <c r="A8" s="471">
        <v>43867</v>
      </c>
      <c r="B8" s="473">
        <f>Gen!C16</f>
        <v>0</v>
      </c>
      <c r="C8" s="474">
        <f>'Summery Report'!E10</f>
        <v>0</v>
      </c>
      <c r="D8" s="475">
        <v>1</v>
      </c>
      <c r="E8" s="474">
        <f>Gen!T16</f>
        <v>0</v>
      </c>
      <c r="F8" s="474">
        <f>Gen!U16</f>
        <v>0</v>
      </c>
      <c r="G8" s="474" t="str">
        <f>'Water-Meter'!E11</f>
        <v>0</v>
      </c>
      <c r="H8" s="474">
        <f>'Utility report '!AC11</f>
        <v>-33079</v>
      </c>
      <c r="I8" s="474">
        <f>Gen!AK16</f>
        <v>0</v>
      </c>
    </row>
    <row r="9" spans="1:9" ht="13.5">
      <c r="A9" s="471">
        <v>43868</v>
      </c>
      <c r="B9" s="473">
        <f>Gen!C17</f>
        <v>0</v>
      </c>
      <c r="C9" s="474">
        <f>'Summery Report'!E11</f>
        <v>0</v>
      </c>
      <c r="D9" s="475">
        <v>1</v>
      </c>
      <c r="E9" s="474">
        <f>Gen!T17</f>
        <v>0</v>
      </c>
      <c r="F9" s="474">
        <f>Gen!U17</f>
        <v>0</v>
      </c>
      <c r="G9" s="474">
        <f>'Water-Meter'!E12</f>
        <v>0</v>
      </c>
      <c r="H9" s="474">
        <f>'Utility report '!AC12</f>
        <v>0</v>
      </c>
      <c r="I9" s="474">
        <f>Gen!AK17</f>
        <v>0</v>
      </c>
    </row>
    <row r="10" spans="1:9" ht="13.5">
      <c r="A10" s="471">
        <v>43869</v>
      </c>
      <c r="B10" s="473">
        <f>Gen!C18</f>
        <v>0</v>
      </c>
      <c r="C10" s="474">
        <f>'Summery Report'!E12</f>
        <v>0</v>
      </c>
      <c r="D10" s="475">
        <v>1</v>
      </c>
      <c r="E10" s="474">
        <f>Gen!T18</f>
        <v>0</v>
      </c>
      <c r="F10" s="474">
        <f>Gen!U18</f>
        <v>0</v>
      </c>
      <c r="G10" s="474">
        <f>'Water-Meter'!E13</f>
        <v>0</v>
      </c>
      <c r="H10" s="474">
        <f>'Utility report '!AC13</f>
        <v>0</v>
      </c>
      <c r="I10" s="474">
        <f>Gen!AK18</f>
        <v>0</v>
      </c>
    </row>
    <row r="11" spans="1:9" ht="13.5">
      <c r="A11" s="471">
        <v>43870</v>
      </c>
      <c r="B11" s="473">
        <f>Gen!C19</f>
        <v>0</v>
      </c>
      <c r="C11" s="474">
        <f>'Summery Report'!E13</f>
        <v>0</v>
      </c>
      <c r="D11" s="475">
        <v>1</v>
      </c>
      <c r="E11" s="474">
        <f>Gen!T19</f>
        <v>0</v>
      </c>
      <c r="F11" s="474">
        <f>Gen!U19</f>
        <v>0</v>
      </c>
      <c r="G11" s="474">
        <f>'Water-Meter'!E14</f>
        <v>0</v>
      </c>
      <c r="H11" s="474">
        <f>'Utility report '!AC14</f>
        <v>0</v>
      </c>
      <c r="I11" s="474">
        <f>Gen!AK19</f>
        <v>0</v>
      </c>
    </row>
    <row r="12" spans="1:9" ht="13.5">
      <c r="A12" s="471">
        <v>43871</v>
      </c>
      <c r="B12" s="473">
        <f>Gen!C20</f>
        <v>0</v>
      </c>
      <c r="C12" s="474">
        <f>'Summery Report'!E14</f>
        <v>0</v>
      </c>
      <c r="D12" s="475">
        <v>1</v>
      </c>
      <c r="E12" s="474">
        <f>Gen!T20</f>
        <v>0</v>
      </c>
      <c r="F12" s="474">
        <f>Gen!U20</f>
        <v>0</v>
      </c>
      <c r="G12" s="474">
        <f>'Water-Meter'!E15</f>
        <v>0</v>
      </c>
      <c r="H12" s="474">
        <f>'Utility report '!AC15</f>
        <v>0</v>
      </c>
      <c r="I12" s="474">
        <f>Gen!AK20</f>
        <v>0</v>
      </c>
    </row>
    <row r="13" spans="1:9" ht="13.5">
      <c r="A13" s="471">
        <v>43872</v>
      </c>
      <c r="B13" s="473">
        <f>Gen!C21</f>
        <v>0</v>
      </c>
      <c r="C13" s="474">
        <f>'Summery Report'!E15</f>
        <v>0</v>
      </c>
      <c r="D13" s="475">
        <v>1</v>
      </c>
      <c r="E13" s="474">
        <f>Gen!T21</f>
        <v>0</v>
      </c>
      <c r="F13" s="474">
        <f>Gen!U21</f>
        <v>0</v>
      </c>
      <c r="G13" s="474">
        <f>'Water-Meter'!E16</f>
        <v>0</v>
      </c>
      <c r="H13" s="474">
        <f>'Utility report '!AC16</f>
        <v>0</v>
      </c>
      <c r="I13" s="474">
        <f>Gen!AK21</f>
        <v>0</v>
      </c>
    </row>
    <row r="14" spans="1:9" ht="13.5">
      <c r="A14" s="471">
        <v>43873</v>
      </c>
      <c r="B14" s="473">
        <f>Gen!C22</f>
        <v>0</v>
      </c>
      <c r="C14" s="474">
        <f>'Summery Report'!E16</f>
        <v>0</v>
      </c>
      <c r="D14" s="475">
        <v>1</v>
      </c>
      <c r="E14" s="474">
        <f>Gen!T22</f>
        <v>0</v>
      </c>
      <c r="F14" s="474">
        <f>Gen!U22</f>
        <v>0</v>
      </c>
      <c r="G14" s="474">
        <f>'Water-Meter'!E17</f>
        <v>0</v>
      </c>
      <c r="H14" s="474">
        <f>'Utility report '!AC17</f>
        <v>0</v>
      </c>
      <c r="I14" s="474">
        <f>Gen!AK22</f>
        <v>0</v>
      </c>
    </row>
    <row r="15" spans="1:9" ht="13.5">
      <c r="A15" s="471">
        <v>43874</v>
      </c>
      <c r="B15" s="473">
        <f>Gen!C23</f>
        <v>0</v>
      </c>
      <c r="C15" s="474">
        <f>'Summery Report'!E17</f>
        <v>0</v>
      </c>
      <c r="D15" s="475">
        <v>1</v>
      </c>
      <c r="E15" s="474">
        <f>Gen!T23</f>
        <v>0</v>
      </c>
      <c r="F15" s="474">
        <f>Gen!U23</f>
        <v>0</v>
      </c>
      <c r="G15" s="474">
        <f>'Water-Meter'!E18</f>
        <v>0</v>
      </c>
      <c r="H15" s="474">
        <f>'Utility report '!AC18</f>
        <v>0</v>
      </c>
      <c r="I15" s="474">
        <f>Gen!AK23</f>
        <v>0</v>
      </c>
    </row>
    <row r="16" spans="1:9" ht="13.5">
      <c r="A16" s="471">
        <v>43875</v>
      </c>
      <c r="B16" s="473">
        <f>Gen!C24</f>
        <v>0</v>
      </c>
      <c r="C16" s="474">
        <f>'Summery Report'!E18</f>
        <v>0</v>
      </c>
      <c r="D16" s="475">
        <v>1</v>
      </c>
      <c r="E16" s="474">
        <f>Gen!T24</f>
        <v>0</v>
      </c>
      <c r="F16" s="474">
        <f>Gen!U24</f>
        <v>0</v>
      </c>
      <c r="G16" s="474">
        <f>'Water-Meter'!E19</f>
        <v>0</v>
      </c>
      <c r="H16" s="474">
        <f>'Utility report '!AC19</f>
        <v>0</v>
      </c>
      <c r="I16" s="474">
        <f>Gen!AK24</f>
        <v>0</v>
      </c>
    </row>
    <row r="17" spans="1:9" ht="13.5">
      <c r="A17" s="471">
        <v>43876</v>
      </c>
      <c r="B17" s="473">
        <f>Gen!C25</f>
        <v>0</v>
      </c>
      <c r="C17" s="474">
        <f>'Summery Report'!E19</f>
        <v>0</v>
      </c>
      <c r="D17" s="475">
        <v>1</v>
      </c>
      <c r="E17" s="474">
        <f>Gen!T25</f>
        <v>0</v>
      </c>
      <c r="F17" s="474">
        <f>Gen!U25</f>
        <v>0</v>
      </c>
      <c r="G17" s="474">
        <f>'Water-Meter'!E20</f>
        <v>0</v>
      </c>
      <c r="H17" s="474">
        <f>'Utility report '!AC20</f>
        <v>0</v>
      </c>
      <c r="I17" s="474">
        <f>Gen!AK25</f>
        <v>0</v>
      </c>
    </row>
    <row r="18" spans="1:9" ht="13.5">
      <c r="A18" s="471">
        <v>43877</v>
      </c>
      <c r="B18" s="473">
        <f>Gen!C26</f>
        <v>0</v>
      </c>
      <c r="C18" s="474">
        <f>'Summery Report'!E20</f>
        <v>0</v>
      </c>
      <c r="D18" s="475">
        <v>1</v>
      </c>
      <c r="E18" s="474">
        <f>Gen!T26</f>
        <v>0</v>
      </c>
      <c r="F18" s="474">
        <f>Gen!U26</f>
        <v>0</v>
      </c>
      <c r="G18" s="474">
        <f>'Water-Meter'!E21</f>
        <v>0</v>
      </c>
      <c r="H18" s="474">
        <f>'Utility report '!AC21</f>
        <v>0</v>
      </c>
      <c r="I18" s="474">
        <f>Gen!AK26</f>
        <v>0</v>
      </c>
    </row>
    <row r="19" spans="1:9" ht="13.5">
      <c r="A19" s="471">
        <v>43878</v>
      </c>
      <c r="B19" s="473">
        <f>Gen!C27</f>
        <v>0</v>
      </c>
      <c r="C19" s="474">
        <f>'Summery Report'!E21</f>
        <v>0</v>
      </c>
      <c r="D19" s="475">
        <v>1</v>
      </c>
      <c r="E19" s="474">
        <f>Gen!T27</f>
        <v>0</v>
      </c>
      <c r="F19" s="474">
        <f>Gen!U27</f>
        <v>0</v>
      </c>
      <c r="G19" s="474">
        <f>'Water-Meter'!E22</f>
        <v>0</v>
      </c>
      <c r="H19" s="474">
        <f>'Utility report '!AC22</f>
        <v>0</v>
      </c>
      <c r="I19" s="474">
        <f>Gen!AK27</f>
        <v>0</v>
      </c>
    </row>
    <row r="20" spans="1:9" ht="13.5">
      <c r="A20" s="471">
        <v>43879</v>
      </c>
      <c r="B20" s="473">
        <f>Gen!C28</f>
        <v>0</v>
      </c>
      <c r="C20" s="474">
        <f>'Summery Report'!E22</f>
        <v>0</v>
      </c>
      <c r="D20" s="475">
        <v>1</v>
      </c>
      <c r="E20" s="474">
        <f>Gen!T28</f>
        <v>0</v>
      </c>
      <c r="F20" s="474">
        <f>Gen!U28</f>
        <v>0</v>
      </c>
      <c r="G20" s="474">
        <f>'Water-Meter'!E23</f>
        <v>0</v>
      </c>
      <c r="H20" s="474">
        <f>'Utility report '!AC23</f>
        <v>0</v>
      </c>
      <c r="I20" s="474">
        <f>Gen!AK28</f>
        <v>0</v>
      </c>
    </row>
    <row r="21" spans="1:9" ht="13.5">
      <c r="A21" s="471">
        <v>43880</v>
      </c>
      <c r="B21" s="473">
        <f>Gen!C29</f>
        <v>0</v>
      </c>
      <c r="C21" s="474">
        <f>'Summery Report'!E23</f>
        <v>0</v>
      </c>
      <c r="D21" s="475">
        <v>1</v>
      </c>
      <c r="E21" s="474">
        <f>Gen!T29</f>
        <v>0</v>
      </c>
      <c r="F21" s="474">
        <f>Gen!U29</f>
        <v>0</v>
      </c>
      <c r="G21" s="474">
        <f>'Water-Meter'!E24</f>
        <v>0</v>
      </c>
      <c r="H21" s="474">
        <f>'Utility report '!AC24</f>
        <v>0</v>
      </c>
      <c r="I21" s="474">
        <f>Gen!AK29</f>
        <v>0</v>
      </c>
    </row>
    <row r="22" spans="1:9" ht="13.5">
      <c r="A22" s="471">
        <v>43881</v>
      </c>
      <c r="B22" s="473">
        <f>Gen!C30</f>
        <v>0</v>
      </c>
      <c r="C22" s="474">
        <f>'Summery Report'!E24</f>
        <v>0</v>
      </c>
      <c r="D22" s="475">
        <v>1</v>
      </c>
      <c r="E22" s="474">
        <f>Gen!T30</f>
        <v>0</v>
      </c>
      <c r="F22" s="474">
        <f>Gen!U30</f>
        <v>0</v>
      </c>
      <c r="G22" s="474">
        <f>'Water-Meter'!E25</f>
        <v>0</v>
      </c>
      <c r="H22" s="474">
        <f>'Utility report '!AC25</f>
        <v>0</v>
      </c>
      <c r="I22" s="474">
        <f>Gen!AK30</f>
        <v>0</v>
      </c>
    </row>
    <row r="23" spans="1:9" ht="13.5">
      <c r="A23" s="471">
        <v>43882</v>
      </c>
      <c r="B23" s="473">
        <f>Gen!C31</f>
        <v>0</v>
      </c>
      <c r="C23" s="474">
        <f>'Summery Report'!E25</f>
        <v>0</v>
      </c>
      <c r="D23" s="475">
        <v>1</v>
      </c>
      <c r="E23" s="474">
        <f>Gen!T31</f>
        <v>0</v>
      </c>
      <c r="F23" s="474">
        <f>Gen!U31</f>
        <v>0</v>
      </c>
      <c r="G23" s="474">
        <f>'Water-Meter'!E26</f>
        <v>0</v>
      </c>
      <c r="H23" s="474">
        <f>'Utility report '!AC26</f>
        <v>0</v>
      </c>
      <c r="I23" s="474">
        <f>Gen!AK31</f>
        <v>0</v>
      </c>
    </row>
    <row r="24" spans="1:9" ht="13.5">
      <c r="A24" s="471">
        <v>43883</v>
      </c>
      <c r="B24" s="473">
        <f>Gen!C32</f>
        <v>0</v>
      </c>
      <c r="C24" s="474">
        <f>'Summery Report'!E26</f>
        <v>0</v>
      </c>
      <c r="D24" s="475">
        <v>1</v>
      </c>
      <c r="E24" s="474">
        <f>Gen!T32</f>
        <v>0</v>
      </c>
      <c r="F24" s="474">
        <f>Gen!U32</f>
        <v>0</v>
      </c>
      <c r="G24" s="474">
        <f>'Water-Meter'!E27</f>
        <v>0</v>
      </c>
      <c r="H24" s="474">
        <f>'Utility report '!AC27</f>
        <v>0</v>
      </c>
      <c r="I24" s="474">
        <f>Gen!AK32</f>
        <v>0</v>
      </c>
    </row>
    <row r="25" spans="1:9" ht="13.5">
      <c r="A25" s="471">
        <v>43884</v>
      </c>
      <c r="B25" s="473">
        <f>Gen!C33</f>
        <v>0</v>
      </c>
      <c r="C25" s="474">
        <f>'Summery Report'!E27</f>
        <v>0</v>
      </c>
      <c r="D25" s="475">
        <v>1</v>
      </c>
      <c r="E25" s="474">
        <f>Gen!T33</f>
        <v>0</v>
      </c>
      <c r="F25" s="474">
        <f>Gen!U33</f>
        <v>0</v>
      </c>
      <c r="G25" s="474">
        <f>'Water-Meter'!E28</f>
        <v>0</v>
      </c>
      <c r="H25" s="474">
        <f>'Utility report '!AC28</f>
        <v>0</v>
      </c>
      <c r="I25" s="474">
        <f>Gen!AK33</f>
        <v>0</v>
      </c>
    </row>
    <row r="26" spans="1:9" ht="13.5">
      <c r="A26" s="471">
        <v>43885</v>
      </c>
      <c r="B26" s="473">
        <f>Gen!C34</f>
        <v>0</v>
      </c>
      <c r="C26" s="474">
        <f>'Summery Report'!E28</f>
        <v>0</v>
      </c>
      <c r="D26" s="475">
        <v>1</v>
      </c>
      <c r="E26" s="474">
        <f>Gen!T34</f>
        <v>0</v>
      </c>
      <c r="F26" s="474">
        <f>Gen!U34</f>
        <v>0</v>
      </c>
      <c r="G26" s="474">
        <f>'Water-Meter'!E29</f>
        <v>0</v>
      </c>
      <c r="H26" s="474">
        <f>'Utility report '!AC29</f>
        <v>0</v>
      </c>
      <c r="I26" s="474">
        <f>Gen!AK34</f>
        <v>0</v>
      </c>
    </row>
    <row r="27" spans="1:9" ht="13.5">
      <c r="A27" s="471">
        <v>43886</v>
      </c>
      <c r="B27" s="473">
        <f>Gen!C35</f>
        <v>0</v>
      </c>
      <c r="C27" s="474">
        <f>'Summery Report'!E29</f>
        <v>0</v>
      </c>
      <c r="D27" s="475">
        <v>1</v>
      </c>
      <c r="E27" s="474">
        <f>Gen!T35</f>
        <v>0</v>
      </c>
      <c r="F27" s="474">
        <f>Gen!U35</f>
        <v>0</v>
      </c>
      <c r="G27" s="474">
        <f>'Water-Meter'!E30</f>
        <v>0</v>
      </c>
      <c r="H27" s="474">
        <f>'Utility report '!AC30</f>
        <v>0</v>
      </c>
      <c r="I27" s="474">
        <f>Gen!AK35</f>
        <v>0</v>
      </c>
    </row>
    <row r="28" spans="1:9" ht="13.5">
      <c r="A28" s="471">
        <v>43887</v>
      </c>
      <c r="B28" s="473">
        <f>Gen!C36</f>
        <v>0</v>
      </c>
      <c r="C28" s="474">
        <f>'Summery Report'!E30</f>
        <v>0</v>
      </c>
      <c r="D28" s="475">
        <v>1</v>
      </c>
      <c r="E28" s="474">
        <f>Gen!T36</f>
        <v>0</v>
      </c>
      <c r="F28" s="474">
        <f>Gen!U36</f>
        <v>0</v>
      </c>
      <c r="G28" s="474">
        <f>'Water-Meter'!E31</f>
        <v>0</v>
      </c>
      <c r="H28" s="474">
        <f>'Utility report '!AC31</f>
        <v>0</v>
      </c>
      <c r="I28" s="474">
        <f>Gen!AK36</f>
        <v>0</v>
      </c>
    </row>
    <row r="29" spans="1:9" ht="13.5">
      <c r="A29" s="471">
        <v>43888</v>
      </c>
      <c r="B29" s="473">
        <f>Gen!C37</f>
        <v>0</v>
      </c>
      <c r="C29" s="474">
        <f>'Summery Report'!E31</f>
        <v>0</v>
      </c>
      <c r="D29" s="475">
        <v>1</v>
      </c>
      <c r="E29" s="474">
        <f>Gen!T37</f>
        <v>0</v>
      </c>
      <c r="F29" s="474">
        <f>Gen!U37</f>
        <v>0</v>
      </c>
      <c r="G29" s="474">
        <f>'Water-Meter'!E32</f>
        <v>0</v>
      </c>
      <c r="H29" s="474">
        <f>'Utility report '!AC32</f>
        <v>0</v>
      </c>
      <c r="I29" s="474">
        <f>Gen!AK37</f>
        <v>0</v>
      </c>
    </row>
    <row r="30" spans="1:9" ht="13.5">
      <c r="A30" s="471">
        <v>43889</v>
      </c>
      <c r="B30" s="473">
        <f>Gen!C38</f>
        <v>0</v>
      </c>
      <c r="C30" s="474">
        <f>'Summery Report'!E32</f>
        <v>0</v>
      </c>
      <c r="D30" s="475">
        <v>1</v>
      </c>
      <c r="E30" s="474">
        <f>Gen!T38</f>
        <v>0</v>
      </c>
      <c r="F30" s="474">
        <f>Gen!U38</f>
        <v>0</v>
      </c>
      <c r="G30" s="474">
        <f>'Water-Meter'!E33</f>
        <v>0</v>
      </c>
      <c r="H30" s="474">
        <f>'Utility report '!AC33</f>
        <v>0</v>
      </c>
      <c r="I30" s="474">
        <f>Gen!AK38</f>
        <v>0</v>
      </c>
    </row>
    <row r="31" spans="1:9" ht="13.5">
      <c r="A31" s="471">
        <v>43890</v>
      </c>
      <c r="B31" s="473">
        <f>Gen!C39</f>
        <v>0</v>
      </c>
      <c r="C31" s="474">
        <f>'Summery Report'!E33</f>
        <v>0</v>
      </c>
      <c r="D31" s="475">
        <v>1</v>
      </c>
      <c r="E31" s="474">
        <f>Gen!T39</f>
        <v>0</v>
      </c>
      <c r="F31" s="474">
        <f>Gen!U39</f>
        <v>0</v>
      </c>
      <c r="G31" s="474">
        <f>'Water-Meter'!E34</f>
        <v>0</v>
      </c>
      <c r="H31" s="474">
        <f>'Utility report '!AC34</f>
        <v>0</v>
      </c>
      <c r="I31" s="474">
        <f>Gen!AK39</f>
        <v>0</v>
      </c>
    </row>
    <row r="32" spans="1:9" ht="13.5">
      <c r="A32" s="471">
        <v>43891</v>
      </c>
      <c r="B32" s="473">
        <f>Gen!C40</f>
        <v>0</v>
      </c>
      <c r="C32" s="474">
        <f>'Summery Report'!E34</f>
        <v>0</v>
      </c>
      <c r="D32" s="475">
        <v>1</v>
      </c>
      <c r="E32" s="474">
        <f>Gen!T40</f>
        <v>0</v>
      </c>
      <c r="F32" s="474">
        <f>Gen!U40</f>
        <v>0</v>
      </c>
      <c r="G32" s="474">
        <f>'Water-Meter'!E35</f>
        <v>0</v>
      </c>
      <c r="H32" s="474">
        <f>'Utility report '!AC35</f>
        <v>0</v>
      </c>
      <c r="I32" s="474">
        <f>Gen!AK40</f>
        <v>0</v>
      </c>
    </row>
    <row r="33" spans="1:9" ht="13.5">
      <c r="A33" s="471">
        <v>43892</v>
      </c>
      <c r="B33" s="473">
        <f>Gen!C41</f>
        <v>0</v>
      </c>
      <c r="C33" s="474">
        <f>'Summery Report'!E35</f>
        <v>0</v>
      </c>
      <c r="D33" s="475">
        <v>1</v>
      </c>
      <c r="E33" s="474">
        <f>Gen!T41</f>
        <v>0</v>
      </c>
      <c r="F33" s="474">
        <f>Gen!U41</f>
        <v>0</v>
      </c>
      <c r="G33" s="474">
        <f>'Water-Meter'!E36</f>
        <v>0</v>
      </c>
      <c r="H33" s="474">
        <f>'Utility report '!AC36</f>
        <v>0</v>
      </c>
      <c r="I33" s="474">
        <f>Gen!AK41</f>
        <v>0</v>
      </c>
    </row>
    <row r="34" spans="1:9" ht="13.5">
      <c r="A34" s="471">
        <v>43893</v>
      </c>
      <c r="B34" s="473">
        <f>Gen!C42</f>
        <v>0</v>
      </c>
      <c r="C34" s="474">
        <f>'Summery Report'!E36</f>
        <v>0</v>
      </c>
      <c r="D34" s="475">
        <v>2</v>
      </c>
      <c r="E34" s="474">
        <f>Gen!T42</f>
        <v>0</v>
      </c>
      <c r="F34" s="474">
        <f>Gen!U42</f>
        <v>0</v>
      </c>
      <c r="G34" s="474">
        <f>'Water-Meter'!E37</f>
        <v>0</v>
      </c>
      <c r="H34" s="474">
        <f>'Utility report '!AC37</f>
        <v>0</v>
      </c>
      <c r="I34" s="47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4" t="s">
        <v>0</v>
      </c>
      <c r="B4" s="535" t="s">
        <v>141</v>
      </c>
      <c r="C4" s="536" t="s">
        <v>248</v>
      </c>
      <c r="D4" s="775" t="s">
        <v>135</v>
      </c>
      <c r="E4" s="775"/>
      <c r="F4" s="775"/>
      <c r="G4" s="776" t="s">
        <v>20</v>
      </c>
      <c r="H4" s="776"/>
      <c r="I4" s="776"/>
      <c r="J4" s="777" t="s">
        <v>54</v>
      </c>
      <c r="K4" s="777"/>
      <c r="L4" s="777"/>
      <c r="M4" s="777"/>
      <c r="N4" s="778" t="s">
        <v>143</v>
      </c>
      <c r="O4" s="778"/>
      <c r="P4" s="778"/>
      <c r="Q4" s="61"/>
      <c r="R4" s="61"/>
      <c r="S4" s="62"/>
    </row>
    <row r="5" spans="1:19" ht="25.5">
      <c r="A5" s="537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8" t="s">
        <v>149</v>
      </c>
    </row>
    <row r="6" spans="1:19" ht="14.25">
      <c r="A6" s="539">
        <f>Gen!B11</f>
        <v>43983</v>
      </c>
      <c r="B6" s="6">
        <f>'Summery Report'!E5</f>
        <v>0</v>
      </c>
      <c r="C6" s="6">
        <f>Gen!U11</f>
        <v>1573</v>
      </c>
      <c r="D6" s="179">
        <f>Gen!T11</f>
        <v>669.52</v>
      </c>
      <c r="E6" s="179">
        <f>Gen!AK11</f>
        <v>0</v>
      </c>
      <c r="F6" s="179">
        <f>Gen!AS11</f>
        <v>669.52</v>
      </c>
      <c r="G6" s="182">
        <f>'Utility report '!AC6</f>
        <v>16</v>
      </c>
      <c r="H6" s="182">
        <f>'Utility report '!AE6</f>
        <v>31</v>
      </c>
      <c r="I6" s="351">
        <f>'Water-Meter'!E6</f>
        <v>43</v>
      </c>
      <c r="J6" s="184">
        <f>'Lpg (2)'!B10</f>
        <v>85</v>
      </c>
      <c r="K6" s="184">
        <f>'Lpg (2)'!C10</f>
        <v>83</v>
      </c>
      <c r="L6" s="184">
        <f>'Lpg (2)'!D10</f>
        <v>1</v>
      </c>
      <c r="M6" s="533">
        <f>'Lpg (2)'!G10</f>
        <v>0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0" t="e">
        <f t="shared" ref="S6:S37" si="1">Q6/B6</f>
        <v>#REF!</v>
      </c>
    </row>
    <row r="7" spans="1:19" ht="14.25">
      <c r="A7" s="539">
        <f>Gen!B12</f>
        <v>43984</v>
      </c>
      <c r="B7" s="6">
        <f>'Summery Report'!E6</f>
        <v>0</v>
      </c>
      <c r="C7" s="6">
        <f>Gen!U12</f>
        <v>1638</v>
      </c>
      <c r="D7" s="179">
        <f>Gen!T12</f>
        <v>685.33</v>
      </c>
      <c r="E7" s="179">
        <f>Gen!AK12</f>
        <v>0</v>
      </c>
      <c r="F7" s="179">
        <f>Gen!AS12</f>
        <v>685.33</v>
      </c>
      <c r="G7" s="182">
        <f>'Utility report '!AC7</f>
        <v>97</v>
      </c>
      <c r="H7" s="182">
        <f>'Utility report '!AE7</f>
        <v>27</v>
      </c>
      <c r="I7" s="351">
        <f>'Water-Meter'!E7</f>
        <v>49</v>
      </c>
      <c r="J7" s="184">
        <f>'Lpg (2)'!B11</f>
        <v>85</v>
      </c>
      <c r="K7" s="184">
        <f>'Lpg (2)'!C11</f>
        <v>83</v>
      </c>
      <c r="L7" s="184">
        <f>'Lpg (2)'!D11</f>
        <v>1</v>
      </c>
      <c r="M7" s="533">
        <f>'Lpg (2)'!G11</f>
        <v>25.520000000012807</v>
      </c>
      <c r="N7" s="177">
        <f>D7*1.4</f>
        <v>959.46199999999999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0" t="e">
        <f t="shared" si="1"/>
        <v>#REF!</v>
      </c>
    </row>
    <row r="8" spans="1:19" ht="14.25">
      <c r="A8" s="539">
        <f>Gen!B13</f>
        <v>43985</v>
      </c>
      <c r="B8" s="6">
        <f>'Summery Report'!E7</f>
        <v>0</v>
      </c>
      <c r="C8" s="6">
        <f>Gen!U13</f>
        <v>1600</v>
      </c>
      <c r="D8" s="179">
        <f>Gen!T13</f>
        <v>728.03</v>
      </c>
      <c r="E8" s="179">
        <f>Gen!AK13</f>
        <v>0</v>
      </c>
      <c r="F8" s="179">
        <f>Gen!AS13</f>
        <v>728.03</v>
      </c>
      <c r="G8" s="182">
        <f>'Utility report '!AC8</f>
        <v>164</v>
      </c>
      <c r="H8" s="182">
        <f>'Utility report '!AE8</f>
        <v>18</v>
      </c>
      <c r="I8" s="351">
        <f>'Water-Meter'!E8</f>
        <v>41</v>
      </c>
      <c r="J8" s="184">
        <f>'Lpg (2)'!B12</f>
        <v>85</v>
      </c>
      <c r="K8" s="184">
        <f>'Lpg (2)'!C12</f>
        <v>83</v>
      </c>
      <c r="L8" s="184">
        <f>'Lpg (2)'!D12</f>
        <v>1</v>
      </c>
      <c r="M8" s="533">
        <f>'Lpg (2)'!G12</f>
        <v>14.563999999989756</v>
      </c>
      <c r="N8" s="177">
        <f t="shared" ref="N8:O36" si="2">D8*1.4</f>
        <v>1019.2419999999998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0" t="e">
        <f t="shared" si="1"/>
        <v>#REF!</v>
      </c>
    </row>
    <row r="9" spans="1:19" ht="14.25">
      <c r="A9" s="539">
        <f>Gen!B14</f>
        <v>43986</v>
      </c>
      <c r="B9" s="6">
        <f>'Summery Report'!E8</f>
        <v>0</v>
      </c>
      <c r="C9" s="6">
        <f>Gen!U14</f>
        <v>1594</v>
      </c>
      <c r="D9" s="179">
        <f>Gen!T14</f>
        <v>693.88</v>
      </c>
      <c r="E9" s="179">
        <f>Gen!AK14</f>
        <v>0</v>
      </c>
      <c r="F9" s="179">
        <f>Gen!AS14</f>
        <v>693.88</v>
      </c>
      <c r="G9" s="182">
        <f>'Utility report '!AC9</f>
        <v>39</v>
      </c>
      <c r="H9" s="182">
        <f>'Utility report '!AE9</f>
        <v>16</v>
      </c>
      <c r="I9" s="351">
        <f>'Water-Meter'!E9</f>
        <v>86</v>
      </c>
      <c r="J9" s="184">
        <f>'Lpg (2)'!B13</f>
        <v>85</v>
      </c>
      <c r="K9" s="184">
        <f>'Lpg (2)'!C13</f>
        <v>83</v>
      </c>
      <c r="L9" s="184">
        <f>'Lpg (2)'!D13</f>
        <v>1</v>
      </c>
      <c r="M9" s="533">
        <f>'Lpg (2)'!G13</f>
        <v>24.024000000028174</v>
      </c>
      <c r="N9" s="177">
        <f t="shared" si="2"/>
        <v>971.4319999999999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0" t="e">
        <f t="shared" si="1"/>
        <v>#REF!</v>
      </c>
    </row>
    <row r="10" spans="1:19" ht="14.25">
      <c r="A10" s="539">
        <f>Gen!B15</f>
        <v>43987</v>
      </c>
      <c r="B10" s="6">
        <f>'Summery Report'!E9</f>
        <v>0</v>
      </c>
      <c r="C10" s="6">
        <f>Gen!U15</f>
        <v>1658</v>
      </c>
      <c r="D10" s="179">
        <f>Gen!T15</f>
        <v>708.93000000000006</v>
      </c>
      <c r="E10" s="179">
        <f>Gen!AK15</f>
        <v>0</v>
      </c>
      <c r="F10" s="179">
        <f>Gen!AS15</f>
        <v>708.93000000000006</v>
      </c>
      <c r="G10" s="182">
        <f>'Utility report '!AC10</f>
        <v>154</v>
      </c>
      <c r="H10" s="182">
        <f>'Utility report '!AE10</f>
        <v>11</v>
      </c>
      <c r="I10" s="351">
        <f>'Water-Meter'!E10</f>
        <v>82</v>
      </c>
      <c r="J10" s="184">
        <f>'Lpg (2)'!B14</f>
        <v>85</v>
      </c>
      <c r="K10" s="184">
        <f>'Lpg (2)'!C14</f>
        <v>83</v>
      </c>
      <c r="L10" s="184">
        <f>'Lpg (2)'!D14</f>
        <v>1</v>
      </c>
      <c r="M10" s="533">
        <f>'Lpg (2)'!G14</f>
        <v>31.152000000007686</v>
      </c>
      <c r="N10" s="177">
        <f t="shared" si="2"/>
        <v>992.50200000000007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0" t="e">
        <f t="shared" si="1"/>
        <v>#REF!</v>
      </c>
    </row>
    <row r="11" spans="1:19" ht="14.25">
      <c r="A11" s="539">
        <f>Gen!B16</f>
        <v>43988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-33079</v>
      </c>
      <c r="H11" s="182">
        <f>'Utility report '!AE11</f>
        <v>-201945</v>
      </c>
      <c r="I11" s="351" t="str">
        <f>'Water-Meter'!E11</f>
        <v>0</v>
      </c>
      <c r="J11" s="184">
        <f>'Lpg (2)'!B15</f>
        <v>85</v>
      </c>
      <c r="K11" s="184">
        <f>'Lpg (2)'!C15</f>
        <v>83</v>
      </c>
      <c r="L11" s="184">
        <f>'Lpg (2)'!D15</f>
        <v>1</v>
      </c>
      <c r="M11" s="533">
        <f>'Lpg (2)'!G15</f>
        <v>15.135999999946216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0" t="e">
        <f t="shared" si="1"/>
        <v>#REF!</v>
      </c>
    </row>
    <row r="12" spans="1:19" ht="14.25">
      <c r="A12" s="539">
        <f>Gen!B17</f>
        <v>43989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1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3">
        <f>'Lpg (2)'!G16</f>
        <v>-314134.74400000001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0" t="e">
        <f t="shared" si="1"/>
        <v>#REF!</v>
      </c>
    </row>
    <row r="13" spans="1:19" ht="14.25">
      <c r="A13" s="539">
        <f>Gen!B18</f>
        <v>43990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1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3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0" t="e">
        <f t="shared" si="1"/>
        <v>#REF!</v>
      </c>
    </row>
    <row r="14" spans="1:19" ht="14.25">
      <c r="A14" s="539">
        <f>Gen!B19</f>
        <v>43991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1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3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0" t="e">
        <f t="shared" si="1"/>
        <v>#REF!</v>
      </c>
    </row>
    <row r="15" spans="1:19" ht="14.25">
      <c r="A15" s="539">
        <f>Gen!B20</f>
        <v>43992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1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3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0" t="e">
        <f t="shared" si="1"/>
        <v>#REF!</v>
      </c>
    </row>
    <row r="16" spans="1:19" ht="14.25">
      <c r="A16" s="539">
        <f>Gen!B21</f>
        <v>43993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1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3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0" t="e">
        <f t="shared" si="1"/>
        <v>#REF!</v>
      </c>
    </row>
    <row r="17" spans="1:19" ht="14.25">
      <c r="A17" s="539">
        <f>Gen!B22</f>
        <v>43994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1">
        <f>'Water-Meter'!E17</f>
        <v>0</v>
      </c>
      <c r="J17" s="184">
        <f>'Lpg (2)'!B21</f>
        <v>0</v>
      </c>
      <c r="K17" s="184">
        <f>'Lpg (2)'!C22</f>
        <v>0</v>
      </c>
      <c r="L17" s="184">
        <f>'Lpg (2)'!D21</f>
        <v>0</v>
      </c>
      <c r="M17" s="533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0" t="e">
        <f t="shared" si="1"/>
        <v>#REF!</v>
      </c>
    </row>
    <row r="18" spans="1:19" ht="14.25">
      <c r="A18" s="539">
        <f>Gen!B23</f>
        <v>43995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1">
        <f>'Water-Meter'!E18</f>
        <v>0</v>
      </c>
      <c r="J18" s="184">
        <f>'Lpg (2)'!B22</f>
        <v>0</v>
      </c>
      <c r="K18" s="184">
        <f>'Lpg (2)'!C23</f>
        <v>0</v>
      </c>
      <c r="L18" s="184">
        <f>'Lpg (2)'!D22</f>
        <v>0</v>
      </c>
      <c r="M18" s="533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0" t="e">
        <f t="shared" si="1"/>
        <v>#REF!</v>
      </c>
    </row>
    <row r="19" spans="1:19" ht="14.25">
      <c r="A19" s="539">
        <f>Gen!B24</f>
        <v>43996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1">
        <f>'Water-Meter'!E19</f>
        <v>0</v>
      </c>
      <c r="J19" s="184">
        <f>'Lpg (2)'!B23</f>
        <v>0</v>
      </c>
      <c r="K19" s="184">
        <f>'Lpg (2)'!C24</f>
        <v>0</v>
      </c>
      <c r="L19" s="184">
        <f>'Lpg (2)'!D23</f>
        <v>0</v>
      </c>
      <c r="M19" s="533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0" t="e">
        <f t="shared" si="1"/>
        <v>#REF!</v>
      </c>
    </row>
    <row r="20" spans="1:19" ht="14.25">
      <c r="A20" s="539">
        <f>Gen!B25</f>
        <v>43997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1">
        <f>'Water-Meter'!E20</f>
        <v>0</v>
      </c>
      <c r="J20" s="184">
        <f>'Lpg (2)'!B24</f>
        <v>0</v>
      </c>
      <c r="K20" s="184">
        <f>'Lpg (2)'!C25</f>
        <v>0</v>
      </c>
      <c r="L20" s="184">
        <f>'Lpg (2)'!D24</f>
        <v>0</v>
      </c>
      <c r="M20" s="533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0" t="e">
        <f t="shared" si="1"/>
        <v>#REF!</v>
      </c>
    </row>
    <row r="21" spans="1:19" ht="14.25">
      <c r="A21" s="539">
        <f>Gen!B26</f>
        <v>43998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1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3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0" t="e">
        <f t="shared" si="1"/>
        <v>#REF!</v>
      </c>
    </row>
    <row r="22" spans="1:19" ht="14.25">
      <c r="A22" s="539">
        <f>Gen!B27</f>
        <v>43999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1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3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0" t="e">
        <f t="shared" si="1"/>
        <v>#REF!</v>
      </c>
    </row>
    <row r="23" spans="1:19" ht="14.25">
      <c r="A23" s="539">
        <f>Gen!B28</f>
        <v>44000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1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3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0" t="e">
        <f t="shared" si="1"/>
        <v>#REF!</v>
      </c>
    </row>
    <row r="24" spans="1:19" ht="14.25">
      <c r="A24" s="539">
        <f>Gen!B29</f>
        <v>44001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1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3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0" t="e">
        <f t="shared" si="1"/>
        <v>#REF!</v>
      </c>
    </row>
    <row r="25" spans="1:19" ht="14.25">
      <c r="A25" s="539">
        <f>Gen!B30</f>
        <v>44002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1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3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0" t="e">
        <f t="shared" si="1"/>
        <v>#REF!</v>
      </c>
    </row>
    <row r="26" spans="1:19" ht="14.25">
      <c r="A26" s="539">
        <f>Gen!B31</f>
        <v>44003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1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3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0" t="e">
        <f t="shared" si="1"/>
        <v>#REF!</v>
      </c>
    </row>
    <row r="27" spans="1:19" ht="14.25">
      <c r="A27" s="539">
        <f>Gen!B32</f>
        <v>44004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1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3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0" t="e">
        <f t="shared" si="1"/>
        <v>#REF!</v>
      </c>
    </row>
    <row r="28" spans="1:19" ht="14.25">
      <c r="A28" s="539">
        <f>Gen!B33</f>
        <v>44005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1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3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0" t="e">
        <f t="shared" si="1"/>
        <v>#REF!</v>
      </c>
    </row>
    <row r="29" spans="1:19" ht="14.25">
      <c r="A29" s="539">
        <f>Gen!B34</f>
        <v>44006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1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3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0" t="e">
        <f t="shared" si="1"/>
        <v>#REF!</v>
      </c>
    </row>
    <row r="30" spans="1:19" ht="14.25">
      <c r="A30" s="539">
        <f>Gen!B35</f>
        <v>44007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1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3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0" t="e">
        <f t="shared" si="1"/>
        <v>#REF!</v>
      </c>
    </row>
    <row r="31" spans="1:19" ht="14.25">
      <c r="A31" s="539">
        <f>Gen!B36</f>
        <v>44008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1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3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0" t="e">
        <f t="shared" si="1"/>
        <v>#REF!</v>
      </c>
    </row>
    <row r="32" spans="1:19" ht="14.25">
      <c r="A32" s="539">
        <f>Gen!B37</f>
        <v>44009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1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3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0" t="e">
        <f t="shared" si="1"/>
        <v>#REF!</v>
      </c>
    </row>
    <row r="33" spans="1:20" ht="14.25">
      <c r="A33" s="539">
        <f>Gen!B38</f>
        <v>44010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1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3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0" t="e">
        <f t="shared" si="1"/>
        <v>#REF!</v>
      </c>
      <c r="T33">
        <f>3124/13</f>
        <v>240.30769230769232</v>
      </c>
    </row>
    <row r="34" spans="1:20" ht="14.25">
      <c r="A34" s="539">
        <f>Gen!B39</f>
        <v>44011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1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3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0" t="e">
        <f t="shared" si="1"/>
        <v>#REF!</v>
      </c>
    </row>
    <row r="35" spans="1:20" ht="14.25">
      <c r="A35" s="539">
        <f>Gen!B40</f>
        <v>44012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1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3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0" t="e">
        <f t="shared" si="1"/>
        <v>#REF!</v>
      </c>
    </row>
    <row r="36" spans="1:20" ht="14.25">
      <c r="A36" s="539">
        <f>Gen!B41</f>
        <v>44013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1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3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0" t="e">
        <f t="shared" si="1"/>
        <v>#REF!</v>
      </c>
    </row>
    <row r="37" spans="1:20" ht="14.25">
      <c r="A37" s="539">
        <f>Gen!B42</f>
        <v>44014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1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3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0" t="e">
        <f t="shared" si="1"/>
        <v>#REF!</v>
      </c>
    </row>
    <row r="38" spans="1:20" ht="14.25">
      <c r="A38" s="53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1"/>
    </row>
    <row r="39" spans="1:20" ht="13.5" thickBot="1">
      <c r="A39" s="55" t="s">
        <v>13</v>
      </c>
      <c r="B39" s="542">
        <f>SUM(B7:B37)</f>
        <v>0</v>
      </c>
      <c r="C39" s="542">
        <f>SUM(C7:C35)</f>
        <v>6490</v>
      </c>
      <c r="D39" s="542">
        <f>SUM(D7:D35)</f>
        <v>2816.17</v>
      </c>
      <c r="E39" s="542">
        <f t="shared" ref="E39:S39" si="3">SUM(E7:E35)</f>
        <v>0</v>
      </c>
      <c r="F39" s="542">
        <f t="shared" si="3"/>
        <v>2816.17</v>
      </c>
      <c r="G39" s="542">
        <f t="shared" si="3"/>
        <v>-32625</v>
      </c>
      <c r="H39" s="542">
        <f t="shared" si="3"/>
        <v>-201873</v>
      </c>
      <c r="I39" s="542">
        <f t="shared" si="3"/>
        <v>258</v>
      </c>
      <c r="J39" s="542">
        <f t="shared" si="3"/>
        <v>425</v>
      </c>
      <c r="K39" s="542">
        <f t="shared" si="3"/>
        <v>415</v>
      </c>
      <c r="L39" s="542">
        <f t="shared" si="3"/>
        <v>5</v>
      </c>
      <c r="M39" s="542">
        <f t="shared" si="3"/>
        <v>-314024.348</v>
      </c>
      <c r="N39" s="542">
        <f t="shared" si="3"/>
        <v>3942.6379999999995</v>
      </c>
      <c r="O39" s="542">
        <f t="shared" si="3"/>
        <v>0</v>
      </c>
      <c r="P39" s="542" t="e">
        <f t="shared" si="3"/>
        <v>#REF!</v>
      </c>
      <c r="Q39" s="542" t="e">
        <f t="shared" si="3"/>
        <v>#REF!</v>
      </c>
      <c r="R39" s="542" t="e">
        <f t="shared" si="3"/>
        <v>#DIV/0!</v>
      </c>
      <c r="S39" s="543" t="e">
        <f t="shared" si="3"/>
        <v>#REF!</v>
      </c>
    </row>
    <row r="42" spans="1:20">
      <c r="I42" s="624"/>
    </row>
    <row r="43" spans="1:20">
      <c r="I43" s="6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22" zoomScale="85" zoomScalePageLayoutView="85" workbookViewId="0">
      <selection activeCell="AD13" sqref="AD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7" t="s">
        <v>316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9"/>
    </row>
    <row r="2" spans="1:37" ht="61.5" customHeight="1" thickBot="1">
      <c r="A2" s="150" t="s">
        <v>98</v>
      </c>
      <c r="B2" s="790" t="s">
        <v>99</v>
      </c>
      <c r="C2" s="791"/>
      <c r="D2" s="792"/>
      <c r="E2" s="151"/>
      <c r="F2" s="151"/>
      <c r="G2" s="151"/>
      <c r="H2" s="148" t="s">
        <v>124</v>
      </c>
      <c r="I2" s="337" t="s">
        <v>100</v>
      </c>
      <c r="J2" s="795" t="s">
        <v>122</v>
      </c>
      <c r="K2" s="490"/>
      <c r="L2" s="797" t="s">
        <v>123</v>
      </c>
      <c r="M2" s="489" t="s">
        <v>101</v>
      </c>
      <c r="N2" s="795" t="s">
        <v>102</v>
      </c>
      <c r="O2" s="779" t="s">
        <v>103</v>
      </c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780"/>
      <c r="AA2" s="338" t="s">
        <v>104</v>
      </c>
      <c r="AB2" s="790" t="s">
        <v>164</v>
      </c>
      <c r="AC2" s="792"/>
      <c r="AD2" s="147">
        <v>0</v>
      </c>
      <c r="AE2" s="469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93">
        <f>SUM(D3/B3)</f>
        <v>1.3262195121951219</v>
      </c>
      <c r="G3" s="794"/>
      <c r="H3" s="131">
        <f>Gen!D11</f>
        <v>32059.94</v>
      </c>
      <c r="I3" s="141"/>
      <c r="J3" s="795"/>
      <c r="K3" s="490" t="s">
        <v>165</v>
      </c>
      <c r="L3" s="797"/>
      <c r="M3" s="339" t="s">
        <v>111</v>
      </c>
      <c r="N3" s="795"/>
      <c r="O3" s="779" t="s">
        <v>112</v>
      </c>
      <c r="P3" s="780"/>
      <c r="Q3" s="780"/>
      <c r="R3" s="780"/>
      <c r="S3" s="781" t="s">
        <v>113</v>
      </c>
      <c r="T3" s="782"/>
      <c r="U3" s="782"/>
      <c r="V3" s="783"/>
      <c r="W3" s="784" t="s">
        <v>114</v>
      </c>
      <c r="X3" s="785"/>
      <c r="Y3" s="785"/>
      <c r="Z3" s="786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95"/>
      <c r="K4" s="490"/>
      <c r="L4" s="797"/>
      <c r="M4" s="143"/>
      <c r="N4" s="796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309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70">
        <v>19032</v>
      </c>
      <c r="Q5" s="76"/>
      <c r="R5" s="214"/>
      <c r="S5" s="214"/>
      <c r="T5" s="572">
        <v>16288</v>
      </c>
      <c r="U5" s="214"/>
      <c r="V5" s="214"/>
      <c r="W5" s="214"/>
      <c r="X5" s="572">
        <v>24534</v>
      </c>
      <c r="Y5" s="214"/>
      <c r="Z5" s="214"/>
      <c r="AA5" s="214"/>
      <c r="AB5" s="571">
        <v>32609</v>
      </c>
      <c r="AC5" s="138"/>
      <c r="AD5" s="571">
        <v>201842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43983</v>
      </c>
      <c r="B6" s="498">
        <f>'Summery Report'!E5</f>
        <v>0</v>
      </c>
      <c r="C6" s="158">
        <f>Gen!C11</f>
        <v>0</v>
      </c>
      <c r="D6" s="499">
        <f>'Summery Report'!E5</f>
        <v>0</v>
      </c>
      <c r="E6" s="500">
        <f>SUM(F3)</f>
        <v>1.3262195121951219</v>
      </c>
      <c r="F6" s="501" t="e">
        <f>SUM(J6*E6)/D6</f>
        <v>#DIV/0!</v>
      </c>
      <c r="G6" s="501" t="e">
        <f t="shared" ref="G6:G36" si="0">SUM(L6*E6)/D6</f>
        <v>#DIV/0!</v>
      </c>
      <c r="H6" s="500">
        <f>Gen!D11</f>
        <v>32059.94</v>
      </c>
      <c r="I6" s="502">
        <f>Gen!F11</f>
        <v>0</v>
      </c>
      <c r="J6" s="142">
        <f>Gen!T11</f>
        <v>669.52</v>
      </c>
      <c r="K6" s="142">
        <f>Gen!AK11</f>
        <v>0</v>
      </c>
      <c r="L6" s="142">
        <f t="shared" ref="L6:L37" si="1">SUM(J6:K6)</f>
        <v>669.52</v>
      </c>
      <c r="M6" s="532">
        <f>'Water-Meter'!K46</f>
        <v>441.31834844306485</v>
      </c>
      <c r="N6" s="203">
        <f>'Water-Meter'!E6</f>
        <v>43</v>
      </c>
      <c r="O6" s="214"/>
      <c r="P6" s="770">
        <v>19032</v>
      </c>
      <c r="Q6" s="503">
        <f t="shared" ref="Q6:Q36" si="2">SUM(P6-P5)</f>
        <v>0</v>
      </c>
      <c r="R6" s="504">
        <f>SUM(Q6*O6)</f>
        <v>0</v>
      </c>
      <c r="S6" s="449"/>
      <c r="T6" s="572">
        <v>16288</v>
      </c>
      <c r="U6" s="503">
        <f>T6-T5</f>
        <v>0</v>
      </c>
      <c r="V6" s="505" t="s">
        <v>246</v>
      </c>
      <c r="W6" s="214"/>
      <c r="X6" s="572">
        <v>24542</v>
      </c>
      <c r="Y6" s="503">
        <f>X6-X5</f>
        <v>8</v>
      </c>
      <c r="Z6" s="503">
        <f t="shared" ref="Z6:AA6" si="3">Y6-Y5</f>
        <v>8</v>
      </c>
      <c r="AA6" s="503">
        <f t="shared" si="3"/>
        <v>8</v>
      </c>
      <c r="AB6" s="571">
        <v>32625</v>
      </c>
      <c r="AC6" s="138">
        <f>AB6-AB5</f>
        <v>16</v>
      </c>
      <c r="AD6" s="571">
        <v>201873</v>
      </c>
      <c r="AE6" s="221">
        <f>AD6-AD5</f>
        <v>31</v>
      </c>
      <c r="AF6" s="316">
        <f>'Lpg (2)'!B10*2000/85</f>
        <v>2000</v>
      </c>
      <c r="AG6" s="317">
        <f>'Lpg (2)'!C10*1000/85</f>
        <v>976.47058823529414</v>
      </c>
      <c r="AH6" s="318">
        <f>'Lpg (2)'!D10*1000/85</f>
        <v>11.764705882352942</v>
      </c>
      <c r="AI6" s="506">
        <f>SUM(AF6*2000)+(AG6*1000)+(AH6*1000)</f>
        <v>4988235.2941176472</v>
      </c>
      <c r="AJ6" s="507">
        <f t="shared" ref="AJ6:AJ36" si="4">SUM(AI5-AI6)</f>
        <v>-4988235.2941176472</v>
      </c>
      <c r="AK6" s="222"/>
    </row>
    <row r="7" spans="1:37" ht="19.5" thickBot="1">
      <c r="A7" s="95">
        <f>Gen!B12</f>
        <v>43984</v>
      </c>
      <c r="B7" s="498">
        <f>'Summery Report'!E6</f>
        <v>0</v>
      </c>
      <c r="C7" s="158">
        <f>Gen!C12</f>
        <v>0</v>
      </c>
      <c r="D7" s="499">
        <f>'Summery Report'!E6</f>
        <v>0</v>
      </c>
      <c r="E7" s="500">
        <f>SUM(E6)</f>
        <v>1.3262195121951219</v>
      </c>
      <c r="F7" s="501" t="e">
        <f>SUM(J7*E7)/D7</f>
        <v>#DIV/0!</v>
      </c>
      <c r="G7" s="501" t="e">
        <f t="shared" si="0"/>
        <v>#DIV/0!</v>
      </c>
      <c r="H7" s="500">
        <f>Gen!D12</f>
        <v>31390.42</v>
      </c>
      <c r="I7" s="502">
        <f>Gen!F12</f>
        <v>0</v>
      </c>
      <c r="J7" s="142">
        <f>Gen!T12</f>
        <v>685.33</v>
      </c>
      <c r="K7" s="142">
        <f>Gen!AK12</f>
        <v>0</v>
      </c>
      <c r="L7" s="142">
        <f t="shared" si="1"/>
        <v>685.33</v>
      </c>
      <c r="M7" s="532">
        <f>'Water-Meter'!K47</f>
        <v>409.13446011407018</v>
      </c>
      <c r="N7" s="203">
        <f>'Water-Meter'!E7</f>
        <v>49</v>
      </c>
      <c r="O7" s="214"/>
      <c r="P7" s="770">
        <v>19032</v>
      </c>
      <c r="Q7" s="503">
        <f t="shared" si="2"/>
        <v>0</v>
      </c>
      <c r="R7" s="504">
        <f t="shared" ref="R7:R36" si="5">SUM(Q7*O7)</f>
        <v>0</v>
      </c>
      <c r="S7" s="449">
        <v>7.8</v>
      </c>
      <c r="T7" s="572">
        <v>16300</v>
      </c>
      <c r="U7" s="503">
        <f t="shared" ref="U7:U36" si="6">T7-T6</f>
        <v>12</v>
      </c>
      <c r="V7" s="505">
        <f t="shared" ref="V7:V9" si="7">SUM(U7*S7)</f>
        <v>93.6</v>
      </c>
      <c r="W7" s="214"/>
      <c r="X7" s="570">
        <v>24547</v>
      </c>
      <c r="Y7" s="503">
        <f t="shared" ref="Y7:Y36" si="8">X7-X6</f>
        <v>5</v>
      </c>
      <c r="Z7" s="505">
        <f t="shared" ref="Z7:Z36" si="9">SUM(Y7*W7)</f>
        <v>0</v>
      </c>
      <c r="AA7" s="505">
        <f t="shared" ref="AA7:AA36" si="10">SUM(Z7*X9)</f>
        <v>0</v>
      </c>
      <c r="AB7" s="571">
        <v>32722</v>
      </c>
      <c r="AC7" s="138">
        <f t="shared" ref="AC7:AC27" si="11">AB7-AB6</f>
        <v>97</v>
      </c>
      <c r="AD7" s="571">
        <v>201900</v>
      </c>
      <c r="AE7" s="221">
        <f>AD7-AD6</f>
        <v>27</v>
      </c>
      <c r="AF7" s="316">
        <f>'Lpg (2)'!B11*2000/85</f>
        <v>2000</v>
      </c>
      <c r="AG7" s="317">
        <f>'Lpg (2)'!C11*1000/85</f>
        <v>976.47058823529414</v>
      </c>
      <c r="AH7" s="318">
        <f>'Lpg (2)'!D11*1000/85</f>
        <v>11.764705882352942</v>
      </c>
      <c r="AI7" s="508">
        <f t="shared" ref="AI7:AI14" si="12">SUM(AF6*2000)+(AG7*1000)+(AH7*1000)</f>
        <v>4988235.2941176472</v>
      </c>
      <c r="AJ7" s="507">
        <f t="shared" si="4"/>
        <v>0</v>
      </c>
      <c r="AK7" s="144"/>
    </row>
    <row r="8" spans="1:37" ht="19.5" thickBot="1">
      <c r="A8" s="95">
        <f>Gen!B13</f>
        <v>43985</v>
      </c>
      <c r="B8" s="498">
        <f>'Summery Report'!E7</f>
        <v>0</v>
      </c>
      <c r="C8" s="158">
        <f>Gen!C13</f>
        <v>0</v>
      </c>
      <c r="D8" s="499">
        <f>'Summery Report'!E7</f>
        <v>0</v>
      </c>
      <c r="E8" s="500">
        <f t="shared" ref="E8:E36" si="13">SUM(E7)</f>
        <v>1.3262195121951219</v>
      </c>
      <c r="F8" s="501" t="e">
        <f t="shared" ref="F8:F36" si="14">SUM(J8*E8)/D8</f>
        <v>#DIV/0!</v>
      </c>
      <c r="G8" s="501" t="e">
        <f t="shared" si="0"/>
        <v>#DIV/0!</v>
      </c>
      <c r="H8" s="500">
        <f>Gen!D13</f>
        <v>45705.09</v>
      </c>
      <c r="I8" s="502">
        <f>Gen!F13</f>
        <v>15000</v>
      </c>
      <c r="J8" s="142">
        <f>Gen!T13</f>
        <v>728.03</v>
      </c>
      <c r="K8" s="142">
        <f>Gen!AK13</f>
        <v>0</v>
      </c>
      <c r="L8" s="142">
        <f t="shared" si="1"/>
        <v>728.03</v>
      </c>
      <c r="M8" s="532">
        <f>'Water-Meter'!K48</f>
        <v>433.71755354833641</v>
      </c>
      <c r="N8" s="203">
        <f>'Water-Meter'!E8</f>
        <v>41</v>
      </c>
      <c r="O8" s="214"/>
      <c r="P8" s="770">
        <v>19032</v>
      </c>
      <c r="Q8" s="503">
        <f t="shared" si="2"/>
        <v>0</v>
      </c>
      <c r="R8" s="504">
        <f t="shared" si="5"/>
        <v>0</v>
      </c>
      <c r="S8" s="449"/>
      <c r="T8" s="572">
        <v>16322</v>
      </c>
      <c r="U8" s="503">
        <f t="shared" si="6"/>
        <v>22</v>
      </c>
      <c r="V8" s="505">
        <f t="shared" si="7"/>
        <v>0</v>
      </c>
      <c r="W8" s="449"/>
      <c r="X8" s="570">
        <v>24547</v>
      </c>
      <c r="Y8" s="503">
        <f t="shared" si="8"/>
        <v>0</v>
      </c>
      <c r="Z8" s="505">
        <f t="shared" si="9"/>
        <v>0</v>
      </c>
      <c r="AA8" s="505">
        <f t="shared" si="10"/>
        <v>0</v>
      </c>
      <c r="AB8" s="571">
        <v>32886</v>
      </c>
      <c r="AC8" s="138">
        <f t="shared" si="11"/>
        <v>164</v>
      </c>
      <c r="AD8" s="571">
        <v>201918</v>
      </c>
      <c r="AE8" s="221">
        <f t="shared" ref="AE8:AE37" si="15">AD8-AD7</f>
        <v>18</v>
      </c>
      <c r="AF8" s="316">
        <f>'Lpg (2)'!B12*2000/85</f>
        <v>2000</v>
      </c>
      <c r="AG8" s="317">
        <f>'Lpg (2)'!C12*1000/85</f>
        <v>976.47058823529414</v>
      </c>
      <c r="AH8" s="318">
        <f>'Lpg (2)'!D12*1000/85</f>
        <v>11.764705882352942</v>
      </c>
      <c r="AI8" s="508">
        <f t="shared" si="12"/>
        <v>4988235.2941176472</v>
      </c>
      <c r="AJ8" s="507">
        <f t="shared" si="4"/>
        <v>0</v>
      </c>
      <c r="AK8" s="144"/>
    </row>
    <row r="9" spans="1:37" ht="19.5" thickBot="1">
      <c r="A9" s="95">
        <f>Gen!B14</f>
        <v>43986</v>
      </c>
      <c r="B9" s="498">
        <f>'Summery Report'!E8</f>
        <v>0</v>
      </c>
      <c r="C9" s="158">
        <f>Gen!C14</f>
        <v>0</v>
      </c>
      <c r="D9" s="499">
        <f>'Summery Report'!E8</f>
        <v>0</v>
      </c>
      <c r="E9" s="500">
        <f t="shared" si="13"/>
        <v>1.3262195121951219</v>
      </c>
      <c r="F9" s="501" t="e">
        <f t="shared" si="14"/>
        <v>#DIV/0!</v>
      </c>
      <c r="G9" s="501" t="e">
        <f t="shared" si="0"/>
        <v>#DIV/0!</v>
      </c>
      <c r="H9" s="500">
        <f>Gen!D14</f>
        <v>44977.06</v>
      </c>
      <c r="I9" s="502">
        <f>Gen!F14</f>
        <v>0</v>
      </c>
      <c r="J9" s="142">
        <f>Gen!T14</f>
        <v>693.88</v>
      </c>
      <c r="K9" s="142">
        <f>Gen!AK14</f>
        <v>0</v>
      </c>
      <c r="L9" s="142">
        <f t="shared" si="1"/>
        <v>693.88</v>
      </c>
      <c r="M9" s="532">
        <f>'Water-Meter'!K49</f>
        <v>383.94372826163692</v>
      </c>
      <c r="N9" s="203">
        <f>'Water-Meter'!E9</f>
        <v>86</v>
      </c>
      <c r="O9" s="214"/>
      <c r="P9" s="770">
        <v>19032</v>
      </c>
      <c r="Q9" s="503">
        <f t="shared" si="2"/>
        <v>0</v>
      </c>
      <c r="R9" s="504">
        <f t="shared" si="5"/>
        <v>0</v>
      </c>
      <c r="S9" s="449"/>
      <c r="T9" s="572">
        <v>16329</v>
      </c>
      <c r="U9" s="503">
        <f t="shared" si="6"/>
        <v>7</v>
      </c>
      <c r="V9" s="505">
        <f t="shared" si="7"/>
        <v>0</v>
      </c>
      <c r="W9" s="449"/>
      <c r="X9" s="570">
        <v>24547</v>
      </c>
      <c r="Y9" s="503">
        <f t="shared" si="8"/>
        <v>0</v>
      </c>
      <c r="Z9" s="505">
        <f t="shared" si="9"/>
        <v>0</v>
      </c>
      <c r="AA9" s="505">
        <f t="shared" si="10"/>
        <v>0</v>
      </c>
      <c r="AB9" s="571">
        <v>32925</v>
      </c>
      <c r="AC9" s="138">
        <f t="shared" si="11"/>
        <v>39</v>
      </c>
      <c r="AD9" s="571">
        <v>201934</v>
      </c>
      <c r="AE9" s="221">
        <f t="shared" si="15"/>
        <v>16</v>
      </c>
      <c r="AF9" s="316">
        <f>'Lpg (2)'!B13*2000/85</f>
        <v>2000</v>
      </c>
      <c r="AG9" s="317">
        <f>'Lpg (2)'!C13*1000/85</f>
        <v>976.47058823529414</v>
      </c>
      <c r="AH9" s="318">
        <f>'Lpg (2)'!D13*1000/85</f>
        <v>11.764705882352942</v>
      </c>
      <c r="AI9" s="508">
        <f t="shared" si="12"/>
        <v>4988235.2941176472</v>
      </c>
      <c r="AJ9" s="507">
        <f t="shared" si="4"/>
        <v>0</v>
      </c>
      <c r="AK9" s="144"/>
    </row>
    <row r="10" spans="1:37" ht="19.5" thickBot="1">
      <c r="A10" s="95">
        <f>Gen!B15</f>
        <v>43987</v>
      </c>
      <c r="B10" s="498">
        <f>'Summery Report'!E9</f>
        <v>0</v>
      </c>
      <c r="C10" s="158">
        <f>Gen!C15</f>
        <v>0</v>
      </c>
      <c r="D10" s="499">
        <f>'Summery Report'!E9</f>
        <v>0</v>
      </c>
      <c r="E10" s="500">
        <f t="shared" si="13"/>
        <v>1.3262195121951219</v>
      </c>
      <c r="F10" s="501" t="e">
        <f t="shared" si="14"/>
        <v>#DIV/0!</v>
      </c>
      <c r="G10" s="501" t="e">
        <f t="shared" si="0"/>
        <v>#DIV/0!</v>
      </c>
      <c r="H10" s="500">
        <f>Gen!D15</f>
        <v>44283.18</v>
      </c>
      <c r="I10" s="502">
        <f>Gen!F15</f>
        <v>0</v>
      </c>
      <c r="J10" s="142">
        <f>Gen!T15</f>
        <v>708.93000000000006</v>
      </c>
      <c r="K10" s="142">
        <f>Gen!AK15</f>
        <v>0</v>
      </c>
      <c r="L10" s="142">
        <f t="shared" si="1"/>
        <v>708.93000000000006</v>
      </c>
      <c r="M10" s="532">
        <f>'Water-Meter'!K50</f>
        <v>470.95402020399661</v>
      </c>
      <c r="N10" s="203">
        <f>'Water-Meter'!E10</f>
        <v>82</v>
      </c>
      <c r="O10" s="214"/>
      <c r="P10" s="770">
        <v>19032</v>
      </c>
      <c r="Q10" s="503">
        <f t="shared" si="2"/>
        <v>0</v>
      </c>
      <c r="R10" s="504">
        <f t="shared" si="5"/>
        <v>0</v>
      </c>
      <c r="S10" s="449"/>
      <c r="T10" s="572">
        <v>16351</v>
      </c>
      <c r="U10" s="503">
        <f t="shared" si="6"/>
        <v>22</v>
      </c>
      <c r="V10" s="505">
        <f t="shared" ref="V10:V16" si="16">SUM(U10*S10)</f>
        <v>0</v>
      </c>
      <c r="W10" s="449"/>
      <c r="X10" s="570">
        <v>24547</v>
      </c>
      <c r="Y10" s="503">
        <f t="shared" si="8"/>
        <v>0</v>
      </c>
      <c r="Z10" s="505">
        <f t="shared" si="9"/>
        <v>0</v>
      </c>
      <c r="AA10" s="505">
        <f t="shared" si="10"/>
        <v>0</v>
      </c>
      <c r="AB10" s="571">
        <v>33079</v>
      </c>
      <c r="AC10" s="138">
        <f t="shared" si="11"/>
        <v>154</v>
      </c>
      <c r="AD10" s="571">
        <v>201945</v>
      </c>
      <c r="AE10" s="221">
        <f t="shared" si="15"/>
        <v>11</v>
      </c>
      <c r="AF10" s="316">
        <f>'Lpg (2)'!B14*2000/85</f>
        <v>2000</v>
      </c>
      <c r="AG10" s="317">
        <f>'Lpg (2)'!C14*1000/85</f>
        <v>976.47058823529414</v>
      </c>
      <c r="AH10" s="318">
        <f>'Lpg (2)'!D14*1000/85</f>
        <v>11.764705882352942</v>
      </c>
      <c r="AI10" s="508">
        <f t="shared" si="12"/>
        <v>4988235.2941176472</v>
      </c>
      <c r="AJ10" s="507">
        <f t="shared" si="4"/>
        <v>0</v>
      </c>
      <c r="AK10" s="144"/>
    </row>
    <row r="11" spans="1:37" ht="19.5" thickBot="1">
      <c r="A11" s="95">
        <f>Gen!B16</f>
        <v>43988</v>
      </c>
      <c r="B11" s="498">
        <f>'Summery Report'!E10</f>
        <v>0</v>
      </c>
      <c r="C11" s="158">
        <f>Gen!C16</f>
        <v>0</v>
      </c>
      <c r="D11" s="499">
        <f>'Summery Report'!E10</f>
        <v>0</v>
      </c>
      <c r="E11" s="500">
        <f t="shared" si="13"/>
        <v>1.3262195121951219</v>
      </c>
      <c r="F11" s="501" t="e">
        <f t="shared" si="14"/>
        <v>#DIV/0!</v>
      </c>
      <c r="G11" s="501" t="e">
        <f t="shared" si="0"/>
        <v>#DIV/0!</v>
      </c>
      <c r="H11" s="500">
        <f>Gen!D16</f>
        <v>43574.25</v>
      </c>
      <c r="I11" s="502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2">
        <f>'Water-Meter'!K51</f>
        <v>559.00000176954973</v>
      </c>
      <c r="N11" s="203" t="str">
        <f>'Water-Meter'!E11</f>
        <v>0</v>
      </c>
      <c r="O11" s="214"/>
      <c r="P11" s="770"/>
      <c r="Q11" s="503">
        <f t="shared" si="2"/>
        <v>-19032</v>
      </c>
      <c r="R11" s="504">
        <f t="shared" si="5"/>
        <v>0</v>
      </c>
      <c r="S11" s="449"/>
      <c r="T11" s="572"/>
      <c r="U11" s="503">
        <f t="shared" si="6"/>
        <v>-16351</v>
      </c>
      <c r="V11" s="505">
        <f t="shared" si="16"/>
        <v>0</v>
      </c>
      <c r="W11" s="449"/>
      <c r="X11" s="570"/>
      <c r="Y11" s="503">
        <f t="shared" si="8"/>
        <v>-24547</v>
      </c>
      <c r="Z11" s="505">
        <f t="shared" si="9"/>
        <v>0</v>
      </c>
      <c r="AA11" s="505">
        <f t="shared" si="10"/>
        <v>0</v>
      </c>
      <c r="AB11" s="571"/>
      <c r="AC11" s="138">
        <f t="shared" si="11"/>
        <v>-33079</v>
      </c>
      <c r="AD11" s="571"/>
      <c r="AE11" s="221">
        <f t="shared" si="15"/>
        <v>-201945</v>
      </c>
      <c r="AF11" s="316">
        <f>'Lpg (2)'!B15*2000/85</f>
        <v>2000</v>
      </c>
      <c r="AG11" s="317">
        <f>'Lpg (2)'!C15*1000/85</f>
        <v>976.47058823529414</v>
      </c>
      <c r="AH11" s="318">
        <f>'Lpg (2)'!D15*1000/85</f>
        <v>11.764705882352942</v>
      </c>
      <c r="AI11" s="508">
        <f t="shared" si="12"/>
        <v>4988235.2941176472</v>
      </c>
      <c r="AJ11" s="507">
        <f t="shared" si="4"/>
        <v>0</v>
      </c>
      <c r="AK11" s="144"/>
    </row>
    <row r="12" spans="1:37" ht="19.5" thickBot="1">
      <c r="A12" s="95">
        <f>Gen!B17</f>
        <v>43989</v>
      </c>
      <c r="B12" s="498">
        <f>'Summery Report'!E11</f>
        <v>0</v>
      </c>
      <c r="C12" s="158">
        <f>Gen!C17</f>
        <v>0</v>
      </c>
      <c r="D12" s="499">
        <f>'Summery Report'!E11</f>
        <v>0</v>
      </c>
      <c r="E12" s="500">
        <f t="shared" si="13"/>
        <v>1.3262195121951219</v>
      </c>
      <c r="F12" s="501" t="e">
        <f t="shared" si="14"/>
        <v>#DIV/0!</v>
      </c>
      <c r="G12" s="501" t="e">
        <f t="shared" si="0"/>
        <v>#DIV/0!</v>
      </c>
      <c r="H12" s="500">
        <f>Gen!D17</f>
        <v>43574.25</v>
      </c>
      <c r="I12" s="502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2">
        <f>'Water-Meter'!K52</f>
        <v>0</v>
      </c>
      <c r="N12" s="203">
        <f>'Water-Meter'!E12</f>
        <v>0</v>
      </c>
      <c r="O12" s="214"/>
      <c r="P12" s="770"/>
      <c r="Q12" s="503">
        <f t="shared" si="2"/>
        <v>0</v>
      </c>
      <c r="R12" s="504">
        <f t="shared" si="5"/>
        <v>0</v>
      </c>
      <c r="S12" s="449"/>
      <c r="T12" s="572"/>
      <c r="U12" s="503">
        <f t="shared" si="6"/>
        <v>0</v>
      </c>
      <c r="V12" s="505">
        <f t="shared" si="16"/>
        <v>0</v>
      </c>
      <c r="W12" s="449"/>
      <c r="X12" s="570"/>
      <c r="Y12" s="503">
        <f t="shared" si="8"/>
        <v>0</v>
      </c>
      <c r="Z12" s="505">
        <f t="shared" si="9"/>
        <v>0</v>
      </c>
      <c r="AA12" s="505">
        <f t="shared" si="10"/>
        <v>0</v>
      </c>
      <c r="AB12" s="571"/>
      <c r="AC12" s="138">
        <f t="shared" si="11"/>
        <v>0</v>
      </c>
      <c r="AD12" s="571"/>
      <c r="AE12" s="221">
        <f t="shared" si="15"/>
        <v>0</v>
      </c>
      <c r="AF12" s="316">
        <f>'Lpg (2)'!B16*2000/85</f>
        <v>0</v>
      </c>
      <c r="AG12" s="317">
        <f>'Lpg (2)'!C16*1000/85</f>
        <v>0</v>
      </c>
      <c r="AH12" s="318">
        <f>'Lpg (2)'!D16*1000/85</f>
        <v>0</v>
      </c>
      <c r="AI12" s="508">
        <f t="shared" si="12"/>
        <v>4000000</v>
      </c>
      <c r="AJ12" s="507">
        <f t="shared" si="4"/>
        <v>988235.29411764722</v>
      </c>
      <c r="AK12" s="144"/>
    </row>
    <row r="13" spans="1:37" ht="19.5" thickBot="1">
      <c r="A13" s="95">
        <f>Gen!B18</f>
        <v>43990</v>
      </c>
      <c r="B13" s="498">
        <f>'Summery Report'!E12</f>
        <v>0</v>
      </c>
      <c r="C13" s="158">
        <f>Gen!C18</f>
        <v>0</v>
      </c>
      <c r="D13" s="499">
        <f>'Summery Report'!E12</f>
        <v>0</v>
      </c>
      <c r="E13" s="500">
        <f t="shared" si="13"/>
        <v>1.3262195121951219</v>
      </c>
      <c r="F13" s="501" t="e">
        <f t="shared" si="14"/>
        <v>#DIV/0!</v>
      </c>
      <c r="G13" s="501" t="e">
        <f t="shared" si="0"/>
        <v>#DIV/0!</v>
      </c>
      <c r="H13" s="500">
        <f>Gen!D18</f>
        <v>43574.25</v>
      </c>
      <c r="I13" s="502">
        <f>Gen!F18</f>
        <v>0</v>
      </c>
      <c r="J13" s="142">
        <f>Gen!T18</f>
        <v>0</v>
      </c>
      <c r="K13" s="142">
        <f>Gen!AK18</f>
        <v>0</v>
      </c>
      <c r="L13" s="142">
        <f t="shared" si="1"/>
        <v>0</v>
      </c>
      <c r="M13" s="532">
        <f>'Water-Meter'!K53</f>
        <v>0</v>
      </c>
      <c r="N13" s="203">
        <f>'Water-Meter'!E13</f>
        <v>0</v>
      </c>
      <c r="O13" s="214"/>
      <c r="P13" s="770"/>
      <c r="Q13" s="503">
        <f t="shared" si="2"/>
        <v>0</v>
      </c>
      <c r="R13" s="504">
        <f t="shared" si="5"/>
        <v>0</v>
      </c>
      <c r="S13" s="449"/>
      <c r="T13" s="572"/>
      <c r="U13" s="503">
        <f t="shared" si="6"/>
        <v>0</v>
      </c>
      <c r="V13" s="505">
        <f t="shared" si="16"/>
        <v>0</v>
      </c>
      <c r="W13" s="449"/>
      <c r="X13" s="570"/>
      <c r="Y13" s="503">
        <f t="shared" si="8"/>
        <v>0</v>
      </c>
      <c r="Z13" s="505">
        <f t="shared" si="9"/>
        <v>0</v>
      </c>
      <c r="AA13" s="505">
        <f t="shared" si="10"/>
        <v>0</v>
      </c>
      <c r="AB13" s="571"/>
      <c r="AC13" s="138">
        <f t="shared" si="11"/>
        <v>0</v>
      </c>
      <c r="AD13" s="571"/>
      <c r="AE13" s="221">
        <f t="shared" si="15"/>
        <v>0</v>
      </c>
      <c r="AF13" s="316">
        <f>'Lpg (2)'!B17*2000/85</f>
        <v>0</v>
      </c>
      <c r="AG13" s="317">
        <f>'Lpg (2)'!C17*1000/85</f>
        <v>0</v>
      </c>
      <c r="AH13" s="318">
        <f>'Lpg (2)'!D17*1000/85</f>
        <v>0</v>
      </c>
      <c r="AI13" s="508">
        <f t="shared" si="12"/>
        <v>0</v>
      </c>
      <c r="AJ13" s="507">
        <f t="shared" si="4"/>
        <v>4000000</v>
      </c>
      <c r="AK13" s="145"/>
    </row>
    <row r="14" spans="1:37" ht="19.5" thickBot="1">
      <c r="A14" s="95">
        <f>Gen!B19</f>
        <v>43991</v>
      </c>
      <c r="B14" s="498">
        <f>'Summery Report'!E13</f>
        <v>0</v>
      </c>
      <c r="C14" s="158">
        <f>Gen!C19</f>
        <v>0</v>
      </c>
      <c r="D14" s="499">
        <f>'Summery Report'!E13</f>
        <v>0</v>
      </c>
      <c r="E14" s="500">
        <f t="shared" si="13"/>
        <v>1.3262195121951219</v>
      </c>
      <c r="F14" s="501" t="e">
        <f t="shared" si="14"/>
        <v>#DIV/0!</v>
      </c>
      <c r="G14" s="501" t="e">
        <f t="shared" si="0"/>
        <v>#DIV/0!</v>
      </c>
      <c r="H14" s="500">
        <f>Gen!D19</f>
        <v>43574.25</v>
      </c>
      <c r="I14" s="502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2">
        <f>'Water-Meter'!K54</f>
        <v>0</v>
      </c>
      <c r="N14" s="203">
        <f>'Water-Meter'!E14</f>
        <v>0</v>
      </c>
      <c r="O14" s="214"/>
      <c r="P14" s="770"/>
      <c r="Q14" s="503">
        <f t="shared" si="2"/>
        <v>0</v>
      </c>
      <c r="R14" s="504">
        <f t="shared" si="5"/>
        <v>0</v>
      </c>
      <c r="S14" s="449"/>
      <c r="T14" s="572"/>
      <c r="U14" s="503">
        <f t="shared" si="6"/>
        <v>0</v>
      </c>
      <c r="V14" s="505">
        <f t="shared" si="16"/>
        <v>0</v>
      </c>
      <c r="W14" s="449"/>
      <c r="X14" s="570"/>
      <c r="Y14" s="503">
        <f t="shared" si="8"/>
        <v>0</v>
      </c>
      <c r="Z14" s="505">
        <f t="shared" si="9"/>
        <v>0</v>
      </c>
      <c r="AA14" s="505">
        <f t="shared" si="10"/>
        <v>0</v>
      </c>
      <c r="AB14" s="571"/>
      <c r="AC14" s="138">
        <f t="shared" si="11"/>
        <v>0</v>
      </c>
      <c r="AD14" s="571"/>
      <c r="AE14" s="221">
        <f t="shared" si="15"/>
        <v>0</v>
      </c>
      <c r="AF14" s="316">
        <f>'Lpg (2)'!B18*2000/85</f>
        <v>0</v>
      </c>
      <c r="AG14" s="317">
        <f>'Lpg (2)'!C18*1000/85</f>
        <v>0</v>
      </c>
      <c r="AH14" s="318">
        <f>'Lpg (2)'!D18*1000/85</f>
        <v>0</v>
      </c>
      <c r="AI14" s="508">
        <f t="shared" si="12"/>
        <v>0</v>
      </c>
      <c r="AJ14" s="507">
        <f t="shared" si="4"/>
        <v>0</v>
      </c>
      <c r="AK14" s="144"/>
    </row>
    <row r="15" spans="1:37" ht="19.5" thickBot="1">
      <c r="A15" s="95">
        <f>Gen!B20</f>
        <v>43992</v>
      </c>
      <c r="B15" s="498">
        <f>'Summery Report'!E14</f>
        <v>0</v>
      </c>
      <c r="C15" s="158">
        <f>Gen!C20</f>
        <v>0</v>
      </c>
      <c r="D15" s="499">
        <f>'Summery Report'!E14</f>
        <v>0</v>
      </c>
      <c r="E15" s="500">
        <f t="shared" si="13"/>
        <v>1.3262195121951219</v>
      </c>
      <c r="F15" s="501" t="e">
        <f t="shared" si="14"/>
        <v>#DIV/0!</v>
      </c>
      <c r="G15" s="501" t="e">
        <f t="shared" si="0"/>
        <v>#DIV/0!</v>
      </c>
      <c r="H15" s="500">
        <f>Gen!D20</f>
        <v>43574.25</v>
      </c>
      <c r="I15" s="502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2">
        <f>'Water-Meter'!K55</f>
        <v>0</v>
      </c>
      <c r="N15" s="203">
        <f>'Water-Meter'!E15</f>
        <v>0</v>
      </c>
      <c r="O15" s="214"/>
      <c r="P15" s="770"/>
      <c r="Q15" s="503">
        <f t="shared" si="2"/>
        <v>0</v>
      </c>
      <c r="R15" s="504">
        <f t="shared" si="5"/>
        <v>0</v>
      </c>
      <c r="S15" s="449"/>
      <c r="T15" s="572"/>
      <c r="U15" s="503">
        <f t="shared" si="6"/>
        <v>0</v>
      </c>
      <c r="V15" s="505">
        <f t="shared" si="16"/>
        <v>0</v>
      </c>
      <c r="W15" s="449"/>
      <c r="X15" s="570"/>
      <c r="Y15" s="503">
        <f t="shared" si="8"/>
        <v>0</v>
      </c>
      <c r="Z15" s="505">
        <f t="shared" si="9"/>
        <v>0</v>
      </c>
      <c r="AA15" s="505">
        <f t="shared" si="10"/>
        <v>0</v>
      </c>
      <c r="AB15" s="571"/>
      <c r="AC15" s="138">
        <f t="shared" si="11"/>
        <v>0</v>
      </c>
      <c r="AD15" s="571"/>
      <c r="AE15" s="221">
        <f>AD15-AD14</f>
        <v>0</v>
      </c>
      <c r="AF15" s="316">
        <f>'Lpg (2)'!B19*2000/85</f>
        <v>0</v>
      </c>
      <c r="AG15" s="317">
        <f>'Lpg (2)'!C19*1000/85</f>
        <v>0</v>
      </c>
      <c r="AH15" s="318">
        <f>'Lpg (2)'!D19*1000/85</f>
        <v>0</v>
      </c>
      <c r="AI15" s="508">
        <f t="shared" ref="AI15:AI35" si="17">SUM(AF15*2000)+(AG15*1000)+(AH15*1000)</f>
        <v>0</v>
      </c>
      <c r="AJ15" s="507">
        <f t="shared" si="4"/>
        <v>0</v>
      </c>
      <c r="AK15" s="144"/>
    </row>
    <row r="16" spans="1:37" ht="19.5" thickBot="1">
      <c r="A16" s="95">
        <f>Gen!B21</f>
        <v>43993</v>
      </c>
      <c r="B16" s="498">
        <f>'Summery Report'!E15</f>
        <v>0</v>
      </c>
      <c r="C16" s="158">
        <f>Gen!C21</f>
        <v>0</v>
      </c>
      <c r="D16" s="499">
        <f>'Summery Report'!E15</f>
        <v>0</v>
      </c>
      <c r="E16" s="500">
        <f t="shared" si="13"/>
        <v>1.3262195121951219</v>
      </c>
      <c r="F16" s="501" t="e">
        <f t="shared" si="14"/>
        <v>#DIV/0!</v>
      </c>
      <c r="G16" s="501" t="e">
        <f t="shared" si="0"/>
        <v>#DIV/0!</v>
      </c>
      <c r="H16" s="500">
        <f>Gen!D21</f>
        <v>43574.25</v>
      </c>
      <c r="I16" s="502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2">
        <f>'Water-Meter'!K56</f>
        <v>0</v>
      </c>
      <c r="N16" s="203">
        <f>'Water-Meter'!E16</f>
        <v>0</v>
      </c>
      <c r="O16" s="214"/>
      <c r="P16" s="770"/>
      <c r="Q16" s="503">
        <f t="shared" si="2"/>
        <v>0</v>
      </c>
      <c r="R16" s="504">
        <f t="shared" si="5"/>
        <v>0</v>
      </c>
      <c r="S16" s="449"/>
      <c r="T16" s="572"/>
      <c r="U16" s="503">
        <f t="shared" si="6"/>
        <v>0</v>
      </c>
      <c r="V16" s="505">
        <f t="shared" si="16"/>
        <v>0</v>
      </c>
      <c r="W16" s="449"/>
      <c r="X16" s="570"/>
      <c r="Y16" s="503">
        <f t="shared" si="8"/>
        <v>0</v>
      </c>
      <c r="Z16" s="505">
        <f t="shared" si="9"/>
        <v>0</v>
      </c>
      <c r="AA16" s="505">
        <f t="shared" si="10"/>
        <v>0</v>
      </c>
      <c r="AB16" s="571"/>
      <c r="AC16" s="138">
        <f t="shared" si="11"/>
        <v>0</v>
      </c>
      <c r="AD16" s="571"/>
      <c r="AE16" s="221">
        <f t="shared" si="15"/>
        <v>0</v>
      </c>
      <c r="AF16" s="316">
        <f>'Lpg (2)'!B20*2000/85</f>
        <v>0</v>
      </c>
      <c r="AG16" s="317">
        <f>'Lpg (2)'!C20*1000/85</f>
        <v>0</v>
      </c>
      <c r="AH16" s="318">
        <f>'Lpg (2)'!D20*1000/85</f>
        <v>0</v>
      </c>
      <c r="AI16" s="508">
        <f t="shared" si="17"/>
        <v>0</v>
      </c>
      <c r="AJ16" s="507">
        <f t="shared" si="4"/>
        <v>0</v>
      </c>
      <c r="AK16" s="144"/>
    </row>
    <row r="17" spans="1:37" ht="19.5" thickBot="1">
      <c r="A17" s="95">
        <f>Gen!B22</f>
        <v>43994</v>
      </c>
      <c r="B17" s="498">
        <f>'Summery Report'!E16</f>
        <v>0</v>
      </c>
      <c r="C17" s="158">
        <f>Gen!C22</f>
        <v>0</v>
      </c>
      <c r="D17" s="499">
        <f>'Summery Report'!E16</f>
        <v>0</v>
      </c>
      <c r="E17" s="500">
        <f t="shared" si="13"/>
        <v>1.3262195121951219</v>
      </c>
      <c r="F17" s="501" t="e">
        <f t="shared" si="14"/>
        <v>#DIV/0!</v>
      </c>
      <c r="G17" s="501" t="e">
        <f t="shared" si="0"/>
        <v>#DIV/0!</v>
      </c>
      <c r="H17" s="500">
        <f>Gen!D22</f>
        <v>43574.25</v>
      </c>
      <c r="I17" s="502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2">
        <f>'Water-Meter'!K57</f>
        <v>0</v>
      </c>
      <c r="N17" s="203">
        <f>'Water-Meter'!E17</f>
        <v>0</v>
      </c>
      <c r="O17" s="214"/>
      <c r="P17" s="770"/>
      <c r="Q17" s="503">
        <f>SUM(P18-P16)</f>
        <v>0</v>
      </c>
      <c r="R17" s="504">
        <f t="shared" si="5"/>
        <v>0</v>
      </c>
      <c r="S17" s="449"/>
      <c r="T17" s="572"/>
      <c r="U17" s="503">
        <f t="shared" si="6"/>
        <v>0</v>
      </c>
      <c r="V17" s="505">
        <f t="shared" ref="V17:V36" si="18">SUM(U17*S17)</f>
        <v>0</v>
      </c>
      <c r="W17" s="449"/>
      <c r="X17" s="570"/>
      <c r="Y17" s="503">
        <f t="shared" si="8"/>
        <v>0</v>
      </c>
      <c r="Z17" s="505">
        <f t="shared" si="9"/>
        <v>0</v>
      </c>
      <c r="AA17" s="505">
        <f t="shared" si="10"/>
        <v>0</v>
      </c>
      <c r="AB17" s="571"/>
      <c r="AC17" s="138">
        <f t="shared" si="11"/>
        <v>0</v>
      </c>
      <c r="AD17" s="571"/>
      <c r="AE17" s="221">
        <f t="shared" si="15"/>
        <v>0</v>
      </c>
      <c r="AF17" s="316">
        <f>'Lpg (2)'!B21*2000/85</f>
        <v>0</v>
      </c>
      <c r="AG17" s="317">
        <f>'Lpg (2)'!C22*1000/85</f>
        <v>0</v>
      </c>
      <c r="AH17" s="318">
        <f>'Lpg (2)'!D21*1000/85</f>
        <v>0</v>
      </c>
      <c r="AI17" s="508">
        <f t="shared" si="17"/>
        <v>0</v>
      </c>
      <c r="AJ17" s="507">
        <f t="shared" si="4"/>
        <v>0</v>
      </c>
      <c r="AK17" s="144"/>
    </row>
    <row r="18" spans="1:37" ht="19.5" thickBot="1">
      <c r="A18" s="95">
        <f>Gen!B23</f>
        <v>43995</v>
      </c>
      <c r="B18" s="498">
        <f>'Summery Report'!E17</f>
        <v>0</v>
      </c>
      <c r="C18" s="158">
        <f>Gen!C23</f>
        <v>0</v>
      </c>
      <c r="D18" s="499">
        <f>'Summery Report'!E17</f>
        <v>0</v>
      </c>
      <c r="E18" s="500">
        <f t="shared" si="13"/>
        <v>1.3262195121951219</v>
      </c>
      <c r="F18" s="501" t="e">
        <f t="shared" si="14"/>
        <v>#DIV/0!</v>
      </c>
      <c r="G18" s="501" t="e">
        <f t="shared" si="0"/>
        <v>#DIV/0!</v>
      </c>
      <c r="H18" s="500">
        <f>Gen!D23</f>
        <v>43574.25</v>
      </c>
      <c r="I18" s="502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2">
        <f>'Water-Meter'!K58</f>
        <v>0</v>
      </c>
      <c r="N18" s="203">
        <f>'Water-Meter'!E18</f>
        <v>0</v>
      </c>
      <c r="O18" s="214"/>
      <c r="P18" s="770"/>
      <c r="Q18" s="503"/>
      <c r="R18" s="504">
        <f t="shared" si="5"/>
        <v>0</v>
      </c>
      <c r="S18" s="449"/>
      <c r="T18" s="572"/>
      <c r="U18" s="503">
        <f t="shared" si="6"/>
        <v>0</v>
      </c>
      <c r="V18" s="505">
        <f t="shared" si="18"/>
        <v>0</v>
      </c>
      <c r="W18" s="449"/>
      <c r="X18" s="570"/>
      <c r="Y18" s="503">
        <f t="shared" si="8"/>
        <v>0</v>
      </c>
      <c r="Z18" s="505">
        <f t="shared" si="9"/>
        <v>0</v>
      </c>
      <c r="AA18" s="505">
        <f t="shared" si="10"/>
        <v>0</v>
      </c>
      <c r="AB18" s="571"/>
      <c r="AC18" s="138">
        <f t="shared" si="11"/>
        <v>0</v>
      </c>
      <c r="AD18" s="571"/>
      <c r="AE18" s="221">
        <f t="shared" si="15"/>
        <v>0</v>
      </c>
      <c r="AF18" s="316">
        <f>'Lpg (2)'!B22*2000/85</f>
        <v>0</v>
      </c>
      <c r="AG18" s="317" t="e">
        <f>'Lpg (2)'!#REF!*1000/85</f>
        <v>#REF!</v>
      </c>
      <c r="AH18" s="318">
        <f>'Lpg (2)'!D22*1000/85</f>
        <v>0</v>
      </c>
      <c r="AI18" s="508" t="e">
        <f t="shared" si="17"/>
        <v>#REF!</v>
      </c>
      <c r="AJ18" s="507" t="e">
        <f t="shared" si="4"/>
        <v>#REF!</v>
      </c>
      <c r="AK18" s="144"/>
    </row>
    <row r="19" spans="1:37" ht="19.5" thickBot="1">
      <c r="A19" s="95">
        <f>Gen!B24</f>
        <v>43996</v>
      </c>
      <c r="B19" s="498">
        <f>'Summery Report'!E18</f>
        <v>0</v>
      </c>
      <c r="C19" s="158">
        <f>Gen!C24</f>
        <v>0</v>
      </c>
      <c r="D19" s="499">
        <f>'Summery Report'!E18</f>
        <v>0</v>
      </c>
      <c r="E19" s="500">
        <f t="shared" si="13"/>
        <v>1.3262195121951219</v>
      </c>
      <c r="F19" s="501" t="e">
        <f t="shared" si="14"/>
        <v>#DIV/0!</v>
      </c>
      <c r="G19" s="501" t="e">
        <f t="shared" si="0"/>
        <v>#DIV/0!</v>
      </c>
      <c r="H19" s="500">
        <f>Gen!D24</f>
        <v>43574.25</v>
      </c>
      <c r="I19" s="502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2">
        <f>'Water-Meter'!K59</f>
        <v>0</v>
      </c>
      <c r="N19" s="203">
        <f>'Water-Meter'!E19</f>
        <v>0</v>
      </c>
      <c r="O19" s="214"/>
      <c r="P19" s="770"/>
      <c r="Q19" s="503"/>
      <c r="R19" s="504">
        <f t="shared" si="5"/>
        <v>0</v>
      </c>
      <c r="S19" s="449"/>
      <c r="T19" s="572"/>
      <c r="U19" s="503">
        <f t="shared" si="6"/>
        <v>0</v>
      </c>
      <c r="V19" s="505">
        <f t="shared" si="18"/>
        <v>0</v>
      </c>
      <c r="W19" s="449"/>
      <c r="X19" s="570"/>
      <c r="Y19" s="503">
        <f t="shared" si="8"/>
        <v>0</v>
      </c>
      <c r="Z19" s="505">
        <f t="shared" si="9"/>
        <v>0</v>
      </c>
      <c r="AA19" s="505">
        <f t="shared" si="10"/>
        <v>0</v>
      </c>
      <c r="AB19" s="571"/>
      <c r="AC19" s="138">
        <f t="shared" si="11"/>
        <v>0</v>
      </c>
      <c r="AD19" s="571"/>
      <c r="AE19" s="221">
        <f t="shared" si="15"/>
        <v>0</v>
      </c>
      <c r="AF19" s="316">
        <f>'Lpg (2)'!B23*2000/85</f>
        <v>0</v>
      </c>
      <c r="AG19" s="317">
        <f>'Lpg (2)'!C23*1000/85</f>
        <v>0</v>
      </c>
      <c r="AH19" s="318">
        <f>'Lpg (2)'!D23*1000/85</f>
        <v>0</v>
      </c>
      <c r="AI19" s="508">
        <f t="shared" si="17"/>
        <v>0</v>
      </c>
      <c r="AJ19" s="507" t="e">
        <f t="shared" si="4"/>
        <v>#REF!</v>
      </c>
      <c r="AK19" s="144"/>
    </row>
    <row r="20" spans="1:37" ht="19.5" thickBot="1">
      <c r="A20" s="95">
        <f>Gen!B25</f>
        <v>43997</v>
      </c>
      <c r="B20" s="498">
        <f>'Summery Report'!E19</f>
        <v>0</v>
      </c>
      <c r="C20" s="158">
        <f>Gen!C25</f>
        <v>0</v>
      </c>
      <c r="D20" s="499">
        <f>'Summery Report'!E19</f>
        <v>0</v>
      </c>
      <c r="E20" s="500">
        <f t="shared" si="13"/>
        <v>1.3262195121951219</v>
      </c>
      <c r="F20" s="501" t="e">
        <f t="shared" si="14"/>
        <v>#DIV/0!</v>
      </c>
      <c r="G20" s="501" t="e">
        <f t="shared" si="0"/>
        <v>#DIV/0!</v>
      </c>
      <c r="H20" s="500">
        <f>Gen!D25</f>
        <v>43574.25</v>
      </c>
      <c r="I20" s="502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2">
        <f>'Water-Meter'!K60</f>
        <v>0</v>
      </c>
      <c r="N20" s="203">
        <f>'Water-Meter'!E20</f>
        <v>0</v>
      </c>
      <c r="O20" s="214"/>
      <c r="P20" s="770"/>
      <c r="Q20" s="503">
        <f t="shared" si="2"/>
        <v>0</v>
      </c>
      <c r="R20" s="504">
        <f t="shared" si="5"/>
        <v>0</v>
      </c>
      <c r="S20" s="449"/>
      <c r="T20" s="572"/>
      <c r="U20" s="503">
        <f t="shared" si="6"/>
        <v>0</v>
      </c>
      <c r="V20" s="505">
        <f t="shared" si="18"/>
        <v>0</v>
      </c>
      <c r="W20" s="449"/>
      <c r="X20" s="570"/>
      <c r="Y20" s="503">
        <f t="shared" si="8"/>
        <v>0</v>
      </c>
      <c r="Z20" s="505">
        <f t="shared" si="9"/>
        <v>0</v>
      </c>
      <c r="AA20" s="505">
        <f t="shared" si="10"/>
        <v>0</v>
      </c>
      <c r="AB20" s="571"/>
      <c r="AC20" s="138"/>
      <c r="AD20" s="571"/>
      <c r="AE20" s="221">
        <f t="shared" si="15"/>
        <v>0</v>
      </c>
      <c r="AF20" s="316">
        <f>'Lpg (2)'!B24*2000/85</f>
        <v>0</v>
      </c>
      <c r="AG20" s="317">
        <f>'Lpg (2)'!C24*1000/85</f>
        <v>0</v>
      </c>
      <c r="AH20" s="318">
        <f>'Lpg (2)'!D24*1000/85</f>
        <v>0</v>
      </c>
      <c r="AI20" s="508">
        <f t="shared" si="17"/>
        <v>0</v>
      </c>
      <c r="AJ20" s="507">
        <f t="shared" si="4"/>
        <v>0</v>
      </c>
      <c r="AK20" s="144"/>
    </row>
    <row r="21" spans="1:37" ht="19.5" thickBot="1">
      <c r="A21" s="95">
        <f>Gen!B26</f>
        <v>43998</v>
      </c>
      <c r="B21" s="498">
        <f>'Summery Report'!E20</f>
        <v>0</v>
      </c>
      <c r="C21" s="158">
        <f>Gen!C26</f>
        <v>0</v>
      </c>
      <c r="D21" s="499">
        <f>'Summery Report'!E20</f>
        <v>0</v>
      </c>
      <c r="E21" s="500">
        <f t="shared" si="13"/>
        <v>1.3262195121951219</v>
      </c>
      <c r="F21" s="501" t="e">
        <f t="shared" si="14"/>
        <v>#DIV/0!</v>
      </c>
      <c r="G21" s="501" t="e">
        <f t="shared" si="0"/>
        <v>#DIV/0!</v>
      </c>
      <c r="H21" s="500">
        <f>Gen!D26</f>
        <v>43574.25</v>
      </c>
      <c r="I21" s="502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2">
        <f>'Water-Meter'!K61</f>
        <v>0</v>
      </c>
      <c r="N21" s="203">
        <f>'Water-Meter'!E21</f>
        <v>0</v>
      </c>
      <c r="O21" s="214"/>
      <c r="P21" s="770"/>
      <c r="Q21" s="503">
        <f t="shared" si="2"/>
        <v>0</v>
      </c>
      <c r="R21" s="504">
        <f t="shared" si="5"/>
        <v>0</v>
      </c>
      <c r="S21" s="449"/>
      <c r="T21" s="572"/>
      <c r="U21" s="503">
        <f>T22-T20</f>
        <v>0</v>
      </c>
      <c r="V21" s="505">
        <f t="shared" si="18"/>
        <v>0</v>
      </c>
      <c r="W21" s="449"/>
      <c r="X21" s="570"/>
      <c r="Y21" s="503">
        <f t="shared" si="8"/>
        <v>0</v>
      </c>
      <c r="Z21" s="505">
        <f t="shared" si="9"/>
        <v>0</v>
      </c>
      <c r="AA21" s="505">
        <f t="shared" si="10"/>
        <v>0</v>
      </c>
      <c r="AB21" s="571"/>
      <c r="AC21" s="138">
        <f t="shared" si="11"/>
        <v>0</v>
      </c>
      <c r="AD21" s="571"/>
      <c r="AE21" s="221">
        <f t="shared" si="15"/>
        <v>0</v>
      </c>
      <c r="AF21" s="316">
        <f>'Lpg (2)'!B25*2000/85</f>
        <v>0</v>
      </c>
      <c r="AG21" s="317">
        <f>'Lpg (2)'!C25*1000/85</f>
        <v>0</v>
      </c>
      <c r="AH21" s="318">
        <f>'Lpg (2)'!D25*1000/85</f>
        <v>0</v>
      </c>
      <c r="AI21" s="508">
        <f t="shared" si="17"/>
        <v>0</v>
      </c>
      <c r="AJ21" s="507">
        <f t="shared" si="4"/>
        <v>0</v>
      </c>
      <c r="AK21" s="144"/>
    </row>
    <row r="22" spans="1:37" ht="19.5" thickBot="1">
      <c r="A22" s="95">
        <f>Gen!B27</f>
        <v>43999</v>
      </c>
      <c r="B22" s="498">
        <f>'Summery Report'!E21</f>
        <v>0</v>
      </c>
      <c r="C22" s="158">
        <f>Gen!C27</f>
        <v>0</v>
      </c>
      <c r="D22" s="499">
        <f>'Summery Report'!E21</f>
        <v>0</v>
      </c>
      <c r="E22" s="500">
        <f t="shared" si="13"/>
        <v>1.3262195121951219</v>
      </c>
      <c r="F22" s="501" t="e">
        <f t="shared" si="14"/>
        <v>#DIV/0!</v>
      </c>
      <c r="G22" s="501" t="e">
        <f t="shared" si="0"/>
        <v>#DIV/0!</v>
      </c>
      <c r="H22" s="500">
        <f>Gen!D27</f>
        <v>43574.25</v>
      </c>
      <c r="I22" s="502">
        <f>Gen!F27</f>
        <v>10000</v>
      </c>
      <c r="J22" s="142">
        <f>Gen!T27</f>
        <v>0</v>
      </c>
      <c r="K22" s="142">
        <f>Gen!AK27</f>
        <v>0</v>
      </c>
      <c r="L22" s="142">
        <f t="shared" si="1"/>
        <v>0</v>
      </c>
      <c r="M22" s="532">
        <f>'Water-Meter'!K62</f>
        <v>0</v>
      </c>
      <c r="N22" s="203">
        <f>'Water-Meter'!E22</f>
        <v>0</v>
      </c>
      <c r="O22" s="214"/>
      <c r="P22" s="770"/>
      <c r="Q22" s="503">
        <f t="shared" si="2"/>
        <v>0</v>
      </c>
      <c r="R22" s="504">
        <f t="shared" si="5"/>
        <v>0</v>
      </c>
      <c r="S22" s="449"/>
      <c r="T22" s="572"/>
      <c r="U22" s="503">
        <f t="shared" ref="U22:U23" si="19">T23-T21</f>
        <v>0</v>
      </c>
      <c r="V22" s="505">
        <f t="shared" si="18"/>
        <v>0</v>
      </c>
      <c r="W22" s="449"/>
      <c r="X22" s="570"/>
      <c r="Y22" s="503">
        <f t="shared" si="8"/>
        <v>0</v>
      </c>
      <c r="Z22" s="505">
        <f t="shared" si="9"/>
        <v>0</v>
      </c>
      <c r="AA22" s="505">
        <f t="shared" si="10"/>
        <v>0</v>
      </c>
      <c r="AB22" s="571"/>
      <c r="AC22" s="138">
        <f t="shared" si="11"/>
        <v>0</v>
      </c>
      <c r="AD22" s="771"/>
      <c r="AE22" s="221">
        <f t="shared" si="15"/>
        <v>0</v>
      </c>
      <c r="AF22" s="316">
        <f>'Lpg (2)'!B26*2000/85</f>
        <v>0</v>
      </c>
      <c r="AG22" s="317">
        <f>'Lpg (2)'!C26*1000/85</f>
        <v>0</v>
      </c>
      <c r="AH22" s="318">
        <f>'Lpg (2)'!D26*1000/85</f>
        <v>0</v>
      </c>
      <c r="AI22" s="508">
        <f t="shared" si="17"/>
        <v>0</v>
      </c>
      <c r="AJ22" s="507">
        <f t="shared" si="4"/>
        <v>0</v>
      </c>
      <c r="AK22" s="144"/>
    </row>
    <row r="23" spans="1:37" ht="19.5" thickBot="1">
      <c r="A23" s="95">
        <f>Gen!B28</f>
        <v>44000</v>
      </c>
      <c r="B23" s="498">
        <f>'Summery Report'!E22</f>
        <v>0</v>
      </c>
      <c r="C23" s="158">
        <f>Gen!C28</f>
        <v>0</v>
      </c>
      <c r="D23" s="499">
        <f>'Summery Report'!E22</f>
        <v>0</v>
      </c>
      <c r="E23" s="500">
        <f t="shared" si="13"/>
        <v>1.3262195121951219</v>
      </c>
      <c r="F23" s="501" t="e">
        <f t="shared" si="14"/>
        <v>#DIV/0!</v>
      </c>
      <c r="G23" s="501" t="e">
        <f t="shared" si="0"/>
        <v>#DIV/0!</v>
      </c>
      <c r="H23" s="500">
        <f>Gen!D28</f>
        <v>43574.25</v>
      </c>
      <c r="I23" s="502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2">
        <f>'Water-Meter'!K63</f>
        <v>0</v>
      </c>
      <c r="N23" s="203">
        <f>'Water-Meter'!E23</f>
        <v>0</v>
      </c>
      <c r="O23" s="214"/>
      <c r="P23" s="770"/>
      <c r="Q23" s="503">
        <f t="shared" si="2"/>
        <v>0</v>
      </c>
      <c r="R23" s="504">
        <f t="shared" si="5"/>
        <v>0</v>
      </c>
      <c r="S23" s="449"/>
      <c r="T23" s="572"/>
      <c r="U23" s="503">
        <f t="shared" si="19"/>
        <v>0</v>
      </c>
      <c r="V23" s="505">
        <f t="shared" si="18"/>
        <v>0</v>
      </c>
      <c r="W23" s="449"/>
      <c r="X23" s="570"/>
      <c r="Y23" s="503">
        <f t="shared" si="8"/>
        <v>0</v>
      </c>
      <c r="Z23" s="505">
        <f t="shared" si="9"/>
        <v>0</v>
      </c>
      <c r="AA23" s="505">
        <f t="shared" si="10"/>
        <v>0</v>
      </c>
      <c r="AB23" s="571"/>
      <c r="AC23" s="138">
        <f t="shared" si="11"/>
        <v>0</v>
      </c>
      <c r="AD23" s="770"/>
      <c r="AE23" s="221">
        <f t="shared" si="15"/>
        <v>0</v>
      </c>
      <c r="AF23" s="316">
        <f>'Lpg (2)'!B27*2000/85</f>
        <v>0</v>
      </c>
      <c r="AG23" s="317">
        <f>'Lpg (2)'!C27*1000/85</f>
        <v>0</v>
      </c>
      <c r="AH23" s="318">
        <f>'Lpg (2)'!D27*1000/85</f>
        <v>0</v>
      </c>
      <c r="AI23" s="508">
        <f t="shared" si="17"/>
        <v>0</v>
      </c>
      <c r="AJ23" s="507">
        <f t="shared" si="4"/>
        <v>0</v>
      </c>
      <c r="AK23" s="144"/>
    </row>
    <row r="24" spans="1:37" ht="19.5" thickBot="1">
      <c r="A24" s="95">
        <f>Gen!B29</f>
        <v>44001</v>
      </c>
      <c r="B24" s="498">
        <f>'Summery Report'!E23</f>
        <v>0</v>
      </c>
      <c r="C24" s="158">
        <f>Gen!C29</f>
        <v>0</v>
      </c>
      <c r="D24" s="499">
        <f>'Summery Report'!E23</f>
        <v>0</v>
      </c>
      <c r="E24" s="500">
        <f t="shared" si="13"/>
        <v>1.3262195121951219</v>
      </c>
      <c r="F24" s="501" t="e">
        <f t="shared" si="14"/>
        <v>#DIV/0!</v>
      </c>
      <c r="G24" s="501" t="e">
        <f t="shared" si="0"/>
        <v>#DIV/0!</v>
      </c>
      <c r="H24" s="500">
        <f>Gen!D29</f>
        <v>43574.25</v>
      </c>
      <c r="I24" s="502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2">
        <f>'Water-Meter'!K64</f>
        <v>0</v>
      </c>
      <c r="N24" s="203">
        <f>'Water-Meter'!E24</f>
        <v>0</v>
      </c>
      <c r="O24" s="214"/>
      <c r="P24" s="770"/>
      <c r="Q24" s="503">
        <f t="shared" si="2"/>
        <v>0</v>
      </c>
      <c r="R24" s="504">
        <f t="shared" si="5"/>
        <v>0</v>
      </c>
      <c r="S24" s="449"/>
      <c r="T24" s="572"/>
      <c r="U24" s="503">
        <f t="shared" si="6"/>
        <v>0</v>
      </c>
      <c r="V24" s="505">
        <f t="shared" si="18"/>
        <v>0</v>
      </c>
      <c r="W24" s="449"/>
      <c r="X24" s="570"/>
      <c r="Y24" s="503">
        <f t="shared" si="8"/>
        <v>0</v>
      </c>
      <c r="Z24" s="505">
        <f t="shared" si="9"/>
        <v>0</v>
      </c>
      <c r="AA24" s="505">
        <f t="shared" si="10"/>
        <v>0</v>
      </c>
      <c r="AB24" s="571"/>
      <c r="AC24" s="138">
        <f t="shared" si="11"/>
        <v>0</v>
      </c>
      <c r="AD24" s="770"/>
      <c r="AE24" s="221">
        <f t="shared" si="15"/>
        <v>0</v>
      </c>
      <c r="AF24" s="316">
        <f>'Lpg (2)'!B28*2000/85</f>
        <v>0</v>
      </c>
      <c r="AG24" s="317">
        <f>'Lpg (2)'!C28*1000/85</f>
        <v>0</v>
      </c>
      <c r="AH24" s="318">
        <f>'Lpg (2)'!D28*1000/85</f>
        <v>0</v>
      </c>
      <c r="AI24" s="508">
        <f t="shared" si="17"/>
        <v>0</v>
      </c>
      <c r="AJ24" s="507">
        <f t="shared" si="4"/>
        <v>0</v>
      </c>
      <c r="AK24" s="144"/>
    </row>
    <row r="25" spans="1:37" ht="19.5" thickBot="1">
      <c r="A25" s="95">
        <f>Gen!B30</f>
        <v>44002</v>
      </c>
      <c r="B25" s="498">
        <f>'Summery Report'!E24</f>
        <v>0</v>
      </c>
      <c r="C25" s="158">
        <f>Gen!C30</f>
        <v>0</v>
      </c>
      <c r="D25" s="499">
        <f>'Summery Report'!E24</f>
        <v>0</v>
      </c>
      <c r="E25" s="500">
        <f t="shared" si="13"/>
        <v>1.3262195121951219</v>
      </c>
      <c r="F25" s="501" t="e">
        <f t="shared" si="14"/>
        <v>#DIV/0!</v>
      </c>
      <c r="G25" s="501" t="e">
        <f t="shared" si="0"/>
        <v>#DIV/0!</v>
      </c>
      <c r="H25" s="500">
        <f>Gen!D30</f>
        <v>43574.25</v>
      </c>
      <c r="I25" s="502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2">
        <f>'Water-Meter'!K65</f>
        <v>0</v>
      </c>
      <c r="N25" s="203">
        <f>'Water-Meter'!E25</f>
        <v>0</v>
      </c>
      <c r="O25" s="214"/>
      <c r="P25" s="770"/>
      <c r="Q25" s="503">
        <f t="shared" si="2"/>
        <v>0</v>
      </c>
      <c r="R25" s="504">
        <f t="shared" si="5"/>
        <v>0</v>
      </c>
      <c r="S25" s="449"/>
      <c r="T25" s="572"/>
      <c r="U25" s="503">
        <f t="shared" si="6"/>
        <v>0</v>
      </c>
      <c r="V25" s="505">
        <f t="shared" si="18"/>
        <v>0</v>
      </c>
      <c r="W25" s="449"/>
      <c r="X25" s="570"/>
      <c r="Y25" s="503">
        <f t="shared" si="8"/>
        <v>0</v>
      </c>
      <c r="Z25" s="505">
        <f t="shared" si="9"/>
        <v>0</v>
      </c>
      <c r="AA25" s="505">
        <f t="shared" si="10"/>
        <v>0</v>
      </c>
      <c r="AB25" s="571"/>
      <c r="AC25" s="138">
        <f t="shared" si="11"/>
        <v>0</v>
      </c>
      <c r="AD25" s="770"/>
      <c r="AE25" s="221">
        <f t="shared" si="15"/>
        <v>0</v>
      </c>
      <c r="AF25" s="316">
        <f>'Lpg (2)'!B29*2000/85</f>
        <v>0</v>
      </c>
      <c r="AG25" s="317">
        <f>'Lpg (2)'!C29*1000/85</f>
        <v>0</v>
      </c>
      <c r="AH25" s="318">
        <f>'Lpg (2)'!D29*1000/85</f>
        <v>0</v>
      </c>
      <c r="AI25" s="508">
        <f t="shared" si="17"/>
        <v>0</v>
      </c>
      <c r="AJ25" s="507">
        <f t="shared" si="4"/>
        <v>0</v>
      </c>
      <c r="AK25" s="144"/>
    </row>
    <row r="26" spans="1:37" ht="19.5" thickBot="1">
      <c r="A26" s="95">
        <f>Gen!B31</f>
        <v>44003</v>
      </c>
      <c r="B26" s="498">
        <f>'Summery Report'!E25</f>
        <v>0</v>
      </c>
      <c r="C26" s="158">
        <f>Gen!C31</f>
        <v>0</v>
      </c>
      <c r="D26" s="499">
        <f>'Summery Report'!E25</f>
        <v>0</v>
      </c>
      <c r="E26" s="500">
        <f t="shared" si="13"/>
        <v>1.3262195121951219</v>
      </c>
      <c r="F26" s="501" t="e">
        <f>SUM(J26*E26)/D26</f>
        <v>#DIV/0!</v>
      </c>
      <c r="G26" s="501" t="e">
        <f t="shared" si="0"/>
        <v>#DIV/0!</v>
      </c>
      <c r="H26" s="500">
        <f>Gen!D31</f>
        <v>43574.25</v>
      </c>
      <c r="I26" s="502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2">
        <f>'Water-Meter'!K66</f>
        <v>0</v>
      </c>
      <c r="N26" s="203">
        <f>'Water-Meter'!E26</f>
        <v>0</v>
      </c>
      <c r="O26" s="214"/>
      <c r="P26" s="770"/>
      <c r="Q26" s="503">
        <f t="shared" si="2"/>
        <v>0</v>
      </c>
      <c r="R26" s="504">
        <f t="shared" si="5"/>
        <v>0</v>
      </c>
      <c r="S26" s="449"/>
      <c r="T26" s="572"/>
      <c r="U26" s="503">
        <f t="shared" si="6"/>
        <v>0</v>
      </c>
      <c r="V26" s="505">
        <f t="shared" si="18"/>
        <v>0</v>
      </c>
      <c r="W26" s="449"/>
      <c r="X26" s="570"/>
      <c r="Y26" s="503">
        <f t="shared" si="8"/>
        <v>0</v>
      </c>
      <c r="Z26" s="505">
        <f t="shared" si="9"/>
        <v>0</v>
      </c>
      <c r="AA26" s="505">
        <f t="shared" si="10"/>
        <v>0</v>
      </c>
      <c r="AB26" s="571"/>
      <c r="AC26" s="138">
        <f t="shared" si="11"/>
        <v>0</v>
      </c>
      <c r="AD26" s="770"/>
      <c r="AE26" s="221">
        <f t="shared" si="15"/>
        <v>0</v>
      </c>
      <c r="AF26" s="316">
        <f>'Lpg (2)'!B30*2000/85</f>
        <v>0</v>
      </c>
      <c r="AG26" s="317">
        <f>'Lpg (2)'!C30*1000/85</f>
        <v>0</v>
      </c>
      <c r="AH26" s="318">
        <f>'Lpg (2)'!D30*1000/85</f>
        <v>0</v>
      </c>
      <c r="AI26" s="508">
        <f t="shared" si="17"/>
        <v>0</v>
      </c>
      <c r="AJ26" s="507">
        <f t="shared" si="4"/>
        <v>0</v>
      </c>
      <c r="AK26" s="144"/>
    </row>
    <row r="27" spans="1:37" ht="19.5" thickBot="1">
      <c r="A27" s="95">
        <f>Gen!B32</f>
        <v>44004</v>
      </c>
      <c r="B27" s="498">
        <f>'Summery Report'!E26</f>
        <v>0</v>
      </c>
      <c r="C27" s="158">
        <f>Gen!C32</f>
        <v>0</v>
      </c>
      <c r="D27" s="499">
        <f>'Summery Report'!E26</f>
        <v>0</v>
      </c>
      <c r="E27" s="500">
        <f t="shared" si="13"/>
        <v>1.3262195121951219</v>
      </c>
      <c r="F27" s="501" t="e">
        <f t="shared" si="14"/>
        <v>#DIV/0!</v>
      </c>
      <c r="G27" s="501" t="e">
        <f t="shared" si="0"/>
        <v>#DIV/0!</v>
      </c>
      <c r="H27" s="500">
        <f>Gen!D32</f>
        <v>43574.25</v>
      </c>
      <c r="I27" s="502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2">
        <f>'Water-Meter'!K67</f>
        <v>0</v>
      </c>
      <c r="N27" s="203">
        <f>'Water-Meter'!E27</f>
        <v>0</v>
      </c>
      <c r="O27" s="214"/>
      <c r="P27" s="770"/>
      <c r="Q27" s="503">
        <f t="shared" si="2"/>
        <v>0</v>
      </c>
      <c r="R27" s="504">
        <f t="shared" si="5"/>
        <v>0</v>
      </c>
      <c r="S27" s="449"/>
      <c r="T27" s="572"/>
      <c r="U27" s="503">
        <f t="shared" si="6"/>
        <v>0</v>
      </c>
      <c r="V27" s="505">
        <f t="shared" si="18"/>
        <v>0</v>
      </c>
      <c r="W27" s="449"/>
      <c r="X27" s="570"/>
      <c r="Y27" s="503">
        <f t="shared" si="8"/>
        <v>0</v>
      </c>
      <c r="Z27" s="505">
        <f t="shared" si="9"/>
        <v>0</v>
      </c>
      <c r="AA27" s="505">
        <f t="shared" si="10"/>
        <v>0</v>
      </c>
      <c r="AB27" s="571"/>
      <c r="AC27" s="138">
        <f t="shared" si="11"/>
        <v>0</v>
      </c>
      <c r="AD27" s="770"/>
      <c r="AE27" s="221">
        <f t="shared" si="15"/>
        <v>0</v>
      </c>
      <c r="AF27" s="316">
        <f>'Lpg (2)'!B31*2000/85</f>
        <v>0</v>
      </c>
      <c r="AG27" s="317">
        <f>'Lpg (2)'!C31*1000/85</f>
        <v>0</v>
      </c>
      <c r="AH27" s="318">
        <f>'Lpg (2)'!D31*1000/85</f>
        <v>0</v>
      </c>
      <c r="AI27" s="508">
        <f t="shared" si="17"/>
        <v>0</v>
      </c>
      <c r="AJ27" s="507">
        <f t="shared" si="4"/>
        <v>0</v>
      </c>
      <c r="AK27" s="144"/>
    </row>
    <row r="28" spans="1:37" ht="19.5" thickBot="1">
      <c r="A28" s="95">
        <f>Gen!B33</f>
        <v>44005</v>
      </c>
      <c r="B28" s="498">
        <f>'Summery Report'!E27</f>
        <v>0</v>
      </c>
      <c r="C28" s="158">
        <f>Gen!C33</f>
        <v>0</v>
      </c>
      <c r="D28" s="499">
        <f>'Summery Report'!E27</f>
        <v>0</v>
      </c>
      <c r="E28" s="500">
        <f t="shared" si="13"/>
        <v>1.3262195121951219</v>
      </c>
      <c r="F28" s="501" t="e">
        <f t="shared" si="14"/>
        <v>#DIV/0!</v>
      </c>
      <c r="G28" s="501" t="e">
        <f t="shared" si="0"/>
        <v>#DIV/0!</v>
      </c>
      <c r="H28" s="500">
        <f>Gen!D33</f>
        <v>43574.25</v>
      </c>
      <c r="I28" s="502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2">
        <f>'Water-Meter'!K68</f>
        <v>0</v>
      </c>
      <c r="N28" s="203">
        <f>'Water-Meter'!E28</f>
        <v>0</v>
      </c>
      <c r="O28" s="214"/>
      <c r="P28" s="770"/>
      <c r="Q28" s="503">
        <f t="shared" si="2"/>
        <v>0</v>
      </c>
      <c r="R28" s="504">
        <f t="shared" si="5"/>
        <v>0</v>
      </c>
      <c r="S28" s="449"/>
      <c r="T28" s="572"/>
      <c r="U28" s="503">
        <f t="shared" si="6"/>
        <v>0</v>
      </c>
      <c r="V28" s="505">
        <f t="shared" si="18"/>
        <v>0</v>
      </c>
      <c r="W28" s="449"/>
      <c r="X28" s="570"/>
      <c r="Y28" s="503">
        <f t="shared" si="8"/>
        <v>0</v>
      </c>
      <c r="Z28" s="505">
        <f t="shared" si="9"/>
        <v>0</v>
      </c>
      <c r="AA28" s="505">
        <f t="shared" si="10"/>
        <v>0</v>
      </c>
      <c r="AB28" s="571"/>
      <c r="AC28" s="138">
        <f t="shared" ref="AC28:AC37" si="20">SUM(AB28-AB27)</f>
        <v>0</v>
      </c>
      <c r="AD28" s="770"/>
      <c r="AE28" s="221">
        <f t="shared" si="15"/>
        <v>0</v>
      </c>
      <c r="AF28" s="316">
        <f>'Lpg (2)'!B32*2000/85</f>
        <v>0</v>
      </c>
      <c r="AG28" s="317">
        <f>'Lpg (2)'!C32*1000/85</f>
        <v>0</v>
      </c>
      <c r="AH28" s="318">
        <f>'Lpg (2)'!D32*1000/85</f>
        <v>0</v>
      </c>
      <c r="AI28" s="508">
        <f t="shared" si="17"/>
        <v>0</v>
      </c>
      <c r="AJ28" s="507">
        <f t="shared" si="4"/>
        <v>0</v>
      </c>
      <c r="AK28" s="144"/>
    </row>
    <row r="29" spans="1:37" ht="19.5" thickBot="1">
      <c r="A29" s="95">
        <f>Gen!B34</f>
        <v>44006</v>
      </c>
      <c r="B29" s="498">
        <f>'Summery Report'!E28</f>
        <v>0</v>
      </c>
      <c r="C29" s="158">
        <f>Gen!C34</f>
        <v>0</v>
      </c>
      <c r="D29" s="499">
        <f>'Summery Report'!E28</f>
        <v>0</v>
      </c>
      <c r="E29" s="500">
        <f t="shared" si="13"/>
        <v>1.3262195121951219</v>
      </c>
      <c r="F29" s="501" t="e">
        <f t="shared" si="14"/>
        <v>#DIV/0!</v>
      </c>
      <c r="G29" s="501" t="e">
        <f t="shared" si="0"/>
        <v>#DIV/0!</v>
      </c>
      <c r="H29" s="500">
        <f>Gen!D34</f>
        <v>43574.25</v>
      </c>
      <c r="I29" s="502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2">
        <f>'Water-Meter'!K69</f>
        <v>0</v>
      </c>
      <c r="N29" s="203">
        <f>'Water-Meter'!E29</f>
        <v>0</v>
      </c>
      <c r="O29" s="214"/>
      <c r="P29" s="770"/>
      <c r="Q29" s="503">
        <f t="shared" si="2"/>
        <v>0</v>
      </c>
      <c r="R29" s="504">
        <f t="shared" si="5"/>
        <v>0</v>
      </c>
      <c r="S29" s="449"/>
      <c r="T29" s="572"/>
      <c r="U29" s="503">
        <f t="shared" si="6"/>
        <v>0</v>
      </c>
      <c r="V29" s="505">
        <f t="shared" si="18"/>
        <v>0</v>
      </c>
      <c r="W29" s="449"/>
      <c r="X29" s="570"/>
      <c r="Y29" s="503">
        <f t="shared" si="8"/>
        <v>0</v>
      </c>
      <c r="Z29" s="505">
        <f t="shared" si="9"/>
        <v>0</v>
      </c>
      <c r="AA29" s="505">
        <f t="shared" si="10"/>
        <v>0</v>
      </c>
      <c r="AB29" s="571"/>
      <c r="AC29" s="138">
        <f t="shared" si="20"/>
        <v>0</v>
      </c>
      <c r="AD29" s="770"/>
      <c r="AE29" s="221">
        <f t="shared" si="15"/>
        <v>0</v>
      </c>
      <c r="AF29" s="316">
        <f>'Lpg (2)'!B33*2000/85</f>
        <v>0</v>
      </c>
      <c r="AG29" s="317">
        <f>'Lpg (2)'!C33*1000/85</f>
        <v>0</v>
      </c>
      <c r="AH29" s="318">
        <f>'Lpg (2)'!D33*1000/85</f>
        <v>0</v>
      </c>
      <c r="AI29" s="508">
        <f t="shared" si="17"/>
        <v>0</v>
      </c>
      <c r="AJ29" s="507">
        <f t="shared" si="4"/>
        <v>0</v>
      </c>
      <c r="AK29" s="144"/>
    </row>
    <row r="30" spans="1:37" ht="19.5" thickBot="1">
      <c r="A30" s="95">
        <f>Gen!B35</f>
        <v>44007</v>
      </c>
      <c r="B30" s="498">
        <f>'Summery Report'!E29</f>
        <v>0</v>
      </c>
      <c r="C30" s="158">
        <f>Gen!C35</f>
        <v>0</v>
      </c>
      <c r="D30" s="499">
        <f>'Summery Report'!E29</f>
        <v>0</v>
      </c>
      <c r="E30" s="500">
        <f t="shared" si="13"/>
        <v>1.3262195121951219</v>
      </c>
      <c r="F30" s="501" t="e">
        <f t="shared" si="14"/>
        <v>#DIV/0!</v>
      </c>
      <c r="G30" s="501" t="e">
        <f t="shared" si="0"/>
        <v>#DIV/0!</v>
      </c>
      <c r="H30" s="500">
        <f>Gen!D35</f>
        <v>43574.25</v>
      </c>
      <c r="I30" s="502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2">
        <f>'Water-Meter'!K70</f>
        <v>0</v>
      </c>
      <c r="N30" s="203">
        <f>'Water-Meter'!E30</f>
        <v>0</v>
      </c>
      <c r="O30" s="214"/>
      <c r="P30" s="770"/>
      <c r="Q30" s="503">
        <f t="shared" si="2"/>
        <v>0</v>
      </c>
      <c r="R30" s="504">
        <f t="shared" si="5"/>
        <v>0</v>
      </c>
      <c r="S30" s="449"/>
      <c r="T30" s="572"/>
      <c r="U30" s="503">
        <f t="shared" si="6"/>
        <v>0</v>
      </c>
      <c r="V30" s="505">
        <f t="shared" si="18"/>
        <v>0</v>
      </c>
      <c r="W30" s="449"/>
      <c r="X30" s="570"/>
      <c r="Y30" s="503">
        <f t="shared" si="8"/>
        <v>0</v>
      </c>
      <c r="Z30" s="505">
        <f t="shared" si="9"/>
        <v>0</v>
      </c>
      <c r="AA30" s="505">
        <f t="shared" si="10"/>
        <v>0</v>
      </c>
      <c r="AB30" s="571"/>
      <c r="AC30" s="138">
        <f t="shared" si="20"/>
        <v>0</v>
      </c>
      <c r="AD30" s="770"/>
      <c r="AE30" s="221">
        <f t="shared" si="15"/>
        <v>0</v>
      </c>
      <c r="AF30" s="316">
        <f>'Lpg (2)'!B34*2000/85</f>
        <v>0</v>
      </c>
      <c r="AG30" s="317">
        <f>'Lpg (2)'!C34*1000/85</f>
        <v>0</v>
      </c>
      <c r="AH30" s="318">
        <f>'Lpg (2)'!D34*1000/85</f>
        <v>0</v>
      </c>
      <c r="AI30" s="508">
        <f t="shared" si="17"/>
        <v>0</v>
      </c>
      <c r="AJ30" s="507">
        <f t="shared" si="4"/>
        <v>0</v>
      </c>
      <c r="AK30" s="144"/>
    </row>
    <row r="31" spans="1:37" ht="19.5" thickBot="1">
      <c r="A31" s="95">
        <f>Gen!B36</f>
        <v>44008</v>
      </c>
      <c r="B31" s="498">
        <f>'Summery Report'!E30</f>
        <v>0</v>
      </c>
      <c r="C31" s="158">
        <f>Gen!C36</f>
        <v>0</v>
      </c>
      <c r="D31" s="499">
        <f>'Summery Report'!E30</f>
        <v>0</v>
      </c>
      <c r="E31" s="500">
        <f t="shared" si="13"/>
        <v>1.3262195121951219</v>
      </c>
      <c r="F31" s="501" t="e">
        <f t="shared" si="14"/>
        <v>#DIV/0!</v>
      </c>
      <c r="G31" s="501" t="e">
        <f t="shared" si="0"/>
        <v>#DIV/0!</v>
      </c>
      <c r="H31" s="500">
        <f>Gen!D36</f>
        <v>43574.25</v>
      </c>
      <c r="I31" s="502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2">
        <f>'Water-Meter'!K71</f>
        <v>0</v>
      </c>
      <c r="N31" s="203">
        <f>'Water-Meter'!E31</f>
        <v>0</v>
      </c>
      <c r="O31" s="214"/>
      <c r="P31" s="770"/>
      <c r="Q31" s="503">
        <f t="shared" si="2"/>
        <v>0</v>
      </c>
      <c r="R31" s="504">
        <f t="shared" si="5"/>
        <v>0</v>
      </c>
      <c r="S31" s="449"/>
      <c r="T31" s="572"/>
      <c r="U31" s="503">
        <f t="shared" si="6"/>
        <v>0</v>
      </c>
      <c r="V31" s="505">
        <f t="shared" si="18"/>
        <v>0</v>
      </c>
      <c r="W31" s="449"/>
      <c r="X31" s="573"/>
      <c r="Y31" s="503">
        <f t="shared" si="8"/>
        <v>0</v>
      </c>
      <c r="Z31" s="505">
        <f t="shared" si="9"/>
        <v>0</v>
      </c>
      <c r="AA31" s="505">
        <f t="shared" si="10"/>
        <v>0</v>
      </c>
      <c r="AB31" s="571"/>
      <c r="AC31" s="138">
        <f t="shared" si="20"/>
        <v>0</v>
      </c>
      <c r="AD31" s="770"/>
      <c r="AE31" s="221">
        <f t="shared" si="15"/>
        <v>0</v>
      </c>
      <c r="AF31" s="316">
        <f>'Lpg (2)'!B35*2000/85</f>
        <v>0</v>
      </c>
      <c r="AG31" s="317">
        <f>'Lpg (2)'!C35*1000/85</f>
        <v>0</v>
      </c>
      <c r="AH31" s="318">
        <f>'Lpg (2)'!D35*1000/85</f>
        <v>0</v>
      </c>
      <c r="AI31" s="508">
        <f t="shared" si="17"/>
        <v>0</v>
      </c>
      <c r="AJ31" s="507">
        <f t="shared" si="4"/>
        <v>0</v>
      </c>
      <c r="AK31" s="144"/>
    </row>
    <row r="32" spans="1:37" ht="19.5" thickBot="1">
      <c r="A32" s="95">
        <f>Gen!B37</f>
        <v>44009</v>
      </c>
      <c r="B32" s="498">
        <f>'Summery Report'!E31</f>
        <v>0</v>
      </c>
      <c r="C32" s="158">
        <f>Gen!C37</f>
        <v>0</v>
      </c>
      <c r="D32" s="499">
        <f>'Summery Report'!E31</f>
        <v>0</v>
      </c>
      <c r="E32" s="500">
        <f t="shared" si="13"/>
        <v>1.3262195121951219</v>
      </c>
      <c r="F32" s="501" t="e">
        <f t="shared" si="14"/>
        <v>#DIV/0!</v>
      </c>
      <c r="G32" s="501" t="e">
        <f t="shared" si="0"/>
        <v>#DIV/0!</v>
      </c>
      <c r="H32" s="500">
        <f>Gen!D37</f>
        <v>43574.25</v>
      </c>
      <c r="I32" s="502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2">
        <f>'Water-Meter'!K72</f>
        <v>0</v>
      </c>
      <c r="N32" s="203">
        <f>'Water-Meter'!E32</f>
        <v>0</v>
      </c>
      <c r="O32" s="214"/>
      <c r="P32" s="770"/>
      <c r="Q32" s="503">
        <f t="shared" si="2"/>
        <v>0</v>
      </c>
      <c r="R32" s="504">
        <f t="shared" si="5"/>
        <v>0</v>
      </c>
      <c r="S32" s="449"/>
      <c r="T32" s="572"/>
      <c r="U32" s="503">
        <f t="shared" si="6"/>
        <v>0</v>
      </c>
      <c r="V32" s="505">
        <f t="shared" si="18"/>
        <v>0</v>
      </c>
      <c r="W32" s="449"/>
      <c r="X32" s="570"/>
      <c r="Y32" s="503">
        <f t="shared" si="8"/>
        <v>0</v>
      </c>
      <c r="Z32" s="505">
        <f t="shared" si="9"/>
        <v>0</v>
      </c>
      <c r="AA32" s="505">
        <f t="shared" si="10"/>
        <v>0</v>
      </c>
      <c r="AB32" s="571"/>
      <c r="AC32" s="138">
        <f t="shared" si="20"/>
        <v>0</v>
      </c>
      <c r="AD32" s="770"/>
      <c r="AE32" s="221">
        <f t="shared" si="15"/>
        <v>0</v>
      </c>
      <c r="AF32" s="316">
        <f>'Lpg (2)'!B36*2000/85</f>
        <v>0</v>
      </c>
      <c r="AG32" s="317">
        <f>'Lpg (2)'!C36*1000/85</f>
        <v>0</v>
      </c>
      <c r="AH32" s="318">
        <f>'Lpg (2)'!D36*1000/85</f>
        <v>0</v>
      </c>
      <c r="AI32" s="508">
        <f t="shared" si="17"/>
        <v>0</v>
      </c>
      <c r="AJ32" s="507">
        <f t="shared" si="4"/>
        <v>0</v>
      </c>
      <c r="AK32" s="144"/>
    </row>
    <row r="33" spans="1:37" ht="19.5" thickBot="1">
      <c r="A33" s="95">
        <f>Gen!B38</f>
        <v>44010</v>
      </c>
      <c r="B33" s="498">
        <f>'Summery Report'!E32</f>
        <v>0</v>
      </c>
      <c r="C33" s="158">
        <f>Gen!C38</f>
        <v>0</v>
      </c>
      <c r="D33" s="499">
        <f>'Summery Report'!E32</f>
        <v>0</v>
      </c>
      <c r="E33" s="500">
        <f t="shared" si="13"/>
        <v>1.3262195121951219</v>
      </c>
      <c r="F33" s="501" t="e">
        <f t="shared" si="14"/>
        <v>#DIV/0!</v>
      </c>
      <c r="G33" s="501" t="e">
        <f t="shared" si="0"/>
        <v>#DIV/0!</v>
      </c>
      <c r="H33" s="500">
        <f>Gen!D38</f>
        <v>43574.25</v>
      </c>
      <c r="I33" s="502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2">
        <f>'Water-Meter'!K73</f>
        <v>0</v>
      </c>
      <c r="N33" s="203">
        <f>'Water-Meter'!E33</f>
        <v>0</v>
      </c>
      <c r="O33" s="214"/>
      <c r="P33" s="770"/>
      <c r="Q33" s="503">
        <f t="shared" si="2"/>
        <v>0</v>
      </c>
      <c r="R33" s="504">
        <f t="shared" si="5"/>
        <v>0</v>
      </c>
      <c r="S33" s="449"/>
      <c r="T33" s="572"/>
      <c r="U33" s="503">
        <f t="shared" si="6"/>
        <v>0</v>
      </c>
      <c r="V33" s="505">
        <f t="shared" si="18"/>
        <v>0</v>
      </c>
      <c r="W33" s="449"/>
      <c r="X33" s="570"/>
      <c r="Y33" s="503">
        <f t="shared" si="8"/>
        <v>0</v>
      </c>
      <c r="Z33" s="505">
        <f t="shared" si="9"/>
        <v>0</v>
      </c>
      <c r="AA33" s="505">
        <f t="shared" si="10"/>
        <v>0</v>
      </c>
      <c r="AB33" s="571"/>
      <c r="AC33" s="138">
        <f t="shared" si="20"/>
        <v>0</v>
      </c>
      <c r="AD33" s="770"/>
      <c r="AE33" s="221">
        <f t="shared" si="15"/>
        <v>0</v>
      </c>
      <c r="AF33" s="316">
        <f>'Lpg (2)'!B37*2000/85</f>
        <v>0</v>
      </c>
      <c r="AG33" s="317">
        <f>'Lpg (2)'!C37*1000/85</f>
        <v>0</v>
      </c>
      <c r="AH33" s="318">
        <f>'Lpg (2)'!D37*1000/85</f>
        <v>0</v>
      </c>
      <c r="AI33" s="508">
        <f t="shared" si="17"/>
        <v>0</v>
      </c>
      <c r="AJ33" s="507">
        <f t="shared" si="4"/>
        <v>0</v>
      </c>
      <c r="AK33" s="144"/>
    </row>
    <row r="34" spans="1:37" ht="19.5" thickBot="1">
      <c r="A34" s="95">
        <f>Gen!B39</f>
        <v>44011</v>
      </c>
      <c r="B34" s="498">
        <f>'Summery Report'!E33</f>
        <v>0</v>
      </c>
      <c r="C34" s="158">
        <f>Gen!C39</f>
        <v>0</v>
      </c>
      <c r="D34" s="499">
        <f>'Summery Report'!E33</f>
        <v>0</v>
      </c>
      <c r="E34" s="500">
        <f t="shared" si="13"/>
        <v>1.3262195121951219</v>
      </c>
      <c r="F34" s="501" t="e">
        <f t="shared" si="14"/>
        <v>#DIV/0!</v>
      </c>
      <c r="G34" s="501" t="e">
        <f t="shared" si="0"/>
        <v>#DIV/0!</v>
      </c>
      <c r="H34" s="500">
        <f>Gen!D39</f>
        <v>43574.25</v>
      </c>
      <c r="I34" s="502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2">
        <f>'Water-Meter'!K74</f>
        <v>0</v>
      </c>
      <c r="N34" s="203">
        <f>'Water-Meter'!E34</f>
        <v>0</v>
      </c>
      <c r="O34" s="214"/>
      <c r="P34" s="770"/>
      <c r="Q34" s="503">
        <f t="shared" si="2"/>
        <v>0</v>
      </c>
      <c r="R34" s="504">
        <f t="shared" si="5"/>
        <v>0</v>
      </c>
      <c r="S34" s="449"/>
      <c r="T34" s="572"/>
      <c r="U34" s="503">
        <f t="shared" si="6"/>
        <v>0</v>
      </c>
      <c r="V34" s="505">
        <f t="shared" si="18"/>
        <v>0</v>
      </c>
      <c r="W34" s="449"/>
      <c r="X34" s="570"/>
      <c r="Y34" s="503">
        <f t="shared" si="8"/>
        <v>0</v>
      </c>
      <c r="Z34" s="505">
        <f t="shared" si="9"/>
        <v>0</v>
      </c>
      <c r="AA34" s="505">
        <f t="shared" si="10"/>
        <v>0</v>
      </c>
      <c r="AB34" s="571"/>
      <c r="AC34" s="138">
        <f t="shared" si="20"/>
        <v>0</v>
      </c>
      <c r="AD34" s="770"/>
      <c r="AE34" s="221">
        <f t="shared" si="15"/>
        <v>0</v>
      </c>
      <c r="AF34" s="316">
        <f>'Lpg (2)'!B38*2000/85</f>
        <v>0</v>
      </c>
      <c r="AG34" s="317">
        <f>'Lpg (2)'!C38*1000/85</f>
        <v>0</v>
      </c>
      <c r="AH34" s="318">
        <f>'Lpg (2)'!D38*1000/85</f>
        <v>0</v>
      </c>
      <c r="AI34" s="508">
        <f t="shared" si="17"/>
        <v>0</v>
      </c>
      <c r="AJ34" s="507">
        <f t="shared" si="4"/>
        <v>0</v>
      </c>
      <c r="AK34" s="144"/>
    </row>
    <row r="35" spans="1:37" ht="19.5" thickBot="1">
      <c r="A35" s="95">
        <f>Gen!B40</f>
        <v>44012</v>
      </c>
      <c r="B35" s="498">
        <f>'Summery Report'!E34</f>
        <v>0</v>
      </c>
      <c r="C35" s="158">
        <f>Gen!C40</f>
        <v>0</v>
      </c>
      <c r="D35" s="499">
        <f>'Summery Report'!E34</f>
        <v>0</v>
      </c>
      <c r="E35" s="500">
        <f t="shared" si="13"/>
        <v>1.3262195121951219</v>
      </c>
      <c r="F35" s="501" t="e">
        <f t="shared" si="14"/>
        <v>#DIV/0!</v>
      </c>
      <c r="G35" s="501" t="e">
        <f t="shared" si="0"/>
        <v>#DIV/0!</v>
      </c>
      <c r="H35" s="500">
        <f>Gen!D40</f>
        <v>43574.25</v>
      </c>
      <c r="I35" s="502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532">
        <f>'Water-Meter'!K75</f>
        <v>0</v>
      </c>
      <c r="N35" s="203">
        <f>'Water-Meter'!E35</f>
        <v>0</v>
      </c>
      <c r="O35" s="214"/>
      <c r="P35" s="770"/>
      <c r="Q35" s="503">
        <f t="shared" si="2"/>
        <v>0</v>
      </c>
      <c r="R35" s="504">
        <f t="shared" si="5"/>
        <v>0</v>
      </c>
      <c r="S35" s="449"/>
      <c r="T35" s="572"/>
      <c r="U35" s="503">
        <f t="shared" si="6"/>
        <v>0</v>
      </c>
      <c r="V35" s="505">
        <f t="shared" si="18"/>
        <v>0</v>
      </c>
      <c r="W35" s="449"/>
      <c r="X35" s="570"/>
      <c r="Y35" s="503">
        <f t="shared" si="8"/>
        <v>0</v>
      </c>
      <c r="Z35" s="505">
        <f t="shared" si="9"/>
        <v>0</v>
      </c>
      <c r="AA35" s="505">
        <f t="shared" si="10"/>
        <v>0</v>
      </c>
      <c r="AB35" s="571"/>
      <c r="AC35" s="138">
        <f t="shared" si="20"/>
        <v>0</v>
      </c>
      <c r="AD35" s="770"/>
      <c r="AE35" s="221">
        <f t="shared" si="15"/>
        <v>0</v>
      </c>
      <c r="AF35" s="316">
        <f>'Lpg (2)'!B39*2000/85</f>
        <v>0</v>
      </c>
      <c r="AG35" s="317">
        <f>'Lpg (2)'!C39*1000/85</f>
        <v>0</v>
      </c>
      <c r="AH35" s="318">
        <f>'Lpg (2)'!D39*1000/85</f>
        <v>0</v>
      </c>
      <c r="AI35" s="508">
        <f t="shared" si="17"/>
        <v>0</v>
      </c>
      <c r="AJ35" s="507">
        <f t="shared" si="4"/>
        <v>0</v>
      </c>
      <c r="AK35" s="146"/>
    </row>
    <row r="36" spans="1:37" ht="19.5" thickBot="1">
      <c r="A36" s="95">
        <f>Gen!B41</f>
        <v>44013</v>
      </c>
      <c r="B36" s="498">
        <f>'Summery Report'!E35</f>
        <v>0</v>
      </c>
      <c r="C36" s="158">
        <f>Gen!C41</f>
        <v>0</v>
      </c>
      <c r="D36" s="499">
        <f>'Summery Report'!E35</f>
        <v>0</v>
      </c>
      <c r="E36" s="500">
        <f t="shared" si="13"/>
        <v>1.3262195121951219</v>
      </c>
      <c r="F36" s="501" t="e">
        <f t="shared" si="14"/>
        <v>#DIV/0!</v>
      </c>
      <c r="G36" s="501" t="e">
        <f t="shared" si="0"/>
        <v>#DIV/0!</v>
      </c>
      <c r="H36" s="500">
        <f>Gen!D41</f>
        <v>43574.25</v>
      </c>
      <c r="I36" s="502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2">
        <f>'Water-Meter'!K76</f>
        <v>0</v>
      </c>
      <c r="N36" s="203">
        <f>'Water-Meter'!E36</f>
        <v>0</v>
      </c>
      <c r="O36" s="214"/>
      <c r="P36" s="449"/>
      <c r="Q36" s="503">
        <f t="shared" si="2"/>
        <v>0</v>
      </c>
      <c r="R36" s="504">
        <f t="shared" si="5"/>
        <v>0</v>
      </c>
      <c r="S36" s="449"/>
      <c r="T36" s="572"/>
      <c r="U36" s="503">
        <f t="shared" si="6"/>
        <v>0</v>
      </c>
      <c r="V36" s="505">
        <f t="shared" si="18"/>
        <v>0</v>
      </c>
      <c r="W36" s="449"/>
      <c r="X36" s="570"/>
      <c r="Y36" s="503">
        <f t="shared" si="8"/>
        <v>0</v>
      </c>
      <c r="Z36" s="505">
        <f t="shared" si="9"/>
        <v>0</v>
      </c>
      <c r="AA36" s="505">
        <f t="shared" si="10"/>
        <v>0</v>
      </c>
      <c r="AB36" s="571"/>
      <c r="AC36" s="138">
        <f t="shared" si="20"/>
        <v>0</v>
      </c>
      <c r="AD36" s="770"/>
      <c r="AE36" s="221">
        <f t="shared" si="15"/>
        <v>0</v>
      </c>
      <c r="AF36" s="316">
        <f>'Lpg (2)'!B40*2000/85</f>
        <v>0</v>
      </c>
      <c r="AG36" s="317">
        <f>'Lpg (2)'!C40*1000/85</f>
        <v>0</v>
      </c>
      <c r="AH36" s="318">
        <f>'Lpg (2)'!D40*1000/85</f>
        <v>0</v>
      </c>
      <c r="AI36" s="509">
        <f>SUM(AF36*1000)+(AG36*1000)+(AH36*2000)</f>
        <v>0</v>
      </c>
      <c r="AJ36" s="510">
        <f t="shared" si="4"/>
        <v>0</v>
      </c>
      <c r="AK36" s="146"/>
    </row>
    <row r="37" spans="1:37" s="9" customFormat="1" ht="15.75" thickBot="1">
      <c r="A37" s="95">
        <f>Gen!B42</f>
        <v>44014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3485.6900000000005</v>
      </c>
      <c r="K37" s="165"/>
      <c r="L37" s="142">
        <f t="shared" si="1"/>
        <v>3485.6900000000005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1"/>
      <c r="AB37" s="167"/>
      <c r="AC37" s="138">
        <f t="shared" si="20"/>
        <v>0</v>
      </c>
      <c r="AD37" s="772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2"/>
    </row>
    <row r="44" spans="1:37" ht="15">
      <c r="C44" s="140"/>
      <c r="J44" s="140"/>
      <c r="X44" s="513"/>
    </row>
    <row r="45" spans="1:37" ht="15">
      <c r="C45" s="140"/>
      <c r="J45" s="140"/>
      <c r="X45" s="512"/>
    </row>
    <row r="46" spans="1:37" ht="15">
      <c r="C46" s="140"/>
      <c r="J46" s="140"/>
      <c r="X46" s="513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4"/>
    </row>
    <row r="67" spans="3:24" ht="15">
      <c r="C67" s="140"/>
      <c r="J67" s="140"/>
      <c r="X67" s="515"/>
    </row>
    <row r="68" spans="3:24" ht="15">
      <c r="C68" s="140"/>
      <c r="J68" s="140"/>
      <c r="X68" s="515"/>
    </row>
    <row r="69" spans="3:24" ht="15">
      <c r="C69" s="140"/>
      <c r="J69" s="140"/>
      <c r="X69" s="515"/>
    </row>
    <row r="70" spans="3:24" ht="15">
      <c r="C70" s="140"/>
      <c r="J70" s="140"/>
      <c r="X70" s="515"/>
    </row>
    <row r="71" spans="3:24" ht="15">
      <c r="C71" s="140"/>
      <c r="J71" s="140"/>
      <c r="X71" s="515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abSelected="1" zoomScale="70" zoomScaleNormal="70" workbookViewId="0">
      <selection activeCell="W13" sqref="W1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8" t="s">
        <v>150</v>
      </c>
      <c r="C1" s="799"/>
      <c r="D1" s="799"/>
      <c r="E1" s="799"/>
      <c r="F1" s="800"/>
      <c r="G1" s="189"/>
      <c r="H1" s="798" t="s">
        <v>151</v>
      </c>
      <c r="I1" s="799"/>
      <c r="J1" s="799"/>
      <c r="K1" s="799"/>
      <c r="L1" s="800"/>
      <c r="M1" s="798" t="s">
        <v>170</v>
      </c>
      <c r="N1" s="799"/>
      <c r="O1" s="799"/>
      <c r="P1" s="799"/>
      <c r="Q1" s="800"/>
      <c r="R1" s="189"/>
      <c r="T1" s="798" t="s">
        <v>166</v>
      </c>
      <c r="U1" s="799"/>
      <c r="V1" s="799"/>
      <c r="W1" s="799"/>
      <c r="X1" s="800"/>
      <c r="Y1" s="798" t="s">
        <v>169</v>
      </c>
      <c r="Z1" s="799"/>
      <c r="AA1" s="799"/>
      <c r="AB1" s="799"/>
      <c r="AC1" s="800"/>
    </row>
    <row r="2" spans="1:29" ht="45.75" thickBot="1">
      <c r="A2" s="715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3" t="s">
        <v>161</v>
      </c>
      <c r="S2" s="74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6">
        <v>43770</v>
      </c>
      <c r="B3" s="801" t="s">
        <v>156</v>
      </c>
      <c r="C3" s="802"/>
      <c r="D3" s="198"/>
      <c r="E3" s="709">
        <v>8693.2000000000007</v>
      </c>
      <c r="F3" s="717" t="s">
        <v>157</v>
      </c>
      <c r="G3" s="718"/>
      <c r="H3" s="801" t="s">
        <v>156</v>
      </c>
      <c r="I3" s="802"/>
      <c r="J3" s="290"/>
      <c r="K3" s="719">
        <f>'Water-Meter'!G5</f>
        <v>38000</v>
      </c>
      <c r="L3" s="290"/>
      <c r="M3" s="801" t="s">
        <v>156</v>
      </c>
      <c r="N3" s="802"/>
      <c r="O3" s="198"/>
      <c r="P3" s="720">
        <f>'Water-Meter'!J5</f>
        <v>7924</v>
      </c>
      <c r="Q3" s="197"/>
      <c r="R3" s="706"/>
      <c r="S3" s="707"/>
      <c r="T3" s="801" t="s">
        <v>156</v>
      </c>
      <c r="U3" s="802"/>
      <c r="V3" s="198"/>
      <c r="W3" s="710">
        <v>7806.3</v>
      </c>
      <c r="X3" s="721">
        <f t="shared" ref="X3:X35" si="0">(W3-V3)*200</f>
        <v>1561260</v>
      </c>
      <c r="Y3" s="801" t="s">
        <v>156</v>
      </c>
      <c r="Z3" s="802"/>
      <c r="AA3" s="198"/>
      <c r="AB3" s="201">
        <f>'Water-Meter'!P5</f>
        <v>20149</v>
      </c>
      <c r="AC3" s="202"/>
    </row>
    <row r="4" spans="1:29" ht="18.75">
      <c r="A4" s="722">
        <f>Gen!C11</f>
        <v>0</v>
      </c>
      <c r="B4" s="726">
        <f>Gen!B11</f>
        <v>43983</v>
      </c>
      <c r="C4" s="727"/>
      <c r="D4" s="728">
        <f t="shared" ref="D4:D23" si="1">E3</f>
        <v>8693.2000000000007</v>
      </c>
      <c r="E4" s="729">
        <v>8694.2000000000007</v>
      </c>
      <c r="F4" s="728">
        <f t="shared" ref="F4:F15" si="2">SUM(E4-D4)*120</f>
        <v>120</v>
      </c>
      <c r="G4" s="727"/>
      <c r="H4" s="730">
        <f>B4</f>
        <v>43983</v>
      </c>
      <c r="I4" s="755"/>
      <c r="J4" s="727">
        <f t="shared" ref="J4:J30" si="3">SUM(K3)</f>
        <v>38000</v>
      </c>
      <c r="K4" s="756">
        <f>'Water-Meter'!G6</f>
        <v>38000</v>
      </c>
      <c r="L4" s="757">
        <f t="shared" ref="L4:L34" si="4">SUM(K4-J4)</f>
        <v>0</v>
      </c>
      <c r="M4" s="739">
        <f>H4</f>
        <v>43983</v>
      </c>
      <c r="N4" s="727"/>
      <c r="O4" s="727">
        <f t="shared" ref="O4:O33" si="5">SUM(P3)</f>
        <v>7924</v>
      </c>
      <c r="P4" s="740">
        <f>'Water-Meter'!J6</f>
        <v>7925</v>
      </c>
      <c r="Q4" s="757">
        <f t="shared" ref="Q4:Q34" si="6">SUM(P4-O4)</f>
        <v>1</v>
      </c>
      <c r="R4" s="762">
        <f t="shared" ref="R4:R20" si="7">SUM(Q4/1615)</f>
        <v>6.1919504643962852E-4</v>
      </c>
      <c r="S4" s="763">
        <f>Gen!T11</f>
        <v>669.52</v>
      </c>
      <c r="T4" s="760">
        <f>M4</f>
        <v>43983</v>
      </c>
      <c r="U4" s="727"/>
      <c r="V4" s="728">
        <f t="shared" ref="V4:V33" si="8">W3</f>
        <v>7806.3</v>
      </c>
      <c r="W4" s="750">
        <v>7806.5</v>
      </c>
      <c r="X4" s="751">
        <f t="shared" si="0"/>
        <v>39.99999999996362</v>
      </c>
      <c r="Y4" s="739">
        <f>T4</f>
        <v>43983</v>
      </c>
      <c r="Z4" s="727"/>
      <c r="AA4" s="727">
        <v>3397.9</v>
      </c>
      <c r="AB4" s="740">
        <f>'Water-Meter'!P6</f>
        <v>20149</v>
      </c>
      <c r="AC4" s="741">
        <f t="shared" ref="AC4:AC34" si="9">SUM(AB4-AA4)</f>
        <v>16751.099999999999</v>
      </c>
    </row>
    <row r="5" spans="1:29" ht="18.75">
      <c r="A5" s="723">
        <f>Gen!C12</f>
        <v>0</v>
      </c>
      <c r="B5" s="731">
        <f>Gen!B12</f>
        <v>43984</v>
      </c>
      <c r="C5" s="708"/>
      <c r="D5" s="714">
        <f t="shared" si="1"/>
        <v>8694.2000000000007</v>
      </c>
      <c r="E5" s="709">
        <v>8695.1</v>
      </c>
      <c r="F5" s="714">
        <f t="shared" si="2"/>
        <v>107.99999999995634</v>
      </c>
      <c r="G5" s="708"/>
      <c r="H5" s="732">
        <f t="shared" ref="H5:H35" si="10">B5</f>
        <v>43984</v>
      </c>
      <c r="I5" s="724"/>
      <c r="J5" s="708">
        <f t="shared" si="3"/>
        <v>38000</v>
      </c>
      <c r="K5" s="713">
        <f>'Water-Meter'!G7</f>
        <v>38000</v>
      </c>
      <c r="L5" s="738">
        <f t="shared" si="4"/>
        <v>0</v>
      </c>
      <c r="M5" s="742">
        <f t="shared" ref="M5:M35" si="11">H5</f>
        <v>43984</v>
      </c>
      <c r="N5" s="708"/>
      <c r="O5" s="708">
        <f t="shared" si="5"/>
        <v>7925</v>
      </c>
      <c r="P5" s="712">
        <f>'Water-Meter'!J7</f>
        <v>7926</v>
      </c>
      <c r="Q5" s="738">
        <f t="shared" si="6"/>
        <v>1</v>
      </c>
      <c r="R5" s="764">
        <f t="shared" si="7"/>
        <v>6.1919504643962852E-4</v>
      </c>
      <c r="S5" s="765">
        <f>Gen!T12</f>
        <v>685.33</v>
      </c>
      <c r="T5" s="749">
        <f t="shared" ref="T5:T30" si="12">M5</f>
        <v>43984</v>
      </c>
      <c r="U5" s="708"/>
      <c r="V5" s="714">
        <f t="shared" si="8"/>
        <v>7806.5</v>
      </c>
      <c r="W5" s="710">
        <v>7806.5</v>
      </c>
      <c r="X5" s="752">
        <f t="shared" si="0"/>
        <v>0</v>
      </c>
      <c r="Y5" s="742">
        <f t="shared" ref="Y5:Y30" si="13">T5</f>
        <v>43984</v>
      </c>
      <c r="Z5" s="708"/>
      <c r="AA5" s="708">
        <f t="shared" ref="AA5:AA35" si="14">SUM(AB4)</f>
        <v>20149</v>
      </c>
      <c r="AB5" s="712">
        <f>'Water-Meter'!P7</f>
        <v>20150</v>
      </c>
      <c r="AC5" s="743">
        <f t="shared" si="9"/>
        <v>1</v>
      </c>
    </row>
    <row r="6" spans="1:29" ht="18.75">
      <c r="A6" s="723">
        <f>Gen!C13</f>
        <v>0</v>
      </c>
      <c r="B6" s="731">
        <f>Gen!B13</f>
        <v>43985</v>
      </c>
      <c r="C6" s="708"/>
      <c r="D6" s="714">
        <f t="shared" si="1"/>
        <v>8695.1</v>
      </c>
      <c r="E6" s="709">
        <v>8696.1</v>
      </c>
      <c r="F6" s="714">
        <f t="shared" si="2"/>
        <v>120</v>
      </c>
      <c r="G6" s="708"/>
      <c r="H6" s="732">
        <f t="shared" si="10"/>
        <v>43985</v>
      </c>
      <c r="I6" s="724"/>
      <c r="J6" s="708">
        <f t="shared" si="3"/>
        <v>38000</v>
      </c>
      <c r="K6" s="713">
        <f>'Water-Meter'!G8</f>
        <v>38000</v>
      </c>
      <c r="L6" s="738">
        <f t="shared" si="4"/>
        <v>0</v>
      </c>
      <c r="M6" s="742">
        <f t="shared" si="11"/>
        <v>43985</v>
      </c>
      <c r="N6" s="708"/>
      <c r="O6" s="708">
        <f t="shared" si="5"/>
        <v>7926</v>
      </c>
      <c r="P6" s="712">
        <f>'Water-Meter'!J8</f>
        <v>7926</v>
      </c>
      <c r="Q6" s="738">
        <f t="shared" si="6"/>
        <v>0</v>
      </c>
      <c r="R6" s="764">
        <f t="shared" si="7"/>
        <v>0</v>
      </c>
      <c r="S6" s="765">
        <f>Gen!T13</f>
        <v>728.03</v>
      </c>
      <c r="T6" s="749">
        <f t="shared" si="12"/>
        <v>43985</v>
      </c>
      <c r="U6" s="708"/>
      <c r="V6" s="714">
        <f t="shared" si="8"/>
        <v>7806.5</v>
      </c>
      <c r="W6" s="710">
        <v>7806.6</v>
      </c>
      <c r="X6" s="752">
        <f t="shared" si="0"/>
        <v>20.00000000007276</v>
      </c>
      <c r="Y6" s="742">
        <f t="shared" si="13"/>
        <v>43985</v>
      </c>
      <c r="Z6" s="708"/>
      <c r="AA6" s="708">
        <f t="shared" si="14"/>
        <v>20150</v>
      </c>
      <c r="AB6" s="712">
        <f>'Water-Meter'!P8</f>
        <v>20151</v>
      </c>
      <c r="AC6" s="743">
        <f t="shared" si="9"/>
        <v>1</v>
      </c>
    </row>
    <row r="7" spans="1:29" ht="18.75">
      <c r="A7" s="723">
        <f>Gen!C14</f>
        <v>0</v>
      </c>
      <c r="B7" s="731">
        <f>Gen!B14</f>
        <v>43986</v>
      </c>
      <c r="C7" s="708"/>
      <c r="D7" s="714">
        <f t="shared" si="1"/>
        <v>8696.1</v>
      </c>
      <c r="E7" s="709">
        <v>8696.9</v>
      </c>
      <c r="F7" s="714">
        <f t="shared" si="2"/>
        <v>95.999999999912689</v>
      </c>
      <c r="G7" s="708"/>
      <c r="H7" s="732">
        <f t="shared" si="10"/>
        <v>43986</v>
      </c>
      <c r="I7" s="724"/>
      <c r="J7" s="708">
        <f t="shared" si="3"/>
        <v>38000</v>
      </c>
      <c r="K7" s="713">
        <f>'Water-Meter'!G9</f>
        <v>38000</v>
      </c>
      <c r="L7" s="738">
        <f t="shared" si="4"/>
        <v>0</v>
      </c>
      <c r="M7" s="742">
        <f t="shared" si="11"/>
        <v>43986</v>
      </c>
      <c r="N7" s="708"/>
      <c r="O7" s="708">
        <f t="shared" si="5"/>
        <v>7926</v>
      </c>
      <c r="P7" s="712">
        <f>'Water-Meter'!J9</f>
        <v>7927</v>
      </c>
      <c r="Q7" s="738">
        <f t="shared" si="6"/>
        <v>1</v>
      </c>
      <c r="R7" s="764">
        <f t="shared" si="7"/>
        <v>6.1919504643962852E-4</v>
      </c>
      <c r="S7" s="765">
        <f>Gen!T14</f>
        <v>693.88</v>
      </c>
      <c r="T7" s="749">
        <f t="shared" si="12"/>
        <v>43986</v>
      </c>
      <c r="U7" s="708"/>
      <c r="V7" s="714">
        <f t="shared" si="8"/>
        <v>7806.6</v>
      </c>
      <c r="W7" s="710">
        <v>7806.6</v>
      </c>
      <c r="X7" s="752">
        <f t="shared" si="0"/>
        <v>0</v>
      </c>
      <c r="Y7" s="742">
        <f t="shared" si="13"/>
        <v>43986</v>
      </c>
      <c r="Z7" s="708"/>
      <c r="AA7" s="708">
        <f t="shared" si="14"/>
        <v>20151</v>
      </c>
      <c r="AB7" s="712">
        <f>'Water-Meter'!P9</f>
        <v>20151</v>
      </c>
      <c r="AC7" s="743">
        <f t="shared" si="9"/>
        <v>0</v>
      </c>
    </row>
    <row r="8" spans="1:29" ht="18.75">
      <c r="A8" s="723">
        <f>Gen!C15</f>
        <v>0</v>
      </c>
      <c r="B8" s="731">
        <f>Gen!B15</f>
        <v>43987</v>
      </c>
      <c r="C8" s="708"/>
      <c r="D8" s="714">
        <f t="shared" si="1"/>
        <v>8696.9</v>
      </c>
      <c r="E8" s="709">
        <v>8697.9</v>
      </c>
      <c r="F8" s="714">
        <f t="shared" si="2"/>
        <v>120</v>
      </c>
      <c r="G8" s="708"/>
      <c r="H8" s="732">
        <f t="shared" si="10"/>
        <v>43987</v>
      </c>
      <c r="I8" s="724"/>
      <c r="J8" s="708">
        <f t="shared" si="3"/>
        <v>38000</v>
      </c>
      <c r="K8" s="713">
        <f>'Water-Meter'!G10</f>
        <v>38000</v>
      </c>
      <c r="L8" s="738">
        <f t="shared" si="4"/>
        <v>0</v>
      </c>
      <c r="M8" s="742">
        <f t="shared" si="11"/>
        <v>43987</v>
      </c>
      <c r="N8" s="708"/>
      <c r="O8" s="708">
        <v>7927</v>
      </c>
      <c r="P8" s="712">
        <f>'Water-Meter'!J10</f>
        <v>7928</v>
      </c>
      <c r="Q8" s="738">
        <f t="shared" si="6"/>
        <v>1</v>
      </c>
      <c r="R8" s="764">
        <f t="shared" si="7"/>
        <v>6.1919504643962852E-4</v>
      </c>
      <c r="S8" s="765">
        <f>Gen!T15</f>
        <v>708.93000000000006</v>
      </c>
      <c r="T8" s="749">
        <f t="shared" si="12"/>
        <v>43987</v>
      </c>
      <c r="U8" s="708"/>
      <c r="V8" s="714">
        <f t="shared" si="8"/>
        <v>7806.6</v>
      </c>
      <c r="W8" s="710">
        <v>7806.6</v>
      </c>
      <c r="X8" s="752">
        <f t="shared" si="0"/>
        <v>0</v>
      </c>
      <c r="Y8" s="742">
        <f t="shared" si="13"/>
        <v>43987</v>
      </c>
      <c r="Z8" s="708"/>
      <c r="AA8" s="708">
        <v>20151</v>
      </c>
      <c r="AB8" s="712">
        <f>'Water-Meter'!P10</f>
        <v>20151</v>
      </c>
      <c r="AC8" s="743">
        <f t="shared" si="9"/>
        <v>0</v>
      </c>
    </row>
    <row r="9" spans="1:29" ht="18.75">
      <c r="A9" s="723">
        <f>Gen!C16</f>
        <v>0</v>
      </c>
      <c r="B9" s="731">
        <f>Gen!B16</f>
        <v>43988</v>
      </c>
      <c r="C9" s="708"/>
      <c r="D9" s="714">
        <f t="shared" si="1"/>
        <v>8697.9</v>
      </c>
      <c r="E9" s="709"/>
      <c r="F9" s="714">
        <f t="shared" si="2"/>
        <v>-1043748</v>
      </c>
      <c r="G9" s="708"/>
      <c r="H9" s="732">
        <f t="shared" si="10"/>
        <v>43988</v>
      </c>
      <c r="I9" s="724"/>
      <c r="J9" s="708">
        <f t="shared" si="3"/>
        <v>38000</v>
      </c>
      <c r="K9" s="713" t="str">
        <f>'Water-Meter'!G11</f>
        <v>+</v>
      </c>
      <c r="L9" s="738" t="e">
        <f t="shared" si="4"/>
        <v>#VALUE!</v>
      </c>
      <c r="M9" s="742">
        <f t="shared" si="11"/>
        <v>43988</v>
      </c>
      <c r="N9" s="708"/>
      <c r="O9" s="708">
        <f t="shared" si="5"/>
        <v>7928</v>
      </c>
      <c r="P9" s="712">
        <f>'Water-Meter'!J11</f>
        <v>0</v>
      </c>
      <c r="Q9" s="738">
        <f t="shared" si="6"/>
        <v>-7928</v>
      </c>
      <c r="R9" s="764">
        <f t="shared" si="7"/>
        <v>-4.908978328173375</v>
      </c>
      <c r="S9" s="765">
        <f>Gen!T16</f>
        <v>0</v>
      </c>
      <c r="T9" s="749">
        <f t="shared" si="12"/>
        <v>43988</v>
      </c>
      <c r="U9" s="708"/>
      <c r="V9" s="714">
        <f t="shared" si="8"/>
        <v>7806.6</v>
      </c>
      <c r="W9" s="710"/>
      <c r="X9" s="752">
        <f t="shared" si="0"/>
        <v>-1561320</v>
      </c>
      <c r="Y9" s="742">
        <f t="shared" si="13"/>
        <v>43988</v>
      </c>
      <c r="Z9" s="708"/>
      <c r="AA9" s="708">
        <f t="shared" si="14"/>
        <v>20151</v>
      </c>
      <c r="AB9" s="712">
        <f>'Water-Meter'!P11</f>
        <v>0</v>
      </c>
      <c r="AC9" s="743">
        <f t="shared" si="9"/>
        <v>-20151</v>
      </c>
    </row>
    <row r="10" spans="1:29" ht="18.75">
      <c r="A10" s="723">
        <f>Gen!C17</f>
        <v>0</v>
      </c>
      <c r="B10" s="731">
        <f>Gen!B17</f>
        <v>43989</v>
      </c>
      <c r="C10" s="708"/>
      <c r="D10" s="714">
        <f t="shared" si="1"/>
        <v>0</v>
      </c>
      <c r="E10" s="709"/>
      <c r="F10" s="714">
        <f t="shared" si="2"/>
        <v>0</v>
      </c>
      <c r="G10" s="708"/>
      <c r="H10" s="732">
        <f t="shared" si="10"/>
        <v>43989</v>
      </c>
      <c r="I10" s="724"/>
      <c r="J10" s="708">
        <f t="shared" si="3"/>
        <v>0</v>
      </c>
      <c r="K10" s="713">
        <f>'Water-Meter'!G12</f>
        <v>0</v>
      </c>
      <c r="L10" s="738">
        <f t="shared" si="4"/>
        <v>0</v>
      </c>
      <c r="M10" s="742">
        <f t="shared" si="11"/>
        <v>43989</v>
      </c>
      <c r="N10" s="708"/>
      <c r="O10" s="708">
        <f t="shared" si="5"/>
        <v>0</v>
      </c>
      <c r="P10" s="712">
        <f>'Water-Meter'!J12</f>
        <v>0</v>
      </c>
      <c r="Q10" s="738">
        <f t="shared" si="6"/>
        <v>0</v>
      </c>
      <c r="R10" s="764">
        <f t="shared" si="7"/>
        <v>0</v>
      </c>
      <c r="S10" s="765">
        <f>Gen!T17</f>
        <v>0</v>
      </c>
      <c r="T10" s="749">
        <f t="shared" si="12"/>
        <v>43989</v>
      </c>
      <c r="U10" s="708"/>
      <c r="V10" s="714">
        <f t="shared" si="8"/>
        <v>0</v>
      </c>
      <c r="W10" s="710"/>
      <c r="X10" s="752">
        <f t="shared" si="0"/>
        <v>0</v>
      </c>
      <c r="Y10" s="742">
        <f t="shared" si="13"/>
        <v>43989</v>
      </c>
      <c r="Z10" s="708"/>
      <c r="AA10" s="708">
        <f t="shared" si="14"/>
        <v>0</v>
      </c>
      <c r="AB10" s="712">
        <f>'Water-Meter'!P12</f>
        <v>0</v>
      </c>
      <c r="AC10" s="743">
        <f t="shared" si="9"/>
        <v>0</v>
      </c>
    </row>
    <row r="11" spans="1:29" ht="18.75">
      <c r="A11" s="723">
        <f>Gen!C18</f>
        <v>0</v>
      </c>
      <c r="B11" s="731">
        <f>Gen!B18</f>
        <v>43990</v>
      </c>
      <c r="C11" s="708"/>
      <c r="D11" s="714">
        <f t="shared" si="1"/>
        <v>0</v>
      </c>
      <c r="E11" s="709"/>
      <c r="F11" s="714">
        <f t="shared" si="2"/>
        <v>0</v>
      </c>
      <c r="G11" s="708"/>
      <c r="H11" s="732">
        <f t="shared" si="10"/>
        <v>43990</v>
      </c>
      <c r="I11" s="724"/>
      <c r="J11" s="708">
        <f t="shared" si="3"/>
        <v>0</v>
      </c>
      <c r="K11" s="713">
        <f>'Water-Meter'!G13</f>
        <v>0</v>
      </c>
      <c r="L11" s="738">
        <f t="shared" si="4"/>
        <v>0</v>
      </c>
      <c r="M11" s="742">
        <f t="shared" si="11"/>
        <v>43990</v>
      </c>
      <c r="N11" s="708"/>
      <c r="O11" s="708">
        <f t="shared" si="5"/>
        <v>0</v>
      </c>
      <c r="P11" s="712">
        <f>'Water-Meter'!J13</f>
        <v>0</v>
      </c>
      <c r="Q11" s="738">
        <f t="shared" si="6"/>
        <v>0</v>
      </c>
      <c r="R11" s="764">
        <f t="shared" si="7"/>
        <v>0</v>
      </c>
      <c r="S11" s="765">
        <f>Gen!T18</f>
        <v>0</v>
      </c>
      <c r="T11" s="749">
        <f t="shared" si="12"/>
        <v>43990</v>
      </c>
      <c r="U11" s="708"/>
      <c r="V11" s="714">
        <f t="shared" si="8"/>
        <v>0</v>
      </c>
      <c r="W11" s="710"/>
      <c r="X11" s="752">
        <f t="shared" si="0"/>
        <v>0</v>
      </c>
      <c r="Y11" s="742">
        <f t="shared" si="13"/>
        <v>43990</v>
      </c>
      <c r="Z11" s="708"/>
      <c r="AA11" s="708">
        <f t="shared" si="14"/>
        <v>0</v>
      </c>
      <c r="AB11" s="712">
        <f>'Water-Meter'!P13</f>
        <v>0</v>
      </c>
      <c r="AC11" s="743">
        <f t="shared" si="9"/>
        <v>0</v>
      </c>
    </row>
    <row r="12" spans="1:29" ht="18.75">
      <c r="A12" s="723">
        <f>Gen!C19</f>
        <v>0</v>
      </c>
      <c r="B12" s="731">
        <f>Gen!B19</f>
        <v>43991</v>
      </c>
      <c r="C12" s="708"/>
      <c r="D12" s="714">
        <f t="shared" si="1"/>
        <v>0</v>
      </c>
      <c r="E12" s="709"/>
      <c r="F12" s="714">
        <f t="shared" si="2"/>
        <v>0</v>
      </c>
      <c r="G12" s="708"/>
      <c r="H12" s="732">
        <f t="shared" si="10"/>
        <v>43991</v>
      </c>
      <c r="I12" s="724"/>
      <c r="J12" s="708">
        <f t="shared" si="3"/>
        <v>0</v>
      </c>
      <c r="K12" s="713">
        <f>'Water-Meter'!G14</f>
        <v>0</v>
      </c>
      <c r="L12" s="738">
        <f t="shared" si="4"/>
        <v>0</v>
      </c>
      <c r="M12" s="742">
        <f t="shared" si="11"/>
        <v>43991</v>
      </c>
      <c r="N12" s="708"/>
      <c r="O12" s="708">
        <f t="shared" si="5"/>
        <v>0</v>
      </c>
      <c r="P12" s="712">
        <f>'Water-Meter'!J14</f>
        <v>0</v>
      </c>
      <c r="Q12" s="738">
        <f t="shared" si="6"/>
        <v>0</v>
      </c>
      <c r="R12" s="764">
        <f t="shared" si="7"/>
        <v>0</v>
      </c>
      <c r="S12" s="765">
        <f>Gen!T19</f>
        <v>0</v>
      </c>
      <c r="T12" s="749">
        <f t="shared" si="12"/>
        <v>43991</v>
      </c>
      <c r="U12" s="708"/>
      <c r="V12" s="714">
        <f t="shared" si="8"/>
        <v>0</v>
      </c>
      <c r="W12" s="710"/>
      <c r="X12" s="752">
        <f t="shared" si="0"/>
        <v>0</v>
      </c>
      <c r="Y12" s="742">
        <f t="shared" si="13"/>
        <v>43991</v>
      </c>
      <c r="Z12" s="708"/>
      <c r="AA12" s="708">
        <f t="shared" si="14"/>
        <v>0</v>
      </c>
      <c r="AB12" s="712">
        <f>'Water-Meter'!P14</f>
        <v>0</v>
      </c>
      <c r="AC12" s="743">
        <f t="shared" si="9"/>
        <v>0</v>
      </c>
    </row>
    <row r="13" spans="1:29" ht="18.75">
      <c r="A13" s="723">
        <f>Gen!C20</f>
        <v>0</v>
      </c>
      <c r="B13" s="731">
        <f>Gen!B20</f>
        <v>43992</v>
      </c>
      <c r="C13" s="708"/>
      <c r="D13" s="714">
        <f t="shared" si="1"/>
        <v>0</v>
      </c>
      <c r="E13" s="709"/>
      <c r="F13" s="714">
        <f t="shared" si="2"/>
        <v>0</v>
      </c>
      <c r="G13" s="708"/>
      <c r="H13" s="732">
        <f t="shared" si="10"/>
        <v>43992</v>
      </c>
      <c r="I13" s="724"/>
      <c r="J13" s="708">
        <f t="shared" si="3"/>
        <v>0</v>
      </c>
      <c r="K13" s="713">
        <f>'Water-Meter'!G15</f>
        <v>0</v>
      </c>
      <c r="L13" s="738">
        <f t="shared" si="4"/>
        <v>0</v>
      </c>
      <c r="M13" s="742">
        <f t="shared" si="11"/>
        <v>43992</v>
      </c>
      <c r="N13" s="708"/>
      <c r="O13" s="708">
        <f t="shared" si="5"/>
        <v>0</v>
      </c>
      <c r="P13" s="712">
        <f>'Water-Meter'!J15</f>
        <v>0</v>
      </c>
      <c r="Q13" s="738">
        <f t="shared" si="6"/>
        <v>0</v>
      </c>
      <c r="R13" s="764">
        <f t="shared" si="7"/>
        <v>0</v>
      </c>
      <c r="S13" s="765">
        <f>Gen!T20</f>
        <v>0</v>
      </c>
      <c r="T13" s="749">
        <f t="shared" si="12"/>
        <v>43992</v>
      </c>
      <c r="U13" s="708"/>
      <c r="V13" s="714">
        <f t="shared" si="8"/>
        <v>0</v>
      </c>
      <c r="W13" s="710"/>
      <c r="X13" s="752">
        <f t="shared" si="0"/>
        <v>0</v>
      </c>
      <c r="Y13" s="742">
        <f t="shared" si="13"/>
        <v>43992</v>
      </c>
      <c r="Z13" s="708"/>
      <c r="AA13" s="708">
        <f t="shared" si="14"/>
        <v>0</v>
      </c>
      <c r="AB13" s="712">
        <f>'Water-Meter'!P15</f>
        <v>0</v>
      </c>
      <c r="AC13" s="743">
        <f t="shared" si="9"/>
        <v>0</v>
      </c>
    </row>
    <row r="14" spans="1:29" ht="18.75">
      <c r="A14" s="723">
        <f>Gen!C21</f>
        <v>0</v>
      </c>
      <c r="B14" s="731">
        <f>Gen!B21</f>
        <v>43993</v>
      </c>
      <c r="C14" s="708"/>
      <c r="D14" s="714">
        <f t="shared" si="1"/>
        <v>0</v>
      </c>
      <c r="E14" s="709"/>
      <c r="F14" s="714">
        <f t="shared" si="2"/>
        <v>0</v>
      </c>
      <c r="G14" s="708"/>
      <c r="H14" s="732">
        <f t="shared" si="10"/>
        <v>43993</v>
      </c>
      <c r="I14" s="724"/>
      <c r="J14" s="708">
        <f t="shared" si="3"/>
        <v>0</v>
      </c>
      <c r="K14" s="713">
        <f>'Water-Meter'!G16</f>
        <v>0</v>
      </c>
      <c r="L14" s="738">
        <f t="shared" si="4"/>
        <v>0</v>
      </c>
      <c r="M14" s="742">
        <f t="shared" si="11"/>
        <v>43993</v>
      </c>
      <c r="N14" s="708"/>
      <c r="O14" s="708">
        <f t="shared" si="5"/>
        <v>0</v>
      </c>
      <c r="P14" s="712">
        <f>'Water-Meter'!J16</f>
        <v>0</v>
      </c>
      <c r="Q14" s="738">
        <f t="shared" si="6"/>
        <v>0</v>
      </c>
      <c r="R14" s="764">
        <f t="shared" si="7"/>
        <v>0</v>
      </c>
      <c r="S14" s="765">
        <f>Gen!T21</f>
        <v>0</v>
      </c>
      <c r="T14" s="749">
        <f t="shared" si="12"/>
        <v>43993</v>
      </c>
      <c r="U14" s="708"/>
      <c r="V14" s="714">
        <f t="shared" si="8"/>
        <v>0</v>
      </c>
      <c r="W14" s="710"/>
      <c r="X14" s="752">
        <f t="shared" si="0"/>
        <v>0</v>
      </c>
      <c r="Y14" s="742">
        <f t="shared" si="13"/>
        <v>43993</v>
      </c>
      <c r="Z14" s="708"/>
      <c r="AA14" s="708">
        <f t="shared" si="14"/>
        <v>0</v>
      </c>
      <c r="AB14" s="712">
        <f>'Water-Meter'!P16</f>
        <v>0</v>
      </c>
      <c r="AC14" s="743">
        <f t="shared" si="9"/>
        <v>0</v>
      </c>
    </row>
    <row r="15" spans="1:29" ht="18.75">
      <c r="A15" s="723">
        <f>Gen!C22</f>
        <v>0</v>
      </c>
      <c r="B15" s="731">
        <f>Gen!B22</f>
        <v>43994</v>
      </c>
      <c r="C15" s="708"/>
      <c r="D15" s="714">
        <f t="shared" si="1"/>
        <v>0</v>
      </c>
      <c r="E15" s="709"/>
      <c r="F15" s="714">
        <f t="shared" si="2"/>
        <v>0</v>
      </c>
      <c r="G15" s="708"/>
      <c r="H15" s="732">
        <f t="shared" si="10"/>
        <v>43994</v>
      </c>
      <c r="I15" s="724"/>
      <c r="J15" s="708">
        <f t="shared" si="3"/>
        <v>0</v>
      </c>
      <c r="K15" s="713">
        <f>'Water-Meter'!G17</f>
        <v>0</v>
      </c>
      <c r="L15" s="738">
        <f t="shared" si="4"/>
        <v>0</v>
      </c>
      <c r="M15" s="742">
        <f t="shared" si="11"/>
        <v>43994</v>
      </c>
      <c r="N15" s="708"/>
      <c r="O15" s="708">
        <f t="shared" si="5"/>
        <v>0</v>
      </c>
      <c r="P15" s="712">
        <f>'Water-Meter'!J17</f>
        <v>0</v>
      </c>
      <c r="Q15" s="738">
        <f t="shared" si="6"/>
        <v>0</v>
      </c>
      <c r="R15" s="764">
        <f t="shared" si="7"/>
        <v>0</v>
      </c>
      <c r="S15" s="765">
        <f>Gen!T22</f>
        <v>0</v>
      </c>
      <c r="T15" s="749">
        <f t="shared" si="12"/>
        <v>43994</v>
      </c>
      <c r="U15" s="708"/>
      <c r="V15" s="714">
        <f t="shared" si="8"/>
        <v>0</v>
      </c>
      <c r="W15" s="710"/>
      <c r="X15" s="752">
        <f t="shared" si="0"/>
        <v>0</v>
      </c>
      <c r="Y15" s="742">
        <f t="shared" si="13"/>
        <v>43994</v>
      </c>
      <c r="Z15" s="708"/>
      <c r="AA15" s="708">
        <f t="shared" si="14"/>
        <v>0</v>
      </c>
      <c r="AB15" s="712">
        <f>'Water-Meter'!P17</f>
        <v>0</v>
      </c>
      <c r="AC15" s="743">
        <f t="shared" si="9"/>
        <v>0</v>
      </c>
    </row>
    <row r="16" spans="1:29" ht="18.75">
      <c r="A16" s="723">
        <f>Gen!C23</f>
        <v>0</v>
      </c>
      <c r="B16" s="731">
        <f>Gen!B23</f>
        <v>43995</v>
      </c>
      <c r="C16" s="708"/>
      <c r="D16" s="714">
        <f t="shared" si="1"/>
        <v>0</v>
      </c>
      <c r="E16" s="709"/>
      <c r="F16" s="714">
        <f>SUM(E16-D16)*120</f>
        <v>0</v>
      </c>
      <c r="G16" s="708"/>
      <c r="H16" s="732">
        <f t="shared" si="10"/>
        <v>43995</v>
      </c>
      <c r="I16" s="724"/>
      <c r="J16" s="708">
        <f t="shared" si="3"/>
        <v>0</v>
      </c>
      <c r="K16" s="713">
        <f>'Water-Meter'!G18</f>
        <v>0</v>
      </c>
      <c r="L16" s="738">
        <f t="shared" si="4"/>
        <v>0</v>
      </c>
      <c r="M16" s="742">
        <f t="shared" si="11"/>
        <v>43995</v>
      </c>
      <c r="N16" s="708"/>
      <c r="O16" s="708">
        <f t="shared" si="5"/>
        <v>0</v>
      </c>
      <c r="P16" s="712">
        <f>'Water-Meter'!J18</f>
        <v>0</v>
      </c>
      <c r="Q16" s="738">
        <f t="shared" si="6"/>
        <v>0</v>
      </c>
      <c r="R16" s="764">
        <f t="shared" si="7"/>
        <v>0</v>
      </c>
      <c r="S16" s="765">
        <f>Gen!T23</f>
        <v>0</v>
      </c>
      <c r="T16" s="749">
        <f t="shared" si="12"/>
        <v>43995</v>
      </c>
      <c r="U16" s="708"/>
      <c r="V16" s="714">
        <f t="shared" si="8"/>
        <v>0</v>
      </c>
      <c r="W16" s="710"/>
      <c r="X16" s="752">
        <f t="shared" si="0"/>
        <v>0</v>
      </c>
      <c r="Y16" s="742">
        <f t="shared" si="13"/>
        <v>43995</v>
      </c>
      <c r="Z16" s="708"/>
      <c r="AA16" s="708">
        <f t="shared" si="14"/>
        <v>0</v>
      </c>
      <c r="AB16" s="712">
        <f>'Water-Meter'!P18</f>
        <v>0</v>
      </c>
      <c r="AC16" s="743">
        <f t="shared" si="9"/>
        <v>0</v>
      </c>
    </row>
    <row r="17" spans="1:29" ht="18.75">
      <c r="A17" s="723">
        <f>Gen!C24</f>
        <v>0</v>
      </c>
      <c r="B17" s="731">
        <f>Gen!B24</f>
        <v>43996</v>
      </c>
      <c r="C17" s="708"/>
      <c r="D17" s="714">
        <f t="shared" si="1"/>
        <v>0</v>
      </c>
      <c r="E17" s="709"/>
      <c r="F17" s="714">
        <f>SUM(E17-D17)*120</f>
        <v>0</v>
      </c>
      <c r="G17" s="708"/>
      <c r="H17" s="732">
        <f t="shared" si="10"/>
        <v>43996</v>
      </c>
      <c r="I17" s="724"/>
      <c r="J17" s="708">
        <f t="shared" si="3"/>
        <v>0</v>
      </c>
      <c r="K17" s="713">
        <f>'Water-Meter'!G19</f>
        <v>0</v>
      </c>
      <c r="L17" s="738">
        <f t="shared" si="4"/>
        <v>0</v>
      </c>
      <c r="M17" s="742">
        <f t="shared" si="11"/>
        <v>43996</v>
      </c>
      <c r="N17" s="708"/>
      <c r="O17" s="708">
        <f t="shared" si="5"/>
        <v>0</v>
      </c>
      <c r="P17" s="712">
        <f>'Water-Meter'!J19</f>
        <v>0</v>
      </c>
      <c r="Q17" s="738">
        <f t="shared" si="6"/>
        <v>0</v>
      </c>
      <c r="R17" s="764">
        <f t="shared" si="7"/>
        <v>0</v>
      </c>
      <c r="S17" s="765">
        <f>Gen!T24</f>
        <v>0</v>
      </c>
      <c r="T17" s="749">
        <f t="shared" si="12"/>
        <v>43996</v>
      </c>
      <c r="U17" s="708"/>
      <c r="V17" s="714">
        <f t="shared" si="8"/>
        <v>0</v>
      </c>
      <c r="W17" s="710"/>
      <c r="X17" s="752">
        <f t="shared" si="0"/>
        <v>0</v>
      </c>
      <c r="Y17" s="742">
        <f t="shared" si="13"/>
        <v>43996</v>
      </c>
      <c r="Z17" s="708"/>
      <c r="AA17" s="708">
        <f t="shared" si="14"/>
        <v>0</v>
      </c>
      <c r="AB17" s="712">
        <f>'Water-Meter'!P19</f>
        <v>0</v>
      </c>
      <c r="AC17" s="743">
        <f t="shared" si="9"/>
        <v>0</v>
      </c>
    </row>
    <row r="18" spans="1:29" ht="18.75">
      <c r="A18" s="723">
        <f>Gen!C25</f>
        <v>0</v>
      </c>
      <c r="B18" s="731">
        <f>Gen!B25</f>
        <v>43997</v>
      </c>
      <c r="C18" s="708"/>
      <c r="D18" s="714">
        <f t="shared" si="1"/>
        <v>0</v>
      </c>
      <c r="E18" s="709"/>
      <c r="F18" s="714">
        <f t="shared" ref="F18:F22" si="15">SUM(E18-D18)*120</f>
        <v>0</v>
      </c>
      <c r="G18" s="708"/>
      <c r="H18" s="732">
        <f t="shared" si="10"/>
        <v>43997</v>
      </c>
      <c r="I18" s="724"/>
      <c r="J18" s="708">
        <f t="shared" si="3"/>
        <v>0</v>
      </c>
      <c r="K18" s="713">
        <f>'Water-Meter'!G20</f>
        <v>0</v>
      </c>
      <c r="L18" s="738">
        <f t="shared" si="4"/>
        <v>0</v>
      </c>
      <c r="M18" s="742">
        <f t="shared" si="11"/>
        <v>43997</v>
      </c>
      <c r="N18" s="708"/>
      <c r="O18" s="708">
        <f t="shared" si="5"/>
        <v>0</v>
      </c>
      <c r="P18" s="712">
        <f>'Water-Meter'!J20</f>
        <v>0</v>
      </c>
      <c r="Q18" s="738">
        <f t="shared" si="6"/>
        <v>0</v>
      </c>
      <c r="R18" s="764">
        <f t="shared" si="7"/>
        <v>0</v>
      </c>
      <c r="S18" s="765">
        <f>Gen!T25</f>
        <v>0</v>
      </c>
      <c r="T18" s="749">
        <f t="shared" si="12"/>
        <v>43997</v>
      </c>
      <c r="U18" s="708"/>
      <c r="V18" s="714">
        <f t="shared" si="8"/>
        <v>0</v>
      </c>
      <c r="W18" s="710"/>
      <c r="X18" s="752">
        <f t="shared" si="0"/>
        <v>0</v>
      </c>
      <c r="Y18" s="742">
        <f t="shared" si="13"/>
        <v>43997</v>
      </c>
      <c r="Z18" s="708"/>
      <c r="AA18" s="708">
        <f t="shared" si="14"/>
        <v>0</v>
      </c>
      <c r="AB18" s="712">
        <f>'Water-Meter'!P20</f>
        <v>0</v>
      </c>
      <c r="AC18" s="743">
        <f>SUM(AB18-AA18)</f>
        <v>0</v>
      </c>
    </row>
    <row r="19" spans="1:29" ht="18.75">
      <c r="A19" s="723">
        <f>Gen!C26</f>
        <v>0</v>
      </c>
      <c r="B19" s="731">
        <f>Gen!B26</f>
        <v>43998</v>
      </c>
      <c r="C19" s="711"/>
      <c r="D19" s="714">
        <f t="shared" si="1"/>
        <v>0</v>
      </c>
      <c r="E19" s="709"/>
      <c r="F19" s="714">
        <f t="shared" si="15"/>
        <v>0</v>
      </c>
      <c r="G19" s="708"/>
      <c r="H19" s="732">
        <f t="shared" si="10"/>
        <v>43998</v>
      </c>
      <c r="I19" s="725"/>
      <c r="J19" s="708">
        <f t="shared" si="3"/>
        <v>0</v>
      </c>
      <c r="K19" s="713">
        <f>'Water-Meter'!G21</f>
        <v>0</v>
      </c>
      <c r="L19" s="738">
        <f t="shared" si="4"/>
        <v>0</v>
      </c>
      <c r="M19" s="742">
        <f t="shared" si="11"/>
        <v>43998</v>
      </c>
      <c r="N19" s="711"/>
      <c r="O19" s="708">
        <f t="shared" si="5"/>
        <v>0</v>
      </c>
      <c r="P19" s="712">
        <f>'Water-Meter'!J21</f>
        <v>0</v>
      </c>
      <c r="Q19" s="738">
        <f t="shared" si="6"/>
        <v>0</v>
      </c>
      <c r="R19" s="764">
        <f t="shared" si="7"/>
        <v>0</v>
      </c>
      <c r="S19" s="765">
        <f>Gen!T26</f>
        <v>0</v>
      </c>
      <c r="T19" s="749">
        <f t="shared" si="12"/>
        <v>43998</v>
      </c>
      <c r="U19" s="711"/>
      <c r="V19" s="714">
        <f t="shared" si="8"/>
        <v>0</v>
      </c>
      <c r="W19" s="710"/>
      <c r="X19" s="752">
        <f t="shared" si="0"/>
        <v>0</v>
      </c>
      <c r="Y19" s="742">
        <f t="shared" si="13"/>
        <v>43998</v>
      </c>
      <c r="Z19" s="711"/>
      <c r="AA19" s="708">
        <f t="shared" si="14"/>
        <v>0</v>
      </c>
      <c r="AB19" s="712">
        <f>'Water-Meter'!P21</f>
        <v>0</v>
      </c>
      <c r="AC19" s="743">
        <f t="shared" si="9"/>
        <v>0</v>
      </c>
    </row>
    <row r="20" spans="1:29" ht="18.75">
      <c r="A20" s="723">
        <f>Gen!C27</f>
        <v>0</v>
      </c>
      <c r="B20" s="731">
        <f>Gen!B27</f>
        <v>43999</v>
      </c>
      <c r="C20" s="711"/>
      <c r="D20" s="714">
        <f t="shared" si="1"/>
        <v>0</v>
      </c>
      <c r="E20" s="709"/>
      <c r="F20" s="714">
        <f t="shared" si="15"/>
        <v>0</v>
      </c>
      <c r="G20" s="708"/>
      <c r="H20" s="732">
        <f t="shared" si="10"/>
        <v>43999</v>
      </c>
      <c r="I20" s="725"/>
      <c r="J20" s="708">
        <f t="shared" si="3"/>
        <v>0</v>
      </c>
      <c r="K20" s="713">
        <f>'Water-Meter'!G22</f>
        <v>0</v>
      </c>
      <c r="L20" s="738">
        <f t="shared" si="4"/>
        <v>0</v>
      </c>
      <c r="M20" s="742">
        <f t="shared" si="11"/>
        <v>43999</v>
      </c>
      <c r="N20" s="711"/>
      <c r="O20" s="708">
        <f t="shared" si="5"/>
        <v>0</v>
      </c>
      <c r="P20" s="712">
        <f>'Water-Meter'!J22</f>
        <v>0</v>
      </c>
      <c r="Q20" s="738">
        <f t="shared" si="6"/>
        <v>0</v>
      </c>
      <c r="R20" s="764">
        <f t="shared" si="7"/>
        <v>0</v>
      </c>
      <c r="S20" s="765">
        <f>Gen!T27</f>
        <v>0</v>
      </c>
      <c r="T20" s="749">
        <f t="shared" si="12"/>
        <v>43999</v>
      </c>
      <c r="U20" s="711"/>
      <c r="V20" s="714">
        <f t="shared" si="8"/>
        <v>0</v>
      </c>
      <c r="W20" s="710"/>
      <c r="X20" s="752">
        <f t="shared" si="0"/>
        <v>0</v>
      </c>
      <c r="Y20" s="742">
        <f t="shared" si="13"/>
        <v>43999</v>
      </c>
      <c r="Z20" s="711"/>
      <c r="AA20" s="708">
        <f t="shared" si="14"/>
        <v>0</v>
      </c>
      <c r="AB20" s="712">
        <f>'Water-Meter'!P22</f>
        <v>0</v>
      </c>
      <c r="AC20" s="743">
        <f t="shared" si="9"/>
        <v>0</v>
      </c>
    </row>
    <row r="21" spans="1:29" ht="18.75">
      <c r="A21" s="723">
        <f>Gen!C28</f>
        <v>0</v>
      </c>
      <c r="B21" s="731">
        <f>Gen!B28</f>
        <v>44000</v>
      </c>
      <c r="C21" s="711"/>
      <c r="D21" s="714">
        <f t="shared" si="1"/>
        <v>0</v>
      </c>
      <c r="E21" s="709"/>
      <c r="F21" s="714">
        <f t="shared" si="15"/>
        <v>0</v>
      </c>
      <c r="G21" s="708"/>
      <c r="H21" s="732">
        <f t="shared" si="10"/>
        <v>44000</v>
      </c>
      <c r="I21" s="725"/>
      <c r="J21" s="708">
        <f t="shared" si="3"/>
        <v>0</v>
      </c>
      <c r="K21" s="713">
        <f>'Water-Meter'!G23</f>
        <v>0</v>
      </c>
      <c r="L21" s="738">
        <f t="shared" si="4"/>
        <v>0</v>
      </c>
      <c r="M21" s="742">
        <f t="shared" si="11"/>
        <v>44000</v>
      </c>
      <c r="N21" s="711"/>
      <c r="O21" s="708">
        <f t="shared" si="5"/>
        <v>0</v>
      </c>
      <c r="P21" s="712">
        <f>'Water-Meter'!J23</f>
        <v>0</v>
      </c>
      <c r="Q21" s="738">
        <f t="shared" si="6"/>
        <v>0</v>
      </c>
      <c r="R21" s="764">
        <f t="shared" ref="R21:R35" si="16">SUM(Q21/1615)</f>
        <v>0</v>
      </c>
      <c r="S21" s="765">
        <f>Gen!T28</f>
        <v>0</v>
      </c>
      <c r="T21" s="749">
        <f t="shared" si="12"/>
        <v>44000</v>
      </c>
      <c r="U21" s="711"/>
      <c r="V21" s="714">
        <f t="shared" si="8"/>
        <v>0</v>
      </c>
      <c r="W21" s="710"/>
      <c r="X21" s="752">
        <f t="shared" si="0"/>
        <v>0</v>
      </c>
      <c r="Y21" s="742">
        <f t="shared" si="13"/>
        <v>44000</v>
      </c>
      <c r="Z21" s="711"/>
      <c r="AA21" s="708">
        <f t="shared" si="14"/>
        <v>0</v>
      </c>
      <c r="AB21" s="712">
        <f>'Water-Meter'!P23</f>
        <v>0</v>
      </c>
      <c r="AC21" s="743">
        <f t="shared" si="9"/>
        <v>0</v>
      </c>
    </row>
    <row r="22" spans="1:29" ht="18.75">
      <c r="A22" s="723">
        <f>Gen!C29</f>
        <v>0</v>
      </c>
      <c r="B22" s="731">
        <f>Gen!B29</f>
        <v>44001</v>
      </c>
      <c r="C22" s="708"/>
      <c r="D22" s="714">
        <f t="shared" si="1"/>
        <v>0</v>
      </c>
      <c r="E22" s="709"/>
      <c r="F22" s="714">
        <f t="shared" si="15"/>
        <v>0</v>
      </c>
      <c r="G22" s="708"/>
      <c r="H22" s="732">
        <f t="shared" si="10"/>
        <v>44001</v>
      </c>
      <c r="I22" s="724"/>
      <c r="J22" s="708">
        <f t="shared" si="3"/>
        <v>0</v>
      </c>
      <c r="K22" s="713">
        <f>'Water-Meter'!G24</f>
        <v>0</v>
      </c>
      <c r="L22" s="738">
        <f t="shared" si="4"/>
        <v>0</v>
      </c>
      <c r="M22" s="742">
        <f t="shared" si="11"/>
        <v>44001</v>
      </c>
      <c r="N22" s="708"/>
      <c r="O22" s="708">
        <f t="shared" si="5"/>
        <v>0</v>
      </c>
      <c r="P22" s="712">
        <f>'Water-Meter'!J24</f>
        <v>0</v>
      </c>
      <c r="Q22" s="738">
        <f t="shared" si="6"/>
        <v>0</v>
      </c>
      <c r="R22" s="764">
        <f t="shared" si="16"/>
        <v>0</v>
      </c>
      <c r="S22" s="765">
        <f>Gen!T29</f>
        <v>0</v>
      </c>
      <c r="T22" s="749">
        <f t="shared" si="12"/>
        <v>44001</v>
      </c>
      <c r="U22" s="708"/>
      <c r="V22" s="714">
        <f t="shared" si="8"/>
        <v>0</v>
      </c>
      <c r="W22" s="710"/>
      <c r="X22" s="752">
        <f t="shared" si="0"/>
        <v>0</v>
      </c>
      <c r="Y22" s="742">
        <f t="shared" si="13"/>
        <v>44001</v>
      </c>
      <c r="Z22" s="708"/>
      <c r="AA22" s="708">
        <f t="shared" si="14"/>
        <v>0</v>
      </c>
      <c r="AB22" s="712">
        <f>'Water-Meter'!P24</f>
        <v>0</v>
      </c>
      <c r="AC22" s="743">
        <f t="shared" si="9"/>
        <v>0</v>
      </c>
    </row>
    <row r="23" spans="1:29" ht="18.75">
      <c r="A23" s="723">
        <f>Gen!C30</f>
        <v>0</v>
      </c>
      <c r="B23" s="731">
        <f>Gen!B30</f>
        <v>44002</v>
      </c>
      <c r="C23" s="711"/>
      <c r="D23" s="714">
        <f t="shared" si="1"/>
        <v>0</v>
      </c>
      <c r="E23" s="709"/>
      <c r="F23" s="714">
        <f t="shared" ref="F23:F34" si="17">SUM(E23-D23)*120</f>
        <v>0</v>
      </c>
      <c r="G23" s="708"/>
      <c r="H23" s="732">
        <f t="shared" si="10"/>
        <v>44002</v>
      </c>
      <c r="I23" s="725"/>
      <c r="J23" s="708">
        <f t="shared" si="3"/>
        <v>0</v>
      </c>
      <c r="K23" s="713">
        <f>'Water-Meter'!G25</f>
        <v>0</v>
      </c>
      <c r="L23" s="738">
        <f t="shared" si="4"/>
        <v>0</v>
      </c>
      <c r="M23" s="742">
        <f t="shared" si="11"/>
        <v>44002</v>
      </c>
      <c r="N23" s="711"/>
      <c r="O23" s="708">
        <f t="shared" si="5"/>
        <v>0</v>
      </c>
      <c r="P23" s="712">
        <f>'Water-Meter'!J25</f>
        <v>0</v>
      </c>
      <c r="Q23" s="738">
        <f t="shared" si="6"/>
        <v>0</v>
      </c>
      <c r="R23" s="764">
        <f t="shared" si="16"/>
        <v>0</v>
      </c>
      <c r="S23" s="765">
        <f>Gen!T30</f>
        <v>0</v>
      </c>
      <c r="T23" s="749">
        <f t="shared" si="12"/>
        <v>44002</v>
      </c>
      <c r="U23" s="711"/>
      <c r="V23" s="714">
        <f t="shared" si="8"/>
        <v>0</v>
      </c>
      <c r="W23" s="710"/>
      <c r="X23" s="752">
        <f t="shared" si="0"/>
        <v>0</v>
      </c>
      <c r="Y23" s="742">
        <f t="shared" si="13"/>
        <v>44002</v>
      </c>
      <c r="Z23" s="711"/>
      <c r="AA23" s="708">
        <f t="shared" si="14"/>
        <v>0</v>
      </c>
      <c r="AB23" s="712">
        <f>'Water-Meter'!P25</f>
        <v>0</v>
      </c>
      <c r="AC23" s="743">
        <f t="shared" si="9"/>
        <v>0</v>
      </c>
    </row>
    <row r="24" spans="1:29" ht="18.75">
      <c r="A24" s="723">
        <f>Gen!C31</f>
        <v>0</v>
      </c>
      <c r="B24" s="731">
        <f>Gen!B31</f>
        <v>44003</v>
      </c>
      <c r="C24" s="711"/>
      <c r="D24" s="714">
        <f t="shared" ref="D24:D35" si="18">SUM(E23)</f>
        <v>0</v>
      </c>
      <c r="E24" s="709"/>
      <c r="F24" s="714">
        <f t="shared" si="17"/>
        <v>0</v>
      </c>
      <c r="G24" s="708"/>
      <c r="H24" s="732">
        <f t="shared" si="10"/>
        <v>44003</v>
      </c>
      <c r="I24" s="725"/>
      <c r="J24" s="708">
        <f t="shared" si="3"/>
        <v>0</v>
      </c>
      <c r="K24" s="713">
        <f>'Water-Meter'!G26</f>
        <v>0</v>
      </c>
      <c r="L24" s="738">
        <f t="shared" si="4"/>
        <v>0</v>
      </c>
      <c r="M24" s="742">
        <f t="shared" si="11"/>
        <v>44003</v>
      </c>
      <c r="N24" s="711"/>
      <c r="O24" s="708">
        <f t="shared" si="5"/>
        <v>0</v>
      </c>
      <c r="P24" s="712">
        <f>'Water-Meter'!J26</f>
        <v>0</v>
      </c>
      <c r="Q24" s="738">
        <f t="shared" si="6"/>
        <v>0</v>
      </c>
      <c r="R24" s="764">
        <f t="shared" si="16"/>
        <v>0</v>
      </c>
      <c r="S24" s="765">
        <f>Gen!T31</f>
        <v>0</v>
      </c>
      <c r="T24" s="749">
        <v>5835.7</v>
      </c>
      <c r="U24" s="711"/>
      <c r="V24" s="714">
        <f t="shared" si="8"/>
        <v>0</v>
      </c>
      <c r="W24" s="710"/>
      <c r="X24" s="752">
        <f t="shared" si="0"/>
        <v>0</v>
      </c>
      <c r="Y24" s="742">
        <f t="shared" si="13"/>
        <v>5835.7</v>
      </c>
      <c r="Z24" s="711"/>
      <c r="AA24" s="708">
        <f t="shared" si="14"/>
        <v>0</v>
      </c>
      <c r="AB24" s="712">
        <f>'Water-Meter'!P26</f>
        <v>0</v>
      </c>
      <c r="AC24" s="743">
        <f t="shared" si="9"/>
        <v>0</v>
      </c>
    </row>
    <row r="25" spans="1:29" ht="18.75">
      <c r="A25" s="723">
        <f>Gen!C32</f>
        <v>0</v>
      </c>
      <c r="B25" s="731">
        <f>Gen!B32</f>
        <v>44004</v>
      </c>
      <c r="C25" s="711"/>
      <c r="D25" s="714">
        <f t="shared" si="18"/>
        <v>0</v>
      </c>
      <c r="E25" s="709"/>
      <c r="F25" s="714">
        <f t="shared" si="17"/>
        <v>0</v>
      </c>
      <c r="G25" s="708"/>
      <c r="H25" s="732">
        <f t="shared" si="10"/>
        <v>44004</v>
      </c>
      <c r="I25" s="725"/>
      <c r="J25" s="708">
        <f t="shared" si="3"/>
        <v>0</v>
      </c>
      <c r="K25" s="713">
        <f>'Water-Meter'!G27</f>
        <v>0</v>
      </c>
      <c r="L25" s="738">
        <f t="shared" si="4"/>
        <v>0</v>
      </c>
      <c r="M25" s="742">
        <f t="shared" si="11"/>
        <v>44004</v>
      </c>
      <c r="N25" s="711"/>
      <c r="O25" s="708">
        <f t="shared" si="5"/>
        <v>0</v>
      </c>
      <c r="P25" s="712">
        <f>'Water-Meter'!J27</f>
        <v>0</v>
      </c>
      <c r="Q25" s="738">
        <f t="shared" si="6"/>
        <v>0</v>
      </c>
      <c r="R25" s="764">
        <f t="shared" si="16"/>
        <v>0</v>
      </c>
      <c r="S25" s="765">
        <f>Gen!T32</f>
        <v>0</v>
      </c>
      <c r="T25" s="749">
        <f t="shared" si="12"/>
        <v>44004</v>
      </c>
      <c r="U25" s="711"/>
      <c r="V25" s="714">
        <f t="shared" si="8"/>
        <v>0</v>
      </c>
      <c r="W25" s="710"/>
      <c r="X25" s="752">
        <f t="shared" si="0"/>
        <v>0</v>
      </c>
      <c r="Y25" s="742">
        <f t="shared" si="13"/>
        <v>44004</v>
      </c>
      <c r="Z25" s="711"/>
      <c r="AA25" s="708">
        <f t="shared" si="14"/>
        <v>0</v>
      </c>
      <c r="AB25" s="712">
        <f>'Water-Meter'!P27</f>
        <v>0</v>
      </c>
      <c r="AC25" s="743">
        <f t="shared" si="9"/>
        <v>0</v>
      </c>
    </row>
    <row r="26" spans="1:29" ht="18.75">
      <c r="A26" s="723">
        <f>Gen!C33</f>
        <v>0</v>
      </c>
      <c r="B26" s="731">
        <f>Gen!B33</f>
        <v>44005</v>
      </c>
      <c r="C26" s="711"/>
      <c r="D26" s="714">
        <f t="shared" si="18"/>
        <v>0</v>
      </c>
      <c r="E26" s="709"/>
      <c r="F26" s="714">
        <f t="shared" si="17"/>
        <v>0</v>
      </c>
      <c r="G26" s="708"/>
      <c r="H26" s="732">
        <f t="shared" si="10"/>
        <v>44005</v>
      </c>
      <c r="I26" s="725"/>
      <c r="J26" s="708">
        <f t="shared" si="3"/>
        <v>0</v>
      </c>
      <c r="K26" s="713">
        <f>'Water-Meter'!G28</f>
        <v>0</v>
      </c>
      <c r="L26" s="738">
        <f t="shared" si="4"/>
        <v>0</v>
      </c>
      <c r="M26" s="742">
        <f t="shared" si="11"/>
        <v>44005</v>
      </c>
      <c r="N26" s="711"/>
      <c r="O26" s="708">
        <f t="shared" si="5"/>
        <v>0</v>
      </c>
      <c r="P26" s="712">
        <f>'Water-Meter'!J28</f>
        <v>0</v>
      </c>
      <c r="Q26" s="738">
        <f t="shared" si="6"/>
        <v>0</v>
      </c>
      <c r="R26" s="764">
        <f t="shared" si="16"/>
        <v>0</v>
      </c>
      <c r="S26" s="765">
        <f>Gen!T33</f>
        <v>0</v>
      </c>
      <c r="T26" s="749">
        <f t="shared" si="12"/>
        <v>44005</v>
      </c>
      <c r="U26" s="711"/>
      <c r="V26" s="714">
        <f t="shared" si="8"/>
        <v>0</v>
      </c>
      <c r="W26" s="710"/>
      <c r="X26" s="752">
        <f t="shared" si="0"/>
        <v>0</v>
      </c>
      <c r="Y26" s="742">
        <f t="shared" si="13"/>
        <v>44005</v>
      </c>
      <c r="Z26" s="711"/>
      <c r="AA26" s="708">
        <f t="shared" si="14"/>
        <v>0</v>
      </c>
      <c r="AB26" s="712">
        <f>'Water-Meter'!P28</f>
        <v>0</v>
      </c>
      <c r="AC26" s="743">
        <f t="shared" si="9"/>
        <v>0</v>
      </c>
    </row>
    <row r="27" spans="1:29" ht="18.75">
      <c r="A27" s="723">
        <f>Gen!C34</f>
        <v>0</v>
      </c>
      <c r="B27" s="731">
        <f>Gen!B34</f>
        <v>44006</v>
      </c>
      <c r="C27" s="711"/>
      <c r="D27" s="714">
        <f t="shared" si="18"/>
        <v>0</v>
      </c>
      <c r="E27" s="709"/>
      <c r="F27" s="714">
        <f t="shared" si="17"/>
        <v>0</v>
      </c>
      <c r="G27" s="708"/>
      <c r="H27" s="732">
        <f t="shared" si="10"/>
        <v>44006</v>
      </c>
      <c r="I27" s="725"/>
      <c r="J27" s="708">
        <f t="shared" si="3"/>
        <v>0</v>
      </c>
      <c r="K27" s="713">
        <f>'Water-Meter'!G29</f>
        <v>0</v>
      </c>
      <c r="L27" s="738">
        <f t="shared" si="4"/>
        <v>0</v>
      </c>
      <c r="M27" s="742">
        <f t="shared" si="11"/>
        <v>44006</v>
      </c>
      <c r="N27" s="711"/>
      <c r="O27" s="708">
        <f t="shared" si="5"/>
        <v>0</v>
      </c>
      <c r="P27" s="712">
        <f>'Water-Meter'!J29</f>
        <v>0</v>
      </c>
      <c r="Q27" s="738">
        <f t="shared" si="6"/>
        <v>0</v>
      </c>
      <c r="R27" s="764">
        <f t="shared" si="16"/>
        <v>0</v>
      </c>
      <c r="S27" s="765">
        <f>Gen!T34</f>
        <v>0</v>
      </c>
      <c r="T27" s="749">
        <f t="shared" si="12"/>
        <v>44006</v>
      </c>
      <c r="U27" s="711"/>
      <c r="V27" s="714">
        <f t="shared" si="8"/>
        <v>0</v>
      </c>
      <c r="W27" s="710"/>
      <c r="X27" s="752">
        <f t="shared" si="0"/>
        <v>0</v>
      </c>
      <c r="Y27" s="742">
        <f t="shared" si="13"/>
        <v>44006</v>
      </c>
      <c r="Z27" s="711"/>
      <c r="AA27" s="708">
        <f t="shared" si="14"/>
        <v>0</v>
      </c>
      <c r="AB27" s="712">
        <f>'Water-Meter'!P29</f>
        <v>0</v>
      </c>
      <c r="AC27" s="743">
        <f t="shared" si="9"/>
        <v>0</v>
      </c>
    </row>
    <row r="28" spans="1:29" ht="18.75">
      <c r="A28" s="723">
        <f>Gen!C35</f>
        <v>0</v>
      </c>
      <c r="B28" s="731">
        <f>Gen!B35</f>
        <v>44007</v>
      </c>
      <c r="C28" s="711"/>
      <c r="D28" s="714">
        <f t="shared" si="18"/>
        <v>0</v>
      </c>
      <c r="E28" s="709"/>
      <c r="F28" s="714">
        <f t="shared" si="17"/>
        <v>0</v>
      </c>
      <c r="G28" s="708"/>
      <c r="H28" s="732">
        <f t="shared" si="10"/>
        <v>44007</v>
      </c>
      <c r="I28" s="725"/>
      <c r="J28" s="708">
        <f t="shared" si="3"/>
        <v>0</v>
      </c>
      <c r="K28" s="713">
        <f>'Water-Meter'!G30</f>
        <v>0</v>
      </c>
      <c r="L28" s="738">
        <f t="shared" si="4"/>
        <v>0</v>
      </c>
      <c r="M28" s="742">
        <f t="shared" si="11"/>
        <v>44007</v>
      </c>
      <c r="N28" s="711"/>
      <c r="O28" s="708">
        <f t="shared" si="5"/>
        <v>0</v>
      </c>
      <c r="P28" s="712">
        <f>'Water-Meter'!J30</f>
        <v>0</v>
      </c>
      <c r="Q28" s="738">
        <f t="shared" si="6"/>
        <v>0</v>
      </c>
      <c r="R28" s="764">
        <f t="shared" si="16"/>
        <v>0</v>
      </c>
      <c r="S28" s="765">
        <f>Gen!T35</f>
        <v>0</v>
      </c>
      <c r="T28" s="749">
        <f t="shared" si="12"/>
        <v>44007</v>
      </c>
      <c r="U28" s="711"/>
      <c r="V28" s="714">
        <f t="shared" si="8"/>
        <v>0</v>
      </c>
      <c r="W28" s="710"/>
      <c r="X28" s="752">
        <f t="shared" si="0"/>
        <v>0</v>
      </c>
      <c r="Y28" s="742">
        <f t="shared" si="13"/>
        <v>44007</v>
      </c>
      <c r="Z28" s="711"/>
      <c r="AA28" s="708">
        <f t="shared" si="14"/>
        <v>0</v>
      </c>
      <c r="AB28" s="712">
        <f>'Water-Meter'!P30</f>
        <v>0</v>
      </c>
      <c r="AC28" s="743">
        <f t="shared" si="9"/>
        <v>0</v>
      </c>
    </row>
    <row r="29" spans="1:29" ht="18.75">
      <c r="A29" s="723">
        <f>Gen!C36</f>
        <v>0</v>
      </c>
      <c r="B29" s="731">
        <f>Gen!B36</f>
        <v>44008</v>
      </c>
      <c r="C29" s="711"/>
      <c r="D29" s="714">
        <f t="shared" si="18"/>
        <v>0</v>
      </c>
      <c r="E29" s="709"/>
      <c r="F29" s="714">
        <f t="shared" si="17"/>
        <v>0</v>
      </c>
      <c r="G29" s="708"/>
      <c r="H29" s="732">
        <f t="shared" si="10"/>
        <v>44008</v>
      </c>
      <c r="I29" s="725"/>
      <c r="J29" s="708">
        <f t="shared" si="3"/>
        <v>0</v>
      </c>
      <c r="K29" s="713">
        <f>'Water-Meter'!G31</f>
        <v>0</v>
      </c>
      <c r="L29" s="738">
        <f t="shared" si="4"/>
        <v>0</v>
      </c>
      <c r="M29" s="742">
        <f t="shared" si="11"/>
        <v>44008</v>
      </c>
      <c r="N29" s="711"/>
      <c r="O29" s="708">
        <f t="shared" si="5"/>
        <v>0</v>
      </c>
      <c r="P29" s="712">
        <f>'Water-Meter'!J31</f>
        <v>0</v>
      </c>
      <c r="Q29" s="738">
        <f t="shared" si="6"/>
        <v>0</v>
      </c>
      <c r="R29" s="764">
        <f t="shared" si="16"/>
        <v>0</v>
      </c>
      <c r="S29" s="765">
        <f>Gen!T36</f>
        <v>0</v>
      </c>
      <c r="T29" s="749">
        <f t="shared" si="12"/>
        <v>44008</v>
      </c>
      <c r="U29" s="711"/>
      <c r="V29" s="714">
        <f t="shared" si="8"/>
        <v>0</v>
      </c>
      <c r="W29" s="710"/>
      <c r="X29" s="752">
        <f t="shared" si="0"/>
        <v>0</v>
      </c>
      <c r="Y29" s="742">
        <f t="shared" si="13"/>
        <v>44008</v>
      </c>
      <c r="Z29" s="711"/>
      <c r="AA29" s="708">
        <f t="shared" si="14"/>
        <v>0</v>
      </c>
      <c r="AB29" s="712">
        <f>'Water-Meter'!P31</f>
        <v>0</v>
      </c>
      <c r="AC29" s="743">
        <f t="shared" si="9"/>
        <v>0</v>
      </c>
    </row>
    <row r="30" spans="1:29" ht="18.75">
      <c r="A30" s="723">
        <f>Gen!C37</f>
        <v>0</v>
      </c>
      <c r="B30" s="731">
        <f>Gen!B37</f>
        <v>44009</v>
      </c>
      <c r="C30" s="711"/>
      <c r="D30" s="714">
        <f t="shared" si="18"/>
        <v>0</v>
      </c>
      <c r="E30" s="709"/>
      <c r="F30" s="714">
        <f t="shared" si="17"/>
        <v>0</v>
      </c>
      <c r="G30" s="708"/>
      <c r="H30" s="732">
        <f t="shared" si="10"/>
        <v>44009</v>
      </c>
      <c r="I30" s="725"/>
      <c r="J30" s="708">
        <f t="shared" si="3"/>
        <v>0</v>
      </c>
      <c r="K30" s="713">
        <f>'Water-Meter'!G32</f>
        <v>0</v>
      </c>
      <c r="L30" s="738">
        <f t="shared" si="4"/>
        <v>0</v>
      </c>
      <c r="M30" s="742">
        <f t="shared" si="11"/>
        <v>44009</v>
      </c>
      <c r="N30" s="711"/>
      <c r="O30" s="708">
        <f t="shared" si="5"/>
        <v>0</v>
      </c>
      <c r="P30" s="712">
        <f>'Water-Meter'!J32</f>
        <v>0</v>
      </c>
      <c r="Q30" s="738">
        <f t="shared" si="6"/>
        <v>0</v>
      </c>
      <c r="R30" s="764">
        <f t="shared" si="16"/>
        <v>0</v>
      </c>
      <c r="S30" s="765">
        <f>Gen!T37</f>
        <v>0</v>
      </c>
      <c r="T30" s="749">
        <f t="shared" si="12"/>
        <v>44009</v>
      </c>
      <c r="U30" s="711"/>
      <c r="V30" s="714">
        <f t="shared" si="8"/>
        <v>0</v>
      </c>
      <c r="W30" s="710"/>
      <c r="X30" s="752">
        <f t="shared" si="0"/>
        <v>0</v>
      </c>
      <c r="Y30" s="742">
        <f t="shared" si="13"/>
        <v>44009</v>
      </c>
      <c r="Z30" s="711"/>
      <c r="AA30" s="708">
        <f t="shared" si="14"/>
        <v>0</v>
      </c>
      <c r="AB30" s="712">
        <f>'Water-Meter'!P32</f>
        <v>0</v>
      </c>
      <c r="AC30" s="743">
        <f t="shared" si="9"/>
        <v>0</v>
      </c>
    </row>
    <row r="31" spans="1:29" ht="18.75">
      <c r="A31" s="723">
        <f>Gen!C38</f>
        <v>0</v>
      </c>
      <c r="B31" s="731">
        <f>Gen!B38</f>
        <v>44010</v>
      </c>
      <c r="C31" s="711"/>
      <c r="D31" s="714">
        <f t="shared" si="18"/>
        <v>0</v>
      </c>
      <c r="E31" s="709"/>
      <c r="F31" s="714">
        <f t="shared" si="17"/>
        <v>0</v>
      </c>
      <c r="G31" s="708"/>
      <c r="H31" s="732">
        <f t="shared" si="10"/>
        <v>44010</v>
      </c>
      <c r="I31" s="725"/>
      <c r="J31" s="708">
        <f t="shared" ref="J31:J35" si="19">SUM(K30)</f>
        <v>0</v>
      </c>
      <c r="K31" s="713">
        <f>'Water-Meter'!G33</f>
        <v>0</v>
      </c>
      <c r="L31" s="738">
        <f t="shared" si="4"/>
        <v>0</v>
      </c>
      <c r="M31" s="742">
        <f t="shared" si="11"/>
        <v>44010</v>
      </c>
      <c r="N31" s="711"/>
      <c r="O31" s="708">
        <f t="shared" si="5"/>
        <v>0</v>
      </c>
      <c r="P31" s="712">
        <f>'Water-Meter'!J33</f>
        <v>0</v>
      </c>
      <c r="Q31" s="738">
        <f t="shared" si="6"/>
        <v>0</v>
      </c>
      <c r="R31" s="764">
        <f t="shared" si="16"/>
        <v>0</v>
      </c>
      <c r="S31" s="765">
        <f>Gen!T38</f>
        <v>0</v>
      </c>
      <c r="T31" s="749">
        <f>M31</f>
        <v>44010</v>
      </c>
      <c r="U31" s="711"/>
      <c r="V31" s="714">
        <f t="shared" si="8"/>
        <v>0</v>
      </c>
      <c r="W31" s="710"/>
      <c r="X31" s="752">
        <f t="shared" si="0"/>
        <v>0</v>
      </c>
      <c r="Y31" s="742">
        <f>T31</f>
        <v>44010</v>
      </c>
      <c r="Z31" s="711"/>
      <c r="AA31" s="708">
        <f t="shared" si="14"/>
        <v>0</v>
      </c>
      <c r="AB31" s="712">
        <f>'Water-Meter'!P33</f>
        <v>0</v>
      </c>
      <c r="AC31" s="743">
        <f t="shared" si="9"/>
        <v>0</v>
      </c>
    </row>
    <row r="32" spans="1:29" ht="18.75">
      <c r="A32" s="723">
        <f>Gen!C39</f>
        <v>0</v>
      </c>
      <c r="B32" s="731">
        <f>Gen!B39</f>
        <v>44011</v>
      </c>
      <c r="C32" s="711"/>
      <c r="D32" s="714">
        <f t="shared" si="18"/>
        <v>0</v>
      </c>
      <c r="E32" s="709"/>
      <c r="F32" s="714">
        <f t="shared" si="17"/>
        <v>0</v>
      </c>
      <c r="G32" s="708"/>
      <c r="H32" s="732">
        <f t="shared" si="10"/>
        <v>44011</v>
      </c>
      <c r="I32" s="725"/>
      <c r="J32" s="708">
        <f t="shared" si="19"/>
        <v>0</v>
      </c>
      <c r="K32" s="713">
        <f>'Water-Meter'!G34</f>
        <v>0</v>
      </c>
      <c r="L32" s="738">
        <f t="shared" si="4"/>
        <v>0</v>
      </c>
      <c r="M32" s="742">
        <f t="shared" si="11"/>
        <v>44011</v>
      </c>
      <c r="N32" s="711"/>
      <c r="O32" s="708">
        <f t="shared" si="5"/>
        <v>0</v>
      </c>
      <c r="P32" s="712">
        <f>'Water-Meter'!J34</f>
        <v>0</v>
      </c>
      <c r="Q32" s="738">
        <f t="shared" si="6"/>
        <v>0</v>
      </c>
      <c r="R32" s="764">
        <f t="shared" si="16"/>
        <v>0</v>
      </c>
      <c r="S32" s="765">
        <f>Gen!T39</f>
        <v>0</v>
      </c>
      <c r="T32" s="749">
        <f t="shared" ref="T32:T35" si="20">M32</f>
        <v>44011</v>
      </c>
      <c r="U32" s="711"/>
      <c r="V32" s="714">
        <f t="shared" si="8"/>
        <v>0</v>
      </c>
      <c r="W32" s="710"/>
      <c r="X32" s="752">
        <f t="shared" si="0"/>
        <v>0</v>
      </c>
      <c r="Y32" s="742">
        <f t="shared" ref="Y32:Y35" si="21">T32</f>
        <v>44011</v>
      </c>
      <c r="Z32" s="711"/>
      <c r="AA32" s="708">
        <f t="shared" si="14"/>
        <v>0</v>
      </c>
      <c r="AB32" s="712">
        <f>'Water-Meter'!P34</f>
        <v>0</v>
      </c>
      <c r="AC32" s="743">
        <f t="shared" si="9"/>
        <v>0</v>
      </c>
    </row>
    <row r="33" spans="1:29" ht="18.75">
      <c r="A33" s="723">
        <f>Gen!C40</f>
        <v>0</v>
      </c>
      <c r="B33" s="731">
        <f>Gen!B40</f>
        <v>44012</v>
      </c>
      <c r="C33" s="711"/>
      <c r="D33" s="714">
        <f t="shared" si="18"/>
        <v>0</v>
      </c>
      <c r="E33" s="709"/>
      <c r="F33" s="714">
        <f t="shared" si="17"/>
        <v>0</v>
      </c>
      <c r="G33" s="708"/>
      <c r="H33" s="732">
        <f t="shared" si="10"/>
        <v>44012</v>
      </c>
      <c r="I33" s="725"/>
      <c r="J33" s="708">
        <f t="shared" si="19"/>
        <v>0</v>
      </c>
      <c r="K33" s="713">
        <f>'Water-Meter'!G35</f>
        <v>0</v>
      </c>
      <c r="L33" s="738">
        <f t="shared" si="4"/>
        <v>0</v>
      </c>
      <c r="M33" s="742">
        <f t="shared" si="11"/>
        <v>44012</v>
      </c>
      <c r="N33" s="711"/>
      <c r="O33" s="708">
        <f t="shared" si="5"/>
        <v>0</v>
      </c>
      <c r="P33" s="712">
        <f>'Water-Meter'!J35</f>
        <v>0</v>
      </c>
      <c r="Q33" s="738">
        <f t="shared" si="6"/>
        <v>0</v>
      </c>
      <c r="R33" s="764">
        <f t="shared" si="16"/>
        <v>0</v>
      </c>
      <c r="S33" s="765">
        <f>Gen!T40</f>
        <v>0</v>
      </c>
      <c r="T33" s="749">
        <f t="shared" si="20"/>
        <v>44012</v>
      </c>
      <c r="U33" s="711"/>
      <c r="V33" s="714">
        <f t="shared" si="8"/>
        <v>0</v>
      </c>
      <c r="W33" s="710"/>
      <c r="X33" s="752">
        <f t="shared" si="0"/>
        <v>0</v>
      </c>
      <c r="Y33" s="742">
        <f t="shared" si="21"/>
        <v>44012</v>
      </c>
      <c r="Z33" s="711"/>
      <c r="AA33" s="708">
        <f t="shared" si="14"/>
        <v>0</v>
      </c>
      <c r="AB33" s="712">
        <f>'Water-Meter'!P35</f>
        <v>0</v>
      </c>
      <c r="AC33" s="743">
        <f t="shared" si="9"/>
        <v>0</v>
      </c>
    </row>
    <row r="34" spans="1:29" ht="18.75">
      <c r="A34" s="723">
        <f>Gen!C41</f>
        <v>0</v>
      </c>
      <c r="B34" s="731">
        <f>Gen!B41</f>
        <v>44013</v>
      </c>
      <c r="C34" s="6"/>
      <c r="D34" s="714">
        <f t="shared" si="18"/>
        <v>0</v>
      </c>
      <c r="E34" s="709"/>
      <c r="F34" s="714">
        <f t="shared" si="17"/>
        <v>0</v>
      </c>
      <c r="G34" s="6"/>
      <c r="H34" s="732">
        <f t="shared" si="10"/>
        <v>44013</v>
      </c>
      <c r="I34" s="17"/>
      <c r="J34" s="708">
        <f t="shared" si="19"/>
        <v>0</v>
      </c>
      <c r="K34" s="713">
        <f>'Water-Meter'!G36</f>
        <v>0</v>
      </c>
      <c r="L34" s="738">
        <f t="shared" si="4"/>
        <v>0</v>
      </c>
      <c r="M34" s="742">
        <f t="shared" si="11"/>
        <v>44013</v>
      </c>
      <c r="N34" s="6"/>
      <c r="O34" s="708">
        <f t="shared" ref="O34:O35" si="22">SUM(P33)</f>
        <v>0</v>
      </c>
      <c r="P34" s="712">
        <f>'Water-Meter'!J36</f>
        <v>0</v>
      </c>
      <c r="Q34" s="738">
        <f t="shared" si="6"/>
        <v>0</v>
      </c>
      <c r="R34" s="764">
        <f t="shared" si="16"/>
        <v>0</v>
      </c>
      <c r="S34" s="765">
        <f>Gen!T41</f>
        <v>0</v>
      </c>
      <c r="T34" s="749">
        <f t="shared" si="20"/>
        <v>44013</v>
      </c>
      <c r="U34" s="6"/>
      <c r="V34" s="714">
        <f t="shared" ref="V34:V35" si="23">SUM(W33)</f>
        <v>0</v>
      </c>
      <c r="W34" s="710"/>
      <c r="X34" s="752">
        <f t="shared" si="0"/>
        <v>0</v>
      </c>
      <c r="Y34" s="742">
        <f t="shared" si="21"/>
        <v>44013</v>
      </c>
      <c r="Z34" s="6"/>
      <c r="AA34" s="708">
        <f t="shared" si="14"/>
        <v>0</v>
      </c>
      <c r="AB34" s="712">
        <f>'Water-Meter'!P36</f>
        <v>0</v>
      </c>
      <c r="AC34" s="743">
        <f t="shared" si="9"/>
        <v>0</v>
      </c>
    </row>
    <row r="35" spans="1:29" ht="20.25" customHeight="1" thickBot="1">
      <c r="A35" s="723" t="e">
        <f>[1]Gen!B42</f>
        <v>#REF!</v>
      </c>
      <c r="B35" s="733" t="e">
        <f>[1]Gen!A42</f>
        <v>#REF!</v>
      </c>
      <c r="C35" s="8"/>
      <c r="D35" s="734">
        <f t="shared" si="18"/>
        <v>0</v>
      </c>
      <c r="E35" s="735"/>
      <c r="F35" s="736">
        <f>SUM(F4:F6)</f>
        <v>347.99999999995634</v>
      </c>
      <c r="G35" s="8"/>
      <c r="H35" s="737" t="e">
        <f t="shared" si="10"/>
        <v>#REF!</v>
      </c>
      <c r="I35" s="83"/>
      <c r="J35" s="745">
        <f t="shared" si="19"/>
        <v>0</v>
      </c>
      <c r="K35" s="758">
        <f>'Water-Meter'!G37</f>
        <v>0</v>
      </c>
      <c r="L35" s="759" t="e">
        <f>SUM(L5:L34)</f>
        <v>#VALUE!</v>
      </c>
      <c r="M35" s="744" t="e">
        <f t="shared" si="11"/>
        <v>#REF!</v>
      </c>
      <c r="N35" s="8"/>
      <c r="O35" s="745">
        <f t="shared" si="22"/>
        <v>0</v>
      </c>
      <c r="P35" s="746">
        <f>'Water-Meter'!J37</f>
        <v>0</v>
      </c>
      <c r="Q35" s="759">
        <f>SUM(Q5:Q34)</f>
        <v>-7925</v>
      </c>
      <c r="R35" s="766">
        <f t="shared" si="16"/>
        <v>-4.9071207430340555</v>
      </c>
      <c r="S35" s="767">
        <f>Gen!T42</f>
        <v>0</v>
      </c>
      <c r="T35" s="761" t="e">
        <f t="shared" si="20"/>
        <v>#REF!</v>
      </c>
      <c r="U35" s="8"/>
      <c r="V35" s="734">
        <f t="shared" si="23"/>
        <v>0</v>
      </c>
      <c r="W35" s="753"/>
      <c r="X35" s="754">
        <f t="shared" si="0"/>
        <v>0</v>
      </c>
      <c r="Y35" s="744" t="e">
        <f t="shared" si="21"/>
        <v>#REF!</v>
      </c>
      <c r="Z35" s="8"/>
      <c r="AA35" s="745">
        <f t="shared" si="14"/>
        <v>0</v>
      </c>
      <c r="AB35" s="746">
        <f>'Water-Meter'!P37</f>
        <v>0</v>
      </c>
      <c r="AC35" s="747">
        <f>SUM(AC5:AC34)</f>
        <v>-20149</v>
      </c>
    </row>
    <row r="36" spans="1:29" ht="24.75" customHeight="1">
      <c r="D36" s="20"/>
      <c r="E36" s="458"/>
      <c r="L36" s="153"/>
      <c r="Q36" s="153"/>
      <c r="R36" s="200"/>
      <c r="X36" s="456">
        <f>SUM(X4:X6)</f>
        <v>60.00000000003638</v>
      </c>
      <c r="AC36" s="153"/>
    </row>
    <row r="37" spans="1:29" ht="12.75" customHeight="1">
      <c r="D37" s="20"/>
      <c r="E37" s="458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8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8"/>
      <c r="G41" s="20"/>
    </row>
    <row r="42" spans="1:29" ht="12.75" customHeight="1">
      <c r="C42" s="196"/>
      <c r="E42" s="459"/>
      <c r="G42" s="20"/>
      <c r="U42" s="196"/>
    </row>
    <row r="43" spans="1:29" ht="18.75">
      <c r="E43" s="458"/>
    </row>
    <row r="44" spans="1:29">
      <c r="E44" s="459"/>
    </row>
    <row r="45" spans="1:29" ht="18.75">
      <c r="E45" s="458"/>
    </row>
    <row r="46" spans="1:29">
      <c r="E46" s="459"/>
    </row>
    <row r="47" spans="1:29" ht="18.75">
      <c r="E47" s="458"/>
    </row>
    <row r="48" spans="1:29">
      <c r="E48" s="459"/>
    </row>
    <row r="49" spans="5:5" ht="18.75">
      <c r="E49" s="458"/>
    </row>
    <row r="50" spans="5:5">
      <c r="E50" s="459"/>
    </row>
    <row r="51" spans="5:5" ht="18.75">
      <c r="E51" s="458"/>
    </row>
    <row r="52" spans="5:5">
      <c r="E52" s="459"/>
    </row>
    <row r="53" spans="5:5" ht="18.75">
      <c r="E53" s="45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3" t="s">
        <v>314</v>
      </c>
      <c r="B2" s="804"/>
      <c r="C2" s="804"/>
      <c r="D2" s="804"/>
      <c r="E2" s="805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6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43983</v>
      </c>
      <c r="B5" s="377">
        <f>'Daily report Gen'!Z6</f>
        <v>25</v>
      </c>
      <c r="C5" s="89">
        <f>Gen!C11</f>
        <v>0</v>
      </c>
      <c r="D5" s="516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0">
        <f>Gen!D11</f>
        <v>32059.94</v>
      </c>
      <c r="K5" s="350">
        <f>'Water-Meter'!E6</f>
        <v>43</v>
      </c>
      <c r="L5" s="531">
        <f>'Lpg (2)'!G10</f>
        <v>0</v>
      </c>
      <c r="M5" s="81" t="e">
        <f>SUM(#REF!-#REF!)</f>
        <v>#REF!</v>
      </c>
    </row>
    <row r="6" spans="1:13">
      <c r="A6" s="54">
        <f>Gen!B12</f>
        <v>43984</v>
      </c>
      <c r="B6" s="377">
        <f>'Daily report Gen'!Z7</f>
        <v>25</v>
      </c>
      <c r="C6" s="89">
        <f>Gen!C12</f>
        <v>0</v>
      </c>
      <c r="D6" s="516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0">
        <f>Gen!D12</f>
        <v>31390.42</v>
      </c>
      <c r="K6" s="350">
        <f>'Water-Meter'!E7</f>
        <v>49</v>
      </c>
      <c r="L6" s="531">
        <f>'Lpg (2)'!G11</f>
        <v>25.520000000012807</v>
      </c>
      <c r="M6" s="81" t="e">
        <f>SUM(#REF!-#REF!)</f>
        <v>#REF!</v>
      </c>
    </row>
    <row r="7" spans="1:13">
      <c r="A7" s="54">
        <f>Gen!B13</f>
        <v>43985</v>
      </c>
      <c r="B7" s="377">
        <f>'Daily report Gen'!Z8</f>
        <v>24</v>
      </c>
      <c r="C7" s="89">
        <f>Gen!C13</f>
        <v>0</v>
      </c>
      <c r="D7" s="516">
        <f t="shared" si="0"/>
        <v>0</v>
      </c>
      <c r="E7" s="76"/>
      <c r="F7" s="72">
        <f>Gen!U11</f>
        <v>1573</v>
      </c>
      <c r="G7" s="87">
        <f>Gen!T11</f>
        <v>669.52</v>
      </c>
      <c r="H7" s="87">
        <f>Gen!AK13</f>
        <v>0</v>
      </c>
      <c r="I7" s="87">
        <f t="shared" si="1"/>
        <v>669.52</v>
      </c>
      <c r="J7" s="530">
        <f>Gen!D13</f>
        <v>45705.09</v>
      </c>
      <c r="K7" s="350">
        <f>'Water-Meter'!E8</f>
        <v>41</v>
      </c>
      <c r="L7" s="531">
        <f>'Lpg (2)'!G12</f>
        <v>14.563999999989756</v>
      </c>
      <c r="M7" s="81" t="e">
        <f>SUM(#REF!-#REF!)</f>
        <v>#REF!</v>
      </c>
    </row>
    <row r="8" spans="1:13">
      <c r="A8" s="54">
        <f>Gen!B14</f>
        <v>43986</v>
      </c>
      <c r="B8" s="377">
        <f>'Daily report Gen'!Z9</f>
        <v>24</v>
      </c>
      <c r="C8" s="89">
        <f>Gen!C14</f>
        <v>0</v>
      </c>
      <c r="D8" s="516">
        <f>E8</f>
        <v>0</v>
      </c>
      <c r="E8" s="76"/>
      <c r="F8" s="72">
        <f>Gen!U12</f>
        <v>1638</v>
      </c>
      <c r="G8" s="87">
        <f>Gen!T12</f>
        <v>685.33</v>
      </c>
      <c r="H8" s="87">
        <f>Gen!AK14</f>
        <v>0</v>
      </c>
      <c r="I8" s="87">
        <f t="shared" si="1"/>
        <v>685.33</v>
      </c>
      <c r="J8" s="530">
        <f>Gen!D14</f>
        <v>44977.06</v>
      </c>
      <c r="K8" s="350">
        <f>'Water-Meter'!E9</f>
        <v>86</v>
      </c>
      <c r="L8" s="531">
        <f>'Lpg (2)'!G13</f>
        <v>24.024000000028174</v>
      </c>
      <c r="M8" s="81" t="e">
        <f>SUM(#REF!-#REF!)</f>
        <v>#REF!</v>
      </c>
    </row>
    <row r="9" spans="1:13">
      <c r="A9" s="54">
        <f>Gen!B15</f>
        <v>43987</v>
      </c>
      <c r="B9" s="377">
        <f>'Daily report Gen'!Z10</f>
        <v>25</v>
      </c>
      <c r="C9" s="89">
        <f>Gen!C15</f>
        <v>0</v>
      </c>
      <c r="D9" s="516">
        <f t="shared" si="0"/>
        <v>0</v>
      </c>
      <c r="E9" s="76"/>
      <c r="F9" s="72">
        <f>Gen!U13</f>
        <v>1600</v>
      </c>
      <c r="G9" s="87">
        <f>Gen!T13</f>
        <v>728.03</v>
      </c>
      <c r="H9" s="87">
        <f>Gen!AK15</f>
        <v>0</v>
      </c>
      <c r="I9" s="87">
        <f t="shared" si="1"/>
        <v>728.03</v>
      </c>
      <c r="J9" s="530">
        <f>Gen!D15</f>
        <v>44283.18</v>
      </c>
      <c r="K9" s="350">
        <f>'Water-Meter'!E10</f>
        <v>82</v>
      </c>
      <c r="L9" s="531">
        <f>'Lpg (2)'!G14</f>
        <v>31.152000000007686</v>
      </c>
      <c r="M9" s="81" t="e">
        <f>SUM(#REF!-#REF!)</f>
        <v>#REF!</v>
      </c>
    </row>
    <row r="10" spans="1:13">
      <c r="A10" s="54">
        <f>Gen!B16</f>
        <v>43988</v>
      </c>
      <c r="B10" s="377">
        <f>'Daily report Gen'!Z11</f>
        <v>-151500</v>
      </c>
      <c r="C10" s="89">
        <f>Gen!C16</f>
        <v>0</v>
      </c>
      <c r="D10" s="516">
        <f t="shared" si="0"/>
        <v>0</v>
      </c>
      <c r="E10" s="76"/>
      <c r="F10" s="72">
        <f>Gen!U14</f>
        <v>1594</v>
      </c>
      <c r="G10" s="87">
        <f>Gen!T14</f>
        <v>693.88</v>
      </c>
      <c r="H10" s="87">
        <f>Gen!AK16</f>
        <v>0</v>
      </c>
      <c r="I10" s="87">
        <f t="shared" si="1"/>
        <v>693.88</v>
      </c>
      <c r="J10" s="530">
        <f>Gen!D16</f>
        <v>43574.25</v>
      </c>
      <c r="K10" s="350" t="str">
        <f>'Water-Meter'!E11</f>
        <v>0</v>
      </c>
      <c r="L10" s="531">
        <f>'Lpg (2)'!G15</f>
        <v>15.135999999946216</v>
      </c>
      <c r="M10" s="81" t="e">
        <f>SUM(#REF!-#REF!)</f>
        <v>#REF!</v>
      </c>
    </row>
    <row r="11" spans="1:13">
      <c r="A11" s="54">
        <f>Gen!B17</f>
        <v>43989</v>
      </c>
      <c r="B11" s="377">
        <f>'Daily report Gen'!Z12</f>
        <v>0</v>
      </c>
      <c r="C11" s="89">
        <f>Gen!C17</f>
        <v>0</v>
      </c>
      <c r="D11" s="516">
        <f t="shared" si="0"/>
        <v>0</v>
      </c>
      <c r="E11" s="76"/>
      <c r="F11" s="72">
        <f>Gen!U15</f>
        <v>1658</v>
      </c>
      <c r="G11" s="87">
        <f>Gen!T15</f>
        <v>708.93000000000006</v>
      </c>
      <c r="H11" s="87">
        <f>Gen!AK17</f>
        <v>0</v>
      </c>
      <c r="I11" s="87">
        <f t="shared" si="1"/>
        <v>708.93000000000006</v>
      </c>
      <c r="J11" s="530">
        <f>Gen!D17</f>
        <v>43574.25</v>
      </c>
      <c r="K11" s="350">
        <f>'Water-Meter'!E12</f>
        <v>0</v>
      </c>
      <c r="L11" s="531">
        <f>'Lpg (2)'!G16</f>
        <v>-314134.74400000001</v>
      </c>
      <c r="M11" s="81" t="e">
        <f>SUM(#REF!-#REF!)</f>
        <v>#REF!</v>
      </c>
    </row>
    <row r="12" spans="1:13">
      <c r="A12" s="54">
        <f>Gen!B18</f>
        <v>43990</v>
      </c>
      <c r="B12" s="377">
        <f>'Daily report Gen'!Z13</f>
        <v>0</v>
      </c>
      <c r="C12" s="89">
        <f>Gen!C18</f>
        <v>0</v>
      </c>
      <c r="D12" s="516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0">
        <f>Gen!D18</f>
        <v>43574.25</v>
      </c>
      <c r="K12" s="350">
        <f>'Water-Meter'!E13</f>
        <v>0</v>
      </c>
      <c r="L12" s="531">
        <f>'Lpg (2)'!G17</f>
        <v>0</v>
      </c>
      <c r="M12" s="81" t="e">
        <f>SUM(#REF!-#REF!)</f>
        <v>#REF!</v>
      </c>
    </row>
    <row r="13" spans="1:13">
      <c r="A13" s="54">
        <f>Gen!B19</f>
        <v>43991</v>
      </c>
      <c r="B13" s="377">
        <f>'Daily report Gen'!Z14</f>
        <v>0</v>
      </c>
      <c r="C13" s="89">
        <f>Gen!C19</f>
        <v>0</v>
      </c>
      <c r="D13" s="516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0">
        <f>Gen!D19</f>
        <v>43574.25</v>
      </c>
      <c r="K13" s="350">
        <f>'Water-Meter'!E14</f>
        <v>0</v>
      </c>
      <c r="L13" s="531">
        <f>'Lpg (2)'!G18</f>
        <v>0</v>
      </c>
      <c r="M13" s="81" t="e">
        <f>SUM(#REF!-#REF!)</f>
        <v>#REF!</v>
      </c>
    </row>
    <row r="14" spans="1:13">
      <c r="A14" s="54">
        <f>Gen!B20</f>
        <v>43992</v>
      </c>
      <c r="B14" s="377">
        <f>'Daily report Gen'!Z15</f>
        <v>0</v>
      </c>
      <c r="C14" s="89">
        <f>Gen!C20</f>
        <v>0</v>
      </c>
      <c r="D14" s="516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0">
        <f>Gen!D20</f>
        <v>43574.25</v>
      </c>
      <c r="K14" s="350">
        <f>'Water-Meter'!E15</f>
        <v>0</v>
      </c>
      <c r="L14" s="531">
        <f>'Lpg (2)'!G19</f>
        <v>0</v>
      </c>
      <c r="M14" s="81" t="e">
        <f>SUM(#REF!-#REF!)</f>
        <v>#REF!</v>
      </c>
    </row>
    <row r="15" spans="1:13">
      <c r="A15" s="54">
        <f>Gen!B21</f>
        <v>43993</v>
      </c>
      <c r="B15" s="377">
        <f>'Daily report Gen'!Z16</f>
        <v>0</v>
      </c>
      <c r="C15" s="89">
        <f>Gen!C21</f>
        <v>0</v>
      </c>
      <c r="D15" s="516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0">
        <f>Gen!D21</f>
        <v>43574.25</v>
      </c>
      <c r="K15" s="350">
        <f>'Water-Meter'!E16</f>
        <v>0</v>
      </c>
      <c r="L15" s="531">
        <f>'Lpg (2)'!G20</f>
        <v>0</v>
      </c>
      <c r="M15" s="81" t="e">
        <f>SUM(#REF!-#REF!)</f>
        <v>#REF!</v>
      </c>
    </row>
    <row r="16" spans="1:13">
      <c r="A16" s="54">
        <f>Gen!B22</f>
        <v>43994</v>
      </c>
      <c r="B16" s="377">
        <f>'Daily report Gen'!Z17</f>
        <v>0</v>
      </c>
      <c r="C16" s="89">
        <f>Gen!C22</f>
        <v>0</v>
      </c>
      <c r="D16" s="516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0">
        <f>Gen!D22</f>
        <v>43574.25</v>
      </c>
      <c r="K16" s="350">
        <f>'Water-Meter'!E17</f>
        <v>0</v>
      </c>
      <c r="L16" s="531">
        <f>'Lpg (2)'!G21</f>
        <v>0</v>
      </c>
      <c r="M16" s="81" t="e">
        <f>SUM(#REF!-#REF!)</f>
        <v>#REF!</v>
      </c>
    </row>
    <row r="17" spans="1:13">
      <c r="A17" s="54">
        <f>Gen!B23</f>
        <v>43995</v>
      </c>
      <c r="B17" s="377">
        <f>'Daily report Gen'!Z18</f>
        <v>0</v>
      </c>
      <c r="C17" s="89">
        <f>Gen!C23</f>
        <v>0</v>
      </c>
      <c r="D17" s="516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0">
        <f>Gen!D23</f>
        <v>43574.25</v>
      </c>
      <c r="K17" s="350">
        <f>'Water-Meter'!E18</f>
        <v>0</v>
      </c>
      <c r="L17" s="531">
        <f>'Lpg (2)'!G22</f>
        <v>0</v>
      </c>
      <c r="M17" s="81" t="e">
        <f>SUM(#REF!-#REF!)</f>
        <v>#REF!</v>
      </c>
    </row>
    <row r="18" spans="1:13">
      <c r="A18" s="54">
        <f>Gen!B24</f>
        <v>43996</v>
      </c>
      <c r="B18" s="377">
        <f>'Daily report Gen'!Z19</f>
        <v>0</v>
      </c>
      <c r="C18" s="89">
        <f>Gen!C24</f>
        <v>0</v>
      </c>
      <c r="D18" s="516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0">
        <f>Gen!D24</f>
        <v>43574.25</v>
      </c>
      <c r="K18" s="350">
        <f>'Water-Meter'!E19</f>
        <v>0</v>
      </c>
      <c r="L18" s="531">
        <f>'Lpg (2)'!G23</f>
        <v>0</v>
      </c>
      <c r="M18" s="81" t="e">
        <f>SUM(#REF!-#REF!)</f>
        <v>#REF!</v>
      </c>
    </row>
    <row r="19" spans="1:13">
      <c r="A19" s="54">
        <f>Gen!B25</f>
        <v>43997</v>
      </c>
      <c r="B19" s="377">
        <f>'Daily report Gen'!Z20</f>
        <v>0</v>
      </c>
      <c r="C19" s="89">
        <f>Gen!C25</f>
        <v>0</v>
      </c>
      <c r="D19" s="516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0">
        <f>Gen!D25</f>
        <v>43574.25</v>
      </c>
      <c r="K19" s="350">
        <f>'Water-Meter'!E20</f>
        <v>0</v>
      </c>
      <c r="L19" s="531">
        <f>'Lpg (2)'!G24</f>
        <v>0</v>
      </c>
      <c r="M19" s="81" t="e">
        <f>SUM(#REF!-#REF!)</f>
        <v>#REF!</v>
      </c>
    </row>
    <row r="20" spans="1:13">
      <c r="A20" s="54">
        <f>Gen!B26</f>
        <v>43998</v>
      </c>
      <c r="B20" s="377">
        <f>'Daily report Gen'!Z21</f>
        <v>0</v>
      </c>
      <c r="C20" s="89">
        <f>Gen!C26</f>
        <v>0</v>
      </c>
      <c r="D20" s="516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0">
        <f>Gen!D26</f>
        <v>43574.25</v>
      </c>
      <c r="K20" s="350">
        <f>'Water-Meter'!E21</f>
        <v>0</v>
      </c>
      <c r="L20" s="531">
        <f>'Lpg (2)'!G25</f>
        <v>0</v>
      </c>
      <c r="M20" s="81" t="e">
        <f>SUM(#REF!-#REF!)</f>
        <v>#REF!</v>
      </c>
    </row>
    <row r="21" spans="1:13">
      <c r="A21" s="54">
        <f>Gen!B27</f>
        <v>43999</v>
      </c>
      <c r="B21" s="377">
        <f>'Daily report Gen'!Z22</f>
        <v>0</v>
      </c>
      <c r="C21" s="89">
        <f>Gen!C27</f>
        <v>0</v>
      </c>
      <c r="D21" s="516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0">
        <f>Gen!D27</f>
        <v>43574.25</v>
      </c>
      <c r="K21" s="350">
        <f>'Water-Meter'!E22</f>
        <v>0</v>
      </c>
      <c r="L21" s="531">
        <f>'Lpg (2)'!G26</f>
        <v>0</v>
      </c>
      <c r="M21" s="81" t="e">
        <f>SUM(#REF!-#REF!)</f>
        <v>#REF!</v>
      </c>
    </row>
    <row r="22" spans="1:13">
      <c r="A22" s="54">
        <f>Gen!B28</f>
        <v>44000</v>
      </c>
      <c r="B22" s="377">
        <f>'Daily report Gen'!Z23</f>
        <v>0</v>
      </c>
      <c r="C22" s="89">
        <f>Gen!C28</f>
        <v>0</v>
      </c>
      <c r="D22" s="516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0">
        <f>Gen!D28</f>
        <v>43574.25</v>
      </c>
      <c r="K22" s="350">
        <f>'Water-Meter'!E23</f>
        <v>0</v>
      </c>
      <c r="L22" s="531">
        <f>'Lpg (2)'!G27</f>
        <v>0</v>
      </c>
      <c r="M22" s="81" t="e">
        <f>SUM(#REF!-#REF!)</f>
        <v>#REF!</v>
      </c>
    </row>
    <row r="23" spans="1:13">
      <c r="A23" s="54">
        <f>Gen!B29</f>
        <v>44001</v>
      </c>
      <c r="B23" s="377">
        <f>'Daily report Gen'!Z24</f>
        <v>0</v>
      </c>
      <c r="C23" s="89">
        <f>Gen!C29</f>
        <v>0</v>
      </c>
      <c r="D23" s="516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0">
        <f>Gen!D29</f>
        <v>43574.25</v>
      </c>
      <c r="K23" s="350">
        <f>'Water-Meter'!E24</f>
        <v>0</v>
      </c>
      <c r="L23" s="531">
        <f>'Lpg (2)'!G28</f>
        <v>0</v>
      </c>
      <c r="M23" s="81" t="e">
        <f>SUM(#REF!-#REF!)</f>
        <v>#REF!</v>
      </c>
    </row>
    <row r="24" spans="1:13">
      <c r="A24" s="54">
        <f>Gen!B30</f>
        <v>44002</v>
      </c>
      <c r="B24" s="377">
        <f>'Daily report Gen'!Z25</f>
        <v>0</v>
      </c>
      <c r="C24" s="89">
        <f>Gen!C30</f>
        <v>0</v>
      </c>
      <c r="D24" s="516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0">
        <f>Gen!D30</f>
        <v>43574.25</v>
      </c>
      <c r="K24" s="350">
        <f>'Water-Meter'!E25</f>
        <v>0</v>
      </c>
      <c r="L24" s="531">
        <f>'Lpg (2)'!G29</f>
        <v>0</v>
      </c>
      <c r="M24" s="81" t="e">
        <f>SUM(#REF!-#REF!)</f>
        <v>#REF!</v>
      </c>
    </row>
    <row r="25" spans="1:13">
      <c r="A25" s="54">
        <f>Gen!B31</f>
        <v>44003</v>
      </c>
      <c r="B25" s="377">
        <f>'Daily report Gen'!Z26</f>
        <v>0</v>
      </c>
      <c r="C25" s="89">
        <f>Gen!C31</f>
        <v>0</v>
      </c>
      <c r="D25" s="516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0">
        <f>Gen!D31</f>
        <v>43574.25</v>
      </c>
      <c r="K25" s="350">
        <f>'Water-Meter'!E26</f>
        <v>0</v>
      </c>
      <c r="L25" s="531">
        <f>'Lpg (2)'!G30</f>
        <v>0</v>
      </c>
      <c r="M25" s="81" t="e">
        <f>SUM(#REF!-#REF!)</f>
        <v>#REF!</v>
      </c>
    </row>
    <row r="26" spans="1:13">
      <c r="A26" s="54">
        <f>Gen!B32</f>
        <v>44004</v>
      </c>
      <c r="B26" s="377">
        <f>'Daily report Gen'!Z27</f>
        <v>0</v>
      </c>
      <c r="C26" s="89">
        <f>Gen!C32</f>
        <v>0</v>
      </c>
      <c r="D26" s="516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0">
        <f>Gen!D32</f>
        <v>43574.25</v>
      </c>
      <c r="K26" s="350">
        <f>'Water-Meter'!E27</f>
        <v>0</v>
      </c>
      <c r="L26" s="531">
        <f>'Lpg (2)'!G31</f>
        <v>0</v>
      </c>
      <c r="M26" s="81" t="e">
        <f>SUM(#REF!-#REF!)</f>
        <v>#REF!</v>
      </c>
    </row>
    <row r="27" spans="1:13">
      <c r="A27" s="54">
        <f>Gen!B33</f>
        <v>44005</v>
      </c>
      <c r="B27" s="377">
        <f>'Daily report Gen'!Z28</f>
        <v>0</v>
      </c>
      <c r="C27" s="89">
        <f>Gen!C33</f>
        <v>0</v>
      </c>
      <c r="D27" s="516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0">
        <f>Gen!D33</f>
        <v>43574.25</v>
      </c>
      <c r="K27" s="350">
        <f>'Water-Meter'!E28</f>
        <v>0</v>
      </c>
      <c r="L27" s="531">
        <f>'Lpg (2)'!G32</f>
        <v>0</v>
      </c>
      <c r="M27" s="81" t="e">
        <f>SUM(#REF!-#REF!)</f>
        <v>#REF!</v>
      </c>
    </row>
    <row r="28" spans="1:13">
      <c r="A28" s="54">
        <f>Gen!B34</f>
        <v>44006</v>
      </c>
      <c r="B28" s="377">
        <f>'Daily report Gen'!Z29</f>
        <v>0</v>
      </c>
      <c r="C28" s="89">
        <f>Gen!C34</f>
        <v>0</v>
      </c>
      <c r="D28" s="516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0">
        <f>Gen!D34</f>
        <v>43574.25</v>
      </c>
      <c r="K28" s="350">
        <f>'Water-Meter'!E29</f>
        <v>0</v>
      </c>
      <c r="L28" s="531">
        <f>'Lpg (2)'!G33</f>
        <v>0</v>
      </c>
      <c r="M28" s="81" t="e">
        <f>SUM(#REF!-#REF!)</f>
        <v>#REF!</v>
      </c>
    </row>
    <row r="29" spans="1:13">
      <c r="A29" s="54">
        <f>Gen!B35</f>
        <v>44007</v>
      </c>
      <c r="B29" s="377">
        <f>'Daily report Gen'!Z30</f>
        <v>0</v>
      </c>
      <c r="C29" s="89">
        <f>Gen!C35</f>
        <v>0</v>
      </c>
      <c r="D29" s="516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0">
        <f>Gen!D35</f>
        <v>43574.25</v>
      </c>
      <c r="K29" s="350">
        <f>'Water-Meter'!E30</f>
        <v>0</v>
      </c>
      <c r="L29" s="531">
        <f>'Lpg (2)'!G34</f>
        <v>0</v>
      </c>
      <c r="M29" s="81" t="e">
        <f>SUM(#REF!-#REF!)</f>
        <v>#REF!</v>
      </c>
    </row>
    <row r="30" spans="1:13">
      <c r="A30" s="54">
        <f>Gen!B36</f>
        <v>44008</v>
      </c>
      <c r="B30" s="377">
        <f>'Daily report Gen'!Z31</f>
        <v>0</v>
      </c>
      <c r="C30" s="89">
        <f>Gen!C36</f>
        <v>0</v>
      </c>
      <c r="D30" s="516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0">
        <f>Gen!D36</f>
        <v>43574.25</v>
      </c>
      <c r="K30" s="350">
        <f>'Water-Meter'!E31</f>
        <v>0</v>
      </c>
      <c r="L30" s="531">
        <f>'Lpg (2)'!G35</f>
        <v>0</v>
      </c>
      <c r="M30" s="81" t="e">
        <f>SUM(#REF!-#REF!)</f>
        <v>#REF!</v>
      </c>
    </row>
    <row r="31" spans="1:13">
      <c r="A31" s="54">
        <f>Gen!B37</f>
        <v>44009</v>
      </c>
      <c r="B31" s="377">
        <f>'Daily report Gen'!Z32</f>
        <v>0</v>
      </c>
      <c r="C31" s="89">
        <f>Gen!C37</f>
        <v>0</v>
      </c>
      <c r="D31" s="516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0">
        <f>Gen!D37</f>
        <v>43574.25</v>
      </c>
      <c r="K31" s="350">
        <f>'Water-Meter'!E32</f>
        <v>0</v>
      </c>
      <c r="L31" s="531">
        <f>'Lpg (2)'!G36</f>
        <v>0</v>
      </c>
      <c r="M31" s="81" t="e">
        <f>SUM(#REF!-#REF!)</f>
        <v>#REF!</v>
      </c>
    </row>
    <row r="32" spans="1:13">
      <c r="A32" s="54">
        <f>Gen!B38</f>
        <v>44010</v>
      </c>
      <c r="B32" s="377">
        <f>'Daily report Gen'!Z33</f>
        <v>0</v>
      </c>
      <c r="C32" s="89">
        <f>Gen!C38</f>
        <v>0</v>
      </c>
      <c r="D32" s="516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0">
        <f>Gen!D38</f>
        <v>43574.25</v>
      </c>
      <c r="K32" s="350">
        <f>'Water-Meter'!E33</f>
        <v>0</v>
      </c>
      <c r="L32" s="531">
        <f>'Lpg (2)'!G37</f>
        <v>0</v>
      </c>
      <c r="M32" s="81" t="e">
        <f>SUM(#REF!-#REF!)</f>
        <v>#REF!</v>
      </c>
    </row>
    <row r="33" spans="1:13">
      <c r="A33" s="54">
        <f>Gen!B39</f>
        <v>44011</v>
      </c>
      <c r="B33" s="377">
        <f>'Daily report Gen'!Z34</f>
        <v>0</v>
      </c>
      <c r="C33" s="89">
        <f>Gen!C39</f>
        <v>0</v>
      </c>
      <c r="D33" s="516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0">
        <f>Gen!D39</f>
        <v>43574.25</v>
      </c>
      <c r="K33" s="350">
        <f>'Water-Meter'!E34</f>
        <v>0</v>
      </c>
      <c r="L33" s="531">
        <f>'Lpg (2)'!G38</f>
        <v>0</v>
      </c>
      <c r="M33" s="81" t="e">
        <f>SUM(#REF!-#REF!)</f>
        <v>#REF!</v>
      </c>
    </row>
    <row r="34" spans="1:13">
      <c r="A34" s="54">
        <f>Gen!B40</f>
        <v>44012</v>
      </c>
      <c r="B34" s="377">
        <f>'Daily report Gen'!Z35</f>
        <v>0</v>
      </c>
      <c r="C34" s="89">
        <f>Gen!C40</f>
        <v>0</v>
      </c>
      <c r="D34" s="516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0">
        <f>Gen!D40</f>
        <v>43574.25</v>
      </c>
      <c r="K34" s="350">
        <f>'Water-Meter'!E35</f>
        <v>0</v>
      </c>
      <c r="L34" s="531">
        <f>'Lpg (2)'!G39</f>
        <v>0</v>
      </c>
      <c r="M34" s="81" t="e">
        <f>SUM(#REF!-#REF!)</f>
        <v>#REF!</v>
      </c>
    </row>
    <row r="35" spans="1:13">
      <c r="A35" s="54">
        <f>Gen!B41</f>
        <v>44013</v>
      </c>
      <c r="B35" s="377">
        <f>'Daily report Gen'!Z36</f>
        <v>0</v>
      </c>
      <c r="C35" s="89">
        <f>Gen!C41</f>
        <v>0</v>
      </c>
      <c r="D35" s="516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0">
        <f>Gen!D41</f>
        <v>43574.25</v>
      </c>
      <c r="K35" s="350">
        <f>'Water-Meter'!E36</f>
        <v>0</v>
      </c>
      <c r="L35" s="531">
        <f>'Lpg (2)'!G40</f>
        <v>0</v>
      </c>
      <c r="M35" s="81" t="e">
        <f>SUM(#REF!-#REF!)</f>
        <v>#REF!</v>
      </c>
    </row>
    <row r="36" spans="1:13">
      <c r="A36" s="54">
        <f>Gen!B42</f>
        <v>44014</v>
      </c>
      <c r="B36" s="377">
        <f>'Daily report Gen'!Z37</f>
        <v>0</v>
      </c>
      <c r="C36" s="89">
        <f>Gen!C42</f>
        <v>0</v>
      </c>
      <c r="D36" s="516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0">
        <f>Gen!D42</f>
        <v>43574.25</v>
      </c>
      <c r="K36" s="350">
        <f>'Water-Meter'!E37</f>
        <v>0</v>
      </c>
      <c r="L36" s="531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AA13" sqref="AA13:AA1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6">
        <v>43983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20"/>
    </row>
    <row r="2" spans="1:29" ht="12" customHeight="1" thickBot="1">
      <c r="A2" s="807"/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8" t="s">
        <v>299</v>
      </c>
      <c r="L3" s="809"/>
      <c r="M3" s="810"/>
      <c r="N3" s="808" t="s">
        <v>300</v>
      </c>
      <c r="O3" s="809"/>
      <c r="P3" s="810"/>
      <c r="Q3" s="808" t="s">
        <v>301</v>
      </c>
      <c r="R3" s="809"/>
      <c r="S3" s="810"/>
      <c r="T3" s="808" t="s">
        <v>302</v>
      </c>
      <c r="U3" s="809"/>
      <c r="V3" s="810"/>
      <c r="W3" s="808" t="s">
        <v>303</v>
      </c>
      <c r="X3" s="809"/>
      <c r="Y3" s="810"/>
      <c r="Z3" s="361"/>
      <c r="AA3" s="20"/>
      <c r="AB3" s="20"/>
      <c r="AC3" s="20"/>
    </row>
    <row r="4" spans="1:29" ht="35.25" customHeight="1" thickBot="1">
      <c r="A4" s="311" t="s">
        <v>86</v>
      </c>
      <c r="B4" s="396" t="s">
        <v>87</v>
      </c>
      <c r="C4" s="396" t="s">
        <v>88</v>
      </c>
      <c r="D4" s="396" t="s">
        <v>89</v>
      </c>
      <c r="E4" s="396" t="s">
        <v>90</v>
      </c>
      <c r="F4" s="396" t="s">
        <v>242</v>
      </c>
      <c r="G4" s="397" t="s">
        <v>91</v>
      </c>
      <c r="H4" s="396" t="s">
        <v>92</v>
      </c>
      <c r="I4" s="397" t="s">
        <v>93</v>
      </c>
      <c r="J4" s="398" t="s">
        <v>94</v>
      </c>
      <c r="K4" s="399" t="s">
        <v>191</v>
      </c>
      <c r="L4" s="397" t="s">
        <v>192</v>
      </c>
      <c r="M4" s="397" t="s">
        <v>202</v>
      </c>
      <c r="N4" s="399" t="s">
        <v>191</v>
      </c>
      <c r="O4" s="397" t="s">
        <v>192</v>
      </c>
      <c r="P4" s="397" t="s">
        <v>202</v>
      </c>
      <c r="Q4" s="399" t="s">
        <v>191</v>
      </c>
      <c r="R4" s="397" t="s">
        <v>192</v>
      </c>
      <c r="S4" s="397" t="s">
        <v>202</v>
      </c>
      <c r="T4" s="399" t="s">
        <v>191</v>
      </c>
      <c r="U4" s="397" t="s">
        <v>192</v>
      </c>
      <c r="V4" s="397" t="s">
        <v>202</v>
      </c>
      <c r="W4" s="399" t="s">
        <v>191</v>
      </c>
      <c r="X4" s="397" t="s">
        <v>192</v>
      </c>
      <c r="Y4" s="398" t="s">
        <v>202</v>
      </c>
      <c r="Z4" s="400" t="s">
        <v>193</v>
      </c>
      <c r="AA4" s="396" t="s">
        <v>174</v>
      </c>
      <c r="AB4" s="401" t="s">
        <v>95</v>
      </c>
      <c r="AC4" s="402" t="s">
        <v>195</v>
      </c>
    </row>
    <row r="5" spans="1:29" ht="18.75" customHeight="1">
      <c r="A5" s="393"/>
      <c r="B5" s="395"/>
      <c r="C5" s="395"/>
      <c r="D5" s="395"/>
      <c r="E5" s="395"/>
      <c r="F5" s="395"/>
      <c r="G5" s="395"/>
      <c r="H5" s="395"/>
      <c r="I5" s="363">
        <v>30698.2</v>
      </c>
      <c r="J5" s="363">
        <v>20319.7</v>
      </c>
      <c r="K5" s="560"/>
      <c r="L5" s="363">
        <v>34549</v>
      </c>
      <c r="M5" s="560"/>
      <c r="N5" s="363"/>
      <c r="O5" s="363">
        <v>29642</v>
      </c>
      <c r="P5" s="394"/>
      <c r="Q5" s="363"/>
      <c r="R5" s="363">
        <v>34942</v>
      </c>
      <c r="S5" s="394"/>
      <c r="T5" s="363"/>
      <c r="U5" s="363">
        <v>32182</v>
      </c>
      <c r="V5" s="394"/>
      <c r="W5" s="363"/>
      <c r="X5" s="363">
        <v>20062</v>
      </c>
      <c r="Y5" s="394"/>
      <c r="Z5" s="394"/>
      <c r="AA5" s="128">
        <v>140</v>
      </c>
      <c r="AB5" s="128">
        <v>72</v>
      </c>
      <c r="AC5" s="394"/>
    </row>
    <row r="6" spans="1:29" ht="20.100000000000001" customHeight="1">
      <c r="A6" s="310">
        <f>Gen!B11</f>
        <v>43983</v>
      </c>
      <c r="B6" s="395">
        <f>Gen!C11</f>
        <v>0</v>
      </c>
      <c r="C6" s="363">
        <v>6033.74</v>
      </c>
      <c r="D6" s="363">
        <v>25996.2</v>
      </c>
      <c r="E6" s="363"/>
      <c r="F6" s="363"/>
      <c r="G6" s="363"/>
      <c r="H6" s="363"/>
      <c r="I6" s="363">
        <v>30700.400000000001</v>
      </c>
      <c r="J6" s="363">
        <v>20321.7</v>
      </c>
      <c r="K6" s="362">
        <f>L5</f>
        <v>34549</v>
      </c>
      <c r="L6" s="363">
        <v>34561</v>
      </c>
      <c r="M6" s="362">
        <f>L6-K6</f>
        <v>12</v>
      </c>
      <c r="N6" s="364">
        <f>O5</f>
        <v>29642</v>
      </c>
      <c r="O6" s="363">
        <v>29642</v>
      </c>
      <c r="P6" s="362">
        <f>O6-N6</f>
        <v>0</v>
      </c>
      <c r="Q6" s="362">
        <f>R5</f>
        <v>34942</v>
      </c>
      <c r="R6" s="363">
        <v>34955</v>
      </c>
      <c r="S6" s="362">
        <f>R6-Q6</f>
        <v>13</v>
      </c>
      <c r="T6" s="362">
        <f>U5</f>
        <v>32182</v>
      </c>
      <c r="U6" s="363">
        <v>32182</v>
      </c>
      <c r="V6" s="362">
        <f>U6-T6</f>
        <v>0</v>
      </c>
      <c r="W6" s="364">
        <f>X5</f>
        <v>20062</v>
      </c>
      <c r="X6" s="363">
        <v>20062</v>
      </c>
      <c r="Y6" s="362">
        <f>X6-W6</f>
        <v>0</v>
      </c>
      <c r="Z6" s="365">
        <f>Y6+V6+S6+P6+M6</f>
        <v>25</v>
      </c>
      <c r="AA6" s="128">
        <v>150</v>
      </c>
      <c r="AB6" s="128">
        <v>71</v>
      </c>
      <c r="AC6" s="314">
        <f>Gen!T11</f>
        <v>669.52</v>
      </c>
    </row>
    <row r="7" spans="1:29" ht="20.100000000000001" customHeight="1">
      <c r="A7" s="310">
        <f>Gen!B12</f>
        <v>43984</v>
      </c>
      <c r="B7" s="395">
        <f>Gen!C12</f>
        <v>0</v>
      </c>
      <c r="C7" s="363">
        <v>5394.22</v>
      </c>
      <c r="D7" s="363">
        <v>25996.2</v>
      </c>
      <c r="E7" s="363"/>
      <c r="F7" s="363"/>
      <c r="G7" s="363"/>
      <c r="H7" s="363"/>
      <c r="I7" s="363">
        <v>30702.7</v>
      </c>
      <c r="J7" s="363">
        <v>20324.099999999999</v>
      </c>
      <c r="K7" s="362">
        <f t="shared" ref="K7:K37" si="0">L6</f>
        <v>34561</v>
      </c>
      <c r="L7" s="363">
        <v>34561</v>
      </c>
      <c r="M7" s="362">
        <f t="shared" ref="M7:M37" si="1">L7-K7</f>
        <v>0</v>
      </c>
      <c r="N7" s="364">
        <f t="shared" ref="N7:N37" si="2">O6</f>
        <v>29642</v>
      </c>
      <c r="O7" s="363">
        <v>29655</v>
      </c>
      <c r="P7" s="362">
        <f t="shared" ref="P7:P37" si="3">O7-N7</f>
        <v>13</v>
      </c>
      <c r="Q7" s="362">
        <f t="shared" ref="Q7:Q37" si="4">R6</f>
        <v>34955</v>
      </c>
      <c r="R7" s="363">
        <v>34967</v>
      </c>
      <c r="S7" s="362">
        <f t="shared" ref="S7:S37" si="5">R7-Q7</f>
        <v>12</v>
      </c>
      <c r="T7" s="362">
        <f t="shared" ref="T7:T37" si="6">U6</f>
        <v>32182</v>
      </c>
      <c r="U7" s="363">
        <v>32182</v>
      </c>
      <c r="V7" s="362">
        <f t="shared" ref="V7:V37" si="7">U7-T7</f>
        <v>0</v>
      </c>
      <c r="W7" s="364">
        <f t="shared" ref="W7:W37" si="8">X6</f>
        <v>20062</v>
      </c>
      <c r="X7" s="363">
        <v>20062</v>
      </c>
      <c r="Y7" s="362">
        <f t="shared" ref="Y7:Y37" si="9">X7-W7</f>
        <v>0</v>
      </c>
      <c r="Z7" s="365">
        <f t="shared" ref="Z7:Z37" si="10">Y7+V7+S7+P7+M7</f>
        <v>25</v>
      </c>
      <c r="AA7" s="128">
        <v>120</v>
      </c>
      <c r="AB7" s="128">
        <v>72</v>
      </c>
      <c r="AC7" s="314">
        <f>Gen!T12</f>
        <v>685.33</v>
      </c>
    </row>
    <row r="8" spans="1:29" ht="20.100000000000001" customHeight="1">
      <c r="A8" s="310">
        <f>Gen!B13</f>
        <v>43985</v>
      </c>
      <c r="B8" s="395">
        <f>Gen!C13</f>
        <v>0</v>
      </c>
      <c r="C8" s="363">
        <v>4708.8900000000003</v>
      </c>
      <c r="D8" s="363">
        <v>25996.2</v>
      </c>
      <c r="E8" s="363"/>
      <c r="F8" s="363"/>
      <c r="G8" s="363"/>
      <c r="H8" s="363"/>
      <c r="I8" s="363">
        <v>30704.9</v>
      </c>
      <c r="J8" s="363">
        <v>20326.3</v>
      </c>
      <c r="K8" s="362">
        <f t="shared" si="0"/>
        <v>34561</v>
      </c>
      <c r="L8" s="363">
        <v>34574</v>
      </c>
      <c r="M8" s="362">
        <f t="shared" si="1"/>
        <v>13</v>
      </c>
      <c r="N8" s="364">
        <f t="shared" si="2"/>
        <v>29655</v>
      </c>
      <c r="O8" s="363">
        <v>29655</v>
      </c>
      <c r="P8" s="362">
        <f t="shared" si="3"/>
        <v>0</v>
      </c>
      <c r="Q8" s="362">
        <f t="shared" si="4"/>
        <v>34967</v>
      </c>
      <c r="R8" s="363">
        <v>34967</v>
      </c>
      <c r="S8" s="362">
        <f t="shared" si="5"/>
        <v>0</v>
      </c>
      <c r="T8" s="362">
        <f t="shared" si="6"/>
        <v>32182</v>
      </c>
      <c r="U8" s="363">
        <v>32182</v>
      </c>
      <c r="V8" s="362">
        <f t="shared" si="7"/>
        <v>0</v>
      </c>
      <c r="W8" s="364">
        <f t="shared" si="8"/>
        <v>20062</v>
      </c>
      <c r="X8" s="363">
        <v>20073</v>
      </c>
      <c r="Y8" s="362">
        <f t="shared" si="9"/>
        <v>11</v>
      </c>
      <c r="Z8" s="365">
        <f t="shared" si="10"/>
        <v>24</v>
      </c>
      <c r="AA8" s="128">
        <v>110</v>
      </c>
      <c r="AB8" s="128">
        <v>75</v>
      </c>
      <c r="AC8" s="314">
        <f>Gen!T13</f>
        <v>728.03</v>
      </c>
    </row>
    <row r="9" spans="1:29" ht="20.100000000000001" customHeight="1">
      <c r="A9" s="310">
        <f>Gen!B14</f>
        <v>43986</v>
      </c>
      <c r="B9" s="395">
        <f>Gen!C14</f>
        <v>0</v>
      </c>
      <c r="C9" s="363">
        <v>19020.86</v>
      </c>
      <c r="D9" s="363">
        <v>25996.2</v>
      </c>
      <c r="E9" s="363"/>
      <c r="F9" s="363"/>
      <c r="G9" s="363"/>
      <c r="H9" s="363"/>
      <c r="I9" s="363">
        <v>30707.200000000001</v>
      </c>
      <c r="J9" s="363">
        <v>20328.5</v>
      </c>
      <c r="K9" s="362">
        <f t="shared" si="0"/>
        <v>34574</v>
      </c>
      <c r="L9" s="363">
        <v>34574</v>
      </c>
      <c r="M9" s="362">
        <f t="shared" si="1"/>
        <v>0</v>
      </c>
      <c r="N9" s="364">
        <f t="shared" si="2"/>
        <v>29655</v>
      </c>
      <c r="O9" s="363">
        <v>29666</v>
      </c>
      <c r="P9" s="362">
        <f t="shared" si="3"/>
        <v>11</v>
      </c>
      <c r="Q9" s="362">
        <f t="shared" si="4"/>
        <v>34967</v>
      </c>
      <c r="R9" s="363">
        <v>34967</v>
      </c>
      <c r="S9" s="362">
        <f t="shared" si="5"/>
        <v>0</v>
      </c>
      <c r="T9" s="362">
        <f t="shared" si="6"/>
        <v>32182</v>
      </c>
      <c r="U9" s="363">
        <v>32182</v>
      </c>
      <c r="V9" s="362">
        <f t="shared" si="7"/>
        <v>0</v>
      </c>
      <c r="W9" s="364">
        <f t="shared" si="8"/>
        <v>20073</v>
      </c>
      <c r="X9" s="363">
        <v>20086</v>
      </c>
      <c r="Y9" s="362">
        <f t="shared" si="9"/>
        <v>13</v>
      </c>
      <c r="Z9" s="365">
        <f t="shared" si="10"/>
        <v>24</v>
      </c>
      <c r="AA9" s="128">
        <v>115</v>
      </c>
      <c r="AB9" s="128">
        <v>78</v>
      </c>
      <c r="AC9" s="314">
        <f>Gen!T14</f>
        <v>693.88</v>
      </c>
    </row>
    <row r="10" spans="1:29" ht="20.100000000000001" customHeight="1">
      <c r="A10" s="310">
        <f>Gen!B15</f>
        <v>43987</v>
      </c>
      <c r="B10" s="395">
        <f>Gen!C15</f>
        <v>0</v>
      </c>
      <c r="C10" s="363">
        <v>18296.98</v>
      </c>
      <c r="D10" s="363">
        <v>25996.2</v>
      </c>
      <c r="E10" s="363"/>
      <c r="F10" s="363"/>
      <c r="G10" s="363"/>
      <c r="H10" s="363"/>
      <c r="I10" s="363">
        <v>30711.1</v>
      </c>
      <c r="J10" s="363">
        <v>20330.900000000001</v>
      </c>
      <c r="K10" s="362">
        <f t="shared" si="0"/>
        <v>34574</v>
      </c>
      <c r="L10" s="363">
        <v>34574</v>
      </c>
      <c r="M10" s="362">
        <f t="shared" si="1"/>
        <v>0</v>
      </c>
      <c r="N10" s="364">
        <f t="shared" si="2"/>
        <v>29666</v>
      </c>
      <c r="O10" s="363">
        <v>29666</v>
      </c>
      <c r="P10" s="362">
        <f t="shared" si="3"/>
        <v>0</v>
      </c>
      <c r="Q10" s="362">
        <f t="shared" si="4"/>
        <v>34967</v>
      </c>
      <c r="R10" s="363">
        <v>34980</v>
      </c>
      <c r="S10" s="362">
        <f t="shared" si="5"/>
        <v>13</v>
      </c>
      <c r="T10" s="362">
        <f t="shared" si="6"/>
        <v>32182</v>
      </c>
      <c r="U10" s="363">
        <v>32182</v>
      </c>
      <c r="V10" s="362">
        <f t="shared" si="7"/>
        <v>0</v>
      </c>
      <c r="W10" s="364">
        <f t="shared" si="8"/>
        <v>20086</v>
      </c>
      <c r="X10" s="363">
        <v>20098</v>
      </c>
      <c r="Y10" s="362">
        <f t="shared" si="9"/>
        <v>12</v>
      </c>
      <c r="Z10" s="365">
        <f t="shared" si="10"/>
        <v>25</v>
      </c>
      <c r="AA10" s="128">
        <v>140</v>
      </c>
      <c r="AB10" s="128">
        <v>70</v>
      </c>
      <c r="AC10" s="314">
        <f>Gen!T15</f>
        <v>708.93000000000006</v>
      </c>
    </row>
    <row r="11" spans="1:29" ht="20.100000000000001" customHeight="1">
      <c r="A11" s="310">
        <f>Gen!B16</f>
        <v>43988</v>
      </c>
      <c r="B11" s="395">
        <f>Gen!C16</f>
        <v>0</v>
      </c>
      <c r="C11" s="363">
        <v>17578.05</v>
      </c>
      <c r="D11" s="363">
        <v>25996.2</v>
      </c>
      <c r="E11" s="363"/>
      <c r="F11" s="363"/>
      <c r="G11" s="363"/>
      <c r="H11" s="363"/>
      <c r="I11" s="363"/>
      <c r="J11" s="363"/>
      <c r="K11" s="362">
        <f t="shared" si="0"/>
        <v>34574</v>
      </c>
      <c r="L11" s="363"/>
      <c r="M11" s="362">
        <f t="shared" si="1"/>
        <v>-34574</v>
      </c>
      <c r="N11" s="364">
        <f t="shared" si="2"/>
        <v>29666</v>
      </c>
      <c r="O11" s="363"/>
      <c r="P11" s="362">
        <f t="shared" si="3"/>
        <v>-29666</v>
      </c>
      <c r="Q11" s="362">
        <f t="shared" si="4"/>
        <v>34980</v>
      </c>
      <c r="R11" s="363"/>
      <c r="S11" s="362">
        <f t="shared" si="5"/>
        <v>-34980</v>
      </c>
      <c r="T11" s="362">
        <f t="shared" si="6"/>
        <v>32182</v>
      </c>
      <c r="U11" s="363"/>
      <c r="V11" s="362">
        <f t="shared" si="7"/>
        <v>-32182</v>
      </c>
      <c r="W11" s="364">
        <f t="shared" si="8"/>
        <v>20098</v>
      </c>
      <c r="X11" s="363"/>
      <c r="Y11" s="362">
        <f t="shared" si="9"/>
        <v>-20098</v>
      </c>
      <c r="Z11" s="365">
        <f t="shared" si="10"/>
        <v>-151500</v>
      </c>
      <c r="AA11" s="128"/>
      <c r="AB11" s="128"/>
      <c r="AC11" s="314">
        <f>Gen!T16</f>
        <v>0</v>
      </c>
    </row>
    <row r="12" spans="1:29" ht="20.100000000000001" customHeight="1">
      <c r="A12" s="310">
        <f>Gen!B17</f>
        <v>43989</v>
      </c>
      <c r="B12" s="395">
        <f>Gen!C17</f>
        <v>0</v>
      </c>
      <c r="C12" s="363"/>
      <c r="D12" s="363"/>
      <c r="E12" s="363"/>
      <c r="F12" s="363"/>
      <c r="G12" s="363"/>
      <c r="H12" s="363"/>
      <c r="I12" s="363"/>
      <c r="J12" s="363"/>
      <c r="K12" s="362">
        <f t="shared" si="0"/>
        <v>0</v>
      </c>
      <c r="L12" s="363"/>
      <c r="M12" s="362">
        <f t="shared" si="1"/>
        <v>0</v>
      </c>
      <c r="N12" s="364">
        <f t="shared" si="2"/>
        <v>0</v>
      </c>
      <c r="O12" s="363"/>
      <c r="P12" s="362">
        <f t="shared" si="3"/>
        <v>0</v>
      </c>
      <c r="Q12" s="362">
        <f t="shared" si="4"/>
        <v>0</v>
      </c>
      <c r="R12" s="363"/>
      <c r="S12" s="362">
        <f t="shared" si="5"/>
        <v>0</v>
      </c>
      <c r="T12" s="362">
        <f t="shared" si="6"/>
        <v>0</v>
      </c>
      <c r="U12" s="363"/>
      <c r="V12" s="362">
        <f t="shared" si="7"/>
        <v>0</v>
      </c>
      <c r="W12" s="364">
        <f t="shared" si="8"/>
        <v>0</v>
      </c>
      <c r="X12" s="363"/>
      <c r="Y12" s="362">
        <f t="shared" si="9"/>
        <v>0</v>
      </c>
      <c r="Z12" s="365">
        <f t="shared" si="10"/>
        <v>0</v>
      </c>
      <c r="AA12" s="128"/>
      <c r="AB12" s="128"/>
      <c r="AC12" s="314">
        <f>Gen!T17</f>
        <v>0</v>
      </c>
    </row>
    <row r="13" spans="1:29" ht="20.100000000000001" customHeight="1">
      <c r="A13" s="310">
        <f>Gen!B18</f>
        <v>43990</v>
      </c>
      <c r="B13" s="395">
        <f>Gen!C18</f>
        <v>0</v>
      </c>
      <c r="C13" s="363"/>
      <c r="D13" s="363"/>
      <c r="E13" s="363"/>
      <c r="F13" s="363"/>
      <c r="G13" s="363"/>
      <c r="H13" s="363"/>
      <c r="I13" s="363"/>
      <c r="J13" s="363"/>
      <c r="K13" s="362">
        <f t="shared" si="0"/>
        <v>0</v>
      </c>
      <c r="L13" s="363"/>
      <c r="M13" s="362">
        <f t="shared" si="1"/>
        <v>0</v>
      </c>
      <c r="N13" s="364">
        <f t="shared" si="2"/>
        <v>0</v>
      </c>
      <c r="O13" s="363"/>
      <c r="P13" s="362">
        <f t="shared" si="3"/>
        <v>0</v>
      </c>
      <c r="Q13" s="362">
        <f t="shared" si="4"/>
        <v>0</v>
      </c>
      <c r="R13" s="363"/>
      <c r="S13" s="362">
        <f t="shared" si="5"/>
        <v>0</v>
      </c>
      <c r="T13" s="362">
        <f t="shared" si="6"/>
        <v>0</v>
      </c>
      <c r="U13" s="363"/>
      <c r="V13" s="362">
        <f t="shared" si="7"/>
        <v>0</v>
      </c>
      <c r="W13" s="364">
        <f t="shared" si="8"/>
        <v>0</v>
      </c>
      <c r="X13" s="363"/>
      <c r="Y13" s="362">
        <f t="shared" si="9"/>
        <v>0</v>
      </c>
      <c r="Z13" s="365">
        <f t="shared" si="10"/>
        <v>0</v>
      </c>
      <c r="AA13" s="128"/>
      <c r="AB13" s="128"/>
      <c r="AC13" s="314">
        <f>Gen!T18</f>
        <v>0</v>
      </c>
    </row>
    <row r="14" spans="1:29" ht="20.100000000000001" customHeight="1">
      <c r="A14" s="310">
        <f>Gen!B19</f>
        <v>43991</v>
      </c>
      <c r="B14" s="395">
        <f>Gen!C19</f>
        <v>0</v>
      </c>
      <c r="C14" s="363"/>
      <c r="D14" s="363"/>
      <c r="E14" s="363"/>
      <c r="F14" s="363"/>
      <c r="G14" s="363"/>
      <c r="H14" s="363"/>
      <c r="I14" s="363"/>
      <c r="J14" s="363"/>
      <c r="K14" s="362">
        <f t="shared" si="0"/>
        <v>0</v>
      </c>
      <c r="L14" s="363"/>
      <c r="M14" s="362">
        <f t="shared" si="1"/>
        <v>0</v>
      </c>
      <c r="N14" s="364">
        <f t="shared" si="2"/>
        <v>0</v>
      </c>
      <c r="O14" s="363"/>
      <c r="P14" s="362">
        <f t="shared" si="3"/>
        <v>0</v>
      </c>
      <c r="Q14" s="362">
        <f t="shared" si="4"/>
        <v>0</v>
      </c>
      <c r="R14" s="363"/>
      <c r="S14" s="362">
        <f t="shared" si="5"/>
        <v>0</v>
      </c>
      <c r="T14" s="362">
        <f t="shared" si="6"/>
        <v>0</v>
      </c>
      <c r="U14" s="363"/>
      <c r="V14" s="362">
        <f t="shared" si="7"/>
        <v>0</v>
      </c>
      <c r="W14" s="364">
        <f t="shared" si="8"/>
        <v>0</v>
      </c>
      <c r="X14" s="363"/>
      <c r="Y14" s="362">
        <f t="shared" si="9"/>
        <v>0</v>
      </c>
      <c r="Z14" s="365">
        <f t="shared" si="10"/>
        <v>0</v>
      </c>
      <c r="AA14" s="128"/>
      <c r="AB14" s="128"/>
      <c r="AC14" s="314">
        <f>Gen!T19</f>
        <v>0</v>
      </c>
    </row>
    <row r="15" spans="1:29" ht="20.100000000000001" customHeight="1">
      <c r="A15" s="310">
        <f>Gen!B20</f>
        <v>43992</v>
      </c>
      <c r="B15" s="395">
        <f>Gen!C20</f>
        <v>0</v>
      </c>
      <c r="C15" s="363"/>
      <c r="D15" s="363"/>
      <c r="E15" s="363"/>
      <c r="F15" s="363"/>
      <c r="G15" s="363"/>
      <c r="H15" s="363"/>
      <c r="I15" s="363"/>
      <c r="J15" s="363"/>
      <c r="K15" s="362">
        <f t="shared" si="0"/>
        <v>0</v>
      </c>
      <c r="L15" s="363"/>
      <c r="M15" s="362">
        <f t="shared" si="1"/>
        <v>0</v>
      </c>
      <c r="N15" s="364">
        <f t="shared" si="2"/>
        <v>0</v>
      </c>
      <c r="O15" s="363"/>
      <c r="P15" s="362">
        <f t="shared" si="3"/>
        <v>0</v>
      </c>
      <c r="Q15" s="362">
        <f t="shared" si="4"/>
        <v>0</v>
      </c>
      <c r="R15" s="363"/>
      <c r="S15" s="362">
        <f t="shared" si="5"/>
        <v>0</v>
      </c>
      <c r="T15" s="362">
        <f t="shared" si="6"/>
        <v>0</v>
      </c>
      <c r="U15" s="363"/>
      <c r="V15" s="362">
        <f t="shared" si="7"/>
        <v>0</v>
      </c>
      <c r="W15" s="364">
        <f t="shared" si="8"/>
        <v>0</v>
      </c>
      <c r="X15" s="363"/>
      <c r="Y15" s="362">
        <f t="shared" si="9"/>
        <v>0</v>
      </c>
      <c r="Z15" s="365">
        <f t="shared" si="10"/>
        <v>0</v>
      </c>
      <c r="AA15" s="128"/>
      <c r="AB15" s="128"/>
      <c r="AC15" s="314">
        <f>Gen!T20</f>
        <v>0</v>
      </c>
    </row>
    <row r="16" spans="1:29" ht="20.100000000000001" customHeight="1">
      <c r="A16" s="310">
        <f>Gen!B21</f>
        <v>43993</v>
      </c>
      <c r="B16" s="395">
        <f>Gen!C21</f>
        <v>0</v>
      </c>
      <c r="C16" s="363"/>
      <c r="D16" s="363"/>
      <c r="E16" s="363"/>
      <c r="F16" s="363"/>
      <c r="G16" s="363"/>
      <c r="H16" s="363"/>
      <c r="I16" s="363"/>
      <c r="J16" s="363"/>
      <c r="K16" s="362">
        <f t="shared" si="0"/>
        <v>0</v>
      </c>
      <c r="L16" s="363"/>
      <c r="M16" s="362">
        <f t="shared" si="1"/>
        <v>0</v>
      </c>
      <c r="N16" s="364">
        <f t="shared" si="2"/>
        <v>0</v>
      </c>
      <c r="O16" s="363"/>
      <c r="P16" s="362">
        <f t="shared" si="3"/>
        <v>0</v>
      </c>
      <c r="Q16" s="362">
        <f t="shared" si="4"/>
        <v>0</v>
      </c>
      <c r="R16" s="363"/>
      <c r="S16" s="362">
        <f t="shared" si="5"/>
        <v>0</v>
      </c>
      <c r="T16" s="362">
        <f t="shared" si="6"/>
        <v>0</v>
      </c>
      <c r="U16" s="363"/>
      <c r="V16" s="362">
        <f t="shared" si="7"/>
        <v>0</v>
      </c>
      <c r="W16" s="364">
        <f t="shared" si="8"/>
        <v>0</v>
      </c>
      <c r="X16" s="363"/>
      <c r="Y16" s="362">
        <f t="shared" si="9"/>
        <v>0</v>
      </c>
      <c r="Z16" s="365">
        <f t="shared" si="10"/>
        <v>0</v>
      </c>
      <c r="AA16" s="128"/>
      <c r="AB16" s="128"/>
      <c r="AC16" s="314">
        <f>Gen!T21</f>
        <v>0</v>
      </c>
    </row>
    <row r="17" spans="1:29" ht="20.100000000000001" customHeight="1">
      <c r="A17" s="310">
        <f>Gen!B22</f>
        <v>43994</v>
      </c>
      <c r="B17" s="395">
        <f>Gen!C22</f>
        <v>0</v>
      </c>
      <c r="C17" s="363"/>
      <c r="D17" s="363"/>
      <c r="E17" s="592"/>
      <c r="F17" s="363"/>
      <c r="G17" s="363"/>
      <c r="H17" s="363"/>
      <c r="I17" s="363"/>
      <c r="J17" s="363"/>
      <c r="K17" s="362">
        <f t="shared" si="0"/>
        <v>0</v>
      </c>
      <c r="L17" s="363"/>
      <c r="M17" s="362">
        <f t="shared" si="1"/>
        <v>0</v>
      </c>
      <c r="N17" s="364">
        <f t="shared" si="2"/>
        <v>0</v>
      </c>
      <c r="O17" s="363"/>
      <c r="P17" s="362">
        <f t="shared" si="3"/>
        <v>0</v>
      </c>
      <c r="Q17" s="362">
        <f t="shared" si="4"/>
        <v>0</v>
      </c>
      <c r="R17" s="363"/>
      <c r="S17" s="362">
        <f t="shared" si="5"/>
        <v>0</v>
      </c>
      <c r="T17" s="362">
        <f t="shared" si="6"/>
        <v>0</v>
      </c>
      <c r="U17" s="363"/>
      <c r="V17" s="362">
        <f t="shared" si="7"/>
        <v>0</v>
      </c>
      <c r="W17" s="364">
        <f t="shared" si="8"/>
        <v>0</v>
      </c>
      <c r="X17" s="363"/>
      <c r="Y17" s="362">
        <f t="shared" si="9"/>
        <v>0</v>
      </c>
      <c r="Z17" s="365">
        <f t="shared" si="10"/>
        <v>0</v>
      </c>
      <c r="AA17" s="128"/>
      <c r="AB17" s="128"/>
      <c r="AC17" s="314">
        <f>Gen!T22</f>
        <v>0</v>
      </c>
    </row>
    <row r="18" spans="1:29" ht="20.100000000000001" customHeight="1">
      <c r="A18" s="310">
        <f>Gen!B23</f>
        <v>43995</v>
      </c>
      <c r="B18" s="395">
        <f>Gen!C23</f>
        <v>0</v>
      </c>
      <c r="C18" s="363"/>
      <c r="D18" s="363"/>
      <c r="E18" s="363"/>
      <c r="F18" s="363"/>
      <c r="G18" s="363"/>
      <c r="H18" s="363"/>
      <c r="I18" s="363"/>
      <c r="J18" s="363"/>
      <c r="K18" s="362">
        <f t="shared" si="0"/>
        <v>0</v>
      </c>
      <c r="L18" s="363"/>
      <c r="M18" s="362">
        <f t="shared" si="1"/>
        <v>0</v>
      </c>
      <c r="N18" s="364">
        <f t="shared" si="2"/>
        <v>0</v>
      </c>
      <c r="O18" s="363"/>
      <c r="P18" s="362">
        <f t="shared" si="3"/>
        <v>0</v>
      </c>
      <c r="Q18" s="362">
        <f t="shared" si="4"/>
        <v>0</v>
      </c>
      <c r="R18" s="363"/>
      <c r="S18" s="362">
        <f t="shared" si="5"/>
        <v>0</v>
      </c>
      <c r="T18" s="362">
        <f t="shared" si="6"/>
        <v>0</v>
      </c>
      <c r="U18" s="363"/>
      <c r="V18" s="362">
        <f t="shared" si="7"/>
        <v>0</v>
      </c>
      <c r="W18" s="364">
        <f t="shared" si="8"/>
        <v>0</v>
      </c>
      <c r="X18" s="363"/>
      <c r="Y18" s="362">
        <f t="shared" si="9"/>
        <v>0</v>
      </c>
      <c r="Z18" s="365">
        <f t="shared" si="10"/>
        <v>0</v>
      </c>
      <c r="AA18" s="128"/>
      <c r="AB18" s="128"/>
      <c r="AC18" s="314">
        <f>Gen!T23</f>
        <v>0</v>
      </c>
    </row>
    <row r="19" spans="1:29" ht="20.100000000000001" customHeight="1">
      <c r="A19" s="310">
        <f>Gen!B24</f>
        <v>43996</v>
      </c>
      <c r="B19" s="395">
        <f>Gen!C24</f>
        <v>0</v>
      </c>
      <c r="C19" s="363"/>
      <c r="D19" s="363"/>
      <c r="E19" s="363"/>
      <c r="F19" s="363"/>
      <c r="G19" s="363"/>
      <c r="H19" s="363"/>
      <c r="I19" s="363"/>
      <c r="J19" s="363"/>
      <c r="K19" s="362">
        <f t="shared" si="0"/>
        <v>0</v>
      </c>
      <c r="L19" s="363"/>
      <c r="M19" s="362">
        <f t="shared" si="1"/>
        <v>0</v>
      </c>
      <c r="N19" s="364">
        <f t="shared" si="2"/>
        <v>0</v>
      </c>
      <c r="O19" s="363"/>
      <c r="P19" s="362">
        <f t="shared" si="3"/>
        <v>0</v>
      </c>
      <c r="Q19" s="362">
        <f t="shared" si="4"/>
        <v>0</v>
      </c>
      <c r="R19" s="363"/>
      <c r="S19" s="362">
        <f t="shared" si="5"/>
        <v>0</v>
      </c>
      <c r="T19" s="362">
        <f t="shared" si="6"/>
        <v>0</v>
      </c>
      <c r="U19" s="363"/>
      <c r="V19" s="362">
        <f t="shared" si="7"/>
        <v>0</v>
      </c>
      <c r="W19" s="364">
        <f t="shared" si="8"/>
        <v>0</v>
      </c>
      <c r="X19" s="363"/>
      <c r="Y19" s="362">
        <f t="shared" si="9"/>
        <v>0</v>
      </c>
      <c r="Z19" s="365">
        <f t="shared" si="10"/>
        <v>0</v>
      </c>
      <c r="AA19" s="128"/>
      <c r="AB19" s="128"/>
      <c r="AC19" s="314">
        <f>Gen!T24</f>
        <v>0</v>
      </c>
    </row>
    <row r="20" spans="1:29" ht="20.100000000000001" customHeight="1">
      <c r="A20" s="310">
        <f>Gen!B25</f>
        <v>43997</v>
      </c>
      <c r="B20" s="395">
        <f>Gen!C25</f>
        <v>0</v>
      </c>
      <c r="C20" s="363"/>
      <c r="D20" s="363"/>
      <c r="E20" s="363"/>
      <c r="F20" s="363"/>
      <c r="G20" s="363"/>
      <c r="H20" s="363"/>
      <c r="I20" s="363"/>
      <c r="J20" s="363"/>
      <c r="K20" s="362">
        <f t="shared" si="0"/>
        <v>0</v>
      </c>
      <c r="L20" s="363"/>
      <c r="M20" s="362">
        <f t="shared" si="1"/>
        <v>0</v>
      </c>
      <c r="N20" s="364">
        <f t="shared" si="2"/>
        <v>0</v>
      </c>
      <c r="O20" s="363"/>
      <c r="P20" s="362">
        <f t="shared" si="3"/>
        <v>0</v>
      </c>
      <c r="Q20" s="362">
        <f t="shared" si="4"/>
        <v>0</v>
      </c>
      <c r="R20" s="363"/>
      <c r="S20" s="362">
        <f t="shared" si="5"/>
        <v>0</v>
      </c>
      <c r="T20" s="362">
        <f t="shared" si="6"/>
        <v>0</v>
      </c>
      <c r="U20" s="363"/>
      <c r="V20" s="362">
        <f t="shared" si="7"/>
        <v>0</v>
      </c>
      <c r="W20" s="364">
        <f t="shared" si="8"/>
        <v>0</v>
      </c>
      <c r="X20" s="363"/>
      <c r="Y20" s="362">
        <f t="shared" si="9"/>
        <v>0</v>
      </c>
      <c r="Z20" s="365">
        <f t="shared" si="10"/>
        <v>0</v>
      </c>
      <c r="AA20" s="128"/>
      <c r="AB20" s="128"/>
      <c r="AC20" s="314">
        <f>Gen!T25</f>
        <v>0</v>
      </c>
    </row>
    <row r="21" spans="1:29" ht="20.100000000000001" customHeight="1">
      <c r="A21" s="310">
        <f>Gen!B26</f>
        <v>43998</v>
      </c>
      <c r="B21" s="395">
        <f>Gen!C26</f>
        <v>0</v>
      </c>
      <c r="C21" s="363"/>
      <c r="D21" s="363"/>
      <c r="E21" s="363"/>
      <c r="F21" s="363"/>
      <c r="G21" s="363"/>
      <c r="H21" s="363"/>
      <c r="I21" s="363"/>
      <c r="J21" s="363"/>
      <c r="K21" s="362">
        <f t="shared" si="0"/>
        <v>0</v>
      </c>
      <c r="L21" s="363"/>
      <c r="M21" s="362">
        <f t="shared" si="1"/>
        <v>0</v>
      </c>
      <c r="N21" s="364">
        <f t="shared" si="2"/>
        <v>0</v>
      </c>
      <c r="O21" s="363"/>
      <c r="P21" s="362">
        <f t="shared" si="3"/>
        <v>0</v>
      </c>
      <c r="Q21" s="362">
        <f t="shared" si="4"/>
        <v>0</v>
      </c>
      <c r="R21" s="363"/>
      <c r="S21" s="362">
        <f t="shared" si="5"/>
        <v>0</v>
      </c>
      <c r="T21" s="362">
        <f t="shared" si="6"/>
        <v>0</v>
      </c>
      <c r="U21" s="363"/>
      <c r="V21" s="362">
        <f t="shared" si="7"/>
        <v>0</v>
      </c>
      <c r="W21" s="364">
        <f t="shared" si="8"/>
        <v>0</v>
      </c>
      <c r="X21" s="363"/>
      <c r="Y21" s="362">
        <f t="shared" si="9"/>
        <v>0</v>
      </c>
      <c r="Z21" s="365">
        <f t="shared" si="10"/>
        <v>0</v>
      </c>
      <c r="AA21" s="128"/>
      <c r="AB21" s="128"/>
      <c r="AC21" s="314">
        <f>Gen!T26</f>
        <v>0</v>
      </c>
    </row>
    <row r="22" spans="1:29" ht="18.75" customHeight="1">
      <c r="A22" s="310">
        <f>Gen!B27</f>
        <v>43999</v>
      </c>
      <c r="B22" s="395">
        <f>Gen!C27</f>
        <v>0</v>
      </c>
      <c r="C22" s="363"/>
      <c r="D22" s="363"/>
      <c r="E22" s="363"/>
      <c r="F22" s="363"/>
      <c r="G22" s="363"/>
      <c r="H22" s="363"/>
      <c r="I22" s="363"/>
      <c r="J22" s="363"/>
      <c r="K22" s="362">
        <f t="shared" si="0"/>
        <v>0</v>
      </c>
      <c r="L22" s="363"/>
      <c r="M22" s="362">
        <f t="shared" si="1"/>
        <v>0</v>
      </c>
      <c r="N22" s="364">
        <f t="shared" si="2"/>
        <v>0</v>
      </c>
      <c r="O22" s="363"/>
      <c r="P22" s="362">
        <f t="shared" si="3"/>
        <v>0</v>
      </c>
      <c r="Q22" s="362">
        <f t="shared" si="4"/>
        <v>0</v>
      </c>
      <c r="R22" s="363"/>
      <c r="S22" s="362">
        <f t="shared" si="5"/>
        <v>0</v>
      </c>
      <c r="T22" s="362">
        <f t="shared" si="6"/>
        <v>0</v>
      </c>
      <c r="U22" s="363"/>
      <c r="V22" s="362">
        <f t="shared" si="7"/>
        <v>0</v>
      </c>
      <c r="W22" s="364">
        <f t="shared" si="8"/>
        <v>0</v>
      </c>
      <c r="X22" s="363"/>
      <c r="Y22" s="362">
        <f t="shared" si="9"/>
        <v>0</v>
      </c>
      <c r="Z22" s="365">
        <f t="shared" si="10"/>
        <v>0</v>
      </c>
      <c r="AA22" s="128"/>
      <c r="AB22" s="128"/>
      <c r="AC22" s="314">
        <f>Gen!T27</f>
        <v>0</v>
      </c>
    </row>
    <row r="23" spans="1:29" ht="20.100000000000001" customHeight="1">
      <c r="A23" s="310">
        <f>Gen!B28</f>
        <v>44000</v>
      </c>
      <c r="B23" s="395">
        <f>Gen!C28</f>
        <v>0</v>
      </c>
      <c r="C23" s="363"/>
      <c r="D23" s="363"/>
      <c r="E23" s="592"/>
      <c r="F23" s="363"/>
      <c r="G23" s="363"/>
      <c r="H23" s="363"/>
      <c r="I23" s="363"/>
      <c r="J23" s="363"/>
      <c r="K23" s="362">
        <f t="shared" si="0"/>
        <v>0</v>
      </c>
      <c r="L23" s="363"/>
      <c r="M23" s="362">
        <f t="shared" si="1"/>
        <v>0</v>
      </c>
      <c r="N23" s="364">
        <f t="shared" si="2"/>
        <v>0</v>
      </c>
      <c r="O23" s="363"/>
      <c r="P23" s="362">
        <f t="shared" si="3"/>
        <v>0</v>
      </c>
      <c r="Q23" s="362">
        <f t="shared" si="4"/>
        <v>0</v>
      </c>
      <c r="R23" s="363"/>
      <c r="S23" s="362">
        <f t="shared" si="5"/>
        <v>0</v>
      </c>
      <c r="T23" s="362">
        <f t="shared" si="6"/>
        <v>0</v>
      </c>
      <c r="U23" s="363"/>
      <c r="V23" s="362">
        <f t="shared" si="7"/>
        <v>0</v>
      </c>
      <c r="W23" s="364">
        <f t="shared" si="8"/>
        <v>0</v>
      </c>
      <c r="X23" s="363"/>
      <c r="Y23" s="362">
        <f t="shared" si="9"/>
        <v>0</v>
      </c>
      <c r="Z23" s="365">
        <f t="shared" si="10"/>
        <v>0</v>
      </c>
      <c r="AA23" s="128"/>
      <c r="AB23" s="128"/>
      <c r="AC23" s="314">
        <f>Gen!T28</f>
        <v>0</v>
      </c>
    </row>
    <row r="24" spans="1:29" ht="20.100000000000001" customHeight="1">
      <c r="A24" s="310">
        <f>Gen!B29</f>
        <v>44001</v>
      </c>
      <c r="B24" s="395">
        <f>Gen!C29</f>
        <v>0</v>
      </c>
      <c r="C24" s="363"/>
      <c r="D24" s="363"/>
      <c r="E24" s="363"/>
      <c r="F24" s="363"/>
      <c r="G24" s="363"/>
      <c r="H24" s="363"/>
      <c r="I24" s="363"/>
      <c r="J24" s="363"/>
      <c r="K24" s="362">
        <f t="shared" si="0"/>
        <v>0</v>
      </c>
      <c r="L24" s="363"/>
      <c r="M24" s="362">
        <f t="shared" si="1"/>
        <v>0</v>
      </c>
      <c r="N24" s="364">
        <f t="shared" si="2"/>
        <v>0</v>
      </c>
      <c r="O24" s="363"/>
      <c r="P24" s="362">
        <f t="shared" si="3"/>
        <v>0</v>
      </c>
      <c r="Q24" s="362">
        <f t="shared" si="4"/>
        <v>0</v>
      </c>
      <c r="R24" s="363"/>
      <c r="S24" s="362">
        <f t="shared" si="5"/>
        <v>0</v>
      </c>
      <c r="T24" s="362">
        <f t="shared" si="6"/>
        <v>0</v>
      </c>
      <c r="U24" s="363"/>
      <c r="V24" s="362">
        <f t="shared" si="7"/>
        <v>0</v>
      </c>
      <c r="W24" s="364">
        <f t="shared" si="8"/>
        <v>0</v>
      </c>
      <c r="X24" s="363"/>
      <c r="Y24" s="362">
        <f t="shared" si="9"/>
        <v>0</v>
      </c>
      <c r="Z24" s="365">
        <f t="shared" si="10"/>
        <v>0</v>
      </c>
      <c r="AA24" s="128"/>
      <c r="AB24" s="128"/>
      <c r="AC24" s="314">
        <f>Gen!T29</f>
        <v>0</v>
      </c>
    </row>
    <row r="25" spans="1:29" ht="18.75" customHeight="1">
      <c r="A25" s="310">
        <f>Gen!B30</f>
        <v>44002</v>
      </c>
      <c r="B25" s="395">
        <f>Gen!C30</f>
        <v>0</v>
      </c>
      <c r="C25" s="363"/>
      <c r="D25" s="363"/>
      <c r="E25" s="363"/>
      <c r="F25" s="363"/>
      <c r="G25" s="363"/>
      <c r="H25" s="363"/>
      <c r="I25" s="363"/>
      <c r="J25" s="363"/>
      <c r="K25" s="362">
        <f t="shared" si="0"/>
        <v>0</v>
      </c>
      <c r="L25" s="363"/>
      <c r="M25" s="362">
        <f t="shared" si="1"/>
        <v>0</v>
      </c>
      <c r="N25" s="364">
        <f t="shared" si="2"/>
        <v>0</v>
      </c>
      <c r="O25" s="363"/>
      <c r="P25" s="362">
        <f t="shared" si="3"/>
        <v>0</v>
      </c>
      <c r="Q25" s="362">
        <f t="shared" si="4"/>
        <v>0</v>
      </c>
      <c r="R25" s="363"/>
      <c r="S25" s="362">
        <f t="shared" si="5"/>
        <v>0</v>
      </c>
      <c r="T25" s="362">
        <f t="shared" si="6"/>
        <v>0</v>
      </c>
      <c r="U25" s="363"/>
      <c r="V25" s="362">
        <f t="shared" si="7"/>
        <v>0</v>
      </c>
      <c r="W25" s="364">
        <f t="shared" si="8"/>
        <v>0</v>
      </c>
      <c r="X25" s="363"/>
      <c r="Y25" s="362">
        <f t="shared" si="9"/>
        <v>0</v>
      </c>
      <c r="Z25" s="365">
        <f t="shared" si="10"/>
        <v>0</v>
      </c>
      <c r="AA25" s="128"/>
      <c r="AB25" s="128"/>
      <c r="AC25" s="314">
        <f>Gen!T30</f>
        <v>0</v>
      </c>
    </row>
    <row r="26" spans="1:29" ht="20.100000000000001" customHeight="1">
      <c r="A26" s="310">
        <f>Gen!B31</f>
        <v>44003</v>
      </c>
      <c r="B26" s="395">
        <f>Gen!C31</f>
        <v>0</v>
      </c>
      <c r="C26" s="363"/>
      <c r="D26" s="363"/>
      <c r="E26" s="363"/>
      <c r="F26" s="363"/>
      <c r="G26" s="363"/>
      <c r="H26" s="363"/>
      <c r="I26" s="363"/>
      <c r="J26" s="363"/>
      <c r="K26" s="362">
        <f t="shared" si="0"/>
        <v>0</v>
      </c>
      <c r="L26" s="363"/>
      <c r="M26" s="362">
        <f t="shared" si="1"/>
        <v>0</v>
      </c>
      <c r="N26" s="364">
        <f t="shared" si="2"/>
        <v>0</v>
      </c>
      <c r="O26" s="363"/>
      <c r="P26" s="362">
        <f t="shared" si="3"/>
        <v>0</v>
      </c>
      <c r="Q26" s="362">
        <f t="shared" si="4"/>
        <v>0</v>
      </c>
      <c r="R26" s="363"/>
      <c r="S26" s="362">
        <f t="shared" si="5"/>
        <v>0</v>
      </c>
      <c r="T26" s="362">
        <f t="shared" si="6"/>
        <v>0</v>
      </c>
      <c r="U26" s="363"/>
      <c r="V26" s="362">
        <f t="shared" si="7"/>
        <v>0</v>
      </c>
      <c r="W26" s="364">
        <f t="shared" si="8"/>
        <v>0</v>
      </c>
      <c r="X26" s="363"/>
      <c r="Y26" s="362">
        <f t="shared" si="9"/>
        <v>0</v>
      </c>
      <c r="Z26" s="365">
        <f t="shared" si="10"/>
        <v>0</v>
      </c>
      <c r="AA26" s="128"/>
      <c r="AB26" s="128"/>
      <c r="AC26" s="314">
        <f>Gen!T31</f>
        <v>0</v>
      </c>
    </row>
    <row r="27" spans="1:29" ht="20.100000000000001" customHeight="1">
      <c r="A27" s="310">
        <f>Gen!B32</f>
        <v>44004</v>
      </c>
      <c r="B27" s="395">
        <f>Gen!C32</f>
        <v>0</v>
      </c>
      <c r="C27" s="363"/>
      <c r="D27" s="363"/>
      <c r="E27" s="363"/>
      <c r="F27" s="363"/>
      <c r="G27" s="363"/>
      <c r="H27" s="363"/>
      <c r="I27" s="363"/>
      <c r="J27" s="363"/>
      <c r="K27" s="362">
        <f t="shared" si="0"/>
        <v>0</v>
      </c>
      <c r="L27" s="363"/>
      <c r="M27" s="362">
        <f t="shared" si="1"/>
        <v>0</v>
      </c>
      <c r="N27" s="364">
        <f t="shared" si="2"/>
        <v>0</v>
      </c>
      <c r="O27" s="363"/>
      <c r="P27" s="362">
        <f t="shared" si="3"/>
        <v>0</v>
      </c>
      <c r="Q27" s="362">
        <f t="shared" si="4"/>
        <v>0</v>
      </c>
      <c r="R27" s="363"/>
      <c r="S27" s="362">
        <f t="shared" si="5"/>
        <v>0</v>
      </c>
      <c r="T27" s="362">
        <f t="shared" si="6"/>
        <v>0</v>
      </c>
      <c r="U27" s="363"/>
      <c r="V27" s="362">
        <f t="shared" si="7"/>
        <v>0</v>
      </c>
      <c r="W27" s="364">
        <f t="shared" si="8"/>
        <v>0</v>
      </c>
      <c r="X27" s="363"/>
      <c r="Y27" s="362">
        <f t="shared" si="9"/>
        <v>0</v>
      </c>
      <c r="Z27" s="365">
        <f t="shared" si="10"/>
        <v>0</v>
      </c>
      <c r="AA27" s="128"/>
      <c r="AB27" s="128"/>
      <c r="AC27" s="314">
        <f>Gen!T32</f>
        <v>0</v>
      </c>
    </row>
    <row r="28" spans="1:29" ht="20.100000000000001" customHeight="1">
      <c r="A28" s="310">
        <f>Gen!B33</f>
        <v>44005</v>
      </c>
      <c r="B28" s="395">
        <f>Gen!C33</f>
        <v>0</v>
      </c>
      <c r="C28" s="363"/>
      <c r="D28" s="363"/>
      <c r="E28" s="363"/>
      <c r="F28" s="363"/>
      <c r="G28" s="363"/>
      <c r="H28" s="363"/>
      <c r="I28" s="363"/>
      <c r="J28" s="363"/>
      <c r="K28" s="362">
        <f t="shared" si="0"/>
        <v>0</v>
      </c>
      <c r="L28" s="363"/>
      <c r="M28" s="362">
        <f t="shared" si="1"/>
        <v>0</v>
      </c>
      <c r="N28" s="364">
        <f t="shared" si="2"/>
        <v>0</v>
      </c>
      <c r="O28" s="363"/>
      <c r="P28" s="362">
        <f t="shared" si="3"/>
        <v>0</v>
      </c>
      <c r="Q28" s="362">
        <f t="shared" si="4"/>
        <v>0</v>
      </c>
      <c r="R28" s="363"/>
      <c r="S28" s="362">
        <f t="shared" si="5"/>
        <v>0</v>
      </c>
      <c r="T28" s="362">
        <f t="shared" si="6"/>
        <v>0</v>
      </c>
      <c r="U28" s="363"/>
      <c r="V28" s="362">
        <f t="shared" si="7"/>
        <v>0</v>
      </c>
      <c r="W28" s="364">
        <f t="shared" si="8"/>
        <v>0</v>
      </c>
      <c r="X28" s="363"/>
      <c r="Y28" s="362">
        <f t="shared" si="9"/>
        <v>0</v>
      </c>
      <c r="Z28" s="365">
        <f t="shared" si="10"/>
        <v>0</v>
      </c>
      <c r="AA28" s="128"/>
      <c r="AB28" s="128"/>
      <c r="AC28" s="314">
        <f>Gen!T33</f>
        <v>0</v>
      </c>
    </row>
    <row r="29" spans="1:29" ht="20.100000000000001" customHeight="1">
      <c r="A29" s="310">
        <f>Gen!B34</f>
        <v>44006</v>
      </c>
      <c r="B29" s="395">
        <f>Gen!C34</f>
        <v>0</v>
      </c>
      <c r="C29" s="363"/>
      <c r="D29" s="363"/>
      <c r="E29" s="363"/>
      <c r="F29" s="363"/>
      <c r="G29" s="363"/>
      <c r="H29" s="363"/>
      <c r="I29" s="363"/>
      <c r="J29" s="363"/>
      <c r="K29" s="362">
        <f t="shared" si="0"/>
        <v>0</v>
      </c>
      <c r="L29" s="363"/>
      <c r="M29" s="362">
        <f t="shared" si="1"/>
        <v>0</v>
      </c>
      <c r="N29" s="364">
        <f t="shared" si="2"/>
        <v>0</v>
      </c>
      <c r="O29" s="363"/>
      <c r="P29" s="362">
        <f t="shared" si="3"/>
        <v>0</v>
      </c>
      <c r="Q29" s="362">
        <f t="shared" si="4"/>
        <v>0</v>
      </c>
      <c r="R29" s="363"/>
      <c r="S29" s="362">
        <f t="shared" si="5"/>
        <v>0</v>
      </c>
      <c r="T29" s="362">
        <f t="shared" si="6"/>
        <v>0</v>
      </c>
      <c r="U29" s="363"/>
      <c r="V29" s="362">
        <f t="shared" si="7"/>
        <v>0</v>
      </c>
      <c r="W29" s="364">
        <f t="shared" si="8"/>
        <v>0</v>
      </c>
      <c r="X29" s="363"/>
      <c r="Y29" s="362">
        <f t="shared" si="9"/>
        <v>0</v>
      </c>
      <c r="Z29" s="365">
        <f t="shared" si="10"/>
        <v>0</v>
      </c>
      <c r="AA29" s="128"/>
      <c r="AB29" s="128"/>
      <c r="AC29" s="314">
        <f>Gen!T34</f>
        <v>0</v>
      </c>
    </row>
    <row r="30" spans="1:29" ht="20.100000000000001" customHeight="1">
      <c r="A30" s="310">
        <f>Gen!B35</f>
        <v>44007</v>
      </c>
      <c r="B30" s="395">
        <f>Gen!C35</f>
        <v>0</v>
      </c>
      <c r="C30" s="363"/>
      <c r="D30" s="363"/>
      <c r="E30" s="363"/>
      <c r="F30" s="363"/>
      <c r="G30" s="363"/>
      <c r="H30" s="363"/>
      <c r="I30" s="363"/>
      <c r="J30" s="363"/>
      <c r="K30" s="362">
        <f t="shared" si="0"/>
        <v>0</v>
      </c>
      <c r="L30" s="363"/>
      <c r="M30" s="362">
        <f t="shared" si="1"/>
        <v>0</v>
      </c>
      <c r="N30" s="364">
        <f t="shared" si="2"/>
        <v>0</v>
      </c>
      <c r="O30" s="363"/>
      <c r="P30" s="362">
        <f t="shared" si="3"/>
        <v>0</v>
      </c>
      <c r="Q30" s="362">
        <f t="shared" si="4"/>
        <v>0</v>
      </c>
      <c r="R30" s="363"/>
      <c r="S30" s="362">
        <f t="shared" si="5"/>
        <v>0</v>
      </c>
      <c r="T30" s="362">
        <f t="shared" si="6"/>
        <v>0</v>
      </c>
      <c r="U30" s="363"/>
      <c r="V30" s="362">
        <f t="shared" si="7"/>
        <v>0</v>
      </c>
      <c r="W30" s="364">
        <f t="shared" si="8"/>
        <v>0</v>
      </c>
      <c r="X30" s="363"/>
      <c r="Y30" s="362">
        <f t="shared" si="9"/>
        <v>0</v>
      </c>
      <c r="Z30" s="365">
        <f t="shared" si="10"/>
        <v>0</v>
      </c>
      <c r="AA30" s="128"/>
      <c r="AB30" s="128"/>
      <c r="AC30" s="314">
        <f>Gen!T35</f>
        <v>0</v>
      </c>
    </row>
    <row r="31" spans="1:29" ht="20.100000000000001" customHeight="1">
      <c r="A31" s="310">
        <f>Gen!B36</f>
        <v>44008</v>
      </c>
      <c r="B31" s="395">
        <f>Gen!C36</f>
        <v>0</v>
      </c>
      <c r="C31" s="363"/>
      <c r="D31" s="363"/>
      <c r="E31" s="363"/>
      <c r="F31" s="363"/>
      <c r="G31" s="363"/>
      <c r="H31" s="363"/>
      <c r="I31" s="363"/>
      <c r="J31" s="363"/>
      <c r="K31" s="362">
        <f t="shared" si="0"/>
        <v>0</v>
      </c>
      <c r="L31" s="363"/>
      <c r="M31" s="362">
        <f t="shared" si="1"/>
        <v>0</v>
      </c>
      <c r="N31" s="364">
        <f t="shared" si="2"/>
        <v>0</v>
      </c>
      <c r="O31" s="363"/>
      <c r="P31" s="362">
        <f t="shared" si="3"/>
        <v>0</v>
      </c>
      <c r="Q31" s="362">
        <f t="shared" si="4"/>
        <v>0</v>
      </c>
      <c r="R31" s="363"/>
      <c r="S31" s="362">
        <f t="shared" si="5"/>
        <v>0</v>
      </c>
      <c r="T31" s="362">
        <f t="shared" si="6"/>
        <v>0</v>
      </c>
      <c r="U31" s="363"/>
      <c r="V31" s="362">
        <f t="shared" si="7"/>
        <v>0</v>
      </c>
      <c r="W31" s="364">
        <f t="shared" si="8"/>
        <v>0</v>
      </c>
      <c r="X31" s="363"/>
      <c r="Y31" s="362">
        <f t="shared" si="9"/>
        <v>0</v>
      </c>
      <c r="Z31" s="365">
        <f t="shared" si="10"/>
        <v>0</v>
      </c>
      <c r="AA31" s="128"/>
      <c r="AB31" s="128"/>
      <c r="AC31" s="314">
        <f>Gen!T36</f>
        <v>0</v>
      </c>
    </row>
    <row r="32" spans="1:29" ht="20.100000000000001" customHeight="1">
      <c r="A32" s="310">
        <f>Gen!B37</f>
        <v>44009</v>
      </c>
      <c r="B32" s="395">
        <f>Gen!C37</f>
        <v>0</v>
      </c>
      <c r="C32" s="363"/>
      <c r="D32" s="363"/>
      <c r="E32" s="363"/>
      <c r="F32" s="363"/>
      <c r="G32" s="363"/>
      <c r="H32" s="363"/>
      <c r="I32" s="363"/>
      <c r="J32" s="363"/>
      <c r="K32" s="362">
        <f t="shared" si="0"/>
        <v>0</v>
      </c>
      <c r="L32" s="363"/>
      <c r="M32" s="362">
        <f t="shared" si="1"/>
        <v>0</v>
      </c>
      <c r="N32" s="364">
        <f t="shared" si="2"/>
        <v>0</v>
      </c>
      <c r="O32" s="363"/>
      <c r="P32" s="362">
        <f t="shared" si="3"/>
        <v>0</v>
      </c>
      <c r="Q32" s="362">
        <f t="shared" si="4"/>
        <v>0</v>
      </c>
      <c r="R32" s="363"/>
      <c r="S32" s="362">
        <f t="shared" si="5"/>
        <v>0</v>
      </c>
      <c r="T32" s="362">
        <f t="shared" si="6"/>
        <v>0</v>
      </c>
      <c r="U32" s="363"/>
      <c r="V32" s="362">
        <f t="shared" si="7"/>
        <v>0</v>
      </c>
      <c r="W32" s="364">
        <f t="shared" si="8"/>
        <v>0</v>
      </c>
      <c r="X32" s="363"/>
      <c r="Y32" s="362">
        <f t="shared" si="9"/>
        <v>0</v>
      </c>
      <c r="Z32" s="365">
        <f t="shared" si="10"/>
        <v>0</v>
      </c>
      <c r="AA32" s="128"/>
      <c r="AB32" s="128"/>
      <c r="AC32" s="314">
        <f>Gen!T37</f>
        <v>0</v>
      </c>
    </row>
    <row r="33" spans="1:29" ht="20.100000000000001" customHeight="1">
      <c r="A33" s="310">
        <f>Gen!B38</f>
        <v>44010</v>
      </c>
      <c r="B33" s="395">
        <f>Gen!C38</f>
        <v>0</v>
      </c>
      <c r="C33" s="363"/>
      <c r="D33" s="363"/>
      <c r="E33" s="363"/>
      <c r="F33" s="363"/>
      <c r="G33" s="363"/>
      <c r="H33" s="363"/>
      <c r="I33" s="363"/>
      <c r="J33" s="363"/>
      <c r="K33" s="362">
        <f t="shared" si="0"/>
        <v>0</v>
      </c>
      <c r="L33" s="363"/>
      <c r="M33" s="362">
        <f t="shared" si="1"/>
        <v>0</v>
      </c>
      <c r="N33" s="364">
        <f t="shared" si="2"/>
        <v>0</v>
      </c>
      <c r="O33" s="363"/>
      <c r="P33" s="362">
        <f t="shared" si="3"/>
        <v>0</v>
      </c>
      <c r="Q33" s="362">
        <f t="shared" si="4"/>
        <v>0</v>
      </c>
      <c r="R33" s="363"/>
      <c r="S33" s="362">
        <f t="shared" si="5"/>
        <v>0</v>
      </c>
      <c r="T33" s="362">
        <f t="shared" si="6"/>
        <v>0</v>
      </c>
      <c r="U33" s="363"/>
      <c r="V33" s="362">
        <f t="shared" si="7"/>
        <v>0</v>
      </c>
      <c r="W33" s="364">
        <f t="shared" si="8"/>
        <v>0</v>
      </c>
      <c r="X33" s="363"/>
      <c r="Y33" s="362">
        <f t="shared" si="9"/>
        <v>0</v>
      </c>
      <c r="Z33" s="365">
        <f t="shared" si="10"/>
        <v>0</v>
      </c>
      <c r="AA33" s="128"/>
      <c r="AB33" s="128"/>
      <c r="AC33" s="314">
        <f>Gen!T38</f>
        <v>0</v>
      </c>
    </row>
    <row r="34" spans="1:29" ht="20.100000000000001" customHeight="1">
      <c r="A34" s="310">
        <f>Gen!B39</f>
        <v>44011</v>
      </c>
      <c r="B34" s="395">
        <f>Gen!C39</f>
        <v>0</v>
      </c>
      <c r="C34" s="363"/>
      <c r="D34" s="363"/>
      <c r="E34" s="363"/>
      <c r="F34" s="363"/>
      <c r="G34" s="363"/>
      <c r="H34" s="363"/>
      <c r="I34" s="363"/>
      <c r="J34" s="363"/>
      <c r="K34" s="362">
        <f t="shared" si="0"/>
        <v>0</v>
      </c>
      <c r="L34" s="363"/>
      <c r="M34" s="362">
        <f t="shared" si="1"/>
        <v>0</v>
      </c>
      <c r="N34" s="364">
        <f t="shared" si="2"/>
        <v>0</v>
      </c>
      <c r="O34" s="363"/>
      <c r="P34" s="362">
        <f t="shared" si="3"/>
        <v>0</v>
      </c>
      <c r="Q34" s="362">
        <f t="shared" si="4"/>
        <v>0</v>
      </c>
      <c r="R34" s="363"/>
      <c r="S34" s="362">
        <f t="shared" si="5"/>
        <v>0</v>
      </c>
      <c r="T34" s="362">
        <f t="shared" si="6"/>
        <v>0</v>
      </c>
      <c r="U34" s="363"/>
      <c r="V34" s="362">
        <f t="shared" si="7"/>
        <v>0</v>
      </c>
      <c r="W34" s="364">
        <f t="shared" si="8"/>
        <v>0</v>
      </c>
      <c r="X34" s="363"/>
      <c r="Y34" s="362">
        <f t="shared" si="9"/>
        <v>0</v>
      </c>
      <c r="Z34" s="365">
        <f t="shared" si="10"/>
        <v>0</v>
      </c>
      <c r="AA34" s="128"/>
      <c r="AB34" s="128"/>
      <c r="AC34" s="314">
        <f>Gen!T39</f>
        <v>0</v>
      </c>
    </row>
    <row r="35" spans="1:29" ht="20.100000000000001" customHeight="1">
      <c r="A35" s="310">
        <f>Gen!B40</f>
        <v>44012</v>
      </c>
      <c r="B35" s="395">
        <f>Gen!C40</f>
        <v>0</v>
      </c>
      <c r="C35" s="363"/>
      <c r="D35" s="363"/>
      <c r="E35" s="363"/>
      <c r="F35" s="363"/>
      <c r="G35" s="363"/>
      <c r="H35" s="363"/>
      <c r="I35" s="363"/>
      <c r="J35" s="363"/>
      <c r="K35" s="362">
        <f t="shared" si="0"/>
        <v>0</v>
      </c>
      <c r="L35" s="363"/>
      <c r="M35" s="362">
        <f t="shared" si="1"/>
        <v>0</v>
      </c>
      <c r="N35" s="364">
        <f t="shared" si="2"/>
        <v>0</v>
      </c>
      <c r="O35" s="363"/>
      <c r="P35" s="362">
        <f t="shared" si="3"/>
        <v>0</v>
      </c>
      <c r="Q35" s="362">
        <f t="shared" si="4"/>
        <v>0</v>
      </c>
      <c r="R35" s="363"/>
      <c r="S35" s="362">
        <f t="shared" si="5"/>
        <v>0</v>
      </c>
      <c r="T35" s="362">
        <f t="shared" si="6"/>
        <v>0</v>
      </c>
      <c r="U35" s="363"/>
      <c r="V35" s="362">
        <f t="shared" si="7"/>
        <v>0</v>
      </c>
      <c r="W35" s="364">
        <f t="shared" si="8"/>
        <v>0</v>
      </c>
      <c r="X35" s="363"/>
      <c r="Y35" s="362">
        <f t="shared" si="9"/>
        <v>0</v>
      </c>
      <c r="Z35" s="365">
        <f t="shared" si="10"/>
        <v>0</v>
      </c>
      <c r="AA35" s="128"/>
      <c r="AB35" s="128"/>
      <c r="AC35" s="314">
        <f>Gen!T40</f>
        <v>0</v>
      </c>
    </row>
    <row r="36" spans="1:29" ht="20.100000000000001" customHeight="1">
      <c r="A36" s="310">
        <f>Gen!B41</f>
        <v>44013</v>
      </c>
      <c r="B36" s="395">
        <f>Gen!C41</f>
        <v>0</v>
      </c>
      <c r="C36" s="363"/>
      <c r="D36" s="363"/>
      <c r="E36" s="363"/>
      <c r="F36" s="363"/>
      <c r="G36" s="363"/>
      <c r="H36" s="363"/>
      <c r="I36" s="363"/>
      <c r="J36" s="363"/>
      <c r="K36" s="362">
        <f t="shared" si="0"/>
        <v>0</v>
      </c>
      <c r="L36" s="363"/>
      <c r="M36" s="362">
        <f t="shared" si="1"/>
        <v>0</v>
      </c>
      <c r="N36" s="364">
        <f t="shared" si="2"/>
        <v>0</v>
      </c>
      <c r="O36" s="363"/>
      <c r="P36" s="362">
        <f t="shared" si="3"/>
        <v>0</v>
      </c>
      <c r="Q36" s="362">
        <f t="shared" si="4"/>
        <v>0</v>
      </c>
      <c r="R36" s="363"/>
      <c r="S36" s="362">
        <f t="shared" si="5"/>
        <v>0</v>
      </c>
      <c r="T36" s="362">
        <f t="shared" si="6"/>
        <v>0</v>
      </c>
      <c r="U36" s="363"/>
      <c r="V36" s="362">
        <f t="shared" si="7"/>
        <v>0</v>
      </c>
      <c r="W36" s="364">
        <f t="shared" si="8"/>
        <v>0</v>
      </c>
      <c r="X36" s="363"/>
      <c r="Y36" s="362">
        <f t="shared" si="9"/>
        <v>0</v>
      </c>
      <c r="Z36" s="365">
        <f t="shared" si="10"/>
        <v>0</v>
      </c>
      <c r="AA36" s="128"/>
      <c r="AB36" s="128"/>
      <c r="AC36" s="314">
        <f>Gen!T41</f>
        <v>0</v>
      </c>
    </row>
    <row r="37" spans="1:29" ht="21" customHeight="1">
      <c r="A37" s="310">
        <f>Gen!B42</f>
        <v>44014</v>
      </c>
      <c r="B37" s="395">
        <f>Gen!C42</f>
        <v>0</v>
      </c>
      <c r="C37" s="363"/>
      <c r="D37" s="363"/>
      <c r="E37" s="363"/>
      <c r="F37" s="363"/>
      <c r="G37" s="363"/>
      <c r="H37" s="363"/>
      <c r="I37" s="363"/>
      <c r="J37" s="363"/>
      <c r="K37" s="362">
        <f t="shared" si="0"/>
        <v>0</v>
      </c>
      <c r="L37" s="363"/>
      <c r="M37" s="362">
        <f t="shared" si="1"/>
        <v>0</v>
      </c>
      <c r="N37" s="364">
        <f t="shared" si="2"/>
        <v>0</v>
      </c>
      <c r="O37" s="363"/>
      <c r="P37" s="362">
        <f t="shared" si="3"/>
        <v>0</v>
      </c>
      <c r="Q37" s="362">
        <f t="shared" si="4"/>
        <v>0</v>
      </c>
      <c r="R37" s="363"/>
      <c r="S37" s="362">
        <f t="shared" si="5"/>
        <v>0</v>
      </c>
      <c r="T37" s="362">
        <f t="shared" si="6"/>
        <v>0</v>
      </c>
      <c r="U37" s="363"/>
      <c r="V37" s="362">
        <f t="shared" si="7"/>
        <v>0</v>
      </c>
      <c r="W37" s="364">
        <f t="shared" si="8"/>
        <v>0</v>
      </c>
      <c r="X37" s="363"/>
      <c r="Y37" s="362">
        <f t="shared" si="9"/>
        <v>0</v>
      </c>
      <c r="Z37" s="365">
        <f t="shared" si="10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zoomScale="110" zoomScaleNormal="110" workbookViewId="0">
      <pane xSplit="2" topLeftCell="C1" activePane="topRight" state="frozen"/>
      <selection pane="topRight" activeCell="M22" sqref="M22"/>
    </sheetView>
  </sheetViews>
  <sheetFormatPr defaultColWidth="9.140625" defaultRowHeight="11.25"/>
  <cols>
    <col min="1" max="1" width="9.140625" style="225"/>
    <col min="2" max="2" width="9.85546875" style="494" customWidth="1"/>
    <col min="3" max="3" width="8.85546875" style="494" customWidth="1"/>
    <col min="4" max="4" width="9" style="494" customWidth="1"/>
    <col min="5" max="5" width="9.140625" style="494" customWidth="1"/>
    <col min="6" max="6" width="10.140625" style="494" bestFit="1" customWidth="1"/>
    <col min="7" max="7" width="10.7109375" style="494" customWidth="1"/>
    <col min="8" max="8" width="11.28515625" style="494" customWidth="1"/>
    <col min="9" max="9" width="9.7109375" style="494" customWidth="1"/>
    <col min="10" max="10" width="8" style="494" customWidth="1"/>
    <col min="11" max="11" width="8.7109375" style="494" customWidth="1"/>
    <col min="12" max="12" width="8.28515625" style="494" customWidth="1"/>
    <col min="13" max="13" width="10.140625" style="494" customWidth="1"/>
    <col min="14" max="14" width="10.85546875" style="494" customWidth="1"/>
    <col min="15" max="15" width="11.42578125" style="494" customWidth="1"/>
    <col min="16" max="16" width="10.140625" style="494" customWidth="1"/>
    <col min="17" max="17" width="14.42578125" style="494" customWidth="1"/>
    <col min="18" max="18" width="10.7109375" style="494" customWidth="1"/>
    <col min="19" max="19" width="13.140625" style="494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17"/>
      <c r="C1" s="817"/>
    </row>
    <row r="2" spans="2:47" ht="26.25">
      <c r="B2" s="817"/>
      <c r="C2" s="817"/>
      <c r="E2" s="818" t="s">
        <v>318</v>
      </c>
      <c r="F2" s="818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819"/>
      <c r="S2" s="819"/>
      <c r="T2" s="819"/>
      <c r="U2" s="819"/>
      <c r="V2" s="819"/>
      <c r="W2" s="819"/>
      <c r="X2" s="819"/>
      <c r="Y2" s="819"/>
      <c r="Z2" s="819"/>
      <c r="AA2" s="819"/>
      <c r="AB2" s="819"/>
      <c r="AC2" s="819"/>
      <c r="AD2" s="819"/>
      <c r="AE2" s="819"/>
      <c r="AF2" s="819"/>
      <c r="AG2" s="819"/>
      <c r="AH2" s="819"/>
      <c r="AI2" s="819"/>
      <c r="AJ2" s="819"/>
      <c r="AK2" s="819"/>
      <c r="AL2" s="819"/>
      <c r="AM2" s="819"/>
      <c r="AN2" s="819"/>
      <c r="AO2" s="819"/>
      <c r="AP2" s="819"/>
      <c r="AQ2" s="819"/>
      <c r="AR2" s="819"/>
      <c r="AS2" s="819"/>
      <c r="AT2" s="819"/>
      <c r="AU2" s="819"/>
    </row>
    <row r="3" spans="2:47">
      <c r="B3" s="817"/>
      <c r="C3" s="817"/>
      <c r="L3" s="226"/>
      <c r="R3" s="226"/>
    </row>
    <row r="4" spans="2:47">
      <c r="B4" s="817"/>
      <c r="C4" s="817"/>
      <c r="L4" s="226"/>
      <c r="R4" s="226"/>
    </row>
    <row r="5" spans="2:47" ht="12" thickBot="1">
      <c r="B5" s="817"/>
      <c r="C5" s="817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17"/>
      <c r="C6" s="817"/>
      <c r="D6" s="231"/>
      <c r="G6" s="826" t="s">
        <v>57</v>
      </c>
      <c r="H6" s="827"/>
      <c r="I6" s="827"/>
      <c r="J6" s="827"/>
      <c r="K6" s="827"/>
      <c r="L6" s="827"/>
      <c r="M6" s="828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20" t="s">
        <v>201</v>
      </c>
      <c r="H7" s="821"/>
      <c r="I7" s="821"/>
      <c r="J7" s="821"/>
      <c r="K7" s="821"/>
      <c r="L7" s="821"/>
      <c r="M7" s="822"/>
      <c r="N7" s="823" t="s">
        <v>40</v>
      </c>
      <c r="O7" s="824"/>
      <c r="P7" s="824"/>
      <c r="Q7" s="824"/>
      <c r="R7" s="824"/>
      <c r="S7" s="825"/>
      <c r="T7" s="412"/>
      <c r="U7" s="413"/>
      <c r="V7" s="414"/>
      <c r="W7" s="415" t="s">
        <v>80</v>
      </c>
      <c r="X7" s="416" t="s">
        <v>80</v>
      </c>
      <c r="Y7" s="416" t="s">
        <v>5</v>
      </c>
      <c r="Z7" s="416" t="s">
        <v>81</v>
      </c>
      <c r="AA7" s="416" t="s">
        <v>83</v>
      </c>
      <c r="AB7" s="416" t="s">
        <v>82</v>
      </c>
      <c r="AC7" s="416" t="s">
        <v>82</v>
      </c>
      <c r="AD7" s="417" t="s">
        <v>199</v>
      </c>
      <c r="AE7" s="416" t="s">
        <v>30</v>
      </c>
      <c r="AF7" s="416" t="s">
        <v>97</v>
      </c>
      <c r="AG7" s="418" t="s">
        <v>22</v>
      </c>
      <c r="AH7" s="419" t="s">
        <v>29</v>
      </c>
      <c r="AI7" s="416" t="s">
        <v>84</v>
      </c>
      <c r="AJ7" s="420" t="s">
        <v>190</v>
      </c>
      <c r="AK7" s="431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4" t="s">
        <v>0</v>
      </c>
      <c r="C8" s="445" t="s">
        <v>313</v>
      </c>
      <c r="D8" s="446" t="s">
        <v>2</v>
      </c>
      <c r="E8" s="447" t="s">
        <v>38</v>
      </c>
      <c r="F8" s="447" t="s">
        <v>96</v>
      </c>
      <c r="G8" s="448" t="s">
        <v>308</v>
      </c>
      <c r="H8" s="594">
        <v>1</v>
      </c>
      <c r="I8" s="438">
        <v>2</v>
      </c>
      <c r="J8" s="438">
        <v>3</v>
      </c>
      <c r="K8" s="438">
        <v>4</v>
      </c>
      <c r="L8" s="438">
        <v>5</v>
      </c>
      <c r="M8" s="439">
        <v>6</v>
      </c>
      <c r="N8" s="440">
        <v>1</v>
      </c>
      <c r="O8" s="441">
        <v>2</v>
      </c>
      <c r="P8" s="441">
        <v>3</v>
      </c>
      <c r="Q8" s="441">
        <v>4</v>
      </c>
      <c r="R8" s="441">
        <v>5</v>
      </c>
      <c r="S8" s="441">
        <v>6</v>
      </c>
      <c r="T8" s="442" t="s">
        <v>39</v>
      </c>
      <c r="U8" s="442" t="s">
        <v>41</v>
      </c>
      <c r="V8" s="443" t="s">
        <v>198</v>
      </c>
      <c r="W8" s="422" t="s">
        <v>33</v>
      </c>
      <c r="X8" s="423" t="s">
        <v>32</v>
      </c>
      <c r="Y8" s="423" t="s">
        <v>35</v>
      </c>
      <c r="Z8" s="424" t="s">
        <v>208</v>
      </c>
      <c r="AA8" s="424" t="s">
        <v>207</v>
      </c>
      <c r="AB8" s="424" t="s">
        <v>209</v>
      </c>
      <c r="AC8" s="423" t="s">
        <v>249</v>
      </c>
      <c r="AD8" s="425" t="s">
        <v>34</v>
      </c>
      <c r="AE8" s="423" t="s">
        <v>31</v>
      </c>
      <c r="AF8" s="423" t="s">
        <v>210</v>
      </c>
      <c r="AG8" s="423" t="s">
        <v>211</v>
      </c>
      <c r="AH8" s="426" t="s">
        <v>85</v>
      </c>
      <c r="AI8" s="427" t="s">
        <v>28</v>
      </c>
      <c r="AJ8" s="428" t="s">
        <v>28</v>
      </c>
      <c r="AK8" s="430"/>
      <c r="AL8" s="325"/>
      <c r="AM8" s="52"/>
      <c r="AN8" s="52"/>
      <c r="AO8" s="52"/>
      <c r="AP8" s="52"/>
      <c r="AQ8" s="237"/>
      <c r="AR8" s="433"/>
      <c r="AS8" s="434" t="s">
        <v>200</v>
      </c>
      <c r="AT8" s="434" t="s">
        <v>43</v>
      </c>
      <c r="AU8" s="433" t="s">
        <v>3</v>
      </c>
    </row>
    <row r="9" spans="2:47" ht="14.25">
      <c r="B9" s="595"/>
      <c r="C9" s="239"/>
      <c r="D9" s="696">
        <v>32059.94</v>
      </c>
      <c r="E9" s="697"/>
      <c r="F9" s="698"/>
      <c r="G9" s="435"/>
      <c r="H9" s="667"/>
      <c r="I9" s="668"/>
      <c r="J9" s="669"/>
      <c r="K9" s="670"/>
      <c r="L9" s="671"/>
      <c r="M9" s="672"/>
      <c r="N9" s="436"/>
      <c r="O9" s="437"/>
      <c r="P9" s="437"/>
      <c r="Q9" s="437"/>
      <c r="R9" s="437"/>
      <c r="S9" s="677"/>
      <c r="T9" s="683">
        <f t="shared" ref="T9:T45" si="0">SUM(G9:M9)</f>
        <v>0</v>
      </c>
      <c r="U9" s="684">
        <f t="shared" ref="U9:U43" si="1">SUM(N9:S9)</f>
        <v>0</v>
      </c>
      <c r="V9" s="685"/>
      <c r="W9" s="681"/>
      <c r="X9" s="244"/>
      <c r="Y9" s="421"/>
      <c r="Z9" s="421"/>
      <c r="AA9" s="421"/>
      <c r="AB9" s="244"/>
      <c r="AC9" s="242"/>
      <c r="AD9" s="244"/>
      <c r="AE9" s="245"/>
      <c r="AF9" s="245"/>
      <c r="AG9" s="246"/>
      <c r="AH9" s="242"/>
      <c r="AI9" s="244"/>
      <c r="AJ9" s="454"/>
      <c r="AK9" s="429"/>
      <c r="AL9" s="247"/>
      <c r="AM9" s="247"/>
      <c r="AN9" s="247"/>
      <c r="AO9" s="247"/>
      <c r="AP9" s="247"/>
      <c r="AQ9" s="247"/>
      <c r="AR9" s="247"/>
      <c r="AS9" s="432">
        <f t="shared" ref="AS9:AS43" si="2">SUM(AK9+T9)</f>
        <v>0</v>
      </c>
      <c r="AT9" s="248"/>
      <c r="AU9" s="249">
        <v>38784.699999999997</v>
      </c>
    </row>
    <row r="10" spans="2:47" ht="13.5" customHeight="1">
      <c r="B10" s="596"/>
      <c r="C10" s="691"/>
      <c r="D10" s="699"/>
      <c r="E10" s="240"/>
      <c r="F10" s="700"/>
      <c r="G10" s="354"/>
      <c r="H10" s="673"/>
      <c r="I10" s="252"/>
      <c r="J10" s="253"/>
      <c r="K10" s="252"/>
      <c r="L10" s="252"/>
      <c r="M10" s="354"/>
      <c r="N10" s="353"/>
      <c r="O10" s="255"/>
      <c r="P10" s="254"/>
      <c r="Q10" s="254"/>
      <c r="R10" s="254"/>
      <c r="S10" s="678"/>
      <c r="T10" s="686">
        <f t="shared" si="0"/>
        <v>0</v>
      </c>
      <c r="U10" s="266">
        <f t="shared" si="1"/>
        <v>0</v>
      </c>
      <c r="V10" s="687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4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5">
        <v>43983</v>
      </c>
      <c r="C11" s="692">
        <v>0</v>
      </c>
      <c r="D11" s="701">
        <f>SUM(D9+E11)</f>
        <v>32059.94</v>
      </c>
      <c r="E11" s="271"/>
      <c r="F11" s="700"/>
      <c r="G11" s="354"/>
      <c r="H11" s="673">
        <v>349.52</v>
      </c>
      <c r="I11" s="252"/>
      <c r="J11" s="253"/>
      <c r="K11" s="252">
        <v>320</v>
      </c>
      <c r="L11" s="252"/>
      <c r="M11" s="354"/>
      <c r="N11" s="254">
        <v>792</v>
      </c>
      <c r="O11" s="254"/>
      <c r="P11" s="254"/>
      <c r="Q11" s="254">
        <v>781</v>
      </c>
      <c r="R11" s="254"/>
      <c r="S11" s="678"/>
      <c r="T11" s="686">
        <f t="shared" si="0"/>
        <v>669.52</v>
      </c>
      <c r="U11" s="266">
        <f t="shared" si="1"/>
        <v>1573</v>
      </c>
      <c r="V11" s="687">
        <f t="shared" ref="V11:V41" si="4">T11/U11</f>
        <v>0.42563254926891292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4"/>
      <c r="AK11" s="324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669.52</v>
      </c>
      <c r="AT11" s="269">
        <f>AS11*AV11</f>
        <v>0</v>
      </c>
      <c r="AU11" s="336">
        <f t="shared" ref="AU11:AU43" si="5">D11</f>
        <v>32059.94</v>
      </c>
    </row>
    <row r="12" spans="2:47" ht="13.5" customHeight="1">
      <c r="B12" s="705">
        <v>43984</v>
      </c>
      <c r="C12" s="692">
        <v>0</v>
      </c>
      <c r="D12" s="701">
        <f t="shared" ref="D12:D43" si="6">SUM(D11-AS11+E12)</f>
        <v>31390.42</v>
      </c>
      <c r="E12" s="271"/>
      <c r="F12" s="700"/>
      <c r="G12" s="354"/>
      <c r="H12" s="673"/>
      <c r="I12" s="252">
        <v>348.11</v>
      </c>
      <c r="J12" s="272"/>
      <c r="K12" s="252">
        <v>337.22</v>
      </c>
      <c r="L12" s="252"/>
      <c r="M12" s="354"/>
      <c r="N12" s="353"/>
      <c r="O12" s="254">
        <v>896</v>
      </c>
      <c r="P12" s="254"/>
      <c r="Q12" s="254">
        <v>742</v>
      </c>
      <c r="R12" s="254"/>
      <c r="S12" s="678"/>
      <c r="T12" s="686">
        <f t="shared" si="0"/>
        <v>685.33</v>
      </c>
      <c r="U12" s="266">
        <f t="shared" si="1"/>
        <v>1638</v>
      </c>
      <c r="V12" s="687">
        <f t="shared" si="4"/>
        <v>0.4183943833943834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4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685.33</v>
      </c>
      <c r="AT12" s="269">
        <f t="shared" ref="AT12:AT44" si="7">AS12*AV12</f>
        <v>0</v>
      </c>
      <c r="AU12" s="336">
        <f t="shared" si="5"/>
        <v>31390.42</v>
      </c>
    </row>
    <row r="13" spans="2:47" ht="13.5" customHeight="1">
      <c r="B13" s="705">
        <v>43985</v>
      </c>
      <c r="C13" s="692"/>
      <c r="D13" s="701">
        <f t="shared" si="6"/>
        <v>45705.09</v>
      </c>
      <c r="E13" s="271">
        <v>15000</v>
      </c>
      <c r="F13" s="700">
        <v>15000</v>
      </c>
      <c r="G13" s="695" t="s">
        <v>317</v>
      </c>
      <c r="H13" s="673">
        <v>394.95</v>
      </c>
      <c r="I13" s="252"/>
      <c r="J13" s="272"/>
      <c r="K13" s="252">
        <v>333.08</v>
      </c>
      <c r="L13" s="252"/>
      <c r="M13" s="354"/>
      <c r="N13" s="353">
        <v>921</v>
      </c>
      <c r="O13" s="254"/>
      <c r="P13" s="254"/>
      <c r="Q13" s="254"/>
      <c r="R13" s="254"/>
      <c r="S13" s="678">
        <v>679</v>
      </c>
      <c r="T13" s="686">
        <f t="shared" si="0"/>
        <v>728.03</v>
      </c>
      <c r="U13" s="266">
        <f t="shared" si="1"/>
        <v>1600</v>
      </c>
      <c r="V13" s="687">
        <f t="shared" si="4"/>
        <v>0.45501874999999997</v>
      </c>
      <c r="W13" s="259"/>
      <c r="X13" s="267"/>
      <c r="Y13" s="591"/>
      <c r="Z13" s="591"/>
      <c r="AA13" s="252"/>
      <c r="AB13" s="326"/>
      <c r="AC13" s="267"/>
      <c r="AD13" s="267"/>
      <c r="AE13" s="267"/>
      <c r="AF13" s="267"/>
      <c r="AG13" s="267"/>
      <c r="AH13" s="267"/>
      <c r="AI13" s="267"/>
      <c r="AJ13" s="454"/>
      <c r="AK13" s="324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728.03</v>
      </c>
      <c r="AT13" s="269">
        <f t="shared" si="7"/>
        <v>0</v>
      </c>
      <c r="AU13" s="336">
        <f t="shared" si="5"/>
        <v>45705.09</v>
      </c>
    </row>
    <row r="14" spans="2:47" ht="13.5" customHeight="1">
      <c r="B14" s="705">
        <v>43986</v>
      </c>
      <c r="C14" s="692"/>
      <c r="D14" s="701">
        <f t="shared" si="6"/>
        <v>44977.06</v>
      </c>
      <c r="E14" s="271"/>
      <c r="F14" s="700"/>
      <c r="G14" s="694"/>
      <c r="H14" s="673"/>
      <c r="I14" s="252">
        <v>351.94</v>
      </c>
      <c r="J14" s="272"/>
      <c r="K14" s="252"/>
      <c r="L14" s="252"/>
      <c r="M14" s="354">
        <v>341.94</v>
      </c>
      <c r="N14" s="353"/>
      <c r="O14" s="254">
        <v>822</v>
      </c>
      <c r="P14" s="254"/>
      <c r="Q14" s="254"/>
      <c r="R14" s="254"/>
      <c r="S14" s="678">
        <v>772</v>
      </c>
      <c r="T14" s="686">
        <f t="shared" si="0"/>
        <v>693.88</v>
      </c>
      <c r="U14" s="266">
        <f t="shared" si="1"/>
        <v>1594</v>
      </c>
      <c r="V14" s="687">
        <f t="shared" si="4"/>
        <v>0.43530740276035129</v>
      </c>
      <c r="W14" s="259"/>
      <c r="X14" s="267"/>
      <c r="Z14" s="591"/>
      <c r="AA14" s="252"/>
      <c r="AB14" s="326"/>
      <c r="AC14" s="267"/>
      <c r="AD14" s="267"/>
      <c r="AE14" s="267"/>
      <c r="AF14" s="267"/>
      <c r="AG14" s="267"/>
      <c r="AH14" s="267"/>
      <c r="AI14" s="267"/>
      <c r="AJ14" s="454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693.88</v>
      </c>
      <c r="AT14" s="269">
        <f t="shared" si="7"/>
        <v>0</v>
      </c>
      <c r="AU14" s="336">
        <f t="shared" si="5"/>
        <v>44977.06</v>
      </c>
    </row>
    <row r="15" spans="2:47" ht="13.5" customHeight="1">
      <c r="B15" s="705">
        <v>43987</v>
      </c>
      <c r="C15" s="692"/>
      <c r="D15" s="701">
        <f t="shared" si="6"/>
        <v>44283.18</v>
      </c>
      <c r="E15" s="271"/>
      <c r="F15" s="700"/>
      <c r="G15" s="694"/>
      <c r="H15" s="673"/>
      <c r="I15" s="252"/>
      <c r="J15" s="272"/>
      <c r="K15" s="252">
        <v>370.04</v>
      </c>
      <c r="L15" s="252"/>
      <c r="M15" s="354">
        <v>338.89</v>
      </c>
      <c r="N15" s="353"/>
      <c r="O15" s="254"/>
      <c r="P15" s="254"/>
      <c r="Q15" s="254">
        <v>902</v>
      </c>
      <c r="R15" s="254"/>
      <c r="S15" s="678">
        <v>756</v>
      </c>
      <c r="T15" s="686">
        <f t="shared" si="0"/>
        <v>708.93000000000006</v>
      </c>
      <c r="U15" s="266">
        <f t="shared" si="1"/>
        <v>1658</v>
      </c>
      <c r="V15" s="687">
        <f t="shared" si="4"/>
        <v>0.42758142340168881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4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708.93000000000006</v>
      </c>
      <c r="AT15" s="269">
        <f t="shared" si="7"/>
        <v>0</v>
      </c>
      <c r="AU15" s="336">
        <f t="shared" si="5"/>
        <v>44283.18</v>
      </c>
    </row>
    <row r="16" spans="2:47" ht="13.5" customHeight="1">
      <c r="B16" s="705">
        <v>43988</v>
      </c>
      <c r="C16" s="692"/>
      <c r="D16" s="701">
        <f t="shared" si="6"/>
        <v>43574.25</v>
      </c>
      <c r="E16" s="271"/>
      <c r="F16" s="700"/>
      <c r="G16" s="694"/>
      <c r="H16" s="673"/>
      <c r="I16" s="252"/>
      <c r="J16" s="272"/>
      <c r="K16" s="252"/>
      <c r="L16" s="252"/>
      <c r="M16" s="354"/>
      <c r="N16" s="769"/>
      <c r="O16" s="769"/>
      <c r="P16" s="254"/>
      <c r="Q16" s="254"/>
      <c r="R16" s="254"/>
      <c r="S16" s="678"/>
      <c r="T16" s="686">
        <f t="shared" si="0"/>
        <v>0</v>
      </c>
      <c r="U16" s="266">
        <f t="shared" si="1"/>
        <v>0</v>
      </c>
      <c r="V16" s="687" t="e">
        <f t="shared" si="4"/>
        <v>#DIV/0!</v>
      </c>
      <c r="W16" s="259"/>
      <c r="X16" s="267"/>
      <c r="Y16" s="243"/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4"/>
      <c r="AK16" s="324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6">
        <f t="shared" si="5"/>
        <v>43574.25</v>
      </c>
    </row>
    <row r="17" spans="2:47" ht="13.5" customHeight="1">
      <c r="B17" s="705">
        <v>43989</v>
      </c>
      <c r="C17" s="692"/>
      <c r="D17" s="701">
        <f t="shared" si="6"/>
        <v>43574.25</v>
      </c>
      <c r="E17" s="271"/>
      <c r="F17" s="700"/>
      <c r="G17" s="694"/>
      <c r="H17" s="673"/>
      <c r="I17" s="252"/>
      <c r="J17" s="272"/>
      <c r="K17" s="252"/>
      <c r="L17" s="252"/>
      <c r="M17" s="354"/>
      <c r="N17" s="353"/>
      <c r="O17" s="254"/>
      <c r="P17" s="254"/>
      <c r="Q17" s="254"/>
      <c r="R17" s="254"/>
      <c r="S17" s="678"/>
      <c r="T17" s="686">
        <f t="shared" si="0"/>
        <v>0</v>
      </c>
      <c r="U17" s="266">
        <f t="shared" si="1"/>
        <v>0</v>
      </c>
      <c r="V17" s="687" t="e">
        <f t="shared" si="4"/>
        <v>#DIV/0!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4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6">
        <f t="shared" si="5"/>
        <v>43574.25</v>
      </c>
    </row>
    <row r="18" spans="2:47" ht="13.5" customHeight="1">
      <c r="B18" s="705">
        <v>43990</v>
      </c>
      <c r="C18" s="692"/>
      <c r="D18" s="701">
        <f t="shared" si="6"/>
        <v>43574.25</v>
      </c>
      <c r="E18" s="271"/>
      <c r="F18" s="700"/>
      <c r="G18" s="694"/>
      <c r="H18" s="673"/>
      <c r="I18" s="252"/>
      <c r="J18" s="272"/>
      <c r="K18" s="252"/>
      <c r="L18" s="252"/>
      <c r="M18" s="354"/>
      <c r="N18" s="353"/>
      <c r="O18" s="254"/>
      <c r="P18" s="254"/>
      <c r="Q18" s="254"/>
      <c r="R18" s="254"/>
      <c r="S18" s="678"/>
      <c r="T18" s="686">
        <f t="shared" si="0"/>
        <v>0</v>
      </c>
      <c r="U18" s="266">
        <f t="shared" si="1"/>
        <v>0</v>
      </c>
      <c r="V18" s="687" t="e">
        <f t="shared" si="4"/>
        <v>#DIV/0!</v>
      </c>
      <c r="W18" s="259"/>
      <c r="X18" s="267"/>
      <c r="Y18" s="243"/>
      <c r="Z18" s="252"/>
      <c r="AA18" s="252"/>
      <c r="AB18" s="326"/>
      <c r="AC18" s="267"/>
      <c r="AD18" s="267"/>
      <c r="AE18" s="267"/>
      <c r="AF18" s="267"/>
      <c r="AG18" s="267"/>
      <c r="AH18" s="267"/>
      <c r="AI18" s="267"/>
      <c r="AJ18" s="454"/>
      <c r="AK18" s="324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6">
        <f t="shared" si="5"/>
        <v>43574.25</v>
      </c>
    </row>
    <row r="19" spans="2:47" ht="13.5" customHeight="1">
      <c r="B19" s="705">
        <v>43991</v>
      </c>
      <c r="C19" s="692"/>
      <c r="D19" s="701">
        <f t="shared" si="6"/>
        <v>43574.25</v>
      </c>
      <c r="E19" s="271"/>
      <c r="F19" s="700"/>
      <c r="G19" s="694"/>
      <c r="H19" s="673"/>
      <c r="I19" s="252"/>
      <c r="J19" s="272"/>
      <c r="K19" s="252"/>
      <c r="L19" s="252"/>
      <c r="M19" s="354"/>
      <c r="N19" s="353"/>
      <c r="O19" s="254"/>
      <c r="P19" s="254"/>
      <c r="Q19" s="254"/>
      <c r="R19" s="254"/>
      <c r="S19" s="678"/>
      <c r="T19" s="686">
        <f t="shared" si="0"/>
        <v>0</v>
      </c>
      <c r="U19" s="266">
        <f t="shared" si="1"/>
        <v>0</v>
      </c>
      <c r="V19" s="687" t="e">
        <f t="shared" si="4"/>
        <v>#DIV/0!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4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6">
        <f t="shared" si="5"/>
        <v>43574.25</v>
      </c>
    </row>
    <row r="20" spans="2:47" ht="14.25">
      <c r="B20" s="705">
        <v>43992</v>
      </c>
      <c r="C20" s="692"/>
      <c r="D20" s="701">
        <f t="shared" si="6"/>
        <v>43574.25</v>
      </c>
      <c r="E20" s="271"/>
      <c r="F20" s="700"/>
      <c r="G20" s="694"/>
      <c r="H20" s="673"/>
      <c r="I20" s="267"/>
      <c r="J20" s="272"/>
      <c r="K20" s="252"/>
      <c r="L20" s="252"/>
      <c r="M20" s="636"/>
      <c r="N20" s="353"/>
      <c r="O20" s="254"/>
      <c r="P20" s="254"/>
      <c r="Q20" s="254"/>
      <c r="R20" s="254"/>
      <c r="S20" s="679"/>
      <c r="T20" s="686">
        <f t="shared" si="0"/>
        <v>0</v>
      </c>
      <c r="U20" s="266">
        <f t="shared" si="1"/>
        <v>0</v>
      </c>
      <c r="V20" s="687" t="e">
        <f t="shared" si="4"/>
        <v>#DIV/0!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4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6">
        <f t="shared" si="5"/>
        <v>43574.25</v>
      </c>
    </row>
    <row r="21" spans="2:47" ht="14.25">
      <c r="B21" s="705">
        <v>43993</v>
      </c>
      <c r="C21" s="692"/>
      <c r="D21" s="701">
        <f t="shared" si="6"/>
        <v>43574.25</v>
      </c>
      <c r="E21" s="271"/>
      <c r="F21" s="700"/>
      <c r="G21" s="694"/>
      <c r="H21" s="673"/>
      <c r="I21" s="267"/>
      <c r="J21" s="272"/>
      <c r="K21" s="252"/>
      <c r="L21" s="252"/>
      <c r="M21" s="597"/>
      <c r="N21" s="353"/>
      <c r="O21" s="353"/>
      <c r="P21" s="254"/>
      <c r="Q21" s="254"/>
      <c r="R21" s="254"/>
      <c r="S21" s="678"/>
      <c r="T21" s="686">
        <f t="shared" si="0"/>
        <v>0</v>
      </c>
      <c r="U21" s="266">
        <f t="shared" si="1"/>
        <v>0</v>
      </c>
      <c r="V21" s="687" t="e">
        <f t="shared" si="4"/>
        <v>#DIV/0!</v>
      </c>
      <c r="W21" s="259"/>
      <c r="X21" s="267"/>
      <c r="Y21" s="243"/>
      <c r="Z21" s="267"/>
      <c r="AA21" s="252"/>
      <c r="AB21" s="326"/>
      <c r="AC21" s="267"/>
      <c r="AD21" s="267"/>
      <c r="AE21" s="267"/>
      <c r="AF21" s="267"/>
      <c r="AG21" s="267"/>
      <c r="AH21" s="267"/>
      <c r="AI21" s="267"/>
      <c r="AJ21" s="454"/>
      <c r="AK21" s="324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6">
        <f t="shared" si="5"/>
        <v>43574.25</v>
      </c>
    </row>
    <row r="22" spans="2:47" ht="14.25">
      <c r="B22" s="705">
        <v>43994</v>
      </c>
      <c r="C22" s="692"/>
      <c r="D22" s="701">
        <f t="shared" si="6"/>
        <v>43574.25</v>
      </c>
      <c r="E22" s="271"/>
      <c r="F22" s="700"/>
      <c r="G22" s="694"/>
      <c r="H22" s="673"/>
      <c r="I22" s="252"/>
      <c r="J22" s="272"/>
      <c r="K22" s="252"/>
      <c r="L22" s="252"/>
      <c r="M22" s="636"/>
      <c r="N22" s="353"/>
      <c r="O22" s="353"/>
      <c r="P22" s="254"/>
      <c r="Q22" s="254"/>
      <c r="R22" s="254"/>
      <c r="S22" s="678"/>
      <c r="T22" s="686">
        <f t="shared" si="0"/>
        <v>0</v>
      </c>
      <c r="U22" s="266">
        <f t="shared" si="1"/>
        <v>0</v>
      </c>
      <c r="V22" s="687" t="e">
        <f t="shared" si="4"/>
        <v>#DIV/0!</v>
      </c>
      <c r="W22" s="259"/>
      <c r="X22" s="267"/>
      <c r="Y22" s="243"/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4"/>
      <c r="AK22" s="324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6">
        <f t="shared" si="5"/>
        <v>43574.25</v>
      </c>
    </row>
    <row r="23" spans="2:47" ht="14.25">
      <c r="B23" s="705">
        <v>43995</v>
      </c>
      <c r="C23" s="692"/>
      <c r="D23" s="701">
        <f t="shared" si="6"/>
        <v>43574.25</v>
      </c>
      <c r="E23" s="271"/>
      <c r="F23" s="700"/>
      <c r="G23" s="694"/>
      <c r="H23" s="673"/>
      <c r="I23" s="267"/>
      <c r="J23" s="272"/>
      <c r="K23" s="252"/>
      <c r="L23" s="252"/>
      <c r="M23" s="636"/>
      <c r="N23" s="353"/>
      <c r="O23" s="254"/>
      <c r="P23" s="254"/>
      <c r="Q23" s="254"/>
      <c r="R23" s="254"/>
      <c r="S23" s="678"/>
      <c r="T23" s="686">
        <f t="shared" si="0"/>
        <v>0</v>
      </c>
      <c r="U23" s="266">
        <f t="shared" si="1"/>
        <v>0</v>
      </c>
      <c r="V23" s="687" t="e">
        <f t="shared" si="4"/>
        <v>#DIV/0!</v>
      </c>
      <c r="W23" s="259"/>
      <c r="X23" s="267"/>
      <c r="Y23" s="243"/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4"/>
      <c r="AK23" s="324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6">
        <f t="shared" si="5"/>
        <v>43574.25</v>
      </c>
    </row>
    <row r="24" spans="2:47" ht="14.25">
      <c r="B24" s="705">
        <v>43996</v>
      </c>
      <c r="C24" s="692"/>
      <c r="D24" s="701">
        <f t="shared" si="6"/>
        <v>43574.25</v>
      </c>
      <c r="E24" s="251"/>
      <c r="F24" s="700"/>
      <c r="G24" s="694"/>
      <c r="H24" s="673"/>
      <c r="I24" s="267"/>
      <c r="J24" s="272"/>
      <c r="K24" s="252"/>
      <c r="L24" s="252"/>
      <c r="M24" s="636"/>
      <c r="N24" s="353"/>
      <c r="O24" s="353"/>
      <c r="P24" s="254"/>
      <c r="Q24" s="254"/>
      <c r="R24" s="254"/>
      <c r="S24" s="678"/>
      <c r="T24" s="686">
        <f t="shared" si="0"/>
        <v>0</v>
      </c>
      <c r="U24" s="266">
        <f t="shared" si="1"/>
        <v>0</v>
      </c>
      <c r="V24" s="687" t="e">
        <f t="shared" si="4"/>
        <v>#DIV/0!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4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6">
        <f t="shared" si="5"/>
        <v>43574.25</v>
      </c>
    </row>
    <row r="25" spans="2:47" ht="14.25">
      <c r="B25" s="705">
        <v>43997</v>
      </c>
      <c r="C25" s="692"/>
      <c r="D25" s="701">
        <f t="shared" si="6"/>
        <v>43574.25</v>
      </c>
      <c r="E25" s="271"/>
      <c r="F25" s="700"/>
      <c r="G25" s="694"/>
      <c r="H25" s="673"/>
      <c r="I25" s="267"/>
      <c r="J25" s="272"/>
      <c r="K25" s="252"/>
      <c r="L25" s="252"/>
      <c r="M25" s="636"/>
      <c r="N25" s="353"/>
      <c r="O25" s="254"/>
      <c r="P25" s="254"/>
      <c r="Q25" s="254"/>
      <c r="R25" s="254"/>
      <c r="S25" s="678"/>
      <c r="T25" s="686">
        <f t="shared" si="0"/>
        <v>0</v>
      </c>
      <c r="U25" s="266">
        <f t="shared" si="1"/>
        <v>0</v>
      </c>
      <c r="V25" s="687" t="e">
        <f t="shared" si="4"/>
        <v>#DIV/0!</v>
      </c>
      <c r="W25" s="259"/>
      <c r="X25" s="267"/>
      <c r="Y25" s="243"/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4"/>
      <c r="AK25" s="324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6">
        <f t="shared" si="5"/>
        <v>43574.25</v>
      </c>
    </row>
    <row r="26" spans="2:47" ht="14.25">
      <c r="B26" s="705">
        <v>43998</v>
      </c>
      <c r="C26" s="692"/>
      <c r="D26" s="701">
        <f t="shared" si="6"/>
        <v>43574.25</v>
      </c>
      <c r="E26" s="271"/>
      <c r="F26" s="700"/>
      <c r="G26" s="694"/>
      <c r="H26" s="673"/>
      <c r="I26" s="267"/>
      <c r="J26" s="272"/>
      <c r="K26" s="252"/>
      <c r="L26" s="252"/>
      <c r="M26" s="636"/>
      <c r="N26" s="353"/>
      <c r="O26" s="254"/>
      <c r="P26" s="254"/>
      <c r="Q26" s="254"/>
      <c r="R26" s="254"/>
      <c r="S26" s="678"/>
      <c r="T26" s="686">
        <f t="shared" si="0"/>
        <v>0</v>
      </c>
      <c r="U26" s="266">
        <f t="shared" si="1"/>
        <v>0</v>
      </c>
      <c r="V26" s="687" t="e">
        <f t="shared" si="4"/>
        <v>#DIV/0!</v>
      </c>
      <c r="W26" s="259"/>
      <c r="X26" s="267"/>
      <c r="Y26" s="243"/>
      <c r="Z26" s="267"/>
      <c r="AA26" s="267"/>
      <c r="AB26" s="326"/>
      <c r="AC26" s="267"/>
      <c r="AD26" s="267"/>
      <c r="AE26" s="267"/>
      <c r="AF26" s="267"/>
      <c r="AG26" s="267"/>
      <c r="AH26" s="267"/>
      <c r="AI26" s="267"/>
      <c r="AJ26" s="454"/>
      <c r="AK26" s="324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6">
        <f t="shared" si="5"/>
        <v>43574.25</v>
      </c>
    </row>
    <row r="27" spans="2:47" ht="14.25">
      <c r="B27" s="705">
        <v>43999</v>
      </c>
      <c r="C27" s="692"/>
      <c r="D27" s="701">
        <f t="shared" si="6"/>
        <v>43574.25</v>
      </c>
      <c r="E27" s="271"/>
      <c r="F27" s="700">
        <v>10000</v>
      </c>
      <c r="G27" s="768" t="s">
        <v>312</v>
      </c>
      <c r="H27" s="673"/>
      <c r="I27" s="267"/>
      <c r="J27" s="272"/>
      <c r="K27" s="252"/>
      <c r="L27" s="252"/>
      <c r="M27" s="636"/>
      <c r="N27" s="353"/>
      <c r="O27" s="254"/>
      <c r="P27" s="254"/>
      <c r="Q27" s="254"/>
      <c r="R27" s="254"/>
      <c r="S27" s="678"/>
      <c r="T27" s="686">
        <f t="shared" si="0"/>
        <v>0</v>
      </c>
      <c r="U27" s="266">
        <f t="shared" si="1"/>
        <v>0</v>
      </c>
      <c r="V27" s="687" t="e">
        <f t="shared" si="4"/>
        <v>#DIV/0!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4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6">
        <f t="shared" si="5"/>
        <v>43574.25</v>
      </c>
    </row>
    <row r="28" spans="2:47" ht="14.25">
      <c r="B28" s="705">
        <v>44000</v>
      </c>
      <c r="C28" s="692"/>
      <c r="D28" s="701">
        <f t="shared" si="6"/>
        <v>43574.25</v>
      </c>
      <c r="E28" s="271"/>
      <c r="F28" s="700"/>
      <c r="G28" s="694"/>
      <c r="H28" s="673"/>
      <c r="I28" s="267"/>
      <c r="J28" s="253"/>
      <c r="K28" s="252"/>
      <c r="L28" s="252"/>
      <c r="M28" s="636"/>
      <c r="N28" s="353"/>
      <c r="O28" s="254"/>
      <c r="P28" s="254"/>
      <c r="Q28" s="254"/>
      <c r="R28" s="254"/>
      <c r="S28" s="678"/>
      <c r="T28" s="686">
        <f t="shared" si="0"/>
        <v>0</v>
      </c>
      <c r="U28" s="266">
        <f t="shared" si="1"/>
        <v>0</v>
      </c>
      <c r="V28" s="687" t="e">
        <f t="shared" si="4"/>
        <v>#DIV/0!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4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6">
        <f t="shared" si="5"/>
        <v>43574.25</v>
      </c>
    </row>
    <row r="29" spans="2:47" ht="14.25">
      <c r="B29" s="705">
        <v>44001</v>
      </c>
      <c r="C29" s="692"/>
      <c r="D29" s="701">
        <f t="shared" si="6"/>
        <v>43574.25</v>
      </c>
      <c r="E29" s="271"/>
      <c r="F29" s="700"/>
      <c r="G29" s="694"/>
      <c r="H29" s="673"/>
      <c r="I29" s="267"/>
      <c r="J29" s="253"/>
      <c r="K29" s="252"/>
      <c r="L29" s="252"/>
      <c r="M29" s="636"/>
      <c r="N29" s="353"/>
      <c r="O29" s="254"/>
      <c r="P29" s="254"/>
      <c r="Q29" s="254"/>
      <c r="R29" s="254"/>
      <c r="S29" s="678"/>
      <c r="T29" s="686">
        <f t="shared" si="0"/>
        <v>0</v>
      </c>
      <c r="U29" s="266">
        <f t="shared" si="1"/>
        <v>0</v>
      </c>
      <c r="V29" s="687" t="e">
        <f t="shared" si="4"/>
        <v>#DIV/0!</v>
      </c>
      <c r="W29" s="259"/>
      <c r="X29" s="267"/>
      <c r="Y29" s="243"/>
      <c r="Z29" s="267"/>
      <c r="AA29" s="252"/>
      <c r="AB29" s="326"/>
      <c r="AC29" s="267"/>
      <c r="AD29" s="267"/>
      <c r="AE29" s="267"/>
      <c r="AF29" s="267"/>
      <c r="AG29" s="267"/>
      <c r="AH29" s="267"/>
      <c r="AI29" s="267"/>
      <c r="AJ29" s="454"/>
      <c r="AK29" s="324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6">
        <f t="shared" si="5"/>
        <v>43574.25</v>
      </c>
    </row>
    <row r="30" spans="2:47" ht="14.25">
      <c r="B30" s="705">
        <v>44002</v>
      </c>
      <c r="C30" s="692"/>
      <c r="D30" s="701">
        <f t="shared" si="6"/>
        <v>43574.25</v>
      </c>
      <c r="E30" s="271"/>
      <c r="F30" s="700"/>
      <c r="G30" s="694"/>
      <c r="H30" s="673"/>
      <c r="I30" s="267"/>
      <c r="J30" s="253"/>
      <c r="K30" s="252"/>
      <c r="L30" s="252"/>
      <c r="M30" s="636"/>
      <c r="N30" s="353"/>
      <c r="O30" s="254"/>
      <c r="P30" s="254"/>
      <c r="Q30" s="254"/>
      <c r="R30" s="254"/>
      <c r="S30" s="678"/>
      <c r="T30" s="686">
        <f t="shared" si="0"/>
        <v>0</v>
      </c>
      <c r="U30" s="266">
        <f t="shared" si="1"/>
        <v>0</v>
      </c>
      <c r="V30" s="687" t="e">
        <f t="shared" si="4"/>
        <v>#DIV/0!</v>
      </c>
      <c r="W30" s="259"/>
      <c r="X30" s="267"/>
      <c r="Y30" s="243"/>
      <c r="Z30" s="267"/>
      <c r="AA30" s="252"/>
      <c r="AB30" s="326"/>
      <c r="AC30" s="267"/>
      <c r="AD30" s="267"/>
      <c r="AE30" s="267"/>
      <c r="AF30" s="267"/>
      <c r="AG30" s="267"/>
      <c r="AH30" s="267"/>
      <c r="AI30" s="267"/>
      <c r="AJ30" s="454"/>
      <c r="AK30" s="324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6">
        <f t="shared" si="5"/>
        <v>43574.25</v>
      </c>
    </row>
    <row r="31" spans="2:47" ht="14.25">
      <c r="B31" s="705">
        <v>44003</v>
      </c>
      <c r="C31" s="692"/>
      <c r="D31" s="701">
        <f t="shared" si="6"/>
        <v>43574.25</v>
      </c>
      <c r="E31" s="271"/>
      <c r="F31" s="700"/>
      <c r="G31" s="694"/>
      <c r="H31" s="673"/>
      <c r="I31" s="267"/>
      <c r="J31" s="253"/>
      <c r="K31" s="252"/>
      <c r="L31" s="252"/>
      <c r="M31" s="636"/>
      <c r="N31" s="353"/>
      <c r="O31" s="254"/>
      <c r="P31" s="254"/>
      <c r="Q31" s="254"/>
      <c r="R31" s="254"/>
      <c r="S31" s="678"/>
      <c r="T31" s="686">
        <f t="shared" si="0"/>
        <v>0</v>
      </c>
      <c r="U31" s="266">
        <f t="shared" si="1"/>
        <v>0</v>
      </c>
      <c r="V31" s="687" t="e">
        <f t="shared" si="4"/>
        <v>#DIV/0!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4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6">
        <f t="shared" si="5"/>
        <v>43574.25</v>
      </c>
    </row>
    <row r="32" spans="2:47" ht="14.25">
      <c r="B32" s="705">
        <v>44004</v>
      </c>
      <c r="C32" s="692"/>
      <c r="D32" s="701">
        <f t="shared" si="6"/>
        <v>43574.25</v>
      </c>
      <c r="E32" s="271"/>
      <c r="F32" s="700"/>
      <c r="G32" s="694"/>
      <c r="H32" s="673"/>
      <c r="I32" s="267"/>
      <c r="J32" s="253"/>
      <c r="K32" s="252"/>
      <c r="L32" s="252"/>
      <c r="M32" s="636"/>
      <c r="N32" s="353"/>
      <c r="O32" s="254"/>
      <c r="P32" s="254"/>
      <c r="Q32" s="254"/>
      <c r="R32" s="254"/>
      <c r="S32" s="678"/>
      <c r="T32" s="686">
        <f t="shared" si="0"/>
        <v>0</v>
      </c>
      <c r="U32" s="266">
        <f t="shared" si="1"/>
        <v>0</v>
      </c>
      <c r="V32" s="687" t="e">
        <f t="shared" si="4"/>
        <v>#DIV/0!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4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6">
        <f t="shared" si="5"/>
        <v>43574.25</v>
      </c>
    </row>
    <row r="33" spans="2:48" ht="14.25">
      <c r="B33" s="705">
        <v>44005</v>
      </c>
      <c r="C33" s="692"/>
      <c r="D33" s="701">
        <f t="shared" si="6"/>
        <v>43574.25</v>
      </c>
      <c r="E33" s="271"/>
      <c r="F33" s="700"/>
      <c r="G33" s="694"/>
      <c r="H33" s="673"/>
      <c r="I33" s="267"/>
      <c r="J33" s="253"/>
      <c r="K33" s="252"/>
      <c r="L33" s="252"/>
      <c r="M33" s="636"/>
      <c r="N33" s="353"/>
      <c r="O33" s="254"/>
      <c r="P33" s="254"/>
      <c r="Q33" s="254"/>
      <c r="R33" s="254"/>
      <c r="S33" s="678"/>
      <c r="T33" s="686">
        <f t="shared" si="0"/>
        <v>0</v>
      </c>
      <c r="U33" s="266">
        <f t="shared" si="1"/>
        <v>0</v>
      </c>
      <c r="V33" s="687" t="e">
        <f t="shared" si="4"/>
        <v>#DIV/0!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4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6">
        <f t="shared" si="5"/>
        <v>43574.25</v>
      </c>
      <c r="AV33" s="225">
        <f t="shared" ref="AV33:AV41" si="8">SUM(AV32)</f>
        <v>0</v>
      </c>
    </row>
    <row r="34" spans="2:48" ht="14.25">
      <c r="B34" s="705">
        <v>44006</v>
      </c>
      <c r="C34" s="692"/>
      <c r="D34" s="701">
        <f t="shared" si="6"/>
        <v>43574.25</v>
      </c>
      <c r="E34" s="271"/>
      <c r="F34" s="700"/>
      <c r="G34" s="636"/>
      <c r="H34" s="673"/>
      <c r="I34" s="267"/>
      <c r="J34" s="253"/>
      <c r="K34" s="252"/>
      <c r="L34" s="252"/>
      <c r="M34" s="636"/>
      <c r="N34" s="353"/>
      <c r="O34" s="254"/>
      <c r="P34" s="254"/>
      <c r="Q34" s="254"/>
      <c r="R34" s="254"/>
      <c r="S34" s="678"/>
      <c r="T34" s="686">
        <f t="shared" si="0"/>
        <v>0</v>
      </c>
      <c r="U34" s="266">
        <f t="shared" si="1"/>
        <v>0</v>
      </c>
      <c r="V34" s="687" t="e">
        <f t="shared" si="4"/>
        <v>#DIV/0!</v>
      </c>
      <c r="W34" s="259"/>
      <c r="X34" s="267"/>
      <c r="Y34" s="243"/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4"/>
      <c r="AK34" s="324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6">
        <f t="shared" si="5"/>
        <v>43574.25</v>
      </c>
      <c r="AV34" s="225">
        <f t="shared" si="8"/>
        <v>0</v>
      </c>
    </row>
    <row r="35" spans="2:48" ht="14.25">
      <c r="B35" s="705">
        <v>44007</v>
      </c>
      <c r="C35" s="692"/>
      <c r="D35" s="701">
        <f t="shared" si="6"/>
        <v>43574.25</v>
      </c>
      <c r="E35" s="271"/>
      <c r="F35" s="700"/>
      <c r="G35" s="694"/>
      <c r="H35" s="673"/>
      <c r="I35" s="267"/>
      <c r="J35" s="253"/>
      <c r="K35" s="252"/>
      <c r="L35" s="252"/>
      <c r="M35" s="636"/>
      <c r="N35" s="353"/>
      <c r="O35" s="254"/>
      <c r="P35" s="254"/>
      <c r="Q35" s="254"/>
      <c r="R35" s="254"/>
      <c r="S35" s="678"/>
      <c r="T35" s="686">
        <f t="shared" si="0"/>
        <v>0</v>
      </c>
      <c r="U35" s="266">
        <f t="shared" si="1"/>
        <v>0</v>
      </c>
      <c r="V35" s="687" t="e">
        <f t="shared" si="4"/>
        <v>#DIV/0!</v>
      </c>
      <c r="W35" s="259"/>
      <c r="X35" s="267"/>
      <c r="Y35" s="243"/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4"/>
      <c r="AK35" s="324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6">
        <f t="shared" si="5"/>
        <v>43574.25</v>
      </c>
      <c r="AV35" s="225">
        <f t="shared" si="8"/>
        <v>0</v>
      </c>
    </row>
    <row r="36" spans="2:48" ht="14.25">
      <c r="B36" s="705">
        <v>44008</v>
      </c>
      <c r="C36" s="692"/>
      <c r="D36" s="701">
        <f t="shared" si="6"/>
        <v>43574.25</v>
      </c>
      <c r="E36" s="271"/>
      <c r="F36" s="700"/>
      <c r="G36" s="636"/>
      <c r="H36" s="673"/>
      <c r="I36" s="267"/>
      <c r="J36" s="253"/>
      <c r="K36" s="252"/>
      <c r="L36" s="252"/>
      <c r="M36" s="636"/>
      <c r="N36" s="353"/>
      <c r="O36" s="254"/>
      <c r="P36" s="254"/>
      <c r="Q36" s="254"/>
      <c r="R36" s="254"/>
      <c r="S36" s="678"/>
      <c r="T36" s="686">
        <f t="shared" si="0"/>
        <v>0</v>
      </c>
      <c r="U36" s="266">
        <f t="shared" si="1"/>
        <v>0</v>
      </c>
      <c r="V36" s="687" t="e">
        <f t="shared" si="4"/>
        <v>#DIV/0!</v>
      </c>
      <c r="W36" s="259"/>
      <c r="X36" s="267"/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4"/>
      <c r="AK36" s="324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6">
        <f t="shared" si="5"/>
        <v>43574.25</v>
      </c>
      <c r="AV36" s="225">
        <f t="shared" si="8"/>
        <v>0</v>
      </c>
    </row>
    <row r="37" spans="2:48" ht="14.25">
      <c r="B37" s="705">
        <v>44009</v>
      </c>
      <c r="C37" s="692"/>
      <c r="D37" s="701">
        <f t="shared" si="6"/>
        <v>43574.25</v>
      </c>
      <c r="E37" s="271"/>
      <c r="F37" s="700"/>
      <c r="G37" s="636"/>
      <c r="H37" s="673"/>
      <c r="I37" s="267"/>
      <c r="J37" s="253"/>
      <c r="K37" s="252"/>
      <c r="L37" s="252"/>
      <c r="M37" s="636"/>
      <c r="N37" s="353"/>
      <c r="O37" s="254"/>
      <c r="P37" s="254"/>
      <c r="Q37" s="254"/>
      <c r="R37" s="254"/>
      <c r="S37" s="678"/>
      <c r="T37" s="686">
        <f t="shared" si="0"/>
        <v>0</v>
      </c>
      <c r="U37" s="266">
        <f t="shared" si="1"/>
        <v>0</v>
      </c>
      <c r="V37" s="687" t="e">
        <f t="shared" si="4"/>
        <v>#DIV/0!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4"/>
      <c r="AI37" s="267"/>
      <c r="AJ37" s="454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6">
        <f t="shared" si="5"/>
        <v>43574.25</v>
      </c>
      <c r="AV37" s="225">
        <f t="shared" si="8"/>
        <v>0</v>
      </c>
    </row>
    <row r="38" spans="2:48" ht="14.25">
      <c r="B38" s="705">
        <v>44010</v>
      </c>
      <c r="C38" s="692"/>
      <c r="D38" s="701">
        <f t="shared" si="6"/>
        <v>43574.25</v>
      </c>
      <c r="E38" s="271"/>
      <c r="F38" s="700"/>
      <c r="G38" s="694"/>
      <c r="H38" s="673"/>
      <c r="I38" s="267"/>
      <c r="J38" s="253"/>
      <c r="K38" s="252"/>
      <c r="L38" s="252"/>
      <c r="M38" s="636"/>
      <c r="N38" s="353"/>
      <c r="O38" s="254"/>
      <c r="P38" s="254"/>
      <c r="Q38" s="254"/>
      <c r="R38" s="254"/>
      <c r="S38" s="678"/>
      <c r="T38" s="686">
        <f t="shared" si="0"/>
        <v>0</v>
      </c>
      <c r="U38" s="266">
        <f t="shared" si="1"/>
        <v>0</v>
      </c>
      <c r="V38" s="687" t="e">
        <f t="shared" si="4"/>
        <v>#DIV/0!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4"/>
      <c r="AI38" s="267"/>
      <c r="AJ38" s="454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6">
        <f t="shared" si="5"/>
        <v>43574.25</v>
      </c>
      <c r="AV38" s="225">
        <f t="shared" si="8"/>
        <v>0</v>
      </c>
    </row>
    <row r="39" spans="2:48" ht="14.25">
      <c r="B39" s="705">
        <v>44011</v>
      </c>
      <c r="C39" s="692"/>
      <c r="D39" s="701">
        <f t="shared" si="6"/>
        <v>43574.25</v>
      </c>
      <c r="E39" s="271"/>
      <c r="F39" s="700"/>
      <c r="G39" s="354"/>
      <c r="H39" s="673"/>
      <c r="I39" s="267"/>
      <c r="J39" s="276"/>
      <c r="K39" s="252"/>
      <c r="L39" s="252"/>
      <c r="M39" s="636"/>
      <c r="N39" s="353"/>
      <c r="O39" s="254"/>
      <c r="P39" s="277"/>
      <c r="Q39" s="254"/>
      <c r="R39" s="254"/>
      <c r="S39" s="678"/>
      <c r="T39" s="686">
        <f t="shared" si="0"/>
        <v>0</v>
      </c>
      <c r="U39" s="266">
        <f t="shared" si="1"/>
        <v>0</v>
      </c>
      <c r="V39" s="687" t="e">
        <f t="shared" si="4"/>
        <v>#DIV/0!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4"/>
      <c r="AI39" s="267"/>
      <c r="AJ39" s="454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6">
        <f t="shared" si="5"/>
        <v>43574.25</v>
      </c>
      <c r="AV39" s="225">
        <f t="shared" si="8"/>
        <v>0</v>
      </c>
    </row>
    <row r="40" spans="2:48" ht="14.25">
      <c r="B40" s="705">
        <v>44012</v>
      </c>
      <c r="C40" s="692"/>
      <c r="D40" s="701">
        <f t="shared" si="6"/>
        <v>43574.25</v>
      </c>
      <c r="E40" s="271"/>
      <c r="F40" s="700"/>
      <c r="G40" s="354"/>
      <c r="H40" s="673"/>
      <c r="I40" s="267"/>
      <c r="J40" s="253"/>
      <c r="K40" s="252"/>
      <c r="L40" s="252"/>
      <c r="M40" s="636"/>
      <c r="N40" s="353"/>
      <c r="O40" s="254"/>
      <c r="P40" s="254"/>
      <c r="Q40" s="254"/>
      <c r="R40" s="254"/>
      <c r="S40" s="678"/>
      <c r="T40" s="686">
        <f t="shared" si="0"/>
        <v>0</v>
      </c>
      <c r="U40" s="266">
        <f t="shared" si="1"/>
        <v>0</v>
      </c>
      <c r="V40" s="687" t="e">
        <f t="shared" si="4"/>
        <v>#DIV/0!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4"/>
      <c r="AI40" s="267"/>
      <c r="AJ40" s="454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6">
        <f t="shared" si="5"/>
        <v>43574.25</v>
      </c>
      <c r="AV40" s="225">
        <f t="shared" si="8"/>
        <v>0</v>
      </c>
    </row>
    <row r="41" spans="2:48" ht="14.25">
      <c r="B41" s="705">
        <v>44013</v>
      </c>
      <c r="C41" s="692"/>
      <c r="D41" s="701">
        <f t="shared" si="6"/>
        <v>43574.25</v>
      </c>
      <c r="E41" s="271"/>
      <c r="F41" s="700"/>
      <c r="G41" s="354"/>
      <c r="H41" s="673"/>
      <c r="I41" s="252"/>
      <c r="J41" s="252"/>
      <c r="K41" s="252"/>
      <c r="L41" s="252"/>
      <c r="M41" s="636"/>
      <c r="N41" s="353"/>
      <c r="O41" s="254"/>
      <c r="P41" s="254"/>
      <c r="Q41" s="254"/>
      <c r="R41" s="254"/>
      <c r="S41" s="678"/>
      <c r="T41" s="686">
        <f t="shared" si="0"/>
        <v>0</v>
      </c>
      <c r="U41" s="266">
        <f t="shared" si="1"/>
        <v>0</v>
      </c>
      <c r="V41" s="687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4"/>
      <c r="AI41" s="267"/>
      <c r="AJ41" s="454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43574.25</v>
      </c>
      <c r="AV41" s="225">
        <f t="shared" si="8"/>
        <v>0</v>
      </c>
    </row>
    <row r="42" spans="2:48" ht="14.25">
      <c r="B42" s="705">
        <v>44014</v>
      </c>
      <c r="C42" s="693"/>
      <c r="D42" s="701">
        <f t="shared" si="6"/>
        <v>43574.25</v>
      </c>
      <c r="E42" s="250"/>
      <c r="F42" s="700"/>
      <c r="G42" s="354"/>
      <c r="H42" s="673"/>
      <c r="I42" s="252"/>
      <c r="J42" s="252"/>
      <c r="K42" s="252"/>
      <c r="L42" s="252"/>
      <c r="M42" s="636"/>
      <c r="N42" s="353"/>
      <c r="O42" s="254"/>
      <c r="P42" s="254"/>
      <c r="Q42" s="254"/>
      <c r="R42" s="254"/>
      <c r="S42" s="678"/>
      <c r="T42" s="686">
        <f t="shared" si="0"/>
        <v>0</v>
      </c>
      <c r="U42" s="266">
        <f t="shared" si="1"/>
        <v>0</v>
      </c>
      <c r="V42" s="687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4"/>
      <c r="AI42" s="267"/>
      <c r="AJ42" s="454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43574.25</v>
      </c>
    </row>
    <row r="43" spans="2:48" ht="14.25">
      <c r="B43" s="598" t="s">
        <v>25</v>
      </c>
      <c r="C43" s="559">
        <f>AVERAGE(C11:C42)</f>
        <v>0</v>
      </c>
      <c r="D43" s="699">
        <f t="shared" si="6"/>
        <v>43574.25</v>
      </c>
      <c r="E43" s="250"/>
      <c r="F43" s="700"/>
      <c r="G43" s="354"/>
      <c r="H43" s="616"/>
      <c r="I43" s="252"/>
      <c r="J43" s="252"/>
      <c r="K43" s="252"/>
      <c r="L43" s="252"/>
      <c r="M43" s="636"/>
      <c r="N43" s="353"/>
      <c r="O43" s="254"/>
      <c r="P43" s="254"/>
      <c r="Q43" s="254"/>
      <c r="R43" s="254"/>
      <c r="S43" s="678"/>
      <c r="T43" s="686">
        <f t="shared" si="0"/>
        <v>0</v>
      </c>
      <c r="U43" s="266">
        <f t="shared" si="1"/>
        <v>0</v>
      </c>
      <c r="V43" s="687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4"/>
      <c r="AI43" s="256"/>
      <c r="AJ43" s="454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43574.25</v>
      </c>
    </row>
    <row r="44" spans="2:48" ht="15" thickBot="1">
      <c r="B44" s="599"/>
      <c r="C44" s="600"/>
      <c r="D44" s="702"/>
      <c r="E44" s="703"/>
      <c r="F44" s="704"/>
      <c r="G44" s="355"/>
      <c r="H44" s="674"/>
      <c r="I44" s="675"/>
      <c r="J44" s="675"/>
      <c r="K44" s="675"/>
      <c r="L44" s="675"/>
      <c r="M44" s="676"/>
      <c r="N44" s="352"/>
      <c r="O44" s="241"/>
      <c r="P44" s="241"/>
      <c r="Q44" s="241"/>
      <c r="R44" s="241"/>
      <c r="S44" s="680"/>
      <c r="T44" s="688">
        <f t="shared" si="0"/>
        <v>0</v>
      </c>
      <c r="U44" s="689"/>
      <c r="V44" s="690"/>
      <c r="W44" s="682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7">
        <f t="shared" si="3"/>
        <v>0</v>
      </c>
      <c r="AL44" s="367"/>
      <c r="AM44" s="367"/>
      <c r="AN44" s="367"/>
      <c r="AO44" s="367"/>
      <c r="AP44" s="367"/>
      <c r="AQ44" s="367"/>
      <c r="AR44" s="367"/>
      <c r="AS44" s="368">
        <f>T44+AK44</f>
        <v>0</v>
      </c>
      <c r="AT44" s="369">
        <f t="shared" si="7"/>
        <v>0</v>
      </c>
      <c r="AU44" s="370"/>
    </row>
    <row r="45" spans="2:48" s="284" customFormat="1" ht="13.5" thickBot="1">
      <c r="B45" s="664"/>
      <c r="C45" s="664"/>
      <c r="D45" s="665"/>
      <c r="E45" s="366">
        <f>SUM(E11:E44)</f>
        <v>15000</v>
      </c>
      <c r="F45" s="371">
        <f>SUM(F11:F42)</f>
        <v>25000</v>
      </c>
      <c r="G45" s="372">
        <f t="shared" ref="G45:P45" si="9">SUM(G11:G44)</f>
        <v>0</v>
      </c>
      <c r="H45" s="371">
        <f t="shared" si="9"/>
        <v>744.47</v>
      </c>
      <c r="I45" s="366">
        <f t="shared" si="9"/>
        <v>700.05</v>
      </c>
      <c r="J45" s="371">
        <f t="shared" si="9"/>
        <v>0</v>
      </c>
      <c r="K45" s="366">
        <f t="shared" si="9"/>
        <v>1360.34</v>
      </c>
      <c r="L45" s="371">
        <f t="shared" si="9"/>
        <v>0</v>
      </c>
      <c r="M45" s="366">
        <f t="shared" si="9"/>
        <v>680.82999999999993</v>
      </c>
      <c r="N45" s="371">
        <f t="shared" si="9"/>
        <v>1713</v>
      </c>
      <c r="O45" s="666">
        <f t="shared" si="9"/>
        <v>1718</v>
      </c>
      <c r="P45" s="371">
        <f t="shared" si="9"/>
        <v>0</v>
      </c>
      <c r="Q45" s="366">
        <f>SUM(Q11:Q43)</f>
        <v>2425</v>
      </c>
      <c r="R45" s="371">
        <f>SUM(R11:R44)</f>
        <v>0</v>
      </c>
      <c r="S45" s="366">
        <f>SUM(S11:S44)</f>
        <v>2207</v>
      </c>
      <c r="T45" s="663">
        <f t="shared" si="0"/>
        <v>3485.6899999999996</v>
      </c>
      <c r="U45" s="366">
        <f>SUM(N45:S45)</f>
        <v>8063</v>
      </c>
      <c r="V45" s="283" t="e">
        <f>SUM(V11:V42)</f>
        <v>#DIV/0!</v>
      </c>
      <c r="W45" s="658">
        <f t="shared" ref="W45:AC45" si="10">SUM(W9:W44)</f>
        <v>0</v>
      </c>
      <c r="X45" s="283">
        <f t="shared" si="10"/>
        <v>0</v>
      </c>
      <c r="Y45" s="658">
        <f t="shared" si="10"/>
        <v>0</v>
      </c>
      <c r="Z45" s="283">
        <f t="shared" si="10"/>
        <v>0</v>
      </c>
      <c r="AA45" s="658">
        <f t="shared" si="10"/>
        <v>0</v>
      </c>
      <c r="AB45" s="283">
        <f t="shared" si="10"/>
        <v>0</v>
      </c>
      <c r="AC45" s="658">
        <f t="shared" si="10"/>
        <v>0</v>
      </c>
      <c r="AD45" s="283">
        <f>SUM(AD10:AD44)</f>
        <v>0</v>
      </c>
      <c r="AE45" s="658">
        <f>SUM(AE10:AE44)</f>
        <v>0</v>
      </c>
      <c r="AF45" s="283">
        <f>SUM(AF9:AF44)</f>
        <v>0</v>
      </c>
      <c r="AG45" s="658">
        <f>SUM(AG9:AG44)</f>
        <v>0</v>
      </c>
      <c r="AH45" s="283">
        <f>SUM(AH9:AH44)</f>
        <v>0</v>
      </c>
      <c r="AI45" s="658">
        <f>SUM(AI9:AI43)</f>
        <v>0</v>
      </c>
      <c r="AJ45" s="283">
        <f>SUM(AJ9:AJ39)</f>
        <v>0</v>
      </c>
      <c r="AK45" s="658">
        <f>SUM(AK9:AK44)</f>
        <v>0</v>
      </c>
      <c r="AL45" s="283"/>
      <c r="AM45" s="283"/>
      <c r="AN45" s="283"/>
      <c r="AO45" s="283"/>
      <c r="AP45" s="283"/>
      <c r="AQ45" s="283"/>
      <c r="AR45" s="659"/>
      <c r="AS45" s="660">
        <f>SUM(AS11:AS43)</f>
        <v>3485.6900000000005</v>
      </c>
      <c r="AT45" s="661">
        <f>SUM(AT11:AT44)</f>
        <v>0</v>
      </c>
      <c r="AU45" s="662"/>
    </row>
    <row r="46" spans="2:48" ht="14.25" thickBot="1">
      <c r="B46" s="494" t="s">
        <v>67</v>
      </c>
      <c r="T46" s="773">
        <f>AVERAGE(T11:T26)</f>
        <v>217.85562500000003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3"/>
      <c r="G47" s="286"/>
      <c r="S47" s="226"/>
      <c r="T47" s="226"/>
      <c r="U47" s="375">
        <f>T45*2315</f>
        <v>8069372.3499999987</v>
      </c>
      <c r="V47" s="376" t="s">
        <v>244</v>
      </c>
      <c r="AS47" s="626">
        <f>AS45*2143</f>
        <v>7469833.6700000009</v>
      </c>
      <c r="AT47" s="625" t="s">
        <v>244</v>
      </c>
      <c r="AU47" s="225"/>
    </row>
    <row r="48" spans="2:48" ht="14.25" thickBot="1">
      <c r="B48" s="384" t="s">
        <v>247</v>
      </c>
      <c r="C48" s="287"/>
      <c r="U48" s="375">
        <f>U47/2289</f>
        <v>3525.282809086937</v>
      </c>
      <c r="V48" s="376" t="s">
        <v>245</v>
      </c>
      <c r="X48" s="236"/>
      <c r="Y48" s="236"/>
      <c r="Z48" s="236"/>
      <c r="AA48" s="236"/>
      <c r="AB48" s="236"/>
      <c r="AS48" s="375">
        <f>AS47/2289</f>
        <v>3263.3611489733512</v>
      </c>
      <c r="AT48" s="627" t="s">
        <v>245</v>
      </c>
      <c r="AU48" s="285"/>
    </row>
    <row r="49" spans="3:47" ht="14.25" thickBot="1">
      <c r="H49" s="593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11" t="s">
        <v>241</v>
      </c>
      <c r="D50" s="812"/>
      <c r="E50" s="812"/>
      <c r="F50" s="812"/>
      <c r="G50" s="813"/>
      <c r="H50" s="637"/>
      <c r="I50" s="814" t="s">
        <v>213</v>
      </c>
      <c r="J50" s="815"/>
      <c r="K50" s="815"/>
      <c r="L50" s="815"/>
      <c r="M50" s="816"/>
      <c r="N50" s="637"/>
      <c r="O50" s="829" t="s">
        <v>311</v>
      </c>
      <c r="P50" s="830"/>
      <c r="Q50" s="830"/>
      <c r="R50" s="830"/>
      <c r="S50" s="831"/>
      <c r="U50" s="832" t="s">
        <v>226</v>
      </c>
      <c r="V50" s="833"/>
      <c r="W50" s="833"/>
      <c r="X50" s="833"/>
      <c r="Y50" s="833"/>
      <c r="Z50" s="834"/>
    </row>
    <row r="51" spans="3:47" ht="25.5" customHeight="1" thickBot="1">
      <c r="C51" s="604" t="s">
        <v>98</v>
      </c>
      <c r="D51" s="493" t="s">
        <v>196</v>
      </c>
      <c r="E51" s="605" t="s">
        <v>197</v>
      </c>
      <c r="F51" s="605" t="s">
        <v>212</v>
      </c>
      <c r="G51" s="606" t="s">
        <v>310</v>
      </c>
      <c r="H51" s="637"/>
      <c r="I51" s="604" t="s">
        <v>98</v>
      </c>
      <c r="J51" s="493" t="s">
        <v>196</v>
      </c>
      <c r="K51" s="656" t="s">
        <v>197</v>
      </c>
      <c r="L51" s="608" t="s">
        <v>212</v>
      </c>
      <c r="M51" s="606" t="s">
        <v>310</v>
      </c>
      <c r="N51" s="637"/>
      <c r="O51" s="654" t="s">
        <v>98</v>
      </c>
      <c r="P51" s="648" t="s">
        <v>196</v>
      </c>
      <c r="Q51" s="655" t="s">
        <v>197</v>
      </c>
      <c r="R51" s="649" t="s">
        <v>212</v>
      </c>
      <c r="S51" s="650" t="s">
        <v>215</v>
      </c>
      <c r="U51" s="408" t="s">
        <v>0</v>
      </c>
      <c r="V51" s="409" t="s">
        <v>196</v>
      </c>
      <c r="W51" s="409" t="s">
        <v>227</v>
      </c>
      <c r="X51" s="409" t="s">
        <v>212</v>
      </c>
      <c r="Y51" s="409" t="s">
        <v>228</v>
      </c>
      <c r="Z51" s="410" t="s">
        <v>229</v>
      </c>
    </row>
    <row r="52" spans="3:47" ht="11.25" customHeight="1">
      <c r="C52" s="601"/>
      <c r="D52" s="602"/>
      <c r="E52" s="603"/>
      <c r="F52" s="602"/>
      <c r="G52" s="638"/>
      <c r="H52" s="637"/>
      <c r="I52" s="641"/>
      <c r="J52" s="609"/>
      <c r="K52" s="609"/>
      <c r="L52" s="609"/>
      <c r="M52" s="642"/>
      <c r="N52" s="637"/>
      <c r="O52" s="411"/>
      <c r="P52" s="609"/>
      <c r="Q52" s="628"/>
      <c r="R52" s="628"/>
      <c r="S52" s="613"/>
      <c r="U52" s="411"/>
      <c r="V52" s="643"/>
      <c r="W52" s="644"/>
      <c r="X52" s="644"/>
      <c r="Y52" s="644"/>
      <c r="Z52" s="645"/>
    </row>
    <row r="53" spans="3:47" ht="11.25" customHeight="1">
      <c r="C53" s="404"/>
      <c r="D53" s="360"/>
      <c r="E53" s="450"/>
      <c r="F53" s="360"/>
      <c r="G53" s="638"/>
      <c r="H53" s="637"/>
      <c r="I53" s="619"/>
      <c r="J53" s="315"/>
      <c r="K53" s="315"/>
      <c r="L53" s="315"/>
      <c r="M53" s="638"/>
      <c r="N53" s="637"/>
      <c r="O53" s="404"/>
      <c r="P53" s="315"/>
      <c r="Q53" s="492"/>
      <c r="R53" s="492"/>
      <c r="S53" s="614"/>
      <c r="U53" s="404"/>
      <c r="V53" s="454"/>
      <c r="W53" s="360"/>
      <c r="X53" s="360"/>
      <c r="Y53" s="360"/>
      <c r="Z53" s="646"/>
    </row>
    <row r="54" spans="3:47" ht="11.25" customHeight="1">
      <c r="C54" s="404"/>
      <c r="D54" s="360"/>
      <c r="E54" s="450"/>
      <c r="F54" s="360"/>
      <c r="G54" s="638"/>
      <c r="H54" s="637"/>
      <c r="I54" s="619"/>
      <c r="J54" s="315"/>
      <c r="K54" s="315"/>
      <c r="L54" s="315"/>
      <c r="M54" s="639"/>
      <c r="N54" s="637"/>
      <c r="O54" s="404"/>
      <c r="P54" s="315"/>
      <c r="Q54" s="492"/>
      <c r="R54" s="492"/>
      <c r="S54" s="614"/>
      <c r="U54" s="404"/>
      <c r="V54" s="454"/>
      <c r="W54" s="360"/>
      <c r="X54" s="360"/>
      <c r="Y54" s="360"/>
      <c r="Z54" s="646"/>
    </row>
    <row r="55" spans="3:47" ht="11.25" customHeight="1">
      <c r="C55" s="404"/>
      <c r="D55" s="360"/>
      <c r="E55" s="450"/>
      <c r="F55" s="360"/>
      <c r="G55" s="638"/>
      <c r="H55" s="637"/>
      <c r="I55" s="610"/>
      <c r="J55" s="315"/>
      <c r="K55" s="315"/>
      <c r="L55" s="315"/>
      <c r="M55" s="639"/>
      <c r="N55" s="637"/>
      <c r="O55" s="616"/>
      <c r="P55" s="315"/>
      <c r="Q55" s="492"/>
      <c r="R55" s="492"/>
      <c r="S55" s="614"/>
      <c r="U55" s="404"/>
      <c r="V55" s="454"/>
      <c r="W55" s="360"/>
      <c r="X55" s="360"/>
      <c r="Y55" s="360"/>
      <c r="Z55" s="646"/>
    </row>
    <row r="56" spans="3:47" ht="11.25" customHeight="1">
      <c r="C56" s="404"/>
      <c r="D56" s="360"/>
      <c r="E56" s="450"/>
      <c r="F56" s="360"/>
      <c r="G56" s="638"/>
      <c r="H56" s="637"/>
      <c r="I56" s="610"/>
      <c r="J56" s="315"/>
      <c r="K56" s="315"/>
      <c r="L56" s="315"/>
      <c r="M56" s="639"/>
      <c r="N56" s="637"/>
      <c r="O56" s="616"/>
      <c r="P56" s="315"/>
      <c r="Q56" s="492"/>
      <c r="R56" s="492"/>
      <c r="S56" s="614"/>
      <c r="U56" s="404"/>
      <c r="V56" s="454"/>
      <c r="W56" s="360"/>
      <c r="X56" s="360"/>
      <c r="Y56" s="360"/>
      <c r="Z56" s="646"/>
    </row>
    <row r="57" spans="3:47" ht="11.25" customHeight="1">
      <c r="C57" s="404"/>
      <c r="D57" s="360"/>
      <c r="E57" s="450"/>
      <c r="F57" s="360"/>
      <c r="G57" s="638"/>
      <c r="H57" s="637"/>
      <c r="I57" s="610"/>
      <c r="J57" s="315"/>
      <c r="K57" s="315"/>
      <c r="L57" s="315"/>
      <c r="M57" s="639"/>
      <c r="N57" s="637"/>
      <c r="O57" s="616"/>
      <c r="P57" s="315"/>
      <c r="Q57" s="492"/>
      <c r="R57" s="492"/>
      <c r="S57" s="614"/>
      <c r="U57" s="404"/>
      <c r="V57" s="454"/>
      <c r="W57" s="360"/>
      <c r="X57" s="360"/>
      <c r="Y57" s="360"/>
      <c r="Z57" s="646"/>
    </row>
    <row r="58" spans="3:47" ht="11.25" customHeight="1">
      <c r="C58" s="404"/>
      <c r="D58" s="360"/>
      <c r="E58" s="450"/>
      <c r="F58" s="360"/>
      <c r="G58" s="639"/>
      <c r="H58" s="637"/>
      <c r="I58" s="610"/>
      <c r="J58" s="315"/>
      <c r="K58" s="315"/>
      <c r="L58" s="315"/>
      <c r="M58" s="639"/>
      <c r="N58" s="637"/>
      <c r="O58" s="616"/>
      <c r="P58" s="315"/>
      <c r="Q58" s="492"/>
      <c r="R58" s="492"/>
      <c r="S58" s="614"/>
      <c r="U58" s="404"/>
      <c r="V58" s="454"/>
      <c r="W58" s="360"/>
      <c r="X58" s="360"/>
      <c r="Y58" s="360"/>
      <c r="Z58" s="646"/>
    </row>
    <row r="59" spans="3:47" ht="11.25" customHeight="1">
      <c r="C59" s="404"/>
      <c r="D59" s="360"/>
      <c r="E59" s="450"/>
      <c r="F59" s="360"/>
      <c r="G59" s="639"/>
      <c r="H59" s="637"/>
      <c r="I59" s="610"/>
      <c r="J59" s="315"/>
      <c r="K59" s="315"/>
      <c r="L59" s="315"/>
      <c r="M59" s="639"/>
      <c r="N59" s="637"/>
      <c r="O59" s="616"/>
      <c r="P59" s="315"/>
      <c r="Q59" s="492"/>
      <c r="R59" s="492"/>
      <c r="S59" s="614"/>
      <c r="U59" s="404"/>
      <c r="V59" s="454"/>
      <c r="W59" s="360"/>
      <c r="X59" s="360"/>
      <c r="Y59" s="360"/>
      <c r="Z59" s="646"/>
    </row>
    <row r="60" spans="3:47" ht="11.25" customHeight="1">
      <c r="C60" s="404"/>
      <c r="D60" s="360"/>
      <c r="E60" s="450"/>
      <c r="F60" s="360"/>
      <c r="G60" s="639"/>
      <c r="H60" s="637"/>
      <c r="I60" s="610"/>
      <c r="J60" s="315"/>
      <c r="K60" s="315"/>
      <c r="L60" s="315"/>
      <c r="M60" s="639"/>
      <c r="N60" s="637"/>
      <c r="O60" s="616"/>
      <c r="P60" s="315"/>
      <c r="Q60" s="492"/>
      <c r="R60" s="492"/>
      <c r="S60" s="614"/>
      <c r="U60" s="404"/>
      <c r="V60" s="454"/>
      <c r="W60" s="360"/>
      <c r="X60" s="360"/>
      <c r="Y60" s="360"/>
      <c r="Z60" s="646"/>
    </row>
    <row r="61" spans="3:47" ht="11.25" customHeight="1">
      <c r="C61" s="404"/>
      <c r="D61" s="360"/>
      <c r="E61" s="450"/>
      <c r="F61" s="360"/>
      <c r="G61" s="639"/>
      <c r="H61" s="637"/>
      <c r="I61" s="610"/>
      <c r="J61" s="315"/>
      <c r="K61" s="315"/>
      <c r="L61" s="315"/>
      <c r="M61" s="639"/>
      <c r="N61" s="637"/>
      <c r="O61" s="616"/>
      <c r="P61" s="315"/>
      <c r="Q61" s="492"/>
      <c r="R61" s="492"/>
      <c r="S61" s="614"/>
      <c r="U61" s="404"/>
      <c r="V61" s="454"/>
      <c r="W61" s="360"/>
      <c r="X61" s="360"/>
      <c r="Y61" s="360"/>
      <c r="Z61" s="646"/>
    </row>
    <row r="62" spans="3:47" ht="11.25" customHeight="1">
      <c r="C62" s="404"/>
      <c r="D62" s="360"/>
      <c r="E62" s="450"/>
      <c r="F62" s="360"/>
      <c r="G62" s="639"/>
      <c r="H62" s="637"/>
      <c r="I62" s="610"/>
      <c r="J62" s="315"/>
      <c r="K62" s="315"/>
      <c r="L62" s="315"/>
      <c r="M62" s="639"/>
      <c r="N62" s="637"/>
      <c r="O62" s="616"/>
      <c r="P62" s="315"/>
      <c r="Q62" s="492"/>
      <c r="R62" s="492"/>
      <c r="S62" s="614"/>
      <c r="U62" s="404"/>
      <c r="V62" s="454"/>
      <c r="W62" s="360"/>
      <c r="X62" s="360"/>
      <c r="Y62" s="360"/>
      <c r="Z62" s="646"/>
    </row>
    <row r="63" spans="3:47" ht="11.25" customHeight="1">
      <c r="C63" s="404"/>
      <c r="D63" s="360"/>
      <c r="E63" s="450"/>
      <c r="F63" s="360"/>
      <c r="G63" s="639"/>
      <c r="H63" s="637"/>
      <c r="I63" s="610"/>
      <c r="J63" s="315"/>
      <c r="K63" s="315"/>
      <c r="L63" s="315"/>
      <c r="M63" s="639"/>
      <c r="N63" s="637"/>
      <c r="O63" s="616"/>
      <c r="P63" s="315"/>
      <c r="Q63" s="492"/>
      <c r="R63" s="492"/>
      <c r="S63" s="614"/>
      <c r="U63" s="404"/>
      <c r="V63" s="454"/>
      <c r="W63" s="360"/>
      <c r="X63" s="360"/>
      <c r="Y63" s="360"/>
      <c r="Z63" s="646"/>
    </row>
    <row r="64" spans="3:47" ht="11.25" customHeight="1">
      <c r="C64" s="404"/>
      <c r="D64" s="360"/>
      <c r="E64" s="450"/>
      <c r="F64" s="360"/>
      <c r="G64" s="639"/>
      <c r="H64" s="637"/>
      <c r="I64" s="610"/>
      <c r="J64" s="315"/>
      <c r="K64" s="315"/>
      <c r="L64" s="315"/>
      <c r="M64" s="639"/>
      <c r="N64" s="637"/>
      <c r="O64" s="616"/>
      <c r="P64" s="315"/>
      <c r="Q64" s="492"/>
      <c r="R64" s="492"/>
      <c r="S64" s="614"/>
      <c r="U64" s="404"/>
      <c r="V64" s="454"/>
      <c r="W64" s="360"/>
      <c r="X64" s="360"/>
      <c r="Y64" s="360"/>
      <c r="Z64" s="646"/>
    </row>
    <row r="65" spans="3:26" ht="11.25" customHeight="1">
      <c r="C65" s="404"/>
      <c r="D65" s="360"/>
      <c r="E65" s="450"/>
      <c r="F65" s="360"/>
      <c r="G65" s="639"/>
      <c r="H65" s="637"/>
      <c r="I65" s="610"/>
      <c r="J65" s="315"/>
      <c r="K65" s="315"/>
      <c r="L65" s="315"/>
      <c r="M65" s="639"/>
      <c r="N65" s="637"/>
      <c r="O65" s="616"/>
      <c r="P65" s="315"/>
      <c r="Q65" s="492"/>
      <c r="R65" s="492"/>
      <c r="S65" s="614"/>
      <c r="U65" s="404"/>
      <c r="V65" s="454"/>
      <c r="W65" s="360"/>
      <c r="X65" s="360"/>
      <c r="Y65" s="360"/>
      <c r="Z65" s="646"/>
    </row>
    <row r="66" spans="3:26" ht="11.25" customHeight="1">
      <c r="C66" s="404"/>
      <c r="D66" s="360"/>
      <c r="E66" s="450"/>
      <c r="F66" s="360"/>
      <c r="G66" s="639"/>
      <c r="H66" s="637"/>
      <c r="I66" s="610"/>
      <c r="J66" s="315"/>
      <c r="K66" s="315"/>
      <c r="L66" s="315"/>
      <c r="M66" s="639"/>
      <c r="N66" s="637"/>
      <c r="O66" s="616"/>
      <c r="P66" s="315"/>
      <c r="Q66" s="315"/>
      <c r="R66" s="651"/>
      <c r="S66" s="614"/>
      <c r="U66" s="404"/>
      <c r="V66" s="454"/>
      <c r="W66" s="360"/>
      <c r="X66" s="360"/>
      <c r="Y66" s="360"/>
      <c r="Z66" s="646"/>
    </row>
    <row r="67" spans="3:26" ht="11.25" customHeight="1">
      <c r="C67" s="404"/>
      <c r="D67" s="360"/>
      <c r="E67" s="450"/>
      <c r="F67" s="360"/>
      <c r="G67" s="639"/>
      <c r="H67" s="637"/>
      <c r="I67" s="610"/>
      <c r="J67" s="315"/>
      <c r="K67" s="315"/>
      <c r="L67" s="315"/>
      <c r="M67" s="639"/>
      <c r="N67" s="637"/>
      <c r="O67" s="616"/>
      <c r="P67" s="315"/>
      <c r="Q67" s="315"/>
      <c r="R67" s="651"/>
      <c r="S67" s="614"/>
      <c r="U67" s="404"/>
      <c r="V67" s="454"/>
      <c r="W67" s="360"/>
      <c r="X67" s="360"/>
      <c r="Y67" s="360"/>
      <c r="Z67" s="646"/>
    </row>
    <row r="68" spans="3:26" ht="11.25" customHeight="1">
      <c r="C68" s="404"/>
      <c r="D68" s="360"/>
      <c r="E68" s="450"/>
      <c r="F68" s="360"/>
      <c r="G68" s="639"/>
      <c r="H68" s="637"/>
      <c r="I68" s="610"/>
      <c r="J68" s="315"/>
      <c r="K68" s="315"/>
      <c r="L68" s="315"/>
      <c r="M68" s="639"/>
      <c r="N68" s="637"/>
      <c r="O68" s="616"/>
      <c r="P68" s="315"/>
      <c r="Q68" s="315"/>
      <c r="R68" s="492"/>
      <c r="S68" s="614"/>
      <c r="U68" s="404"/>
      <c r="V68" s="454"/>
      <c r="W68" s="360"/>
      <c r="X68" s="360"/>
      <c r="Y68" s="360"/>
      <c r="Z68" s="646"/>
    </row>
    <row r="69" spans="3:26" ht="11.25" customHeight="1">
      <c r="C69" s="404"/>
      <c r="D69" s="360"/>
      <c r="E69" s="450"/>
      <c r="F69" s="360"/>
      <c r="G69" s="639"/>
      <c r="H69" s="637"/>
      <c r="I69" s="610"/>
      <c r="J69" s="315"/>
      <c r="K69" s="315"/>
      <c r="L69" s="315"/>
      <c r="M69" s="639"/>
      <c r="N69" s="637"/>
      <c r="O69" s="616"/>
      <c r="P69" s="315"/>
      <c r="Q69" s="315"/>
      <c r="R69" s="492"/>
      <c r="S69" s="614"/>
      <c r="U69" s="404"/>
      <c r="V69" s="454"/>
      <c r="W69" s="360"/>
      <c r="X69" s="360"/>
      <c r="Y69" s="360"/>
      <c r="Z69" s="646"/>
    </row>
    <row r="70" spans="3:26" ht="11.25" customHeight="1">
      <c r="C70" s="404"/>
      <c r="D70" s="360"/>
      <c r="E70" s="450"/>
      <c r="F70" s="360"/>
      <c r="G70" s="639"/>
      <c r="H70" s="637"/>
      <c r="I70" s="610"/>
      <c r="J70" s="315"/>
      <c r="K70" s="315"/>
      <c r="L70" s="315"/>
      <c r="M70" s="639"/>
      <c r="N70" s="637"/>
      <c r="O70" s="616"/>
      <c r="P70" s="315"/>
      <c r="Q70" s="315"/>
      <c r="R70" s="492"/>
      <c r="S70" s="614"/>
      <c r="U70" s="404"/>
      <c r="V70" s="454"/>
      <c r="W70" s="360"/>
      <c r="X70" s="360"/>
      <c r="Y70" s="360"/>
      <c r="Z70" s="646"/>
    </row>
    <row r="71" spans="3:26" ht="11.25" customHeight="1">
      <c r="C71" s="404"/>
      <c r="D71" s="360"/>
      <c r="E71" s="450"/>
      <c r="F71" s="360"/>
      <c r="G71" s="639"/>
      <c r="H71" s="637"/>
      <c r="I71" s="610"/>
      <c r="J71" s="315"/>
      <c r="K71" s="315"/>
      <c r="L71" s="315"/>
      <c r="M71" s="639"/>
      <c r="N71" s="637"/>
      <c r="O71" s="616"/>
      <c r="P71" s="315"/>
      <c r="Q71" s="315"/>
      <c r="R71" s="492"/>
      <c r="S71" s="614"/>
      <c r="U71" s="404"/>
      <c r="V71" s="454"/>
      <c r="W71" s="360"/>
      <c r="X71" s="360"/>
      <c r="Y71" s="360"/>
      <c r="Z71" s="646"/>
    </row>
    <row r="72" spans="3:26" ht="11.25" customHeight="1">
      <c r="C72" s="404"/>
      <c r="D72" s="360"/>
      <c r="E72" s="450"/>
      <c r="F72" s="360"/>
      <c r="G72" s="639"/>
      <c r="H72" s="637"/>
      <c r="I72" s="611"/>
      <c r="J72" s="319"/>
      <c r="K72" s="319"/>
      <c r="L72" s="319"/>
      <c r="M72" s="639"/>
      <c r="N72" s="637"/>
      <c r="O72" s="616"/>
      <c r="P72" s="315"/>
      <c r="Q72" s="315"/>
      <c r="R72" s="652"/>
      <c r="S72" s="614"/>
      <c r="U72" s="404"/>
      <c r="V72" s="454"/>
      <c r="W72" s="360"/>
      <c r="X72" s="360"/>
      <c r="Y72" s="360"/>
      <c r="Z72" s="646"/>
    </row>
    <row r="73" spans="3:26" ht="11.25" customHeight="1">
      <c r="C73" s="404"/>
      <c r="D73" s="360"/>
      <c r="E73" s="450"/>
      <c r="F73" s="360"/>
      <c r="G73" s="639"/>
      <c r="H73" s="637"/>
      <c r="I73" s="610"/>
      <c r="J73" s="315"/>
      <c r="K73" s="315"/>
      <c r="L73" s="315"/>
      <c r="M73" s="639"/>
      <c r="N73" s="637"/>
      <c r="O73" s="616"/>
      <c r="P73" s="315"/>
      <c r="Q73" s="315"/>
      <c r="R73" s="492"/>
      <c r="S73" s="614"/>
      <c r="U73" s="404"/>
      <c r="V73" s="454"/>
      <c r="W73" s="360"/>
      <c r="X73" s="360"/>
      <c r="Y73" s="360"/>
      <c r="Z73" s="646"/>
    </row>
    <row r="74" spans="3:26" ht="11.25" customHeight="1">
      <c r="C74" s="404"/>
      <c r="D74" s="360"/>
      <c r="E74" s="450"/>
      <c r="F74" s="360"/>
      <c r="G74" s="639"/>
      <c r="H74" s="637"/>
      <c r="I74" s="610"/>
      <c r="J74" s="315"/>
      <c r="K74" s="315"/>
      <c r="L74" s="315"/>
      <c r="M74" s="639"/>
      <c r="N74" s="637"/>
      <c r="O74" s="616"/>
      <c r="P74" s="315"/>
      <c r="Q74" s="315"/>
      <c r="R74" s="492"/>
      <c r="S74" s="614"/>
      <c r="U74" s="404"/>
      <c r="V74" s="454"/>
      <c r="W74" s="360"/>
      <c r="X74" s="360"/>
      <c r="Y74" s="360"/>
      <c r="Z74" s="646"/>
    </row>
    <row r="75" spans="3:26" ht="11.25" customHeight="1">
      <c r="C75" s="404"/>
      <c r="D75" s="360"/>
      <c r="E75" s="450"/>
      <c r="F75" s="360"/>
      <c r="G75" s="639"/>
      <c r="H75" s="637"/>
      <c r="I75" s="610"/>
      <c r="J75" s="315"/>
      <c r="K75" s="315"/>
      <c r="L75" s="315"/>
      <c r="M75" s="639"/>
      <c r="N75" s="637"/>
      <c r="O75" s="616"/>
      <c r="P75" s="315"/>
      <c r="Q75" s="315"/>
      <c r="R75" s="492"/>
      <c r="S75" s="614"/>
      <c r="U75" s="404"/>
      <c r="V75" s="454"/>
      <c r="W75" s="360"/>
      <c r="X75" s="360"/>
      <c r="Y75" s="360"/>
      <c r="Z75" s="646"/>
    </row>
    <row r="76" spans="3:26" ht="9.75" customHeight="1">
      <c r="C76" s="404"/>
      <c r="D76" s="360"/>
      <c r="E76" s="450"/>
      <c r="F76" s="360"/>
      <c r="G76" s="639"/>
      <c r="H76" s="637"/>
      <c r="I76" s="610"/>
      <c r="J76" s="315"/>
      <c r="K76" s="315"/>
      <c r="L76" s="315"/>
      <c r="M76" s="639"/>
      <c r="N76" s="637"/>
      <c r="O76" s="616"/>
      <c r="P76" s="315"/>
      <c r="Q76" s="315"/>
      <c r="R76" s="492"/>
      <c r="S76" s="614"/>
      <c r="U76" s="404"/>
      <c r="V76" s="454"/>
      <c r="W76" s="360"/>
      <c r="X76" s="360"/>
      <c r="Y76" s="360"/>
      <c r="Z76" s="646"/>
    </row>
    <row r="77" spans="3:26" ht="11.25" hidden="1" customHeight="1">
      <c r="C77" s="404"/>
      <c r="D77" s="360"/>
      <c r="E77" s="450"/>
      <c r="F77" s="360"/>
      <c r="G77" s="639"/>
      <c r="H77" s="637"/>
      <c r="I77" s="610"/>
      <c r="J77" s="492"/>
      <c r="K77" s="492"/>
      <c r="L77" s="315"/>
      <c r="M77" s="639"/>
      <c r="N77" s="637"/>
      <c r="O77" s="616"/>
      <c r="P77" s="315"/>
      <c r="Q77" s="315"/>
      <c r="R77" s="492"/>
      <c r="S77" s="614"/>
      <c r="U77" s="404"/>
      <c r="V77" s="454"/>
      <c r="W77" s="360"/>
      <c r="X77" s="360"/>
      <c r="Y77" s="360"/>
      <c r="Z77" s="646"/>
    </row>
    <row r="78" spans="3:26" ht="11.25" customHeight="1">
      <c r="C78" s="404"/>
      <c r="D78" s="360"/>
      <c r="E78" s="450"/>
      <c r="F78" s="360"/>
      <c r="G78" s="639"/>
      <c r="H78" s="637"/>
      <c r="I78" s="610"/>
      <c r="J78" s="315"/>
      <c r="K78" s="315"/>
      <c r="L78" s="315"/>
      <c r="M78" s="639"/>
      <c r="N78" s="637"/>
      <c r="O78" s="616"/>
      <c r="P78" s="315"/>
      <c r="Q78" s="315"/>
      <c r="R78" s="492"/>
      <c r="S78" s="614"/>
      <c r="U78" s="404"/>
      <c r="V78" s="454"/>
      <c r="W78" s="360"/>
      <c r="X78" s="360"/>
      <c r="Y78" s="360"/>
      <c r="Z78" s="646"/>
    </row>
    <row r="79" spans="3:26" ht="11.25" customHeight="1">
      <c r="C79" s="404"/>
      <c r="D79" s="360"/>
      <c r="E79" s="450"/>
      <c r="F79" s="360"/>
      <c r="G79" s="639"/>
      <c r="H79" s="637"/>
      <c r="I79" s="610"/>
      <c r="J79" s="315"/>
      <c r="K79" s="315"/>
      <c r="L79" s="315"/>
      <c r="M79" s="639"/>
      <c r="N79" s="637"/>
      <c r="O79" s="616"/>
      <c r="P79" s="315"/>
      <c r="Q79" s="315"/>
      <c r="R79" s="492"/>
      <c r="S79" s="614"/>
      <c r="U79" s="404"/>
      <c r="V79" s="454"/>
      <c r="W79" s="360"/>
      <c r="X79" s="360"/>
      <c r="Y79" s="360"/>
      <c r="Z79" s="646"/>
    </row>
    <row r="80" spans="3:26" ht="11.25" customHeight="1">
      <c r="C80" s="404"/>
      <c r="D80" s="360"/>
      <c r="E80" s="450"/>
      <c r="F80" s="360"/>
      <c r="G80" s="639"/>
      <c r="H80" s="637"/>
      <c r="I80" s="610"/>
      <c r="J80" s="315"/>
      <c r="K80" s="315"/>
      <c r="L80" s="315"/>
      <c r="M80" s="639"/>
      <c r="N80" s="637"/>
      <c r="O80" s="616"/>
      <c r="P80" s="315"/>
      <c r="Q80" s="315"/>
      <c r="R80" s="492"/>
      <c r="S80" s="614"/>
      <c r="U80" s="404"/>
      <c r="V80" s="454"/>
      <c r="W80" s="360"/>
      <c r="X80" s="360"/>
      <c r="Y80" s="360"/>
      <c r="Z80" s="646"/>
    </row>
    <row r="81" spans="3:26" ht="11.25" customHeight="1">
      <c r="C81" s="404"/>
      <c r="D81" s="360"/>
      <c r="E81" s="450"/>
      <c r="F81" s="360"/>
      <c r="G81" s="639"/>
      <c r="H81" s="637"/>
      <c r="I81" s="610"/>
      <c r="J81" s="315"/>
      <c r="K81" s="315"/>
      <c r="L81" s="315"/>
      <c r="M81" s="639"/>
      <c r="N81" s="637"/>
      <c r="O81" s="616"/>
      <c r="P81" s="315"/>
      <c r="Q81" s="315"/>
      <c r="R81" s="492"/>
      <c r="S81" s="614"/>
      <c r="U81" s="404"/>
      <c r="V81" s="454"/>
      <c r="W81" s="360"/>
      <c r="X81" s="360"/>
      <c r="Y81" s="360"/>
      <c r="Z81" s="646"/>
    </row>
    <row r="82" spans="3:26" ht="11.25" customHeight="1">
      <c r="C82" s="404"/>
      <c r="D82" s="360"/>
      <c r="E82" s="450"/>
      <c r="F82" s="360"/>
      <c r="G82" s="639"/>
      <c r="H82" s="637"/>
      <c r="I82" s="610"/>
      <c r="J82" s="315"/>
      <c r="K82" s="315"/>
      <c r="L82" s="315"/>
      <c r="M82" s="639"/>
      <c r="N82" s="637"/>
      <c r="O82" s="616"/>
      <c r="P82" s="315"/>
      <c r="Q82" s="315"/>
      <c r="R82" s="492"/>
      <c r="S82" s="614"/>
      <c r="U82" s="404"/>
      <c r="V82" s="454"/>
      <c r="W82" s="360"/>
      <c r="X82" s="360"/>
      <c r="Y82" s="360"/>
      <c r="Z82" s="646"/>
    </row>
    <row r="83" spans="3:26" ht="11.25" customHeight="1">
      <c r="C83" s="404"/>
      <c r="D83" s="360"/>
      <c r="E83" s="450"/>
      <c r="F83" s="360"/>
      <c r="G83" s="639"/>
      <c r="H83" s="637"/>
      <c r="I83" s="610"/>
      <c r="J83" s="315"/>
      <c r="K83" s="315"/>
      <c r="L83" s="315"/>
      <c r="M83" s="639"/>
      <c r="N83" s="637"/>
      <c r="O83" s="616"/>
      <c r="P83" s="315"/>
      <c r="Q83" s="315"/>
      <c r="R83" s="492"/>
      <c r="S83" s="614"/>
      <c r="U83" s="404"/>
      <c r="V83" s="454"/>
      <c r="W83" s="360"/>
      <c r="X83" s="360"/>
      <c r="Y83" s="360"/>
      <c r="Z83" s="646"/>
    </row>
    <row r="84" spans="3:26" ht="11.25" customHeight="1">
      <c r="C84" s="404"/>
      <c r="D84" s="360"/>
      <c r="E84" s="450"/>
      <c r="F84" s="360"/>
      <c r="G84" s="639"/>
      <c r="H84" s="637"/>
      <c r="I84" s="610"/>
      <c r="J84" s="315"/>
      <c r="K84" s="315"/>
      <c r="L84" s="315"/>
      <c r="M84" s="639"/>
      <c r="N84" s="637"/>
      <c r="O84" s="616"/>
      <c r="P84" s="315"/>
      <c r="Q84" s="315"/>
      <c r="R84" s="492"/>
      <c r="S84" s="614"/>
      <c r="U84" s="404"/>
      <c r="V84" s="360"/>
      <c r="W84" s="360"/>
      <c r="X84" s="360"/>
      <c r="Y84" s="360"/>
      <c r="Z84" s="646"/>
    </row>
    <row r="85" spans="3:26" ht="11.25" customHeight="1">
      <c r="C85" s="404"/>
      <c r="D85" s="360"/>
      <c r="E85" s="450"/>
      <c r="F85" s="360"/>
      <c r="G85" s="639"/>
      <c r="H85" s="637"/>
      <c r="I85" s="610"/>
      <c r="J85" s="315"/>
      <c r="K85" s="315"/>
      <c r="L85" s="315"/>
      <c r="M85" s="639"/>
      <c r="N85" s="637"/>
      <c r="O85" s="616"/>
      <c r="P85" s="315"/>
      <c r="Q85" s="315"/>
      <c r="R85" s="492"/>
      <c r="S85" s="614"/>
      <c r="U85" s="404"/>
      <c r="V85" s="360"/>
      <c r="W85" s="360"/>
      <c r="X85" s="360"/>
      <c r="Y85" s="360"/>
      <c r="Z85" s="646"/>
    </row>
    <row r="86" spans="3:26" ht="11.25" customHeight="1">
      <c r="C86" s="404"/>
      <c r="D86" s="360"/>
      <c r="E86" s="450"/>
      <c r="F86" s="360"/>
      <c r="G86" s="639"/>
      <c r="H86" s="637"/>
      <c r="I86" s="610"/>
      <c r="J86" s="315"/>
      <c r="K86" s="315"/>
      <c r="L86" s="315"/>
      <c r="M86" s="639"/>
      <c r="N86" s="637"/>
      <c r="O86" s="616"/>
      <c r="P86" s="315"/>
      <c r="Q86" s="315"/>
      <c r="R86" s="492"/>
      <c r="S86" s="614"/>
      <c r="U86" s="404"/>
      <c r="V86" s="360"/>
      <c r="W86" s="360"/>
      <c r="X86" s="360"/>
      <c r="Y86" s="360"/>
      <c r="Z86" s="646"/>
    </row>
    <row r="87" spans="3:26" ht="11.25" customHeight="1">
      <c r="C87" s="404"/>
      <c r="D87" s="360"/>
      <c r="E87" s="450"/>
      <c r="F87" s="360"/>
      <c r="G87" s="639"/>
      <c r="H87" s="637"/>
      <c r="I87" s="610"/>
      <c r="J87" s="315"/>
      <c r="K87" s="315"/>
      <c r="L87" s="315"/>
      <c r="M87" s="639"/>
      <c r="N87" s="637"/>
      <c r="O87" s="616"/>
      <c r="P87" s="315"/>
      <c r="Q87" s="315"/>
      <c r="R87" s="492"/>
      <c r="S87" s="614"/>
      <c r="U87" s="404"/>
      <c r="V87" s="360"/>
      <c r="W87" s="360"/>
      <c r="X87" s="360"/>
      <c r="Y87" s="360"/>
      <c r="Z87" s="646"/>
    </row>
    <row r="88" spans="3:26" ht="11.25" customHeight="1">
      <c r="C88" s="404"/>
      <c r="D88" s="360"/>
      <c r="E88" s="450"/>
      <c r="F88" s="360"/>
      <c r="G88" s="639"/>
      <c r="H88" s="637"/>
      <c r="I88" s="610"/>
      <c r="J88" s="315"/>
      <c r="K88" s="315"/>
      <c r="L88" s="315"/>
      <c r="M88" s="639"/>
      <c r="N88" s="637"/>
      <c r="O88" s="616"/>
      <c r="P88" s="315"/>
      <c r="Q88" s="315"/>
      <c r="R88" s="492"/>
      <c r="S88" s="614"/>
      <c r="U88" s="404"/>
      <c r="V88" s="360"/>
      <c r="W88" s="360"/>
      <c r="X88" s="360"/>
      <c r="Y88" s="360"/>
      <c r="Z88" s="646"/>
    </row>
    <row r="89" spans="3:26" ht="11.25" customHeight="1">
      <c r="C89" s="404"/>
      <c r="D89" s="360"/>
      <c r="E89" s="450"/>
      <c r="F89" s="360"/>
      <c r="G89" s="639"/>
      <c r="H89" s="637"/>
      <c r="I89" s="610"/>
      <c r="J89" s="315"/>
      <c r="K89" s="315"/>
      <c r="L89" s="315"/>
      <c r="M89" s="639"/>
      <c r="N89" s="637"/>
      <c r="O89" s="616"/>
      <c r="P89" s="315"/>
      <c r="Q89" s="315"/>
      <c r="R89" s="492"/>
      <c r="S89" s="614"/>
      <c r="U89" s="404"/>
      <c r="V89" s="360"/>
      <c r="W89" s="360"/>
      <c r="X89" s="360"/>
      <c r="Y89" s="360"/>
      <c r="Z89" s="646"/>
    </row>
    <row r="90" spans="3:26" ht="11.25" customHeight="1">
      <c r="C90" s="404"/>
      <c r="D90" s="360"/>
      <c r="E90" s="450"/>
      <c r="F90" s="360"/>
      <c r="G90" s="639"/>
      <c r="H90" s="637"/>
      <c r="I90" s="610"/>
      <c r="J90" s="315"/>
      <c r="K90" s="315"/>
      <c r="L90" s="315"/>
      <c r="M90" s="639"/>
      <c r="N90" s="637"/>
      <c r="O90" s="616"/>
      <c r="P90" s="315"/>
      <c r="Q90" s="315"/>
      <c r="R90" s="492"/>
      <c r="S90" s="614"/>
      <c r="U90" s="404"/>
      <c r="V90" s="360"/>
      <c r="W90" s="360"/>
      <c r="X90" s="360"/>
      <c r="Y90" s="360"/>
      <c r="Z90" s="646"/>
    </row>
    <row r="91" spans="3:26">
      <c r="C91" s="404"/>
      <c r="D91" s="360"/>
      <c r="E91" s="450"/>
      <c r="F91" s="360"/>
      <c r="G91" s="639"/>
      <c r="H91" s="637"/>
      <c r="I91" s="610"/>
      <c r="J91" s="315"/>
      <c r="K91" s="315"/>
      <c r="L91" s="315"/>
      <c r="M91" s="639"/>
      <c r="N91" s="637"/>
      <c r="O91" s="616"/>
      <c r="P91" s="315"/>
      <c r="Q91" s="315"/>
      <c r="R91" s="492"/>
      <c r="S91" s="614"/>
      <c r="U91" s="404"/>
      <c r="V91" s="360"/>
      <c r="W91" s="360"/>
      <c r="X91" s="360"/>
      <c r="Y91" s="360"/>
      <c r="Z91" s="646"/>
    </row>
    <row r="92" spans="3:26">
      <c r="C92" s="404"/>
      <c r="D92" s="360"/>
      <c r="E92" s="450"/>
      <c r="F92" s="360"/>
      <c r="G92" s="639"/>
      <c r="H92" s="637"/>
      <c r="I92" s="610"/>
      <c r="J92" s="315"/>
      <c r="K92" s="315"/>
      <c r="L92" s="315"/>
      <c r="M92" s="639"/>
      <c r="N92" s="637"/>
      <c r="O92" s="616"/>
      <c r="P92" s="315"/>
      <c r="Q92" s="315"/>
      <c r="R92" s="492"/>
      <c r="S92" s="614"/>
      <c r="U92" s="404"/>
      <c r="V92" s="360"/>
      <c r="W92" s="360"/>
      <c r="X92" s="360"/>
      <c r="Y92" s="360"/>
      <c r="Z92" s="646"/>
    </row>
    <row r="93" spans="3:26">
      <c r="C93" s="404"/>
      <c r="D93" s="360"/>
      <c r="E93" s="450"/>
      <c r="F93" s="360"/>
      <c r="G93" s="639"/>
      <c r="H93" s="637"/>
      <c r="I93" s="610"/>
      <c r="J93" s="315"/>
      <c r="K93" s="315"/>
      <c r="L93" s="315"/>
      <c r="M93" s="639"/>
      <c r="N93" s="637"/>
      <c r="O93" s="616"/>
      <c r="P93" s="315"/>
      <c r="Q93" s="315"/>
      <c r="R93" s="492"/>
      <c r="S93" s="614"/>
      <c r="U93" s="404"/>
      <c r="V93" s="360"/>
      <c r="W93" s="360"/>
      <c r="X93" s="360"/>
      <c r="Y93" s="360"/>
      <c r="Z93" s="646"/>
    </row>
    <row r="94" spans="3:26">
      <c r="C94" s="404"/>
      <c r="D94" s="360"/>
      <c r="E94" s="450"/>
      <c r="F94" s="360"/>
      <c r="G94" s="639"/>
      <c r="H94" s="637"/>
      <c r="I94" s="610"/>
      <c r="J94" s="315"/>
      <c r="K94" s="315"/>
      <c r="L94" s="315"/>
      <c r="M94" s="639"/>
      <c r="N94" s="637"/>
      <c r="O94" s="616"/>
      <c r="P94" s="315"/>
      <c r="Q94" s="315"/>
      <c r="R94" s="492"/>
      <c r="S94" s="614"/>
      <c r="U94" s="404"/>
      <c r="V94" s="360"/>
      <c r="W94" s="360"/>
      <c r="X94" s="360"/>
      <c r="Y94" s="360"/>
      <c r="Z94" s="646"/>
    </row>
    <row r="95" spans="3:26">
      <c r="C95" s="404"/>
      <c r="D95" s="360"/>
      <c r="E95" s="450"/>
      <c r="F95" s="360"/>
      <c r="G95" s="639"/>
      <c r="H95" s="637"/>
      <c r="I95" s="610"/>
      <c r="J95" s="315"/>
      <c r="K95" s="315"/>
      <c r="L95" s="315"/>
      <c r="M95" s="639"/>
      <c r="N95" s="637"/>
      <c r="O95" s="616"/>
      <c r="P95" s="315"/>
      <c r="Q95" s="315"/>
      <c r="R95" s="492"/>
      <c r="S95" s="614"/>
      <c r="U95" s="404"/>
      <c r="V95" s="360"/>
      <c r="W95" s="360"/>
      <c r="X95" s="360"/>
      <c r="Y95" s="360"/>
      <c r="Z95" s="646"/>
    </row>
    <row r="96" spans="3:26">
      <c r="C96" s="404"/>
      <c r="D96" s="360"/>
      <c r="E96" s="450"/>
      <c r="F96" s="360"/>
      <c r="G96" s="639"/>
      <c r="H96" s="637"/>
      <c r="I96" s="610"/>
      <c r="J96" s="315"/>
      <c r="K96" s="315"/>
      <c r="L96" s="315"/>
      <c r="M96" s="639"/>
      <c r="N96" s="637"/>
      <c r="O96" s="616"/>
      <c r="P96" s="315"/>
      <c r="Q96" s="315"/>
      <c r="R96" s="492"/>
      <c r="S96" s="614"/>
      <c r="U96" s="404"/>
      <c r="V96" s="360"/>
      <c r="W96" s="360"/>
      <c r="X96" s="360"/>
      <c r="Y96" s="360"/>
      <c r="Z96" s="646"/>
    </row>
    <row r="97" spans="3:26" ht="12" thickBot="1">
      <c r="C97" s="405"/>
      <c r="D97" s="406"/>
      <c r="E97" s="407"/>
      <c r="F97" s="406"/>
      <c r="G97" s="640"/>
      <c r="H97" s="637"/>
      <c r="I97" s="612"/>
      <c r="J97" s="607"/>
      <c r="K97" s="607"/>
      <c r="L97" s="607"/>
      <c r="M97" s="640"/>
      <c r="N97" s="637"/>
      <c r="O97" s="617"/>
      <c r="P97" s="607"/>
      <c r="Q97" s="607"/>
      <c r="R97" s="653"/>
      <c r="S97" s="615"/>
      <c r="U97" s="405"/>
      <c r="V97" s="406"/>
      <c r="W97" s="406"/>
      <c r="X97" s="406"/>
      <c r="Y97" s="406"/>
      <c r="Z97" s="647"/>
    </row>
    <row r="98" spans="3:26">
      <c r="H98" s="637"/>
      <c r="N98" s="637"/>
    </row>
    <row r="99" spans="3:26">
      <c r="H99" s="637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43983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43984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43985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43986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43987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43988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43989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43990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43991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43992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43993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43994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43995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43996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43997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43998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43999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44000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44001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44002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44003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44004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44005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44006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44007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44008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44009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44010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44011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44012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44013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44014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19" sqref="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20" t="s">
        <v>70</v>
      </c>
      <c r="D3" s="621"/>
      <c r="E3" s="621"/>
      <c r="F3" s="622"/>
      <c r="G3" s="623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36"/>
      <c r="D6" s="837"/>
      <c r="E6" s="838"/>
      <c r="F6" s="838"/>
      <c r="G6" s="49" t="s">
        <v>4</v>
      </c>
      <c r="H6" s="47" t="s">
        <v>14</v>
      </c>
      <c r="I6" s="42"/>
      <c r="J6" s="116"/>
    </row>
    <row r="7" spans="1:15" ht="18" customHeight="1">
      <c r="A7" s="839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40"/>
      <c r="B8" s="349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>
        <v>85</v>
      </c>
      <c r="C9" s="320">
        <v>83</v>
      </c>
      <c r="D9" s="320">
        <v>1</v>
      </c>
      <c r="E9" s="320"/>
      <c r="F9" s="320">
        <v>71369.17</v>
      </c>
      <c r="G9" s="320"/>
      <c r="H9" s="34"/>
      <c r="I9" s="21"/>
      <c r="J9" s="119"/>
      <c r="N9" s="188"/>
      <c r="O9" s="188"/>
    </row>
    <row r="10" spans="1:15" ht="18.75">
      <c r="A10" s="97">
        <f>Gen!B11</f>
        <v>43983</v>
      </c>
      <c r="B10" s="320">
        <v>85</v>
      </c>
      <c r="C10" s="320">
        <v>83</v>
      </c>
      <c r="D10" s="320">
        <v>1</v>
      </c>
      <c r="E10" s="320"/>
      <c r="F10" s="320">
        <v>71369.17</v>
      </c>
      <c r="G10" s="320">
        <f t="shared" ref="G10:G40" si="0">(F10-F9)*4.4</f>
        <v>0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43984</v>
      </c>
      <c r="B11" s="320">
        <v>85</v>
      </c>
      <c r="C11" s="320">
        <v>83</v>
      </c>
      <c r="D11" s="320">
        <v>1</v>
      </c>
      <c r="E11" s="320"/>
      <c r="F11" s="320">
        <v>71374.97</v>
      </c>
      <c r="G11" s="320">
        <f t="shared" si="0"/>
        <v>25.520000000012807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43985</v>
      </c>
      <c r="B12" s="320">
        <v>85</v>
      </c>
      <c r="C12" s="320">
        <v>83</v>
      </c>
      <c r="D12" s="320">
        <v>1</v>
      </c>
      <c r="E12" s="320"/>
      <c r="F12" s="320">
        <v>71378.28</v>
      </c>
      <c r="G12" s="320">
        <f t="shared" si="0"/>
        <v>14.563999999989756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43986</v>
      </c>
      <c r="B13" s="320">
        <v>85</v>
      </c>
      <c r="C13" s="320">
        <v>83</v>
      </c>
      <c r="D13" s="320">
        <v>1</v>
      </c>
      <c r="E13" s="320"/>
      <c r="F13" s="320">
        <v>71383.740000000005</v>
      </c>
      <c r="G13" s="320">
        <f t="shared" si="0"/>
        <v>24.024000000028174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43987</v>
      </c>
      <c r="B14" s="320">
        <v>85</v>
      </c>
      <c r="C14" s="320">
        <v>83</v>
      </c>
      <c r="D14" s="320">
        <v>1</v>
      </c>
      <c r="E14" s="320"/>
      <c r="F14" s="320">
        <v>71390.820000000007</v>
      </c>
      <c r="G14" s="320">
        <f t="shared" si="0"/>
        <v>31.152000000007686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43988</v>
      </c>
      <c r="B15" s="320">
        <v>85</v>
      </c>
      <c r="C15" s="320">
        <v>83</v>
      </c>
      <c r="D15" s="320">
        <v>1</v>
      </c>
      <c r="E15" s="320"/>
      <c r="F15" s="320">
        <v>71394.259999999995</v>
      </c>
      <c r="G15" s="320">
        <f t="shared" si="0"/>
        <v>15.135999999946216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43989</v>
      </c>
      <c r="B16" s="320"/>
      <c r="C16" s="320"/>
      <c r="D16" s="320"/>
      <c r="E16" s="320"/>
      <c r="F16" s="320"/>
      <c r="G16" s="320">
        <f t="shared" si="0"/>
        <v>-314134.74400000001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43990</v>
      </c>
      <c r="B17" s="320"/>
      <c r="C17" s="320"/>
      <c r="D17" s="320"/>
      <c r="E17" s="320"/>
      <c r="F17" s="320"/>
      <c r="G17" s="320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43991</v>
      </c>
      <c r="B18" s="320"/>
      <c r="C18" s="320"/>
      <c r="D18" s="320"/>
      <c r="E18" s="320"/>
      <c r="F18" s="320"/>
      <c r="G18" s="320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43992</v>
      </c>
      <c r="B19" s="320"/>
      <c r="C19" s="320"/>
      <c r="D19" s="320"/>
      <c r="E19" s="320"/>
      <c r="F19" s="320"/>
      <c r="G19" s="320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43993</v>
      </c>
      <c r="B20" s="320"/>
      <c r="C20" s="320"/>
      <c r="D20" s="320"/>
      <c r="E20" s="320"/>
      <c r="F20" s="320"/>
      <c r="G20" s="320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43994</v>
      </c>
      <c r="B21" s="320"/>
      <c r="C21" s="320"/>
      <c r="D21" s="320"/>
      <c r="E21" s="320"/>
      <c r="F21" s="320"/>
      <c r="G21" s="320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43995</v>
      </c>
      <c r="B22" s="320"/>
      <c r="C22" s="320"/>
      <c r="D22" s="320"/>
      <c r="E22" s="320"/>
      <c r="F22" s="320"/>
      <c r="G22" s="320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43996</v>
      </c>
      <c r="B23" s="320"/>
      <c r="C23" s="320"/>
      <c r="D23" s="320"/>
      <c r="E23" s="320"/>
      <c r="F23" s="320"/>
      <c r="G23" s="320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43997</v>
      </c>
      <c r="B24" s="320"/>
      <c r="C24" s="320"/>
      <c r="D24" s="320"/>
      <c r="E24" s="320"/>
      <c r="F24" s="320"/>
      <c r="G24" s="320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43998</v>
      </c>
      <c r="B25" s="320"/>
      <c r="C25" s="320"/>
      <c r="D25" s="320"/>
      <c r="E25" s="320"/>
      <c r="F25" s="320"/>
      <c r="G25" s="320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43999</v>
      </c>
      <c r="B26" s="320"/>
      <c r="C26" s="320"/>
      <c r="D26" s="320"/>
      <c r="E26" s="320"/>
      <c r="F26" s="320"/>
      <c r="G26" s="320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44000</v>
      </c>
      <c r="B27" s="320"/>
      <c r="C27" s="320"/>
      <c r="D27" s="320"/>
      <c r="E27" s="320"/>
      <c r="F27" s="320"/>
      <c r="G27" s="320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44001</v>
      </c>
      <c r="B28" s="320"/>
      <c r="C28" s="320"/>
      <c r="D28" s="320"/>
      <c r="E28" s="320"/>
      <c r="F28" s="320"/>
      <c r="G28" s="320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44002</v>
      </c>
      <c r="B29" s="320"/>
      <c r="C29" s="320"/>
      <c r="D29" s="320"/>
      <c r="E29" s="320"/>
      <c r="F29" s="320"/>
      <c r="G29" s="320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44003</v>
      </c>
      <c r="B30" s="320"/>
      <c r="C30" s="320"/>
      <c r="D30" s="320"/>
      <c r="E30" s="320"/>
      <c r="F30" s="320"/>
      <c r="G30" s="320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44004</v>
      </c>
      <c r="B31" s="320"/>
      <c r="C31" s="320"/>
      <c r="D31" s="320"/>
      <c r="E31" s="320"/>
      <c r="F31" s="320"/>
      <c r="G31" s="320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44005</v>
      </c>
      <c r="B32" s="320"/>
      <c r="C32" s="320"/>
      <c r="D32" s="320"/>
      <c r="E32" s="320"/>
      <c r="F32" s="320"/>
      <c r="G32" s="320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44006</v>
      </c>
      <c r="B33" s="320"/>
      <c r="C33" s="320"/>
      <c r="D33" s="320"/>
      <c r="E33" s="320"/>
      <c r="F33" s="320"/>
      <c r="G33" s="320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44007</v>
      </c>
      <c r="B34" s="320"/>
      <c r="C34" s="320"/>
      <c r="D34" s="320"/>
      <c r="E34" s="320"/>
      <c r="F34" s="320"/>
      <c r="G34" s="320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44008</v>
      </c>
      <c r="B35" s="320"/>
      <c r="C35" s="320"/>
      <c r="D35" s="320"/>
      <c r="E35" s="320"/>
      <c r="F35" s="320"/>
      <c r="G35" s="320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44009</v>
      </c>
      <c r="B36" s="320"/>
      <c r="C36" s="320"/>
      <c r="D36" s="320"/>
      <c r="E36" s="320"/>
      <c r="F36" s="320"/>
      <c r="G36" s="320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44010</v>
      </c>
      <c r="B37" s="320"/>
      <c r="C37" s="320"/>
      <c r="D37" s="320"/>
      <c r="E37" s="320"/>
      <c r="F37" s="320"/>
      <c r="G37" s="320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44011</v>
      </c>
      <c r="B38" s="320"/>
      <c r="C38" s="320"/>
      <c r="D38" s="320"/>
      <c r="E38" s="320"/>
      <c r="F38" s="320"/>
      <c r="G38" s="320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44012</v>
      </c>
      <c r="B39" s="320"/>
      <c r="C39" s="320"/>
      <c r="D39" s="320"/>
      <c r="E39" s="320"/>
      <c r="F39" s="320"/>
      <c r="G39" s="320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44013</v>
      </c>
      <c r="B40" s="320"/>
      <c r="C40" s="320"/>
      <c r="D40" s="320"/>
      <c r="E40" s="320"/>
      <c r="F40" s="320"/>
      <c r="G40" s="320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44014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35" t="s">
        <v>6</v>
      </c>
      <c r="D42" s="835"/>
      <c r="E42" s="2">
        <f t="shared" ref="E42:F42" si="4">SUM(E10:E40)</f>
        <v>0</v>
      </c>
      <c r="F42" s="2">
        <f t="shared" si="4"/>
        <v>428291.24000000005</v>
      </c>
      <c r="G42" s="104">
        <f>SUM(G10:G40)</f>
        <v>-314024.348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topLeftCell="A10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3" zoomScale="94" zoomScaleNormal="94" workbookViewId="0">
      <pane xSplit="1" topLeftCell="B1" activePane="topRight" state="frozen"/>
      <selection pane="topRight" activeCell="M12" sqref="M1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319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9" t="s">
        <v>52</v>
      </c>
      <c r="D2" s="859"/>
      <c r="E2" s="859"/>
      <c r="F2" s="859" t="s">
        <v>17</v>
      </c>
      <c r="G2" s="859"/>
      <c r="H2" s="859"/>
      <c r="I2" s="859" t="s">
        <v>131</v>
      </c>
      <c r="J2" s="859"/>
      <c r="K2" s="859"/>
      <c r="L2" s="859" t="s">
        <v>134</v>
      </c>
      <c r="M2" s="859"/>
      <c r="N2" s="859"/>
      <c r="O2" s="859" t="s">
        <v>132</v>
      </c>
      <c r="P2" s="859"/>
      <c r="Q2" s="859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7" t="s">
        <v>7</v>
      </c>
      <c r="B3" s="30"/>
      <c r="C3" s="859" t="s">
        <v>133</v>
      </c>
      <c r="D3" s="859" t="s">
        <v>15</v>
      </c>
      <c r="E3" s="859" t="s">
        <v>16</v>
      </c>
      <c r="F3" s="859" t="s">
        <v>133</v>
      </c>
      <c r="G3" s="859" t="s">
        <v>15</v>
      </c>
      <c r="H3" s="859" t="s">
        <v>16</v>
      </c>
      <c r="I3" s="859" t="s">
        <v>133</v>
      </c>
      <c r="J3" s="859" t="s">
        <v>15</v>
      </c>
      <c r="K3" s="859" t="s">
        <v>16</v>
      </c>
      <c r="L3" s="859" t="s">
        <v>133</v>
      </c>
      <c r="M3" s="859" t="s">
        <v>15</v>
      </c>
      <c r="N3" s="859" t="s">
        <v>16</v>
      </c>
      <c r="O3" s="859" t="s">
        <v>133</v>
      </c>
      <c r="P3" s="859" t="s">
        <v>15</v>
      </c>
      <c r="Q3" s="859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8"/>
      <c r="B4" s="293"/>
      <c r="C4" s="859"/>
      <c r="D4" s="859"/>
      <c r="E4" s="859"/>
      <c r="F4" s="859"/>
      <c r="G4" s="859"/>
      <c r="H4" s="859"/>
      <c r="I4" s="859"/>
      <c r="J4" s="859"/>
      <c r="K4" s="859"/>
      <c r="L4" s="859"/>
      <c r="M4" s="859"/>
      <c r="N4" s="859"/>
      <c r="O4" s="859"/>
      <c r="P4" s="859"/>
      <c r="Q4" s="859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5" t="s">
        <v>119</v>
      </c>
      <c r="AE4" s="303" t="s">
        <v>186</v>
      </c>
      <c r="AF4" s="304" t="s">
        <v>187</v>
      </c>
      <c r="AG4" s="346" t="s">
        <v>119</v>
      </c>
      <c r="AH4" s="303" t="s">
        <v>186</v>
      </c>
      <c r="AI4" s="304" t="s">
        <v>187</v>
      </c>
      <c r="AJ4" s="346" t="s">
        <v>119</v>
      </c>
      <c r="AK4" s="303" t="s">
        <v>186</v>
      </c>
      <c r="AL4" s="304" t="s">
        <v>187</v>
      </c>
      <c r="AM4" s="346" t="s">
        <v>119</v>
      </c>
      <c r="AN4" s="347"/>
    </row>
    <row r="5" spans="1:40" ht="20.25">
      <c r="A5" s="4"/>
      <c r="B5" s="4"/>
      <c r="C5" s="98">
        <f t="shared" ref="C5:C24" si="0">D4</f>
        <v>0</v>
      </c>
      <c r="D5" s="1">
        <v>235058</v>
      </c>
      <c r="E5" s="59">
        <f t="shared" ref="E5:E15" si="1">IF((D5-D4)&lt;0,"0",(D5-D4))</f>
        <v>235058</v>
      </c>
      <c r="F5" s="98">
        <f t="shared" ref="F5:F37" si="2">G4</f>
        <v>0</v>
      </c>
      <c r="G5" s="455">
        <v>38000</v>
      </c>
      <c r="H5" s="564">
        <f t="shared" ref="H5:H25" si="3">IF((G5-G4)&lt;0,"0",(G5-G4))</f>
        <v>38000</v>
      </c>
      <c r="I5" s="98">
        <f t="shared" ref="I5:I24" si="4">J4</f>
        <v>0</v>
      </c>
      <c r="J5" s="1">
        <v>7924</v>
      </c>
      <c r="K5" s="564">
        <f t="shared" ref="K5:K27" si="5">IF((J5-J4)&lt;0,"0",(J5-J4))</f>
        <v>7924</v>
      </c>
      <c r="L5" s="98">
        <f t="shared" ref="L5:L24" si="6">M4</f>
        <v>0</v>
      </c>
      <c r="M5" s="1">
        <v>12225</v>
      </c>
      <c r="N5" s="564">
        <f t="shared" ref="N5:N24" si="7">IF((M5-M4)&lt;0,"0",(M5-M4))</f>
        <v>12225</v>
      </c>
      <c r="O5" s="98">
        <f t="shared" ref="O5:O24" si="8">P4</f>
        <v>0</v>
      </c>
      <c r="P5" s="451">
        <v>20149</v>
      </c>
      <c r="Q5" s="564">
        <f t="shared" ref="Q5:Q24" si="9">IF((P5-P4)&lt;0,"0",(P5-P4))</f>
        <v>20149</v>
      </c>
      <c r="R5" s="295"/>
      <c r="S5" s="294"/>
      <c r="T5" s="452">
        <v>52987</v>
      </c>
      <c r="U5" s="294"/>
      <c r="V5" s="294" t="str">
        <f t="shared" ref="V5:V20" si="10">W4</f>
        <v>FINAL</v>
      </c>
      <c r="W5" s="452">
        <v>71863</v>
      </c>
      <c r="X5" s="295"/>
      <c r="Y5" s="294" t="str">
        <f t="shared" ref="Y5:Y37" si="11">Z4</f>
        <v>FINAL</v>
      </c>
      <c r="Z5" s="452">
        <v>80711</v>
      </c>
      <c r="AA5" s="295"/>
      <c r="AB5" s="294" t="str">
        <f t="shared" ref="AB5:AB37" si="12">AC4</f>
        <v>FINAL</v>
      </c>
      <c r="AC5" s="295">
        <v>13963</v>
      </c>
      <c r="AD5" s="309"/>
      <c r="AE5" s="294" t="str">
        <f t="shared" ref="AE5:AE37" si="13">AF4</f>
        <v>FINAL</v>
      </c>
      <c r="AF5" s="453">
        <v>18051</v>
      </c>
      <c r="AG5" s="309"/>
      <c r="AH5" s="294" t="str">
        <f t="shared" ref="AH5:AH37" si="14">AI4</f>
        <v>FINAL</v>
      </c>
      <c r="AI5" s="453">
        <v>24623</v>
      </c>
      <c r="AJ5" s="309"/>
      <c r="AK5" s="374" t="str">
        <f t="shared" ref="AK5:AK37" si="15">AL4</f>
        <v>FINAL</v>
      </c>
      <c r="AL5" s="452">
        <v>15154</v>
      </c>
      <c r="AM5" s="309"/>
      <c r="AN5" s="457"/>
    </row>
    <row r="6" spans="1:40" ht="23.1" customHeight="1">
      <c r="A6" s="58">
        <f>Gen!B11</f>
        <v>43983</v>
      </c>
      <c r="B6" s="4"/>
      <c r="C6" s="98">
        <f t="shared" si="0"/>
        <v>235058</v>
      </c>
      <c r="D6" s="1">
        <v>235101</v>
      </c>
      <c r="E6" s="59">
        <f t="shared" si="1"/>
        <v>43</v>
      </c>
      <c r="F6" s="98">
        <f t="shared" si="2"/>
        <v>38000</v>
      </c>
      <c r="G6" s="455">
        <v>38000</v>
      </c>
      <c r="H6" s="564">
        <f t="shared" si="3"/>
        <v>0</v>
      </c>
      <c r="I6" s="98">
        <f t="shared" si="4"/>
        <v>7924</v>
      </c>
      <c r="J6" s="1">
        <v>7925</v>
      </c>
      <c r="K6" s="564">
        <f t="shared" si="5"/>
        <v>1</v>
      </c>
      <c r="L6" s="98">
        <f t="shared" si="6"/>
        <v>12225</v>
      </c>
      <c r="M6" s="1">
        <v>12235</v>
      </c>
      <c r="N6" s="564">
        <f t="shared" si="7"/>
        <v>10</v>
      </c>
      <c r="O6" s="98">
        <f t="shared" si="8"/>
        <v>20149</v>
      </c>
      <c r="P6" s="451">
        <v>20149</v>
      </c>
      <c r="Q6" s="564">
        <f t="shared" si="9"/>
        <v>0</v>
      </c>
      <c r="R6" s="299"/>
      <c r="S6" s="294">
        <f t="shared" ref="S6:S24" si="16">T5</f>
        <v>52987</v>
      </c>
      <c r="T6" s="452">
        <v>52987</v>
      </c>
      <c r="U6" s="565">
        <f t="shared" ref="U6:U24" si="17">IF((T6-T5)&lt;0,"0",(T6-T5))</f>
        <v>0</v>
      </c>
      <c r="V6" s="294">
        <f t="shared" si="10"/>
        <v>71863</v>
      </c>
      <c r="W6" s="452">
        <v>71863</v>
      </c>
      <c r="X6" s="565">
        <f t="shared" ref="X6:X37" si="18">IF((W6-W5)&lt;0,"0",(W6-W5))</f>
        <v>0</v>
      </c>
      <c r="Y6" s="294">
        <f t="shared" si="11"/>
        <v>80711</v>
      </c>
      <c r="Z6" s="452">
        <v>80752</v>
      </c>
      <c r="AA6" s="565">
        <f t="shared" ref="AA6:AA37" si="19">IF((Z6-Z5)&lt;0,"0",(Z6-Z5))</f>
        <v>41</v>
      </c>
      <c r="AB6" s="294">
        <f t="shared" si="12"/>
        <v>13963</v>
      </c>
      <c r="AC6" s="568">
        <v>13982</v>
      </c>
      <c r="AD6" s="565">
        <f t="shared" ref="AD6:AD37" si="20">IF((AC6-AC5)&lt;0,"0",(AC6-AC5))</f>
        <v>19</v>
      </c>
      <c r="AE6" s="294">
        <f t="shared" si="13"/>
        <v>18051</v>
      </c>
      <c r="AF6" s="453">
        <v>18077</v>
      </c>
      <c r="AG6" s="565">
        <f t="shared" ref="AG6:AG37" si="21">IF((AF6-AF5)&lt;0,"0",(AF6-AF5))</f>
        <v>26</v>
      </c>
      <c r="AH6" s="294">
        <f t="shared" si="14"/>
        <v>24623</v>
      </c>
      <c r="AI6" s="453">
        <v>24623</v>
      </c>
      <c r="AJ6" s="565">
        <f>IF((AI7-AI5)&lt;0,"0",(AI7-AI5))</f>
        <v>0</v>
      </c>
      <c r="AK6" s="374">
        <f t="shared" si="15"/>
        <v>15154</v>
      </c>
      <c r="AL6" s="452">
        <v>15154</v>
      </c>
      <c r="AM6" s="565">
        <f t="shared" ref="AM6:AM37" si="22">IF((AL6-AL5)&lt;0,"0",(AL6-AL5))</f>
        <v>0</v>
      </c>
      <c r="AN6" s="457">
        <f>U6+X6+AA6+AD6+AG6+AJ6+AM6</f>
        <v>86</v>
      </c>
    </row>
    <row r="7" spans="1:40" ht="23.1" customHeight="1">
      <c r="A7" s="58">
        <f>Gen!B12</f>
        <v>43984</v>
      </c>
      <c r="B7" s="4"/>
      <c r="C7" s="98">
        <f t="shared" si="0"/>
        <v>235101</v>
      </c>
      <c r="D7" s="1">
        <v>235150</v>
      </c>
      <c r="E7" s="59">
        <f t="shared" si="1"/>
        <v>49</v>
      </c>
      <c r="F7" s="98">
        <f t="shared" si="2"/>
        <v>38000</v>
      </c>
      <c r="G7" s="455">
        <v>38000</v>
      </c>
      <c r="H7" s="564">
        <f t="shared" si="3"/>
        <v>0</v>
      </c>
      <c r="I7" s="98">
        <f t="shared" si="4"/>
        <v>7925</v>
      </c>
      <c r="J7" s="1">
        <v>7926</v>
      </c>
      <c r="K7" s="564">
        <f t="shared" si="5"/>
        <v>1</v>
      </c>
      <c r="L7" s="98">
        <f t="shared" si="6"/>
        <v>12235</v>
      </c>
      <c r="M7" s="1">
        <v>12245</v>
      </c>
      <c r="N7" s="564">
        <f t="shared" si="7"/>
        <v>10</v>
      </c>
      <c r="O7" s="98">
        <f t="shared" si="8"/>
        <v>20149</v>
      </c>
      <c r="P7" s="451">
        <v>20150</v>
      </c>
      <c r="Q7" s="564">
        <f t="shared" si="9"/>
        <v>1</v>
      </c>
      <c r="R7" s="299"/>
      <c r="S7" s="294">
        <f t="shared" si="16"/>
        <v>52987</v>
      </c>
      <c r="T7" s="452">
        <v>52987</v>
      </c>
      <c r="U7" s="565">
        <f t="shared" si="17"/>
        <v>0</v>
      </c>
      <c r="V7" s="294">
        <f t="shared" si="10"/>
        <v>71863</v>
      </c>
      <c r="W7" s="452">
        <v>71863</v>
      </c>
      <c r="X7" s="565">
        <f t="shared" si="18"/>
        <v>0</v>
      </c>
      <c r="Y7" s="294">
        <f t="shared" si="11"/>
        <v>80752</v>
      </c>
      <c r="Z7" s="452">
        <v>80794</v>
      </c>
      <c r="AA7" s="565">
        <f t="shared" si="19"/>
        <v>42</v>
      </c>
      <c r="AB7" s="294">
        <f t="shared" si="12"/>
        <v>13982</v>
      </c>
      <c r="AC7" s="568">
        <v>14000</v>
      </c>
      <c r="AD7" s="565">
        <f t="shared" si="20"/>
        <v>18</v>
      </c>
      <c r="AE7" s="294">
        <f t="shared" si="13"/>
        <v>18077</v>
      </c>
      <c r="AF7" s="453">
        <v>18104</v>
      </c>
      <c r="AG7" s="565">
        <f t="shared" si="21"/>
        <v>27</v>
      </c>
      <c r="AH7" s="294">
        <f t="shared" si="14"/>
        <v>24623</v>
      </c>
      <c r="AI7" s="453">
        <v>24623</v>
      </c>
      <c r="AJ7" s="565">
        <f t="shared" ref="AJ7:AJ37" si="23">IF((AI8-AI6)&lt;0,"0",(AI8-AI6))</f>
        <v>0</v>
      </c>
      <c r="AK7" s="374">
        <f t="shared" si="15"/>
        <v>15154</v>
      </c>
      <c r="AL7" s="452">
        <v>15154</v>
      </c>
      <c r="AM7" s="565">
        <f t="shared" si="22"/>
        <v>0</v>
      </c>
      <c r="AN7" s="457">
        <f t="shared" ref="AN7:AN36" si="24">U7+X7+AA7+AD7+AG7+AJ7+AM7</f>
        <v>87</v>
      </c>
    </row>
    <row r="8" spans="1:40" ht="23.1" customHeight="1">
      <c r="A8" s="58">
        <f>Gen!B13</f>
        <v>43985</v>
      </c>
      <c r="B8" s="4"/>
      <c r="C8" s="98">
        <f t="shared" si="0"/>
        <v>235150</v>
      </c>
      <c r="D8" s="1">
        <v>235191</v>
      </c>
      <c r="E8" s="59">
        <f t="shared" si="1"/>
        <v>41</v>
      </c>
      <c r="F8" s="98">
        <f t="shared" si="2"/>
        <v>38000</v>
      </c>
      <c r="G8" s="455">
        <v>38000</v>
      </c>
      <c r="H8" s="564">
        <f t="shared" si="3"/>
        <v>0</v>
      </c>
      <c r="I8" s="98">
        <f t="shared" si="4"/>
        <v>7926</v>
      </c>
      <c r="J8" s="1">
        <v>7926</v>
      </c>
      <c r="K8" s="564">
        <f t="shared" si="5"/>
        <v>0</v>
      </c>
      <c r="L8" s="98">
        <f t="shared" si="6"/>
        <v>12245</v>
      </c>
      <c r="M8" s="1">
        <v>12264</v>
      </c>
      <c r="N8" s="564">
        <f t="shared" si="7"/>
        <v>19</v>
      </c>
      <c r="O8" s="98">
        <f t="shared" si="8"/>
        <v>20150</v>
      </c>
      <c r="P8" s="451">
        <v>20151</v>
      </c>
      <c r="Q8" s="564">
        <f t="shared" si="9"/>
        <v>1</v>
      </c>
      <c r="R8" s="299"/>
      <c r="S8" s="294">
        <f t="shared" si="16"/>
        <v>52987</v>
      </c>
      <c r="T8" s="452">
        <v>52987</v>
      </c>
      <c r="U8" s="565">
        <f t="shared" si="17"/>
        <v>0</v>
      </c>
      <c r="V8" s="294">
        <f t="shared" si="10"/>
        <v>71863</v>
      </c>
      <c r="W8" s="452">
        <v>71863</v>
      </c>
      <c r="X8" s="565">
        <f t="shared" si="18"/>
        <v>0</v>
      </c>
      <c r="Y8" s="294">
        <f t="shared" si="11"/>
        <v>80794</v>
      </c>
      <c r="Z8" s="452">
        <v>80832</v>
      </c>
      <c r="AA8" s="565">
        <f t="shared" si="19"/>
        <v>38</v>
      </c>
      <c r="AB8" s="294">
        <f t="shared" si="12"/>
        <v>14000</v>
      </c>
      <c r="AC8" s="568">
        <v>14019</v>
      </c>
      <c r="AD8" s="565">
        <f t="shared" si="20"/>
        <v>19</v>
      </c>
      <c r="AE8" s="294">
        <f t="shared" si="13"/>
        <v>18104</v>
      </c>
      <c r="AF8" s="453">
        <v>18128</v>
      </c>
      <c r="AG8" s="565">
        <f t="shared" si="21"/>
        <v>24</v>
      </c>
      <c r="AH8" s="294">
        <f t="shared" si="14"/>
        <v>24623</v>
      </c>
      <c r="AI8" s="453">
        <v>24623</v>
      </c>
      <c r="AJ8" s="565">
        <f t="shared" si="23"/>
        <v>0</v>
      </c>
      <c r="AK8" s="374">
        <f t="shared" si="15"/>
        <v>15154</v>
      </c>
      <c r="AL8" s="452">
        <v>15154</v>
      </c>
      <c r="AM8" s="565">
        <f t="shared" si="22"/>
        <v>0</v>
      </c>
      <c r="AN8" s="457">
        <f t="shared" si="24"/>
        <v>81</v>
      </c>
    </row>
    <row r="9" spans="1:40" ht="23.1" customHeight="1">
      <c r="A9" s="58">
        <f>Gen!B14</f>
        <v>43986</v>
      </c>
      <c r="B9" s="4"/>
      <c r="C9" s="98">
        <f t="shared" si="0"/>
        <v>235191</v>
      </c>
      <c r="D9" s="1">
        <v>235277</v>
      </c>
      <c r="E9" s="59">
        <f t="shared" si="1"/>
        <v>86</v>
      </c>
      <c r="F9" s="98">
        <f t="shared" si="2"/>
        <v>38000</v>
      </c>
      <c r="G9" s="455">
        <v>38000</v>
      </c>
      <c r="H9" s="564">
        <f t="shared" si="3"/>
        <v>0</v>
      </c>
      <c r="I9" s="98">
        <f t="shared" si="4"/>
        <v>7926</v>
      </c>
      <c r="J9" s="1">
        <v>7927</v>
      </c>
      <c r="K9" s="564">
        <f t="shared" si="5"/>
        <v>1</v>
      </c>
      <c r="L9" s="98">
        <f t="shared" si="6"/>
        <v>12264</v>
      </c>
      <c r="M9" s="1">
        <v>12314</v>
      </c>
      <c r="N9" s="564">
        <f t="shared" si="7"/>
        <v>50</v>
      </c>
      <c r="O9" s="98">
        <f t="shared" si="8"/>
        <v>20151</v>
      </c>
      <c r="P9" s="451">
        <v>20151</v>
      </c>
      <c r="Q9" s="564">
        <f t="shared" si="9"/>
        <v>0</v>
      </c>
      <c r="R9" s="299"/>
      <c r="S9" s="294">
        <f t="shared" si="16"/>
        <v>52987</v>
      </c>
      <c r="T9" s="452">
        <v>53069</v>
      </c>
      <c r="U9" s="565">
        <f t="shared" si="17"/>
        <v>82</v>
      </c>
      <c r="V9" s="294">
        <f t="shared" si="10"/>
        <v>71863</v>
      </c>
      <c r="W9" s="452">
        <v>71863</v>
      </c>
      <c r="X9" s="565">
        <f t="shared" si="18"/>
        <v>0</v>
      </c>
      <c r="Y9" s="294">
        <f t="shared" si="11"/>
        <v>80832</v>
      </c>
      <c r="Z9" s="452">
        <v>80872</v>
      </c>
      <c r="AA9" s="565">
        <f t="shared" si="19"/>
        <v>40</v>
      </c>
      <c r="AB9" s="294">
        <f t="shared" si="12"/>
        <v>14019</v>
      </c>
      <c r="AC9" s="568">
        <v>14037</v>
      </c>
      <c r="AD9" s="565">
        <f t="shared" si="20"/>
        <v>18</v>
      </c>
      <c r="AE9" s="294">
        <f t="shared" si="13"/>
        <v>18128</v>
      </c>
      <c r="AF9" s="453">
        <v>18153</v>
      </c>
      <c r="AG9" s="565">
        <f t="shared" si="21"/>
        <v>25</v>
      </c>
      <c r="AH9" s="294">
        <f t="shared" ref="AH9" si="25">AI9</f>
        <v>24623</v>
      </c>
      <c r="AI9" s="453">
        <v>24623</v>
      </c>
      <c r="AJ9" s="565">
        <f t="shared" si="23"/>
        <v>0</v>
      </c>
      <c r="AK9" s="374">
        <f t="shared" si="15"/>
        <v>15154</v>
      </c>
      <c r="AL9" s="452">
        <v>15154</v>
      </c>
      <c r="AM9" s="565">
        <f t="shared" si="22"/>
        <v>0</v>
      </c>
      <c r="AN9" s="457">
        <f t="shared" si="24"/>
        <v>165</v>
      </c>
    </row>
    <row r="10" spans="1:40" ht="23.1" customHeight="1">
      <c r="A10" s="58">
        <f>Gen!B15</f>
        <v>43987</v>
      </c>
      <c r="B10" s="4"/>
      <c r="C10" s="98">
        <f t="shared" si="0"/>
        <v>235277</v>
      </c>
      <c r="D10" s="1">
        <v>235359</v>
      </c>
      <c r="E10" s="59">
        <f t="shared" si="1"/>
        <v>82</v>
      </c>
      <c r="F10" s="98">
        <f t="shared" si="2"/>
        <v>38000</v>
      </c>
      <c r="G10" s="455">
        <v>38000</v>
      </c>
      <c r="H10" s="564">
        <f t="shared" si="3"/>
        <v>0</v>
      </c>
      <c r="I10" s="98">
        <f t="shared" si="4"/>
        <v>7927</v>
      </c>
      <c r="J10" s="1">
        <v>7928</v>
      </c>
      <c r="K10" s="564">
        <f t="shared" si="5"/>
        <v>1</v>
      </c>
      <c r="L10" s="98">
        <f t="shared" si="6"/>
        <v>12314</v>
      </c>
      <c r="M10" s="1">
        <v>12354</v>
      </c>
      <c r="N10" s="564">
        <f t="shared" si="7"/>
        <v>40</v>
      </c>
      <c r="O10" s="98">
        <f t="shared" si="8"/>
        <v>20151</v>
      </c>
      <c r="P10" s="451">
        <v>20151</v>
      </c>
      <c r="Q10" s="564">
        <f t="shared" si="9"/>
        <v>0</v>
      </c>
      <c r="R10" s="299"/>
      <c r="S10" s="294">
        <f t="shared" si="16"/>
        <v>53069</v>
      </c>
      <c r="T10" s="452">
        <v>53163</v>
      </c>
      <c r="U10" s="565">
        <f t="shared" si="17"/>
        <v>94</v>
      </c>
      <c r="V10" s="294">
        <f t="shared" si="10"/>
        <v>71863</v>
      </c>
      <c r="W10" s="452">
        <v>71863</v>
      </c>
      <c r="X10" s="565">
        <f t="shared" si="18"/>
        <v>0</v>
      </c>
      <c r="Y10" s="294">
        <f t="shared" si="11"/>
        <v>80872</v>
      </c>
      <c r="Z10" s="452">
        <v>80880</v>
      </c>
      <c r="AA10" s="565">
        <f t="shared" si="19"/>
        <v>8</v>
      </c>
      <c r="AB10" s="294">
        <f t="shared" si="12"/>
        <v>14037</v>
      </c>
      <c r="AC10" s="568">
        <v>14042</v>
      </c>
      <c r="AD10" s="565">
        <f t="shared" si="20"/>
        <v>5</v>
      </c>
      <c r="AE10" s="294">
        <f t="shared" si="13"/>
        <v>18153</v>
      </c>
      <c r="AF10" s="453">
        <v>18177</v>
      </c>
      <c r="AG10" s="565">
        <f t="shared" si="21"/>
        <v>24</v>
      </c>
      <c r="AH10" s="294">
        <f t="shared" si="14"/>
        <v>24623</v>
      </c>
      <c r="AI10" s="453">
        <v>24623</v>
      </c>
      <c r="AJ10" s="565" t="str">
        <f t="shared" si="23"/>
        <v>0</v>
      </c>
      <c r="AK10" s="374">
        <f t="shared" si="15"/>
        <v>15154</v>
      </c>
      <c r="AL10" s="452">
        <v>15154</v>
      </c>
      <c r="AM10" s="565">
        <f t="shared" si="22"/>
        <v>0</v>
      </c>
      <c r="AN10" s="457">
        <f t="shared" si="24"/>
        <v>131</v>
      </c>
    </row>
    <row r="11" spans="1:40" ht="23.1" customHeight="1">
      <c r="A11" s="58">
        <f>Gen!B16</f>
        <v>43988</v>
      </c>
      <c r="B11" s="4"/>
      <c r="C11" s="98">
        <f t="shared" si="0"/>
        <v>235359</v>
      </c>
      <c r="D11" s="1"/>
      <c r="E11" s="59" t="str">
        <f t="shared" si="1"/>
        <v>0</v>
      </c>
      <c r="F11" s="98">
        <f t="shared" si="2"/>
        <v>38000</v>
      </c>
      <c r="G11" s="455" t="s">
        <v>320</v>
      </c>
      <c r="H11" s="564" t="e">
        <f t="shared" si="3"/>
        <v>#VALUE!</v>
      </c>
      <c r="I11" s="98">
        <f t="shared" si="4"/>
        <v>7928</v>
      </c>
      <c r="J11" s="1"/>
      <c r="K11" s="564" t="str">
        <f t="shared" si="5"/>
        <v>0</v>
      </c>
      <c r="L11" s="98">
        <f t="shared" si="6"/>
        <v>12354</v>
      </c>
      <c r="M11" s="1"/>
      <c r="N11" s="564" t="str">
        <f t="shared" si="7"/>
        <v>0</v>
      </c>
      <c r="O11" s="98">
        <f t="shared" si="8"/>
        <v>20151</v>
      </c>
      <c r="P11" s="451"/>
      <c r="Q11" s="564" t="str">
        <f t="shared" si="9"/>
        <v>0</v>
      </c>
      <c r="R11" s="299"/>
      <c r="S11" s="294">
        <f t="shared" si="16"/>
        <v>53163</v>
      </c>
      <c r="T11" s="452"/>
      <c r="U11" s="565" t="str">
        <f t="shared" si="17"/>
        <v>0</v>
      </c>
      <c r="V11" s="294">
        <f t="shared" si="10"/>
        <v>71863</v>
      </c>
      <c r="W11" s="452"/>
      <c r="X11" s="565" t="str">
        <f t="shared" si="18"/>
        <v>0</v>
      </c>
      <c r="Y11" s="294">
        <f t="shared" si="11"/>
        <v>80880</v>
      </c>
      <c r="Z11" s="452"/>
      <c r="AA11" s="565" t="str">
        <f t="shared" si="19"/>
        <v>0</v>
      </c>
      <c r="AB11" s="294">
        <f t="shared" si="12"/>
        <v>14042</v>
      </c>
      <c r="AC11" s="568"/>
      <c r="AD11" s="565" t="str">
        <f t="shared" si="20"/>
        <v>0</v>
      </c>
      <c r="AE11" s="294">
        <f t="shared" si="13"/>
        <v>18177</v>
      </c>
      <c r="AF11" s="453"/>
      <c r="AG11" s="565" t="str">
        <f t="shared" si="21"/>
        <v>0</v>
      </c>
      <c r="AH11" s="294">
        <f t="shared" si="14"/>
        <v>24623</v>
      </c>
      <c r="AI11" s="618"/>
      <c r="AJ11" s="565" t="str">
        <f t="shared" si="23"/>
        <v>0</v>
      </c>
      <c r="AK11" s="374">
        <f t="shared" si="15"/>
        <v>15154</v>
      </c>
      <c r="AL11" s="452"/>
      <c r="AM11" s="565" t="str">
        <f t="shared" si="22"/>
        <v>0</v>
      </c>
      <c r="AN11" s="457">
        <f t="shared" si="24"/>
        <v>0</v>
      </c>
    </row>
    <row r="12" spans="1:40" ht="23.1" customHeight="1">
      <c r="A12" s="58">
        <f>Gen!B17</f>
        <v>43989</v>
      </c>
      <c r="B12" s="4"/>
      <c r="C12" s="98">
        <f t="shared" si="0"/>
        <v>0</v>
      </c>
      <c r="D12" s="1"/>
      <c r="E12" s="59">
        <f t="shared" si="1"/>
        <v>0</v>
      </c>
      <c r="F12" s="98" t="str">
        <f t="shared" si="2"/>
        <v>+</v>
      </c>
      <c r="G12" s="455"/>
      <c r="H12" s="564" t="e">
        <f t="shared" si="3"/>
        <v>#VALUE!</v>
      </c>
      <c r="I12" s="98">
        <f t="shared" si="4"/>
        <v>0</v>
      </c>
      <c r="J12" s="1"/>
      <c r="K12" s="564">
        <f t="shared" si="5"/>
        <v>0</v>
      </c>
      <c r="L12" s="98">
        <f t="shared" si="6"/>
        <v>0</v>
      </c>
      <c r="M12" s="1"/>
      <c r="N12" s="564">
        <f t="shared" si="7"/>
        <v>0</v>
      </c>
      <c r="O12" s="98">
        <f t="shared" si="8"/>
        <v>0</v>
      </c>
      <c r="P12" s="451"/>
      <c r="Q12" s="564">
        <f t="shared" si="9"/>
        <v>0</v>
      </c>
      <c r="R12" s="299"/>
      <c r="S12" s="294">
        <f t="shared" si="16"/>
        <v>0</v>
      </c>
      <c r="T12" s="452"/>
      <c r="U12" s="565">
        <f t="shared" si="17"/>
        <v>0</v>
      </c>
      <c r="V12" s="294">
        <f t="shared" si="10"/>
        <v>0</v>
      </c>
      <c r="W12" s="452"/>
      <c r="X12" s="565">
        <f t="shared" si="18"/>
        <v>0</v>
      </c>
      <c r="Y12" s="294">
        <f t="shared" si="11"/>
        <v>0</v>
      </c>
      <c r="Z12" s="452"/>
      <c r="AA12" s="565">
        <f t="shared" si="19"/>
        <v>0</v>
      </c>
      <c r="AB12" s="294">
        <f t="shared" si="12"/>
        <v>0</v>
      </c>
      <c r="AC12" s="568"/>
      <c r="AD12" s="565">
        <f t="shared" si="20"/>
        <v>0</v>
      </c>
      <c r="AE12" s="294">
        <f t="shared" si="13"/>
        <v>0</v>
      </c>
      <c r="AF12" s="453"/>
      <c r="AG12" s="565">
        <f t="shared" si="21"/>
        <v>0</v>
      </c>
      <c r="AH12" s="294">
        <f t="shared" si="14"/>
        <v>0</v>
      </c>
      <c r="AI12" s="618"/>
      <c r="AJ12" s="565">
        <f t="shared" si="23"/>
        <v>0</v>
      </c>
      <c r="AK12" s="374">
        <f t="shared" si="15"/>
        <v>0</v>
      </c>
      <c r="AL12" s="452"/>
      <c r="AM12" s="565">
        <f t="shared" si="22"/>
        <v>0</v>
      </c>
      <c r="AN12" s="457">
        <f t="shared" si="24"/>
        <v>0</v>
      </c>
    </row>
    <row r="13" spans="1:40" ht="23.1" customHeight="1">
      <c r="A13" s="58">
        <f>Gen!B18</f>
        <v>43990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5"/>
      <c r="H13" s="564">
        <f t="shared" si="3"/>
        <v>0</v>
      </c>
      <c r="I13" s="98">
        <f t="shared" si="4"/>
        <v>0</v>
      </c>
      <c r="J13" s="1"/>
      <c r="K13" s="564">
        <f t="shared" si="5"/>
        <v>0</v>
      </c>
      <c r="L13" s="98">
        <f t="shared" si="6"/>
        <v>0</v>
      </c>
      <c r="M13" s="1"/>
      <c r="N13" s="564">
        <f t="shared" si="7"/>
        <v>0</v>
      </c>
      <c r="O13" s="98">
        <f t="shared" si="8"/>
        <v>0</v>
      </c>
      <c r="P13" s="451"/>
      <c r="Q13" s="564">
        <f t="shared" si="9"/>
        <v>0</v>
      </c>
      <c r="R13" s="299"/>
      <c r="S13" s="294">
        <f t="shared" si="16"/>
        <v>0</v>
      </c>
      <c r="T13" s="452"/>
      <c r="U13" s="565">
        <f t="shared" si="17"/>
        <v>0</v>
      </c>
      <c r="V13" s="294">
        <f t="shared" si="10"/>
        <v>0</v>
      </c>
      <c r="W13" s="452"/>
      <c r="X13" s="565">
        <f t="shared" si="18"/>
        <v>0</v>
      </c>
      <c r="Y13" s="294">
        <f t="shared" si="11"/>
        <v>0</v>
      </c>
      <c r="Z13" s="452"/>
      <c r="AA13" s="565">
        <f t="shared" si="19"/>
        <v>0</v>
      </c>
      <c r="AB13" s="294">
        <f t="shared" si="12"/>
        <v>0</v>
      </c>
      <c r="AC13" s="569"/>
      <c r="AD13" s="565">
        <f t="shared" si="20"/>
        <v>0</v>
      </c>
      <c r="AE13" s="294">
        <f>AF12</f>
        <v>0</v>
      </c>
      <c r="AF13" s="453"/>
      <c r="AG13" s="565">
        <f t="shared" si="21"/>
        <v>0</v>
      </c>
      <c r="AH13" s="294">
        <f t="shared" si="14"/>
        <v>0</v>
      </c>
      <c r="AI13" s="618"/>
      <c r="AJ13" s="565">
        <f t="shared" si="23"/>
        <v>0</v>
      </c>
      <c r="AK13" s="374">
        <f t="shared" si="15"/>
        <v>0</v>
      </c>
      <c r="AL13" s="452"/>
      <c r="AM13" s="565">
        <f t="shared" si="22"/>
        <v>0</v>
      </c>
      <c r="AN13" s="457">
        <f t="shared" si="24"/>
        <v>0</v>
      </c>
    </row>
    <row r="14" spans="1:40" ht="23.1" customHeight="1">
      <c r="A14" s="58">
        <f>Gen!B19</f>
        <v>43991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5"/>
      <c r="H14" s="564">
        <f t="shared" si="3"/>
        <v>0</v>
      </c>
      <c r="I14" s="98">
        <f t="shared" si="4"/>
        <v>0</v>
      </c>
      <c r="J14" s="1"/>
      <c r="K14" s="564">
        <f t="shared" si="5"/>
        <v>0</v>
      </c>
      <c r="L14" s="98">
        <f t="shared" si="6"/>
        <v>0</v>
      </c>
      <c r="M14" s="1"/>
      <c r="N14" s="564">
        <f t="shared" si="7"/>
        <v>0</v>
      </c>
      <c r="O14" s="98">
        <f t="shared" si="8"/>
        <v>0</v>
      </c>
      <c r="P14" s="451"/>
      <c r="Q14" s="564">
        <f t="shared" si="9"/>
        <v>0</v>
      </c>
      <c r="R14" s="299"/>
      <c r="S14" s="294">
        <f t="shared" si="16"/>
        <v>0</v>
      </c>
      <c r="T14" s="452"/>
      <c r="U14" s="565">
        <f t="shared" si="17"/>
        <v>0</v>
      </c>
      <c r="V14" s="294">
        <f t="shared" si="10"/>
        <v>0</v>
      </c>
      <c r="W14" s="452"/>
      <c r="X14" s="565">
        <f t="shared" si="18"/>
        <v>0</v>
      </c>
      <c r="Y14" s="294">
        <f t="shared" si="11"/>
        <v>0</v>
      </c>
      <c r="Z14" s="452"/>
      <c r="AA14" s="565">
        <f t="shared" si="19"/>
        <v>0</v>
      </c>
      <c r="AB14" s="294">
        <f t="shared" si="12"/>
        <v>0</v>
      </c>
      <c r="AC14" s="569"/>
      <c r="AD14" s="565">
        <f t="shared" si="20"/>
        <v>0</v>
      </c>
      <c r="AE14" s="294">
        <f t="shared" si="13"/>
        <v>0</v>
      </c>
      <c r="AF14" s="453"/>
      <c r="AG14" s="565">
        <f t="shared" si="21"/>
        <v>0</v>
      </c>
      <c r="AH14" s="294">
        <f t="shared" si="14"/>
        <v>0</v>
      </c>
      <c r="AI14" s="618"/>
      <c r="AJ14" s="565">
        <f t="shared" si="23"/>
        <v>0</v>
      </c>
      <c r="AK14" s="374">
        <f t="shared" si="15"/>
        <v>0</v>
      </c>
      <c r="AL14" s="452"/>
      <c r="AM14" s="565">
        <f t="shared" si="22"/>
        <v>0</v>
      </c>
      <c r="AN14" s="457">
        <f t="shared" si="24"/>
        <v>0</v>
      </c>
    </row>
    <row r="15" spans="1:40" ht="23.1" customHeight="1">
      <c r="A15" s="58">
        <f>Gen!B20</f>
        <v>43992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5"/>
      <c r="H15" s="564">
        <f t="shared" si="3"/>
        <v>0</v>
      </c>
      <c r="I15" s="98">
        <f t="shared" si="4"/>
        <v>0</v>
      </c>
      <c r="J15" s="1"/>
      <c r="K15" s="564">
        <f t="shared" si="5"/>
        <v>0</v>
      </c>
      <c r="L15" s="98">
        <f t="shared" si="6"/>
        <v>0</v>
      </c>
      <c r="M15" s="1"/>
      <c r="N15" s="564">
        <f t="shared" si="7"/>
        <v>0</v>
      </c>
      <c r="O15" s="98">
        <f t="shared" si="8"/>
        <v>0</v>
      </c>
      <c r="P15" s="451"/>
      <c r="Q15" s="564">
        <f t="shared" si="9"/>
        <v>0</v>
      </c>
      <c r="R15" s="299"/>
      <c r="S15" s="294">
        <f t="shared" si="16"/>
        <v>0</v>
      </c>
      <c r="T15" s="452"/>
      <c r="U15" s="565">
        <f t="shared" si="17"/>
        <v>0</v>
      </c>
      <c r="V15" s="294">
        <f t="shared" si="10"/>
        <v>0</v>
      </c>
      <c r="W15" s="452"/>
      <c r="X15" s="565">
        <f t="shared" si="18"/>
        <v>0</v>
      </c>
      <c r="Y15" s="294">
        <f t="shared" si="11"/>
        <v>0</v>
      </c>
      <c r="Z15" s="452"/>
      <c r="AA15" s="565">
        <f t="shared" si="19"/>
        <v>0</v>
      </c>
      <c r="AB15" s="294">
        <f t="shared" si="12"/>
        <v>0</v>
      </c>
      <c r="AC15" s="569"/>
      <c r="AD15" s="565">
        <f t="shared" si="20"/>
        <v>0</v>
      </c>
      <c r="AE15" s="294">
        <f t="shared" si="13"/>
        <v>0</v>
      </c>
      <c r="AF15" s="453"/>
      <c r="AG15" s="565">
        <f t="shared" si="21"/>
        <v>0</v>
      </c>
      <c r="AH15" s="294">
        <f t="shared" si="14"/>
        <v>0</v>
      </c>
      <c r="AI15" s="618"/>
      <c r="AJ15" s="565">
        <f t="shared" si="23"/>
        <v>0</v>
      </c>
      <c r="AK15" s="374">
        <f t="shared" si="15"/>
        <v>0</v>
      </c>
      <c r="AL15" s="452"/>
      <c r="AM15" s="565">
        <f t="shared" si="22"/>
        <v>0</v>
      </c>
      <c r="AN15" s="457">
        <f t="shared" si="24"/>
        <v>0</v>
      </c>
    </row>
    <row r="16" spans="1:40" ht="23.1" customHeight="1">
      <c r="A16" s="58">
        <f>Gen!B21</f>
        <v>43993</v>
      </c>
      <c r="B16" s="4"/>
      <c r="C16" s="98">
        <f t="shared" si="0"/>
        <v>0</v>
      </c>
      <c r="D16" s="1"/>
      <c r="E16" s="59">
        <f>IF((D16-D15)&lt;0,"0",(D16-D15))</f>
        <v>0</v>
      </c>
      <c r="F16" s="98">
        <f t="shared" si="2"/>
        <v>0</v>
      </c>
      <c r="G16" s="455"/>
      <c r="H16" s="564">
        <f t="shared" si="3"/>
        <v>0</v>
      </c>
      <c r="I16" s="98">
        <f t="shared" si="4"/>
        <v>0</v>
      </c>
      <c r="J16" s="1"/>
      <c r="K16" s="564">
        <f t="shared" si="5"/>
        <v>0</v>
      </c>
      <c r="L16" s="98"/>
      <c r="M16" s="1"/>
      <c r="N16" s="564">
        <f t="shared" si="7"/>
        <v>0</v>
      </c>
      <c r="O16" s="98">
        <f t="shared" si="8"/>
        <v>0</v>
      </c>
      <c r="P16" s="451"/>
      <c r="Q16" s="564">
        <f t="shared" si="9"/>
        <v>0</v>
      </c>
      <c r="R16" s="299"/>
      <c r="S16" s="294">
        <f t="shared" si="16"/>
        <v>0</v>
      </c>
      <c r="T16" s="452"/>
      <c r="U16" s="565">
        <f t="shared" si="17"/>
        <v>0</v>
      </c>
      <c r="V16" s="294">
        <f t="shared" si="10"/>
        <v>0</v>
      </c>
      <c r="W16" s="452"/>
      <c r="X16" s="565">
        <f t="shared" si="18"/>
        <v>0</v>
      </c>
      <c r="Y16" s="294">
        <f t="shared" si="11"/>
        <v>0</v>
      </c>
      <c r="Z16" s="452"/>
      <c r="AA16" s="565">
        <f t="shared" si="19"/>
        <v>0</v>
      </c>
      <c r="AB16" s="294">
        <f t="shared" si="12"/>
        <v>0</v>
      </c>
      <c r="AC16" s="569"/>
      <c r="AD16" s="565">
        <f t="shared" si="20"/>
        <v>0</v>
      </c>
      <c r="AE16" s="294">
        <f t="shared" si="13"/>
        <v>0</v>
      </c>
      <c r="AF16" s="453"/>
      <c r="AG16" s="565">
        <f t="shared" si="21"/>
        <v>0</v>
      </c>
      <c r="AH16" s="294">
        <f t="shared" si="14"/>
        <v>0</v>
      </c>
      <c r="AI16" s="618"/>
      <c r="AJ16" s="565">
        <f>IF((AI17-AI15)&lt;0,"0",(AI17-AI15))</f>
        <v>0</v>
      </c>
      <c r="AK16" s="374">
        <f t="shared" si="15"/>
        <v>0</v>
      </c>
      <c r="AL16" s="452"/>
      <c r="AM16" s="565">
        <f t="shared" si="22"/>
        <v>0</v>
      </c>
      <c r="AN16" s="457">
        <f t="shared" si="24"/>
        <v>0</v>
      </c>
    </row>
    <row r="17" spans="1:40" ht="23.1" customHeight="1">
      <c r="A17" s="58">
        <f>Gen!B22</f>
        <v>43994</v>
      </c>
      <c r="B17" s="4"/>
      <c r="C17" s="98">
        <f t="shared" si="0"/>
        <v>0</v>
      </c>
      <c r="D17" s="1"/>
      <c r="E17" s="564">
        <f>IF((D17-D16)&lt;0,"0",(D17-D16))</f>
        <v>0</v>
      </c>
      <c r="F17" s="98">
        <f t="shared" si="2"/>
        <v>0</v>
      </c>
      <c r="G17" s="455"/>
      <c r="H17" s="564">
        <f t="shared" si="3"/>
        <v>0</v>
      </c>
      <c r="I17" s="98">
        <f t="shared" si="4"/>
        <v>0</v>
      </c>
      <c r="J17" s="1"/>
      <c r="K17" s="564">
        <f t="shared" si="5"/>
        <v>0</v>
      </c>
      <c r="L17" s="98"/>
      <c r="M17" s="1"/>
      <c r="N17" s="564">
        <f t="shared" si="7"/>
        <v>0</v>
      </c>
      <c r="O17" s="98">
        <f t="shared" si="8"/>
        <v>0</v>
      </c>
      <c r="P17" s="451"/>
      <c r="Q17" s="564">
        <f t="shared" si="9"/>
        <v>0</v>
      </c>
      <c r="R17" s="299"/>
      <c r="S17" s="294">
        <f t="shared" si="16"/>
        <v>0</v>
      </c>
      <c r="T17" s="452"/>
      <c r="U17" s="565">
        <f t="shared" si="17"/>
        <v>0</v>
      </c>
      <c r="V17" s="294">
        <f t="shared" si="10"/>
        <v>0</v>
      </c>
      <c r="W17" s="452"/>
      <c r="X17" s="565">
        <f>IF((W17-W16)&lt;0,"0",(W17-W16))</f>
        <v>0</v>
      </c>
      <c r="Y17" s="294">
        <f t="shared" si="11"/>
        <v>0</v>
      </c>
      <c r="Z17" s="452"/>
      <c r="AA17" s="565">
        <f>IF((Z17-Z16)&lt;0,"0",(Z17-Z16))</f>
        <v>0</v>
      </c>
      <c r="AB17" s="294">
        <f t="shared" si="12"/>
        <v>0</v>
      </c>
      <c r="AC17" s="569"/>
      <c r="AD17" s="565">
        <f>IF((AC17-AC16)&lt;0,"0",(AC17-AC16))</f>
        <v>0</v>
      </c>
      <c r="AE17" s="294">
        <f t="shared" si="13"/>
        <v>0</v>
      </c>
      <c r="AF17" s="453"/>
      <c r="AG17" s="565">
        <f>IF((AF17-AF16)&lt;0,"0",(AF17-AF16))</f>
        <v>0</v>
      </c>
      <c r="AH17" s="294">
        <f t="shared" si="14"/>
        <v>0</v>
      </c>
      <c r="AI17" s="618"/>
      <c r="AJ17" s="565">
        <f>IF((AI18-AI16)&lt;0,"0",(AI18-AI16))</f>
        <v>0</v>
      </c>
      <c r="AK17" s="374">
        <f t="shared" si="15"/>
        <v>0</v>
      </c>
      <c r="AL17" s="452"/>
      <c r="AM17" s="565">
        <f>IF((AL17-AL16)&lt;0,"0",(AL17-AL16))</f>
        <v>0</v>
      </c>
      <c r="AN17" s="457">
        <f t="shared" si="24"/>
        <v>0</v>
      </c>
    </row>
    <row r="18" spans="1:40" ht="23.1" customHeight="1">
      <c r="A18" s="58">
        <f>Gen!B23</f>
        <v>43995</v>
      </c>
      <c r="B18" s="4"/>
      <c r="C18" s="98">
        <f t="shared" si="0"/>
        <v>0</v>
      </c>
      <c r="D18" s="1"/>
      <c r="E18" s="564">
        <f t="shared" ref="E18:E37" si="26">IF((D18-D17)&lt;0,"0",(D18-D17))</f>
        <v>0</v>
      </c>
      <c r="F18" s="98">
        <f t="shared" si="2"/>
        <v>0</v>
      </c>
      <c r="G18" s="455"/>
      <c r="H18" s="564">
        <f t="shared" si="3"/>
        <v>0</v>
      </c>
      <c r="I18" s="98"/>
      <c r="J18" s="1"/>
      <c r="K18" s="564">
        <f t="shared" si="5"/>
        <v>0</v>
      </c>
      <c r="L18" s="98">
        <f t="shared" si="6"/>
        <v>0</v>
      </c>
      <c r="M18" s="1"/>
      <c r="N18" s="564">
        <f t="shared" si="7"/>
        <v>0</v>
      </c>
      <c r="O18" s="98">
        <f t="shared" si="8"/>
        <v>0</v>
      </c>
      <c r="P18" s="451"/>
      <c r="Q18" s="564">
        <f t="shared" si="9"/>
        <v>0</v>
      </c>
      <c r="R18" s="299"/>
      <c r="S18" s="294">
        <f t="shared" si="16"/>
        <v>0</v>
      </c>
      <c r="T18" s="452"/>
      <c r="U18" s="565">
        <f t="shared" si="17"/>
        <v>0</v>
      </c>
      <c r="V18" s="294">
        <f t="shared" si="10"/>
        <v>0</v>
      </c>
      <c r="W18" s="452"/>
      <c r="X18" s="565">
        <f t="shared" si="18"/>
        <v>0</v>
      </c>
      <c r="Y18" s="294">
        <f t="shared" si="11"/>
        <v>0</v>
      </c>
      <c r="Z18" s="452"/>
      <c r="AA18" s="565">
        <f t="shared" si="19"/>
        <v>0</v>
      </c>
      <c r="AB18" s="294">
        <f t="shared" si="12"/>
        <v>0</v>
      </c>
      <c r="AC18" s="569"/>
      <c r="AD18" s="565">
        <f t="shared" si="20"/>
        <v>0</v>
      </c>
      <c r="AE18" s="294">
        <f t="shared" si="13"/>
        <v>0</v>
      </c>
      <c r="AF18" s="453"/>
      <c r="AG18" s="565">
        <f t="shared" si="21"/>
        <v>0</v>
      </c>
      <c r="AH18" s="294">
        <f>AI17</f>
        <v>0</v>
      </c>
      <c r="AI18" s="618"/>
      <c r="AJ18" s="565">
        <f>IF((AI19-AI17)&lt;0,"0",(AI19-AI17))</f>
        <v>0</v>
      </c>
      <c r="AK18" s="374">
        <f t="shared" si="15"/>
        <v>0</v>
      </c>
      <c r="AL18" s="452"/>
      <c r="AM18" s="565">
        <f t="shared" ref="AM18:AM26" si="27">IF((AL18-AL17)&lt;0,"0",(AL18-AL17))</f>
        <v>0</v>
      </c>
      <c r="AN18" s="457">
        <f t="shared" si="24"/>
        <v>0</v>
      </c>
    </row>
    <row r="19" spans="1:40" ht="23.1" customHeight="1">
      <c r="A19" s="58">
        <f>Gen!B24</f>
        <v>43996</v>
      </c>
      <c r="B19" s="4"/>
      <c r="C19" s="98">
        <f t="shared" si="0"/>
        <v>0</v>
      </c>
      <c r="D19" s="1"/>
      <c r="E19" s="564">
        <f t="shared" si="26"/>
        <v>0</v>
      </c>
      <c r="F19" s="98">
        <f t="shared" si="2"/>
        <v>0</v>
      </c>
      <c r="G19" s="455"/>
      <c r="H19" s="564">
        <f t="shared" si="3"/>
        <v>0</v>
      </c>
      <c r="I19" s="98">
        <f t="shared" si="4"/>
        <v>0</v>
      </c>
      <c r="J19" s="1"/>
      <c r="K19" s="564">
        <f t="shared" si="5"/>
        <v>0</v>
      </c>
      <c r="L19" s="98">
        <f t="shared" si="6"/>
        <v>0</v>
      </c>
      <c r="M19" s="1"/>
      <c r="N19" s="564">
        <f t="shared" si="7"/>
        <v>0</v>
      </c>
      <c r="O19" s="98">
        <f t="shared" si="8"/>
        <v>0</v>
      </c>
      <c r="P19" s="451"/>
      <c r="Q19" s="564">
        <f t="shared" si="9"/>
        <v>0</v>
      </c>
      <c r="R19" s="299"/>
      <c r="S19" s="294">
        <f t="shared" si="16"/>
        <v>0</v>
      </c>
      <c r="T19" s="452"/>
      <c r="U19" s="565">
        <f t="shared" si="17"/>
        <v>0</v>
      </c>
      <c r="V19" s="294">
        <f t="shared" si="10"/>
        <v>0</v>
      </c>
      <c r="W19" s="452"/>
      <c r="X19" s="565">
        <f t="shared" si="18"/>
        <v>0</v>
      </c>
      <c r="Y19" s="294">
        <f t="shared" si="11"/>
        <v>0</v>
      </c>
      <c r="Z19" s="452"/>
      <c r="AA19" s="565">
        <f t="shared" si="19"/>
        <v>0</v>
      </c>
      <c r="AB19" s="294">
        <f t="shared" si="12"/>
        <v>0</v>
      </c>
      <c r="AC19" s="569"/>
      <c r="AD19" s="565">
        <f t="shared" si="20"/>
        <v>0</v>
      </c>
      <c r="AE19" s="294">
        <f t="shared" si="13"/>
        <v>0</v>
      </c>
      <c r="AF19" s="453"/>
      <c r="AG19" s="565">
        <f t="shared" si="21"/>
        <v>0</v>
      </c>
      <c r="AH19" s="294">
        <f>AI18</f>
        <v>0</v>
      </c>
      <c r="AI19" s="618"/>
      <c r="AJ19" s="565">
        <f>IF((AI20-AI18)&lt;0,"0",(AI20-AI18))</f>
        <v>0</v>
      </c>
      <c r="AK19" s="374">
        <f t="shared" si="15"/>
        <v>0</v>
      </c>
      <c r="AL19" s="452"/>
      <c r="AM19" s="565">
        <f t="shared" si="27"/>
        <v>0</v>
      </c>
      <c r="AN19" s="457">
        <f t="shared" si="24"/>
        <v>0</v>
      </c>
    </row>
    <row r="20" spans="1:40" ht="23.1" customHeight="1">
      <c r="A20" s="58">
        <f>Gen!B25</f>
        <v>43997</v>
      </c>
      <c r="B20" s="4"/>
      <c r="C20" s="98">
        <f t="shared" si="0"/>
        <v>0</v>
      </c>
      <c r="D20" s="1"/>
      <c r="E20" s="564">
        <f t="shared" si="26"/>
        <v>0</v>
      </c>
      <c r="F20" s="98">
        <f t="shared" si="2"/>
        <v>0</v>
      </c>
      <c r="G20" s="455"/>
      <c r="H20" s="564">
        <f t="shared" si="3"/>
        <v>0</v>
      </c>
      <c r="I20" s="98">
        <f t="shared" si="4"/>
        <v>0</v>
      </c>
      <c r="J20" s="1"/>
      <c r="K20" s="564">
        <f t="shared" si="5"/>
        <v>0</v>
      </c>
      <c r="L20" s="98">
        <f t="shared" si="6"/>
        <v>0</v>
      </c>
      <c r="M20" s="1"/>
      <c r="N20" s="564">
        <f t="shared" si="7"/>
        <v>0</v>
      </c>
      <c r="O20" s="98">
        <f t="shared" si="8"/>
        <v>0</v>
      </c>
      <c r="P20" s="451"/>
      <c r="Q20" s="564">
        <f t="shared" si="9"/>
        <v>0</v>
      </c>
      <c r="R20" s="299"/>
      <c r="S20" s="294">
        <f t="shared" si="16"/>
        <v>0</v>
      </c>
      <c r="T20" s="452"/>
      <c r="U20" s="565">
        <f t="shared" si="17"/>
        <v>0</v>
      </c>
      <c r="V20" s="294">
        <f t="shared" si="10"/>
        <v>0</v>
      </c>
      <c r="W20" s="452"/>
      <c r="X20" s="565">
        <f t="shared" si="18"/>
        <v>0</v>
      </c>
      <c r="Y20" s="294">
        <f t="shared" si="11"/>
        <v>0</v>
      </c>
      <c r="Z20" s="452"/>
      <c r="AA20" s="565">
        <f t="shared" si="19"/>
        <v>0</v>
      </c>
      <c r="AB20" s="294">
        <f t="shared" si="12"/>
        <v>0</v>
      </c>
      <c r="AC20" s="569"/>
      <c r="AD20" s="565">
        <f t="shared" si="20"/>
        <v>0</v>
      </c>
      <c r="AE20" s="294">
        <f t="shared" si="13"/>
        <v>0</v>
      </c>
      <c r="AF20" s="453"/>
      <c r="AG20" s="565">
        <f t="shared" si="21"/>
        <v>0</v>
      </c>
      <c r="AH20" s="294">
        <f t="shared" si="14"/>
        <v>0</v>
      </c>
      <c r="AI20" s="618"/>
      <c r="AJ20" s="565">
        <f t="shared" si="23"/>
        <v>0</v>
      </c>
      <c r="AK20" s="374">
        <f t="shared" si="15"/>
        <v>0</v>
      </c>
      <c r="AL20" s="452"/>
      <c r="AM20" s="565">
        <f t="shared" si="27"/>
        <v>0</v>
      </c>
      <c r="AN20" s="457">
        <f t="shared" si="24"/>
        <v>0</v>
      </c>
    </row>
    <row r="21" spans="1:40" ht="23.1" customHeight="1">
      <c r="A21" s="58">
        <f>Gen!B26</f>
        <v>43998</v>
      </c>
      <c r="B21" s="4"/>
      <c r="C21" s="98">
        <f t="shared" si="0"/>
        <v>0</v>
      </c>
      <c r="D21" s="1"/>
      <c r="E21" s="564">
        <f t="shared" si="26"/>
        <v>0</v>
      </c>
      <c r="F21" s="98">
        <f t="shared" si="2"/>
        <v>0</v>
      </c>
      <c r="G21" s="455"/>
      <c r="H21" s="564">
        <f t="shared" si="3"/>
        <v>0</v>
      </c>
      <c r="I21" s="98">
        <f t="shared" si="4"/>
        <v>0</v>
      </c>
      <c r="J21" s="1"/>
      <c r="K21" s="564">
        <f t="shared" si="5"/>
        <v>0</v>
      </c>
      <c r="L21" s="98">
        <f t="shared" si="6"/>
        <v>0</v>
      </c>
      <c r="M21" s="1"/>
      <c r="N21" s="564">
        <f t="shared" si="7"/>
        <v>0</v>
      </c>
      <c r="O21" s="98">
        <f t="shared" si="8"/>
        <v>0</v>
      </c>
      <c r="P21" s="451"/>
      <c r="Q21" s="564">
        <f t="shared" si="9"/>
        <v>0</v>
      </c>
      <c r="R21" s="299"/>
      <c r="S21" s="294">
        <f t="shared" si="16"/>
        <v>0</v>
      </c>
      <c r="T21" s="452"/>
      <c r="U21" s="565">
        <f t="shared" si="17"/>
        <v>0</v>
      </c>
      <c r="V21" s="294">
        <f t="shared" ref="V21:V37" si="28">W20</f>
        <v>0</v>
      </c>
      <c r="W21" s="452"/>
      <c r="X21" s="565">
        <f t="shared" si="18"/>
        <v>0</v>
      </c>
      <c r="Y21" s="294">
        <f t="shared" si="11"/>
        <v>0</v>
      </c>
      <c r="Z21" s="452"/>
      <c r="AA21" s="565">
        <f t="shared" si="19"/>
        <v>0</v>
      </c>
      <c r="AB21" s="294">
        <f t="shared" si="12"/>
        <v>0</v>
      </c>
      <c r="AC21" s="569"/>
      <c r="AD21" s="565">
        <f t="shared" si="20"/>
        <v>0</v>
      </c>
      <c r="AE21" s="294">
        <f t="shared" si="13"/>
        <v>0</v>
      </c>
      <c r="AF21" s="453"/>
      <c r="AG21" s="565">
        <f t="shared" si="21"/>
        <v>0</v>
      </c>
      <c r="AH21" s="294">
        <f t="shared" si="14"/>
        <v>0</v>
      </c>
      <c r="AI21" s="618"/>
      <c r="AJ21" s="565">
        <f t="shared" si="23"/>
        <v>0</v>
      </c>
      <c r="AK21" s="374">
        <f t="shared" si="15"/>
        <v>0</v>
      </c>
      <c r="AL21" s="452"/>
      <c r="AM21" s="565">
        <f t="shared" si="27"/>
        <v>0</v>
      </c>
      <c r="AN21" s="457">
        <f t="shared" si="24"/>
        <v>0</v>
      </c>
    </row>
    <row r="22" spans="1:40" ht="23.1" customHeight="1">
      <c r="A22" s="58">
        <f>Gen!B27</f>
        <v>43999</v>
      </c>
      <c r="B22" s="4"/>
      <c r="C22" s="98">
        <f t="shared" si="0"/>
        <v>0</v>
      </c>
      <c r="D22" s="1"/>
      <c r="E22" s="564">
        <f t="shared" si="26"/>
        <v>0</v>
      </c>
      <c r="F22" s="98">
        <f t="shared" si="2"/>
        <v>0</v>
      </c>
      <c r="G22" s="455"/>
      <c r="H22" s="564">
        <f t="shared" si="3"/>
        <v>0</v>
      </c>
      <c r="I22" s="98">
        <f t="shared" si="4"/>
        <v>0</v>
      </c>
      <c r="J22" s="1"/>
      <c r="K22" s="564">
        <f t="shared" si="5"/>
        <v>0</v>
      </c>
      <c r="L22" s="98">
        <f t="shared" si="6"/>
        <v>0</v>
      </c>
      <c r="M22" s="1"/>
      <c r="N22" s="564">
        <f t="shared" si="7"/>
        <v>0</v>
      </c>
      <c r="O22" s="98">
        <f t="shared" si="8"/>
        <v>0</v>
      </c>
      <c r="P22" s="451"/>
      <c r="Q22" s="564">
        <f t="shared" si="9"/>
        <v>0</v>
      </c>
      <c r="R22" s="299"/>
      <c r="S22" s="294">
        <f t="shared" si="16"/>
        <v>0</v>
      </c>
      <c r="T22" s="452"/>
      <c r="U22" s="565">
        <f t="shared" si="17"/>
        <v>0</v>
      </c>
      <c r="V22" s="294">
        <f t="shared" si="28"/>
        <v>0</v>
      </c>
      <c r="W22" s="452"/>
      <c r="X22" s="565">
        <f t="shared" si="18"/>
        <v>0</v>
      </c>
      <c r="Y22" s="294">
        <f t="shared" si="11"/>
        <v>0</v>
      </c>
      <c r="Z22" s="452"/>
      <c r="AA22" s="565">
        <f t="shared" si="19"/>
        <v>0</v>
      </c>
      <c r="AB22" s="294">
        <f t="shared" si="12"/>
        <v>0</v>
      </c>
      <c r="AC22" s="569"/>
      <c r="AD22" s="565">
        <f t="shared" si="20"/>
        <v>0</v>
      </c>
      <c r="AE22" s="294">
        <f t="shared" si="13"/>
        <v>0</v>
      </c>
      <c r="AF22" s="453"/>
      <c r="AG22" s="565">
        <f t="shared" si="21"/>
        <v>0</v>
      </c>
      <c r="AH22" s="294">
        <f t="shared" si="14"/>
        <v>0</v>
      </c>
      <c r="AI22" s="453"/>
      <c r="AJ22" s="565">
        <f t="shared" si="23"/>
        <v>0</v>
      </c>
      <c r="AK22" s="374">
        <f t="shared" si="15"/>
        <v>0</v>
      </c>
      <c r="AL22" s="452"/>
      <c r="AM22" s="565">
        <f t="shared" si="27"/>
        <v>0</v>
      </c>
      <c r="AN22" s="457">
        <f t="shared" si="24"/>
        <v>0</v>
      </c>
    </row>
    <row r="23" spans="1:40" ht="23.1" customHeight="1">
      <c r="A23" s="58">
        <f>Gen!B28</f>
        <v>44000</v>
      </c>
      <c r="B23" s="4"/>
      <c r="C23" s="98">
        <f t="shared" si="0"/>
        <v>0</v>
      </c>
      <c r="D23" s="1"/>
      <c r="E23" s="564">
        <f t="shared" si="26"/>
        <v>0</v>
      </c>
      <c r="F23" s="98">
        <f t="shared" si="2"/>
        <v>0</v>
      </c>
      <c r="G23" s="455"/>
      <c r="H23" s="564">
        <f t="shared" si="3"/>
        <v>0</v>
      </c>
      <c r="I23" s="98">
        <f t="shared" si="4"/>
        <v>0</v>
      </c>
      <c r="J23" s="1"/>
      <c r="K23" s="564">
        <f t="shared" si="5"/>
        <v>0</v>
      </c>
      <c r="L23" s="98">
        <f t="shared" si="6"/>
        <v>0</v>
      </c>
      <c r="M23" s="1"/>
      <c r="N23" s="564">
        <f t="shared" si="7"/>
        <v>0</v>
      </c>
      <c r="O23" s="98">
        <f t="shared" si="8"/>
        <v>0</v>
      </c>
      <c r="P23" s="451"/>
      <c r="Q23" s="564">
        <f t="shared" si="9"/>
        <v>0</v>
      </c>
      <c r="R23" s="299"/>
      <c r="S23" s="294">
        <f t="shared" si="16"/>
        <v>0</v>
      </c>
      <c r="T23" s="452"/>
      <c r="U23" s="565">
        <f t="shared" si="17"/>
        <v>0</v>
      </c>
      <c r="V23" s="294">
        <f t="shared" si="28"/>
        <v>0</v>
      </c>
      <c r="W23" s="452"/>
      <c r="X23" s="565">
        <f t="shared" si="18"/>
        <v>0</v>
      </c>
      <c r="Y23" s="294">
        <f t="shared" si="11"/>
        <v>0</v>
      </c>
      <c r="Z23" s="452"/>
      <c r="AA23" s="565">
        <f t="shared" si="19"/>
        <v>0</v>
      </c>
      <c r="AB23" s="294">
        <f t="shared" si="12"/>
        <v>0</v>
      </c>
      <c r="AC23" s="295"/>
      <c r="AD23" s="565">
        <f t="shared" si="20"/>
        <v>0</v>
      </c>
      <c r="AE23" s="294">
        <f t="shared" si="13"/>
        <v>0</v>
      </c>
      <c r="AF23" s="453"/>
      <c r="AG23" s="565">
        <f t="shared" si="21"/>
        <v>0</v>
      </c>
      <c r="AH23" s="294">
        <f t="shared" si="14"/>
        <v>0</v>
      </c>
      <c r="AI23" s="453"/>
      <c r="AJ23" s="565">
        <f t="shared" si="23"/>
        <v>0</v>
      </c>
      <c r="AK23" s="374">
        <f t="shared" si="15"/>
        <v>0</v>
      </c>
      <c r="AL23" s="452"/>
      <c r="AM23" s="565">
        <f t="shared" si="27"/>
        <v>0</v>
      </c>
      <c r="AN23" s="457">
        <f t="shared" si="24"/>
        <v>0</v>
      </c>
    </row>
    <row r="24" spans="1:40" ht="23.1" customHeight="1">
      <c r="A24" s="58">
        <f>Gen!B29</f>
        <v>44001</v>
      </c>
      <c r="B24" s="4"/>
      <c r="C24" s="98">
        <f t="shared" si="0"/>
        <v>0</v>
      </c>
      <c r="D24" s="1"/>
      <c r="E24" s="564">
        <f t="shared" si="26"/>
        <v>0</v>
      </c>
      <c r="F24" s="98">
        <f t="shared" si="2"/>
        <v>0</v>
      </c>
      <c r="G24" s="455"/>
      <c r="H24" s="564">
        <f t="shared" si="3"/>
        <v>0</v>
      </c>
      <c r="I24" s="98">
        <f t="shared" si="4"/>
        <v>0</v>
      </c>
      <c r="J24" s="1"/>
      <c r="K24" s="564">
        <f t="shared" si="5"/>
        <v>0</v>
      </c>
      <c r="L24" s="98">
        <f t="shared" si="6"/>
        <v>0</v>
      </c>
      <c r="M24" s="1"/>
      <c r="N24" s="564">
        <f t="shared" si="7"/>
        <v>0</v>
      </c>
      <c r="O24" s="98">
        <f t="shared" si="8"/>
        <v>0</v>
      </c>
      <c r="P24" s="451"/>
      <c r="Q24" s="564">
        <f t="shared" si="9"/>
        <v>0</v>
      </c>
      <c r="R24" s="299"/>
      <c r="S24" s="294">
        <f t="shared" si="16"/>
        <v>0</v>
      </c>
      <c r="T24" s="452"/>
      <c r="U24" s="565">
        <f t="shared" si="17"/>
        <v>0</v>
      </c>
      <c r="V24" s="294">
        <f t="shared" si="28"/>
        <v>0</v>
      </c>
      <c r="W24" s="452"/>
      <c r="X24" s="565">
        <f t="shared" si="18"/>
        <v>0</v>
      </c>
      <c r="Y24" s="294">
        <f t="shared" si="11"/>
        <v>0</v>
      </c>
      <c r="Z24" s="452"/>
      <c r="AA24" s="565">
        <f t="shared" si="19"/>
        <v>0</v>
      </c>
      <c r="AB24" s="294">
        <f t="shared" si="12"/>
        <v>0</v>
      </c>
      <c r="AC24" s="295"/>
      <c r="AD24" s="565">
        <f t="shared" si="20"/>
        <v>0</v>
      </c>
      <c r="AE24" s="294">
        <f t="shared" si="13"/>
        <v>0</v>
      </c>
      <c r="AF24" s="453"/>
      <c r="AG24" s="565">
        <f t="shared" si="21"/>
        <v>0</v>
      </c>
      <c r="AH24" s="294">
        <f t="shared" si="14"/>
        <v>0</v>
      </c>
      <c r="AI24" s="453"/>
      <c r="AJ24" s="565">
        <f t="shared" si="23"/>
        <v>0</v>
      </c>
      <c r="AK24" s="374">
        <f t="shared" si="15"/>
        <v>0</v>
      </c>
      <c r="AL24" s="452"/>
      <c r="AM24" s="565">
        <f t="shared" si="27"/>
        <v>0</v>
      </c>
      <c r="AN24" s="457">
        <f t="shared" si="24"/>
        <v>0</v>
      </c>
    </row>
    <row r="25" spans="1:40" ht="23.1" customHeight="1">
      <c r="A25" s="58">
        <f>Gen!B30</f>
        <v>44002</v>
      </c>
      <c r="B25" s="4"/>
      <c r="C25" s="98">
        <f>D24</f>
        <v>0</v>
      </c>
      <c r="D25" s="1"/>
      <c r="E25" s="564">
        <f t="shared" si="26"/>
        <v>0</v>
      </c>
      <c r="F25" s="98">
        <f t="shared" si="2"/>
        <v>0</v>
      </c>
      <c r="G25" s="455"/>
      <c r="H25" s="564">
        <f t="shared" si="3"/>
        <v>0</v>
      </c>
      <c r="I25" s="98">
        <f t="shared" ref="I25:I37" si="29">J24</f>
        <v>0</v>
      </c>
      <c r="J25" s="1"/>
      <c r="K25" s="564">
        <f t="shared" si="5"/>
        <v>0</v>
      </c>
      <c r="L25" s="98">
        <f t="shared" ref="L25:L37" si="30">M24</f>
        <v>0</v>
      </c>
      <c r="M25" s="1"/>
      <c r="N25" s="564">
        <f t="shared" ref="N25:N37" si="31">IF((M25-M24)&lt;0,"0",(M25-M24))</f>
        <v>0</v>
      </c>
      <c r="O25" s="98">
        <f t="shared" ref="O25:O37" si="32">P24</f>
        <v>0</v>
      </c>
      <c r="P25" s="451"/>
      <c r="Q25" s="564">
        <f t="shared" ref="Q25:Q37" si="33">IF((P25-P24)&lt;0,"0",(P25-P24))</f>
        <v>0</v>
      </c>
      <c r="R25" s="299"/>
      <c r="S25" s="294">
        <f t="shared" ref="S25:S37" si="34">T24</f>
        <v>0</v>
      </c>
      <c r="T25" s="452"/>
      <c r="U25" s="565">
        <f t="shared" ref="U25:U37" si="35">IF((T25-T24)&lt;0,"0",(T25-T24))</f>
        <v>0</v>
      </c>
      <c r="V25" s="294">
        <f t="shared" si="28"/>
        <v>0</v>
      </c>
      <c r="W25" s="452"/>
      <c r="X25" s="565">
        <f t="shared" si="18"/>
        <v>0</v>
      </c>
      <c r="Y25" s="294">
        <f t="shared" si="11"/>
        <v>0</v>
      </c>
      <c r="Z25" s="452"/>
      <c r="AA25" s="565">
        <f t="shared" si="19"/>
        <v>0</v>
      </c>
      <c r="AB25" s="294">
        <f t="shared" si="12"/>
        <v>0</v>
      </c>
      <c r="AC25" s="295"/>
      <c r="AD25" s="565">
        <f t="shared" si="20"/>
        <v>0</v>
      </c>
      <c r="AE25" s="294">
        <f t="shared" si="13"/>
        <v>0</v>
      </c>
      <c r="AF25" s="453"/>
      <c r="AG25" s="565">
        <f t="shared" si="21"/>
        <v>0</v>
      </c>
      <c r="AH25" s="294">
        <f t="shared" si="14"/>
        <v>0</v>
      </c>
      <c r="AI25" s="453"/>
      <c r="AJ25" s="565">
        <f t="shared" si="23"/>
        <v>0</v>
      </c>
      <c r="AK25" s="374">
        <f t="shared" si="15"/>
        <v>0</v>
      </c>
      <c r="AL25" s="452"/>
      <c r="AM25" s="565">
        <f t="shared" si="27"/>
        <v>0</v>
      </c>
      <c r="AN25" s="457">
        <f t="shared" si="24"/>
        <v>0</v>
      </c>
    </row>
    <row r="26" spans="1:40" ht="23.1" customHeight="1">
      <c r="A26" s="58">
        <f>Gen!B31</f>
        <v>44003</v>
      </c>
      <c r="B26" s="4"/>
      <c r="C26" s="98">
        <f>D25</f>
        <v>0</v>
      </c>
      <c r="D26" s="1"/>
      <c r="E26" s="564">
        <f t="shared" si="26"/>
        <v>0</v>
      </c>
      <c r="F26" s="98">
        <f t="shared" si="2"/>
        <v>0</v>
      </c>
      <c r="G26" s="455"/>
      <c r="H26" s="564">
        <f t="shared" ref="H26:H37" si="36">IF((G26-G25)&lt;0,"0",(G26-G25))</f>
        <v>0</v>
      </c>
      <c r="I26" s="98">
        <f t="shared" si="29"/>
        <v>0</v>
      </c>
      <c r="J26" s="1"/>
      <c r="K26" s="564">
        <f t="shared" si="5"/>
        <v>0</v>
      </c>
      <c r="L26" s="98">
        <f t="shared" si="30"/>
        <v>0</v>
      </c>
      <c r="M26" s="1"/>
      <c r="N26" s="564">
        <f t="shared" si="31"/>
        <v>0</v>
      </c>
      <c r="O26" s="98">
        <f t="shared" si="32"/>
        <v>0</v>
      </c>
      <c r="P26" s="451"/>
      <c r="Q26" s="564">
        <f t="shared" si="33"/>
        <v>0</v>
      </c>
      <c r="R26" s="299"/>
      <c r="S26" s="294">
        <f t="shared" si="34"/>
        <v>0</v>
      </c>
      <c r="T26" s="452"/>
      <c r="U26" s="565">
        <f t="shared" si="35"/>
        <v>0</v>
      </c>
      <c r="V26" s="294">
        <f t="shared" si="28"/>
        <v>0</v>
      </c>
      <c r="W26" s="452"/>
      <c r="X26" s="565">
        <f t="shared" si="18"/>
        <v>0</v>
      </c>
      <c r="Y26" s="294">
        <f t="shared" si="11"/>
        <v>0</v>
      </c>
      <c r="Z26" s="452"/>
      <c r="AA26" s="565">
        <f t="shared" si="19"/>
        <v>0</v>
      </c>
      <c r="AB26" s="294">
        <f t="shared" si="12"/>
        <v>0</v>
      </c>
      <c r="AC26" s="295"/>
      <c r="AD26" s="565">
        <f t="shared" si="20"/>
        <v>0</v>
      </c>
      <c r="AE26" s="294">
        <f t="shared" si="13"/>
        <v>0</v>
      </c>
      <c r="AF26" s="453"/>
      <c r="AG26" s="565">
        <f t="shared" si="21"/>
        <v>0</v>
      </c>
      <c r="AH26" s="294">
        <f t="shared" si="14"/>
        <v>0</v>
      </c>
      <c r="AI26" s="453"/>
      <c r="AJ26" s="565">
        <f t="shared" si="23"/>
        <v>0</v>
      </c>
      <c r="AK26" s="374">
        <f t="shared" si="15"/>
        <v>0</v>
      </c>
      <c r="AL26" s="452"/>
      <c r="AM26" s="565">
        <f t="shared" si="27"/>
        <v>0</v>
      </c>
      <c r="AN26" s="457">
        <f t="shared" si="24"/>
        <v>0</v>
      </c>
    </row>
    <row r="27" spans="1:40" ht="23.1" customHeight="1">
      <c r="A27" s="58">
        <f>Gen!B32</f>
        <v>44004</v>
      </c>
      <c r="B27" s="4"/>
      <c r="C27" s="98">
        <f>D26</f>
        <v>0</v>
      </c>
      <c r="D27" s="1"/>
      <c r="E27" s="564">
        <f t="shared" si="26"/>
        <v>0</v>
      </c>
      <c r="F27" s="98">
        <f t="shared" si="2"/>
        <v>0</v>
      </c>
      <c r="G27" s="455"/>
      <c r="H27" s="564">
        <f t="shared" si="36"/>
        <v>0</v>
      </c>
      <c r="I27" s="98">
        <f t="shared" si="29"/>
        <v>0</v>
      </c>
      <c r="J27" s="1"/>
      <c r="K27" s="564">
        <f t="shared" si="5"/>
        <v>0</v>
      </c>
      <c r="L27" s="98">
        <f t="shared" si="30"/>
        <v>0</v>
      </c>
      <c r="M27" s="1"/>
      <c r="N27" s="564">
        <f t="shared" si="31"/>
        <v>0</v>
      </c>
      <c r="O27" s="98">
        <f t="shared" si="32"/>
        <v>0</v>
      </c>
      <c r="P27" s="451"/>
      <c r="Q27" s="564">
        <f t="shared" si="33"/>
        <v>0</v>
      </c>
      <c r="R27" s="299"/>
      <c r="S27" s="294">
        <f t="shared" si="34"/>
        <v>0</v>
      </c>
      <c r="T27" s="452"/>
      <c r="U27" s="565">
        <f t="shared" si="35"/>
        <v>0</v>
      </c>
      <c r="V27" s="294">
        <f t="shared" si="28"/>
        <v>0</v>
      </c>
      <c r="W27" s="452"/>
      <c r="X27" s="565">
        <f t="shared" si="18"/>
        <v>0</v>
      </c>
      <c r="Y27" s="294">
        <f t="shared" si="11"/>
        <v>0</v>
      </c>
      <c r="Z27" s="452"/>
      <c r="AA27" s="565">
        <f t="shared" si="19"/>
        <v>0</v>
      </c>
      <c r="AB27" s="294">
        <f t="shared" si="12"/>
        <v>0</v>
      </c>
      <c r="AC27" s="295"/>
      <c r="AD27" s="565">
        <f t="shared" si="20"/>
        <v>0</v>
      </c>
      <c r="AE27" s="294">
        <f t="shared" si="13"/>
        <v>0</v>
      </c>
      <c r="AF27" s="453"/>
      <c r="AG27" s="565">
        <f t="shared" si="21"/>
        <v>0</v>
      </c>
      <c r="AH27" s="294">
        <f t="shared" si="14"/>
        <v>0</v>
      </c>
      <c r="AI27" s="453"/>
      <c r="AJ27" s="565">
        <f t="shared" si="23"/>
        <v>0</v>
      </c>
      <c r="AK27" s="374">
        <f t="shared" si="15"/>
        <v>0</v>
      </c>
      <c r="AL27" s="452"/>
      <c r="AM27" s="565">
        <f t="shared" si="22"/>
        <v>0</v>
      </c>
      <c r="AN27" s="457">
        <f t="shared" si="24"/>
        <v>0</v>
      </c>
    </row>
    <row r="28" spans="1:40" ht="23.1" customHeight="1">
      <c r="A28" s="58">
        <f>Gen!B33</f>
        <v>44005</v>
      </c>
      <c r="B28" s="4"/>
      <c r="C28" s="98">
        <f t="shared" ref="C28:C37" si="37">D27</f>
        <v>0</v>
      </c>
      <c r="D28" s="1"/>
      <c r="E28" s="564">
        <f t="shared" si="26"/>
        <v>0</v>
      </c>
      <c r="F28" s="98">
        <f t="shared" si="2"/>
        <v>0</v>
      </c>
      <c r="G28" s="455"/>
      <c r="H28" s="564">
        <f t="shared" si="36"/>
        <v>0</v>
      </c>
      <c r="I28" s="98">
        <f t="shared" si="29"/>
        <v>0</v>
      </c>
      <c r="J28" s="1"/>
      <c r="K28" s="564">
        <f>IF((J28-J27)&lt;0,"0",(J28-J27))</f>
        <v>0</v>
      </c>
      <c r="L28" s="98">
        <f t="shared" si="30"/>
        <v>0</v>
      </c>
      <c r="M28" s="1"/>
      <c r="N28" s="564">
        <f t="shared" si="31"/>
        <v>0</v>
      </c>
      <c r="O28" s="98">
        <f t="shared" si="32"/>
        <v>0</v>
      </c>
      <c r="P28" s="451"/>
      <c r="Q28" s="564">
        <f t="shared" si="33"/>
        <v>0</v>
      </c>
      <c r="R28" s="299"/>
      <c r="S28" s="294">
        <f t="shared" si="34"/>
        <v>0</v>
      </c>
      <c r="T28" s="452"/>
      <c r="U28" s="565">
        <f t="shared" si="35"/>
        <v>0</v>
      </c>
      <c r="V28" s="294">
        <f t="shared" si="28"/>
        <v>0</v>
      </c>
      <c r="W28" s="452"/>
      <c r="X28" s="565">
        <f t="shared" si="18"/>
        <v>0</v>
      </c>
      <c r="Y28" s="294">
        <f t="shared" si="11"/>
        <v>0</v>
      </c>
      <c r="Z28" s="452"/>
      <c r="AA28" s="565">
        <f t="shared" si="19"/>
        <v>0</v>
      </c>
      <c r="AB28" s="294">
        <f t="shared" si="12"/>
        <v>0</v>
      </c>
      <c r="AC28" s="295"/>
      <c r="AD28" s="565">
        <f t="shared" si="20"/>
        <v>0</v>
      </c>
      <c r="AE28" s="294">
        <f t="shared" si="13"/>
        <v>0</v>
      </c>
      <c r="AF28" s="453"/>
      <c r="AG28" s="565">
        <f t="shared" si="21"/>
        <v>0</v>
      </c>
      <c r="AH28" s="294">
        <f t="shared" si="14"/>
        <v>0</v>
      </c>
      <c r="AI28" s="453"/>
      <c r="AJ28" s="565">
        <f t="shared" si="23"/>
        <v>0</v>
      </c>
      <c r="AK28" s="374">
        <f t="shared" si="15"/>
        <v>0</v>
      </c>
      <c r="AL28" s="452"/>
      <c r="AM28" s="565">
        <f t="shared" si="22"/>
        <v>0</v>
      </c>
      <c r="AN28" s="457">
        <f t="shared" si="24"/>
        <v>0</v>
      </c>
    </row>
    <row r="29" spans="1:40" ht="23.1" customHeight="1">
      <c r="A29" s="58">
        <f>Gen!B34</f>
        <v>44006</v>
      </c>
      <c r="B29" s="4"/>
      <c r="C29" s="98">
        <f t="shared" si="37"/>
        <v>0</v>
      </c>
      <c r="D29" s="1"/>
      <c r="E29" s="564">
        <f t="shared" si="26"/>
        <v>0</v>
      </c>
      <c r="F29" s="98">
        <f t="shared" si="2"/>
        <v>0</v>
      </c>
      <c r="G29" s="455"/>
      <c r="H29" s="564">
        <f t="shared" si="36"/>
        <v>0</v>
      </c>
      <c r="I29" s="98">
        <f t="shared" si="29"/>
        <v>0</v>
      </c>
      <c r="J29" s="1"/>
      <c r="K29" s="564">
        <f t="shared" ref="K29:K37" si="38">IF((J29-J28)&lt;0,"0",(J29-J28))</f>
        <v>0</v>
      </c>
      <c r="L29" s="98">
        <f t="shared" si="30"/>
        <v>0</v>
      </c>
      <c r="M29" s="1"/>
      <c r="N29" s="564">
        <f t="shared" si="31"/>
        <v>0</v>
      </c>
      <c r="O29" s="98">
        <f t="shared" si="32"/>
        <v>0</v>
      </c>
      <c r="P29" s="451"/>
      <c r="Q29" s="564">
        <f t="shared" si="33"/>
        <v>0</v>
      </c>
      <c r="R29" s="299"/>
      <c r="S29" s="294">
        <f t="shared" si="34"/>
        <v>0</v>
      </c>
      <c r="T29" s="452"/>
      <c r="U29" s="565">
        <f t="shared" si="35"/>
        <v>0</v>
      </c>
      <c r="V29" s="294">
        <f t="shared" si="28"/>
        <v>0</v>
      </c>
      <c r="W29" s="452"/>
      <c r="X29" s="565">
        <f t="shared" si="18"/>
        <v>0</v>
      </c>
      <c r="Y29" s="294">
        <f t="shared" si="11"/>
        <v>0</v>
      </c>
      <c r="Z29" s="452"/>
      <c r="AA29" s="565">
        <f t="shared" si="19"/>
        <v>0</v>
      </c>
      <c r="AB29" s="294">
        <f t="shared" si="12"/>
        <v>0</v>
      </c>
      <c r="AC29" s="295"/>
      <c r="AD29" s="565">
        <f t="shared" si="20"/>
        <v>0</v>
      </c>
      <c r="AE29" s="294">
        <f t="shared" si="13"/>
        <v>0</v>
      </c>
      <c r="AF29" s="453"/>
      <c r="AG29" s="565">
        <f t="shared" si="21"/>
        <v>0</v>
      </c>
      <c r="AH29" s="294">
        <f t="shared" si="14"/>
        <v>0</v>
      </c>
      <c r="AI29" s="453"/>
      <c r="AJ29" s="565">
        <f t="shared" si="23"/>
        <v>0</v>
      </c>
      <c r="AK29" s="374">
        <f t="shared" si="15"/>
        <v>0</v>
      </c>
      <c r="AL29" s="452"/>
      <c r="AM29" s="565">
        <f t="shared" si="22"/>
        <v>0</v>
      </c>
      <c r="AN29" s="457">
        <f t="shared" si="24"/>
        <v>0</v>
      </c>
    </row>
    <row r="30" spans="1:40" ht="23.1" customHeight="1">
      <c r="A30" s="58">
        <f>Gen!B35</f>
        <v>44007</v>
      </c>
      <c r="B30" s="4"/>
      <c r="C30" s="98">
        <f t="shared" si="37"/>
        <v>0</v>
      </c>
      <c r="D30" s="1"/>
      <c r="E30" s="564">
        <f t="shared" si="26"/>
        <v>0</v>
      </c>
      <c r="F30" s="98">
        <f t="shared" si="2"/>
        <v>0</v>
      </c>
      <c r="G30" s="455"/>
      <c r="H30" s="564">
        <f t="shared" si="36"/>
        <v>0</v>
      </c>
      <c r="I30" s="98">
        <f t="shared" si="29"/>
        <v>0</v>
      </c>
      <c r="J30" s="1"/>
      <c r="K30" s="564">
        <f t="shared" si="38"/>
        <v>0</v>
      </c>
      <c r="L30" s="98">
        <f t="shared" si="30"/>
        <v>0</v>
      </c>
      <c r="M30" s="1"/>
      <c r="N30" s="564">
        <f t="shared" si="31"/>
        <v>0</v>
      </c>
      <c r="O30" s="98">
        <f t="shared" si="32"/>
        <v>0</v>
      </c>
      <c r="P30" s="451"/>
      <c r="Q30" s="564">
        <f t="shared" si="33"/>
        <v>0</v>
      </c>
      <c r="R30" s="299"/>
      <c r="S30" s="294">
        <f t="shared" si="34"/>
        <v>0</v>
      </c>
      <c r="T30" s="452"/>
      <c r="U30" s="565">
        <f t="shared" si="35"/>
        <v>0</v>
      </c>
      <c r="V30" s="294">
        <f t="shared" si="28"/>
        <v>0</v>
      </c>
      <c r="W30" s="452"/>
      <c r="X30" s="565">
        <f t="shared" si="18"/>
        <v>0</v>
      </c>
      <c r="Y30" s="294">
        <f t="shared" si="11"/>
        <v>0</v>
      </c>
      <c r="Z30" s="452"/>
      <c r="AA30" s="565">
        <f t="shared" si="19"/>
        <v>0</v>
      </c>
      <c r="AB30" s="294">
        <f t="shared" si="12"/>
        <v>0</v>
      </c>
      <c r="AC30" s="295"/>
      <c r="AD30" s="565">
        <f t="shared" si="20"/>
        <v>0</v>
      </c>
      <c r="AE30" s="294">
        <f t="shared" si="13"/>
        <v>0</v>
      </c>
      <c r="AF30" s="453"/>
      <c r="AG30" s="565">
        <f t="shared" si="21"/>
        <v>0</v>
      </c>
      <c r="AH30" s="294">
        <f t="shared" si="14"/>
        <v>0</v>
      </c>
      <c r="AI30" s="453"/>
      <c r="AJ30" s="565">
        <f t="shared" si="23"/>
        <v>0</v>
      </c>
      <c r="AK30" s="374">
        <f t="shared" si="15"/>
        <v>0</v>
      </c>
      <c r="AL30" s="452"/>
      <c r="AM30" s="565">
        <f t="shared" si="22"/>
        <v>0</v>
      </c>
      <c r="AN30" s="457">
        <f t="shared" si="24"/>
        <v>0</v>
      </c>
    </row>
    <row r="31" spans="1:40" ht="23.1" customHeight="1">
      <c r="A31" s="58">
        <f>Gen!B36</f>
        <v>44008</v>
      </c>
      <c r="B31" s="4"/>
      <c r="C31" s="98">
        <f t="shared" si="37"/>
        <v>0</v>
      </c>
      <c r="D31" s="1"/>
      <c r="E31" s="564">
        <f t="shared" si="26"/>
        <v>0</v>
      </c>
      <c r="F31" s="98">
        <f t="shared" si="2"/>
        <v>0</v>
      </c>
      <c r="G31" s="455"/>
      <c r="H31" s="564">
        <f t="shared" si="36"/>
        <v>0</v>
      </c>
      <c r="I31" s="98">
        <f t="shared" si="29"/>
        <v>0</v>
      </c>
      <c r="J31" s="1"/>
      <c r="K31" s="564">
        <f t="shared" si="38"/>
        <v>0</v>
      </c>
      <c r="L31" s="98">
        <f t="shared" si="30"/>
        <v>0</v>
      </c>
      <c r="M31" s="1"/>
      <c r="N31" s="564">
        <f t="shared" si="31"/>
        <v>0</v>
      </c>
      <c r="O31" s="98">
        <f t="shared" si="32"/>
        <v>0</v>
      </c>
      <c r="P31" s="451"/>
      <c r="Q31" s="564">
        <f t="shared" si="33"/>
        <v>0</v>
      </c>
      <c r="R31" s="299"/>
      <c r="S31" s="294">
        <f t="shared" si="34"/>
        <v>0</v>
      </c>
      <c r="T31" s="452"/>
      <c r="U31" s="565">
        <f t="shared" si="35"/>
        <v>0</v>
      </c>
      <c r="V31" s="294">
        <f t="shared" si="28"/>
        <v>0</v>
      </c>
      <c r="W31" s="452"/>
      <c r="X31" s="565">
        <f t="shared" si="18"/>
        <v>0</v>
      </c>
      <c r="Y31" s="294">
        <f t="shared" si="11"/>
        <v>0</v>
      </c>
      <c r="Z31" s="452"/>
      <c r="AA31" s="565">
        <f t="shared" si="19"/>
        <v>0</v>
      </c>
      <c r="AB31" s="294">
        <f t="shared" si="12"/>
        <v>0</v>
      </c>
      <c r="AC31" s="295"/>
      <c r="AD31" s="565">
        <f t="shared" si="20"/>
        <v>0</v>
      </c>
      <c r="AE31" s="294">
        <f t="shared" si="13"/>
        <v>0</v>
      </c>
      <c r="AF31" s="453"/>
      <c r="AG31" s="565">
        <f t="shared" si="21"/>
        <v>0</v>
      </c>
      <c r="AH31" s="294">
        <f t="shared" si="14"/>
        <v>0</v>
      </c>
      <c r="AI31" s="453"/>
      <c r="AJ31" s="565">
        <f t="shared" si="23"/>
        <v>0</v>
      </c>
      <c r="AK31" s="374">
        <f t="shared" si="15"/>
        <v>0</v>
      </c>
      <c r="AL31" s="452"/>
      <c r="AM31" s="565">
        <f t="shared" si="22"/>
        <v>0</v>
      </c>
      <c r="AN31" s="457">
        <f t="shared" si="24"/>
        <v>0</v>
      </c>
    </row>
    <row r="32" spans="1:40" ht="23.1" customHeight="1">
      <c r="A32" s="58">
        <f>Gen!B37</f>
        <v>44009</v>
      </c>
      <c r="B32" s="4" t="s">
        <v>27</v>
      </c>
      <c r="C32" s="98">
        <f t="shared" si="37"/>
        <v>0</v>
      </c>
      <c r="D32" s="1"/>
      <c r="E32" s="564">
        <f t="shared" si="26"/>
        <v>0</v>
      </c>
      <c r="F32" s="98">
        <f t="shared" si="2"/>
        <v>0</v>
      </c>
      <c r="G32" s="455"/>
      <c r="H32" s="564">
        <f t="shared" si="36"/>
        <v>0</v>
      </c>
      <c r="I32" s="98">
        <f t="shared" si="29"/>
        <v>0</v>
      </c>
      <c r="J32" s="1"/>
      <c r="K32" s="564">
        <f t="shared" si="38"/>
        <v>0</v>
      </c>
      <c r="L32" s="98">
        <f t="shared" si="30"/>
        <v>0</v>
      </c>
      <c r="M32" s="1"/>
      <c r="N32" s="564">
        <f t="shared" si="31"/>
        <v>0</v>
      </c>
      <c r="O32" s="98">
        <f t="shared" si="32"/>
        <v>0</v>
      </c>
      <c r="P32" s="451"/>
      <c r="Q32" s="564">
        <f t="shared" si="33"/>
        <v>0</v>
      </c>
      <c r="R32" s="299"/>
      <c r="S32" s="294">
        <f t="shared" si="34"/>
        <v>0</v>
      </c>
      <c r="T32" s="452"/>
      <c r="U32" s="565">
        <f t="shared" si="35"/>
        <v>0</v>
      </c>
      <c r="V32" s="294">
        <f t="shared" si="28"/>
        <v>0</v>
      </c>
      <c r="W32" s="452"/>
      <c r="X32" s="565">
        <f t="shared" si="18"/>
        <v>0</v>
      </c>
      <c r="Y32" s="294">
        <f t="shared" si="11"/>
        <v>0</v>
      </c>
      <c r="Z32" s="452"/>
      <c r="AA32" s="565">
        <f t="shared" si="19"/>
        <v>0</v>
      </c>
      <c r="AB32" s="294">
        <f t="shared" si="12"/>
        <v>0</v>
      </c>
      <c r="AC32" s="295"/>
      <c r="AD32" s="565">
        <f t="shared" si="20"/>
        <v>0</v>
      </c>
      <c r="AE32" s="294">
        <f t="shared" si="13"/>
        <v>0</v>
      </c>
      <c r="AF32" s="453"/>
      <c r="AG32" s="565">
        <f t="shared" si="21"/>
        <v>0</v>
      </c>
      <c r="AH32" s="294">
        <f t="shared" si="14"/>
        <v>0</v>
      </c>
      <c r="AI32" s="453"/>
      <c r="AJ32" s="565">
        <f t="shared" si="23"/>
        <v>0</v>
      </c>
      <c r="AK32" s="374">
        <f t="shared" si="15"/>
        <v>0</v>
      </c>
      <c r="AL32" s="452"/>
      <c r="AM32" s="565">
        <f t="shared" si="22"/>
        <v>0</v>
      </c>
      <c r="AN32" s="457">
        <f t="shared" si="24"/>
        <v>0</v>
      </c>
    </row>
    <row r="33" spans="1:41" ht="23.1" customHeight="1">
      <c r="A33" s="58">
        <f>Gen!B38</f>
        <v>44010</v>
      </c>
      <c r="B33" s="4"/>
      <c r="C33" s="98">
        <f t="shared" si="37"/>
        <v>0</v>
      </c>
      <c r="D33" s="1"/>
      <c r="E33" s="564">
        <f t="shared" si="26"/>
        <v>0</v>
      </c>
      <c r="F33" s="98">
        <f t="shared" si="2"/>
        <v>0</v>
      </c>
      <c r="G33" s="455"/>
      <c r="H33" s="564">
        <f t="shared" si="36"/>
        <v>0</v>
      </c>
      <c r="I33" s="98">
        <f t="shared" si="29"/>
        <v>0</v>
      </c>
      <c r="J33" s="1"/>
      <c r="K33" s="564">
        <f t="shared" si="38"/>
        <v>0</v>
      </c>
      <c r="L33" s="98">
        <f t="shared" si="30"/>
        <v>0</v>
      </c>
      <c r="M33" s="1"/>
      <c r="N33" s="564">
        <f t="shared" si="31"/>
        <v>0</v>
      </c>
      <c r="O33" s="98">
        <f t="shared" si="32"/>
        <v>0</v>
      </c>
      <c r="P33" s="451"/>
      <c r="Q33" s="564">
        <f t="shared" si="33"/>
        <v>0</v>
      </c>
      <c r="R33" s="299"/>
      <c r="S33" s="294">
        <f t="shared" si="34"/>
        <v>0</v>
      </c>
      <c r="T33" s="452"/>
      <c r="U33" s="565">
        <f t="shared" si="35"/>
        <v>0</v>
      </c>
      <c r="V33" s="294">
        <f t="shared" si="28"/>
        <v>0</v>
      </c>
      <c r="W33" s="452"/>
      <c r="X33" s="565">
        <f t="shared" si="18"/>
        <v>0</v>
      </c>
      <c r="Y33" s="294">
        <f t="shared" si="11"/>
        <v>0</v>
      </c>
      <c r="Z33" s="452"/>
      <c r="AA33" s="565">
        <f t="shared" si="19"/>
        <v>0</v>
      </c>
      <c r="AB33" s="294">
        <f t="shared" si="12"/>
        <v>0</v>
      </c>
      <c r="AC33" s="295"/>
      <c r="AD33" s="565">
        <f t="shared" si="20"/>
        <v>0</v>
      </c>
      <c r="AE33" s="294">
        <f t="shared" si="13"/>
        <v>0</v>
      </c>
      <c r="AF33" s="453"/>
      <c r="AG33" s="565">
        <f t="shared" si="21"/>
        <v>0</v>
      </c>
      <c r="AH33" s="294">
        <f t="shared" si="14"/>
        <v>0</v>
      </c>
      <c r="AI33" s="453"/>
      <c r="AJ33" s="565">
        <f t="shared" si="23"/>
        <v>0</v>
      </c>
      <c r="AK33" s="374">
        <f t="shared" si="15"/>
        <v>0</v>
      </c>
      <c r="AL33" s="452"/>
      <c r="AM33" s="565">
        <f t="shared" si="22"/>
        <v>0</v>
      </c>
      <c r="AN33" s="457">
        <f t="shared" si="24"/>
        <v>0</v>
      </c>
    </row>
    <row r="34" spans="1:41" ht="23.1" customHeight="1">
      <c r="A34" s="58">
        <f>Gen!B39</f>
        <v>44011</v>
      </c>
      <c r="B34" s="171"/>
      <c r="C34" s="98">
        <f t="shared" si="37"/>
        <v>0</v>
      </c>
      <c r="D34" s="1"/>
      <c r="E34" s="564">
        <f t="shared" si="26"/>
        <v>0</v>
      </c>
      <c r="F34" s="98">
        <f t="shared" si="2"/>
        <v>0</v>
      </c>
      <c r="G34" s="455"/>
      <c r="H34" s="564">
        <f t="shared" si="36"/>
        <v>0</v>
      </c>
      <c r="I34" s="98">
        <f t="shared" si="29"/>
        <v>0</v>
      </c>
      <c r="J34" s="1"/>
      <c r="K34" s="564">
        <f t="shared" si="38"/>
        <v>0</v>
      </c>
      <c r="L34" s="98">
        <f t="shared" si="30"/>
        <v>0</v>
      </c>
      <c r="M34" s="1"/>
      <c r="N34" s="564">
        <f t="shared" si="31"/>
        <v>0</v>
      </c>
      <c r="O34" s="98">
        <f t="shared" si="32"/>
        <v>0</v>
      </c>
      <c r="P34" s="451"/>
      <c r="Q34" s="564">
        <f t="shared" si="33"/>
        <v>0</v>
      </c>
      <c r="R34" s="299"/>
      <c r="S34" s="294">
        <f t="shared" si="34"/>
        <v>0</v>
      </c>
      <c r="T34" s="452"/>
      <c r="U34" s="565">
        <f t="shared" si="35"/>
        <v>0</v>
      </c>
      <c r="V34" s="294">
        <f t="shared" si="28"/>
        <v>0</v>
      </c>
      <c r="W34" s="452"/>
      <c r="X34" s="565">
        <f t="shared" si="18"/>
        <v>0</v>
      </c>
      <c r="Y34" s="294">
        <f t="shared" si="11"/>
        <v>0</v>
      </c>
      <c r="Z34" s="452"/>
      <c r="AA34" s="565">
        <f t="shared" si="19"/>
        <v>0</v>
      </c>
      <c r="AB34" s="294">
        <f t="shared" si="12"/>
        <v>0</v>
      </c>
      <c r="AC34" s="295"/>
      <c r="AD34" s="565">
        <f t="shared" si="20"/>
        <v>0</v>
      </c>
      <c r="AE34" s="294">
        <f t="shared" si="13"/>
        <v>0</v>
      </c>
      <c r="AF34" s="453"/>
      <c r="AG34" s="565">
        <f t="shared" si="21"/>
        <v>0</v>
      </c>
      <c r="AH34" s="294">
        <f t="shared" si="14"/>
        <v>0</v>
      </c>
      <c r="AI34" s="453"/>
      <c r="AJ34" s="565">
        <f t="shared" si="23"/>
        <v>0</v>
      </c>
      <c r="AK34" s="374">
        <f t="shared" si="15"/>
        <v>0</v>
      </c>
      <c r="AL34" s="452"/>
      <c r="AM34" s="565">
        <f t="shared" si="22"/>
        <v>0</v>
      </c>
      <c r="AN34" s="457">
        <f t="shared" si="24"/>
        <v>0</v>
      </c>
    </row>
    <row r="35" spans="1:41" ht="23.1" customHeight="1">
      <c r="A35" s="58">
        <f>Gen!B40</f>
        <v>44012</v>
      </c>
      <c r="B35" s="171"/>
      <c r="C35" s="98">
        <f t="shared" si="37"/>
        <v>0</v>
      </c>
      <c r="D35" s="1"/>
      <c r="E35" s="564">
        <f t="shared" si="26"/>
        <v>0</v>
      </c>
      <c r="F35" s="98">
        <f t="shared" si="2"/>
        <v>0</v>
      </c>
      <c r="G35" s="455"/>
      <c r="H35" s="564">
        <f t="shared" si="36"/>
        <v>0</v>
      </c>
      <c r="I35" s="98">
        <f t="shared" si="29"/>
        <v>0</v>
      </c>
      <c r="J35" s="1"/>
      <c r="K35" s="564">
        <f t="shared" si="38"/>
        <v>0</v>
      </c>
      <c r="L35" s="98">
        <f t="shared" si="30"/>
        <v>0</v>
      </c>
      <c r="M35" s="1"/>
      <c r="N35" s="564">
        <f t="shared" si="31"/>
        <v>0</v>
      </c>
      <c r="O35" s="98">
        <f t="shared" si="32"/>
        <v>0</v>
      </c>
      <c r="P35" s="451"/>
      <c r="Q35" s="564">
        <f t="shared" si="33"/>
        <v>0</v>
      </c>
      <c r="R35" s="299"/>
      <c r="S35" s="294">
        <f t="shared" si="34"/>
        <v>0</v>
      </c>
      <c r="T35" s="452"/>
      <c r="U35" s="565">
        <f t="shared" si="35"/>
        <v>0</v>
      </c>
      <c r="V35" s="294">
        <f t="shared" si="28"/>
        <v>0</v>
      </c>
      <c r="W35" s="452"/>
      <c r="X35" s="565">
        <f t="shared" si="18"/>
        <v>0</v>
      </c>
      <c r="Y35" s="294">
        <f t="shared" si="11"/>
        <v>0</v>
      </c>
      <c r="Z35" s="452"/>
      <c r="AA35" s="565">
        <f t="shared" si="19"/>
        <v>0</v>
      </c>
      <c r="AB35" s="294">
        <f t="shared" si="12"/>
        <v>0</v>
      </c>
      <c r="AC35" s="295"/>
      <c r="AD35" s="565">
        <f t="shared" si="20"/>
        <v>0</v>
      </c>
      <c r="AE35" s="294">
        <f t="shared" si="13"/>
        <v>0</v>
      </c>
      <c r="AF35" s="453"/>
      <c r="AG35" s="565">
        <f t="shared" si="21"/>
        <v>0</v>
      </c>
      <c r="AH35" s="294">
        <f t="shared" si="14"/>
        <v>0</v>
      </c>
      <c r="AI35" s="453"/>
      <c r="AJ35" s="565">
        <f t="shared" si="23"/>
        <v>0</v>
      </c>
      <c r="AK35" s="374">
        <f t="shared" si="15"/>
        <v>0</v>
      </c>
      <c r="AL35" s="452"/>
      <c r="AM35" s="565">
        <f t="shared" si="22"/>
        <v>0</v>
      </c>
      <c r="AN35" s="457">
        <f t="shared" si="24"/>
        <v>0</v>
      </c>
    </row>
    <row r="36" spans="1:41" ht="23.1" customHeight="1">
      <c r="A36" s="58">
        <f>Gen!B41</f>
        <v>44013</v>
      </c>
      <c r="B36" s="172"/>
      <c r="C36" s="98">
        <f t="shared" si="37"/>
        <v>0</v>
      </c>
      <c r="D36" s="1"/>
      <c r="E36" s="564">
        <f t="shared" si="26"/>
        <v>0</v>
      </c>
      <c r="F36" s="98">
        <f t="shared" si="2"/>
        <v>0</v>
      </c>
      <c r="G36" s="455"/>
      <c r="H36" s="564">
        <f t="shared" si="36"/>
        <v>0</v>
      </c>
      <c r="I36" s="98">
        <f t="shared" si="29"/>
        <v>0</v>
      </c>
      <c r="J36" s="1"/>
      <c r="K36" s="564">
        <f t="shared" si="38"/>
        <v>0</v>
      </c>
      <c r="L36" s="98">
        <f t="shared" si="30"/>
        <v>0</v>
      </c>
      <c r="M36" s="1"/>
      <c r="N36" s="564">
        <f t="shared" si="31"/>
        <v>0</v>
      </c>
      <c r="O36" s="98">
        <f t="shared" si="32"/>
        <v>0</v>
      </c>
      <c r="P36" s="451"/>
      <c r="Q36" s="564">
        <f t="shared" si="33"/>
        <v>0</v>
      </c>
      <c r="R36" s="299"/>
      <c r="S36" s="294">
        <f t="shared" si="34"/>
        <v>0</v>
      </c>
      <c r="T36" s="452"/>
      <c r="U36" s="565">
        <f t="shared" si="35"/>
        <v>0</v>
      </c>
      <c r="V36" s="294">
        <f t="shared" si="28"/>
        <v>0</v>
      </c>
      <c r="W36" s="452"/>
      <c r="X36" s="565">
        <f t="shared" si="18"/>
        <v>0</v>
      </c>
      <c r="Y36" s="294">
        <f t="shared" si="11"/>
        <v>0</v>
      </c>
      <c r="Z36" s="452"/>
      <c r="AA36" s="565">
        <f t="shared" si="19"/>
        <v>0</v>
      </c>
      <c r="AB36" s="294">
        <f t="shared" si="12"/>
        <v>0</v>
      </c>
      <c r="AC36" s="295"/>
      <c r="AD36" s="565">
        <f t="shared" si="20"/>
        <v>0</v>
      </c>
      <c r="AE36" s="294">
        <f t="shared" si="13"/>
        <v>0</v>
      </c>
      <c r="AF36" s="453"/>
      <c r="AG36" s="565">
        <f t="shared" si="21"/>
        <v>0</v>
      </c>
      <c r="AH36" s="294">
        <f t="shared" si="14"/>
        <v>0</v>
      </c>
      <c r="AI36" s="453"/>
      <c r="AJ36" s="565">
        <f t="shared" si="23"/>
        <v>0</v>
      </c>
      <c r="AK36" s="374">
        <f t="shared" si="15"/>
        <v>0</v>
      </c>
      <c r="AL36" s="452"/>
      <c r="AM36" s="565">
        <f t="shared" si="22"/>
        <v>0</v>
      </c>
      <c r="AN36" s="457">
        <f t="shared" si="24"/>
        <v>0</v>
      </c>
    </row>
    <row r="37" spans="1:41" ht="24" customHeight="1">
      <c r="A37" s="58">
        <f>Gen!B42</f>
        <v>44014</v>
      </c>
      <c r="B37" s="3"/>
      <c r="C37" s="98">
        <f t="shared" si="37"/>
        <v>0</v>
      </c>
      <c r="D37" s="1"/>
      <c r="E37" s="564">
        <f t="shared" si="26"/>
        <v>0</v>
      </c>
      <c r="F37" s="98">
        <f t="shared" si="2"/>
        <v>0</v>
      </c>
      <c r="G37" s="455"/>
      <c r="H37" s="564">
        <f t="shared" si="36"/>
        <v>0</v>
      </c>
      <c r="I37" s="98">
        <f t="shared" si="29"/>
        <v>0</v>
      </c>
      <c r="J37" s="1"/>
      <c r="K37" s="564">
        <f t="shared" si="38"/>
        <v>0</v>
      </c>
      <c r="L37" s="98">
        <f t="shared" si="30"/>
        <v>0</v>
      </c>
      <c r="M37" s="1"/>
      <c r="N37" s="564">
        <f t="shared" si="31"/>
        <v>0</v>
      </c>
      <c r="O37" s="98">
        <f t="shared" si="32"/>
        <v>0</v>
      </c>
      <c r="P37" s="451"/>
      <c r="Q37" s="564">
        <f t="shared" si="33"/>
        <v>0</v>
      </c>
      <c r="R37" s="299"/>
      <c r="S37" s="294">
        <f t="shared" si="34"/>
        <v>0</v>
      </c>
      <c r="T37" s="452"/>
      <c r="U37" s="565">
        <f t="shared" si="35"/>
        <v>0</v>
      </c>
      <c r="V37" s="294">
        <f t="shared" si="28"/>
        <v>0</v>
      </c>
      <c r="W37" s="452"/>
      <c r="X37" s="565">
        <f t="shared" si="18"/>
        <v>0</v>
      </c>
      <c r="Y37" s="294">
        <f t="shared" si="11"/>
        <v>0</v>
      </c>
      <c r="Z37" s="452"/>
      <c r="AA37" s="565">
        <f t="shared" si="19"/>
        <v>0</v>
      </c>
      <c r="AB37" s="294">
        <f t="shared" si="12"/>
        <v>0</v>
      </c>
      <c r="AC37" s="295"/>
      <c r="AD37" s="565">
        <f t="shared" si="20"/>
        <v>0</v>
      </c>
      <c r="AE37" s="294">
        <f t="shared" si="13"/>
        <v>0</v>
      </c>
      <c r="AF37" s="453"/>
      <c r="AG37" s="565">
        <f t="shared" si="21"/>
        <v>0</v>
      </c>
      <c r="AH37" s="294">
        <f t="shared" si="14"/>
        <v>0</v>
      </c>
      <c r="AI37" s="453"/>
      <c r="AJ37" s="565">
        <f t="shared" si="23"/>
        <v>0</v>
      </c>
      <c r="AK37" s="374">
        <f t="shared" si="15"/>
        <v>0</v>
      </c>
      <c r="AL37" s="452"/>
      <c r="AM37" s="565">
        <f t="shared" si="22"/>
        <v>0</v>
      </c>
      <c r="AN37" s="457">
        <f t="shared" ref="AN37" si="39">U38+X38+AA38+AD38+AG38+AJ38+AM38</f>
        <v>176</v>
      </c>
    </row>
    <row r="38" spans="1:41" ht="17.25">
      <c r="A38" s="58"/>
      <c r="B38" s="22"/>
      <c r="C38" s="877" t="s">
        <v>6</v>
      </c>
      <c r="D38" s="877"/>
      <c r="E38" s="23">
        <f>SUM(E6:E36)</f>
        <v>301</v>
      </c>
      <c r="F38" s="24" t="s">
        <v>21</v>
      </c>
      <c r="G38" s="25"/>
      <c r="H38" s="26" t="e">
        <f>SUM(H6:H37)</f>
        <v>#VALUE!</v>
      </c>
      <c r="I38" s="27"/>
      <c r="J38" s="24"/>
      <c r="K38" s="28">
        <f>SUM(K6:K37)</f>
        <v>4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301</v>
      </c>
      <c r="S38" s="296"/>
      <c r="T38" s="296"/>
      <c r="U38" s="306">
        <f>SUM(U6:U37)</f>
        <v>176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176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46"/>
      <c r="B42" s="330"/>
      <c r="C42" s="843" t="s">
        <v>222</v>
      </c>
      <c r="D42" s="844"/>
      <c r="E42" s="844"/>
      <c r="F42" s="844"/>
      <c r="G42" s="844"/>
      <c r="H42" s="844"/>
      <c r="I42" s="844"/>
      <c r="J42" s="844"/>
      <c r="K42" s="845"/>
      <c r="R42" s="20"/>
    </row>
    <row r="43" spans="1:41" ht="24.75" customHeight="1">
      <c r="A43" s="847"/>
      <c r="B43" s="20"/>
      <c r="C43" s="849" t="s">
        <v>216</v>
      </c>
      <c r="D43" s="850"/>
      <c r="E43" s="851" t="s">
        <v>237</v>
      </c>
      <c r="F43" s="852"/>
      <c r="G43" s="853" t="s">
        <v>217</v>
      </c>
      <c r="H43" s="854"/>
      <c r="I43" s="853" t="s">
        <v>238</v>
      </c>
      <c r="J43" s="854"/>
      <c r="K43" s="841" t="s">
        <v>223</v>
      </c>
      <c r="R43" s="20"/>
      <c r="T43" s="574"/>
      <c r="U43" s="574"/>
      <c r="V43" s="574"/>
      <c r="W43" s="574"/>
      <c r="X43" s="574"/>
      <c r="Y43" s="574"/>
      <c r="Z43" s="574"/>
      <c r="AA43" s="574"/>
      <c r="AB43" s="574"/>
      <c r="AC43" s="574"/>
      <c r="AD43" s="574"/>
      <c r="AE43" s="574"/>
      <c r="AF43" s="574"/>
      <c r="AG43" s="574"/>
      <c r="AH43" s="574"/>
      <c r="AI43" s="574"/>
      <c r="AJ43" s="574"/>
      <c r="AK43" s="574"/>
      <c r="AL43" s="574"/>
      <c r="AM43" s="574"/>
      <c r="AN43" s="574"/>
      <c r="AO43" s="574"/>
    </row>
    <row r="44" spans="1:41" ht="21" customHeight="1" thickBot="1">
      <c r="A44" s="847"/>
      <c r="B44" s="20"/>
      <c r="C44" s="855" t="s">
        <v>218</v>
      </c>
      <c r="D44" s="856"/>
      <c r="E44" s="855" t="s">
        <v>219</v>
      </c>
      <c r="F44" s="856"/>
      <c r="G44" s="855" t="s">
        <v>220</v>
      </c>
      <c r="H44" s="856"/>
      <c r="I44" s="855" t="s">
        <v>221</v>
      </c>
      <c r="J44" s="856"/>
      <c r="K44" s="842"/>
      <c r="R44" s="20"/>
      <c r="T44" s="574"/>
      <c r="U44" s="574"/>
      <c r="V44" s="574"/>
      <c r="W44" s="574"/>
      <c r="X44" s="574"/>
      <c r="Y44" s="574"/>
      <c r="Z44" s="574"/>
      <c r="AA44" s="574"/>
      <c r="AB44" s="574"/>
      <c r="AC44" s="574"/>
      <c r="AD44" s="574"/>
      <c r="AE44" s="574"/>
      <c r="AF44" s="574"/>
      <c r="AG44" s="574"/>
      <c r="AH44" s="574"/>
      <c r="AI44" s="574"/>
      <c r="AJ44" s="574"/>
      <c r="AK44" s="574"/>
      <c r="AL44" s="574"/>
      <c r="AM44" s="574"/>
      <c r="AN44" s="574"/>
      <c r="AO44" s="574"/>
    </row>
    <row r="45" spans="1:41" ht="21" customHeight="1" thickBot="1">
      <c r="A45" s="848"/>
      <c r="B45" s="20"/>
      <c r="C45" s="386" t="s">
        <v>225</v>
      </c>
      <c r="D45" s="387" t="s">
        <v>224</v>
      </c>
      <c r="E45" s="388" t="s">
        <v>225</v>
      </c>
      <c r="F45" s="389" t="s">
        <v>224</v>
      </c>
      <c r="G45" s="566"/>
      <c r="H45" s="389" t="s">
        <v>224</v>
      </c>
      <c r="I45" s="388" t="s">
        <v>225</v>
      </c>
      <c r="J45" s="389" t="s">
        <v>224</v>
      </c>
      <c r="K45" s="390" t="s">
        <v>224</v>
      </c>
      <c r="R45" s="20"/>
      <c r="T45" s="574"/>
      <c r="U45" s="574"/>
      <c r="V45" s="574"/>
      <c r="W45" s="574"/>
      <c r="X45" s="574"/>
      <c r="Y45" s="574"/>
      <c r="Z45" s="574"/>
      <c r="AA45" s="574"/>
      <c r="AB45" s="574"/>
      <c r="AC45" s="574"/>
      <c r="AD45" s="574"/>
      <c r="AE45" s="574"/>
      <c r="AF45" s="574"/>
      <c r="AG45" s="574"/>
      <c r="AH45" s="574"/>
      <c r="AI45" s="574"/>
      <c r="AJ45" s="574"/>
      <c r="AK45" s="574"/>
      <c r="AL45" s="574"/>
      <c r="AM45" s="574"/>
      <c r="AN45" s="574"/>
      <c r="AO45" s="574"/>
    </row>
    <row r="46" spans="1:41" ht="20.25" customHeight="1">
      <c r="A46" s="348">
        <f>Gen!B11</f>
        <v>43983</v>
      </c>
      <c r="B46" s="20"/>
      <c r="C46" s="63">
        <v>300</v>
      </c>
      <c r="D46" s="385">
        <f t="shared" ref="D46:D77" si="43">C46*217/300</f>
        <v>217</v>
      </c>
      <c r="E46" s="6">
        <v>265</v>
      </c>
      <c r="F46" s="385">
        <f t="shared" ref="F46:F77" si="44">E46*92/305</f>
        <v>79.93442622950819</v>
      </c>
      <c r="G46" s="567">
        <v>25</v>
      </c>
      <c r="H46" s="385">
        <f>G46*146/383</f>
        <v>9.5300261096605752</v>
      </c>
      <c r="I46" s="6">
        <v>195</v>
      </c>
      <c r="J46" s="385">
        <f>I46*213/308</f>
        <v>134.85389610389609</v>
      </c>
      <c r="K46" s="391">
        <f>D46+F46+H46+J46</f>
        <v>441.31834844306485</v>
      </c>
      <c r="T46" s="574"/>
      <c r="U46" s="574"/>
      <c r="V46" s="574"/>
      <c r="W46" s="574"/>
      <c r="X46" s="574"/>
      <c r="Y46" s="574"/>
      <c r="Z46" s="574"/>
      <c r="AA46" s="574"/>
      <c r="AB46" s="574"/>
      <c r="AC46" s="574"/>
      <c r="AD46" s="574"/>
      <c r="AE46" s="574"/>
      <c r="AF46" s="574"/>
      <c r="AG46" s="574"/>
      <c r="AH46" s="574"/>
      <c r="AI46" s="574"/>
      <c r="AJ46" s="574"/>
      <c r="AK46" s="574"/>
      <c r="AL46" s="574"/>
      <c r="AM46" s="574"/>
      <c r="AN46" s="574"/>
      <c r="AO46" s="574"/>
    </row>
    <row r="47" spans="1:41" ht="13.5">
      <c r="A47" s="348">
        <f>Gen!B12</f>
        <v>43984</v>
      </c>
      <c r="B47" s="20"/>
      <c r="C47" s="63">
        <v>236</v>
      </c>
      <c r="D47" s="385">
        <f t="shared" si="43"/>
        <v>170.70666666666668</v>
      </c>
      <c r="E47" s="6">
        <v>218</v>
      </c>
      <c r="F47" s="385">
        <f t="shared" si="44"/>
        <v>65.757377049180334</v>
      </c>
      <c r="G47" s="567">
        <v>150</v>
      </c>
      <c r="H47" s="385">
        <f t="shared" ref="H47:H77" si="45">G47*146/383</f>
        <v>57.180156657963444</v>
      </c>
      <c r="I47" s="6">
        <v>167</v>
      </c>
      <c r="J47" s="385">
        <f t="shared" ref="J47:J77" si="46">I47*213/308</f>
        <v>115.49025974025975</v>
      </c>
      <c r="K47" s="391">
        <f t="shared" ref="K47:K77" si="47">D47+F47+H47+J47</f>
        <v>409.13446011407018</v>
      </c>
      <c r="T47" s="574"/>
      <c r="U47" s="574"/>
      <c r="V47" s="574"/>
      <c r="W47" s="574"/>
      <c r="X47" s="574"/>
      <c r="Y47" s="574"/>
      <c r="Z47" s="574"/>
      <c r="AA47" s="574"/>
      <c r="AB47" s="574"/>
      <c r="AC47" s="574"/>
      <c r="AD47" s="574"/>
      <c r="AE47" s="574"/>
      <c r="AF47" s="574"/>
      <c r="AG47" s="574"/>
      <c r="AH47" s="574"/>
      <c r="AI47" s="574"/>
      <c r="AJ47" s="574"/>
      <c r="AK47" s="574"/>
      <c r="AL47" s="574"/>
      <c r="AM47" s="574"/>
      <c r="AN47" s="574"/>
      <c r="AO47" s="574"/>
    </row>
    <row r="48" spans="1:41" ht="13.5">
      <c r="A48" s="348">
        <f>Gen!B13</f>
        <v>43985</v>
      </c>
      <c r="B48" s="20"/>
      <c r="C48" s="63">
        <v>256</v>
      </c>
      <c r="D48" s="385">
        <f t="shared" si="43"/>
        <v>185.17333333333335</v>
      </c>
      <c r="E48" s="6">
        <v>220</v>
      </c>
      <c r="F48" s="385">
        <f t="shared" si="44"/>
        <v>66.360655737704917</v>
      </c>
      <c r="G48" s="567">
        <v>155</v>
      </c>
      <c r="H48" s="385">
        <f t="shared" si="45"/>
        <v>59.086161879895563</v>
      </c>
      <c r="I48" s="6">
        <v>178</v>
      </c>
      <c r="J48" s="385">
        <f t="shared" si="46"/>
        <v>123.09740259740259</v>
      </c>
      <c r="K48" s="391">
        <f t="shared" si="47"/>
        <v>433.71755354833641</v>
      </c>
      <c r="T48" s="574"/>
      <c r="U48" s="574"/>
      <c r="V48" s="574"/>
      <c r="W48" s="574"/>
      <c r="X48" s="574"/>
      <c r="Y48" s="574"/>
      <c r="Z48" s="574"/>
      <c r="AA48" s="574"/>
      <c r="AB48" s="574"/>
      <c r="AC48" s="574"/>
      <c r="AD48" s="574"/>
      <c r="AE48" s="574"/>
      <c r="AF48" s="574"/>
      <c r="AG48" s="574"/>
      <c r="AH48" s="574"/>
      <c r="AI48" s="574"/>
      <c r="AJ48" s="574"/>
      <c r="AK48" s="574"/>
      <c r="AL48" s="574"/>
      <c r="AM48" s="574"/>
      <c r="AN48" s="574"/>
      <c r="AO48" s="574"/>
    </row>
    <row r="49" spans="1:15" ht="13.5">
      <c r="A49" s="348">
        <f>Gen!B14</f>
        <v>43986</v>
      </c>
      <c r="B49" s="20"/>
      <c r="C49" s="63">
        <v>135</v>
      </c>
      <c r="D49" s="385">
        <f t="shared" si="43"/>
        <v>97.65</v>
      </c>
      <c r="E49" s="6">
        <v>100</v>
      </c>
      <c r="F49" s="385">
        <f t="shared" si="44"/>
        <v>30.16393442622951</v>
      </c>
      <c r="G49" s="567">
        <v>300</v>
      </c>
      <c r="H49" s="385">
        <f t="shared" si="45"/>
        <v>114.36031331592689</v>
      </c>
      <c r="I49" s="6">
        <v>205</v>
      </c>
      <c r="J49" s="385">
        <f t="shared" si="46"/>
        <v>141.76948051948051</v>
      </c>
      <c r="K49" s="391">
        <f t="shared" si="47"/>
        <v>383.94372826163692</v>
      </c>
    </row>
    <row r="50" spans="1:15" ht="13.5">
      <c r="A50" s="348">
        <f>Gen!B15</f>
        <v>43987</v>
      </c>
      <c r="B50" s="20"/>
      <c r="C50" s="63">
        <v>240</v>
      </c>
      <c r="D50" s="385">
        <f t="shared" si="43"/>
        <v>173.6</v>
      </c>
      <c r="E50" s="6">
        <v>205</v>
      </c>
      <c r="F50" s="385">
        <f t="shared" si="44"/>
        <v>61.83606557377049</v>
      </c>
      <c r="G50" s="567">
        <v>255</v>
      </c>
      <c r="H50" s="385">
        <f t="shared" si="45"/>
        <v>97.206266318537857</v>
      </c>
      <c r="I50" s="6">
        <v>200</v>
      </c>
      <c r="J50" s="385">
        <f t="shared" si="46"/>
        <v>138.3116883116883</v>
      </c>
      <c r="K50" s="391">
        <f t="shared" si="47"/>
        <v>470.95402020399661</v>
      </c>
    </row>
    <row r="51" spans="1:15" ht="13.5">
      <c r="A51" s="348">
        <f>Gen!B16</f>
        <v>43988</v>
      </c>
      <c r="B51" s="20"/>
      <c r="C51" s="63">
        <v>265</v>
      </c>
      <c r="D51" s="385">
        <f t="shared" si="43"/>
        <v>191.68333333333334</v>
      </c>
      <c r="E51" s="6">
        <v>215</v>
      </c>
      <c r="F51" s="385">
        <f t="shared" si="44"/>
        <v>64.852459016393439</v>
      </c>
      <c r="G51" s="567">
        <v>300</v>
      </c>
      <c r="H51" s="385">
        <f t="shared" si="45"/>
        <v>114.36031331592689</v>
      </c>
      <c r="I51" s="6">
        <v>272</v>
      </c>
      <c r="J51" s="385">
        <f t="shared" si="46"/>
        <v>188.10389610389609</v>
      </c>
      <c r="K51" s="391">
        <f t="shared" si="47"/>
        <v>559.00000176954973</v>
      </c>
    </row>
    <row r="52" spans="1:15" ht="13.5">
      <c r="A52" s="348">
        <f>Gen!B17</f>
        <v>43989</v>
      </c>
      <c r="B52" s="20"/>
      <c r="C52" s="63"/>
      <c r="D52" s="385">
        <f t="shared" si="43"/>
        <v>0</v>
      </c>
      <c r="E52" s="6"/>
      <c r="F52" s="385">
        <f t="shared" si="44"/>
        <v>0</v>
      </c>
      <c r="G52" s="567"/>
      <c r="H52" s="385">
        <f t="shared" si="45"/>
        <v>0</v>
      </c>
      <c r="I52" s="6"/>
      <c r="J52" s="385">
        <f t="shared" si="46"/>
        <v>0</v>
      </c>
      <c r="K52" s="391">
        <f t="shared" si="47"/>
        <v>0</v>
      </c>
    </row>
    <row r="53" spans="1:15" ht="13.5">
      <c r="A53" s="348">
        <f>Gen!B18</f>
        <v>43990</v>
      </c>
      <c r="B53" s="20"/>
      <c r="C53" s="63"/>
      <c r="D53" s="385">
        <f t="shared" si="43"/>
        <v>0</v>
      </c>
      <c r="E53" s="6"/>
      <c r="F53" s="385">
        <f t="shared" si="44"/>
        <v>0</v>
      </c>
      <c r="G53" s="567"/>
      <c r="H53" s="385">
        <f t="shared" si="45"/>
        <v>0</v>
      </c>
      <c r="I53" s="6"/>
      <c r="J53" s="385">
        <f t="shared" si="46"/>
        <v>0</v>
      </c>
      <c r="K53" s="391">
        <f t="shared" si="47"/>
        <v>0</v>
      </c>
    </row>
    <row r="54" spans="1:15" ht="13.5">
      <c r="A54" s="348">
        <f>Gen!B19</f>
        <v>43991</v>
      </c>
      <c r="B54" s="20"/>
      <c r="C54" s="63"/>
      <c r="D54" s="385">
        <f t="shared" si="43"/>
        <v>0</v>
      </c>
      <c r="E54" s="6"/>
      <c r="F54" s="385">
        <f t="shared" si="44"/>
        <v>0</v>
      </c>
      <c r="G54" s="567"/>
      <c r="H54" s="385">
        <f t="shared" si="45"/>
        <v>0</v>
      </c>
      <c r="I54" s="6"/>
      <c r="J54" s="385">
        <f t="shared" si="46"/>
        <v>0</v>
      </c>
      <c r="K54" s="391">
        <f t="shared" si="47"/>
        <v>0</v>
      </c>
    </row>
    <row r="55" spans="1:15" ht="13.5">
      <c r="A55" s="348">
        <f>Gen!B20</f>
        <v>43992</v>
      </c>
      <c r="B55" s="20"/>
      <c r="C55" s="63"/>
      <c r="D55" s="385">
        <f t="shared" si="43"/>
        <v>0</v>
      </c>
      <c r="E55" s="6"/>
      <c r="F55" s="385">
        <f t="shared" si="44"/>
        <v>0</v>
      </c>
      <c r="G55" s="567"/>
      <c r="H55" s="385">
        <f t="shared" si="45"/>
        <v>0</v>
      </c>
      <c r="I55" s="6"/>
      <c r="J55" s="385">
        <f t="shared" si="46"/>
        <v>0</v>
      </c>
      <c r="K55" s="391">
        <f t="shared" si="47"/>
        <v>0</v>
      </c>
    </row>
    <row r="56" spans="1:15" ht="13.5">
      <c r="A56" s="348">
        <f>Gen!B21</f>
        <v>43993</v>
      </c>
      <c r="B56" s="20"/>
      <c r="C56" s="63"/>
      <c r="D56" s="385">
        <f t="shared" si="43"/>
        <v>0</v>
      </c>
      <c r="E56" s="6"/>
      <c r="F56" s="385">
        <f t="shared" si="44"/>
        <v>0</v>
      </c>
      <c r="G56" s="567"/>
      <c r="H56" s="385">
        <f t="shared" si="45"/>
        <v>0</v>
      </c>
      <c r="I56" s="6"/>
      <c r="J56" s="385">
        <f t="shared" si="46"/>
        <v>0</v>
      </c>
      <c r="K56" s="391">
        <f t="shared" si="47"/>
        <v>0</v>
      </c>
    </row>
    <row r="57" spans="1:15" ht="13.5">
      <c r="A57" s="348">
        <f>Gen!B22</f>
        <v>43994</v>
      </c>
      <c r="B57" s="20"/>
      <c r="C57" s="63"/>
      <c r="D57" s="385">
        <f t="shared" si="43"/>
        <v>0</v>
      </c>
      <c r="E57" s="6"/>
      <c r="F57" s="385">
        <f t="shared" si="44"/>
        <v>0</v>
      </c>
      <c r="G57" s="567"/>
      <c r="H57" s="385">
        <f t="shared" si="45"/>
        <v>0</v>
      </c>
      <c r="I57" s="6"/>
      <c r="J57" s="385">
        <f t="shared" si="46"/>
        <v>0</v>
      </c>
      <c r="K57" s="391">
        <f t="shared" si="47"/>
        <v>0</v>
      </c>
    </row>
    <row r="58" spans="1:15" ht="13.5">
      <c r="A58" s="348">
        <f>Gen!B23</f>
        <v>43995</v>
      </c>
      <c r="B58" s="20"/>
      <c r="C58" s="63"/>
      <c r="D58" s="385">
        <f t="shared" si="43"/>
        <v>0</v>
      </c>
      <c r="E58" s="6"/>
      <c r="F58" s="385">
        <f t="shared" si="44"/>
        <v>0</v>
      </c>
      <c r="G58" s="567"/>
      <c r="H58" s="385">
        <f t="shared" si="45"/>
        <v>0</v>
      </c>
      <c r="I58" s="6"/>
      <c r="J58" s="385">
        <f t="shared" si="46"/>
        <v>0</v>
      </c>
      <c r="K58" s="391">
        <f t="shared" si="47"/>
        <v>0</v>
      </c>
    </row>
    <row r="59" spans="1:15" ht="13.5">
      <c r="A59" s="348">
        <f>Gen!B24</f>
        <v>43996</v>
      </c>
      <c r="B59" s="20"/>
      <c r="C59" s="63"/>
      <c r="D59" s="385">
        <f t="shared" si="43"/>
        <v>0</v>
      </c>
      <c r="E59" s="6"/>
      <c r="F59" s="385">
        <f t="shared" si="44"/>
        <v>0</v>
      </c>
      <c r="G59" s="567"/>
      <c r="H59" s="385">
        <f t="shared" si="45"/>
        <v>0</v>
      </c>
      <c r="I59" s="6"/>
      <c r="J59" s="385">
        <f t="shared" si="46"/>
        <v>0</v>
      </c>
      <c r="K59" s="391">
        <f t="shared" si="47"/>
        <v>0</v>
      </c>
    </row>
    <row r="60" spans="1:15" ht="13.5">
      <c r="A60" s="348">
        <f>Gen!B25</f>
        <v>43997</v>
      </c>
      <c r="B60" s="20"/>
      <c r="C60" s="63"/>
      <c r="D60" s="385">
        <f t="shared" si="43"/>
        <v>0</v>
      </c>
      <c r="E60" s="6"/>
      <c r="F60" s="385">
        <f t="shared" si="44"/>
        <v>0</v>
      </c>
      <c r="G60" s="567"/>
      <c r="H60" s="385">
        <f t="shared" si="45"/>
        <v>0</v>
      </c>
      <c r="I60" s="6"/>
      <c r="J60" s="385">
        <f t="shared" si="46"/>
        <v>0</v>
      </c>
      <c r="K60" s="391">
        <f t="shared" si="47"/>
        <v>0</v>
      </c>
      <c r="L60" t="s">
        <v>250</v>
      </c>
      <c r="O60" t="s">
        <v>251</v>
      </c>
    </row>
    <row r="61" spans="1:15" ht="13.5">
      <c r="A61" s="348">
        <f>Gen!B26</f>
        <v>43998</v>
      </c>
      <c r="B61" s="20"/>
      <c r="C61" s="63"/>
      <c r="D61" s="385">
        <f t="shared" si="43"/>
        <v>0</v>
      </c>
      <c r="E61" s="6"/>
      <c r="F61" s="385">
        <f t="shared" si="44"/>
        <v>0</v>
      </c>
      <c r="G61" s="567"/>
      <c r="H61" s="385">
        <f t="shared" si="45"/>
        <v>0</v>
      </c>
      <c r="I61" s="6"/>
      <c r="J61" s="385">
        <f t="shared" si="46"/>
        <v>0</v>
      </c>
      <c r="K61" s="391">
        <f t="shared" si="47"/>
        <v>0</v>
      </c>
      <c r="L61" t="s">
        <v>253</v>
      </c>
      <c r="N61" t="s">
        <v>252</v>
      </c>
    </row>
    <row r="62" spans="1:15" ht="13.5">
      <c r="A62" s="348">
        <f>Gen!B27</f>
        <v>43999</v>
      </c>
      <c r="B62" s="20"/>
      <c r="C62" s="63"/>
      <c r="D62" s="385">
        <f t="shared" si="43"/>
        <v>0</v>
      </c>
      <c r="E62" s="6"/>
      <c r="F62" s="385">
        <f t="shared" si="44"/>
        <v>0</v>
      </c>
      <c r="G62" s="567"/>
      <c r="H62" s="385">
        <f t="shared" si="45"/>
        <v>0</v>
      </c>
      <c r="I62" s="6"/>
      <c r="J62" s="385">
        <f t="shared" si="46"/>
        <v>0</v>
      </c>
      <c r="K62" s="391">
        <f t="shared" si="47"/>
        <v>0</v>
      </c>
    </row>
    <row r="63" spans="1:15" ht="13.5">
      <c r="A63" s="348">
        <f>Gen!B28</f>
        <v>44000</v>
      </c>
      <c r="B63" s="20"/>
      <c r="C63" s="63"/>
      <c r="D63" s="385">
        <f t="shared" si="43"/>
        <v>0</v>
      </c>
      <c r="E63" s="6"/>
      <c r="F63" s="385">
        <f t="shared" si="44"/>
        <v>0</v>
      </c>
      <c r="G63" s="567"/>
      <c r="H63" s="385">
        <f t="shared" si="45"/>
        <v>0</v>
      </c>
      <c r="I63" s="6"/>
      <c r="J63" s="385">
        <f t="shared" si="46"/>
        <v>0</v>
      </c>
      <c r="K63" s="391">
        <f t="shared" si="47"/>
        <v>0</v>
      </c>
    </row>
    <row r="64" spans="1:15" ht="13.5">
      <c r="A64" s="348">
        <f>Gen!B29</f>
        <v>44001</v>
      </c>
      <c r="B64" s="20"/>
      <c r="C64" s="63"/>
      <c r="D64" s="385">
        <f t="shared" si="43"/>
        <v>0</v>
      </c>
      <c r="E64" s="6"/>
      <c r="F64" s="385">
        <f t="shared" si="44"/>
        <v>0</v>
      </c>
      <c r="G64" s="567"/>
      <c r="H64" s="385">
        <f t="shared" si="45"/>
        <v>0</v>
      </c>
      <c r="I64" s="6"/>
      <c r="J64" s="385">
        <f t="shared" si="46"/>
        <v>0</v>
      </c>
      <c r="K64" s="391">
        <f t="shared" si="47"/>
        <v>0</v>
      </c>
    </row>
    <row r="65" spans="1:11" ht="13.5">
      <c r="A65" s="348">
        <f>Gen!B30</f>
        <v>44002</v>
      </c>
      <c r="B65" s="20"/>
      <c r="C65" s="63"/>
      <c r="D65" s="385">
        <f t="shared" si="43"/>
        <v>0</v>
      </c>
      <c r="E65" s="6"/>
      <c r="F65" s="385">
        <f t="shared" si="44"/>
        <v>0</v>
      </c>
      <c r="G65" s="567"/>
      <c r="H65" s="385">
        <f t="shared" si="45"/>
        <v>0</v>
      </c>
      <c r="I65" s="6"/>
      <c r="J65" s="385">
        <f t="shared" si="46"/>
        <v>0</v>
      </c>
      <c r="K65" s="391">
        <f t="shared" si="47"/>
        <v>0</v>
      </c>
    </row>
    <row r="66" spans="1:11" ht="13.5">
      <c r="A66" s="348">
        <f>Gen!B31</f>
        <v>44003</v>
      </c>
      <c r="B66" s="20"/>
      <c r="C66" s="63"/>
      <c r="D66" s="385">
        <f t="shared" si="43"/>
        <v>0</v>
      </c>
      <c r="E66" s="6"/>
      <c r="F66" s="385">
        <f t="shared" si="44"/>
        <v>0</v>
      </c>
      <c r="G66" s="567"/>
      <c r="H66" s="385">
        <f t="shared" si="45"/>
        <v>0</v>
      </c>
      <c r="I66" s="6"/>
      <c r="J66" s="385">
        <f t="shared" si="46"/>
        <v>0</v>
      </c>
      <c r="K66" s="391">
        <f t="shared" si="47"/>
        <v>0</v>
      </c>
    </row>
    <row r="67" spans="1:11" ht="13.5">
      <c r="A67" s="348">
        <f>Gen!B32</f>
        <v>44004</v>
      </c>
      <c r="B67" s="20"/>
      <c r="C67" s="63"/>
      <c r="D67" s="385">
        <f t="shared" si="43"/>
        <v>0</v>
      </c>
      <c r="E67" s="6"/>
      <c r="F67" s="385">
        <f t="shared" si="44"/>
        <v>0</v>
      </c>
      <c r="G67" s="567"/>
      <c r="H67" s="385">
        <f t="shared" si="45"/>
        <v>0</v>
      </c>
      <c r="I67" s="6"/>
      <c r="J67" s="385">
        <f t="shared" si="46"/>
        <v>0</v>
      </c>
      <c r="K67" s="391">
        <f t="shared" si="47"/>
        <v>0</v>
      </c>
    </row>
    <row r="68" spans="1:11" ht="13.5">
      <c r="A68" s="348">
        <f>Gen!B33</f>
        <v>44005</v>
      </c>
      <c r="B68" s="20"/>
      <c r="C68" s="63"/>
      <c r="D68" s="385">
        <f t="shared" si="43"/>
        <v>0</v>
      </c>
      <c r="E68" s="6"/>
      <c r="F68" s="385">
        <f t="shared" si="44"/>
        <v>0</v>
      </c>
      <c r="G68" s="567"/>
      <c r="H68" s="385">
        <f t="shared" si="45"/>
        <v>0</v>
      </c>
      <c r="I68" s="6"/>
      <c r="J68" s="385">
        <f t="shared" si="46"/>
        <v>0</v>
      </c>
      <c r="K68" s="391">
        <f t="shared" si="47"/>
        <v>0</v>
      </c>
    </row>
    <row r="69" spans="1:11" ht="13.5">
      <c r="A69" s="348">
        <f>Gen!B34</f>
        <v>44006</v>
      </c>
      <c r="B69" s="20"/>
      <c r="C69" s="63"/>
      <c r="D69" s="385">
        <f t="shared" si="43"/>
        <v>0</v>
      </c>
      <c r="E69" s="6"/>
      <c r="F69" s="385">
        <f t="shared" si="44"/>
        <v>0</v>
      </c>
      <c r="G69" s="567"/>
      <c r="H69" s="385">
        <f t="shared" si="45"/>
        <v>0</v>
      </c>
      <c r="I69" s="6"/>
      <c r="J69" s="385">
        <f t="shared" si="46"/>
        <v>0</v>
      </c>
      <c r="K69" s="391">
        <f t="shared" si="47"/>
        <v>0</v>
      </c>
    </row>
    <row r="70" spans="1:11" ht="13.5">
      <c r="A70" s="348">
        <f>Gen!B35</f>
        <v>44007</v>
      </c>
      <c r="B70" s="20"/>
      <c r="C70" s="63"/>
      <c r="D70" s="385">
        <f t="shared" si="43"/>
        <v>0</v>
      </c>
      <c r="E70" s="6"/>
      <c r="F70" s="385">
        <f t="shared" si="44"/>
        <v>0</v>
      </c>
      <c r="G70" s="567"/>
      <c r="H70" s="385">
        <f t="shared" si="45"/>
        <v>0</v>
      </c>
      <c r="I70" s="6"/>
      <c r="J70" s="385">
        <f t="shared" si="46"/>
        <v>0</v>
      </c>
      <c r="K70" s="391">
        <f t="shared" si="47"/>
        <v>0</v>
      </c>
    </row>
    <row r="71" spans="1:11" ht="13.5">
      <c r="A71" s="348">
        <f>Gen!B36</f>
        <v>44008</v>
      </c>
      <c r="B71" s="20"/>
      <c r="C71" s="63"/>
      <c r="D71" s="385">
        <f t="shared" si="43"/>
        <v>0</v>
      </c>
      <c r="E71" s="6"/>
      <c r="F71" s="385">
        <f t="shared" si="44"/>
        <v>0</v>
      </c>
      <c r="G71" s="567"/>
      <c r="H71" s="385">
        <f t="shared" si="45"/>
        <v>0</v>
      </c>
      <c r="I71" s="6"/>
      <c r="J71" s="385">
        <f t="shared" si="46"/>
        <v>0</v>
      </c>
      <c r="K71" s="391">
        <f t="shared" si="47"/>
        <v>0</v>
      </c>
    </row>
    <row r="72" spans="1:11" ht="13.5">
      <c r="A72" s="348">
        <f>Gen!B37</f>
        <v>44009</v>
      </c>
      <c r="B72" s="20"/>
      <c r="C72" s="63"/>
      <c r="D72" s="385">
        <f t="shared" si="43"/>
        <v>0</v>
      </c>
      <c r="E72" s="6"/>
      <c r="F72" s="385">
        <f t="shared" si="44"/>
        <v>0</v>
      </c>
      <c r="G72" s="567"/>
      <c r="H72" s="385">
        <f t="shared" si="45"/>
        <v>0</v>
      </c>
      <c r="I72" s="6"/>
      <c r="J72" s="385">
        <f t="shared" si="46"/>
        <v>0</v>
      </c>
      <c r="K72" s="391">
        <f t="shared" si="47"/>
        <v>0</v>
      </c>
    </row>
    <row r="73" spans="1:11" ht="13.5">
      <c r="A73" s="348">
        <f>Gen!B38</f>
        <v>44010</v>
      </c>
      <c r="B73" s="20"/>
      <c r="C73" s="63"/>
      <c r="D73" s="385">
        <f t="shared" si="43"/>
        <v>0</v>
      </c>
      <c r="E73" s="6"/>
      <c r="F73" s="385">
        <f t="shared" si="44"/>
        <v>0</v>
      </c>
      <c r="G73" s="567"/>
      <c r="H73" s="385">
        <f t="shared" si="45"/>
        <v>0</v>
      </c>
      <c r="I73" s="6"/>
      <c r="J73" s="385">
        <f t="shared" si="46"/>
        <v>0</v>
      </c>
      <c r="K73" s="391">
        <f t="shared" si="47"/>
        <v>0</v>
      </c>
    </row>
    <row r="74" spans="1:11" ht="13.5">
      <c r="A74" s="348">
        <f>Gen!B39</f>
        <v>44011</v>
      </c>
      <c r="B74" s="20"/>
      <c r="C74" s="63"/>
      <c r="D74" s="385">
        <f t="shared" si="43"/>
        <v>0</v>
      </c>
      <c r="E74" s="6"/>
      <c r="F74" s="385">
        <f t="shared" si="44"/>
        <v>0</v>
      </c>
      <c r="G74" s="567"/>
      <c r="H74" s="385">
        <f t="shared" si="45"/>
        <v>0</v>
      </c>
      <c r="I74" s="6"/>
      <c r="J74" s="385">
        <f t="shared" si="46"/>
        <v>0</v>
      </c>
      <c r="K74" s="391">
        <f t="shared" si="47"/>
        <v>0</v>
      </c>
    </row>
    <row r="75" spans="1:11" ht="14.25" thickBot="1">
      <c r="A75" s="348">
        <f>Gen!B40</f>
        <v>44012</v>
      </c>
      <c r="B75" s="300"/>
      <c r="C75" s="63"/>
      <c r="D75" s="385">
        <f t="shared" si="43"/>
        <v>0</v>
      </c>
      <c r="E75" s="6"/>
      <c r="F75" s="385">
        <f t="shared" si="44"/>
        <v>0</v>
      </c>
      <c r="G75" s="567"/>
      <c r="H75" s="385">
        <f t="shared" si="45"/>
        <v>0</v>
      </c>
      <c r="I75" s="6"/>
      <c r="J75" s="385">
        <f t="shared" si="46"/>
        <v>0</v>
      </c>
      <c r="K75" s="391">
        <f t="shared" si="47"/>
        <v>0</v>
      </c>
    </row>
    <row r="76" spans="1:11" ht="13.5">
      <c r="A76" s="348">
        <f>Gen!B41</f>
        <v>44013</v>
      </c>
      <c r="C76" s="63"/>
      <c r="D76" s="385">
        <f t="shared" si="43"/>
        <v>0</v>
      </c>
      <c r="E76" s="6"/>
      <c r="F76" s="385">
        <f t="shared" si="44"/>
        <v>0</v>
      </c>
      <c r="G76" s="567"/>
      <c r="H76" s="385">
        <f t="shared" si="45"/>
        <v>0</v>
      </c>
      <c r="I76" s="6"/>
      <c r="J76" s="385">
        <f t="shared" si="46"/>
        <v>0</v>
      </c>
      <c r="K76" s="391">
        <f t="shared" si="47"/>
        <v>0</v>
      </c>
    </row>
    <row r="77" spans="1:11" ht="14.25" thickBot="1">
      <c r="A77" s="348">
        <f>Gen!B42</f>
        <v>44014</v>
      </c>
      <c r="C77" s="63"/>
      <c r="D77" s="385">
        <f t="shared" si="43"/>
        <v>0</v>
      </c>
      <c r="E77" s="6"/>
      <c r="F77" s="385">
        <f t="shared" si="44"/>
        <v>0</v>
      </c>
      <c r="G77" s="567"/>
      <c r="H77" s="385">
        <f t="shared" si="45"/>
        <v>0</v>
      </c>
      <c r="I77" s="6"/>
      <c r="J77" s="385">
        <f t="shared" si="46"/>
        <v>0</v>
      </c>
      <c r="K77" s="392">
        <f t="shared" si="47"/>
        <v>0</v>
      </c>
    </row>
    <row r="78" spans="1:11" ht="13.5">
      <c r="A78" s="348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315</v>
      </c>
      <c r="B2" s="491"/>
      <c r="C2" s="517"/>
      <c r="D2" s="517"/>
      <c r="E2" s="51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8" t="s">
        <v>68</v>
      </c>
      <c r="S2" s="518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9"/>
      <c r="U3" s="520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1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1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1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1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1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1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1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1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1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1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1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1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1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1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1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1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1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1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1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1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1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1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1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1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1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1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1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1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1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1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1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8" t="s">
        <v>180</v>
      </c>
      <c r="B1" s="879"/>
      <c r="C1" s="879"/>
      <c r="D1" s="879"/>
      <c r="E1" s="879"/>
      <c r="F1" s="879"/>
      <c r="G1" s="880"/>
    </row>
    <row r="2" spans="1:7" ht="13.5" thickBot="1">
      <c r="A2" s="357"/>
      <c r="B2" s="881" t="s">
        <v>175</v>
      </c>
      <c r="C2" s="882"/>
      <c r="D2" s="883"/>
      <c r="E2" s="881" t="s">
        <v>176</v>
      </c>
      <c r="F2" s="882"/>
      <c r="G2" s="883"/>
    </row>
    <row r="3" spans="1:7" ht="40.5" customHeight="1">
      <c r="A3" s="378" t="s">
        <v>7</v>
      </c>
      <c r="B3" s="379" t="s">
        <v>177</v>
      </c>
      <c r="C3" s="379" t="s">
        <v>178</v>
      </c>
      <c r="D3" s="379" t="s">
        <v>179</v>
      </c>
      <c r="E3" s="379" t="s">
        <v>177</v>
      </c>
      <c r="F3" s="379" t="s">
        <v>178</v>
      </c>
      <c r="G3" s="380" t="s">
        <v>179</v>
      </c>
    </row>
    <row r="4" spans="1:7">
      <c r="A4" s="289">
        <v>42736</v>
      </c>
      <c r="B4" s="575">
        <v>24085</v>
      </c>
      <c r="C4" s="291">
        <v>25775</v>
      </c>
      <c r="D4" s="381">
        <f t="shared" ref="D4:D47" si="0">C4-B4</f>
        <v>1690</v>
      </c>
      <c r="E4" s="382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5">
        <f t="shared" ref="B5:B48" si="2">C4</f>
        <v>25775</v>
      </c>
      <c r="C5" s="291">
        <v>27592</v>
      </c>
      <c r="D5" s="381">
        <f t="shared" si="0"/>
        <v>1817</v>
      </c>
      <c r="E5" s="382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5">
        <f t="shared" si="2"/>
        <v>27592</v>
      </c>
      <c r="C6" s="323">
        <v>29398</v>
      </c>
      <c r="D6" s="381">
        <f t="shared" si="0"/>
        <v>1806</v>
      </c>
      <c r="E6" s="382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5">
        <f t="shared" si="2"/>
        <v>29398</v>
      </c>
      <c r="C7" s="291">
        <v>31148</v>
      </c>
      <c r="D7" s="381">
        <f t="shared" si="0"/>
        <v>1750</v>
      </c>
      <c r="E7" s="382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5">
        <f t="shared" si="2"/>
        <v>31148</v>
      </c>
      <c r="C8" s="291">
        <v>32896</v>
      </c>
      <c r="D8" s="381">
        <f t="shared" si="0"/>
        <v>1748</v>
      </c>
      <c r="E8" s="382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5">
        <f t="shared" si="2"/>
        <v>32896</v>
      </c>
      <c r="C9" s="291">
        <v>34620</v>
      </c>
      <c r="D9" s="381">
        <f t="shared" si="0"/>
        <v>1724</v>
      </c>
      <c r="E9" s="382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5">
        <f t="shared" si="2"/>
        <v>34620</v>
      </c>
      <c r="C10" s="291">
        <v>36384</v>
      </c>
      <c r="D10" s="381">
        <f t="shared" si="0"/>
        <v>1764</v>
      </c>
      <c r="E10" s="382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5">
        <f t="shared" si="2"/>
        <v>36384</v>
      </c>
      <c r="C11" s="291">
        <v>38320</v>
      </c>
      <c r="D11" s="381">
        <f t="shared" si="0"/>
        <v>1936</v>
      </c>
      <c r="E11" s="382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5">
        <f t="shared" si="2"/>
        <v>38320</v>
      </c>
      <c r="C12" s="291">
        <v>40226</v>
      </c>
      <c r="D12" s="381">
        <f t="shared" si="0"/>
        <v>1906</v>
      </c>
      <c r="E12" s="382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5">
        <f t="shared" si="2"/>
        <v>40226</v>
      </c>
      <c r="C13" s="291">
        <v>41900</v>
      </c>
      <c r="D13" s="381">
        <f t="shared" si="0"/>
        <v>1674</v>
      </c>
      <c r="E13" s="382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5">
        <f t="shared" si="2"/>
        <v>41900</v>
      </c>
      <c r="C14" s="291">
        <v>43712</v>
      </c>
      <c r="D14" s="381">
        <f t="shared" si="0"/>
        <v>1812</v>
      </c>
      <c r="E14" s="382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5">
        <f t="shared" si="2"/>
        <v>43712</v>
      </c>
      <c r="C15" s="291">
        <v>46071</v>
      </c>
      <c r="D15" s="381">
        <f t="shared" si="0"/>
        <v>2359</v>
      </c>
      <c r="E15" s="382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5">
        <f t="shared" si="2"/>
        <v>46071</v>
      </c>
      <c r="C16" s="291">
        <v>48188</v>
      </c>
      <c r="D16" s="381">
        <f t="shared" si="0"/>
        <v>2117</v>
      </c>
      <c r="E16" s="382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5">
        <f t="shared" si="2"/>
        <v>48188</v>
      </c>
      <c r="C17" s="291">
        <v>50066</v>
      </c>
      <c r="D17" s="381">
        <f t="shared" si="0"/>
        <v>1878</v>
      </c>
      <c r="E17" s="382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5">
        <f t="shared" si="2"/>
        <v>50066</v>
      </c>
      <c r="C18" s="291">
        <v>51916</v>
      </c>
      <c r="D18" s="381">
        <f t="shared" si="0"/>
        <v>1850</v>
      </c>
      <c r="E18" s="382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5">
        <f t="shared" si="2"/>
        <v>51916</v>
      </c>
      <c r="C19" s="291">
        <v>53641</v>
      </c>
      <c r="D19" s="381">
        <f t="shared" si="0"/>
        <v>1725</v>
      </c>
      <c r="E19" s="382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5">
        <f t="shared" si="2"/>
        <v>53641</v>
      </c>
      <c r="C20" s="291">
        <v>55409</v>
      </c>
      <c r="D20" s="381">
        <f t="shared" si="0"/>
        <v>1768</v>
      </c>
      <c r="E20" s="382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5">
        <f t="shared" si="2"/>
        <v>55409</v>
      </c>
      <c r="C21" s="291">
        <v>57396</v>
      </c>
      <c r="D21" s="381">
        <f t="shared" si="0"/>
        <v>1987</v>
      </c>
      <c r="E21" s="382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5">
        <f t="shared" si="2"/>
        <v>57396</v>
      </c>
      <c r="C22" s="291">
        <v>59391</v>
      </c>
      <c r="D22" s="381">
        <f t="shared" si="0"/>
        <v>1995</v>
      </c>
      <c r="E22" s="382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5">
        <f t="shared" si="2"/>
        <v>59391</v>
      </c>
      <c r="C23" s="291">
        <v>61427</v>
      </c>
      <c r="D23" s="381">
        <f t="shared" si="0"/>
        <v>2036</v>
      </c>
      <c r="E23" s="382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5">
        <f t="shared" si="2"/>
        <v>61427</v>
      </c>
      <c r="C24" s="291">
        <v>63464</v>
      </c>
      <c r="D24" s="381">
        <f t="shared" si="0"/>
        <v>2037</v>
      </c>
      <c r="E24" s="382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5">
        <f t="shared" si="2"/>
        <v>63464</v>
      </c>
      <c r="C25" s="291">
        <v>65577</v>
      </c>
      <c r="D25" s="381">
        <f t="shared" si="0"/>
        <v>2113</v>
      </c>
      <c r="E25" s="382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5">
        <f t="shared" si="2"/>
        <v>65577</v>
      </c>
      <c r="C26" s="291">
        <v>67714</v>
      </c>
      <c r="D26" s="381">
        <f t="shared" si="0"/>
        <v>2137</v>
      </c>
      <c r="E26" s="382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5">
        <f t="shared" si="2"/>
        <v>67714</v>
      </c>
      <c r="C27" s="291">
        <v>69886</v>
      </c>
      <c r="D27" s="381">
        <f t="shared" si="0"/>
        <v>2172</v>
      </c>
      <c r="E27" s="382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5">
        <f t="shared" si="2"/>
        <v>69886</v>
      </c>
      <c r="C28" s="291">
        <v>72120</v>
      </c>
      <c r="D28" s="381">
        <f t="shared" si="0"/>
        <v>2234</v>
      </c>
      <c r="E28" s="382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5">
        <f t="shared" si="2"/>
        <v>72120</v>
      </c>
      <c r="C29" s="291">
        <v>74132</v>
      </c>
      <c r="D29" s="381">
        <f t="shared" si="0"/>
        <v>2012</v>
      </c>
      <c r="E29" s="382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5">
        <f t="shared" si="2"/>
        <v>74132</v>
      </c>
      <c r="C30" s="291">
        <v>76130</v>
      </c>
      <c r="D30" s="381">
        <f t="shared" si="0"/>
        <v>1998</v>
      </c>
      <c r="E30" s="382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5">
        <f t="shared" si="2"/>
        <v>76130</v>
      </c>
      <c r="C31" s="291">
        <v>77859</v>
      </c>
      <c r="D31" s="381">
        <f t="shared" si="0"/>
        <v>1729</v>
      </c>
      <c r="E31" s="382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5">
        <f t="shared" si="2"/>
        <v>77859</v>
      </c>
      <c r="C32" s="291">
        <v>79636</v>
      </c>
      <c r="D32" s="381">
        <f t="shared" si="0"/>
        <v>1777</v>
      </c>
      <c r="E32" s="382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5">
        <f t="shared" si="2"/>
        <v>79636</v>
      </c>
      <c r="C33" s="291">
        <v>81603</v>
      </c>
      <c r="D33" s="381">
        <f t="shared" si="0"/>
        <v>1967</v>
      </c>
      <c r="E33" s="382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5">
        <f t="shared" si="2"/>
        <v>81603</v>
      </c>
      <c r="C34" s="291">
        <v>83511</v>
      </c>
      <c r="D34" s="381">
        <f t="shared" si="0"/>
        <v>1908</v>
      </c>
      <c r="E34" s="382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5">
        <f t="shared" si="2"/>
        <v>83511</v>
      </c>
      <c r="C35" s="291">
        <v>85418</v>
      </c>
      <c r="D35" s="381">
        <f t="shared" si="0"/>
        <v>1907</v>
      </c>
      <c r="E35" s="382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5">
        <f t="shared" si="2"/>
        <v>85418</v>
      </c>
      <c r="C36" s="291">
        <v>87262</v>
      </c>
      <c r="D36" s="381">
        <f t="shared" si="0"/>
        <v>1844</v>
      </c>
      <c r="E36" s="382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5">
        <f t="shared" si="2"/>
        <v>87262</v>
      </c>
      <c r="C37" s="291">
        <v>89489</v>
      </c>
      <c r="D37" s="381">
        <f t="shared" si="0"/>
        <v>2227</v>
      </c>
      <c r="E37" s="382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5">
        <f t="shared" si="2"/>
        <v>89489</v>
      </c>
      <c r="C38" s="291">
        <v>91615</v>
      </c>
      <c r="D38" s="381">
        <f t="shared" si="0"/>
        <v>2126</v>
      </c>
      <c r="E38" s="382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5">
        <f t="shared" si="2"/>
        <v>91615</v>
      </c>
      <c r="C39" s="291">
        <v>93828</v>
      </c>
      <c r="D39" s="381">
        <f t="shared" si="0"/>
        <v>2213</v>
      </c>
      <c r="E39" s="382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5">
        <f t="shared" si="2"/>
        <v>93828</v>
      </c>
      <c r="C40" s="291">
        <v>95998</v>
      </c>
      <c r="D40" s="381">
        <f t="shared" si="0"/>
        <v>2170</v>
      </c>
      <c r="E40" s="382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5">
        <f t="shared" si="2"/>
        <v>95998</v>
      </c>
      <c r="C41" s="291">
        <v>98070</v>
      </c>
      <c r="D41" s="381">
        <f t="shared" si="0"/>
        <v>2072</v>
      </c>
      <c r="E41" s="382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5">
        <f t="shared" si="2"/>
        <v>98070</v>
      </c>
      <c r="C42" s="291">
        <v>100381</v>
      </c>
      <c r="D42" s="381">
        <f t="shared" si="0"/>
        <v>2311</v>
      </c>
      <c r="E42" s="382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5">
        <f t="shared" si="2"/>
        <v>100381</v>
      </c>
      <c r="C43" s="291">
        <v>102607</v>
      </c>
      <c r="D43" s="381">
        <f t="shared" si="0"/>
        <v>2226</v>
      </c>
      <c r="E43" s="382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5">
        <f t="shared" si="2"/>
        <v>102607</v>
      </c>
      <c r="C44" s="291">
        <v>104898</v>
      </c>
      <c r="D44" s="381">
        <f t="shared" si="0"/>
        <v>2291</v>
      </c>
      <c r="E44" s="382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5">
        <f t="shared" si="2"/>
        <v>104898</v>
      </c>
      <c r="C45" s="291"/>
      <c r="D45" s="381">
        <f t="shared" si="0"/>
        <v>-104898</v>
      </c>
      <c r="E45" s="382">
        <f t="shared" si="3"/>
        <v>279093</v>
      </c>
      <c r="F45" s="291"/>
      <c r="G45" s="313">
        <f t="shared" si="1"/>
        <v>-279093</v>
      </c>
    </row>
    <row r="46" spans="1:7">
      <c r="A46" s="289">
        <v>44013</v>
      </c>
      <c r="B46" s="575">
        <f t="shared" si="2"/>
        <v>0</v>
      </c>
      <c r="C46" s="291"/>
      <c r="D46" s="381">
        <f t="shared" si="0"/>
        <v>0</v>
      </c>
      <c r="E46" s="382">
        <f t="shared" si="3"/>
        <v>0</v>
      </c>
      <c r="F46" s="291"/>
      <c r="G46" s="313">
        <f t="shared" si="1"/>
        <v>0</v>
      </c>
    </row>
    <row r="47" spans="1:7">
      <c r="A47" s="289">
        <v>44044</v>
      </c>
      <c r="B47" s="575">
        <f t="shared" si="2"/>
        <v>0</v>
      </c>
      <c r="C47" s="291"/>
      <c r="D47" s="381">
        <f t="shared" si="0"/>
        <v>0</v>
      </c>
      <c r="E47" s="382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5">
        <f t="shared" si="2"/>
        <v>0</v>
      </c>
      <c r="C48" s="291"/>
      <c r="D48" s="381">
        <f t="shared" ref="D48:D78" si="4">C48-B48</f>
        <v>0</v>
      </c>
      <c r="E48" s="382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5">
        <f t="shared" ref="B49:B78" si="6">C48</f>
        <v>0</v>
      </c>
      <c r="C49" s="291"/>
      <c r="D49" s="381">
        <f t="shared" si="4"/>
        <v>0</v>
      </c>
      <c r="E49" s="382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5">
        <f t="shared" si="6"/>
        <v>0</v>
      </c>
      <c r="C50" s="291"/>
      <c r="D50" s="381">
        <f t="shared" si="4"/>
        <v>0</v>
      </c>
      <c r="E50" s="382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5">
        <f t="shared" si="6"/>
        <v>0</v>
      </c>
      <c r="C51" s="291"/>
      <c r="D51" s="381">
        <f t="shared" si="4"/>
        <v>0</v>
      </c>
      <c r="E51" s="382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5">
        <f t="shared" si="6"/>
        <v>0</v>
      </c>
      <c r="C52" s="291"/>
      <c r="D52" s="381">
        <f t="shared" si="4"/>
        <v>0</v>
      </c>
      <c r="E52" s="382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5">
        <f t="shared" si="6"/>
        <v>0</v>
      </c>
      <c r="C53" s="291"/>
      <c r="D53" s="381">
        <f t="shared" si="4"/>
        <v>0</v>
      </c>
      <c r="E53" s="382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5">
        <f t="shared" si="6"/>
        <v>0</v>
      </c>
      <c r="C54" s="291"/>
      <c r="D54" s="381">
        <f t="shared" si="4"/>
        <v>0</v>
      </c>
      <c r="E54" s="382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5">
        <f t="shared" si="6"/>
        <v>0</v>
      </c>
      <c r="C55" s="291"/>
      <c r="D55" s="381">
        <f t="shared" si="4"/>
        <v>0</v>
      </c>
      <c r="E55" s="382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5">
        <f t="shared" si="6"/>
        <v>0</v>
      </c>
      <c r="C56" s="291"/>
      <c r="D56" s="381">
        <f t="shared" si="4"/>
        <v>0</v>
      </c>
      <c r="E56" s="382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5">
        <f t="shared" si="6"/>
        <v>0</v>
      </c>
      <c r="C57" s="291"/>
      <c r="D57" s="381">
        <f t="shared" si="4"/>
        <v>0</v>
      </c>
      <c r="E57" s="382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5">
        <f t="shared" si="6"/>
        <v>0</v>
      </c>
      <c r="C58" s="291"/>
      <c r="D58" s="381">
        <f t="shared" si="4"/>
        <v>0</v>
      </c>
      <c r="E58" s="382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5">
        <f t="shared" si="6"/>
        <v>0</v>
      </c>
      <c r="C59" s="291"/>
      <c r="D59" s="381">
        <f t="shared" si="4"/>
        <v>0</v>
      </c>
      <c r="E59" s="382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5">
        <f t="shared" si="6"/>
        <v>0</v>
      </c>
      <c r="C60" s="291"/>
      <c r="D60" s="381">
        <f t="shared" si="4"/>
        <v>0</v>
      </c>
      <c r="E60" s="382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5">
        <f t="shared" si="6"/>
        <v>0</v>
      </c>
      <c r="C61" s="291"/>
      <c r="D61" s="381">
        <f t="shared" si="4"/>
        <v>0</v>
      </c>
      <c r="E61" s="382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5">
        <f t="shared" si="6"/>
        <v>0</v>
      </c>
      <c r="C62" s="291"/>
      <c r="D62" s="381">
        <f t="shared" si="4"/>
        <v>0</v>
      </c>
      <c r="E62" s="382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5">
        <f t="shared" si="6"/>
        <v>0</v>
      </c>
      <c r="C63" s="291"/>
      <c r="D63" s="381">
        <f t="shared" si="4"/>
        <v>0</v>
      </c>
      <c r="E63" s="382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5">
        <f t="shared" si="6"/>
        <v>0</v>
      </c>
      <c r="C64" s="291"/>
      <c r="D64" s="381">
        <f t="shared" si="4"/>
        <v>0</v>
      </c>
      <c r="E64" s="382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5">
        <f t="shared" si="6"/>
        <v>0</v>
      </c>
      <c r="C65" s="6"/>
      <c r="D65" s="381">
        <f t="shared" si="4"/>
        <v>0</v>
      </c>
      <c r="E65" s="382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5">
        <f t="shared" si="6"/>
        <v>0</v>
      </c>
      <c r="C66" s="6"/>
      <c r="D66" s="381">
        <f t="shared" si="4"/>
        <v>0</v>
      </c>
      <c r="E66" s="382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5">
        <f t="shared" si="6"/>
        <v>0</v>
      </c>
      <c r="C67" s="6"/>
      <c r="D67" s="381">
        <f t="shared" si="4"/>
        <v>0</v>
      </c>
      <c r="E67" s="382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5">
        <f t="shared" si="6"/>
        <v>0</v>
      </c>
      <c r="C68" s="6"/>
      <c r="D68" s="381">
        <f t="shared" si="4"/>
        <v>0</v>
      </c>
      <c r="E68" s="382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5">
        <f t="shared" si="6"/>
        <v>0</v>
      </c>
      <c r="C69" s="6"/>
      <c r="D69" s="381">
        <f t="shared" si="4"/>
        <v>0</v>
      </c>
      <c r="E69" s="382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5">
        <f t="shared" si="6"/>
        <v>0</v>
      </c>
      <c r="C70" s="6"/>
      <c r="D70" s="381">
        <f t="shared" si="4"/>
        <v>0</v>
      </c>
      <c r="E70" s="382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5">
        <f t="shared" si="6"/>
        <v>0</v>
      </c>
      <c r="C71" s="6"/>
      <c r="D71" s="381">
        <f t="shared" si="4"/>
        <v>0</v>
      </c>
      <c r="E71" s="382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5">
        <f t="shared" si="6"/>
        <v>0</v>
      </c>
      <c r="C72" s="6"/>
      <c r="D72" s="381">
        <f t="shared" si="4"/>
        <v>0</v>
      </c>
      <c r="E72" s="382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5">
        <f t="shared" si="6"/>
        <v>0</v>
      </c>
      <c r="C73" s="6"/>
      <c r="D73" s="381">
        <f t="shared" si="4"/>
        <v>0</v>
      </c>
      <c r="E73" s="382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5">
        <f t="shared" si="6"/>
        <v>0</v>
      </c>
      <c r="C74" s="6"/>
      <c r="D74" s="381">
        <f t="shared" si="4"/>
        <v>0</v>
      </c>
      <c r="E74" s="382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5">
        <f t="shared" si="6"/>
        <v>0</v>
      </c>
      <c r="C75" s="6"/>
      <c r="D75" s="381">
        <f t="shared" si="4"/>
        <v>0</v>
      </c>
      <c r="E75" s="382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5">
        <f t="shared" si="6"/>
        <v>0</v>
      </c>
      <c r="C76" s="6"/>
      <c r="D76" s="381">
        <f t="shared" si="4"/>
        <v>0</v>
      </c>
      <c r="E76" s="382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5">
        <f t="shared" si="6"/>
        <v>0</v>
      </c>
      <c r="C77" s="6"/>
      <c r="D77" s="381">
        <f t="shared" si="4"/>
        <v>0</v>
      </c>
      <c r="E77" s="382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6">
        <f t="shared" si="6"/>
        <v>0</v>
      </c>
      <c r="C78" s="8"/>
      <c r="D78" s="577">
        <f t="shared" si="4"/>
        <v>0</v>
      </c>
      <c r="E78" s="578">
        <f t="shared" si="7"/>
        <v>0</v>
      </c>
      <c r="F78" s="8"/>
      <c r="G78" s="359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7"/>
  <sheetViews>
    <sheetView workbookViewId="0">
      <selection activeCell="J9" sqref="J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8" t="s">
        <v>230</v>
      </c>
      <c r="B1" s="879"/>
      <c r="C1" s="879"/>
      <c r="D1" s="879"/>
      <c r="G1" s="327"/>
      <c r="H1" s="328" t="s">
        <v>231</v>
      </c>
      <c r="I1" s="328"/>
      <c r="J1" s="327"/>
      <c r="K1" s="327"/>
    </row>
    <row r="2" spans="1:12" ht="39" thickBot="1">
      <c r="A2" s="579" t="s">
        <v>7</v>
      </c>
      <c r="B2" s="580" t="s">
        <v>177</v>
      </c>
      <c r="C2" s="580" t="s">
        <v>178</v>
      </c>
      <c r="D2" s="581" t="s">
        <v>194</v>
      </c>
      <c r="E2" s="581" t="s">
        <v>236</v>
      </c>
      <c r="F2" s="582" t="s">
        <v>214</v>
      </c>
      <c r="G2" s="583" t="s">
        <v>232</v>
      </c>
      <c r="H2" s="584" t="s">
        <v>233</v>
      </c>
      <c r="I2" s="585" t="s">
        <v>234</v>
      </c>
      <c r="J2" s="584" t="s">
        <v>235</v>
      </c>
      <c r="K2" s="584" t="s">
        <v>214</v>
      </c>
      <c r="L2" s="586" t="s">
        <v>195</v>
      </c>
    </row>
    <row r="3" spans="1:12">
      <c r="A3" s="289">
        <v>42736</v>
      </c>
      <c r="B3" s="373">
        <v>5670348</v>
      </c>
      <c r="C3" s="291">
        <v>5735627</v>
      </c>
      <c r="D3" s="460">
        <f t="shared" ref="D3:D57" si="0">C3-B3</f>
        <v>65279</v>
      </c>
      <c r="E3" s="291">
        <v>65276.07</v>
      </c>
      <c r="F3" s="587">
        <f t="shared" ref="F3:F61" si="1">D3-E3</f>
        <v>2.930000000000291</v>
      </c>
      <c r="G3" s="588">
        <v>0</v>
      </c>
      <c r="H3" s="6"/>
      <c r="I3" s="322">
        <f t="shared" ref="I3:I57" si="2">H3-G3</f>
        <v>0</v>
      </c>
      <c r="J3" s="6"/>
      <c r="K3" s="329">
        <f t="shared" ref="K3:K57" si="3">I3-J3</f>
        <v>0</v>
      </c>
      <c r="L3" s="589"/>
    </row>
    <row r="4" spans="1:12">
      <c r="A4" s="289">
        <v>42767</v>
      </c>
      <c r="B4" s="373">
        <f t="shared" ref="B4:B58" si="4">C3</f>
        <v>5735627</v>
      </c>
      <c r="C4" s="291">
        <v>5797781</v>
      </c>
      <c r="D4" s="460">
        <f t="shared" si="0"/>
        <v>62154</v>
      </c>
      <c r="E4" s="291">
        <v>62154.9</v>
      </c>
      <c r="F4" s="587">
        <f t="shared" si="1"/>
        <v>-0.90000000000145519</v>
      </c>
      <c r="G4" s="588">
        <f t="shared" ref="G4:G58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9"/>
    </row>
    <row r="5" spans="1:12">
      <c r="A5" s="289">
        <v>42795</v>
      </c>
      <c r="B5" s="373">
        <f t="shared" si="4"/>
        <v>5797781</v>
      </c>
      <c r="C5" s="291">
        <v>5864602</v>
      </c>
      <c r="D5" s="460">
        <f t="shared" si="0"/>
        <v>66821</v>
      </c>
      <c r="E5" s="590">
        <v>66820.89</v>
      </c>
      <c r="F5" s="587">
        <f t="shared" si="1"/>
        <v>0.11000000000058208</v>
      </c>
      <c r="G5" s="588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9"/>
    </row>
    <row r="6" spans="1:12">
      <c r="A6" s="289">
        <v>42826</v>
      </c>
      <c r="B6" s="373">
        <f t="shared" si="4"/>
        <v>5864602</v>
      </c>
      <c r="C6" s="323">
        <v>5927895</v>
      </c>
      <c r="D6" s="460">
        <f t="shared" si="0"/>
        <v>63293</v>
      </c>
      <c r="E6" s="291">
        <v>63292.38</v>
      </c>
      <c r="F6" s="587">
        <f t="shared" si="1"/>
        <v>0.62000000000261934</v>
      </c>
      <c r="G6" s="588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9"/>
    </row>
    <row r="7" spans="1:12">
      <c r="A7" s="289">
        <v>42856</v>
      </c>
      <c r="B7" s="373">
        <f t="shared" si="4"/>
        <v>5927895</v>
      </c>
      <c r="C7" s="291">
        <v>5995212</v>
      </c>
      <c r="D7" s="460">
        <f t="shared" si="0"/>
        <v>67317</v>
      </c>
      <c r="E7" s="291">
        <v>67313.47</v>
      </c>
      <c r="F7" s="587">
        <f t="shared" si="1"/>
        <v>3.5299999999988358</v>
      </c>
      <c r="G7" s="588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9"/>
    </row>
    <row r="8" spans="1:12">
      <c r="A8" s="289">
        <v>42887</v>
      </c>
      <c r="B8" s="373">
        <f t="shared" si="4"/>
        <v>5995212</v>
      </c>
      <c r="C8" s="291">
        <v>6065754</v>
      </c>
      <c r="D8" s="460">
        <f t="shared" si="0"/>
        <v>70542</v>
      </c>
      <c r="E8" s="291">
        <v>70542.600000000006</v>
      </c>
      <c r="F8" s="587">
        <f t="shared" si="1"/>
        <v>-0.60000000000582077</v>
      </c>
      <c r="G8" s="588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9"/>
    </row>
    <row r="9" spans="1:12">
      <c r="A9" s="289">
        <v>42917</v>
      </c>
      <c r="B9" s="373">
        <f t="shared" si="4"/>
        <v>6065754</v>
      </c>
      <c r="C9" s="291">
        <v>6141089</v>
      </c>
      <c r="D9" s="460">
        <f t="shared" si="0"/>
        <v>75335</v>
      </c>
      <c r="E9" s="291">
        <v>75335</v>
      </c>
      <c r="F9" s="587">
        <f t="shared" si="1"/>
        <v>0</v>
      </c>
      <c r="G9" s="588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9"/>
    </row>
    <row r="10" spans="1:12">
      <c r="A10" s="289">
        <v>42948</v>
      </c>
      <c r="B10" s="373">
        <f t="shared" si="4"/>
        <v>6141089</v>
      </c>
      <c r="C10" s="291">
        <v>6212470</v>
      </c>
      <c r="D10" s="460">
        <f t="shared" si="0"/>
        <v>71381</v>
      </c>
      <c r="E10" s="291">
        <v>71379.899999999994</v>
      </c>
      <c r="F10" s="587">
        <f t="shared" si="1"/>
        <v>1.1000000000058208</v>
      </c>
      <c r="G10" s="588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9">
        <f>I10+D10</f>
        <v>81411</v>
      </c>
    </row>
    <row r="11" spans="1:12">
      <c r="A11" s="289">
        <v>42979</v>
      </c>
      <c r="B11" s="373">
        <f t="shared" si="4"/>
        <v>6212470</v>
      </c>
      <c r="C11" s="323">
        <v>6276921</v>
      </c>
      <c r="D11" s="460">
        <f t="shared" si="0"/>
        <v>64451</v>
      </c>
      <c r="E11" s="323">
        <v>64450.62</v>
      </c>
      <c r="F11" s="587">
        <f t="shared" si="1"/>
        <v>0.37999999999738066</v>
      </c>
      <c r="G11" s="588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9">
        <f t="shared" ref="L11:L74" si="6">I11+D11</f>
        <v>72233</v>
      </c>
    </row>
    <row r="12" spans="1:12">
      <c r="A12" s="289">
        <v>43009</v>
      </c>
      <c r="B12" s="373">
        <f t="shared" si="4"/>
        <v>6276921</v>
      </c>
      <c r="C12" s="323">
        <v>6352831</v>
      </c>
      <c r="D12" s="460">
        <f t="shared" si="0"/>
        <v>75910</v>
      </c>
      <c r="E12" s="323">
        <v>75906.789999999994</v>
      </c>
      <c r="F12" s="587">
        <f t="shared" si="1"/>
        <v>3.2100000000064028</v>
      </c>
      <c r="G12" s="588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9">
        <f t="shared" si="6"/>
        <v>82682</v>
      </c>
    </row>
    <row r="13" spans="1:12">
      <c r="A13" s="289">
        <v>43040</v>
      </c>
      <c r="B13" s="373">
        <f t="shared" si="4"/>
        <v>6352831</v>
      </c>
      <c r="C13" s="323">
        <v>6410003</v>
      </c>
      <c r="D13" s="460">
        <f t="shared" si="0"/>
        <v>57172</v>
      </c>
      <c r="E13" s="323">
        <v>57171.51</v>
      </c>
      <c r="F13" s="587">
        <f t="shared" si="1"/>
        <v>0.48999999999796273</v>
      </c>
      <c r="G13" s="588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9">
        <f t="shared" si="6"/>
        <v>63302</v>
      </c>
    </row>
    <row r="14" spans="1:12">
      <c r="A14" s="289">
        <v>43070</v>
      </c>
      <c r="B14" s="373">
        <f t="shared" si="4"/>
        <v>6410003</v>
      </c>
      <c r="C14" s="291">
        <v>6476953</v>
      </c>
      <c r="D14" s="460">
        <f t="shared" si="0"/>
        <v>66950</v>
      </c>
      <c r="E14" s="291">
        <v>66951.14</v>
      </c>
      <c r="F14" s="587">
        <f t="shared" si="1"/>
        <v>-1.1399999999994179</v>
      </c>
      <c r="G14" s="588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9">
        <f t="shared" si="6"/>
        <v>74123</v>
      </c>
    </row>
    <row r="15" spans="1:12">
      <c r="A15" s="289">
        <v>43101</v>
      </c>
      <c r="B15" s="373">
        <f t="shared" si="4"/>
        <v>6476953</v>
      </c>
      <c r="C15" s="291">
        <v>6542879</v>
      </c>
      <c r="D15" s="460">
        <f t="shared" si="0"/>
        <v>65926</v>
      </c>
      <c r="E15" s="291">
        <v>65927.77</v>
      </c>
      <c r="F15" s="587">
        <f t="shared" si="1"/>
        <v>-1.7700000000040745</v>
      </c>
      <c r="G15" s="588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9">
        <f t="shared" si="6"/>
        <v>72799</v>
      </c>
    </row>
    <row r="16" spans="1:12">
      <c r="A16" s="289">
        <v>43132</v>
      </c>
      <c r="B16" s="373">
        <f t="shared" si="4"/>
        <v>6542879</v>
      </c>
      <c r="C16" s="291">
        <v>6604433</v>
      </c>
      <c r="D16" s="460">
        <f t="shared" si="0"/>
        <v>61554</v>
      </c>
      <c r="E16" s="358">
        <v>61553.03</v>
      </c>
      <c r="F16" s="587">
        <f t="shared" si="1"/>
        <v>0.97000000000116415</v>
      </c>
      <c r="G16" s="588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9">
        <f t="shared" si="6"/>
        <v>68443</v>
      </c>
    </row>
    <row r="17" spans="1:12">
      <c r="A17" s="289">
        <v>43160</v>
      </c>
      <c r="B17" s="373">
        <f t="shared" si="4"/>
        <v>6604433</v>
      </c>
      <c r="C17" s="323">
        <v>6660226</v>
      </c>
      <c r="D17" s="460">
        <f t="shared" si="0"/>
        <v>55793</v>
      </c>
      <c r="E17" s="323">
        <v>55792.75</v>
      </c>
      <c r="F17" s="587">
        <f t="shared" si="1"/>
        <v>0.25</v>
      </c>
      <c r="G17" s="588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9">
        <f t="shared" si="6"/>
        <v>66748</v>
      </c>
    </row>
    <row r="18" spans="1:12">
      <c r="A18" s="289">
        <v>43191</v>
      </c>
      <c r="B18" s="373">
        <f t="shared" si="4"/>
        <v>6660226</v>
      </c>
      <c r="C18" s="291">
        <v>6714539</v>
      </c>
      <c r="D18" s="460">
        <f t="shared" si="0"/>
        <v>54313</v>
      </c>
      <c r="E18" s="323">
        <v>54312.28</v>
      </c>
      <c r="F18" s="587">
        <f t="shared" si="1"/>
        <v>0.72000000000116415</v>
      </c>
      <c r="G18" s="588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9">
        <f t="shared" si="6"/>
        <v>58977</v>
      </c>
    </row>
    <row r="19" spans="1:12">
      <c r="A19" s="312">
        <v>43221</v>
      </c>
      <c r="B19" s="373">
        <f t="shared" si="4"/>
        <v>6714539</v>
      </c>
      <c r="C19" s="291">
        <v>6774547</v>
      </c>
      <c r="D19" s="460">
        <f t="shared" si="0"/>
        <v>60008</v>
      </c>
      <c r="E19" s="291">
        <v>60007.47</v>
      </c>
      <c r="F19" s="587">
        <f t="shared" si="1"/>
        <v>0.52999999999883585</v>
      </c>
      <c r="G19" s="588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9">
        <f t="shared" si="6"/>
        <v>66401</v>
      </c>
    </row>
    <row r="20" spans="1:12">
      <c r="A20" s="289">
        <v>43252</v>
      </c>
      <c r="B20" s="373">
        <f t="shared" si="4"/>
        <v>6774547</v>
      </c>
      <c r="C20" s="291">
        <v>6845214</v>
      </c>
      <c r="D20" s="460">
        <f t="shared" si="0"/>
        <v>70667</v>
      </c>
      <c r="E20" s="291">
        <v>70666.289999999994</v>
      </c>
      <c r="F20" s="587">
        <f t="shared" si="1"/>
        <v>0.71000000000640284</v>
      </c>
      <c r="G20" s="588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9">
        <f t="shared" si="6"/>
        <v>81686</v>
      </c>
    </row>
    <row r="21" spans="1:12">
      <c r="A21" s="289">
        <v>43282</v>
      </c>
      <c r="B21" s="373">
        <f t="shared" si="4"/>
        <v>6845214</v>
      </c>
      <c r="C21" s="323">
        <v>6921964</v>
      </c>
      <c r="D21" s="460">
        <f t="shared" si="0"/>
        <v>76750</v>
      </c>
      <c r="E21" s="323">
        <v>76750.25</v>
      </c>
      <c r="F21" s="587">
        <f t="shared" si="1"/>
        <v>-0.25</v>
      </c>
      <c r="G21" s="588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9">
        <f t="shared" si="6"/>
        <v>85003</v>
      </c>
    </row>
    <row r="22" spans="1:12">
      <c r="A22" s="289">
        <v>43313</v>
      </c>
      <c r="B22" s="373">
        <f t="shared" si="4"/>
        <v>6921964</v>
      </c>
      <c r="C22" s="323">
        <v>7001142</v>
      </c>
      <c r="D22" s="460">
        <f t="shared" si="0"/>
        <v>79178</v>
      </c>
      <c r="E22" s="323">
        <v>79179.56</v>
      </c>
      <c r="F22" s="587">
        <f t="shared" si="1"/>
        <v>-1.5599999999976717</v>
      </c>
      <c r="G22" s="588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9">
        <f t="shared" si="6"/>
        <v>87972</v>
      </c>
    </row>
    <row r="23" spans="1:12">
      <c r="A23" s="289">
        <v>43344</v>
      </c>
      <c r="B23" s="373">
        <f t="shared" si="4"/>
        <v>7001142</v>
      </c>
      <c r="C23" s="323">
        <v>7074217</v>
      </c>
      <c r="D23" s="460">
        <f t="shared" si="0"/>
        <v>73075</v>
      </c>
      <c r="E23" s="323">
        <v>73076.960000000006</v>
      </c>
      <c r="F23" s="587">
        <f t="shared" si="1"/>
        <v>-1.9600000000064028</v>
      </c>
      <c r="G23" s="588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9">
        <f t="shared" si="6"/>
        <v>83691</v>
      </c>
    </row>
    <row r="24" spans="1:12">
      <c r="A24" s="289">
        <v>43374</v>
      </c>
      <c r="B24" s="373">
        <f t="shared" si="4"/>
        <v>7074217</v>
      </c>
      <c r="C24" s="291">
        <v>7154506</v>
      </c>
      <c r="D24" s="460">
        <f t="shared" si="0"/>
        <v>80289</v>
      </c>
      <c r="E24" s="291">
        <v>80287.839999999997</v>
      </c>
      <c r="F24" s="587">
        <f t="shared" si="1"/>
        <v>1.1600000000034925</v>
      </c>
      <c r="G24" s="588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9">
        <f t="shared" si="6"/>
        <v>87783</v>
      </c>
    </row>
    <row r="25" spans="1:12">
      <c r="A25" s="289">
        <v>43405</v>
      </c>
      <c r="B25" s="373">
        <f t="shared" si="4"/>
        <v>7154506</v>
      </c>
      <c r="C25" s="291">
        <v>7225359</v>
      </c>
      <c r="D25" s="460">
        <f t="shared" si="0"/>
        <v>70853</v>
      </c>
      <c r="E25" s="291">
        <v>70852.88</v>
      </c>
      <c r="F25" s="587">
        <f t="shared" si="1"/>
        <v>0.11999999999534339</v>
      </c>
      <c r="G25" s="588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9">
        <f t="shared" si="6"/>
        <v>81315</v>
      </c>
    </row>
    <row r="26" spans="1:12">
      <c r="A26" s="289">
        <v>43435</v>
      </c>
      <c r="B26" s="373">
        <f t="shared" si="4"/>
        <v>7225359</v>
      </c>
      <c r="C26" s="291">
        <v>7296581</v>
      </c>
      <c r="D26" s="460">
        <f t="shared" si="0"/>
        <v>71222</v>
      </c>
      <c r="E26" s="291">
        <v>71221.22</v>
      </c>
      <c r="F26" s="587">
        <f t="shared" si="1"/>
        <v>0.77999999999883585</v>
      </c>
      <c r="G26" s="588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9">
        <f t="shared" si="6"/>
        <v>80919</v>
      </c>
    </row>
    <row r="27" spans="1:12">
      <c r="A27" s="289">
        <v>43466</v>
      </c>
      <c r="B27" s="373">
        <f t="shared" si="4"/>
        <v>7296581</v>
      </c>
      <c r="C27" s="291">
        <v>7366625</v>
      </c>
      <c r="D27" s="460">
        <f t="shared" si="0"/>
        <v>70044</v>
      </c>
      <c r="E27" s="291">
        <v>70042.86</v>
      </c>
      <c r="F27" s="587">
        <f t="shared" si="1"/>
        <v>1.1399999999994179</v>
      </c>
      <c r="G27" s="588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9">
        <f t="shared" si="6"/>
        <v>76148</v>
      </c>
    </row>
    <row r="28" spans="1:12">
      <c r="A28" s="289">
        <v>43497</v>
      </c>
      <c r="B28" s="373">
        <f t="shared" si="4"/>
        <v>7366625</v>
      </c>
      <c r="C28" s="291">
        <v>7427612</v>
      </c>
      <c r="D28" s="460">
        <f t="shared" si="0"/>
        <v>60987</v>
      </c>
      <c r="E28" s="291">
        <v>60986.27</v>
      </c>
      <c r="F28" s="587">
        <f t="shared" si="1"/>
        <v>0.73000000000320142</v>
      </c>
      <c r="G28" s="588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9">
        <f t="shared" si="6"/>
        <v>67668</v>
      </c>
    </row>
    <row r="29" spans="1:12">
      <c r="A29" s="289">
        <v>43525</v>
      </c>
      <c r="B29" s="373">
        <f t="shared" si="4"/>
        <v>7427612</v>
      </c>
      <c r="C29" s="291">
        <v>7494502</v>
      </c>
      <c r="D29" s="460">
        <f t="shared" si="0"/>
        <v>66890</v>
      </c>
      <c r="E29" s="291">
        <v>66888.649999999994</v>
      </c>
      <c r="F29" s="587">
        <f t="shared" si="1"/>
        <v>1.3500000000058208</v>
      </c>
      <c r="G29" s="588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9">
        <f t="shared" si="6"/>
        <v>77559</v>
      </c>
    </row>
    <row r="30" spans="1:12">
      <c r="A30" s="289">
        <v>43556</v>
      </c>
      <c r="B30" s="373">
        <f t="shared" si="4"/>
        <v>7494502</v>
      </c>
      <c r="C30" s="291">
        <v>7567839</v>
      </c>
      <c r="D30" s="460">
        <f t="shared" si="0"/>
        <v>73337</v>
      </c>
      <c r="E30" s="291">
        <v>73336.570000000007</v>
      </c>
      <c r="F30" s="587">
        <f t="shared" si="1"/>
        <v>0.42999999999301508</v>
      </c>
      <c r="G30" s="588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9">
        <f t="shared" si="6"/>
        <v>80752</v>
      </c>
    </row>
    <row r="31" spans="1:12">
      <c r="A31" s="289">
        <v>43586</v>
      </c>
      <c r="B31" s="373">
        <f t="shared" si="4"/>
        <v>7567839</v>
      </c>
      <c r="C31" s="291">
        <v>7635177</v>
      </c>
      <c r="D31" s="460">
        <f t="shared" si="0"/>
        <v>67338</v>
      </c>
      <c r="E31" s="291">
        <v>67338.48</v>
      </c>
      <c r="F31" s="587">
        <f t="shared" si="1"/>
        <v>-0.47999999999592546</v>
      </c>
      <c r="G31" s="588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9">
        <f t="shared" si="6"/>
        <v>73050</v>
      </c>
    </row>
    <row r="32" spans="1:12">
      <c r="A32" s="289">
        <v>43617</v>
      </c>
      <c r="B32" s="373">
        <f t="shared" si="4"/>
        <v>7635177</v>
      </c>
      <c r="C32" s="291">
        <v>7705814</v>
      </c>
      <c r="D32" s="460">
        <f t="shared" si="0"/>
        <v>70637</v>
      </c>
      <c r="E32" s="291">
        <v>70631.199999999997</v>
      </c>
      <c r="F32" s="587">
        <f>D32-E32</f>
        <v>5.8000000000029104</v>
      </c>
      <c r="G32" s="588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9">
        <f t="shared" si="6"/>
        <v>77967</v>
      </c>
    </row>
    <row r="33" spans="1:12">
      <c r="A33" s="289">
        <v>43647</v>
      </c>
      <c r="B33" s="373">
        <f t="shared" si="4"/>
        <v>7705814</v>
      </c>
      <c r="C33" s="291">
        <v>7789265</v>
      </c>
      <c r="D33" s="460">
        <f t="shared" si="0"/>
        <v>83451</v>
      </c>
      <c r="E33" s="291">
        <v>83450.259999999995</v>
      </c>
      <c r="F33" s="587">
        <f t="shared" si="1"/>
        <v>0.74000000000523869</v>
      </c>
      <c r="G33" s="588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9">
        <f t="shared" si="6"/>
        <v>92749</v>
      </c>
    </row>
    <row r="34" spans="1:12">
      <c r="A34" s="289">
        <v>43678</v>
      </c>
      <c r="B34" s="373">
        <f t="shared" si="4"/>
        <v>7789265</v>
      </c>
      <c r="C34" s="291">
        <v>7867728</v>
      </c>
      <c r="D34" s="460">
        <f t="shared" si="0"/>
        <v>78463</v>
      </c>
      <c r="E34" s="291">
        <v>78463.600000000006</v>
      </c>
      <c r="F34" s="587">
        <f>D34-E34</f>
        <v>-0.60000000000582077</v>
      </c>
      <c r="G34" s="588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9">
        <f t="shared" si="6"/>
        <v>86460</v>
      </c>
    </row>
    <row r="35" spans="1:12">
      <c r="A35" s="289">
        <v>43709</v>
      </c>
      <c r="B35" s="373">
        <f t="shared" si="4"/>
        <v>7867728</v>
      </c>
      <c r="C35" s="291">
        <v>7937278</v>
      </c>
      <c r="D35" s="460">
        <f t="shared" si="0"/>
        <v>69550</v>
      </c>
      <c r="E35" s="291">
        <v>69549.31</v>
      </c>
      <c r="F35" s="587">
        <f t="shared" si="1"/>
        <v>0.69000000000232831</v>
      </c>
      <c r="G35" s="588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9">
        <f t="shared" si="6"/>
        <v>76540</v>
      </c>
    </row>
    <row r="36" spans="1:12">
      <c r="A36" s="289">
        <v>43739</v>
      </c>
      <c r="B36" s="373">
        <f t="shared" si="4"/>
        <v>7937278</v>
      </c>
      <c r="C36" s="291">
        <v>8009185</v>
      </c>
      <c r="D36" s="460">
        <f t="shared" si="0"/>
        <v>71907</v>
      </c>
      <c r="E36" s="291">
        <v>71906.240000000005</v>
      </c>
      <c r="F36" s="587">
        <f t="shared" si="1"/>
        <v>0.75999999999476131</v>
      </c>
      <c r="G36" s="588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9">
        <f t="shared" si="6"/>
        <v>78614</v>
      </c>
    </row>
    <row r="37" spans="1:12">
      <c r="A37" s="289">
        <v>43770</v>
      </c>
      <c r="B37" s="373">
        <f t="shared" si="4"/>
        <v>8009185</v>
      </c>
      <c r="C37" s="291">
        <v>8069975</v>
      </c>
      <c r="D37" s="460">
        <f t="shared" si="0"/>
        <v>60790</v>
      </c>
      <c r="E37" s="291">
        <v>60788.44</v>
      </c>
      <c r="F37" s="587">
        <f t="shared" si="1"/>
        <v>1.5599999999976717</v>
      </c>
      <c r="G37" s="588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9">
        <f t="shared" si="6"/>
        <v>66374</v>
      </c>
    </row>
    <row r="38" spans="1:12">
      <c r="A38" s="289">
        <v>43800</v>
      </c>
      <c r="B38" s="373">
        <f t="shared" si="4"/>
        <v>8069975</v>
      </c>
      <c r="C38" s="323">
        <v>8133966</v>
      </c>
      <c r="D38" s="460">
        <f t="shared" si="0"/>
        <v>63991</v>
      </c>
      <c r="E38" s="323">
        <v>63990.63</v>
      </c>
      <c r="F38" s="587">
        <f t="shared" si="1"/>
        <v>0.37000000000261934</v>
      </c>
      <c r="G38" s="588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9">
        <f t="shared" si="6"/>
        <v>74340</v>
      </c>
    </row>
    <row r="39" spans="1:12">
      <c r="A39" s="289">
        <v>43831</v>
      </c>
      <c r="B39" s="373">
        <f t="shared" si="4"/>
        <v>8133966</v>
      </c>
      <c r="C39" s="291">
        <v>8200024</v>
      </c>
      <c r="D39" s="460">
        <f t="shared" si="0"/>
        <v>66058</v>
      </c>
      <c r="E39" s="291">
        <v>66057.75</v>
      </c>
      <c r="F39" s="587">
        <f t="shared" si="1"/>
        <v>0.25</v>
      </c>
      <c r="G39" s="588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9">
        <f t="shared" si="6"/>
        <v>73501</v>
      </c>
    </row>
    <row r="40" spans="1:12">
      <c r="A40" s="289">
        <v>43862</v>
      </c>
      <c r="B40" s="373">
        <f t="shared" si="4"/>
        <v>8200024</v>
      </c>
      <c r="C40" s="291">
        <v>8265856</v>
      </c>
      <c r="D40" s="460">
        <f t="shared" si="0"/>
        <v>65832</v>
      </c>
      <c r="E40" s="291">
        <v>65831.210000000006</v>
      </c>
      <c r="F40" s="587">
        <f t="shared" si="1"/>
        <v>0.78999999999359716</v>
      </c>
      <c r="G40" s="588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9">
        <f t="shared" si="6"/>
        <v>71681</v>
      </c>
    </row>
    <row r="41" spans="1:12">
      <c r="A41" s="289">
        <v>43891</v>
      </c>
      <c r="B41" s="373">
        <f t="shared" si="4"/>
        <v>8265856</v>
      </c>
      <c r="C41" s="291">
        <v>8316467</v>
      </c>
      <c r="D41" s="460">
        <f t="shared" si="0"/>
        <v>50611</v>
      </c>
      <c r="E41" s="291">
        <v>50610.58</v>
      </c>
      <c r="F41" s="587">
        <f t="shared" si="1"/>
        <v>0.41999999999825377</v>
      </c>
      <c r="G41" s="588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9">
        <f t="shared" si="6"/>
        <v>54254</v>
      </c>
    </row>
    <row r="42" spans="1:12">
      <c r="A42" s="289">
        <v>43922</v>
      </c>
      <c r="B42" s="373">
        <f t="shared" si="4"/>
        <v>8316467</v>
      </c>
      <c r="C42" s="323">
        <v>8339290</v>
      </c>
      <c r="D42" s="460">
        <f t="shared" si="0"/>
        <v>22823</v>
      </c>
      <c r="E42" s="323">
        <v>22822.77</v>
      </c>
      <c r="F42" s="587">
        <f t="shared" si="1"/>
        <v>0.22999999999956344</v>
      </c>
      <c r="G42" s="588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9">
        <f t="shared" si="6"/>
        <v>24681</v>
      </c>
    </row>
    <row r="43" spans="1:12">
      <c r="A43" s="289">
        <v>43952</v>
      </c>
      <c r="B43" s="373">
        <f t="shared" si="4"/>
        <v>8339290</v>
      </c>
      <c r="C43" s="291">
        <v>8359648</v>
      </c>
      <c r="D43" s="460">
        <f t="shared" si="0"/>
        <v>20358</v>
      </c>
      <c r="E43" s="291">
        <v>20357.990000000002</v>
      </c>
      <c r="F43" s="587">
        <f t="shared" si="1"/>
        <v>9.9999999983992893E-3</v>
      </c>
      <c r="G43" s="588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9">
        <f t="shared" si="6"/>
        <v>21308</v>
      </c>
    </row>
    <row r="44" spans="1:12">
      <c r="A44" s="289">
        <v>43983</v>
      </c>
      <c r="B44" s="373">
        <f t="shared" si="4"/>
        <v>8359648</v>
      </c>
      <c r="C44" s="291"/>
      <c r="D44" s="460">
        <f t="shared" si="0"/>
        <v>-8359648</v>
      </c>
      <c r="E44" s="291"/>
      <c r="F44" s="587">
        <f t="shared" si="1"/>
        <v>-8359648</v>
      </c>
      <c r="G44" s="588">
        <f t="shared" si="5"/>
        <v>265578</v>
      </c>
      <c r="H44" s="291"/>
      <c r="I44" s="322">
        <f t="shared" si="2"/>
        <v>-265578</v>
      </c>
      <c r="J44" s="291"/>
      <c r="K44" s="329">
        <f t="shared" si="3"/>
        <v>-265578</v>
      </c>
      <c r="L44" s="589">
        <f t="shared" si="6"/>
        <v>-8625226</v>
      </c>
    </row>
    <row r="45" spans="1:12">
      <c r="A45" s="289">
        <v>44013</v>
      </c>
      <c r="B45" s="373">
        <f t="shared" si="4"/>
        <v>0</v>
      </c>
      <c r="C45" s="291"/>
      <c r="D45" s="460">
        <f t="shared" si="0"/>
        <v>0</v>
      </c>
      <c r="E45" s="291"/>
      <c r="F45" s="587">
        <f t="shared" si="1"/>
        <v>0</v>
      </c>
      <c r="G45" s="588">
        <f t="shared" si="5"/>
        <v>0</v>
      </c>
      <c r="H45" s="291"/>
      <c r="I45" s="322">
        <f t="shared" si="2"/>
        <v>0</v>
      </c>
      <c r="J45" s="291"/>
      <c r="K45" s="329">
        <f t="shared" si="3"/>
        <v>0</v>
      </c>
      <c r="L45" s="589">
        <f t="shared" si="6"/>
        <v>0</v>
      </c>
    </row>
    <row r="46" spans="1:12">
      <c r="A46" s="289">
        <v>44044</v>
      </c>
      <c r="B46" s="373">
        <f t="shared" si="4"/>
        <v>0</v>
      </c>
      <c r="C46" s="291"/>
      <c r="D46" s="460">
        <f t="shared" si="0"/>
        <v>0</v>
      </c>
      <c r="E46" s="291"/>
      <c r="F46" s="587">
        <f t="shared" si="1"/>
        <v>0</v>
      </c>
      <c r="G46" s="588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9">
        <f t="shared" si="6"/>
        <v>0</v>
      </c>
    </row>
    <row r="47" spans="1:12">
      <c r="A47" s="289">
        <v>44075</v>
      </c>
      <c r="B47" s="373">
        <f t="shared" si="4"/>
        <v>0</v>
      </c>
      <c r="C47" s="291"/>
      <c r="D47" s="460">
        <f t="shared" si="0"/>
        <v>0</v>
      </c>
      <c r="E47" s="291"/>
      <c r="F47" s="587">
        <f t="shared" si="1"/>
        <v>0</v>
      </c>
      <c r="G47" s="588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9">
        <f t="shared" si="6"/>
        <v>0</v>
      </c>
    </row>
    <row r="48" spans="1:12">
      <c r="A48" s="289">
        <v>44105</v>
      </c>
      <c r="B48" s="373">
        <f t="shared" si="4"/>
        <v>0</v>
      </c>
      <c r="C48" s="291"/>
      <c r="D48" s="460">
        <f t="shared" si="0"/>
        <v>0</v>
      </c>
      <c r="E48" s="291"/>
      <c r="F48" s="587">
        <f t="shared" si="1"/>
        <v>0</v>
      </c>
      <c r="G48" s="588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9">
        <f t="shared" si="6"/>
        <v>0</v>
      </c>
    </row>
    <row r="49" spans="1:12">
      <c r="A49" s="289">
        <v>44136</v>
      </c>
      <c r="B49" s="373">
        <f t="shared" si="4"/>
        <v>0</v>
      </c>
      <c r="C49" s="291"/>
      <c r="D49" s="460">
        <f t="shared" si="0"/>
        <v>0</v>
      </c>
      <c r="E49" s="291"/>
      <c r="F49" s="587">
        <f t="shared" si="1"/>
        <v>0</v>
      </c>
      <c r="G49" s="588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9">
        <f t="shared" si="6"/>
        <v>0</v>
      </c>
    </row>
    <row r="50" spans="1:12">
      <c r="A50" s="289">
        <v>44166</v>
      </c>
      <c r="B50" s="373">
        <f t="shared" si="4"/>
        <v>0</v>
      </c>
      <c r="C50" s="291"/>
      <c r="D50" s="460">
        <f t="shared" si="0"/>
        <v>0</v>
      </c>
      <c r="E50" s="291"/>
      <c r="F50" s="587">
        <f t="shared" si="1"/>
        <v>0</v>
      </c>
      <c r="G50" s="588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9">
        <f t="shared" si="6"/>
        <v>0</v>
      </c>
    </row>
    <row r="51" spans="1:12">
      <c r="A51" s="289">
        <v>44197</v>
      </c>
      <c r="B51" s="373">
        <f t="shared" si="4"/>
        <v>0</v>
      </c>
      <c r="C51" s="291"/>
      <c r="D51" s="460">
        <f t="shared" si="0"/>
        <v>0</v>
      </c>
      <c r="E51" s="291"/>
      <c r="F51" s="587">
        <f t="shared" si="1"/>
        <v>0</v>
      </c>
      <c r="G51" s="588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9">
        <f t="shared" si="6"/>
        <v>0</v>
      </c>
    </row>
    <row r="52" spans="1:12">
      <c r="A52" s="289">
        <v>44228</v>
      </c>
      <c r="B52" s="373">
        <f t="shared" si="4"/>
        <v>0</v>
      </c>
      <c r="C52" s="291"/>
      <c r="D52" s="460">
        <f t="shared" si="0"/>
        <v>0</v>
      </c>
      <c r="E52" s="291"/>
      <c r="F52" s="587">
        <f t="shared" si="1"/>
        <v>0</v>
      </c>
      <c r="G52" s="588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9">
        <f t="shared" si="6"/>
        <v>0</v>
      </c>
    </row>
    <row r="53" spans="1:12">
      <c r="A53" s="289">
        <v>44256</v>
      </c>
      <c r="B53" s="373">
        <f t="shared" si="4"/>
        <v>0</v>
      </c>
      <c r="C53" s="291"/>
      <c r="D53" s="460">
        <f t="shared" si="0"/>
        <v>0</v>
      </c>
      <c r="E53" s="291"/>
      <c r="F53" s="587">
        <f t="shared" si="1"/>
        <v>0</v>
      </c>
      <c r="G53" s="588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9">
        <f t="shared" si="6"/>
        <v>0</v>
      </c>
    </row>
    <row r="54" spans="1:12">
      <c r="A54" s="289">
        <v>44287</v>
      </c>
      <c r="B54" s="373">
        <f t="shared" si="4"/>
        <v>0</v>
      </c>
      <c r="C54" s="291"/>
      <c r="D54" s="460">
        <f t="shared" si="0"/>
        <v>0</v>
      </c>
      <c r="E54" s="291"/>
      <c r="F54" s="587">
        <f t="shared" si="1"/>
        <v>0</v>
      </c>
      <c r="G54" s="588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9">
        <f t="shared" si="6"/>
        <v>0</v>
      </c>
    </row>
    <row r="55" spans="1:12">
      <c r="A55" s="289">
        <v>44317</v>
      </c>
      <c r="B55" s="373">
        <f t="shared" si="4"/>
        <v>0</v>
      </c>
      <c r="C55" s="291"/>
      <c r="D55" s="460">
        <f t="shared" si="0"/>
        <v>0</v>
      </c>
      <c r="E55" s="291"/>
      <c r="F55" s="587">
        <f t="shared" si="1"/>
        <v>0</v>
      </c>
      <c r="G55" s="588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9">
        <f t="shared" si="6"/>
        <v>0</v>
      </c>
    </row>
    <row r="56" spans="1:12" ht="12.75" customHeight="1">
      <c r="A56" s="289">
        <v>44348</v>
      </c>
      <c r="B56" s="373">
        <f t="shared" si="4"/>
        <v>0</v>
      </c>
      <c r="C56" s="291"/>
      <c r="D56" s="460">
        <f t="shared" si="0"/>
        <v>0</v>
      </c>
      <c r="E56" s="291"/>
      <c r="F56" s="587">
        <f t="shared" si="1"/>
        <v>0</v>
      </c>
      <c r="G56" s="588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9">
        <f t="shared" si="6"/>
        <v>0</v>
      </c>
    </row>
    <row r="57" spans="1:12" ht="13.5" customHeight="1">
      <c r="A57" s="289">
        <v>44378</v>
      </c>
      <c r="B57" s="373">
        <f t="shared" si="4"/>
        <v>0</v>
      </c>
      <c r="C57" s="291"/>
      <c r="D57" s="460">
        <f t="shared" si="0"/>
        <v>0</v>
      </c>
      <c r="E57" s="291"/>
      <c r="F57" s="587">
        <f t="shared" si="1"/>
        <v>0</v>
      </c>
      <c r="G57" s="588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9">
        <f t="shared" si="6"/>
        <v>0</v>
      </c>
    </row>
    <row r="58" spans="1:12">
      <c r="A58" s="289">
        <v>44409</v>
      </c>
      <c r="B58" s="373">
        <f t="shared" si="4"/>
        <v>0</v>
      </c>
      <c r="C58" s="291"/>
      <c r="D58" s="460">
        <f t="shared" ref="D58:D77" si="7">C58-B58</f>
        <v>0</v>
      </c>
      <c r="E58" s="291"/>
      <c r="F58" s="587">
        <f t="shared" si="1"/>
        <v>0</v>
      </c>
      <c r="G58" s="588">
        <f t="shared" si="5"/>
        <v>0</v>
      </c>
      <c r="H58" s="291"/>
      <c r="I58" s="322">
        <f t="shared" ref="I58:I77" si="8">H58-G58</f>
        <v>0</v>
      </c>
      <c r="J58" s="291"/>
      <c r="K58" s="329">
        <f t="shared" ref="K58:K77" si="9">I58-J58</f>
        <v>0</v>
      </c>
      <c r="L58" s="589">
        <f t="shared" si="6"/>
        <v>0</v>
      </c>
    </row>
    <row r="59" spans="1:12">
      <c r="A59" s="289">
        <v>44440</v>
      </c>
      <c r="B59" s="373">
        <f t="shared" ref="B59:B77" si="10">C58</f>
        <v>0</v>
      </c>
      <c r="C59" s="291"/>
      <c r="D59" s="460">
        <f t="shared" si="7"/>
        <v>0</v>
      </c>
      <c r="E59" s="291"/>
      <c r="F59" s="587">
        <f t="shared" si="1"/>
        <v>0</v>
      </c>
      <c r="G59" s="588">
        <f t="shared" ref="G59:G77" si="11">H58</f>
        <v>0</v>
      </c>
      <c r="H59" s="291"/>
      <c r="I59" s="322">
        <f t="shared" si="8"/>
        <v>0</v>
      </c>
      <c r="J59" s="291"/>
      <c r="K59" s="329">
        <f t="shared" si="9"/>
        <v>0</v>
      </c>
      <c r="L59" s="589">
        <f t="shared" si="6"/>
        <v>0</v>
      </c>
    </row>
    <row r="60" spans="1:12">
      <c r="A60" s="289">
        <v>44470</v>
      </c>
      <c r="B60" s="373">
        <f t="shared" si="10"/>
        <v>0</v>
      </c>
      <c r="C60" s="291"/>
      <c r="D60" s="460">
        <f t="shared" si="7"/>
        <v>0</v>
      </c>
      <c r="E60" s="291"/>
      <c r="F60" s="587">
        <f t="shared" si="1"/>
        <v>0</v>
      </c>
      <c r="G60" s="588">
        <f t="shared" si="11"/>
        <v>0</v>
      </c>
      <c r="H60" s="291"/>
      <c r="I60" s="322">
        <f t="shared" si="8"/>
        <v>0</v>
      </c>
      <c r="J60" s="291"/>
      <c r="K60" s="329">
        <f t="shared" si="9"/>
        <v>0</v>
      </c>
      <c r="L60" s="589">
        <f t="shared" si="6"/>
        <v>0</v>
      </c>
    </row>
    <row r="61" spans="1:12">
      <c r="A61" s="289">
        <v>44501</v>
      </c>
      <c r="B61" s="373">
        <f t="shared" si="10"/>
        <v>0</v>
      </c>
      <c r="C61" s="291"/>
      <c r="D61" s="460">
        <f t="shared" si="7"/>
        <v>0</v>
      </c>
      <c r="E61" s="291"/>
      <c r="F61" s="587">
        <f t="shared" si="1"/>
        <v>0</v>
      </c>
      <c r="G61" s="588">
        <f t="shared" si="11"/>
        <v>0</v>
      </c>
      <c r="H61" s="291"/>
      <c r="I61" s="322">
        <f t="shared" si="8"/>
        <v>0</v>
      </c>
      <c r="J61" s="291"/>
      <c r="K61" s="329">
        <f t="shared" si="9"/>
        <v>0</v>
      </c>
      <c r="L61" s="589">
        <f t="shared" si="6"/>
        <v>0</v>
      </c>
    </row>
    <row r="62" spans="1:12">
      <c r="A62" s="289">
        <v>44531</v>
      </c>
      <c r="B62" s="373">
        <f t="shared" si="10"/>
        <v>0</v>
      </c>
      <c r="C62" s="291"/>
      <c r="D62" s="460">
        <f t="shared" si="7"/>
        <v>0</v>
      </c>
      <c r="E62" s="291"/>
      <c r="F62" s="587">
        <f t="shared" ref="F62:F77" si="12">D62-E62</f>
        <v>0</v>
      </c>
      <c r="G62" s="588">
        <f t="shared" si="11"/>
        <v>0</v>
      </c>
      <c r="H62" s="291"/>
      <c r="I62" s="322">
        <f t="shared" si="8"/>
        <v>0</v>
      </c>
      <c r="J62" s="291"/>
      <c r="K62" s="329">
        <f t="shared" si="9"/>
        <v>0</v>
      </c>
      <c r="L62" s="589">
        <f t="shared" si="6"/>
        <v>0</v>
      </c>
    </row>
    <row r="63" spans="1:12">
      <c r="A63" s="289">
        <v>44562</v>
      </c>
      <c r="B63" s="373">
        <f t="shared" si="10"/>
        <v>0</v>
      </c>
      <c r="C63" s="291"/>
      <c r="D63" s="460">
        <f t="shared" si="7"/>
        <v>0</v>
      </c>
      <c r="E63" s="291"/>
      <c r="F63" s="587">
        <f t="shared" si="12"/>
        <v>0</v>
      </c>
      <c r="G63" s="588">
        <f t="shared" si="11"/>
        <v>0</v>
      </c>
      <c r="H63" s="291"/>
      <c r="I63" s="322">
        <f t="shared" si="8"/>
        <v>0</v>
      </c>
      <c r="J63" s="291"/>
      <c r="K63" s="329">
        <f t="shared" si="9"/>
        <v>0</v>
      </c>
      <c r="L63" s="589">
        <f t="shared" si="6"/>
        <v>0</v>
      </c>
    </row>
    <row r="64" spans="1:12">
      <c r="A64" s="289">
        <v>44593</v>
      </c>
      <c r="B64" s="373">
        <f t="shared" si="10"/>
        <v>0</v>
      </c>
      <c r="C64" s="291"/>
      <c r="D64" s="460">
        <f t="shared" si="7"/>
        <v>0</v>
      </c>
      <c r="E64" s="291"/>
      <c r="F64" s="587">
        <f t="shared" si="12"/>
        <v>0</v>
      </c>
      <c r="G64" s="588">
        <f t="shared" si="11"/>
        <v>0</v>
      </c>
      <c r="H64" s="291"/>
      <c r="I64" s="322">
        <f t="shared" si="8"/>
        <v>0</v>
      </c>
      <c r="J64" s="291"/>
      <c r="K64" s="329">
        <f t="shared" si="9"/>
        <v>0</v>
      </c>
      <c r="L64" s="589">
        <f t="shared" si="6"/>
        <v>0</v>
      </c>
    </row>
    <row r="65" spans="1:12">
      <c r="A65" s="289">
        <v>44621</v>
      </c>
      <c r="B65" s="373">
        <f t="shared" si="10"/>
        <v>0</v>
      </c>
      <c r="C65" s="291"/>
      <c r="D65" s="460">
        <f t="shared" si="7"/>
        <v>0</v>
      </c>
      <c r="E65" s="291"/>
      <c r="F65" s="587">
        <f t="shared" si="12"/>
        <v>0</v>
      </c>
      <c r="G65" s="588">
        <f t="shared" si="11"/>
        <v>0</v>
      </c>
      <c r="H65" s="291"/>
      <c r="I65" s="322">
        <f t="shared" si="8"/>
        <v>0</v>
      </c>
      <c r="J65" s="291"/>
      <c r="K65" s="329">
        <f t="shared" si="9"/>
        <v>0</v>
      </c>
      <c r="L65" s="589">
        <f t="shared" si="6"/>
        <v>0</v>
      </c>
    </row>
    <row r="66" spans="1:12">
      <c r="A66" s="289">
        <v>44652</v>
      </c>
      <c r="B66" s="373">
        <f t="shared" si="10"/>
        <v>0</v>
      </c>
      <c r="C66" s="291"/>
      <c r="D66" s="460">
        <f t="shared" si="7"/>
        <v>0</v>
      </c>
      <c r="E66" s="291"/>
      <c r="F66" s="587">
        <f t="shared" si="12"/>
        <v>0</v>
      </c>
      <c r="G66" s="588">
        <f t="shared" si="11"/>
        <v>0</v>
      </c>
      <c r="H66" s="291"/>
      <c r="I66" s="322">
        <f t="shared" si="8"/>
        <v>0</v>
      </c>
      <c r="J66" s="291"/>
      <c r="K66" s="329">
        <f t="shared" si="9"/>
        <v>0</v>
      </c>
      <c r="L66" s="589">
        <f t="shared" si="6"/>
        <v>0</v>
      </c>
    </row>
    <row r="67" spans="1:12">
      <c r="A67" s="289">
        <v>44682</v>
      </c>
      <c r="B67" s="373">
        <f t="shared" si="10"/>
        <v>0</v>
      </c>
      <c r="C67" s="291"/>
      <c r="D67" s="460">
        <f t="shared" si="7"/>
        <v>0</v>
      </c>
      <c r="E67" s="291"/>
      <c r="F67" s="587">
        <f t="shared" si="12"/>
        <v>0</v>
      </c>
      <c r="G67" s="588">
        <f t="shared" si="11"/>
        <v>0</v>
      </c>
      <c r="H67" s="291"/>
      <c r="I67" s="322">
        <f t="shared" si="8"/>
        <v>0</v>
      </c>
      <c r="J67" s="291"/>
      <c r="K67" s="329">
        <f t="shared" si="9"/>
        <v>0</v>
      </c>
      <c r="L67" s="589">
        <f t="shared" si="6"/>
        <v>0</v>
      </c>
    </row>
    <row r="68" spans="1:12">
      <c r="A68" s="289">
        <v>44713</v>
      </c>
      <c r="B68" s="373">
        <f t="shared" si="10"/>
        <v>0</v>
      </c>
      <c r="C68" s="291"/>
      <c r="D68" s="460">
        <f t="shared" si="7"/>
        <v>0</v>
      </c>
      <c r="E68" s="291"/>
      <c r="F68" s="587">
        <f t="shared" si="12"/>
        <v>0</v>
      </c>
      <c r="G68" s="588">
        <f t="shared" si="11"/>
        <v>0</v>
      </c>
      <c r="H68" s="291"/>
      <c r="I68" s="322">
        <f t="shared" si="8"/>
        <v>0</v>
      </c>
      <c r="J68" s="291"/>
      <c r="K68" s="329">
        <f t="shared" si="9"/>
        <v>0</v>
      </c>
      <c r="L68" s="589">
        <f t="shared" si="6"/>
        <v>0</v>
      </c>
    </row>
    <row r="69" spans="1:12">
      <c r="A69" s="289">
        <v>44743</v>
      </c>
      <c r="B69" s="373">
        <f t="shared" si="10"/>
        <v>0</v>
      </c>
      <c r="C69" s="291"/>
      <c r="D69" s="460">
        <f t="shared" si="7"/>
        <v>0</v>
      </c>
      <c r="E69" s="291"/>
      <c r="F69" s="587">
        <f t="shared" si="12"/>
        <v>0</v>
      </c>
      <c r="G69" s="588">
        <f t="shared" si="11"/>
        <v>0</v>
      </c>
      <c r="H69" s="291"/>
      <c r="I69" s="322">
        <f t="shared" si="8"/>
        <v>0</v>
      </c>
      <c r="J69" s="291"/>
      <c r="K69" s="329">
        <f t="shared" si="9"/>
        <v>0</v>
      </c>
      <c r="L69" s="589">
        <f t="shared" si="6"/>
        <v>0</v>
      </c>
    </row>
    <row r="70" spans="1:12">
      <c r="A70" s="289">
        <v>44774</v>
      </c>
      <c r="B70" s="373">
        <f t="shared" si="10"/>
        <v>0</v>
      </c>
      <c r="C70" s="291"/>
      <c r="D70" s="460">
        <f t="shared" si="7"/>
        <v>0</v>
      </c>
      <c r="E70" s="291"/>
      <c r="F70" s="587">
        <f t="shared" si="12"/>
        <v>0</v>
      </c>
      <c r="G70" s="588">
        <f t="shared" si="11"/>
        <v>0</v>
      </c>
      <c r="H70" s="291"/>
      <c r="I70" s="322">
        <f t="shared" si="8"/>
        <v>0</v>
      </c>
      <c r="J70" s="291"/>
      <c r="K70" s="329">
        <f t="shared" si="9"/>
        <v>0</v>
      </c>
      <c r="L70" s="589">
        <f t="shared" si="6"/>
        <v>0</v>
      </c>
    </row>
    <row r="71" spans="1:12">
      <c r="A71" s="289">
        <v>44805</v>
      </c>
      <c r="B71" s="373">
        <f t="shared" si="10"/>
        <v>0</v>
      </c>
      <c r="C71" s="291"/>
      <c r="D71" s="460">
        <f t="shared" si="7"/>
        <v>0</v>
      </c>
      <c r="E71" s="291"/>
      <c r="F71" s="587">
        <f t="shared" si="12"/>
        <v>0</v>
      </c>
      <c r="G71" s="588">
        <f t="shared" si="11"/>
        <v>0</v>
      </c>
      <c r="H71" s="291"/>
      <c r="I71" s="322">
        <f t="shared" si="8"/>
        <v>0</v>
      </c>
      <c r="J71" s="291"/>
      <c r="K71" s="329">
        <f t="shared" si="9"/>
        <v>0</v>
      </c>
      <c r="L71" s="589">
        <f t="shared" si="6"/>
        <v>0</v>
      </c>
    </row>
    <row r="72" spans="1:12">
      <c r="A72" s="289">
        <v>44835</v>
      </c>
      <c r="B72" s="373">
        <f t="shared" si="10"/>
        <v>0</v>
      </c>
      <c r="C72" s="291"/>
      <c r="D72" s="460">
        <f t="shared" si="7"/>
        <v>0</v>
      </c>
      <c r="E72" s="291"/>
      <c r="F72" s="587">
        <f t="shared" si="12"/>
        <v>0</v>
      </c>
      <c r="G72" s="588">
        <f t="shared" si="11"/>
        <v>0</v>
      </c>
      <c r="H72" s="291"/>
      <c r="I72" s="322">
        <f t="shared" si="8"/>
        <v>0</v>
      </c>
      <c r="J72" s="291"/>
      <c r="K72" s="329">
        <f t="shared" si="9"/>
        <v>0</v>
      </c>
      <c r="L72" s="589">
        <f t="shared" si="6"/>
        <v>0</v>
      </c>
    </row>
    <row r="73" spans="1:12">
      <c r="A73" s="289">
        <v>44866</v>
      </c>
      <c r="B73" s="373">
        <f t="shared" si="10"/>
        <v>0</v>
      </c>
      <c r="C73" s="291"/>
      <c r="D73" s="460">
        <f t="shared" si="7"/>
        <v>0</v>
      </c>
      <c r="E73" s="291"/>
      <c r="F73" s="587">
        <f t="shared" si="12"/>
        <v>0</v>
      </c>
      <c r="G73" s="588">
        <f t="shared" si="11"/>
        <v>0</v>
      </c>
      <c r="H73" s="291"/>
      <c r="I73" s="322">
        <f t="shared" si="8"/>
        <v>0</v>
      </c>
      <c r="J73" s="291"/>
      <c r="K73" s="329">
        <f t="shared" si="9"/>
        <v>0</v>
      </c>
      <c r="L73" s="589">
        <f t="shared" si="6"/>
        <v>0</v>
      </c>
    </row>
    <row r="74" spans="1:12">
      <c r="A74" s="289">
        <v>44896</v>
      </c>
      <c r="B74" s="373">
        <f t="shared" si="10"/>
        <v>0</v>
      </c>
      <c r="C74" s="291"/>
      <c r="D74" s="460">
        <f t="shared" si="7"/>
        <v>0</v>
      </c>
      <c r="E74" s="291"/>
      <c r="F74" s="587">
        <f t="shared" si="12"/>
        <v>0</v>
      </c>
      <c r="G74" s="588">
        <f t="shared" si="11"/>
        <v>0</v>
      </c>
      <c r="H74" s="291"/>
      <c r="I74" s="322">
        <f t="shared" si="8"/>
        <v>0</v>
      </c>
      <c r="J74" s="291"/>
      <c r="K74" s="329">
        <f t="shared" si="9"/>
        <v>0</v>
      </c>
      <c r="L74" s="589">
        <f t="shared" si="6"/>
        <v>0</v>
      </c>
    </row>
    <row r="75" spans="1:12">
      <c r="A75" s="289">
        <v>44927</v>
      </c>
      <c r="B75" s="373">
        <f t="shared" si="10"/>
        <v>0</v>
      </c>
      <c r="C75" s="291"/>
      <c r="D75" s="460">
        <f t="shared" si="7"/>
        <v>0</v>
      </c>
      <c r="E75" s="291"/>
      <c r="F75" s="587">
        <f t="shared" si="12"/>
        <v>0</v>
      </c>
      <c r="G75" s="588">
        <f t="shared" si="11"/>
        <v>0</v>
      </c>
      <c r="H75" s="291"/>
      <c r="I75" s="322">
        <f t="shared" si="8"/>
        <v>0</v>
      </c>
      <c r="J75" s="291"/>
      <c r="K75" s="329">
        <f t="shared" si="9"/>
        <v>0</v>
      </c>
      <c r="L75" s="589">
        <f t="shared" ref="L75:L77" si="13">I75+D75</f>
        <v>0</v>
      </c>
    </row>
    <row r="76" spans="1:12">
      <c r="A76" s="289">
        <v>44958</v>
      </c>
      <c r="B76" s="373">
        <f t="shared" si="10"/>
        <v>0</v>
      </c>
      <c r="C76" s="291"/>
      <c r="D76" s="460">
        <f t="shared" si="7"/>
        <v>0</v>
      </c>
      <c r="E76" s="291"/>
      <c r="F76" s="587">
        <f t="shared" si="12"/>
        <v>0</v>
      </c>
      <c r="G76" s="588">
        <f t="shared" si="11"/>
        <v>0</v>
      </c>
      <c r="H76" s="291"/>
      <c r="I76" s="322">
        <f t="shared" si="8"/>
        <v>0</v>
      </c>
      <c r="J76" s="291"/>
      <c r="K76" s="329">
        <f t="shared" si="9"/>
        <v>0</v>
      </c>
      <c r="L76" s="589">
        <f t="shared" si="13"/>
        <v>0</v>
      </c>
    </row>
    <row r="77" spans="1:12" ht="13.5" thickBot="1">
      <c r="A77" s="289">
        <v>44986</v>
      </c>
      <c r="B77" s="629">
        <f t="shared" si="10"/>
        <v>0</v>
      </c>
      <c r="C77" s="548"/>
      <c r="D77" s="630">
        <f t="shared" si="7"/>
        <v>0</v>
      </c>
      <c r="E77" s="548"/>
      <c r="F77" s="631">
        <f t="shared" si="12"/>
        <v>0</v>
      </c>
      <c r="G77" s="632">
        <f t="shared" si="11"/>
        <v>0</v>
      </c>
      <c r="H77" s="548"/>
      <c r="I77" s="633">
        <f t="shared" si="8"/>
        <v>0</v>
      </c>
      <c r="J77" s="548"/>
      <c r="K77" s="634">
        <f t="shared" si="9"/>
        <v>0</v>
      </c>
      <c r="L77" s="635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P21" sqref="P2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4" t="s">
        <v>255</v>
      </c>
      <c r="B1" s="884"/>
      <c r="C1" s="884"/>
      <c r="D1" s="884"/>
      <c r="E1" s="884"/>
      <c r="F1" s="884"/>
      <c r="G1" s="884"/>
      <c r="H1" s="884"/>
      <c r="I1" s="884"/>
      <c r="J1" s="884"/>
    </row>
    <row r="2" spans="1:10" ht="19.5" thickBot="1">
      <c r="A2" s="893">
        <v>43983</v>
      </c>
      <c r="B2" s="894"/>
      <c r="C2" s="894"/>
      <c r="D2" s="894"/>
      <c r="E2" s="894"/>
      <c r="F2" s="894"/>
      <c r="G2" s="894"/>
      <c r="H2" s="894"/>
      <c r="I2" s="894"/>
      <c r="J2" s="894"/>
    </row>
    <row r="3" spans="1:10" ht="15.75" thickBot="1">
      <c r="A3" s="885" t="s">
        <v>7</v>
      </c>
      <c r="B3" s="887" t="s">
        <v>256</v>
      </c>
      <c r="C3" s="523"/>
      <c r="D3" s="889" t="s">
        <v>257</v>
      </c>
      <c r="E3" s="890"/>
      <c r="F3" s="891" t="s">
        <v>258</v>
      </c>
      <c r="G3" s="892"/>
      <c r="H3" s="890"/>
      <c r="I3" s="891" t="s">
        <v>259</v>
      </c>
      <c r="J3" s="890"/>
    </row>
    <row r="4" spans="1:10" ht="30.75" thickBot="1">
      <c r="A4" s="886"/>
      <c r="B4" s="888"/>
      <c r="C4" s="529" t="s">
        <v>304</v>
      </c>
      <c r="D4" s="461" t="s">
        <v>260</v>
      </c>
      <c r="E4" s="466" t="s">
        <v>3</v>
      </c>
      <c r="F4" s="461" t="s">
        <v>260</v>
      </c>
      <c r="G4" s="461" t="s">
        <v>261</v>
      </c>
      <c r="H4" s="461" t="s">
        <v>262</v>
      </c>
      <c r="I4" s="461" t="s">
        <v>17</v>
      </c>
      <c r="J4" s="461" t="s">
        <v>263</v>
      </c>
    </row>
    <row r="5" spans="1:10" ht="17.100000000000001" customHeight="1">
      <c r="A5" s="265">
        <v>43983</v>
      </c>
      <c r="B5" s="468">
        <f>Gen!C11</f>
        <v>0</v>
      </c>
      <c r="C5" s="527">
        <f>Gen!AK11</f>
        <v>0</v>
      </c>
      <c r="D5" s="528">
        <f>Gen!T11</f>
        <v>669.52</v>
      </c>
      <c r="E5" s="463">
        <f>Gen!D11</f>
        <v>32059.94</v>
      </c>
      <c r="F5" s="464">
        <f>'Water-Meter'!E6</f>
        <v>43</v>
      </c>
      <c r="G5" s="465">
        <f>'Water-Meter'!AN6</f>
        <v>86</v>
      </c>
      <c r="H5" s="463">
        <f>'Utility report '!AC6</f>
        <v>16</v>
      </c>
      <c r="I5" s="462">
        <f>'Kit report'!F4</f>
        <v>120</v>
      </c>
      <c r="J5" s="463">
        <f>'Kit report'!X4</f>
        <v>39.99999999996362</v>
      </c>
    </row>
    <row r="6" spans="1:10" ht="17.100000000000001" customHeight="1">
      <c r="A6" s="265">
        <v>43984</v>
      </c>
      <c r="B6" s="467">
        <f>Gen!C12</f>
        <v>0</v>
      </c>
      <c r="C6" s="527">
        <f>Gen!AK12</f>
        <v>0</v>
      </c>
      <c r="D6" s="528">
        <f>Gen!T12</f>
        <v>685.33</v>
      </c>
      <c r="E6" s="463">
        <f>Gen!D12</f>
        <v>31390.42</v>
      </c>
      <c r="F6" s="464">
        <f>'Water-Meter'!E7</f>
        <v>49</v>
      </c>
      <c r="G6" s="465">
        <f>'Water-Meter'!AN7</f>
        <v>87</v>
      </c>
      <c r="H6" s="463">
        <f>'Utility report '!AC7</f>
        <v>97</v>
      </c>
      <c r="I6" s="462">
        <f>'Kit report'!F5</f>
        <v>107.99999999995634</v>
      </c>
      <c r="J6" s="463">
        <f>'Kit report'!X5</f>
        <v>0</v>
      </c>
    </row>
    <row r="7" spans="1:10" ht="17.100000000000001" customHeight="1">
      <c r="A7" s="265">
        <v>43985</v>
      </c>
      <c r="B7" s="467">
        <f>Gen!C13</f>
        <v>0</v>
      </c>
      <c r="C7" s="527">
        <f>Gen!AK13</f>
        <v>0</v>
      </c>
      <c r="D7" s="528">
        <f>Gen!T13</f>
        <v>728.03</v>
      </c>
      <c r="E7" s="463">
        <f>Gen!D13</f>
        <v>45705.09</v>
      </c>
      <c r="F7" s="464">
        <f>'Water-Meter'!E8</f>
        <v>41</v>
      </c>
      <c r="G7" s="465">
        <f>'Water-Meter'!AN8</f>
        <v>81</v>
      </c>
      <c r="H7" s="463">
        <f>'Utility report '!AC8</f>
        <v>164</v>
      </c>
      <c r="I7" s="462">
        <f>'Kit report'!F6</f>
        <v>120</v>
      </c>
      <c r="J7" s="463">
        <f>'Kit report'!X6</f>
        <v>20.00000000007276</v>
      </c>
    </row>
    <row r="8" spans="1:10" ht="17.100000000000001" customHeight="1">
      <c r="A8" s="265">
        <v>43986</v>
      </c>
      <c r="B8" s="467">
        <f>Gen!C14</f>
        <v>0</v>
      </c>
      <c r="C8" s="527">
        <f>Gen!AK14</f>
        <v>0</v>
      </c>
      <c r="D8" s="528">
        <f>Gen!T14</f>
        <v>693.88</v>
      </c>
      <c r="E8" s="463">
        <f>Gen!D14</f>
        <v>44977.06</v>
      </c>
      <c r="F8" s="464">
        <f>'Water-Meter'!E9</f>
        <v>86</v>
      </c>
      <c r="G8" s="465">
        <f>'Water-Meter'!AN9</f>
        <v>165</v>
      </c>
      <c r="H8" s="463">
        <f>'Utility report '!AC9</f>
        <v>39</v>
      </c>
      <c r="I8" s="462">
        <f>'Kit report'!F7</f>
        <v>95.999999999912689</v>
      </c>
      <c r="J8" s="463">
        <f>'Kit report'!X7</f>
        <v>0</v>
      </c>
    </row>
    <row r="9" spans="1:10" ht="17.100000000000001" customHeight="1">
      <c r="A9" s="265">
        <v>43987</v>
      </c>
      <c r="B9" s="467">
        <f>Gen!C15</f>
        <v>0</v>
      </c>
      <c r="C9" s="527">
        <f>Gen!AK15</f>
        <v>0</v>
      </c>
      <c r="D9" s="528">
        <f>Gen!T15</f>
        <v>708.93000000000006</v>
      </c>
      <c r="E9" s="463">
        <f>Gen!D15</f>
        <v>44283.18</v>
      </c>
      <c r="F9" s="464">
        <f>'Water-Meter'!E10</f>
        <v>82</v>
      </c>
      <c r="G9" s="465">
        <f>'Water-Meter'!AN10</f>
        <v>131</v>
      </c>
      <c r="H9" s="463">
        <f>'Utility report '!AC10</f>
        <v>154</v>
      </c>
      <c r="I9" s="462">
        <f>'Kit report'!F8</f>
        <v>120</v>
      </c>
      <c r="J9" s="463">
        <f>'Kit report'!X8</f>
        <v>0</v>
      </c>
    </row>
    <row r="10" spans="1:10" ht="17.100000000000001" customHeight="1">
      <c r="A10" s="265">
        <v>43988</v>
      </c>
      <c r="B10" s="467">
        <f>Gen!C16</f>
        <v>0</v>
      </c>
      <c r="C10" s="527">
        <f>Gen!AK16</f>
        <v>0</v>
      </c>
      <c r="D10" s="528">
        <f>Gen!T16</f>
        <v>0</v>
      </c>
      <c r="E10" s="463">
        <f>Gen!D16</f>
        <v>43574.25</v>
      </c>
      <c r="F10" s="464" t="str">
        <f>'Water-Meter'!E11</f>
        <v>0</v>
      </c>
      <c r="G10" s="465">
        <f>'Water-Meter'!AN11</f>
        <v>0</v>
      </c>
      <c r="H10" s="463">
        <f>'Utility report '!AC11</f>
        <v>-33079</v>
      </c>
      <c r="I10" s="462">
        <f>'Kit report'!F9</f>
        <v>-1043748</v>
      </c>
      <c r="J10" s="463">
        <f>'Kit report'!X9</f>
        <v>-1561320</v>
      </c>
    </row>
    <row r="11" spans="1:10" ht="17.100000000000001" customHeight="1">
      <c r="A11" s="265">
        <v>43989</v>
      </c>
      <c r="B11" s="467">
        <f>Gen!C17</f>
        <v>0</v>
      </c>
      <c r="C11" s="527">
        <f>Gen!AK17</f>
        <v>0</v>
      </c>
      <c r="D11" s="528">
        <f>Gen!T17</f>
        <v>0</v>
      </c>
      <c r="E11" s="463">
        <f>Gen!D17</f>
        <v>43574.25</v>
      </c>
      <c r="F11" s="464">
        <f>'Water-Meter'!E12</f>
        <v>0</v>
      </c>
      <c r="G11" s="465">
        <f>'Water-Meter'!AN12</f>
        <v>0</v>
      </c>
      <c r="H11" s="463">
        <f>'Utility report '!AC12</f>
        <v>0</v>
      </c>
      <c r="I11" s="462">
        <f>'Kit report'!F10</f>
        <v>0</v>
      </c>
      <c r="J11" s="463">
        <f>'Kit report'!X10</f>
        <v>0</v>
      </c>
    </row>
    <row r="12" spans="1:10" ht="17.100000000000001" customHeight="1">
      <c r="A12" s="265">
        <v>43990</v>
      </c>
      <c r="B12" s="467">
        <f>Gen!C18</f>
        <v>0</v>
      </c>
      <c r="C12" s="527">
        <f>Gen!AK18</f>
        <v>0</v>
      </c>
      <c r="D12" s="528">
        <f>Gen!T18</f>
        <v>0</v>
      </c>
      <c r="E12" s="463">
        <f>Gen!D18</f>
        <v>43574.25</v>
      </c>
      <c r="F12" s="464">
        <f>'Water-Meter'!E13</f>
        <v>0</v>
      </c>
      <c r="G12" s="465">
        <f>'Water-Meter'!AN13</f>
        <v>0</v>
      </c>
      <c r="H12" s="463">
        <f>'Utility report '!AC13</f>
        <v>0</v>
      </c>
      <c r="I12" s="462">
        <f>'Kit report'!F11</f>
        <v>0</v>
      </c>
      <c r="J12" s="463">
        <f>'Kit report'!X11</f>
        <v>0</v>
      </c>
    </row>
    <row r="13" spans="1:10" ht="17.100000000000001" customHeight="1">
      <c r="A13" s="265">
        <v>43991</v>
      </c>
      <c r="B13" s="467">
        <f>Gen!C19</f>
        <v>0</v>
      </c>
      <c r="C13" s="527">
        <f>Gen!AK19</f>
        <v>0</v>
      </c>
      <c r="D13" s="528">
        <f>Gen!T19</f>
        <v>0</v>
      </c>
      <c r="E13" s="463">
        <f>Gen!D19</f>
        <v>43574.25</v>
      </c>
      <c r="F13" s="464">
        <f>'Water-Meter'!E14</f>
        <v>0</v>
      </c>
      <c r="G13" s="465">
        <f>'Water-Meter'!AN14</f>
        <v>0</v>
      </c>
      <c r="H13" s="463">
        <f>'Utility report '!AC14</f>
        <v>0</v>
      </c>
      <c r="I13" s="462">
        <f>'Kit report'!F12</f>
        <v>0</v>
      </c>
      <c r="J13" s="463">
        <f>'Kit report'!X12</f>
        <v>0</v>
      </c>
    </row>
    <row r="14" spans="1:10" ht="17.100000000000001" customHeight="1">
      <c r="A14" s="265">
        <v>43992</v>
      </c>
      <c r="B14" s="467">
        <f>Gen!C20</f>
        <v>0</v>
      </c>
      <c r="C14" s="527">
        <f>Gen!AK20</f>
        <v>0</v>
      </c>
      <c r="D14" s="528">
        <f>Gen!T20</f>
        <v>0</v>
      </c>
      <c r="E14" s="463">
        <f>Gen!D20</f>
        <v>43574.25</v>
      </c>
      <c r="F14" s="464">
        <f>'Water-Meter'!E15</f>
        <v>0</v>
      </c>
      <c r="G14" s="465">
        <f>'Water-Meter'!AN15</f>
        <v>0</v>
      </c>
      <c r="H14" s="463">
        <f>'Utility report '!AC15</f>
        <v>0</v>
      </c>
      <c r="I14" s="462">
        <f>'Kit report'!F13</f>
        <v>0</v>
      </c>
      <c r="J14" s="463">
        <f>'Kit report'!X13</f>
        <v>0</v>
      </c>
    </row>
    <row r="15" spans="1:10" ht="17.100000000000001" customHeight="1">
      <c r="A15" s="265">
        <v>43993</v>
      </c>
      <c r="B15" s="467">
        <f>Gen!C21</f>
        <v>0</v>
      </c>
      <c r="C15" s="527">
        <f>Gen!AK21</f>
        <v>0</v>
      </c>
      <c r="D15" s="528">
        <f>Gen!T21</f>
        <v>0</v>
      </c>
      <c r="E15" s="463">
        <f>Gen!D21</f>
        <v>43574.25</v>
      </c>
      <c r="F15" s="464">
        <f>'Water-Meter'!E16</f>
        <v>0</v>
      </c>
      <c r="G15" s="465">
        <f>'Water-Meter'!AN16</f>
        <v>0</v>
      </c>
      <c r="H15" s="463">
        <f>'Utility report '!AC16</f>
        <v>0</v>
      </c>
      <c r="I15" s="462">
        <f>'Kit report'!F14</f>
        <v>0</v>
      </c>
      <c r="J15" s="463">
        <f>'Kit report'!X14</f>
        <v>0</v>
      </c>
    </row>
    <row r="16" spans="1:10" ht="17.100000000000001" customHeight="1">
      <c r="A16" s="265">
        <v>43994</v>
      </c>
      <c r="B16" s="467">
        <f>Gen!C22</f>
        <v>0</v>
      </c>
      <c r="C16" s="527">
        <f>Gen!AK22</f>
        <v>0</v>
      </c>
      <c r="D16" s="528">
        <f>Gen!T22</f>
        <v>0</v>
      </c>
      <c r="E16" s="463">
        <f>Gen!D22</f>
        <v>43574.25</v>
      </c>
      <c r="F16" s="464">
        <f>'Water-Meter'!E17</f>
        <v>0</v>
      </c>
      <c r="G16" s="465">
        <f>'Water-Meter'!AN17</f>
        <v>0</v>
      </c>
      <c r="H16" s="463">
        <f>'Utility report '!AC17</f>
        <v>0</v>
      </c>
      <c r="I16" s="462">
        <f>'Kit report'!F15</f>
        <v>0</v>
      </c>
      <c r="J16" s="463">
        <f>'Kit report'!X15</f>
        <v>0</v>
      </c>
    </row>
    <row r="17" spans="1:10" ht="17.100000000000001" customHeight="1">
      <c r="A17" s="265">
        <v>43995</v>
      </c>
      <c r="B17" s="467">
        <f>Gen!C23</f>
        <v>0</v>
      </c>
      <c r="C17" s="527">
        <f>Gen!AK23</f>
        <v>0</v>
      </c>
      <c r="D17" s="528">
        <f>Gen!T23</f>
        <v>0</v>
      </c>
      <c r="E17" s="463">
        <f>Gen!D23</f>
        <v>43574.25</v>
      </c>
      <c r="F17" s="464">
        <f>'Water-Meter'!E18</f>
        <v>0</v>
      </c>
      <c r="G17" s="465">
        <f>'Water-Meter'!AN18</f>
        <v>0</v>
      </c>
      <c r="H17" s="463">
        <f>'Utility report '!AC18</f>
        <v>0</v>
      </c>
      <c r="I17" s="462">
        <f>'Kit report'!F16</f>
        <v>0</v>
      </c>
      <c r="J17" s="463">
        <f>'Kit report'!X16</f>
        <v>0</v>
      </c>
    </row>
    <row r="18" spans="1:10" ht="17.100000000000001" customHeight="1">
      <c r="A18" s="265">
        <v>43996</v>
      </c>
      <c r="B18" s="467">
        <f>Gen!C24</f>
        <v>0</v>
      </c>
      <c r="C18" s="527">
        <f>Gen!AK24</f>
        <v>0</v>
      </c>
      <c r="D18" s="528">
        <f>Gen!T24</f>
        <v>0</v>
      </c>
      <c r="E18" s="463">
        <f>Gen!D24</f>
        <v>43574.25</v>
      </c>
      <c r="F18" s="464">
        <f>'Water-Meter'!E19</f>
        <v>0</v>
      </c>
      <c r="G18" s="465">
        <f>'Water-Meter'!AN19</f>
        <v>0</v>
      </c>
      <c r="H18" s="463">
        <f>'Utility report '!AC19</f>
        <v>0</v>
      </c>
      <c r="I18" s="462">
        <f>'Kit report'!F17</f>
        <v>0</v>
      </c>
      <c r="J18" s="463">
        <f>'Kit report'!X17</f>
        <v>0</v>
      </c>
    </row>
    <row r="19" spans="1:10" ht="17.100000000000001" customHeight="1">
      <c r="A19" s="265">
        <v>43997</v>
      </c>
      <c r="B19" s="467">
        <f>Gen!C25</f>
        <v>0</v>
      </c>
      <c r="C19" s="527">
        <f>Gen!AK25</f>
        <v>0</v>
      </c>
      <c r="D19" s="528">
        <f>Gen!T25</f>
        <v>0</v>
      </c>
      <c r="E19" s="463">
        <f>Gen!D25</f>
        <v>43574.25</v>
      </c>
      <c r="F19" s="464">
        <f>'Water-Meter'!E20</f>
        <v>0</v>
      </c>
      <c r="G19" s="465">
        <f>'Water-Meter'!AN20</f>
        <v>0</v>
      </c>
      <c r="H19" s="463">
        <f>'Utility report '!AC20</f>
        <v>0</v>
      </c>
      <c r="I19" s="462">
        <f>'Kit report'!F18</f>
        <v>0</v>
      </c>
      <c r="J19" s="463">
        <f>'Kit report'!X18</f>
        <v>0</v>
      </c>
    </row>
    <row r="20" spans="1:10" ht="17.100000000000001" customHeight="1">
      <c r="A20" s="265">
        <v>43998</v>
      </c>
      <c r="B20" s="467">
        <f>Gen!C26</f>
        <v>0</v>
      </c>
      <c r="C20" s="527">
        <f>Gen!AK26</f>
        <v>0</v>
      </c>
      <c r="D20" s="528">
        <f>Gen!T26</f>
        <v>0</v>
      </c>
      <c r="E20" s="463">
        <f>Gen!D26</f>
        <v>43574.25</v>
      </c>
      <c r="F20" s="464">
        <f>'Water-Meter'!E21</f>
        <v>0</v>
      </c>
      <c r="G20" s="465">
        <f>'Water-Meter'!AN21</f>
        <v>0</v>
      </c>
      <c r="H20" s="463">
        <f>'Utility report '!AC21</f>
        <v>0</v>
      </c>
      <c r="I20" s="462">
        <f>'Kit report'!F19</f>
        <v>0</v>
      </c>
      <c r="J20" s="463">
        <f>'Kit report'!X19</f>
        <v>0</v>
      </c>
    </row>
    <row r="21" spans="1:10" ht="15">
      <c r="A21" s="265">
        <v>43999</v>
      </c>
      <c r="B21" s="467">
        <f>Gen!C27</f>
        <v>0</v>
      </c>
      <c r="C21" s="527">
        <f>Gen!AK27</f>
        <v>0</v>
      </c>
      <c r="D21" s="528">
        <f>Gen!T27</f>
        <v>0</v>
      </c>
      <c r="E21" s="463">
        <f>Gen!D27</f>
        <v>43574.25</v>
      </c>
      <c r="F21" s="464">
        <f>'Water-Meter'!E22</f>
        <v>0</v>
      </c>
      <c r="G21" s="465">
        <f>'Water-Meter'!AN22</f>
        <v>0</v>
      </c>
      <c r="H21" s="463">
        <f>'Utility report '!AC22</f>
        <v>0</v>
      </c>
      <c r="I21" s="462">
        <f>'Kit report'!F20</f>
        <v>0</v>
      </c>
      <c r="J21" s="463">
        <f>'Kit report'!X20</f>
        <v>0</v>
      </c>
    </row>
    <row r="22" spans="1:10" ht="15" customHeight="1">
      <c r="A22" s="265">
        <v>44000</v>
      </c>
      <c r="B22" s="467">
        <f>Gen!C28</f>
        <v>0</v>
      </c>
      <c r="C22" s="527">
        <f>Gen!AK28</f>
        <v>0</v>
      </c>
      <c r="D22" s="528">
        <f>Gen!T28</f>
        <v>0</v>
      </c>
      <c r="E22" s="463">
        <f>Gen!D28</f>
        <v>43574.25</v>
      </c>
      <c r="F22" s="464">
        <f>'Water-Meter'!E23</f>
        <v>0</v>
      </c>
      <c r="G22" s="465">
        <f>'Water-Meter'!AN23</f>
        <v>0</v>
      </c>
      <c r="H22" s="463">
        <f>'Utility report '!AC23</f>
        <v>0</v>
      </c>
      <c r="I22" s="462">
        <f>'Kit report'!F21</f>
        <v>0</v>
      </c>
      <c r="J22" s="463">
        <f>'Kit report'!X21</f>
        <v>0</v>
      </c>
    </row>
    <row r="23" spans="1:10" ht="15" customHeight="1">
      <c r="A23" s="265">
        <v>44001</v>
      </c>
      <c r="B23" s="467">
        <f>Gen!C29</f>
        <v>0</v>
      </c>
      <c r="C23" s="527">
        <f>Gen!AK29</f>
        <v>0</v>
      </c>
      <c r="D23" s="528">
        <f>Gen!T29</f>
        <v>0</v>
      </c>
      <c r="E23" s="463">
        <f>Gen!D29</f>
        <v>43574.25</v>
      </c>
      <c r="F23" s="464">
        <f>'Water-Meter'!E24</f>
        <v>0</v>
      </c>
      <c r="G23" s="465">
        <f>'Water-Meter'!AN24</f>
        <v>0</v>
      </c>
      <c r="H23" s="463">
        <f>'Utility report '!AC24</f>
        <v>0</v>
      </c>
      <c r="I23" s="462">
        <f>'Kit report'!F22</f>
        <v>0</v>
      </c>
      <c r="J23" s="463">
        <f>'Kit report'!X22</f>
        <v>0</v>
      </c>
    </row>
    <row r="24" spans="1:10" ht="15" customHeight="1">
      <c r="A24" s="265">
        <v>44002</v>
      </c>
      <c r="B24" s="467">
        <f>Gen!C30</f>
        <v>0</v>
      </c>
      <c r="C24" s="527">
        <f>Gen!AK30</f>
        <v>0</v>
      </c>
      <c r="D24" s="528">
        <f>Gen!T30</f>
        <v>0</v>
      </c>
      <c r="E24" s="463">
        <f>Gen!D30</f>
        <v>43574.25</v>
      </c>
      <c r="F24" s="464">
        <f>'Water-Meter'!E25</f>
        <v>0</v>
      </c>
      <c r="G24" s="465">
        <f>'Water-Meter'!AN25</f>
        <v>0</v>
      </c>
      <c r="H24" s="463">
        <f>'Utility report '!AC25</f>
        <v>0</v>
      </c>
      <c r="I24" s="462">
        <f>'Kit report'!F23</f>
        <v>0</v>
      </c>
      <c r="J24" s="463">
        <f>'Kit report'!X23</f>
        <v>0</v>
      </c>
    </row>
    <row r="25" spans="1:10" ht="15" customHeight="1">
      <c r="A25" s="265">
        <v>44003</v>
      </c>
      <c r="B25" s="467">
        <f>Gen!C31</f>
        <v>0</v>
      </c>
      <c r="C25" s="527">
        <f>Gen!AK31</f>
        <v>0</v>
      </c>
      <c r="D25" s="528">
        <f>Gen!T31</f>
        <v>0</v>
      </c>
      <c r="E25" s="463">
        <f>Gen!D31</f>
        <v>43574.25</v>
      </c>
      <c r="F25" s="464">
        <f>'Water-Meter'!E26</f>
        <v>0</v>
      </c>
      <c r="G25" s="465">
        <f>'Water-Meter'!AN26</f>
        <v>0</v>
      </c>
      <c r="H25" s="463">
        <f>'Utility report '!AC26</f>
        <v>0</v>
      </c>
      <c r="I25" s="462">
        <f>'Kit report'!F24</f>
        <v>0</v>
      </c>
      <c r="J25" s="463">
        <f>'Kit report'!X24</f>
        <v>0</v>
      </c>
    </row>
    <row r="26" spans="1:10" ht="15" customHeight="1">
      <c r="A26" s="265">
        <v>44004</v>
      </c>
      <c r="B26" s="467">
        <f>Gen!C32</f>
        <v>0</v>
      </c>
      <c r="C26" s="527">
        <f>Gen!AK32</f>
        <v>0</v>
      </c>
      <c r="D26" s="528">
        <f>Gen!T32</f>
        <v>0</v>
      </c>
      <c r="E26" s="463">
        <f>Gen!D32</f>
        <v>43574.25</v>
      </c>
      <c r="F26" s="464">
        <f>'Water-Meter'!E27</f>
        <v>0</v>
      </c>
      <c r="G26" s="465">
        <f>'Water-Meter'!AN27</f>
        <v>0</v>
      </c>
      <c r="H26" s="463">
        <f>'Utility report '!AC27</f>
        <v>0</v>
      </c>
      <c r="I26" s="462">
        <f>'Kit report'!F25</f>
        <v>0</v>
      </c>
      <c r="J26" s="463">
        <f>'Kit report'!X25</f>
        <v>0</v>
      </c>
    </row>
    <row r="27" spans="1:10" ht="15" customHeight="1">
      <c r="A27" s="265">
        <v>44005</v>
      </c>
      <c r="B27" s="467">
        <f>Gen!C33</f>
        <v>0</v>
      </c>
      <c r="C27" s="527">
        <f>Gen!AK33</f>
        <v>0</v>
      </c>
      <c r="D27" s="528">
        <f>Gen!T33</f>
        <v>0</v>
      </c>
      <c r="E27" s="463">
        <f>Gen!D33</f>
        <v>43574.25</v>
      </c>
      <c r="F27" s="464">
        <f>'Water-Meter'!E28</f>
        <v>0</v>
      </c>
      <c r="G27" s="465">
        <f>'Water-Meter'!AN28</f>
        <v>0</v>
      </c>
      <c r="H27" s="463">
        <f>'Utility report '!AC28</f>
        <v>0</v>
      </c>
      <c r="I27" s="462">
        <f>'Kit report'!F26</f>
        <v>0</v>
      </c>
      <c r="J27" s="463">
        <f>'Kit report'!X26</f>
        <v>0</v>
      </c>
    </row>
    <row r="28" spans="1:10" ht="15" customHeight="1">
      <c r="A28" s="265">
        <v>44006</v>
      </c>
      <c r="B28" s="467">
        <v>9.0999999999999998E-2</v>
      </c>
      <c r="C28" s="527">
        <f>Gen!AK34</f>
        <v>0</v>
      </c>
      <c r="D28" s="528">
        <f>Gen!T34</f>
        <v>0</v>
      </c>
      <c r="E28" s="463">
        <f>Gen!D34</f>
        <v>43574.25</v>
      </c>
      <c r="F28" s="464">
        <f>'Water-Meter'!E29</f>
        <v>0</v>
      </c>
      <c r="G28" s="465">
        <f>'Water-Meter'!AN29</f>
        <v>0</v>
      </c>
      <c r="H28" s="463">
        <f>'Utility report '!AC29</f>
        <v>0</v>
      </c>
      <c r="I28" s="462">
        <f>'Kit report'!F27</f>
        <v>0</v>
      </c>
      <c r="J28" s="463">
        <f>'Kit report'!X27</f>
        <v>0</v>
      </c>
    </row>
    <row r="29" spans="1:10" ht="15" customHeight="1">
      <c r="A29" s="265">
        <v>44007</v>
      </c>
      <c r="B29" s="467">
        <f>Gen!C35</f>
        <v>0</v>
      </c>
      <c r="C29" s="527">
        <f>Gen!AK35</f>
        <v>0</v>
      </c>
      <c r="D29" s="528">
        <f>Gen!T35</f>
        <v>0</v>
      </c>
      <c r="E29" s="463">
        <f>Gen!D35</f>
        <v>43574.25</v>
      </c>
      <c r="F29" s="464">
        <f>'Water-Meter'!E30</f>
        <v>0</v>
      </c>
      <c r="G29" s="465">
        <f>'Water-Meter'!AN30</f>
        <v>0</v>
      </c>
      <c r="H29" s="463">
        <f>'Utility report '!AC30</f>
        <v>0</v>
      </c>
      <c r="I29" s="462">
        <f>'Kit report'!F28</f>
        <v>0</v>
      </c>
      <c r="J29" s="463">
        <f>'Kit report'!X28</f>
        <v>0</v>
      </c>
    </row>
    <row r="30" spans="1:10" ht="15" customHeight="1">
      <c r="A30" s="265">
        <v>44008</v>
      </c>
      <c r="B30" s="467">
        <f>Gen!C36</f>
        <v>0</v>
      </c>
      <c r="C30" s="527">
        <f>Gen!AK36</f>
        <v>0</v>
      </c>
      <c r="D30" s="528">
        <f>Gen!T36</f>
        <v>0</v>
      </c>
      <c r="E30" s="463">
        <f>Gen!D36</f>
        <v>43574.25</v>
      </c>
      <c r="F30" s="464">
        <f>'Water-Meter'!E31</f>
        <v>0</v>
      </c>
      <c r="G30" s="465">
        <f>'Water-Meter'!AN31</f>
        <v>0</v>
      </c>
      <c r="H30" s="463">
        <f>'Utility report '!AC31</f>
        <v>0</v>
      </c>
      <c r="I30" s="462">
        <f>'Kit report'!F29</f>
        <v>0</v>
      </c>
      <c r="J30" s="463">
        <f>'Kit report'!X29</f>
        <v>0</v>
      </c>
    </row>
    <row r="31" spans="1:10" ht="15" customHeight="1">
      <c r="A31" s="265">
        <v>44009</v>
      </c>
      <c r="B31" s="467">
        <f>Gen!C37</f>
        <v>0</v>
      </c>
      <c r="C31" s="527">
        <f>Gen!AK37</f>
        <v>0</v>
      </c>
      <c r="D31" s="528">
        <f>Gen!T37</f>
        <v>0</v>
      </c>
      <c r="E31" s="463">
        <f>Gen!D37</f>
        <v>43574.25</v>
      </c>
      <c r="F31" s="464">
        <f>'Water-Meter'!E32</f>
        <v>0</v>
      </c>
      <c r="G31" s="465">
        <f>'Water-Meter'!AN32</f>
        <v>0</v>
      </c>
      <c r="H31" s="463">
        <f>'Utility report '!AC32</f>
        <v>0</v>
      </c>
      <c r="I31" s="462">
        <f>'Kit report'!F30</f>
        <v>0</v>
      </c>
      <c r="J31" s="463">
        <f>'Kit report'!X30</f>
        <v>0</v>
      </c>
    </row>
    <row r="32" spans="1:10" ht="15" customHeight="1">
      <c r="A32" s="265">
        <v>44010</v>
      </c>
      <c r="B32" s="467">
        <f>Gen!C38</f>
        <v>0</v>
      </c>
      <c r="C32" s="527">
        <f>Gen!AK38</f>
        <v>0</v>
      </c>
      <c r="D32" s="528">
        <f>Gen!T38</f>
        <v>0</v>
      </c>
      <c r="E32" s="463">
        <f>Gen!D38</f>
        <v>43574.25</v>
      </c>
      <c r="F32" s="464">
        <f>'Water-Meter'!E33</f>
        <v>0</v>
      </c>
      <c r="G32" s="465">
        <f>'Water-Meter'!AN33</f>
        <v>0</v>
      </c>
      <c r="H32" s="463">
        <f>'Utility report '!AC33</f>
        <v>0</v>
      </c>
      <c r="I32" s="462">
        <f>'Kit report'!F31</f>
        <v>0</v>
      </c>
      <c r="J32" s="463">
        <f>'Kit report'!X31</f>
        <v>0</v>
      </c>
    </row>
    <row r="33" spans="1:10" ht="15" customHeight="1">
      <c r="A33" s="265">
        <v>44011</v>
      </c>
      <c r="B33" s="467">
        <f>Gen!C39</f>
        <v>0</v>
      </c>
      <c r="C33" s="527">
        <f>Gen!AK39</f>
        <v>0</v>
      </c>
      <c r="D33" s="528">
        <f>Gen!T39</f>
        <v>0</v>
      </c>
      <c r="E33" s="463">
        <f>Gen!D39</f>
        <v>43574.25</v>
      </c>
      <c r="F33" s="464">
        <f>'Water-Meter'!E34</f>
        <v>0</v>
      </c>
      <c r="G33" s="465">
        <f>'Water-Meter'!AN34</f>
        <v>0</v>
      </c>
      <c r="H33" s="463">
        <f>'Utility report '!AC34</f>
        <v>0</v>
      </c>
      <c r="I33" s="462">
        <f>'Kit report'!F32</f>
        <v>0</v>
      </c>
      <c r="J33" s="463">
        <f>'Kit report'!X32</f>
        <v>0</v>
      </c>
    </row>
    <row r="34" spans="1:10" ht="15" customHeight="1">
      <c r="A34" s="265">
        <v>44012</v>
      </c>
      <c r="B34" s="525">
        <f>Gen!C40</f>
        <v>0</v>
      </c>
      <c r="C34" s="527">
        <f>Gen!AK40</f>
        <v>0</v>
      </c>
      <c r="D34" s="528">
        <f>Gen!T40</f>
        <v>0</v>
      </c>
      <c r="E34" s="526">
        <f>Gen!D40</f>
        <v>43574.25</v>
      </c>
      <c r="F34" s="464">
        <f>'Water-Meter'!E35</f>
        <v>0</v>
      </c>
      <c r="G34" s="465">
        <f>'Water-Meter'!AN35</f>
        <v>0</v>
      </c>
      <c r="H34" s="463">
        <f>'Utility report '!AC35</f>
        <v>0</v>
      </c>
      <c r="I34" s="462">
        <f>'Kit report'!F33</f>
        <v>0</v>
      </c>
      <c r="J34" s="463">
        <f>'Kit report'!X33</f>
        <v>0</v>
      </c>
    </row>
    <row r="35" spans="1:10" ht="15" customHeight="1">
      <c r="A35" s="265">
        <v>44013</v>
      </c>
      <c r="B35" s="467">
        <f>Gen!C41</f>
        <v>0</v>
      </c>
      <c r="C35" s="527">
        <f>Gen!AK41</f>
        <v>0</v>
      </c>
      <c r="D35" s="528">
        <f>Gen!T41</f>
        <v>0</v>
      </c>
      <c r="E35" s="465">
        <f>Gen!D41</f>
        <v>43574.25</v>
      </c>
      <c r="F35" s="464">
        <f>'Water-Meter'!E36</f>
        <v>0</v>
      </c>
      <c r="G35" s="465">
        <f>'Water-Meter'!AN36</f>
        <v>0</v>
      </c>
      <c r="H35" s="463">
        <f>'Utility report '!AC36</f>
        <v>0</v>
      </c>
      <c r="I35" s="462">
        <f>'Kit report'!F34</f>
        <v>0</v>
      </c>
      <c r="J35" s="463">
        <f>'Kit report'!X34</f>
        <v>0</v>
      </c>
    </row>
    <row r="36" spans="1:10" ht="15">
      <c r="A36" s="265">
        <v>44014</v>
      </c>
      <c r="B36" s="18"/>
      <c r="C36" s="527">
        <f>Gen!AK42</f>
        <v>0</v>
      </c>
      <c r="D36" s="528">
        <f>Gen!T42</f>
        <v>0</v>
      </c>
      <c r="E36" s="465">
        <f>Gen!D42</f>
        <v>43574.25</v>
      </c>
      <c r="F36" s="464">
        <f>'Water-Meter'!E37</f>
        <v>0</v>
      </c>
      <c r="G36" s="465">
        <f>'Water-Meter'!AN37</f>
        <v>176</v>
      </c>
      <c r="H36" s="463">
        <f>'Utility report '!AC37</f>
        <v>0</v>
      </c>
      <c r="I36" s="462">
        <f>'Kit report'!F35</f>
        <v>347.99999999995634</v>
      </c>
      <c r="J36" s="46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2020-06-06T05:39:08Z</dcterms:modified>
</cp:coreProperties>
</file>