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3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5" i="12"/>
  <c r="P14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J16" s="1"/>
  <c r="H15"/>
  <c r="I15" s="1"/>
  <c r="H14"/>
  <c r="I14" s="1"/>
  <c r="H13"/>
  <c r="I13" s="1"/>
  <c r="H12"/>
  <c r="I12" s="1"/>
  <c r="H11"/>
  <c r="I11" s="1"/>
  <c r="H10"/>
  <c r="I10" s="1"/>
  <c r="J22" l="1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N15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Josephat.Mnganya</author>
  </authors>
  <commentList>
    <comment ref="S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20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4lts pump error</t>
        </r>
      </text>
    </comment>
    <comment ref="S2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15lts pump error</t>
        </r>
      </text>
    </comment>
    <comment ref="S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12lts of pump error</t>
        </r>
      </text>
    </comment>
    <comment ref="S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37lts of pump error</t>
        </r>
      </text>
    </comment>
    <comment ref="S2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11lts of pump error</t>
        </r>
      </text>
    </comment>
    <comment ref="S25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5lts of pump error</t>
        </r>
      </text>
    </comment>
    <comment ref="S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there is 7lts of pump error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<sst xmlns="http://schemas.openxmlformats.org/spreadsheetml/2006/main" count="550" uniqueCount="330">
  <si>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</si>
  <si>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</si>
  <si>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</si>
  <si>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</si>
  <si>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</si>
  <si>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</si>
  <si>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</si>
  <si>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</si>
  <si>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</si>
  <si>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</si>
  <si>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</si>
  <si>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</si>
  <si>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</si>
  <si>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</si>
  <si>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</si>
  <si>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</si>
  <si>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</si>
  <si>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</si>
  <si>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</si>
  <si>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</si>
  <si>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</si>
  <si>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</si>
  <si>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</si>
  <si>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</si>
  <si>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</si>
  <si>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</si>
  <si>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</si>
  <si>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</si>
  <si>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</si>
  <si>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</si>
  <si>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</si>
  <si>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</si>
  <si>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</si>
  <si>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</si>
  <si>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</si>
  <si>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</si>
  <si>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</si>
  <si>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</si>
  <si>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</si>
  <si>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</si>
  <si>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</si>
  <si>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</si>
  <si>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</si>
  <si>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</si>
  <si>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</si>
  <si>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</si>
  <si>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</si>
  <si>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</si>
  <si>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</si>
  <si>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</si>
  <si>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</si>
  <si>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</si>
  <si>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</si>
  <si>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</si>
  <si>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</si>
  <si>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</si>
  <si>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</si>
  <si>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</si>
  <si>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</si>
  <si>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</si>
  <si>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</si>
  <si>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</si>
  <si>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</si>
  <si>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</si>
  <si>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</si>
  <si>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</si>
  <si>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</si>
  <si>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</si>
  <si>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</si>
  <si>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</si>
  <si>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</si>
  <si>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</si>
  <si>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</si>
  <si>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</si>
  <si>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</si>
  <si>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</si>
  <si>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</si>
  <si>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</si>
  <si>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</si>
  <si>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</si>
  <si>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</si>
  <si>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</si>
  <si>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</si>
  <si>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</si>
  <si>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</si>
  <si>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</si>
  <si>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</si>
  <si>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</si>
  <si>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</si>
  <si>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</si>
  <si>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</si>
  <si>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</si>
  <si>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</si>
  <si>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</si>
  <si>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</si>
  <si>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</si>
  <si>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</si>
  <si>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</si>
  <si>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</si>
  <si>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</si>
  <si>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</si>
  <si>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</si>
  <si>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</si>
  <si>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</si>
  <si>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</si>
  <si>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</si>
  <si>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</si>
  <si>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</si>
  <si>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</si>
  <si>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</si>
  <si>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</si>
  <si>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</si>
  <si>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</si>
  <si>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</si>
  <si>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</si>
  <si>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</si>
  <si>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</si>
  <si>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</si>
  <si>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</si>
  <si>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</si>
  <si>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</si>
  <si>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</si>
  <si>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</si>
  <si>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</si>
  <si>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</si>
  <si>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</si>
  <si>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</si>
  <si>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</si>
  <si>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</si>
  <si>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</si>
  <si>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</si>
  <si>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</si>
  <si>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</si>
  <si>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</si>
  <si>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</si>
  <si>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</si>
  <si>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</si>
  <si>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</si>
  <si>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</si>
  <si>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</si>
  <si>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</si>
  <si>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</si>
  <si>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</si>
  <si>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</si>
  <si>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</si>
  <si>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</si>
  <si>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</si>
  <si>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</si>
  <si>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</si>
  <si>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</si>
  <si>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</si>
  <si>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</si>
  <si>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</si>
  <si>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</si>
  <si>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</si>
  <si>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</si>
  <si>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</si>
  <si>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</si>
  <si>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</si>
  <si>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</si>
  <si>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</si>
  <si>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</si>
  <si>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</si>
  <si>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</si>
  <si>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</si>
  <si>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</si>
  <si>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</si>
  <si>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</si>
  <si>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</si>
  <si>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</si>
  <si>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</si>
  <si>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</si>
  <si>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</si>
  <si>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</si>
  <si>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</si>
  <si>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</si>
  <si>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</si>
  <si>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</si>
  <si>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</si>
  <si>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</si>
  <si>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</si>
  <si>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</si>
  <si>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</si>
  <si>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</si>
  <si>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</si>
  <si>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</si>
  <si>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</si>
  <si>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</si>
  <si>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</si>
  <si>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</si>
  <si>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</si>
  <si>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</si>
  <si>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</si>
  <si>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</si>
  <si>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</si>
  <si>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</si>
  <si>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</si>
  <si>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</si>
  <si>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</si>
  <si>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</si>
  <si>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</si>
  <si>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</si>
  <si>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</si>
  <si>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</si>
  <si>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</si>
  <si>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</si>
  <si>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</si>
  <si>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</si>
  <si>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</si>
  <si>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</si>
  <si>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</si>
  <si>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</si>
  <si>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</si>
  <si>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</si>
  <si>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</si>
  <si>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</si>
  <si>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</si>
  <si>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</si>
  <si>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</si>
  <si>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</si>
  <si>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</si>
  <si>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</si>
  <si>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</si>
  <si>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</si>
  <si>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</si>
  <si>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</si>
  <si>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</si>
  <si>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</si>
  <si>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</si>
  <si>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</si>
  <si>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</si>
  <si>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</si>
  <si>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</si>
  <si>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</si>
  <si>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</si>
  <si>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</si>
  <si>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</si>
  <si>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</si>
  <si>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</si>
  <si>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</si>
  <si>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</si>
  <si>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</si>
  <si>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</si>
  <si>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</si>
  <si>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</si>
  <si>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</si>
  <si>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</si>
  <si>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</si>
  <si>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</si>
  <si>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</si>
  <si>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</si>
  <si>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</si>
  <si>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</si>
  <si>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</si>
  <si>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</si>
  <si>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</si>
  <si>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</si>
  <si>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</si>
  <si>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</si>
  <si>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</si>
  <si>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</si>
  <si>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</si>
  <si>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</si>
  <si>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</si>
  <si>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</si>
  <si>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</si>
  <si>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</si>
  <si>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</si>
  <si>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</si>
  <si>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</si>
  <si>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</si>
  <si>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</si>
  <si>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</si>
  <si>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</si>
  <si>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</si>
  <si>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</si>
  <si>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</si>
  <si>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</si>
  <si>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</si>
  <si>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</si>
  <si>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</si>
  <si>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</si>
  <si>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</si>
  <si>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</si>
  <si>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</si>
  <si>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</si>
  <si>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</si>
  <si>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</si>
  <si>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</si>
  <si>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</si>
  <si>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</si>
  <si>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</si>
  <si>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</si>
  <si>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</si>
  <si>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</si>
  <si>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</si>
  <si>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</si>
  <si>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</si>
  <si>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</si>
  <si>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</si>
  <si>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</si>
  <si>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</si>
  <si>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</si>
  <si>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</si>
  <si>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</si>
  <si>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</si>
  <si>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</si>
  <si>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</si>
  <si>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</si>
  <si>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</si>
  <si>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</si>
  <si>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</si>
  <si>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</si>
  <si>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</si>
  <si>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</si>
  <si>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</si>
  <si>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</si>
  <si>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Raha </t>
  </si>
  <si>
    <t>VODACOM POWER METER READING</t>
  </si>
  <si>
    <t>AITEL POWER METER READING</t>
  </si>
  <si>
    <t>T880DKQ</t>
  </si>
  <si>
    <t>Hassan</t>
  </si>
  <si>
    <t>Elihuruma</t>
  </si>
  <si>
    <t>T364AHF</t>
  </si>
  <si>
    <t>Nuru</t>
  </si>
  <si>
    <t>T132CWQ</t>
  </si>
  <si>
    <t>T391DQR</t>
  </si>
  <si>
    <t>Eliakim</t>
  </si>
  <si>
    <t>T111CWQ</t>
  </si>
  <si>
    <t>Mushi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</si>
</sst>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9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9" fontId="66" fillId="0" borderId="1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2713</c:v>
                </c:pt>
                <c:pt idx="5">
                  <c:v>2823</c:v>
                </c:pt>
                <c:pt idx="6">
                  <c:v>2548</c:v>
                </c:pt>
                <c:pt idx="7">
                  <c:v>2925</c:v>
                </c:pt>
                <c:pt idx="8">
                  <c:v>2712</c:v>
                </c:pt>
                <c:pt idx="9">
                  <c:v>3220</c:v>
                </c:pt>
                <c:pt idx="10">
                  <c:v>3248</c:v>
                </c:pt>
                <c:pt idx="11">
                  <c:v>3154</c:v>
                </c:pt>
                <c:pt idx="12">
                  <c:v>3356</c:v>
                </c:pt>
                <c:pt idx="13">
                  <c:v>3251</c:v>
                </c:pt>
                <c:pt idx="14">
                  <c:v>2895</c:v>
                </c:pt>
                <c:pt idx="15">
                  <c:v>2779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804480"/>
        <c:axId val="12512051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5122048"/>
        <c:axId val="125123584"/>
      </c:lineChart>
      <c:catAx>
        <c:axId val="12280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20512"/>
        <c:crosses val="autoZero"/>
        <c:auto val="1"/>
        <c:lblAlgn val="ctr"/>
        <c:lblOffset val="100"/>
      </c:catAx>
      <c:valAx>
        <c:axId val="12512051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04480"/>
        <c:crosses val="autoZero"/>
        <c:crossBetween val="between"/>
        <c:majorUnit val="200"/>
      </c:valAx>
      <c:catAx>
        <c:axId val="125122048"/>
        <c:scaling>
          <c:orientation val="minMax"/>
        </c:scaling>
        <c:delete val="1"/>
        <c:axPos val="b"/>
        <c:tickLblPos val="none"/>
        <c:crossAx val="125123584"/>
        <c:crosses val="autoZero"/>
        <c:auto val="1"/>
        <c:lblAlgn val="ctr"/>
        <c:lblOffset val="100"/>
      </c:catAx>
      <c:valAx>
        <c:axId val="1251235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220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5153664"/>
        <c:axId val="1251552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5156736"/>
        <c:axId val="125162624"/>
      </c:lineChart>
      <c:catAx>
        <c:axId val="12515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55200"/>
        <c:crosses val="autoZero"/>
        <c:auto val="1"/>
        <c:lblAlgn val="ctr"/>
        <c:lblOffset val="100"/>
      </c:catAx>
      <c:valAx>
        <c:axId val="125155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53664"/>
        <c:crosses val="autoZero"/>
        <c:crossBetween val="between"/>
        <c:majorUnit val="200"/>
      </c:valAx>
      <c:catAx>
        <c:axId val="125156736"/>
        <c:scaling>
          <c:orientation val="minMax"/>
        </c:scaling>
        <c:delete val="1"/>
        <c:axPos val="b"/>
        <c:tickLblPos val="none"/>
        <c:crossAx val="125162624"/>
        <c:crosses val="autoZero"/>
        <c:auto val="1"/>
        <c:lblAlgn val="ctr"/>
        <c:lblOffset val="100"/>
      </c:catAx>
      <c:valAx>
        <c:axId val="1251626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567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8136704"/>
        <c:axId val="128138240"/>
      </c:lineChart>
      <c:catAx>
        <c:axId val="12813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38240"/>
        <c:crosses val="autoZero"/>
        <c:auto val="1"/>
        <c:lblAlgn val="ctr"/>
        <c:lblOffset val="200"/>
        <c:tickLblSkip val="1"/>
      </c:catAx>
      <c:valAx>
        <c:axId val="1281382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3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8166912"/>
        <c:axId val="152064768"/>
      </c:lineChart>
      <c:catAx>
        <c:axId val="12816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64768"/>
        <c:crosses val="autoZero"/>
        <c:auto val="1"/>
        <c:lblAlgn val="ctr"/>
        <c:lblOffset val="100"/>
      </c:catAx>
      <c:valAx>
        <c:axId val="1520647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6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2101632"/>
        <c:axId val="152103552"/>
      </c:lineChart>
      <c:catAx>
        <c:axId val="152101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03552"/>
        <c:crosses val="autoZero"/>
        <c:auto val="1"/>
        <c:lblAlgn val="ctr"/>
        <c:lblOffset val="100"/>
      </c:catAx>
      <c:valAx>
        <c:axId val="152103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016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26135296"/>
        <c:axId val="126145664"/>
      </c:lineChart>
      <c:catAx>
        <c:axId val="126135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45664"/>
        <c:crosses val="autoZero"/>
        <c:auto val="1"/>
        <c:lblAlgn val="ctr"/>
        <c:lblOffset val="100"/>
      </c:catAx>
      <c:valAx>
        <c:axId val="1261456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352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-332296.09600000002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1671680"/>
        <c:axId val="81673216"/>
      </c:lineChart>
      <c:catAx>
        <c:axId val="8167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73216"/>
        <c:crosses val="autoZero"/>
        <c:auto val="1"/>
        <c:lblAlgn val="ctr"/>
        <c:lblOffset val="100"/>
      </c:catAx>
      <c:valAx>
        <c:axId val="81673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7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1715200"/>
        <c:axId val="81716736"/>
      </c:lineChart>
      <c:catAx>
        <c:axId val="8171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16736"/>
        <c:crosses val="autoZero"/>
        <c:auto val="1"/>
        <c:lblAlgn val="ctr"/>
        <c:lblOffset val="100"/>
      </c:catAx>
      <c:valAx>
        <c:axId val="81716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1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1220736"/>
        <c:axId val="81222272"/>
      </c:lineChart>
      <c:catAx>
        <c:axId val="8122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22272"/>
        <c:crosses val="autoZero"/>
        <c:auto val="1"/>
        <c:lblAlgn val="ctr"/>
        <c:lblOffset val="100"/>
      </c:catAx>
      <c:valAx>
        <c:axId val="8122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2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113"/>
          <c:y val="7.471324705111988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1246848"/>
        <c:axId val="124309888"/>
      </c:lineChart>
      <c:catAx>
        <c:axId val="8124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09888"/>
        <c:crosses val="autoZero"/>
        <c:auto val="1"/>
        <c:lblAlgn val="ctr"/>
        <c:lblOffset val="200"/>
        <c:tickLblSkip val="1"/>
      </c:catAx>
      <c:valAx>
        <c:axId val="124309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4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2584320"/>
        <c:axId val="82585856"/>
      </c:lineChart>
      <c:catAx>
        <c:axId val="8258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85856"/>
        <c:crosses val="autoZero"/>
        <c:auto val="1"/>
        <c:lblAlgn val="ctr"/>
        <c:lblOffset val="100"/>
      </c:catAx>
      <c:valAx>
        <c:axId val="8258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8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2606336"/>
        <c:axId val="82252160"/>
      </c:lineChart>
      <c:catAx>
        <c:axId val="82606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52160"/>
        <c:crosses val="autoZero"/>
        <c:auto val="1"/>
        <c:lblAlgn val="ctr"/>
        <c:lblOffset val="100"/>
      </c:catAx>
      <c:valAx>
        <c:axId val="82252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063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2309888"/>
        <c:axId val="82311808"/>
      </c:lineChart>
      <c:catAx>
        <c:axId val="82309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11808"/>
        <c:crosses val="autoZero"/>
        <c:auto val="1"/>
        <c:lblAlgn val="ctr"/>
        <c:lblOffset val="100"/>
      </c:catAx>
      <c:valAx>
        <c:axId val="82311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09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2992128"/>
        <c:axId val="83006208"/>
      </c:lineChart>
      <c:catAx>
        <c:axId val="8299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06208"/>
        <c:crosses val="autoZero"/>
        <c:auto val="1"/>
        <c:lblAlgn val="ctr"/>
        <c:lblOffset val="100"/>
      </c:catAx>
      <c:valAx>
        <c:axId val="830062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9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3375616"/>
        <c:axId val="83377152"/>
      </c:lineChart>
      <c:catAx>
        <c:axId val="8337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77152"/>
        <c:crosses val="autoZero"/>
        <c:auto val="1"/>
        <c:lblAlgn val="ctr"/>
        <c:lblOffset val="100"/>
      </c:catAx>
      <c:valAx>
        <c:axId val="8337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7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3409536"/>
        <c:axId val="83419520"/>
      </c:lineChart>
      <c:catAx>
        <c:axId val="8340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19520"/>
        <c:crosses val="autoZero"/>
        <c:auto val="1"/>
        <c:lblAlgn val="ctr"/>
        <c:lblOffset val="100"/>
      </c:catAx>
      <c:valAx>
        <c:axId val="8341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0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9491"/>
          <c:y val="7.471324705112021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4638720"/>
        <c:axId val="12464025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3956480"/>
        <c:axId val="83958016"/>
      </c:lineChart>
      <c:catAx>
        <c:axId val="1246387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40256"/>
        <c:crosses val="autoZero"/>
        <c:lblAlgn val="ctr"/>
        <c:lblOffset val="100"/>
        <c:tickMarkSkip val="1"/>
      </c:catAx>
      <c:valAx>
        <c:axId val="1246402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638720"/>
        <c:crosses val="autoZero"/>
        <c:crossBetween val="between"/>
      </c:valAx>
      <c:catAx>
        <c:axId val="83956480"/>
        <c:scaling>
          <c:orientation val="minMax"/>
        </c:scaling>
        <c:delete val="1"/>
        <c:axPos val="b"/>
        <c:numFmt formatCode="[$-409]d\-mmm\-yy;@" sourceLinked="1"/>
        <c:tickLblPos val="none"/>
        <c:crossAx val="83958016"/>
        <c:crosses val="autoZero"/>
        <c:lblAlgn val="ctr"/>
        <c:lblOffset val="100"/>
      </c:catAx>
      <c:valAx>
        <c:axId val="8395801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56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3998976"/>
        <c:axId val="84013056"/>
      </c:lineChart>
      <c:catAx>
        <c:axId val="8399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3056"/>
        <c:crosses val="autoZero"/>
        <c:auto val="1"/>
        <c:lblAlgn val="ctr"/>
        <c:lblOffset val="100"/>
      </c:catAx>
      <c:valAx>
        <c:axId val="840130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9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4049920"/>
        <c:axId val="84051456"/>
      </c:lineChart>
      <c:catAx>
        <c:axId val="8404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51456"/>
        <c:crosses val="autoZero"/>
        <c:auto val="1"/>
        <c:lblAlgn val="ctr"/>
        <c:lblOffset val="100"/>
      </c:catAx>
      <c:valAx>
        <c:axId val="840514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4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4090880"/>
        <c:axId val="840924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4093952"/>
        <c:axId val="84108032"/>
      </c:lineChart>
      <c:catAx>
        <c:axId val="840908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2416"/>
        <c:crosses val="autoZero"/>
        <c:lblAlgn val="ctr"/>
        <c:lblOffset val="100"/>
        <c:tickMarkSkip val="1"/>
      </c:catAx>
      <c:valAx>
        <c:axId val="8409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0880"/>
        <c:crosses val="autoZero"/>
        <c:crossBetween val="between"/>
      </c:valAx>
      <c:catAx>
        <c:axId val="84093952"/>
        <c:scaling>
          <c:orientation val="minMax"/>
        </c:scaling>
        <c:delete val="1"/>
        <c:axPos val="b"/>
        <c:numFmt formatCode="General" sourceLinked="1"/>
        <c:tickLblPos val="none"/>
        <c:crossAx val="84108032"/>
        <c:crosses val="autoZero"/>
        <c:lblAlgn val="ctr"/>
        <c:lblOffset val="100"/>
      </c:catAx>
      <c:valAx>
        <c:axId val="84108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93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6250240"/>
        <c:axId val="86251776"/>
      </c:lineChart>
      <c:catAx>
        <c:axId val="8625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1776"/>
        <c:crosses val="autoZero"/>
        <c:auto val="1"/>
        <c:lblAlgn val="ctr"/>
        <c:lblOffset val="100"/>
      </c:catAx>
      <c:valAx>
        <c:axId val="8625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6272256"/>
        <c:axId val="86294528"/>
      </c:lineChart>
      <c:catAx>
        <c:axId val="8627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94528"/>
        <c:crosses val="autoZero"/>
        <c:auto val="1"/>
        <c:lblAlgn val="ctr"/>
        <c:lblOffset val="100"/>
      </c:catAx>
      <c:valAx>
        <c:axId val="8629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7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6795776"/>
        <c:axId val="8679731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6807296"/>
        <c:axId val="86808832"/>
      </c:lineChart>
      <c:catAx>
        <c:axId val="867957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97312"/>
        <c:crosses val="autoZero"/>
        <c:lblAlgn val="ctr"/>
        <c:lblOffset val="100"/>
        <c:tickMarkSkip val="1"/>
      </c:catAx>
      <c:valAx>
        <c:axId val="86797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95776"/>
        <c:crosses val="autoZero"/>
        <c:crossBetween val="between"/>
      </c:valAx>
      <c:catAx>
        <c:axId val="86807296"/>
        <c:scaling>
          <c:orientation val="minMax"/>
        </c:scaling>
        <c:delete val="1"/>
        <c:axPos val="b"/>
        <c:numFmt formatCode="[$-409]d\-mmm\-yy;@" sourceLinked="1"/>
        <c:tickLblPos val="none"/>
        <c:crossAx val="86808832"/>
        <c:crosses val="autoZero"/>
        <c:lblAlgn val="ctr"/>
        <c:lblOffset val="100"/>
      </c:catAx>
      <c:valAx>
        <c:axId val="868088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07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7965696"/>
        <c:axId val="879672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7968768"/>
        <c:axId val="87982848"/>
      </c:lineChart>
      <c:catAx>
        <c:axId val="879656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7232"/>
        <c:crosses val="autoZero"/>
        <c:lblAlgn val="ctr"/>
        <c:lblOffset val="100"/>
        <c:tickMarkSkip val="1"/>
      </c:catAx>
      <c:valAx>
        <c:axId val="8796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5696"/>
        <c:crosses val="autoZero"/>
        <c:crossBetween val="between"/>
      </c:valAx>
      <c:catAx>
        <c:axId val="87968768"/>
        <c:scaling>
          <c:orientation val="minMax"/>
        </c:scaling>
        <c:delete val="1"/>
        <c:axPos val="b"/>
        <c:numFmt formatCode="General" sourceLinked="1"/>
        <c:tickLblPos val="none"/>
        <c:crossAx val="87982848"/>
        <c:crosses val="autoZero"/>
        <c:lblAlgn val="ctr"/>
        <c:lblOffset val="100"/>
      </c:catAx>
      <c:valAx>
        <c:axId val="879828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87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8263680"/>
        <c:axId val="8826547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8267008"/>
        <c:axId val="88276992"/>
      </c:lineChart>
      <c:catAx>
        <c:axId val="882636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65472"/>
        <c:crosses val="autoZero"/>
        <c:lblAlgn val="ctr"/>
        <c:lblOffset val="100"/>
        <c:tickMarkSkip val="1"/>
      </c:catAx>
      <c:valAx>
        <c:axId val="882654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63680"/>
        <c:crosses val="autoZero"/>
        <c:crossBetween val="between"/>
      </c:valAx>
      <c:catAx>
        <c:axId val="88267008"/>
        <c:scaling>
          <c:orientation val="minMax"/>
        </c:scaling>
        <c:delete val="1"/>
        <c:axPos val="b"/>
        <c:numFmt formatCode="[$-409]d\-mmm\-yy;@" sourceLinked="1"/>
        <c:tickLblPos val="none"/>
        <c:crossAx val="88276992"/>
        <c:crosses val="autoZero"/>
        <c:lblAlgn val="ctr"/>
        <c:lblOffset val="100"/>
      </c:catAx>
      <c:valAx>
        <c:axId val="8827699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67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8319488"/>
        <c:axId val="883210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8322816"/>
        <c:axId val="88324352"/>
      </c:lineChart>
      <c:catAx>
        <c:axId val="883194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21024"/>
        <c:crosses val="autoZero"/>
        <c:lblAlgn val="ctr"/>
        <c:lblOffset val="100"/>
        <c:tickMarkSkip val="1"/>
      </c:catAx>
      <c:valAx>
        <c:axId val="8832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19488"/>
        <c:crosses val="autoZero"/>
        <c:crossBetween val="between"/>
      </c:valAx>
      <c:catAx>
        <c:axId val="88322816"/>
        <c:scaling>
          <c:orientation val="minMax"/>
        </c:scaling>
        <c:delete val="1"/>
        <c:axPos val="b"/>
        <c:numFmt formatCode="General" sourceLinked="1"/>
        <c:tickLblPos val="none"/>
        <c:crossAx val="88324352"/>
        <c:crosses val="autoZero"/>
        <c:lblAlgn val="ctr"/>
        <c:lblOffset val="100"/>
      </c:catAx>
      <c:valAx>
        <c:axId val="88324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22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28014976"/>
        <c:axId val="128033536"/>
      </c:lineChart>
      <c:catAx>
        <c:axId val="128014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33536"/>
        <c:crosses val="autoZero"/>
        <c:auto val="1"/>
        <c:lblAlgn val="ctr"/>
        <c:lblOffset val="100"/>
      </c:catAx>
      <c:valAx>
        <c:axId val="128033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14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28046208"/>
        <c:axId val="128048128"/>
      </c:lineChart>
      <c:catAx>
        <c:axId val="128046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48128"/>
        <c:crosses val="autoZero"/>
        <c:auto val="1"/>
        <c:lblAlgn val="ctr"/>
        <c:lblOffset val="100"/>
      </c:catAx>
      <c:valAx>
        <c:axId val="1280481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046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2862080"/>
        <c:axId val="152880256"/>
      </c:lineChart>
      <c:catAx>
        <c:axId val="1528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80256"/>
        <c:crosses val="autoZero"/>
        <c:auto val="1"/>
        <c:lblAlgn val="ctr"/>
        <c:lblOffset val="200"/>
        <c:tickLblSkip val="1"/>
      </c:catAx>
      <c:valAx>
        <c:axId val="152880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3498752"/>
        <c:axId val="153500288"/>
      </c:lineChart>
      <c:catAx>
        <c:axId val="15349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00288"/>
        <c:crosses val="autoZero"/>
        <c:auto val="1"/>
        <c:lblAlgn val="ctr"/>
        <c:lblOffset val="100"/>
      </c:catAx>
      <c:valAx>
        <c:axId val="1535002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9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2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-332296.09600000002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3533056"/>
        <c:axId val="153948544"/>
      </c:lineChart>
      <c:catAx>
        <c:axId val="15353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48544"/>
        <c:crosses val="autoZero"/>
        <c:auto val="1"/>
        <c:lblAlgn val="ctr"/>
        <c:lblOffset val="100"/>
      </c:catAx>
      <c:valAx>
        <c:axId val="153948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53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0.41022905982905983</c:v>
                </c:pt>
                <c:pt idx="9">
                  <c:v>0.41823377581120946</c:v>
                </c:pt>
                <c:pt idx="10">
                  <c:v>0.39892236024844718</c:v>
                </c:pt>
                <c:pt idx="11">
                  <c:v>0.40176416256157638</c:v>
                </c:pt>
                <c:pt idx="12">
                  <c:v>0.41139822447685476</c:v>
                </c:pt>
                <c:pt idx="13">
                  <c:v>0.40690107270560189</c:v>
                </c:pt>
                <c:pt idx="14">
                  <c:v>0.40051984004921559</c:v>
                </c:pt>
                <c:pt idx="15">
                  <c:v>0.41088773747841106</c:v>
                </c:pt>
                <c:pt idx="16">
                  <c:v>0.37978409499820082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3997696"/>
        <c:axId val="153999616"/>
      </c:lineChart>
      <c:catAx>
        <c:axId val="153997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99616"/>
        <c:crosses val="autoZero"/>
        <c:auto val="1"/>
        <c:lblAlgn val="ctr"/>
        <c:lblOffset val="100"/>
      </c:catAx>
      <c:valAx>
        <c:axId val="1539996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976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43</c:v>
                </c:pt>
                <c:pt idx="9">
                  <c:v>27</c:v>
                </c:pt>
                <c:pt idx="10">
                  <c:v>60</c:v>
                </c:pt>
                <c:pt idx="11">
                  <c:v>65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60</c:v>
                </c:pt>
                <c:pt idx="16">
                  <c:v>64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4548864"/>
        <c:axId val="154583808"/>
      </c:lineChart>
      <c:catAx>
        <c:axId val="154548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83808"/>
        <c:crosses val="autoZero"/>
        <c:auto val="1"/>
        <c:lblAlgn val="ctr"/>
        <c:lblOffset val="100"/>
      </c:catAx>
      <c:valAx>
        <c:axId val="154583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488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2925</c:v>
                </c:pt>
                <c:pt idx="11">
                  <c:v>2712</c:v>
                </c:pt>
                <c:pt idx="12">
                  <c:v>3220</c:v>
                </c:pt>
                <c:pt idx="13">
                  <c:v>3248</c:v>
                </c:pt>
                <c:pt idx="14">
                  <c:v>3154</c:v>
                </c:pt>
                <c:pt idx="15">
                  <c:v>3356</c:v>
                </c:pt>
                <c:pt idx="16">
                  <c:v>3251</c:v>
                </c:pt>
                <c:pt idx="17">
                  <c:v>2895</c:v>
                </c:pt>
                <c:pt idx="18">
                  <c:v>2779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4997888"/>
        <c:axId val="154999424"/>
      </c:lineChart>
      <c:catAx>
        <c:axId val="15499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99424"/>
        <c:crosses val="autoZero"/>
        <c:auto val="1"/>
        <c:lblAlgn val="ctr"/>
        <c:lblOffset val="200"/>
        <c:tickLblSkip val="1"/>
      </c:catAx>
      <c:valAx>
        <c:axId val="154999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9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2.5999999999999999E-2</c:v>
                </c:pt>
                <c:pt idx="2">
                  <c:v>2.5999999999999999E-2</c:v>
                </c:pt>
                <c:pt idx="3">
                  <c:v>5.1900000000000002E-2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0.1169</c:v>
                </c:pt>
                <c:pt idx="7">
                  <c:v>0.12989999999999999</c:v>
                </c:pt>
                <c:pt idx="8">
                  <c:v>0.15579999999999999</c:v>
                </c:pt>
                <c:pt idx="9">
                  <c:v>0.15579999999999999</c:v>
                </c:pt>
                <c:pt idx="10">
                  <c:v>0.1169</c:v>
                </c:pt>
                <c:pt idx="11">
                  <c:v>0.12989999999999999</c:v>
                </c:pt>
                <c:pt idx="12">
                  <c:v>0.1429</c:v>
                </c:pt>
                <c:pt idx="13">
                  <c:v>0.14000000000000001</c:v>
                </c:pt>
                <c:pt idx="14">
                  <c:v>9.0899999999999995E-2</c:v>
                </c:pt>
                <c:pt idx="15">
                  <c:v>7.7899999999999997E-2</c:v>
                </c:pt>
                <c:pt idx="16">
                  <c:v>6.4899999999999999E-2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5032192"/>
        <c:axId val="155046272"/>
      </c:lineChart>
      <c:catAx>
        <c:axId val="15503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46272"/>
        <c:crosses val="autoZero"/>
        <c:auto val="1"/>
        <c:lblAlgn val="ctr"/>
        <c:lblOffset val="100"/>
      </c:catAx>
      <c:valAx>
        <c:axId val="1550462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26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66</c:v>
                </c:pt>
                <c:pt idx="1">
                  <c:v>64.811999999982078</c:v>
                </c:pt>
                <c:pt idx="2">
                  <c:v>65.912000000046106</c:v>
                </c:pt>
                <c:pt idx="3">
                  <c:v>61.600000000000009</c:v>
                </c:pt>
                <c:pt idx="4">
                  <c:v>68.947999999992319</c:v>
                </c:pt>
                <c:pt idx="5">
                  <c:v>65.559999999974394</c:v>
                </c:pt>
                <c:pt idx="6">
                  <c:v>61.776000000035864</c:v>
                </c:pt>
                <c:pt idx="7">
                  <c:v>74.975999999971833</c:v>
                </c:pt>
                <c:pt idx="8">
                  <c:v>82.279999999987197</c:v>
                </c:pt>
                <c:pt idx="9">
                  <c:v>93.94000000002562</c:v>
                </c:pt>
                <c:pt idx="10">
                  <c:v>104.58799999995391</c:v>
                </c:pt>
                <c:pt idx="11">
                  <c:v>84.568000000005128</c:v>
                </c:pt>
                <c:pt idx="12">
                  <c:v>79.464000000053787</c:v>
                </c:pt>
                <c:pt idx="13">
                  <c:v>79.023999999964147</c:v>
                </c:pt>
                <c:pt idx="14">
                  <c:v>88.660000000038423</c:v>
                </c:pt>
                <c:pt idx="15">
                  <c:v>64.371999999956472</c:v>
                </c:pt>
                <c:pt idx="16">
                  <c:v>81.620000000012809</c:v>
                </c:pt>
                <c:pt idx="17">
                  <c:v>66.395999999984639</c:v>
                </c:pt>
                <c:pt idx="18">
                  <c:v>-332296.09600000002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5672960"/>
        <c:axId val="155674496"/>
      </c:lineChart>
      <c:catAx>
        <c:axId val="15567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74496"/>
        <c:crosses val="autoZero"/>
        <c:auto val="1"/>
        <c:lblAlgn val="ctr"/>
        <c:lblOffset val="100"/>
      </c:catAx>
      <c:valAx>
        <c:axId val="1556744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7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6120960"/>
        <c:axId val="156135424"/>
      </c:lineChart>
      <c:catAx>
        <c:axId val="156120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35424"/>
        <c:crosses val="autoZero"/>
        <c:auto val="1"/>
        <c:lblAlgn val="ctr"/>
        <c:lblOffset val="100"/>
      </c:catAx>
      <c:valAx>
        <c:axId val="1561354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209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6168576"/>
        <c:axId val="156170496"/>
      </c:lineChart>
      <c:catAx>
        <c:axId val="156168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0496"/>
        <c:crosses val="autoZero"/>
        <c:auto val="1"/>
        <c:lblAlgn val="ctr"/>
        <c:lblOffset val="100"/>
      </c:catAx>
      <c:valAx>
        <c:axId val="1561704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685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6158592"/>
        <c:axId val="156471680"/>
      </c:lineChart>
      <c:catAx>
        <c:axId val="15615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71680"/>
        <c:crosses val="autoZero"/>
        <c:auto val="1"/>
        <c:lblAlgn val="ctr"/>
        <c:lblOffset val="200"/>
        <c:tickLblSkip val="1"/>
      </c:catAx>
      <c:valAx>
        <c:axId val="1564716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6496256"/>
        <c:axId val="156497792"/>
      </c:lineChart>
      <c:catAx>
        <c:axId val="15649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97792"/>
        <c:crosses val="autoZero"/>
        <c:auto val="1"/>
        <c:lblAlgn val="ctr"/>
        <c:lblOffset val="100"/>
      </c:catAx>
      <c:valAx>
        <c:axId val="156497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49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6850048"/>
        <c:axId val="156851584"/>
      </c:lineChart>
      <c:catAx>
        <c:axId val="15685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51584"/>
        <c:crosses val="autoZero"/>
        <c:auto val="1"/>
        <c:lblAlgn val="ctr"/>
        <c:lblOffset val="100"/>
      </c:catAx>
      <c:valAx>
        <c:axId val="15685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5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6892544"/>
        <c:axId val="157046272"/>
      </c:lineChart>
      <c:catAx>
        <c:axId val="1568925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46272"/>
        <c:crosses val="autoZero"/>
        <c:auto val="1"/>
        <c:lblAlgn val="ctr"/>
        <c:lblOffset val="100"/>
      </c:catAx>
      <c:valAx>
        <c:axId val="1570462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925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7235072"/>
        <c:axId val="157253632"/>
      </c:lineChart>
      <c:catAx>
        <c:axId val="157235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53632"/>
        <c:crosses val="autoZero"/>
        <c:auto val="1"/>
        <c:lblAlgn val="ctr"/>
        <c:lblOffset val="100"/>
      </c:catAx>
      <c:valAx>
        <c:axId val="1572536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350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7274496"/>
        <c:axId val="157276032"/>
      </c:lineChart>
      <c:catAx>
        <c:axId val="15727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76032"/>
        <c:crosses val="autoZero"/>
        <c:auto val="1"/>
        <c:lblAlgn val="ctr"/>
        <c:lblOffset val="200"/>
        <c:tickLblSkip val="1"/>
      </c:catAx>
      <c:valAx>
        <c:axId val="1572760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7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7570944"/>
        <c:axId val="157572480"/>
      </c:lineChart>
      <c:catAx>
        <c:axId val="15757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72480"/>
        <c:crosses val="autoZero"/>
        <c:auto val="1"/>
        <c:lblAlgn val="ctr"/>
        <c:lblOffset val="100"/>
      </c:catAx>
      <c:valAx>
        <c:axId val="15757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7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4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7588864"/>
        <c:axId val="157611136"/>
      </c:lineChart>
      <c:catAx>
        <c:axId val="157588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1136"/>
        <c:crosses val="autoZero"/>
        <c:auto val="1"/>
        <c:lblAlgn val="ctr"/>
        <c:lblOffset val="100"/>
      </c:catAx>
      <c:valAx>
        <c:axId val="157611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588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E39" sqref="E39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3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66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3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64.811999999982078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3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65.912000000046106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3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61.600000000000009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3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>
        <f>IF('Utility summery'!M10&lt;0,"0",'Utility summery'!M10)</f>
        <v>68.947999999992319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3</v>
      </c>
      <c r="D7" s="416">
        <v>2021</v>
      </c>
      <c r="E7" s="417">
        <f>'UTILITY REPORT 1'!F8</f>
        <v>2713</v>
      </c>
      <c r="F7" s="418">
        <f>('UTILITY REPORT 1'!E8*'UTILITY REPORT 1'!D8)/'UTILITY REPORT 1'!F8</f>
        <v>0.40692591227423519</v>
      </c>
      <c r="G7" s="418">
        <f>IF('Utility summery'!M11&lt;0,"0",'Utility summery'!M11)</f>
        <v>65.559999999974394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3</v>
      </c>
      <c r="D8" s="416">
        <v>2021</v>
      </c>
      <c r="E8" s="417">
        <f>'UTILITY REPORT 1'!F9</f>
        <v>2823</v>
      </c>
      <c r="F8" s="418">
        <f>('UTILITY REPORT 1'!E9*'UTILITY REPORT 1'!D9)/'UTILITY REPORT 1'!F9</f>
        <v>0.40235210768685792</v>
      </c>
      <c r="G8" s="418">
        <f>IF('Utility summery'!M12&lt;0,"0",'Utility summery'!M12)</f>
        <v>61.776000000035864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3</v>
      </c>
      <c r="D9" s="416">
        <v>2021</v>
      </c>
      <c r="E9" s="417">
        <f>'UTILITY REPORT 1'!F10</f>
        <v>2548</v>
      </c>
      <c r="F9" s="418">
        <f>('UTILITY REPORT 1'!E10*'UTILITY REPORT 1'!D10)/'UTILITY REPORT 1'!F10</f>
        <v>0.41578492935635797</v>
      </c>
      <c r="G9" s="418">
        <f>IF('Utility summery'!M13&lt;0,"0",'Utility summery'!M13)</f>
        <v>74.975999999971833</v>
      </c>
      <c r="H9" s="423">
        <v>0</v>
      </c>
      <c r="I9" s="418">
        <f>IF('UTILITY REPORT 1'!G10&lt;0,"0",'UTILITY REPORT 1'!G10)</f>
        <v>50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3</v>
      </c>
      <c r="D10" s="416">
        <v>2021</v>
      </c>
      <c r="E10" s="417">
        <f>'UTILITY REPORT 1'!F11</f>
        <v>2925</v>
      </c>
      <c r="F10" s="418">
        <f>('UTILITY REPORT 1'!E11*'UTILITY REPORT 1'!D11)/'UTILITY REPORT 1'!F11</f>
        <v>0.41022905982905983</v>
      </c>
      <c r="G10" s="418">
        <f>IF('Utility summery'!M14&lt;0,"0",'Utility summery'!M14)</f>
        <v>82.279999999987197</v>
      </c>
      <c r="H10" s="423">
        <v>0</v>
      </c>
      <c r="I10" s="418">
        <f>IF('UTILITY REPORT 1'!G11&lt;0,"0",'UTILITY REPORT 1'!G11)</f>
        <v>43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3</v>
      </c>
      <c r="D11" s="416">
        <v>2021</v>
      </c>
      <c r="E11" s="417">
        <f>'UTILITY REPORT 1'!F12</f>
        <v>2712</v>
      </c>
      <c r="F11" s="418">
        <f>('UTILITY REPORT 1'!E12*'UTILITY REPORT 1'!D12)/'UTILITY REPORT 1'!F12</f>
        <v>0.41823377581120946</v>
      </c>
      <c r="G11" s="418">
        <f>IF('Utility summery'!M15&lt;0,"0",'Utility summery'!M15)</f>
        <v>93.94000000002562</v>
      </c>
      <c r="H11" s="423">
        <v>0</v>
      </c>
      <c r="I11" s="418">
        <f>IF('UTILITY REPORT 1'!G12&lt;0,"0",'UTILITY REPORT 1'!G12)</f>
        <v>27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3</v>
      </c>
      <c r="D12" s="416">
        <v>2021</v>
      </c>
      <c r="E12" s="417">
        <f>'UTILITY REPORT 1'!F13</f>
        <v>3220</v>
      </c>
      <c r="F12" s="418">
        <f>('UTILITY REPORT 1'!E13*'UTILITY REPORT 1'!D13)/'UTILITY REPORT 1'!F13</f>
        <v>0.39892236024844718</v>
      </c>
      <c r="G12" s="418">
        <f>IF('Utility summery'!M16&lt;0,"0",'Utility summery'!M16)</f>
        <v>104.58799999995391</v>
      </c>
      <c r="H12" s="423">
        <v>0</v>
      </c>
      <c r="I12" s="418">
        <f>IF('UTILITY REPORT 1'!G13&lt;0,"0",'UTILITY REPORT 1'!G13)</f>
        <v>60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3</v>
      </c>
      <c r="D13" s="416">
        <v>2021</v>
      </c>
      <c r="E13" s="417">
        <f>'UTILITY REPORT 1'!F14</f>
        <v>3248</v>
      </c>
      <c r="F13" s="418">
        <f>('UTILITY REPORT 1'!E14*'UTILITY REPORT 1'!D14)/'UTILITY REPORT 1'!F14</f>
        <v>0.40176416256157638</v>
      </c>
      <c r="G13" s="418">
        <f>IF('Utility summery'!M17&lt;0,"0",'Utility summery'!M17)</f>
        <v>84.568000000005128</v>
      </c>
      <c r="H13" s="423">
        <v>0</v>
      </c>
      <c r="I13" s="418">
        <f>IF('UTILITY REPORT 1'!G14&lt;0,"0",'UTILITY REPORT 1'!G14)</f>
        <v>65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3</v>
      </c>
      <c r="D14" s="416">
        <v>2021</v>
      </c>
      <c r="E14" s="417">
        <f>'UTILITY REPORT 1'!F15</f>
        <v>3154</v>
      </c>
      <c r="F14" s="418">
        <f>('UTILITY REPORT 1'!E15*'UTILITY REPORT 1'!D15)/'UTILITY REPORT 1'!F15</f>
        <v>0.41139822447685476</v>
      </c>
      <c r="G14" s="418">
        <f>IF('Utility summery'!M18&lt;0,"0",'Utility summery'!M18)</f>
        <v>79.464000000053787</v>
      </c>
      <c r="H14" s="423">
        <v>0</v>
      </c>
      <c r="I14" s="418">
        <f>IF('UTILITY REPORT 1'!G15&lt;0,"0",'UTILITY REPORT 1'!G15)</f>
        <v>75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3</v>
      </c>
      <c r="D15" s="416">
        <v>2021</v>
      </c>
      <c r="E15" s="417">
        <f>'UTILITY REPORT 1'!F16</f>
        <v>3356</v>
      </c>
      <c r="F15" s="418">
        <f>('UTILITY REPORT 1'!E16*'UTILITY REPORT 1'!D16)/'UTILITY REPORT 1'!F16</f>
        <v>0.40690107270560189</v>
      </c>
      <c r="G15" s="418">
        <f>IF('Utility summery'!M19&lt;0,"0",'Utility summery'!M19)</f>
        <v>79.023999999964147</v>
      </c>
      <c r="H15" s="423">
        <v>0</v>
      </c>
      <c r="I15" s="418">
        <f>IF('UTILITY REPORT 1'!G16&lt;0,"0",'UTILITY REPORT 1'!G16)</f>
        <v>74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3</v>
      </c>
      <c r="D16" s="416">
        <v>2021</v>
      </c>
      <c r="E16" s="417">
        <f>'UTILITY REPORT 1'!F17</f>
        <v>3251</v>
      </c>
      <c r="F16" s="418">
        <f>('UTILITY REPORT 1'!E17*'UTILITY REPORT 1'!D17)/'UTILITY REPORT 1'!F17</f>
        <v>0.40051984004921559</v>
      </c>
      <c r="G16" s="418">
        <f>IF('Utility summery'!M20&lt;0,"0",'Utility summery'!M20)</f>
        <v>88.660000000038423</v>
      </c>
      <c r="H16" s="423">
        <v>0</v>
      </c>
      <c r="I16" s="418">
        <f>IF('UTILITY REPORT 1'!G17&lt;0,"0",'UTILITY REPORT 1'!G17)</f>
        <v>74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3</v>
      </c>
      <c r="D17" s="416">
        <v>2021</v>
      </c>
      <c r="E17" s="417">
        <f>'UTILITY REPORT 1'!F18</f>
        <v>2895</v>
      </c>
      <c r="F17" s="418">
        <f>('UTILITY REPORT 1'!E18*'UTILITY REPORT 1'!D18)/'UTILITY REPORT 1'!F18</f>
        <v>0.41088773747841106</v>
      </c>
      <c r="G17" s="418">
        <f>IF('Utility summery'!M21&lt;0,"0",'Utility summery'!M21)</f>
        <v>64.371999999956472</v>
      </c>
      <c r="H17" s="423">
        <v>0</v>
      </c>
      <c r="I17" s="418">
        <f>IF('UTILITY REPORT 1'!G18&lt;0,"0",'UTILITY REPORT 1'!G18)</f>
        <v>60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3</v>
      </c>
      <c r="D18" s="416">
        <v>2021</v>
      </c>
      <c r="E18" s="417">
        <f>'UTILITY REPORT 1'!F19</f>
        <v>2779</v>
      </c>
      <c r="F18" s="418">
        <f>('UTILITY REPORT 1'!E19*'UTILITY REPORT 1'!D19)/'UTILITY REPORT 1'!F19</f>
        <v>0.37978409499820082</v>
      </c>
      <c r="G18" s="418">
        <f>IF('Utility summery'!M22&lt;0,"0",'Utility summery'!M22)</f>
        <v>81.620000000012809</v>
      </c>
      <c r="H18" s="423">
        <v>0</v>
      </c>
      <c r="I18" s="418">
        <f>IF('UTILITY REPORT 1'!G19&lt;0,"0",'UTILITY REPORT 1'!G19)</f>
        <v>64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3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66.395999999984639</v>
      </c>
      <c r="H19" s="423">
        <v>0</v>
      </c>
      <c r="I19" s="418" t="str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3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 t="str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3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3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3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3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3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3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3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3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3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3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3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3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86.51</v>
      </c>
      <c r="F7" s="456">
        <f>'UTILITY REPORT 1'!E8</f>
        <v>1103.99</v>
      </c>
      <c r="G7" s="457">
        <f>'UTILITY REPORT 1'!F8</f>
        <v>2713</v>
      </c>
      <c r="H7" s="456">
        <f>IF('Kit report'!F9&lt;0,"0",'Kit report'!F9)</f>
        <v>264.00000000008731</v>
      </c>
      <c r="I7" s="456">
        <f>IF('Kit report'!X9&lt;0,"0",'Kit report'!X9)</f>
        <v>260.00000000003638</v>
      </c>
      <c r="J7" s="456">
        <f>IF('Utility summery'!H11&lt;0,"0",'Utility summery'!H11)</f>
        <v>54</v>
      </c>
      <c r="K7" s="457">
        <f>IF('UTILITY REPORT 1'!H8&lt;0,"0",'UTILITY REPORT 1'!H8)</f>
        <v>93</v>
      </c>
      <c r="L7" s="456">
        <f>'Water-Meter'!K11</f>
        <v>2</v>
      </c>
      <c r="M7" s="457">
        <f>'Water-Meter'!H11</f>
        <v>0</v>
      </c>
      <c r="N7" s="457">
        <f>'Water-Meter'!Q11</f>
        <v>3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85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15</v>
      </c>
      <c r="U7" s="242">
        <f>IF('Water-Meter'!AG11&lt;0,"0",'Water-Meter'!AG11)</f>
        <v>0</v>
      </c>
      <c r="V7" s="242">
        <f>IF('Water-Meter'!AJ11&lt;0,"0",'Water-Meter'!AJ11)</f>
        <v>26</v>
      </c>
      <c r="W7" s="30">
        <f>'Water-Meter'!AN11</f>
        <v>126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62.91</v>
      </c>
      <c r="F8" s="456">
        <f>'UTILITY REPORT 1'!E9</f>
        <v>1135.8399999999999</v>
      </c>
      <c r="G8" s="457">
        <f>'UTILITY REPORT 1'!F9</f>
        <v>2823</v>
      </c>
      <c r="H8" s="456">
        <f>IF('Kit report'!F10&lt;0,"0",'Kit report'!F10)</f>
        <v>240</v>
      </c>
      <c r="I8" s="456">
        <f>IF('Kit report'!X10&lt;0,"0",'Kit report'!X10)</f>
        <v>339.99999999996362</v>
      </c>
      <c r="J8" s="456">
        <f>IF('Utility summery'!H12&lt;0,"0",'Utility summery'!H12)</f>
        <v>57</v>
      </c>
      <c r="K8" s="457">
        <f>IF('UTILITY REPORT 1'!H9&lt;0,"0",'UTILITY REPORT 1'!H9)</f>
        <v>131</v>
      </c>
      <c r="L8" s="456">
        <f>'Water-Meter'!K12</f>
        <v>2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85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26</v>
      </c>
      <c r="W8" s="30">
        <f>'Water-Meter'!AN12</f>
        <v>127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1059.42</v>
      </c>
      <c r="G9" s="457">
        <f>'UTILITY REPORT 1'!F10</f>
        <v>2548</v>
      </c>
      <c r="H9" s="456">
        <f>IF('Kit report'!F11&lt;0,"0",'Kit report'!F11)</f>
        <v>215.99999999991269</v>
      </c>
      <c r="I9" s="456">
        <f>IF('Kit report'!X11&lt;0,"0",'Kit report'!X11)</f>
        <v>200</v>
      </c>
      <c r="J9" s="456">
        <f>IF('Utility summery'!H13&lt;0,"0",'Utility summery'!H13)</f>
        <v>52</v>
      </c>
      <c r="K9" s="457">
        <f>IF('UTILITY REPORT 1'!H10&lt;0,"0",'UTILITY REPORT 1'!H10)</f>
        <v>16</v>
      </c>
      <c r="L9" s="456">
        <f>'Water-Meter'!K13</f>
        <v>2</v>
      </c>
      <c r="M9" s="457">
        <f>'Water-Meter'!H13</f>
        <v>0</v>
      </c>
      <c r="N9" s="457">
        <f>'Water-Meter'!Q13</f>
        <v>1</v>
      </c>
      <c r="O9" s="456" t="e">
        <f>K9*E9+H9*I9+#REF!*#REF!+J9*L9</f>
        <v>#REF!</v>
      </c>
      <c r="P9" s="462">
        <f>'Water-Meter'!E13</f>
        <v>50</v>
      </c>
      <c r="Q9" s="242">
        <f>IF('Water-Meter'!U13&lt;0,"0",'Water-Meter'!U13)</f>
        <v>83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125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66</v>
      </c>
      <c r="F10" s="456">
        <f>'UTILITY REPORT 1'!E11</f>
        <v>1199.92</v>
      </c>
      <c r="G10" s="457">
        <f>'UTILITY REPORT 1'!F11</f>
        <v>2925</v>
      </c>
      <c r="H10" s="456">
        <f>IF('Kit report'!F12&lt;0,"0",'Kit report'!F12)</f>
        <v>252.00000000004366</v>
      </c>
      <c r="I10" s="456">
        <f>IF('Kit report'!X12&lt;0,"0",'Kit report'!X12)</f>
        <v>339.99999999996362</v>
      </c>
      <c r="J10" s="456">
        <f>IF('Utility summery'!H14&lt;0,"0",'Utility summery'!H14)</f>
        <v>36</v>
      </c>
      <c r="K10" s="457">
        <f>IF('UTILITY REPORT 1'!H11&lt;0,"0",'UTILITY REPORT 1'!H11)</f>
        <v>12</v>
      </c>
      <c r="L10" s="456">
        <f>'Water-Meter'!K14</f>
        <v>2</v>
      </c>
      <c r="M10" s="457">
        <f>'Water-Meter'!H14</f>
        <v>0</v>
      </c>
      <c r="N10" s="457">
        <f>'Water-Meter'!Q14</f>
        <v>1</v>
      </c>
      <c r="O10" s="456" t="e">
        <f>K10*E10+H10*I10+#REF!*#REF!+J10*L10</f>
        <v>#REF!</v>
      </c>
      <c r="P10" s="462">
        <f>'Water-Meter'!E14</f>
        <v>43</v>
      </c>
      <c r="Q10" s="242">
        <f>IF('Water-Meter'!U14&lt;0,"0",'Water-Meter'!U14)</f>
        <v>77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26</v>
      </c>
      <c r="W10" s="30">
        <f>'Water-Meter'!AN14</f>
        <v>119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285.27</v>
      </c>
      <c r="F11" s="456">
        <f>'UTILITY REPORT 1'!E12</f>
        <v>1134.25</v>
      </c>
      <c r="G11" s="457">
        <f>'UTILITY REPORT 1'!F12</f>
        <v>2712</v>
      </c>
      <c r="H11" s="456">
        <f>IF('Kit report'!F13&lt;0,"0",'Kit report'!F13)</f>
        <v>263.99999999986903</v>
      </c>
      <c r="I11" s="456">
        <f>IF('Kit report'!X13&lt;0,"0",'Kit report'!X13)</f>
        <v>220.00000000007276</v>
      </c>
      <c r="J11" s="456">
        <f>IF('Utility summery'!H15&lt;0,"0",'Utility summery'!H15)</f>
        <v>40</v>
      </c>
      <c r="K11" s="457">
        <f>IF('UTILITY REPORT 1'!H12&lt;0,"0",'UTILITY REPORT 1'!H12)</f>
        <v>93</v>
      </c>
      <c r="L11" s="456">
        <f>'Water-Meter'!K15</f>
        <v>2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27</v>
      </c>
      <c r="Q11" s="242">
        <f>IF('Water-Meter'!U15&lt;0,"0",'Water-Meter'!U15)</f>
        <v>83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16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125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32.85</v>
      </c>
      <c r="F12" s="456">
        <f>'UTILITY REPORT 1'!E13</f>
        <v>1284.53</v>
      </c>
      <c r="G12" s="457">
        <f>'UTILITY REPORT 1'!F13</f>
        <v>3220</v>
      </c>
      <c r="H12" s="456">
        <f>IF('Kit report'!F14&lt;0,"0",'Kit report'!F14)</f>
        <v>252.00000000004366</v>
      </c>
      <c r="I12" s="456">
        <f>IF('Kit report'!X14&lt;0,"0",'Kit report'!X14)</f>
        <v>239.99999999996362</v>
      </c>
      <c r="J12" s="456">
        <f>IF('Utility summery'!H16&lt;0,"0",'Utility summery'!H16)</f>
        <v>70</v>
      </c>
      <c r="K12" s="457">
        <f>IF('UTILITY REPORT 1'!H13&lt;0,"0",'UTILITY REPORT 1'!H13)</f>
        <v>33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60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14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124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357.62</v>
      </c>
      <c r="F13" s="456">
        <f>'UTILITY REPORT 1'!E14</f>
        <v>1304.93</v>
      </c>
      <c r="G13" s="457">
        <f>'UTILITY REPORT 1'!F14</f>
        <v>3248</v>
      </c>
      <c r="H13" s="456">
        <f>IF('Kit report'!F15&lt;0,"0",'Kit report'!F15)</f>
        <v>252.00000000004366</v>
      </c>
      <c r="I13" s="456">
        <f>IF('Kit report'!X15&lt;0,"0",'Kit report'!X15)</f>
        <v>319.99999999989086</v>
      </c>
      <c r="J13" s="456">
        <f>IF('Utility summery'!H17&lt;0,"0",'Utility summery'!H17)</f>
        <v>51</v>
      </c>
      <c r="K13" s="457">
        <f>IF('UTILITY REPORT 1'!H14&lt;0,"0",'UTILITY REPORT 1'!H14)</f>
        <v>31</v>
      </c>
      <c r="L13" s="456">
        <f>'Water-Meter'!K17</f>
        <v>2</v>
      </c>
      <c r="M13" s="457">
        <f>'Water-Meter'!H17</f>
        <v>0</v>
      </c>
      <c r="N13" s="457">
        <f>'Water-Meter'!Q17</f>
        <v>2</v>
      </c>
      <c r="O13" s="456" t="e">
        <f>K13*E13+H13*I13+#REF!*#REF!+J13*L13</f>
        <v>#REF!</v>
      </c>
      <c r="P13" s="462">
        <f>'Water-Meter'!E17</f>
        <v>65</v>
      </c>
      <c r="Q13" s="242">
        <f>IF('Water-Meter'!U17&lt;0,"0",'Water-Meter'!U17)</f>
        <v>82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27</v>
      </c>
      <c r="W13" s="30">
        <f>'Water-Meter'!AN17</f>
        <v>125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124.03</v>
      </c>
      <c r="F14" s="456">
        <f>'UTILITY REPORT 1'!E15</f>
        <v>1297.55</v>
      </c>
      <c r="G14" s="457">
        <f>'UTILITY REPORT 1'!F15</f>
        <v>3154</v>
      </c>
      <c r="H14" s="456">
        <f>IF('Kit report'!F16&lt;0,"0",'Kit report'!F16)</f>
        <v>252.00000000004366</v>
      </c>
      <c r="I14" s="456">
        <f>IF('Kit report'!X16&lt;0,"0",'Kit report'!X16)</f>
        <v>220.00000000007276</v>
      </c>
      <c r="J14" s="456">
        <f>IF('Utility summery'!H18&lt;0,"0",'Utility summery'!H18)</f>
        <v>72</v>
      </c>
      <c r="K14" s="457">
        <f>IF('UTILITY REPORT 1'!H15&lt;0,"0",'UTILITY REPORT 1'!H15)</f>
        <v>25</v>
      </c>
      <c r="L14" s="456">
        <f>'Water-Meter'!K18</f>
        <v>2</v>
      </c>
      <c r="M14" s="457">
        <f>'Water-Meter'!H18</f>
        <v>0</v>
      </c>
      <c r="N14" s="457">
        <f>'Water-Meter'!Q18</f>
        <v>6</v>
      </c>
      <c r="O14" s="456" t="e">
        <f>K14*E14+H14*I14+#REF!*#REF!+J14*L14</f>
        <v>#REF!</v>
      </c>
      <c r="P14" s="462">
        <f>'Water-Meter'!E18</f>
        <v>75</v>
      </c>
      <c r="Q14" s="242">
        <f>IF('Water-Meter'!U18&lt;0,"0",'Water-Meter'!U18)</f>
        <v>83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28</v>
      </c>
      <c r="W14" s="30">
        <f>'Water-Meter'!AN18</f>
        <v>128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86.06</v>
      </c>
      <c r="F15" s="456">
        <f>'UTILITY REPORT 1'!E16</f>
        <v>1365.56</v>
      </c>
      <c r="G15" s="457">
        <f>'UTILITY REPORT 1'!F16</f>
        <v>3356</v>
      </c>
      <c r="H15" s="456">
        <f>IF('Kit report'!F17&lt;0,"0",'Kit report'!F17)</f>
        <v>275.99999999991269</v>
      </c>
      <c r="I15" s="456">
        <f>IF('Kit report'!X17&lt;0,"0",'Kit report'!X17)</f>
        <v>360.00000000003638</v>
      </c>
      <c r="J15" s="456">
        <f>IF('Utility summery'!H19&lt;0,"0",'Utility summery'!H19)</f>
        <v>65</v>
      </c>
      <c r="K15" s="457">
        <f>IF('UTILITY REPORT 1'!H16&lt;0,"0",'UTILITY REPORT 1'!H16)</f>
        <v>0</v>
      </c>
      <c r="L15" s="456">
        <f>'Water-Meter'!K19</f>
        <v>2</v>
      </c>
      <c r="M15" s="457">
        <f>'Water-Meter'!H19</f>
        <v>0</v>
      </c>
      <c r="N15" s="457">
        <f>'Water-Meter'!Q19</f>
        <v>6</v>
      </c>
      <c r="O15" s="456" t="e">
        <f>K15*E15+H15*I15+#REF!*#REF!+J15*L15</f>
        <v>#REF!</v>
      </c>
      <c r="P15" s="462">
        <f>'Water-Meter'!E19</f>
        <v>74</v>
      </c>
      <c r="Q15" s="242">
        <f>IF('Water-Meter'!U19&lt;0,"0",'Water-Meter'!U19)</f>
        <v>41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16</v>
      </c>
      <c r="U15" s="242">
        <f>IF('Water-Meter'!AG19&lt;0,"0",'Water-Meter'!AG19)</f>
        <v>0</v>
      </c>
      <c r="V15" s="242">
        <f>IF('Water-Meter'!AJ19&lt;0,"0",'Water-Meter'!AJ19)</f>
        <v>25</v>
      </c>
      <c r="W15" s="30">
        <f>'Water-Meter'!AN19</f>
        <v>82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164.56</v>
      </c>
      <c r="F16" s="456">
        <f>'UTILITY REPORT 1'!E17</f>
        <v>1302.0899999999999</v>
      </c>
      <c r="G16" s="457">
        <f>'UTILITY REPORT 1'!F17</f>
        <v>3251</v>
      </c>
      <c r="H16" s="456">
        <f>IF('Kit report'!F18&lt;0,"0",'Kit report'!F18)</f>
        <v>252.00000000004366</v>
      </c>
      <c r="I16" s="456">
        <f>IF('Kit report'!X18&lt;0,"0",'Kit report'!X18)</f>
        <v>400</v>
      </c>
      <c r="J16" s="456">
        <f>IF('Utility summery'!H20&lt;0,"0",'Utility summery'!H20)</f>
        <v>65</v>
      </c>
      <c r="K16" s="457">
        <f>IF('UTILITY REPORT 1'!H17&lt;0,"0",'UTILITY REPORT 1'!H17)</f>
        <v>0</v>
      </c>
      <c r="L16" s="456">
        <f>'Water-Meter'!K20</f>
        <v>4</v>
      </c>
      <c r="M16" s="457">
        <f>'Water-Meter'!H20</f>
        <v>0</v>
      </c>
      <c r="N16" s="457">
        <f>'Water-Meter'!Q20</f>
        <v>6</v>
      </c>
      <c r="O16" s="456" t="e">
        <f>K16*E16+H16*I16+#REF!*#REF!+J16*L16</f>
        <v>#REF!</v>
      </c>
      <c r="P16" s="462">
        <f>'Water-Meter'!E20</f>
        <v>74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26</v>
      </c>
      <c r="W16" s="30">
        <f>'Water-Meter'!AN20</f>
        <v>42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1189.52</v>
      </c>
      <c r="G17" s="457">
        <f>'UTILITY REPORT 1'!F18</f>
        <v>2895</v>
      </c>
      <c r="H17" s="456">
        <f>IF('Kit report'!F19&lt;0,"0",'Kit report'!F19)</f>
        <v>227.99999999995634</v>
      </c>
      <c r="I17" s="456">
        <f>IF('Kit report'!X19&lt;0,"0",'Kit report'!X19)</f>
        <v>379.99999999992724</v>
      </c>
      <c r="J17" s="456">
        <f>IF('Utility summery'!H21&lt;0,"0",'Utility summery'!H21)</f>
        <v>62</v>
      </c>
      <c r="K17" s="457">
        <f>IF('UTILITY REPORT 1'!H18&lt;0,"0",'UTILITY REPORT 1'!H18)</f>
        <v>0</v>
      </c>
      <c r="L17" s="456">
        <f>'Water-Meter'!K21</f>
        <v>3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60</v>
      </c>
      <c r="Q17" s="242">
        <f>IF('Water-Meter'!U21&lt;0,"0",'Water-Meter'!U21)</f>
        <v>58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16</v>
      </c>
      <c r="U17" s="242">
        <f>IF('Water-Meter'!AG21&lt;0,"0",'Water-Meter'!AG21)</f>
        <v>0</v>
      </c>
      <c r="V17" s="242">
        <f>IF('Water-Meter'!AJ21&lt;0,"0",'Water-Meter'!AJ21)</f>
        <v>27</v>
      </c>
      <c r="W17" s="30">
        <f>'Water-Meter'!AN21</f>
        <v>101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39.379999999999995</v>
      </c>
      <c r="F18" s="456">
        <f>'UTILITY REPORT 1'!E19</f>
        <v>1055.42</v>
      </c>
      <c r="G18" s="457">
        <f>'UTILITY REPORT 1'!F19</f>
        <v>2779</v>
      </c>
      <c r="H18" s="456">
        <f>IF('Kit report'!F20&lt;0,"0",'Kit report'!F20)</f>
        <v>240</v>
      </c>
      <c r="I18" s="456">
        <f>IF('Kit report'!X20&lt;0,"0",'Kit report'!X20)</f>
        <v>260.00000000003638</v>
      </c>
      <c r="J18" s="456">
        <f>IF('Utility summery'!H22&lt;0,"0",'Utility summery'!H22)</f>
        <v>65</v>
      </c>
      <c r="K18" s="457" t="str">
        <f>IF('UTILITY REPORT 1'!H19&lt;0,"0",'UTILITY REPORT 1'!H19)</f>
        <v>0</v>
      </c>
      <c r="L18" s="456">
        <f>'Water-Meter'!K22</f>
        <v>4</v>
      </c>
      <c r="M18" s="457">
        <f>'Water-Meter'!H22</f>
        <v>0</v>
      </c>
      <c r="N18" s="457">
        <f>'Water-Meter'!Q22</f>
        <v>3</v>
      </c>
      <c r="O18" s="456" t="e">
        <f>K18*E18+H18*I18+#REF!*#REF!+J18*L18</f>
        <v>#REF!</v>
      </c>
      <c r="P18" s="462">
        <f>'Water-Meter'!E22</f>
        <v>64</v>
      </c>
      <c r="Q18" s="242">
        <f>IF('Water-Meter'!U22&lt;0,"0",'Water-Meter'!U22)</f>
        <v>84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18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130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 t="str">
        <f>IF('Kit report'!F21&lt;0,"0",'Kit report'!F21)</f>
        <v>0</v>
      </c>
      <c r="I19" s="456" t="str">
        <f>IF('Kit report'!X21&lt;0,"0",'Kit report'!X21)</f>
        <v>0</v>
      </c>
      <c r="J19" s="456" t="str">
        <f>IF('Utility summery'!H23&lt;0,"0",'Utility summery'!H23)</f>
        <v>0</v>
      </c>
      <c r="K19" s="457">
        <f>IF('UTILITY REPORT 1'!H20&lt;0,"0",'UTILITY REPORT 1'!H20)</f>
        <v>0</v>
      </c>
      <c r="L19" s="456" t="str">
        <f>'Water-Meter'!K23</f>
        <v>0</v>
      </c>
      <c r="M19" s="457">
        <f>'Water-Meter'!H23</f>
        <v>0</v>
      </c>
      <c r="N19" s="457" t="str">
        <f>'Water-Meter'!Q23</f>
        <v>0</v>
      </c>
      <c r="O19" s="456" t="e">
        <f>K19*E19+H19*I19+#REF!*#REF!+J19*L19</f>
        <v>#REF!</v>
      </c>
      <c r="P19" s="462" t="str">
        <f>'Water-Meter'!E23</f>
        <v>0</v>
      </c>
      <c r="Q19" s="242" t="str">
        <f>IF('Water-Meter'!U23&lt;0,"0",'Water-Meter'!U23)</f>
        <v>0</v>
      </c>
      <c r="R19" s="242" t="str">
        <f>IF('Water-Meter'!X23&lt;0,"0",'Water-Meter'!X23)</f>
        <v>0</v>
      </c>
      <c r="S19" s="242" t="str">
        <f>IF('Water-Meter'!AA23&lt;0,"0",'Water-Meter'!AA23)</f>
        <v>0</v>
      </c>
      <c r="T19" s="242" t="str">
        <f>IF('Water-Meter'!AD23&lt;0,"0",'Water-Meter'!AD23)</f>
        <v>0</v>
      </c>
      <c r="U19" s="242" t="str">
        <f>IF('Water-Meter'!AG23&lt;0,"0",'Water-Meter'!AG23)</f>
        <v>0</v>
      </c>
      <c r="V19" s="242" t="str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3" t="s">
        <v>314</v>
      </c>
      <c r="B1" s="853"/>
      <c r="C1" s="853"/>
      <c r="D1" s="853"/>
      <c r="E1" s="853"/>
      <c r="F1" s="853"/>
      <c r="G1" s="853"/>
      <c r="H1" s="853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0.01</v>
      </c>
      <c r="C3" s="405">
        <f>'Summery Report'!E5</f>
        <v>1.3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2.5999999999999999E-2</v>
      </c>
      <c r="C4" s="405">
        <f>'Summery Report'!E6</f>
        <v>2.6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2.5999999999999999E-2</v>
      </c>
      <c r="C5" s="405">
        <f>'Summery Report'!E7</f>
        <v>2.6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5.1900000000000002E-2</v>
      </c>
      <c r="C6" s="405">
        <f>'Summery Report'!E8</f>
        <v>5.19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6.5000000000000002E-2</v>
      </c>
      <c r="C7" s="405">
        <f>'Summery Report'!E9</f>
        <v>7.79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5.1999999999999998E-2</v>
      </c>
      <c r="C8" s="405">
        <f>'Summery Report'!E10</f>
        <v>5.19</v>
      </c>
      <c r="D8" s="406">
        <v>1</v>
      </c>
      <c r="E8" s="405">
        <f>Gen!S16</f>
        <v>1103.99</v>
      </c>
      <c r="F8" s="405">
        <f>Gen!T16</f>
        <v>2713</v>
      </c>
      <c r="G8" s="405">
        <f>'Water-Meter'!E11</f>
        <v>64</v>
      </c>
      <c r="H8" s="405">
        <f>'Utility report '!AC11</f>
        <v>93</v>
      </c>
      <c r="I8" s="405">
        <f>Gen!AJ16</f>
        <v>86.51</v>
      </c>
    </row>
    <row r="9" spans="1:9" ht="13.5">
      <c r="A9" s="402">
        <f>Gen!A17</f>
        <v>44262</v>
      </c>
      <c r="B9" s="404">
        <f>Gen!B17</f>
        <v>0.1169</v>
      </c>
      <c r="C9" s="405">
        <f>'Summery Report'!E11</f>
        <v>11.69</v>
      </c>
      <c r="D9" s="406">
        <v>1</v>
      </c>
      <c r="E9" s="405">
        <f>Gen!S17</f>
        <v>1135.8399999999999</v>
      </c>
      <c r="F9" s="405">
        <f>Gen!T17</f>
        <v>2823</v>
      </c>
      <c r="G9" s="405">
        <f>'Water-Meter'!E12</f>
        <v>60</v>
      </c>
      <c r="H9" s="405">
        <f>'Utility report '!AC12</f>
        <v>131</v>
      </c>
      <c r="I9" s="405">
        <f>Gen!AJ17</f>
        <v>62.91</v>
      </c>
    </row>
    <row r="10" spans="1:9" ht="13.5">
      <c r="A10" s="402">
        <f>Gen!A18</f>
        <v>44263</v>
      </c>
      <c r="B10" s="404">
        <f>Gen!B18</f>
        <v>0.12989999999999999</v>
      </c>
      <c r="C10" s="405">
        <f>'Summery Report'!E12</f>
        <v>12.99</v>
      </c>
      <c r="D10" s="406">
        <v>1</v>
      </c>
      <c r="E10" s="405">
        <f>Gen!S18</f>
        <v>1059.42</v>
      </c>
      <c r="F10" s="405">
        <f>Gen!T18</f>
        <v>2548</v>
      </c>
      <c r="G10" s="405">
        <f>'Water-Meter'!E13</f>
        <v>50</v>
      </c>
      <c r="H10" s="405">
        <f>'Utility report '!AC13</f>
        <v>16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0.15579999999999999</v>
      </c>
      <c r="C11" s="405">
        <f>'Summery Report'!E13</f>
        <v>15.58</v>
      </c>
      <c r="D11" s="406">
        <v>1</v>
      </c>
      <c r="E11" s="405">
        <f>Gen!S19</f>
        <v>1199.92</v>
      </c>
      <c r="F11" s="405">
        <f>Gen!T19</f>
        <v>2925</v>
      </c>
      <c r="G11" s="405">
        <f>'Water-Meter'!E14</f>
        <v>43</v>
      </c>
      <c r="H11" s="405">
        <f>'Utility report '!AC14</f>
        <v>12</v>
      </c>
      <c r="I11" s="405">
        <f>Gen!AJ19</f>
        <v>66</v>
      </c>
    </row>
    <row r="12" spans="1:9" ht="13.5">
      <c r="A12" s="402">
        <f>Gen!A20</f>
        <v>44265</v>
      </c>
      <c r="B12" s="404">
        <f>Gen!B20</f>
        <v>0.15579999999999999</v>
      </c>
      <c r="C12" s="405">
        <f>'Summery Report'!E14</f>
        <v>15.58</v>
      </c>
      <c r="D12" s="406">
        <v>1</v>
      </c>
      <c r="E12" s="405">
        <f>Gen!S20</f>
        <v>1134.25</v>
      </c>
      <c r="F12" s="405">
        <f>Gen!T20</f>
        <v>2712</v>
      </c>
      <c r="G12" s="405">
        <f>'Water-Meter'!E15</f>
        <v>27</v>
      </c>
      <c r="H12" s="405">
        <f>'Utility report '!AC15</f>
        <v>93</v>
      </c>
      <c r="I12" s="405">
        <f>Gen!AJ20</f>
        <v>285.27</v>
      </c>
    </row>
    <row r="13" spans="1:9" ht="13.5">
      <c r="A13" s="402">
        <f>Gen!A21</f>
        <v>44266</v>
      </c>
      <c r="B13" s="404">
        <f>Gen!B21</f>
        <v>0.1169</v>
      </c>
      <c r="C13" s="405">
        <f>'Summery Report'!E15</f>
        <v>11.69</v>
      </c>
      <c r="D13" s="406">
        <v>1</v>
      </c>
      <c r="E13" s="405">
        <f>Gen!S21</f>
        <v>1284.53</v>
      </c>
      <c r="F13" s="405">
        <f>Gen!T21</f>
        <v>3220</v>
      </c>
      <c r="G13" s="405">
        <f>'Water-Meter'!E16</f>
        <v>60</v>
      </c>
      <c r="H13" s="405">
        <f>'Utility report '!AC16</f>
        <v>33</v>
      </c>
      <c r="I13" s="405">
        <f>Gen!AJ21</f>
        <v>32.85</v>
      </c>
    </row>
    <row r="14" spans="1:9" ht="13.5">
      <c r="A14" s="402">
        <f>Gen!A22</f>
        <v>44267</v>
      </c>
      <c r="B14" s="404">
        <f>Gen!B22</f>
        <v>0.12989999999999999</v>
      </c>
      <c r="C14" s="405">
        <f>'Summery Report'!E16</f>
        <v>12.99</v>
      </c>
      <c r="D14" s="406">
        <v>1</v>
      </c>
      <c r="E14" s="405">
        <f>Gen!S22</f>
        <v>1304.93</v>
      </c>
      <c r="F14" s="405">
        <f>Gen!T22</f>
        <v>3248</v>
      </c>
      <c r="G14" s="405">
        <f>'Water-Meter'!E17</f>
        <v>65</v>
      </c>
      <c r="H14" s="405">
        <f>'Utility report '!AC17</f>
        <v>31</v>
      </c>
      <c r="I14" s="405">
        <f>Gen!AJ22</f>
        <v>357.62</v>
      </c>
    </row>
    <row r="15" spans="1:9" ht="13.5">
      <c r="A15" s="402">
        <f>Gen!A23</f>
        <v>44268</v>
      </c>
      <c r="B15" s="404">
        <f>Gen!B23</f>
        <v>0.1429</v>
      </c>
      <c r="C15" s="405">
        <f>'Summery Report'!E17</f>
        <v>14.29</v>
      </c>
      <c r="D15" s="406">
        <v>1</v>
      </c>
      <c r="E15" s="405">
        <f>Gen!S23</f>
        <v>1297.55</v>
      </c>
      <c r="F15" s="405">
        <f>Gen!T23</f>
        <v>3154</v>
      </c>
      <c r="G15" s="405">
        <f>'Water-Meter'!E18</f>
        <v>75</v>
      </c>
      <c r="H15" s="405">
        <f>'Utility report '!AC18</f>
        <v>25</v>
      </c>
      <c r="I15" s="405">
        <f>Gen!AJ23</f>
        <v>124.03</v>
      </c>
    </row>
    <row r="16" spans="1:9" ht="13.5">
      <c r="A16" s="402">
        <f>Gen!A24</f>
        <v>44269</v>
      </c>
      <c r="B16" s="404">
        <f>Gen!B24</f>
        <v>0.14000000000000001</v>
      </c>
      <c r="C16" s="405">
        <f>'Summery Report'!E18</f>
        <v>14.29</v>
      </c>
      <c r="D16" s="406">
        <v>1</v>
      </c>
      <c r="E16" s="405">
        <f>Gen!S24</f>
        <v>1365.56</v>
      </c>
      <c r="F16" s="405">
        <f>Gen!T24</f>
        <v>3356</v>
      </c>
      <c r="G16" s="405">
        <f>'Water-Meter'!E19</f>
        <v>74</v>
      </c>
      <c r="H16" s="405">
        <f>'Utility report '!AC19</f>
        <v>0</v>
      </c>
      <c r="I16" s="405">
        <f>Gen!AJ24</f>
        <v>86.06</v>
      </c>
    </row>
    <row r="17" spans="1:9" ht="13.5">
      <c r="A17" s="402">
        <f>Gen!A25</f>
        <v>44270</v>
      </c>
      <c r="B17" s="404">
        <f>Gen!B25</f>
        <v>9.0899999999999995E-2</v>
      </c>
      <c r="C17" s="405">
        <f>'Summery Report'!E19</f>
        <v>9.09</v>
      </c>
      <c r="D17" s="406">
        <v>1</v>
      </c>
      <c r="E17" s="405">
        <f>Gen!S25</f>
        <v>1302.0899999999999</v>
      </c>
      <c r="F17" s="405">
        <f>Gen!T25</f>
        <v>3251</v>
      </c>
      <c r="G17" s="405">
        <f>'Water-Meter'!E20</f>
        <v>74</v>
      </c>
      <c r="H17" s="405">
        <f>'Utility report '!AC20</f>
        <v>0</v>
      </c>
      <c r="I17" s="405">
        <f>Gen!AJ25</f>
        <v>164.56</v>
      </c>
    </row>
    <row r="18" spans="1:9" ht="13.5">
      <c r="A18" s="402">
        <f>Gen!A26</f>
        <v>44271</v>
      </c>
      <c r="B18" s="404">
        <f>Gen!B26</f>
        <v>7.7899999999999997E-2</v>
      </c>
      <c r="C18" s="405">
        <f>'Summery Report'!E20</f>
        <v>7.79</v>
      </c>
      <c r="D18" s="406">
        <v>1</v>
      </c>
      <c r="E18" s="405">
        <f>Gen!S26</f>
        <v>1189.52</v>
      </c>
      <c r="F18" s="405">
        <f>Gen!T26</f>
        <v>2895</v>
      </c>
      <c r="G18" s="405">
        <f>'Water-Meter'!E21</f>
        <v>60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6.4899999999999999E-2</v>
      </c>
      <c r="C19" s="405">
        <f>'Summery Report'!E21</f>
        <v>6.49</v>
      </c>
      <c r="D19" s="406">
        <v>1</v>
      </c>
      <c r="E19" s="405">
        <f>Gen!S27</f>
        <v>1055.42</v>
      </c>
      <c r="F19" s="405">
        <f>Gen!T27</f>
        <v>2779</v>
      </c>
      <c r="G19" s="405">
        <f>'Water-Meter'!E22</f>
        <v>64</v>
      </c>
      <c r="H19" s="405">
        <f>'Utility report '!AC22</f>
        <v>-48088</v>
      </c>
      <c r="I19" s="405">
        <f>Gen!AJ27</f>
        <v>39.379999999999995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 t="str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54" t="s">
        <v>135</v>
      </c>
      <c r="E4" s="854"/>
      <c r="F4" s="854"/>
      <c r="G4" s="855" t="s">
        <v>20</v>
      </c>
      <c r="H4" s="855"/>
      <c r="I4" s="855"/>
      <c r="J4" s="856" t="s">
        <v>54</v>
      </c>
      <c r="K4" s="856"/>
      <c r="L4" s="856"/>
      <c r="M4" s="856"/>
      <c r="N4" s="857" t="s">
        <v>143</v>
      </c>
      <c r="O4" s="857"/>
      <c r="P4" s="857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1.3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30</v>
      </c>
      <c r="K6" s="154">
        <f>'Lpg (2)'!C10</f>
        <v>85</v>
      </c>
      <c r="L6" s="154">
        <f>'Lpg (2)'!D10</f>
        <v>85</v>
      </c>
      <c r="M6" s="449">
        <f>'Lpg (2)'!G10</f>
        <v>66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2.6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28</v>
      </c>
      <c r="K7" s="154">
        <f>'Lpg (2)'!C11</f>
        <v>85</v>
      </c>
      <c r="L7" s="154">
        <f>'Lpg (2)'!D11</f>
        <v>85</v>
      </c>
      <c r="M7" s="449">
        <f>'Lpg (2)'!G11</f>
        <v>64.811999999982078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1564.2307692307691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2.6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25</v>
      </c>
      <c r="K8" s="154">
        <f>'Lpg (2)'!C12</f>
        <v>85</v>
      </c>
      <c r="L8" s="154">
        <f>'Lpg (2)'!D12</f>
        <v>85</v>
      </c>
      <c r="M8" s="449">
        <f>'Lpg (2)'!G12</f>
        <v>65.912000000046106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1343.4615384615383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5.19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25</v>
      </c>
      <c r="K9" s="154">
        <f>'Lpg (2)'!C13</f>
        <v>85</v>
      </c>
      <c r="L9" s="154">
        <f>'Lpg (2)'!D13</f>
        <v>85</v>
      </c>
      <c r="M9" s="449">
        <f>'Lpg (2)'!G13</f>
        <v>61.600000000000009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772.83236994219635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7.79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23</v>
      </c>
      <c r="K10" s="154">
        <f>'Lpg (2)'!C14</f>
        <v>85</v>
      </c>
      <c r="L10" s="154">
        <f>'Lpg (2)'!D14</f>
        <v>85</v>
      </c>
      <c r="M10" s="449">
        <f>'Lpg (2)'!G14</f>
        <v>68.947999999992319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467.44544287548132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5.19</v>
      </c>
      <c r="C11" s="6">
        <f>Gen!U16</f>
        <v>0.40692591227423519</v>
      </c>
      <c r="D11" s="152">
        <f>Gen!T16</f>
        <v>2713</v>
      </c>
      <c r="E11" s="152">
        <f>Gen!AK16</f>
        <v>0</v>
      </c>
      <c r="F11" s="152">
        <f>Gen!AS16</f>
        <v>0</v>
      </c>
      <c r="G11" s="153">
        <f>'Utility report '!AC11</f>
        <v>93</v>
      </c>
      <c r="H11" s="153">
        <f>'Utility report '!AE11</f>
        <v>54</v>
      </c>
      <c r="I11" s="296">
        <f>'Water-Meter'!E11</f>
        <v>64</v>
      </c>
      <c r="J11" s="154">
        <f>'Lpg (2)'!B15</f>
        <v>20</v>
      </c>
      <c r="K11" s="154">
        <f>'Lpg (2)'!C15</f>
        <v>85</v>
      </c>
      <c r="L11" s="154">
        <f>'Lpg (2)'!D15</f>
        <v>85</v>
      </c>
      <c r="M11" s="449">
        <f>'Lpg (2)'!G15</f>
        <v>65.559999999974394</v>
      </c>
      <c r="N11" s="151">
        <f t="shared" si="2"/>
        <v>3798.2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731.83044315992288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11.69</v>
      </c>
      <c r="C12" s="6">
        <f>Gen!U17</f>
        <v>0.40235210768685792</v>
      </c>
      <c r="D12" s="152">
        <f>Gen!T17</f>
        <v>2823</v>
      </c>
      <c r="E12" s="152">
        <f>Gen!AK17</f>
        <v>0</v>
      </c>
      <c r="F12" s="152">
        <f>Gen!AS17</f>
        <v>0</v>
      </c>
      <c r="G12" s="153">
        <f>'Utility report '!AC12</f>
        <v>131</v>
      </c>
      <c r="H12" s="153">
        <f>'Utility report '!AE12</f>
        <v>57</v>
      </c>
      <c r="I12" s="296">
        <f>'Water-Meter'!E12</f>
        <v>60</v>
      </c>
      <c r="J12" s="154">
        <f>'Lpg (2)'!B16</f>
        <v>19</v>
      </c>
      <c r="K12" s="154">
        <f>'Lpg (2)'!C16</f>
        <v>85</v>
      </c>
      <c r="L12" s="154">
        <f>'Lpg (2)'!D16</f>
        <v>85</v>
      </c>
      <c r="M12" s="449">
        <f>'Lpg (2)'!G16</f>
        <v>61.776000000035864</v>
      </c>
      <c r="N12" s="151">
        <f t="shared" si="2"/>
        <v>3952.2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338.08383233532936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12.99</v>
      </c>
      <c r="C13" s="6">
        <f>Gen!U18</f>
        <v>0.41578492935635797</v>
      </c>
      <c r="D13" s="152">
        <f>Gen!T18</f>
        <v>2548</v>
      </c>
      <c r="E13" s="152">
        <f>Gen!AK18</f>
        <v>0</v>
      </c>
      <c r="F13" s="152">
        <f>Gen!AS18</f>
        <v>0</v>
      </c>
      <c r="G13" s="153">
        <f>'Utility report '!AC13</f>
        <v>16</v>
      </c>
      <c r="H13" s="153">
        <f>'Utility report '!AE13</f>
        <v>52</v>
      </c>
      <c r="I13" s="296">
        <f>'Water-Meter'!E13</f>
        <v>50</v>
      </c>
      <c r="J13" s="154">
        <f>'Lpg (2)'!B17</f>
        <v>18</v>
      </c>
      <c r="K13" s="154">
        <f>'Lpg (2)'!C17</f>
        <v>85</v>
      </c>
      <c r="L13" s="154">
        <f>'Lpg (2)'!D17</f>
        <v>85</v>
      </c>
      <c r="M13" s="449">
        <f>'Lpg (2)'!G17</f>
        <v>74.975999999971833</v>
      </c>
      <c r="N13" s="151">
        <f t="shared" si="2"/>
        <v>3567.2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274.61123941493457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15.58</v>
      </c>
      <c r="C14" s="6">
        <f>Gen!U19</f>
        <v>0.41022905982905983</v>
      </c>
      <c r="D14" s="152">
        <f>Gen!T19</f>
        <v>2925</v>
      </c>
      <c r="E14" s="152">
        <f>Gen!AK19</f>
        <v>0</v>
      </c>
      <c r="F14" s="152">
        <f>Gen!AS19</f>
        <v>0</v>
      </c>
      <c r="G14" s="153">
        <f>'Utility report '!AC14</f>
        <v>12</v>
      </c>
      <c r="H14" s="153">
        <f>'Utility report '!AE14</f>
        <v>36</v>
      </c>
      <c r="I14" s="296">
        <f>'Water-Meter'!E14</f>
        <v>43</v>
      </c>
      <c r="J14" s="154">
        <f>'Lpg (2)'!B18</f>
        <v>16</v>
      </c>
      <c r="K14" s="154">
        <f>'Lpg (2)'!C18</f>
        <v>85</v>
      </c>
      <c r="L14" s="154">
        <f>'Lpg (2)'!D18</f>
        <v>85</v>
      </c>
      <c r="M14" s="449">
        <f>'Lpg (2)'!G18</f>
        <v>82.279999999987197</v>
      </c>
      <c r="N14" s="151">
        <f t="shared" si="2"/>
        <v>4094.9999999999995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262.83697047496787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15.58</v>
      </c>
      <c r="C15" s="6">
        <f>Gen!U20</f>
        <v>0.41823377581120946</v>
      </c>
      <c r="D15" s="152">
        <f>Gen!T20</f>
        <v>2712</v>
      </c>
      <c r="E15" s="152">
        <f>Gen!AK20</f>
        <v>0</v>
      </c>
      <c r="F15" s="152">
        <f>Gen!AS20</f>
        <v>0</v>
      </c>
      <c r="G15" s="153">
        <f>'Utility report '!AC15</f>
        <v>93</v>
      </c>
      <c r="H15" s="153">
        <f>'Utility report '!AE15</f>
        <v>40</v>
      </c>
      <c r="I15" s="296">
        <f>'Water-Meter'!E15</f>
        <v>27</v>
      </c>
      <c r="J15" s="154">
        <f>'Lpg (2)'!B19</f>
        <v>15</v>
      </c>
      <c r="K15" s="154">
        <f>'Lpg (2)'!C19</f>
        <v>85</v>
      </c>
      <c r="L15" s="154">
        <f>'Lpg (2)'!D19</f>
        <v>85</v>
      </c>
      <c r="M15" s="449">
        <f>'Lpg (2)'!G19</f>
        <v>93.94000000002562</v>
      </c>
      <c r="N15" s="151">
        <f t="shared" si="2"/>
        <v>3796.7999999999997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243.69704749679073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11.69</v>
      </c>
      <c r="C16" s="6">
        <f>Gen!U21</f>
        <v>0.39892236024844718</v>
      </c>
      <c r="D16" s="152">
        <f>Gen!T21</f>
        <v>3220</v>
      </c>
      <c r="E16" s="152">
        <f>Gen!AK21</f>
        <v>0</v>
      </c>
      <c r="F16" s="152">
        <f>Gen!AS21</f>
        <v>0</v>
      </c>
      <c r="G16" s="153">
        <f>'Utility report '!AC16</f>
        <v>33</v>
      </c>
      <c r="H16" s="153">
        <f>'Utility report '!AE16</f>
        <v>70</v>
      </c>
      <c r="I16" s="296">
        <f>'Water-Meter'!E16</f>
        <v>60</v>
      </c>
      <c r="J16" s="154">
        <f>'Lpg (2)'!B20</f>
        <v>12</v>
      </c>
      <c r="K16" s="154">
        <f>'Lpg (2)'!C20</f>
        <v>85</v>
      </c>
      <c r="L16" s="154">
        <f>'Lpg (2)'!D20</f>
        <v>85</v>
      </c>
      <c r="M16" s="449">
        <f>'Lpg (2)'!G20</f>
        <v>104.58799999995391</v>
      </c>
      <c r="N16" s="151">
        <f t="shared" si="2"/>
        <v>4508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385.6287425149701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12.99</v>
      </c>
      <c r="C17" s="6">
        <f>Gen!U22</f>
        <v>0.40176416256157638</v>
      </c>
      <c r="D17" s="152">
        <f>Gen!T22</f>
        <v>3248</v>
      </c>
      <c r="E17" s="152">
        <f>Gen!AK22</f>
        <v>0</v>
      </c>
      <c r="F17" s="152">
        <f>Gen!AS22</f>
        <v>0</v>
      </c>
      <c r="G17" s="153">
        <f>'Utility report '!AC17</f>
        <v>31</v>
      </c>
      <c r="H17" s="153">
        <f>'Utility report '!AE17</f>
        <v>51</v>
      </c>
      <c r="I17" s="296">
        <f>'Water-Meter'!E17</f>
        <v>65</v>
      </c>
      <c r="J17" s="154">
        <f>'Lpg (2)'!B21</f>
        <v>10</v>
      </c>
      <c r="K17" s="154">
        <f>'Lpg (2)'!C22</f>
        <v>85</v>
      </c>
      <c r="L17" s="154">
        <f>'Lpg (2)'!D21</f>
        <v>85</v>
      </c>
      <c r="M17" s="449">
        <f>'Lpg (2)'!G21</f>
        <v>84.568000000005128</v>
      </c>
      <c r="N17" s="151">
        <f t="shared" si="2"/>
        <v>4547.2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350.05388760585066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14.29</v>
      </c>
      <c r="C18" s="6">
        <f>Gen!U23</f>
        <v>0.41139822447685476</v>
      </c>
      <c r="D18" s="152">
        <f>Gen!T23</f>
        <v>3154</v>
      </c>
      <c r="E18" s="152">
        <f>Gen!AK23</f>
        <v>0</v>
      </c>
      <c r="F18" s="152">
        <f>Gen!AS23</f>
        <v>0</v>
      </c>
      <c r="G18" s="153">
        <f>'Utility report '!AC18</f>
        <v>25</v>
      </c>
      <c r="H18" s="153">
        <f>'Utility report '!AE18</f>
        <v>72</v>
      </c>
      <c r="I18" s="296">
        <f>'Water-Meter'!E18</f>
        <v>75</v>
      </c>
      <c r="J18" s="154">
        <f>'Lpg (2)'!B22</f>
        <v>8</v>
      </c>
      <c r="K18" s="154">
        <f>'Lpg (2)'!C23</f>
        <v>85</v>
      </c>
      <c r="L18" s="154">
        <f>'Lpg (2)'!D22</f>
        <v>85</v>
      </c>
      <c r="M18" s="449">
        <f>'Lpg (2)'!G22</f>
        <v>79.464000000053787</v>
      </c>
      <c r="N18" s="151">
        <f t="shared" si="2"/>
        <v>4415.5999999999995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308.99930020993702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14.29</v>
      </c>
      <c r="C19" s="6">
        <f>Gen!U24</f>
        <v>0.40690107270560189</v>
      </c>
      <c r="D19" s="152">
        <f>Gen!T24</f>
        <v>3356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65</v>
      </c>
      <c r="I19" s="296">
        <f>'Water-Meter'!E19</f>
        <v>74</v>
      </c>
      <c r="J19" s="154">
        <f>'Lpg (2)'!B23</f>
        <v>5</v>
      </c>
      <c r="K19" s="154">
        <f>'Lpg (2)'!C24</f>
        <v>85</v>
      </c>
      <c r="L19" s="154">
        <f>'Lpg (2)'!D23</f>
        <v>85</v>
      </c>
      <c r="M19" s="449">
        <f>'Lpg (2)'!G23</f>
        <v>79.023999999964147</v>
      </c>
      <c r="N19" s="151">
        <f t="shared" si="2"/>
        <v>4698.3999999999996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328.7893631910427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9.09</v>
      </c>
      <c r="C20" s="6">
        <f>Gen!U25</f>
        <v>0.40051984004921559</v>
      </c>
      <c r="D20" s="152">
        <f>Gen!T25</f>
        <v>3251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65</v>
      </c>
      <c r="I20" s="296">
        <f>'Water-Meter'!E20</f>
        <v>74</v>
      </c>
      <c r="J20" s="154">
        <f>'Lpg (2)'!B24</f>
        <v>4</v>
      </c>
      <c r="K20" s="154">
        <f>'Lpg (2)'!C25</f>
        <v>85</v>
      </c>
      <c r="L20" s="154">
        <f>'Lpg (2)'!D24</f>
        <v>85</v>
      </c>
      <c r="M20" s="449">
        <f>'Lpg (2)'!G24</f>
        <v>88.660000000038423</v>
      </c>
      <c r="N20" s="151">
        <f t="shared" si="2"/>
        <v>4551.3999999999996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500.70407040704066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7.79</v>
      </c>
      <c r="C21" s="6">
        <f>Gen!U26</f>
        <v>0.41088773747841106</v>
      </c>
      <c r="D21" s="152">
        <f>Gen!T26</f>
        <v>2895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62</v>
      </c>
      <c r="I21" s="296">
        <f>'Water-Meter'!E21</f>
        <v>60</v>
      </c>
      <c r="J21" s="154">
        <f>'Lpg (2)'!B25</f>
        <v>2</v>
      </c>
      <c r="K21" s="154">
        <f>'Lpg (2)'!C25</f>
        <v>85</v>
      </c>
      <c r="L21" s="154">
        <f>'Lpg (2)'!D25</f>
        <v>85</v>
      </c>
      <c r="M21" s="449">
        <f>'Lpg (2)'!G25</f>
        <v>64.371999999956472</v>
      </c>
      <c r="N21" s="151">
        <f t="shared" si="2"/>
        <v>4052.9999999999995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520.28241335044925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6.49</v>
      </c>
      <c r="C22" s="6">
        <f>Gen!U27</f>
        <v>0.37978409499820082</v>
      </c>
      <c r="D22" s="152">
        <f>Gen!T27</f>
        <v>2779</v>
      </c>
      <c r="E22" s="152">
        <f>Gen!AK27</f>
        <v>0</v>
      </c>
      <c r="F22" s="152">
        <f>Gen!AS27</f>
        <v>0</v>
      </c>
      <c r="G22" s="153">
        <f>'Utility report '!AC22</f>
        <v>-48088</v>
      </c>
      <c r="H22" s="153">
        <f>'Utility report '!AE22</f>
        <v>65</v>
      </c>
      <c r="I22" s="296">
        <f>'Water-Meter'!E22</f>
        <v>64</v>
      </c>
      <c r="J22" s="154">
        <f>'Lpg (2)'!B26</f>
        <v>1</v>
      </c>
      <c r="K22" s="154">
        <f>'Lpg (2)'!C26</f>
        <v>85</v>
      </c>
      <c r="L22" s="154">
        <f>'Lpg (2)'!D26</f>
        <v>85</v>
      </c>
      <c r="M22" s="449">
        <f>'Lpg (2)'!G26</f>
        <v>81.620000000012809</v>
      </c>
      <c r="N22" s="151">
        <f t="shared" si="2"/>
        <v>3890.6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599.47611710323577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-213108</v>
      </c>
      <c r="I23" s="296" t="str">
        <f>'Water-Meter'!E23</f>
        <v>0</v>
      </c>
      <c r="J23" s="154">
        <f>'Lpg (2)'!B27</f>
        <v>1</v>
      </c>
      <c r="K23" s="154">
        <f>'Lpg (2)'!C27</f>
        <v>85</v>
      </c>
      <c r="L23" s="154">
        <f>'Lpg (2)'!D27</f>
        <v>85</v>
      </c>
      <c r="M23" s="449">
        <f>'Lpg (2)'!G27</f>
        <v>66.395999999984639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-332296.09600000002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 t="e">
        <f>SUM(C7:C35)</f>
        <v>#DIV/0!</v>
      </c>
      <c r="D39" s="453">
        <f>SUM(D7:D35)</f>
        <v>46490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936</v>
      </c>
      <c r="J39" s="453">
        <f t="shared" si="3"/>
        <v>232</v>
      </c>
      <c r="K39" s="453">
        <f t="shared" si="3"/>
        <v>1445</v>
      </c>
      <c r="L39" s="453">
        <f t="shared" si="3"/>
        <v>1445</v>
      </c>
      <c r="M39" s="453">
        <f t="shared" si="3"/>
        <v>-331007.60000000003</v>
      </c>
      <c r="N39" s="453">
        <f t="shared" si="3"/>
        <v>65086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M1" activePane="topRight" state="frozen"/>
      <selection pane="topRight" activeCell="AD23" sqref="AD2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5">
        <f>A6</f>
        <v>44256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7"/>
    </row>
    <row r="2" spans="1:37" ht="61.5" customHeight="1" thickBot="1">
      <c r="A2" s="137" t="s">
        <v>98</v>
      </c>
      <c r="B2" s="868" t="s">
        <v>99</v>
      </c>
      <c r="C2" s="869"/>
      <c r="D2" s="870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8" t="s">
        <v>103</v>
      </c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284" t="s">
        <v>104</v>
      </c>
      <c r="AB2" s="868" t="s">
        <v>164</v>
      </c>
      <c r="AC2" s="870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71">
        <f>SUM(D3/B3)</f>
        <v>1.3262195121951219</v>
      </c>
      <c r="G3" s="872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8" t="s">
        <v>112</v>
      </c>
      <c r="P3" s="858"/>
      <c r="Q3" s="858"/>
      <c r="R3" s="858"/>
      <c r="S3" s="859" t="s">
        <v>113</v>
      </c>
      <c r="T3" s="860"/>
      <c r="U3" s="860"/>
      <c r="V3" s="861"/>
      <c r="W3" s="862" t="s">
        <v>114</v>
      </c>
      <c r="X3" s="863"/>
      <c r="Y3" s="863"/>
      <c r="Z3" s="864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1.3</v>
      </c>
      <c r="C6" s="763">
        <f>Gen!B11</f>
        <v>0.01</v>
      </c>
      <c r="D6" s="725">
        <f>'Summery Report'!E5</f>
        <v>1.3</v>
      </c>
      <c r="E6" s="725">
        <f>SUM(F3)</f>
        <v>1.3262195121951219</v>
      </c>
      <c r="F6" s="438">
        <f>SUM(J6*E6)/D6</f>
        <v>2665.7012195121952</v>
      </c>
      <c r="G6" s="438">
        <f t="shared" ref="G6:G36" si="0">SUM(L6*E6)/D6</f>
        <v>2665.7012195121952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705.88235294117646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3411764.7058823528</v>
      </c>
      <c r="AJ6" s="428">
        <f t="shared" ref="AJ6:AJ36" si="4">SUM(AI5-AI6)</f>
        <v>-3411764.7058823528</v>
      </c>
      <c r="AK6" s="132"/>
    </row>
    <row r="7" spans="1:37" ht="18.75">
      <c r="A7" s="758">
        <f>Gen!A12</f>
        <v>44257</v>
      </c>
      <c r="B7" s="425">
        <f>'Summery Report'!E6</f>
        <v>2.6</v>
      </c>
      <c r="C7" s="763">
        <f>Gen!B12</f>
        <v>2.5999999999999999E-2</v>
      </c>
      <c r="D7" s="725">
        <f>'Summery Report'!E6</f>
        <v>2.6</v>
      </c>
      <c r="E7" s="725">
        <f>SUM(E6)</f>
        <v>1.3262195121951219</v>
      </c>
      <c r="F7" s="438">
        <f>SUM(J7*E7)/D7</f>
        <v>1481.795262664165</v>
      </c>
      <c r="G7" s="438">
        <f t="shared" si="0"/>
        <v>1481.795262664165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658.82352941176475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3411764.7058823528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2.6</v>
      </c>
      <c r="C8" s="763">
        <f>Gen!B13</f>
        <v>2.5999999999999999E-2</v>
      </c>
      <c r="D8" s="725">
        <f>'Summery Report'!E7</f>
        <v>2.6</v>
      </c>
      <c r="E8" s="725">
        <f t="shared" ref="E8:E36" si="13">SUM(E7)</f>
        <v>1.3262195121951219</v>
      </c>
      <c r="F8" s="438">
        <f t="shared" ref="F8:F36" si="14">SUM(J8*E8)/D8</f>
        <v>1272.6606472795495</v>
      </c>
      <c r="G8" s="438">
        <f t="shared" si="0"/>
        <v>1272.6606472795495</v>
      </c>
      <c r="H8" s="725">
        <f>Gen!C13</f>
        <v>42443.15</v>
      </c>
      <c r="I8" s="725">
        <f>Gen!E13</f>
        <v>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588.23529411764707</v>
      </c>
      <c r="AG8" s="266">
        <f>'Lpg (2)'!C12*1000/85</f>
        <v>1000</v>
      </c>
      <c r="AH8" s="737">
        <f>'Lpg (2)'!D12*1000/85</f>
        <v>1000</v>
      </c>
      <c r="AI8" s="727">
        <f t="shared" si="12"/>
        <v>3317647.0588235296</v>
      </c>
      <c r="AJ8" s="428">
        <f t="shared" si="4"/>
        <v>94117.647058823146</v>
      </c>
      <c r="AK8" s="132"/>
    </row>
    <row r="9" spans="1:37" ht="18.75">
      <c r="A9" s="758">
        <f>Gen!A14</f>
        <v>44259</v>
      </c>
      <c r="B9" s="425">
        <f>'Summery Report'!E8</f>
        <v>5.19</v>
      </c>
      <c r="C9" s="763">
        <f>Gen!B14</f>
        <v>5.1900000000000002E-2</v>
      </c>
      <c r="D9" s="725">
        <f>'Summery Report'!E8</f>
        <v>5.19</v>
      </c>
      <c r="E9" s="725">
        <f t="shared" si="13"/>
        <v>1.3262195121951219</v>
      </c>
      <c r="F9" s="438">
        <f t="shared" si="14"/>
        <v>732.1038347666713</v>
      </c>
      <c r="G9" s="438">
        <f t="shared" si="0"/>
        <v>732.1038347666713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104283.9662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588.23529411764707</v>
      </c>
      <c r="AG9" s="266">
        <f>'Lpg (2)'!C13*1000/85</f>
        <v>1000</v>
      </c>
      <c r="AH9" s="737">
        <f>'Lpg (2)'!D13*1000/85</f>
        <v>1000</v>
      </c>
      <c r="AI9" s="727">
        <f t="shared" si="12"/>
        <v>3176470.5882352944</v>
      </c>
      <c r="AJ9" s="428">
        <f t="shared" si="4"/>
        <v>141176.47058823518</v>
      </c>
      <c r="AK9" s="132"/>
    </row>
    <row r="10" spans="1:37" ht="18.75">
      <c r="A10" s="758">
        <f>Gen!A15</f>
        <v>44260</v>
      </c>
      <c r="B10" s="425">
        <f>'Summery Report'!E9</f>
        <v>7.79</v>
      </c>
      <c r="C10" s="763">
        <f>Gen!B15</f>
        <v>6.5000000000000002E-2</v>
      </c>
      <c r="D10" s="725">
        <f>'Summery Report'!E9</f>
        <v>7.79</v>
      </c>
      <c r="E10" s="725">
        <f t="shared" si="13"/>
        <v>1.3262195121951219</v>
      </c>
      <c r="F10" s="438">
        <f t="shared" si="14"/>
        <v>442.81090516296689</v>
      </c>
      <c r="G10" s="438">
        <f t="shared" si="0"/>
        <v>442.81090516296689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541.17647058823525</v>
      </c>
      <c r="AG10" s="266">
        <f>'Lpg (2)'!C14*1000/85</f>
        <v>1000</v>
      </c>
      <c r="AH10" s="737">
        <f>'Lpg (2)'!D14*1000/85</f>
        <v>1000</v>
      </c>
      <c r="AI10" s="727">
        <f t="shared" si="12"/>
        <v>3176470.5882352944</v>
      </c>
      <c r="AJ10" s="428">
        <f t="shared" si="4"/>
        <v>0</v>
      </c>
      <c r="AK10" s="132"/>
    </row>
    <row r="11" spans="1:37" ht="18.75">
      <c r="A11" s="758">
        <f>Gen!A16</f>
        <v>44261</v>
      </c>
      <c r="B11" s="425">
        <f>'Summery Report'!E10</f>
        <v>5.19</v>
      </c>
      <c r="C11" s="763">
        <f>Gen!B16</f>
        <v>5.1999999999999998E-2</v>
      </c>
      <c r="D11" s="725">
        <f>'Summery Report'!E10</f>
        <v>5.19</v>
      </c>
      <c r="E11" s="725">
        <f t="shared" si="13"/>
        <v>1.3262195121951219</v>
      </c>
      <c r="F11" s="438">
        <f t="shared" si="14"/>
        <v>693.26272381220917</v>
      </c>
      <c r="G11" s="438">
        <f t="shared" si="0"/>
        <v>693.26272381220917</v>
      </c>
      <c r="H11" s="725">
        <f>Gen!C16</f>
        <v>38487.83</v>
      </c>
      <c r="I11" s="725">
        <f>Gen!E16</f>
        <v>0</v>
      </c>
      <c r="J11" s="764">
        <f>Gen!T16</f>
        <v>2713</v>
      </c>
      <c r="K11" s="769">
        <f>Gen!AK16</f>
        <v>0</v>
      </c>
      <c r="L11" s="760">
        <f t="shared" si="1"/>
        <v>2713</v>
      </c>
      <c r="M11" s="448">
        <f>'Water-Meter'!K51</f>
        <v>579.6721895148894</v>
      </c>
      <c r="N11" s="720">
        <f>'Water-Meter'!E11</f>
        <v>64</v>
      </c>
      <c r="O11" s="711"/>
      <c r="P11" s="718">
        <v>19032</v>
      </c>
      <c r="Q11" s="730">
        <f t="shared" si="2"/>
        <v>0</v>
      </c>
      <c r="R11" s="426">
        <f t="shared" si="5"/>
        <v>0</v>
      </c>
      <c r="S11" s="706"/>
      <c r="T11" s="707">
        <v>17702.93</v>
      </c>
      <c r="U11" s="730">
        <f t="shared" si="6"/>
        <v>11.930000000000291</v>
      </c>
      <c r="V11" s="427">
        <f t="shared" si="16"/>
        <v>0</v>
      </c>
      <c r="W11" s="711"/>
      <c r="X11" s="712">
        <v>27443.149000000001</v>
      </c>
      <c r="Y11" s="730">
        <f t="shared" si="8"/>
        <v>13.149000000001251</v>
      </c>
      <c r="Z11" s="710">
        <f t="shared" si="9"/>
        <v>0</v>
      </c>
      <c r="AA11" s="717">
        <f t="shared" si="10"/>
        <v>0</v>
      </c>
      <c r="AB11" s="714">
        <v>47747</v>
      </c>
      <c r="AC11" s="695">
        <f t="shared" si="11"/>
        <v>93</v>
      </c>
      <c r="AD11" s="697">
        <v>212473</v>
      </c>
      <c r="AE11" s="178">
        <f t="shared" si="15"/>
        <v>54</v>
      </c>
      <c r="AF11" s="724">
        <f>'Lpg (2)'!B15*2000/85</f>
        <v>470.58823529411762</v>
      </c>
      <c r="AG11" s="266">
        <f>'Lpg (2)'!C15*1000/85</f>
        <v>1000</v>
      </c>
      <c r="AH11" s="737">
        <f>'Lpg (2)'!D15*1000/85</f>
        <v>1000</v>
      </c>
      <c r="AI11" s="727">
        <f t="shared" si="12"/>
        <v>3082352.9411764704</v>
      </c>
      <c r="AJ11" s="428">
        <f t="shared" si="4"/>
        <v>94117.647058824077</v>
      </c>
      <c r="AK11" s="132"/>
    </row>
    <row r="12" spans="1:37" ht="18.75">
      <c r="A12" s="758">
        <f>Gen!A17</f>
        <v>44262</v>
      </c>
      <c r="B12" s="425">
        <f>'Summery Report'!E11</f>
        <v>11.69</v>
      </c>
      <c r="C12" s="763">
        <f>Gen!B17</f>
        <v>0.1169</v>
      </c>
      <c r="D12" s="725">
        <f>'Summery Report'!E11</f>
        <v>11.69</v>
      </c>
      <c r="E12" s="725">
        <f t="shared" si="13"/>
        <v>1.3262195121951219</v>
      </c>
      <c r="F12" s="438">
        <f t="shared" si="14"/>
        <v>320.26669657201273</v>
      </c>
      <c r="G12" s="438">
        <f t="shared" si="0"/>
        <v>320.26669657201273</v>
      </c>
      <c r="H12" s="725">
        <f>Gen!C17</f>
        <v>37297.33</v>
      </c>
      <c r="I12" s="725">
        <f>Gen!E17</f>
        <v>0</v>
      </c>
      <c r="J12" s="764">
        <f>Gen!T17</f>
        <v>2823</v>
      </c>
      <c r="K12" s="769">
        <f>Gen!AK17</f>
        <v>0</v>
      </c>
      <c r="L12" s="760">
        <f t="shared" si="1"/>
        <v>2823</v>
      </c>
      <c r="M12" s="448">
        <f>'Water-Meter'!K52</f>
        <v>565.60069724893378</v>
      </c>
      <c r="N12" s="720">
        <f>'Water-Meter'!E12</f>
        <v>60</v>
      </c>
      <c r="O12" s="711"/>
      <c r="P12" s="718">
        <v>19032</v>
      </c>
      <c r="Q12" s="730">
        <f t="shared" si="2"/>
        <v>0</v>
      </c>
      <c r="R12" s="426">
        <f t="shared" si="5"/>
        <v>0</v>
      </c>
      <c r="S12" s="706">
        <v>6.2</v>
      </c>
      <c r="T12" s="707">
        <v>17718</v>
      </c>
      <c r="U12" s="730">
        <f t="shared" si="6"/>
        <v>15.069999999999709</v>
      </c>
      <c r="V12" s="427">
        <f t="shared" si="16"/>
        <v>93.433999999998193</v>
      </c>
      <c r="W12" s="706"/>
      <c r="X12" s="712">
        <v>27443</v>
      </c>
      <c r="Y12" s="730">
        <f t="shared" si="8"/>
        <v>-0.14900000000125146</v>
      </c>
      <c r="Z12" s="710">
        <f t="shared" si="9"/>
        <v>0</v>
      </c>
      <c r="AA12" s="717">
        <f t="shared" si="10"/>
        <v>0</v>
      </c>
      <c r="AB12" s="714">
        <v>47878</v>
      </c>
      <c r="AC12" s="695">
        <f t="shared" si="11"/>
        <v>131</v>
      </c>
      <c r="AD12" s="697">
        <v>212530</v>
      </c>
      <c r="AE12" s="178">
        <f t="shared" si="15"/>
        <v>57</v>
      </c>
      <c r="AF12" s="724">
        <f>'Lpg (2)'!B16*2000/85</f>
        <v>447.05882352941177</v>
      </c>
      <c r="AG12" s="266">
        <f>'Lpg (2)'!C16*1000/85</f>
        <v>1000</v>
      </c>
      <c r="AH12" s="737">
        <f>'Lpg (2)'!D16*1000/85</f>
        <v>1000</v>
      </c>
      <c r="AI12" s="727">
        <f t="shared" si="12"/>
        <v>2941176.4705882352</v>
      </c>
      <c r="AJ12" s="428">
        <f t="shared" si="4"/>
        <v>141176.47058823518</v>
      </c>
      <c r="AK12" s="132"/>
    </row>
    <row r="13" spans="1:37" ht="18.75">
      <c r="A13" s="758">
        <f>Gen!A18</f>
        <v>44263</v>
      </c>
      <c r="B13" s="425">
        <f>'Summery Report'!E12</f>
        <v>12.99</v>
      </c>
      <c r="C13" s="763">
        <f>Gen!B18</f>
        <v>0.12989999999999999</v>
      </c>
      <c r="D13" s="725">
        <f>'Summery Report'!E12</f>
        <v>12.99</v>
      </c>
      <c r="E13" s="725">
        <f t="shared" si="13"/>
        <v>1.3262195121951219</v>
      </c>
      <c r="F13" s="438">
        <f t="shared" si="14"/>
        <v>260.13913141440884</v>
      </c>
      <c r="G13" s="438">
        <f t="shared" si="0"/>
        <v>260.13913141440884</v>
      </c>
      <c r="H13" s="725">
        <f>Gen!C18</f>
        <v>36098.58</v>
      </c>
      <c r="I13" s="725">
        <f>Gen!E18</f>
        <v>0</v>
      </c>
      <c r="J13" s="764">
        <f>Gen!T18</f>
        <v>2548</v>
      </c>
      <c r="K13" s="769">
        <f>Gen!AK18</f>
        <v>0</v>
      </c>
      <c r="L13" s="760">
        <f t="shared" si="1"/>
        <v>2548</v>
      </c>
      <c r="M13" s="448">
        <f>'Water-Meter'!K53</f>
        <v>548.55760591403919</v>
      </c>
      <c r="N13" s="720">
        <f>'Water-Meter'!E13</f>
        <v>50</v>
      </c>
      <c r="O13" s="711"/>
      <c r="P13" s="718">
        <v>19032</v>
      </c>
      <c r="Q13" s="730">
        <f t="shared" si="2"/>
        <v>0</v>
      </c>
      <c r="R13" s="426">
        <f t="shared" si="5"/>
        <v>0</v>
      </c>
      <c r="S13" s="706"/>
      <c r="T13" s="707">
        <v>17718</v>
      </c>
      <c r="U13" s="730">
        <f t="shared" si="6"/>
        <v>0</v>
      </c>
      <c r="V13" s="427">
        <f t="shared" si="16"/>
        <v>0</v>
      </c>
      <c r="W13" s="706"/>
      <c r="X13" s="712">
        <v>27443</v>
      </c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>
        <v>47894</v>
      </c>
      <c r="AC13" s="695">
        <f t="shared" si="11"/>
        <v>16</v>
      </c>
      <c r="AD13" s="697">
        <v>212582</v>
      </c>
      <c r="AE13" s="178">
        <f t="shared" si="15"/>
        <v>52</v>
      </c>
      <c r="AF13" s="724">
        <f>'Lpg (2)'!B17*2000/85</f>
        <v>423.52941176470586</v>
      </c>
      <c r="AG13" s="266">
        <f>'Lpg (2)'!C17*1000/85</f>
        <v>1000</v>
      </c>
      <c r="AH13" s="737">
        <f>'Lpg (2)'!D17*1000/85</f>
        <v>1000</v>
      </c>
      <c r="AI13" s="727">
        <f t="shared" si="12"/>
        <v>2894117.6470588236</v>
      </c>
      <c r="AJ13" s="428">
        <f t="shared" si="4"/>
        <v>47058.823529411573</v>
      </c>
      <c r="AK13" s="132"/>
    </row>
    <row r="14" spans="1:37" ht="18.75">
      <c r="A14" s="758">
        <f>Gen!A19</f>
        <v>44264</v>
      </c>
      <c r="B14" s="425">
        <f>'Summery Report'!E13</f>
        <v>15.58</v>
      </c>
      <c r="C14" s="763">
        <f>Gen!B19</f>
        <v>0.15579999999999999</v>
      </c>
      <c r="D14" s="725">
        <f>'Summery Report'!E13</f>
        <v>15.58</v>
      </c>
      <c r="E14" s="725">
        <f t="shared" si="13"/>
        <v>1.3262195121951219</v>
      </c>
      <c r="F14" s="438">
        <f t="shared" si="14"/>
        <v>248.98537055011113</v>
      </c>
      <c r="G14" s="438">
        <f t="shared" si="0"/>
        <v>248.98537055011113</v>
      </c>
      <c r="H14" s="725">
        <f>Gen!C19</f>
        <v>35039.160000000003</v>
      </c>
      <c r="I14" s="725">
        <f>Gen!E19</f>
        <v>0</v>
      </c>
      <c r="J14" s="764">
        <f>Gen!T19</f>
        <v>2925</v>
      </c>
      <c r="K14" s="769">
        <f>Gen!AK19</f>
        <v>0</v>
      </c>
      <c r="L14" s="760">
        <f t="shared" ref="L14:L37" si="17">SUM(J14:K14)</f>
        <v>2925</v>
      </c>
      <c r="M14" s="448">
        <f>'Water-Meter'!K54</f>
        <v>574.75393409826052</v>
      </c>
      <c r="N14" s="720">
        <f>'Water-Meter'!E14</f>
        <v>43</v>
      </c>
      <c r="O14" s="711"/>
      <c r="P14" s="718">
        <v>19032</v>
      </c>
      <c r="Q14" s="730">
        <f t="shared" si="2"/>
        <v>0</v>
      </c>
      <c r="R14" s="426">
        <f t="shared" si="5"/>
        <v>0</v>
      </c>
      <c r="S14" s="706">
        <v>6.2</v>
      </c>
      <c r="T14" s="707">
        <v>17744</v>
      </c>
      <c r="U14" s="730">
        <f t="shared" si="6"/>
        <v>26</v>
      </c>
      <c r="V14" s="427">
        <f t="shared" si="16"/>
        <v>161.20000000000002</v>
      </c>
      <c r="W14" s="706"/>
      <c r="X14" s="712">
        <v>27443</v>
      </c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>
        <v>47906</v>
      </c>
      <c r="AC14" s="695">
        <f t="shared" si="11"/>
        <v>12</v>
      </c>
      <c r="AD14" s="697">
        <v>212618</v>
      </c>
      <c r="AE14" s="178">
        <f t="shared" si="15"/>
        <v>36</v>
      </c>
      <c r="AF14" s="724">
        <f>'Lpg (2)'!B18*2000/85</f>
        <v>376.47058823529414</v>
      </c>
      <c r="AG14" s="266">
        <f>'Lpg (2)'!C18*1000/85</f>
        <v>1000</v>
      </c>
      <c r="AH14" s="737">
        <f>'Lpg (2)'!D18*1000/85</f>
        <v>1000</v>
      </c>
      <c r="AI14" s="727">
        <f t="shared" si="12"/>
        <v>2847058.8235294116</v>
      </c>
      <c r="AJ14" s="428">
        <f t="shared" si="4"/>
        <v>47058.823529412039</v>
      </c>
      <c r="AK14" s="132"/>
    </row>
    <row r="15" spans="1:37" ht="18.75">
      <c r="A15" s="758">
        <f>Gen!A20</f>
        <v>44265</v>
      </c>
      <c r="B15" s="425">
        <f>'Summery Report'!E14</f>
        <v>15.58</v>
      </c>
      <c r="C15" s="763">
        <f>Gen!B20</f>
        <v>0.15579999999999999</v>
      </c>
      <c r="D15" s="725">
        <f>'Summery Report'!E14</f>
        <v>15.58</v>
      </c>
      <c r="E15" s="725">
        <f t="shared" si="13"/>
        <v>1.3262195121951219</v>
      </c>
      <c r="F15" s="438">
        <f t="shared" si="14"/>
        <v>230.85412818184662</v>
      </c>
      <c r="G15" s="438">
        <f t="shared" si="0"/>
        <v>230.85412818184662</v>
      </c>
      <c r="H15" s="725">
        <f>Gen!C20</f>
        <v>33773.240000000005</v>
      </c>
      <c r="I15" s="725">
        <f>Gen!E20</f>
        <v>0</v>
      </c>
      <c r="J15" s="764">
        <f>Gen!T20</f>
        <v>2712</v>
      </c>
      <c r="K15" s="769">
        <f>Gen!AK20</f>
        <v>0</v>
      </c>
      <c r="L15" s="760">
        <f t="shared" si="17"/>
        <v>2712</v>
      </c>
      <c r="M15" s="448">
        <f>'Water-Meter'!K55</f>
        <v>506.95842558617028</v>
      </c>
      <c r="N15" s="720">
        <f>'Water-Meter'!E15</f>
        <v>27</v>
      </c>
      <c r="O15" s="711"/>
      <c r="P15" s="718">
        <v>19032</v>
      </c>
      <c r="Q15" s="730">
        <f t="shared" si="2"/>
        <v>0</v>
      </c>
      <c r="R15" s="426">
        <f t="shared" si="5"/>
        <v>0</v>
      </c>
      <c r="S15" s="706">
        <v>6.3</v>
      </c>
      <c r="T15" s="707">
        <v>17762</v>
      </c>
      <c r="U15" s="730">
        <f t="shared" si="6"/>
        <v>18</v>
      </c>
      <c r="V15" s="427">
        <f t="shared" si="16"/>
        <v>113.39999999999999</v>
      </c>
      <c r="W15" s="706"/>
      <c r="X15" s="712">
        <v>27443</v>
      </c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>
        <v>47999</v>
      </c>
      <c r="AC15" s="695">
        <f t="shared" si="11"/>
        <v>93</v>
      </c>
      <c r="AD15" s="697">
        <v>212658</v>
      </c>
      <c r="AE15" s="178">
        <f>AD15-AD14</f>
        <v>40</v>
      </c>
      <c r="AF15" s="724">
        <f>'Lpg (2)'!B19*2000/85</f>
        <v>352.94117647058823</v>
      </c>
      <c r="AG15" s="266">
        <f>'Lpg (2)'!C19*1000/85</f>
        <v>1000</v>
      </c>
      <c r="AH15" s="737">
        <f>'Lpg (2)'!D19*1000/85</f>
        <v>1000</v>
      </c>
      <c r="AI15" s="727">
        <f t="shared" ref="AI15:AI35" si="18">SUM(AF15*2000)+(AG15*1000)+(AH15*1000)</f>
        <v>2705882.3529411764</v>
      </c>
      <c r="AJ15" s="428">
        <f t="shared" si="4"/>
        <v>141176.47058823518</v>
      </c>
      <c r="AK15" s="132"/>
    </row>
    <row r="16" spans="1:37" ht="18.75">
      <c r="A16" s="758">
        <f>Gen!A21</f>
        <v>44266</v>
      </c>
      <c r="B16" s="425">
        <f>'Summery Report'!E15</f>
        <v>11.69</v>
      </c>
      <c r="C16" s="763">
        <f>Gen!B21</f>
        <v>0.1169</v>
      </c>
      <c r="D16" s="725">
        <f>'Summery Report'!E15</f>
        <v>11.69</v>
      </c>
      <c r="E16" s="725">
        <f t="shared" si="13"/>
        <v>1.3262195121951219</v>
      </c>
      <c r="F16" s="438">
        <f t="shared" si="14"/>
        <v>365.30597341901563</v>
      </c>
      <c r="G16" s="438">
        <f t="shared" si="0"/>
        <v>365.30597341901563</v>
      </c>
      <c r="H16" s="725">
        <f>Gen!C21</f>
        <v>32353.720000000005</v>
      </c>
      <c r="I16" s="725">
        <f>Gen!E21</f>
        <v>0</v>
      </c>
      <c r="J16" s="764">
        <f>Gen!T21</f>
        <v>3220</v>
      </c>
      <c r="K16" s="769">
        <f>Gen!AK21</f>
        <v>0</v>
      </c>
      <c r="L16" s="760">
        <f t="shared" si="17"/>
        <v>3220</v>
      </c>
      <c r="M16" s="448">
        <f>'Water-Meter'!K56</f>
        <v>559.10394057425685</v>
      </c>
      <c r="N16" s="720">
        <f>'Water-Meter'!E16</f>
        <v>60</v>
      </c>
      <c r="O16" s="711"/>
      <c r="P16" s="718">
        <v>19032</v>
      </c>
      <c r="Q16" s="730">
        <f t="shared" si="2"/>
        <v>0</v>
      </c>
      <c r="R16" s="426">
        <f t="shared" si="5"/>
        <v>0</v>
      </c>
      <c r="S16" s="706">
        <v>6.3</v>
      </c>
      <c r="T16" s="707">
        <v>17764</v>
      </c>
      <c r="U16" s="730">
        <f t="shared" si="6"/>
        <v>2</v>
      </c>
      <c r="V16" s="427">
        <f t="shared" si="16"/>
        <v>12.6</v>
      </c>
      <c r="W16" s="706"/>
      <c r="X16" s="712">
        <v>27443</v>
      </c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>
        <v>48032</v>
      </c>
      <c r="AC16" s="695">
        <f t="shared" si="11"/>
        <v>33</v>
      </c>
      <c r="AD16" s="697">
        <v>212728</v>
      </c>
      <c r="AE16" s="178">
        <f t="shared" si="15"/>
        <v>70</v>
      </c>
      <c r="AF16" s="724">
        <f>'Lpg (2)'!B20*2000/85</f>
        <v>282.35294117647061</v>
      </c>
      <c r="AG16" s="266">
        <f>'Lpg (2)'!C20*1000/85</f>
        <v>1000</v>
      </c>
      <c r="AH16" s="737">
        <f>'Lpg (2)'!D20*1000/85</f>
        <v>1000</v>
      </c>
      <c r="AI16" s="727">
        <f t="shared" si="18"/>
        <v>2564705.8823529412</v>
      </c>
      <c r="AJ16" s="428">
        <f t="shared" si="4"/>
        <v>141176.47058823518</v>
      </c>
      <c r="AK16" s="132"/>
    </row>
    <row r="17" spans="1:37" ht="18.75">
      <c r="A17" s="758">
        <f>Gen!A22</f>
        <v>44267</v>
      </c>
      <c r="B17" s="425">
        <f>'Summery Report'!E16</f>
        <v>12.99</v>
      </c>
      <c r="C17" s="763">
        <f>Gen!B22</f>
        <v>0.12989999999999999</v>
      </c>
      <c r="D17" s="725">
        <f>'Summery Report'!E16</f>
        <v>12.99</v>
      </c>
      <c r="E17" s="725">
        <f t="shared" si="13"/>
        <v>1.3262195121951219</v>
      </c>
      <c r="F17" s="438">
        <f t="shared" si="14"/>
        <v>331.6059257590266</v>
      </c>
      <c r="G17" s="438">
        <f t="shared" si="0"/>
        <v>331.6059257590266</v>
      </c>
      <c r="H17" s="725">
        <f>Gen!C22</f>
        <v>31036.340000000004</v>
      </c>
      <c r="I17" s="725">
        <f>Gen!E22</f>
        <v>0</v>
      </c>
      <c r="J17" s="764">
        <f>Gen!T22</f>
        <v>3248</v>
      </c>
      <c r="K17" s="769">
        <f>Gen!AK22</f>
        <v>0</v>
      </c>
      <c r="L17" s="760">
        <f t="shared" si="17"/>
        <v>3248</v>
      </c>
      <c r="M17" s="448">
        <f>'Water-Meter'!K57</f>
        <v>523.37468773931766</v>
      </c>
      <c r="N17" s="720">
        <f>'Water-Meter'!E17</f>
        <v>65</v>
      </c>
      <c r="O17" s="711"/>
      <c r="P17" s="718">
        <v>19032</v>
      </c>
      <c r="Q17" s="730">
        <f>SUM(P18-P16)</f>
        <v>0</v>
      </c>
      <c r="R17" s="426">
        <f t="shared" si="5"/>
        <v>0</v>
      </c>
      <c r="S17" s="706"/>
      <c r="T17" s="707">
        <v>17764</v>
      </c>
      <c r="U17" s="730">
        <f t="shared" si="6"/>
        <v>0</v>
      </c>
      <c r="V17" s="427">
        <f t="shared" ref="V17:V36" si="19">SUM(U17*S17)</f>
        <v>0</v>
      </c>
      <c r="W17" s="706">
        <v>1.3</v>
      </c>
      <c r="X17" s="712">
        <v>27454</v>
      </c>
      <c r="Y17" s="730">
        <f t="shared" si="8"/>
        <v>11</v>
      </c>
      <c r="Z17" s="710">
        <f t="shared" si="9"/>
        <v>14.3</v>
      </c>
      <c r="AA17" s="717">
        <f t="shared" si="10"/>
        <v>393107</v>
      </c>
      <c r="AB17" s="714">
        <v>48063</v>
      </c>
      <c r="AC17" s="695">
        <f t="shared" si="11"/>
        <v>31</v>
      </c>
      <c r="AD17" s="697">
        <v>212779</v>
      </c>
      <c r="AE17" s="178">
        <f t="shared" si="15"/>
        <v>51</v>
      </c>
      <c r="AF17" s="724">
        <f>'Lpg (2)'!B21*2000/85</f>
        <v>235.29411764705881</v>
      </c>
      <c r="AG17" s="266">
        <f>'Lpg (2)'!C21*1000/85</f>
        <v>1000</v>
      </c>
      <c r="AH17" s="737">
        <f>'Lpg (2)'!D21*1000/85</f>
        <v>1000</v>
      </c>
      <c r="AI17" s="727">
        <f t="shared" si="18"/>
        <v>2470588.2352941176</v>
      </c>
      <c r="AJ17" s="428">
        <f t="shared" si="4"/>
        <v>94117.647058823612</v>
      </c>
      <c r="AK17" s="132"/>
    </row>
    <row r="18" spans="1:37" ht="18.75">
      <c r="A18" s="758">
        <f>Gen!A23</f>
        <v>44268</v>
      </c>
      <c r="B18" s="425">
        <f>'Summery Report'!E17</f>
        <v>14.29</v>
      </c>
      <c r="C18" s="763">
        <f>Gen!B23</f>
        <v>0.1429</v>
      </c>
      <c r="D18" s="725">
        <f>'Summery Report'!E17</f>
        <v>14.29</v>
      </c>
      <c r="E18" s="725">
        <f t="shared" si="13"/>
        <v>1.3262195121951219</v>
      </c>
      <c r="F18" s="438">
        <f t="shared" si="14"/>
        <v>292.71492942361198</v>
      </c>
      <c r="G18" s="438">
        <f t="shared" si="0"/>
        <v>292.71492942361198</v>
      </c>
      <c r="H18" s="725">
        <f>Gen!C23</f>
        <v>44373.790000000008</v>
      </c>
      <c r="I18" s="725">
        <f>Gen!E23</f>
        <v>0</v>
      </c>
      <c r="J18" s="764">
        <f>Gen!T23</f>
        <v>3154</v>
      </c>
      <c r="K18" s="769">
        <f>Gen!AK23</f>
        <v>0</v>
      </c>
      <c r="L18" s="760">
        <f t="shared" si="17"/>
        <v>3154</v>
      </c>
      <c r="M18" s="448">
        <f>'Water-Meter'!K58</f>
        <v>586.18582218192705</v>
      </c>
      <c r="N18" s="720">
        <f>'Water-Meter'!E18</f>
        <v>75</v>
      </c>
      <c r="O18" s="711"/>
      <c r="P18" s="718">
        <v>19032</v>
      </c>
      <c r="Q18" s="730"/>
      <c r="R18" s="426">
        <f t="shared" si="5"/>
        <v>0</v>
      </c>
      <c r="S18" s="706"/>
      <c r="T18" s="707">
        <v>17764</v>
      </c>
      <c r="U18" s="730">
        <f t="shared" si="6"/>
        <v>0</v>
      </c>
      <c r="V18" s="427">
        <f t="shared" si="19"/>
        <v>0</v>
      </c>
      <c r="W18" s="706"/>
      <c r="X18" s="712">
        <v>27478.87</v>
      </c>
      <c r="Y18" s="730">
        <f t="shared" si="8"/>
        <v>24.869999999998981</v>
      </c>
      <c r="Z18" s="710">
        <f t="shared" si="9"/>
        <v>0</v>
      </c>
      <c r="AA18" s="717">
        <f t="shared" si="10"/>
        <v>0</v>
      </c>
      <c r="AB18" s="714">
        <v>48088</v>
      </c>
      <c r="AC18" s="695">
        <f t="shared" si="11"/>
        <v>25</v>
      </c>
      <c r="AD18" s="697">
        <v>212851</v>
      </c>
      <c r="AE18" s="178">
        <f t="shared" si="15"/>
        <v>72</v>
      </c>
      <c r="AF18" s="724">
        <f>'Lpg (2)'!B22*2000/85</f>
        <v>188.23529411764707</v>
      </c>
      <c r="AG18" s="266">
        <f>'Lpg (2)'!C22*1000/85</f>
        <v>1000</v>
      </c>
      <c r="AH18" s="737">
        <f>'Lpg (2)'!D22*1000/85</f>
        <v>1000</v>
      </c>
      <c r="AI18" s="727">
        <f t="shared" si="18"/>
        <v>2376470.5882352944</v>
      </c>
      <c r="AJ18" s="428">
        <f t="shared" si="4"/>
        <v>94117.647058823146</v>
      </c>
      <c r="AK18" s="132"/>
    </row>
    <row r="19" spans="1:37" ht="18.75">
      <c r="A19" s="758">
        <f>Gen!A24</f>
        <v>44269</v>
      </c>
      <c r="B19" s="425">
        <f>'Summery Report'!E18</f>
        <v>14.29</v>
      </c>
      <c r="C19" s="763">
        <f>Gen!B24</f>
        <v>0.14000000000000001</v>
      </c>
      <c r="D19" s="725">
        <f>'Summery Report'!E18</f>
        <v>14.29</v>
      </c>
      <c r="E19" s="725">
        <f t="shared" si="13"/>
        <v>1.3262195121951219</v>
      </c>
      <c r="F19" s="438">
        <f t="shared" si="14"/>
        <v>311.46204919012104</v>
      </c>
      <c r="G19" s="438">
        <f t="shared" si="0"/>
        <v>311.46204919012104</v>
      </c>
      <c r="H19" s="725">
        <f>Gen!C24</f>
        <v>42952.210000000006</v>
      </c>
      <c r="I19" s="725">
        <f>Gen!E24</f>
        <v>15000</v>
      </c>
      <c r="J19" s="764">
        <f>Gen!T24</f>
        <v>3356</v>
      </c>
      <c r="K19" s="769">
        <f>Gen!AK24</f>
        <v>0</v>
      </c>
      <c r="L19" s="760">
        <f t="shared" si="17"/>
        <v>3356</v>
      </c>
      <c r="M19" s="448">
        <f>'Water-Meter'!K59</f>
        <v>553.78373340908115</v>
      </c>
      <c r="N19" s="720">
        <f>'Water-Meter'!E19</f>
        <v>74</v>
      </c>
      <c r="O19" s="711"/>
      <c r="P19" s="718">
        <v>19032</v>
      </c>
      <c r="Q19" s="730"/>
      <c r="R19" s="426">
        <f t="shared" si="5"/>
        <v>0</v>
      </c>
      <c r="S19" s="706">
        <v>7.1</v>
      </c>
      <c r="T19" s="707">
        <v>17776</v>
      </c>
      <c r="U19" s="730">
        <f t="shared" si="6"/>
        <v>12</v>
      </c>
      <c r="V19" s="427">
        <f t="shared" si="19"/>
        <v>85.199999999999989</v>
      </c>
      <c r="W19" s="706">
        <v>1.8</v>
      </c>
      <c r="X19" s="712">
        <v>27490</v>
      </c>
      <c r="Y19" s="730">
        <f t="shared" si="8"/>
        <v>11.130000000001019</v>
      </c>
      <c r="Z19" s="710">
        <f t="shared" si="9"/>
        <v>20.034000000001836</v>
      </c>
      <c r="AA19" s="717">
        <f t="shared" si="10"/>
        <v>551144.75598005054</v>
      </c>
      <c r="AB19" s="714">
        <v>48088</v>
      </c>
      <c r="AC19" s="695">
        <f t="shared" si="11"/>
        <v>0</v>
      </c>
      <c r="AD19" s="697">
        <v>212916</v>
      </c>
      <c r="AE19" s="178">
        <f t="shared" si="15"/>
        <v>65</v>
      </c>
      <c r="AF19" s="724">
        <f>'Lpg (2)'!B23*2000/85</f>
        <v>117.64705882352941</v>
      </c>
      <c r="AG19" s="266">
        <f>'Lpg (2)'!C23*1000/85</f>
        <v>1000</v>
      </c>
      <c r="AH19" s="737">
        <f>'Lpg (2)'!D23*1000/85</f>
        <v>1000</v>
      </c>
      <c r="AI19" s="727">
        <f t="shared" si="18"/>
        <v>2235294.1176470588</v>
      </c>
      <c r="AJ19" s="428">
        <f t="shared" si="4"/>
        <v>141176.47058823565</v>
      </c>
      <c r="AK19" s="132"/>
    </row>
    <row r="20" spans="1:37" ht="18.75">
      <c r="A20" s="758">
        <f>Gen!A25</f>
        <v>44270</v>
      </c>
      <c r="B20" s="425">
        <f>'Summery Report'!E19</f>
        <v>9.09</v>
      </c>
      <c r="C20" s="763">
        <f>Gen!B25</f>
        <v>9.0899999999999995E-2</v>
      </c>
      <c r="D20" s="725">
        <f>'Summery Report'!E19</f>
        <v>9.09</v>
      </c>
      <c r="E20" s="725">
        <f t="shared" si="13"/>
        <v>1.3262195121951219</v>
      </c>
      <c r="F20" s="438">
        <f t="shared" si="14"/>
        <v>474.31679143524104</v>
      </c>
      <c r="G20" s="438">
        <f t="shared" si="0"/>
        <v>474.31679143524104</v>
      </c>
      <c r="H20" s="725">
        <f>Gen!C25</f>
        <v>41500.590000000004</v>
      </c>
      <c r="I20" s="725">
        <f>Gen!E25</f>
        <v>0</v>
      </c>
      <c r="J20" s="764">
        <f>Gen!T25</f>
        <v>3251</v>
      </c>
      <c r="K20" s="769">
        <f>Gen!AK25</f>
        <v>0</v>
      </c>
      <c r="L20" s="760">
        <f t="shared" si="17"/>
        <v>3251</v>
      </c>
      <c r="M20" s="448">
        <f>'Water-Meter'!K60</f>
        <v>516.39445118293941</v>
      </c>
      <c r="N20" s="720">
        <f>'Water-Meter'!E20</f>
        <v>74</v>
      </c>
      <c r="O20" s="711"/>
      <c r="P20" s="718">
        <v>19032</v>
      </c>
      <c r="Q20" s="730">
        <f t="shared" si="2"/>
        <v>0</v>
      </c>
      <c r="R20" s="426">
        <f t="shared" si="5"/>
        <v>0</v>
      </c>
      <c r="S20" s="706">
        <v>6.8</v>
      </c>
      <c r="T20" s="707">
        <v>17799</v>
      </c>
      <c r="U20" s="730">
        <f t="shared" si="6"/>
        <v>23</v>
      </c>
      <c r="V20" s="427">
        <f t="shared" si="19"/>
        <v>156.4</v>
      </c>
      <c r="W20" s="706"/>
      <c r="X20" s="712">
        <v>27490</v>
      </c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>
        <v>48088</v>
      </c>
      <c r="AC20" s="695">
        <f t="shared" si="11"/>
        <v>0</v>
      </c>
      <c r="AD20" s="697">
        <v>212981</v>
      </c>
      <c r="AE20" s="178">
        <f t="shared" si="15"/>
        <v>65</v>
      </c>
      <c r="AF20" s="724">
        <f>'Lpg (2)'!B24*2000/85</f>
        <v>94.117647058823536</v>
      </c>
      <c r="AG20" s="266">
        <f>'Lpg (2)'!C24*1000/85</f>
        <v>1000</v>
      </c>
      <c r="AH20" s="737">
        <f>'Lpg (2)'!D24*1000/85</f>
        <v>1000</v>
      </c>
      <c r="AI20" s="727">
        <f t="shared" si="18"/>
        <v>2188235.2941176472</v>
      </c>
      <c r="AJ20" s="428">
        <f t="shared" si="4"/>
        <v>47058.823529411573</v>
      </c>
      <c r="AK20" s="132"/>
    </row>
    <row r="21" spans="1:37" ht="18.75">
      <c r="A21" s="758">
        <f>Gen!A26</f>
        <v>44271</v>
      </c>
      <c r="B21" s="425">
        <f>'Summery Report'!E20</f>
        <v>7.79</v>
      </c>
      <c r="C21" s="763">
        <f>Gen!B26</f>
        <v>7.7899999999999997E-2</v>
      </c>
      <c r="D21" s="725">
        <f>'Summery Report'!E20</f>
        <v>7.79</v>
      </c>
      <c r="E21" s="725">
        <f t="shared" si="13"/>
        <v>1.3262195121951219</v>
      </c>
      <c r="F21" s="438">
        <f t="shared" si="14"/>
        <v>492.86334888380975</v>
      </c>
      <c r="G21" s="438">
        <f t="shared" si="0"/>
        <v>492.86334888380975</v>
      </c>
      <c r="H21" s="725">
        <f>Gen!C26</f>
        <v>40033.94</v>
      </c>
      <c r="I21" s="725">
        <f>Gen!E26</f>
        <v>0</v>
      </c>
      <c r="J21" s="764">
        <f>Gen!T26</f>
        <v>2895</v>
      </c>
      <c r="K21" s="769">
        <f>Gen!AK26</f>
        <v>0</v>
      </c>
      <c r="L21" s="760">
        <f t="shared" si="17"/>
        <v>2895</v>
      </c>
      <c r="M21" s="448">
        <f>'Water-Meter'!K61</f>
        <v>354.39996628590768</v>
      </c>
      <c r="N21" s="720">
        <f>'Water-Meter'!E21</f>
        <v>60</v>
      </c>
      <c r="O21" s="711"/>
      <c r="P21" s="718"/>
      <c r="Q21" s="730">
        <f t="shared" si="2"/>
        <v>-19032</v>
      </c>
      <c r="R21" s="426">
        <f t="shared" si="5"/>
        <v>0</v>
      </c>
      <c r="S21" s="706"/>
      <c r="T21" s="707"/>
      <c r="U21" s="730">
        <f>T22-T20</f>
        <v>-17799</v>
      </c>
      <c r="V21" s="427">
        <f t="shared" si="19"/>
        <v>0</v>
      </c>
      <c r="W21" s="706"/>
      <c r="X21" s="712">
        <v>27510.47</v>
      </c>
      <c r="Y21" s="730">
        <f t="shared" si="8"/>
        <v>20.470000000001164</v>
      </c>
      <c r="Z21" s="710">
        <f t="shared" si="9"/>
        <v>0</v>
      </c>
      <c r="AA21" s="717">
        <f t="shared" si="10"/>
        <v>0</v>
      </c>
      <c r="AB21" s="714">
        <v>48088</v>
      </c>
      <c r="AC21" s="695">
        <f t="shared" si="11"/>
        <v>0</v>
      </c>
      <c r="AD21" s="697">
        <v>213043</v>
      </c>
      <c r="AE21" s="178">
        <f t="shared" si="15"/>
        <v>62</v>
      </c>
      <c r="AF21" s="724">
        <f>'Lpg (2)'!B25*2000/85</f>
        <v>47.058823529411768</v>
      </c>
      <c r="AG21" s="266">
        <f>'Lpg (2)'!C25*1000/85</f>
        <v>1000</v>
      </c>
      <c r="AH21" s="737">
        <f>'Lpg (2)'!D25*1000/85</f>
        <v>1000</v>
      </c>
      <c r="AI21" s="727">
        <f t="shared" si="18"/>
        <v>2094117.6470588236</v>
      </c>
      <c r="AJ21" s="428">
        <f t="shared" si="4"/>
        <v>94117.647058823612</v>
      </c>
      <c r="AK21" s="132"/>
    </row>
    <row r="22" spans="1:37" ht="18.75">
      <c r="A22" s="758">
        <f>Gen!A27</f>
        <v>44272</v>
      </c>
      <c r="B22" s="425">
        <f>'Summery Report'!E21</f>
        <v>6.49</v>
      </c>
      <c r="C22" s="763">
        <f>Gen!B27</f>
        <v>6.4899999999999999E-2</v>
      </c>
      <c r="D22" s="725">
        <f>'Summery Report'!E21</f>
        <v>6.49</v>
      </c>
      <c r="E22" s="725">
        <f t="shared" si="13"/>
        <v>1.3262195121951219</v>
      </c>
      <c r="F22" s="438">
        <f t="shared" si="14"/>
        <v>567.88351685519933</v>
      </c>
      <c r="G22" s="438">
        <f t="shared" si="0"/>
        <v>567.88351685519933</v>
      </c>
      <c r="H22" s="725">
        <f>Gen!C27</f>
        <v>38844.420000000006</v>
      </c>
      <c r="I22" s="725">
        <f>Gen!E27</f>
        <v>0</v>
      </c>
      <c r="J22" s="764">
        <f>Gen!T27</f>
        <v>2779</v>
      </c>
      <c r="K22" s="769">
        <f>Gen!AK27</f>
        <v>0</v>
      </c>
      <c r="L22" s="760">
        <f t="shared" si="17"/>
        <v>2779</v>
      </c>
      <c r="M22" s="448">
        <f>'Water-Meter'!K62</f>
        <v>401.43372199502187</v>
      </c>
      <c r="N22" s="720">
        <f>'Water-Meter'!E22</f>
        <v>64</v>
      </c>
      <c r="O22" s="711"/>
      <c r="P22" s="718"/>
      <c r="Q22" s="730">
        <f t="shared" si="2"/>
        <v>0</v>
      </c>
      <c r="R22" s="426">
        <f t="shared" si="5"/>
        <v>0</v>
      </c>
      <c r="S22" s="706"/>
      <c r="T22" s="707"/>
      <c r="U22" s="730">
        <f t="shared" ref="U22:U23" si="20">T23-T21</f>
        <v>0</v>
      </c>
      <c r="V22" s="427">
        <f t="shared" si="19"/>
        <v>0</v>
      </c>
      <c r="W22" s="706"/>
      <c r="X22" s="712"/>
      <c r="Y22" s="730">
        <f t="shared" si="8"/>
        <v>-27510.47</v>
      </c>
      <c r="Z22" s="710">
        <f t="shared" si="9"/>
        <v>0</v>
      </c>
      <c r="AA22" s="717">
        <f t="shared" si="10"/>
        <v>0</v>
      </c>
      <c r="AB22" s="714"/>
      <c r="AC22" s="695">
        <f t="shared" si="11"/>
        <v>-48088</v>
      </c>
      <c r="AD22" s="697">
        <v>213108</v>
      </c>
      <c r="AE22" s="178">
        <f t="shared" si="15"/>
        <v>65</v>
      </c>
      <c r="AF22" s="724">
        <f>'Lpg (2)'!B26*2000/85</f>
        <v>23.529411764705884</v>
      </c>
      <c r="AG22" s="266">
        <f>'Lpg (2)'!C26*1000/85</f>
        <v>1000</v>
      </c>
      <c r="AH22" s="737">
        <f>'Lpg (2)'!D26*1000/85</f>
        <v>1000</v>
      </c>
      <c r="AI22" s="727">
        <f t="shared" si="18"/>
        <v>2047058.8235294118</v>
      </c>
      <c r="AJ22" s="428">
        <f t="shared" si="4"/>
        <v>47058.823529411806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37749.620000000003</v>
      </c>
      <c r="I23" s="725">
        <f>Gen!E28</f>
        <v>0</v>
      </c>
      <c r="J23" s="764">
        <f>Gen!T28</f>
        <v>0</v>
      </c>
      <c r="K23" s="769">
        <f>Gen!AK28</f>
        <v>0</v>
      </c>
      <c r="L23" s="760">
        <f t="shared" si="17"/>
        <v>0</v>
      </c>
      <c r="M23" s="448">
        <f>'Water-Meter'!K63</f>
        <v>433.84997350307668</v>
      </c>
      <c r="N23" s="720" t="str">
        <f>'Water-Meter'!E23</f>
        <v>0</v>
      </c>
      <c r="O23" s="711"/>
      <c r="P23" s="718"/>
      <c r="Q23" s="730">
        <f t="shared" si="2"/>
        <v>0</v>
      </c>
      <c r="R23" s="426">
        <f t="shared" si="5"/>
        <v>0</v>
      </c>
      <c r="S23" s="706"/>
      <c r="T23" s="707"/>
      <c r="U23" s="730">
        <f t="shared" si="20"/>
        <v>0</v>
      </c>
      <c r="V23" s="427">
        <f t="shared" si="19"/>
        <v>0</v>
      </c>
      <c r="W23" s="706"/>
      <c r="X23" s="712"/>
      <c r="Y23" s="730">
        <f t="shared" si="8"/>
        <v>0</v>
      </c>
      <c r="Z23" s="710">
        <f t="shared" si="9"/>
        <v>0</v>
      </c>
      <c r="AA23" s="717">
        <f t="shared" si="10"/>
        <v>0</v>
      </c>
      <c r="AB23" s="714"/>
      <c r="AC23" s="695">
        <f t="shared" si="11"/>
        <v>0</v>
      </c>
      <c r="AD23" s="698"/>
      <c r="AE23" s="178">
        <f t="shared" si="15"/>
        <v>-213108</v>
      </c>
      <c r="AF23" s="724">
        <f>'Lpg (2)'!B27*2000/85</f>
        <v>23.529411764705884</v>
      </c>
      <c r="AG23" s="266">
        <f>'Lpg (2)'!C27*1000/85</f>
        <v>1000</v>
      </c>
      <c r="AH23" s="737">
        <f>'Lpg (2)'!D27*1000/85</f>
        <v>1000</v>
      </c>
      <c r="AI23" s="727">
        <f t="shared" si="18"/>
        <v>2047058.8235294118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37749.620000000003</v>
      </c>
      <c r="I24" s="725">
        <f>Gen!E29</f>
        <v>0</v>
      </c>
      <c r="J24" s="764">
        <f>Gen!T29</f>
        <v>0</v>
      </c>
      <c r="K24" s="769">
        <f>Gen!AK29</f>
        <v>0</v>
      </c>
      <c r="L24" s="760">
        <f t="shared" si="17"/>
        <v>0</v>
      </c>
      <c r="M24" s="448">
        <f>'Water-Meter'!K64</f>
        <v>0</v>
      </c>
      <c r="N24" s="720">
        <f>'Water-Meter'!E24</f>
        <v>0</v>
      </c>
      <c r="O24" s="711"/>
      <c r="P24" s="718"/>
      <c r="Q24" s="730">
        <f t="shared" si="2"/>
        <v>0</v>
      </c>
      <c r="R24" s="426">
        <f t="shared" si="5"/>
        <v>0</v>
      </c>
      <c r="S24" s="706"/>
      <c r="T24" s="707"/>
      <c r="U24" s="730">
        <f t="shared" si="6"/>
        <v>0</v>
      </c>
      <c r="V24" s="427">
        <f t="shared" si="19"/>
        <v>0</v>
      </c>
      <c r="W24" s="706"/>
      <c r="X24" s="712"/>
      <c r="Y24" s="730">
        <f t="shared" si="8"/>
        <v>0</v>
      </c>
      <c r="Z24" s="710">
        <f t="shared" si="9"/>
        <v>0</v>
      </c>
      <c r="AA24" s="717">
        <f t="shared" si="10"/>
        <v>0</v>
      </c>
      <c r="AB24" s="714"/>
      <c r="AC24" s="695">
        <f t="shared" si="11"/>
        <v>0</v>
      </c>
      <c r="AD24" s="698"/>
      <c r="AE24" s="178">
        <f t="shared" si="15"/>
        <v>0</v>
      </c>
      <c r="AF24" s="724">
        <f>'Lpg (2)'!B28*2000/85</f>
        <v>0</v>
      </c>
      <c r="AG24" s="266">
        <f>'Lpg (2)'!C28*1000/85</f>
        <v>0</v>
      </c>
      <c r="AH24" s="737">
        <f>'Lpg (2)'!D28*1000/85</f>
        <v>0</v>
      </c>
      <c r="AI24" s="727">
        <f t="shared" si="18"/>
        <v>0</v>
      </c>
      <c r="AJ24" s="428">
        <f t="shared" si="4"/>
        <v>2047058.8235294118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37749.620000000003</v>
      </c>
      <c r="I25" s="725">
        <f>Gen!E30</f>
        <v>0</v>
      </c>
      <c r="J25" s="764">
        <f>Gen!T30</f>
        <v>0</v>
      </c>
      <c r="K25" s="769">
        <f>Gen!AK30</f>
        <v>0</v>
      </c>
      <c r="L25" s="760">
        <f t="shared" si="17"/>
        <v>0</v>
      </c>
      <c r="M25" s="448">
        <f>'Water-Meter'!K65</f>
        <v>0</v>
      </c>
      <c r="N25" s="720">
        <f>'Water-Meter'!E25</f>
        <v>0</v>
      </c>
      <c r="O25" s="711"/>
      <c r="P25" s="718"/>
      <c r="Q25" s="730">
        <f t="shared" si="2"/>
        <v>0</v>
      </c>
      <c r="R25" s="426">
        <f t="shared" si="5"/>
        <v>0</v>
      </c>
      <c r="S25" s="706"/>
      <c r="T25" s="707"/>
      <c r="U25" s="730">
        <f t="shared" si="6"/>
        <v>0</v>
      </c>
      <c r="V25" s="427">
        <f t="shared" si="19"/>
        <v>0</v>
      </c>
      <c r="W25" s="706"/>
      <c r="X25" s="712"/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/>
      <c r="AC25" s="695">
        <f t="shared" si="11"/>
        <v>0</v>
      </c>
      <c r="AD25" s="698"/>
      <c r="AE25" s="178">
        <f t="shared" si="15"/>
        <v>0</v>
      </c>
      <c r="AF25" s="724">
        <f>'Lpg (2)'!B29*2000/85</f>
        <v>0</v>
      </c>
      <c r="AG25" s="266">
        <f>'Lpg (2)'!C29*1000/85</f>
        <v>0</v>
      </c>
      <c r="AH25" s="737">
        <f>'Lpg (2)'!D29*1000/85</f>
        <v>0</v>
      </c>
      <c r="AI25" s="727">
        <f t="shared" si="18"/>
        <v>0</v>
      </c>
      <c r="AJ25" s="428">
        <f t="shared" si="4"/>
        <v>0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37749.620000000003</v>
      </c>
      <c r="I26" s="725">
        <f>Gen!E31</f>
        <v>0</v>
      </c>
      <c r="J26" s="764">
        <f>Gen!T31</f>
        <v>0</v>
      </c>
      <c r="K26" s="769">
        <f>Gen!AK31</f>
        <v>0</v>
      </c>
      <c r="L26" s="760">
        <f t="shared" si="17"/>
        <v>0</v>
      </c>
      <c r="M26" s="448">
        <f>'Water-Meter'!K66</f>
        <v>0</v>
      </c>
      <c r="N26" s="720">
        <f>'Water-Meter'!E26</f>
        <v>0</v>
      </c>
      <c r="O26" s="711"/>
      <c r="P26" s="718"/>
      <c r="Q26" s="730">
        <f t="shared" si="2"/>
        <v>0</v>
      </c>
      <c r="R26" s="426">
        <f t="shared" si="5"/>
        <v>0</v>
      </c>
      <c r="S26" s="706"/>
      <c r="T26" s="707"/>
      <c r="U26" s="730">
        <f t="shared" si="6"/>
        <v>0</v>
      </c>
      <c r="V26" s="427">
        <f t="shared" si="19"/>
        <v>0</v>
      </c>
      <c r="W26" s="706"/>
      <c r="X26" s="712"/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/>
      <c r="AC26" s="695">
        <f t="shared" si="11"/>
        <v>0</v>
      </c>
      <c r="AD26" s="698"/>
      <c r="AE26" s="178">
        <f t="shared" si="15"/>
        <v>0</v>
      </c>
      <c r="AF26" s="724">
        <f>'Lpg (2)'!B30*2000/85</f>
        <v>0</v>
      </c>
      <c r="AG26" s="266">
        <f>'Lpg (2)'!C30*1000/85</f>
        <v>0</v>
      </c>
      <c r="AH26" s="737">
        <f>'Lpg (2)'!D30*1000/85</f>
        <v>0</v>
      </c>
      <c r="AI26" s="727">
        <f t="shared" si="18"/>
        <v>0</v>
      </c>
      <c r="AJ26" s="428">
        <f t="shared" si="4"/>
        <v>0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37749.620000000003</v>
      </c>
      <c r="I27" s="725">
        <f>Gen!E32</f>
        <v>0</v>
      </c>
      <c r="J27" s="764">
        <f>Gen!T32</f>
        <v>0</v>
      </c>
      <c r="K27" s="769">
        <f>Gen!AK32</f>
        <v>0</v>
      </c>
      <c r="L27" s="760">
        <f t="shared" si="17"/>
        <v>0</v>
      </c>
      <c r="M27" s="448">
        <f>'Water-Meter'!K67</f>
        <v>0</v>
      </c>
      <c r="N27" s="720">
        <f>'Water-Meter'!E27</f>
        <v>0</v>
      </c>
      <c r="O27" s="711"/>
      <c r="P27" s="718"/>
      <c r="Q27" s="730">
        <f t="shared" si="2"/>
        <v>0</v>
      </c>
      <c r="R27" s="426">
        <f t="shared" si="5"/>
        <v>0</v>
      </c>
      <c r="S27" s="706"/>
      <c r="T27" s="707"/>
      <c r="U27" s="730">
        <f t="shared" si="6"/>
        <v>0</v>
      </c>
      <c r="V27" s="427">
        <f t="shared" si="19"/>
        <v>0</v>
      </c>
      <c r="W27" s="706"/>
      <c r="X27" s="712"/>
      <c r="Y27" s="730">
        <f t="shared" si="8"/>
        <v>0</v>
      </c>
      <c r="Z27" s="710">
        <f t="shared" si="9"/>
        <v>0</v>
      </c>
      <c r="AA27" s="717">
        <f t="shared" si="10"/>
        <v>0</v>
      </c>
      <c r="AB27" s="714"/>
      <c r="AC27" s="695">
        <f t="shared" si="11"/>
        <v>0</v>
      </c>
      <c r="AD27" s="698"/>
      <c r="AE27" s="178">
        <f t="shared" si="15"/>
        <v>0</v>
      </c>
      <c r="AF27" s="724">
        <f>'Lpg (2)'!B31*2000/85</f>
        <v>0</v>
      </c>
      <c r="AG27" s="266">
        <f>'Lpg (2)'!C31*1000/85</f>
        <v>0</v>
      </c>
      <c r="AH27" s="737">
        <f>'Lpg (2)'!D31*1000/85</f>
        <v>0</v>
      </c>
      <c r="AI27" s="727">
        <f t="shared" si="18"/>
        <v>0</v>
      </c>
      <c r="AJ27" s="428">
        <f t="shared" si="4"/>
        <v>0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37749.620000000003</v>
      </c>
      <c r="I28" s="725">
        <f>Gen!E33</f>
        <v>0</v>
      </c>
      <c r="J28" s="764">
        <f>Gen!T33</f>
        <v>0</v>
      </c>
      <c r="K28" s="769">
        <f>Gen!AK33</f>
        <v>0</v>
      </c>
      <c r="L28" s="760">
        <f t="shared" si="17"/>
        <v>0</v>
      </c>
      <c r="M28" s="448">
        <f>'Water-Meter'!K68</f>
        <v>0</v>
      </c>
      <c r="N28" s="720">
        <f>'Water-Meter'!E28</f>
        <v>0</v>
      </c>
      <c r="O28" s="711"/>
      <c r="P28" s="718"/>
      <c r="Q28" s="730">
        <f t="shared" si="2"/>
        <v>0</v>
      </c>
      <c r="R28" s="426">
        <f t="shared" si="5"/>
        <v>0</v>
      </c>
      <c r="S28" s="706"/>
      <c r="T28" s="707"/>
      <c r="U28" s="730">
        <f t="shared" si="6"/>
        <v>0</v>
      </c>
      <c r="V28" s="427">
        <f t="shared" si="19"/>
        <v>0</v>
      </c>
      <c r="W28" s="706"/>
      <c r="X28" s="712"/>
      <c r="Y28" s="730">
        <f t="shared" si="8"/>
        <v>0</v>
      </c>
      <c r="Z28" s="710">
        <f t="shared" si="9"/>
        <v>0</v>
      </c>
      <c r="AA28" s="717">
        <f t="shared" si="10"/>
        <v>0</v>
      </c>
      <c r="AB28" s="714"/>
      <c r="AC28" s="695">
        <f t="shared" ref="AC28:AC37" si="21">SUM(AB28-AB27)</f>
        <v>0</v>
      </c>
      <c r="AD28" s="698"/>
      <c r="AE28" s="178">
        <f t="shared" si="15"/>
        <v>0</v>
      </c>
      <c r="AF28" s="724">
        <f>'Lpg (2)'!B32*2000/85</f>
        <v>0</v>
      </c>
      <c r="AG28" s="266">
        <f>'Lpg (2)'!C32*1000/85</f>
        <v>0</v>
      </c>
      <c r="AH28" s="737">
        <f>'Lpg (2)'!D32*1000/85</f>
        <v>0</v>
      </c>
      <c r="AI28" s="727">
        <f t="shared" si="18"/>
        <v>0</v>
      </c>
      <c r="AJ28" s="428">
        <f t="shared" si="4"/>
        <v>0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37749.620000000003</v>
      </c>
      <c r="I29" s="725">
        <f>Gen!E34</f>
        <v>0</v>
      </c>
      <c r="J29" s="764">
        <f>Gen!T34</f>
        <v>0</v>
      </c>
      <c r="K29" s="769">
        <f>Gen!AK34</f>
        <v>0</v>
      </c>
      <c r="L29" s="760">
        <f t="shared" si="17"/>
        <v>0</v>
      </c>
      <c r="M29" s="448">
        <f>'Water-Meter'!K69</f>
        <v>0</v>
      </c>
      <c r="N29" s="720">
        <f>'Water-Meter'!E29</f>
        <v>0</v>
      </c>
      <c r="O29" s="711"/>
      <c r="P29" s="718"/>
      <c r="Q29" s="730">
        <f t="shared" si="2"/>
        <v>0</v>
      </c>
      <c r="R29" s="426">
        <f t="shared" si="5"/>
        <v>0</v>
      </c>
      <c r="S29" s="706"/>
      <c r="T29" s="707"/>
      <c r="U29" s="730">
        <f t="shared" si="6"/>
        <v>0</v>
      </c>
      <c r="V29" s="427">
        <f t="shared" si="19"/>
        <v>0</v>
      </c>
      <c r="W29" s="706"/>
      <c r="X29" s="712"/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/>
      <c r="AC29" s="695">
        <f t="shared" si="21"/>
        <v>0</v>
      </c>
      <c r="AD29" s="698"/>
      <c r="AE29" s="178">
        <f t="shared" si="15"/>
        <v>0</v>
      </c>
      <c r="AF29" s="724">
        <f>'Lpg (2)'!B33*2000/85</f>
        <v>0</v>
      </c>
      <c r="AG29" s="266">
        <f>'Lpg (2)'!C33*1000/85</f>
        <v>0</v>
      </c>
      <c r="AH29" s="737">
        <f>'Lpg (2)'!D33*1000/85</f>
        <v>0</v>
      </c>
      <c r="AI29" s="727">
        <f t="shared" si="18"/>
        <v>0</v>
      </c>
      <c r="AJ29" s="428">
        <f t="shared" si="4"/>
        <v>0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37749.620000000003</v>
      </c>
      <c r="I30" s="725">
        <f>Gen!E35</f>
        <v>0</v>
      </c>
      <c r="J30" s="764">
        <f>Gen!T35</f>
        <v>0</v>
      </c>
      <c r="K30" s="769">
        <f>Gen!AK35</f>
        <v>0</v>
      </c>
      <c r="L30" s="760">
        <f t="shared" si="17"/>
        <v>0</v>
      </c>
      <c r="M30" s="448">
        <f>'Water-Meter'!K70</f>
        <v>0</v>
      </c>
      <c r="N30" s="720">
        <f>'Water-Meter'!E30</f>
        <v>0</v>
      </c>
      <c r="O30" s="711"/>
      <c r="P30" s="718"/>
      <c r="Q30" s="730">
        <f t="shared" si="2"/>
        <v>0</v>
      </c>
      <c r="R30" s="426">
        <f t="shared" si="5"/>
        <v>0</v>
      </c>
      <c r="S30" s="706"/>
      <c r="T30" s="707"/>
      <c r="U30" s="730">
        <f t="shared" si="6"/>
        <v>0</v>
      </c>
      <c r="V30" s="427">
        <f t="shared" si="19"/>
        <v>0</v>
      </c>
      <c r="W30" s="706"/>
      <c r="X30" s="712"/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/>
      <c r="AC30" s="695">
        <f t="shared" si="21"/>
        <v>0</v>
      </c>
      <c r="AD30" s="698"/>
      <c r="AE30" s="178">
        <f t="shared" si="15"/>
        <v>0</v>
      </c>
      <c r="AF30" s="724">
        <f>'Lpg (2)'!B34*2000/85</f>
        <v>0</v>
      </c>
      <c r="AG30" s="266">
        <f>'Lpg (2)'!C34*1000/85</f>
        <v>0</v>
      </c>
      <c r="AH30" s="737">
        <f>'Lpg (2)'!D34*1000/85</f>
        <v>0</v>
      </c>
      <c r="AI30" s="727">
        <f t="shared" si="18"/>
        <v>0</v>
      </c>
      <c r="AJ30" s="428">
        <f t="shared" si="4"/>
        <v>0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37749.620000000003</v>
      </c>
      <c r="I31" s="725">
        <f>Gen!E36</f>
        <v>0</v>
      </c>
      <c r="J31" s="764">
        <f>Gen!T36</f>
        <v>0</v>
      </c>
      <c r="K31" s="769">
        <f>Gen!AK36</f>
        <v>0</v>
      </c>
      <c r="L31" s="760">
        <f t="shared" si="17"/>
        <v>0</v>
      </c>
      <c r="M31" s="448">
        <f>'Water-Meter'!K71</f>
        <v>0</v>
      </c>
      <c r="N31" s="720">
        <f>'Water-Meter'!E31</f>
        <v>0</v>
      </c>
      <c r="O31" s="711"/>
      <c r="P31" s="718"/>
      <c r="Q31" s="730">
        <f t="shared" si="2"/>
        <v>0</v>
      </c>
      <c r="R31" s="426">
        <f t="shared" si="5"/>
        <v>0</v>
      </c>
      <c r="S31" s="706"/>
      <c r="T31" s="707"/>
      <c r="U31" s="730">
        <f t="shared" si="6"/>
        <v>0</v>
      </c>
      <c r="V31" s="427">
        <f t="shared" si="19"/>
        <v>0</v>
      </c>
      <c r="W31" s="706"/>
      <c r="X31" s="712"/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/>
      <c r="AC31" s="695">
        <f t="shared" si="21"/>
        <v>0</v>
      </c>
      <c r="AD31" s="698"/>
      <c r="AE31" s="178">
        <f t="shared" si="15"/>
        <v>0</v>
      </c>
      <c r="AF31" s="724">
        <f>'Lpg (2)'!B35*2000/85</f>
        <v>0</v>
      </c>
      <c r="AG31" s="266">
        <f>'Lpg (2)'!C35*1000/85</f>
        <v>0</v>
      </c>
      <c r="AH31" s="737">
        <f>'Lpg (2)'!D35*1000/85</f>
        <v>0</v>
      </c>
      <c r="AI31" s="727">
        <f t="shared" si="18"/>
        <v>0</v>
      </c>
      <c r="AJ31" s="428">
        <f t="shared" si="4"/>
        <v>0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37749.620000000003</v>
      </c>
      <c r="I32" s="725">
        <f>Gen!E37</f>
        <v>0</v>
      </c>
      <c r="J32" s="764">
        <f>Gen!T37</f>
        <v>0</v>
      </c>
      <c r="K32" s="769">
        <f>Gen!AK37</f>
        <v>0</v>
      </c>
      <c r="L32" s="760">
        <f t="shared" si="17"/>
        <v>0</v>
      </c>
      <c r="M32" s="448">
        <f>'Water-Meter'!K72</f>
        <v>0</v>
      </c>
      <c r="N32" s="720">
        <f>'Water-Meter'!E32</f>
        <v>0</v>
      </c>
      <c r="O32" s="711"/>
      <c r="P32" s="718"/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0</v>
      </c>
      <c r="V32" s="427">
        <f t="shared" si="19"/>
        <v>0</v>
      </c>
      <c r="W32" s="706"/>
      <c r="X32" s="712"/>
      <c r="Y32" s="730">
        <f t="shared" si="8"/>
        <v>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0</v>
      </c>
      <c r="AD32" s="698"/>
      <c r="AE32" s="178">
        <f t="shared" si="15"/>
        <v>0</v>
      </c>
      <c r="AF32" s="724">
        <f>'Lpg (2)'!B36*2000/85</f>
        <v>0</v>
      </c>
      <c r="AG32" s="266">
        <f>'Lpg (2)'!C36*1000/85</f>
        <v>0</v>
      </c>
      <c r="AH32" s="737">
        <f>'Lpg (2)'!D36*1000/85</f>
        <v>0</v>
      </c>
      <c r="AI32" s="727">
        <f t="shared" si="18"/>
        <v>0</v>
      </c>
      <c r="AJ32" s="428">
        <f t="shared" si="4"/>
        <v>0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37749.620000000003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0</v>
      </c>
      <c r="N33" s="720">
        <f>'Water-Meter'!E33</f>
        <v>0</v>
      </c>
      <c r="O33" s="711"/>
      <c r="P33" s="718"/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0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37749.620000000003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/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37749.620000000003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/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37749.620000000003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/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49103</v>
      </c>
      <c r="K37" s="775"/>
      <c r="L37" s="761">
        <f t="shared" si="17"/>
        <v>49103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0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2" sqref="W2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3" t="s">
        <v>150</v>
      </c>
      <c r="C1" s="874"/>
      <c r="D1" s="874"/>
      <c r="E1" s="874"/>
      <c r="F1" s="875"/>
      <c r="G1" s="157"/>
      <c r="H1" s="873" t="s">
        <v>151</v>
      </c>
      <c r="I1" s="874"/>
      <c r="J1" s="874"/>
      <c r="K1" s="874"/>
      <c r="L1" s="875"/>
      <c r="M1" s="873" t="s">
        <v>170</v>
      </c>
      <c r="N1" s="874"/>
      <c r="O1" s="874"/>
      <c r="P1" s="874"/>
      <c r="Q1" s="875"/>
      <c r="R1" s="157"/>
      <c r="T1" s="873" t="s">
        <v>166</v>
      </c>
      <c r="U1" s="874"/>
      <c r="V1" s="874"/>
      <c r="W1" s="874"/>
      <c r="X1" s="875"/>
      <c r="Y1" s="873" t="s">
        <v>169</v>
      </c>
      <c r="Z1" s="874"/>
      <c r="AA1" s="874"/>
      <c r="AB1" s="874"/>
      <c r="AC1" s="875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6" t="s">
        <v>156</v>
      </c>
      <c r="C3" s="877"/>
      <c r="D3" s="166"/>
      <c r="E3" s="578">
        <v>9136.6</v>
      </c>
      <c r="F3" s="585" t="s">
        <v>157</v>
      </c>
      <c r="G3" s="586"/>
      <c r="H3" s="876" t="s">
        <v>156</v>
      </c>
      <c r="I3" s="877"/>
      <c r="J3" s="612">
        <f>'Water-Meter'!G5</f>
        <v>0</v>
      </c>
      <c r="K3" s="587">
        <f>'Water-Meter'!G5</f>
        <v>0</v>
      </c>
      <c r="L3" s="241"/>
      <c r="M3" s="876" t="s">
        <v>156</v>
      </c>
      <c r="N3" s="877"/>
      <c r="O3" s="166"/>
      <c r="P3" s="588">
        <f>'Water-Meter'!J5</f>
        <v>8294</v>
      </c>
      <c r="Q3" s="165"/>
      <c r="R3" s="241"/>
      <c r="S3" s="641"/>
      <c r="T3" s="876" t="s">
        <v>156</v>
      </c>
      <c r="U3" s="877"/>
      <c r="V3" s="166"/>
      <c r="W3" s="579">
        <v>8028.6</v>
      </c>
      <c r="X3" s="589">
        <f t="shared" ref="X3:X35" si="0">(W3-V3)*200</f>
        <v>1605720</v>
      </c>
      <c r="Y3" s="876" t="s">
        <v>156</v>
      </c>
      <c r="Z3" s="877"/>
      <c r="AA3" s="166"/>
      <c r="AB3" s="169"/>
      <c r="AC3" s="170"/>
    </row>
    <row r="4" spans="1:29" ht="19.5" thickBot="1">
      <c r="A4" s="642">
        <f>Gen!B11</f>
        <v>0.01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2.5999999999999999E-2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2.5999999999999999E-2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5.1900000000000002E-2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6.5000000000000002E-2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5.1999999999999998E-2</v>
      </c>
      <c r="B9" s="593">
        <f>Gen!A16</f>
        <v>44261</v>
      </c>
      <c r="C9" s="577"/>
      <c r="D9" s="582">
        <f t="shared" si="1"/>
        <v>9147.5</v>
      </c>
      <c r="E9" s="578">
        <v>9149.7000000000007</v>
      </c>
      <c r="F9" s="582">
        <f t="shared" si="2"/>
        <v>264.00000000008731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8308</v>
      </c>
      <c r="Q9" s="577">
        <f t="shared" si="8"/>
        <v>0</v>
      </c>
      <c r="R9" s="627">
        <f t="shared" si="4"/>
        <v>0</v>
      </c>
      <c r="S9" s="628">
        <f>Gen!T16</f>
        <v>2713</v>
      </c>
      <c r="T9" s="629">
        <f t="shared" si="9"/>
        <v>44261</v>
      </c>
      <c r="U9" s="577"/>
      <c r="V9" s="582">
        <f t="shared" si="5"/>
        <v>8034.8</v>
      </c>
      <c r="W9" s="579">
        <v>8036.1</v>
      </c>
      <c r="X9" s="582">
        <f t="shared" si="0"/>
        <v>260.00000000003638</v>
      </c>
      <c r="Y9" s="624">
        <f t="shared" si="10"/>
        <v>44261</v>
      </c>
      <c r="Z9" s="577"/>
      <c r="AA9" s="577"/>
      <c r="AB9" s="581">
        <f>'Water-Meter'!P11</f>
        <v>21017</v>
      </c>
      <c r="AC9" s="634">
        <f t="shared" si="11"/>
        <v>-21014</v>
      </c>
    </row>
    <row r="10" spans="1:29" ht="19.5" thickBot="1">
      <c r="A10" s="643">
        <f>Gen!B17</f>
        <v>0.1169</v>
      </c>
      <c r="B10" s="593">
        <f>Gen!A17</f>
        <v>44262</v>
      </c>
      <c r="C10" s="577"/>
      <c r="D10" s="582">
        <f t="shared" si="1"/>
        <v>9149.7000000000007</v>
      </c>
      <c r="E10" s="578">
        <v>9151.7000000000007</v>
      </c>
      <c r="F10" s="582">
        <f t="shared" si="2"/>
        <v>240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8310</v>
      </c>
      <c r="Q10" s="577">
        <f t="shared" si="8"/>
        <v>0</v>
      </c>
      <c r="R10" s="627">
        <f t="shared" si="4"/>
        <v>0</v>
      </c>
      <c r="S10" s="628">
        <f>Gen!T17</f>
        <v>2823</v>
      </c>
      <c r="T10" s="629">
        <f t="shared" si="9"/>
        <v>44262</v>
      </c>
      <c r="U10" s="577"/>
      <c r="V10" s="582">
        <f t="shared" si="5"/>
        <v>8036.1</v>
      </c>
      <c r="W10" s="579">
        <v>8037.8</v>
      </c>
      <c r="X10" s="582">
        <f t="shared" si="0"/>
        <v>339.99999999996362</v>
      </c>
      <c r="Y10" s="624">
        <f t="shared" si="10"/>
        <v>44262</v>
      </c>
      <c r="Z10" s="577"/>
      <c r="AA10" s="577"/>
      <c r="AB10" s="581">
        <f>'Water-Meter'!P12</f>
        <v>21026</v>
      </c>
      <c r="AC10" s="634">
        <f t="shared" si="11"/>
        <v>-21017</v>
      </c>
    </row>
    <row r="11" spans="1:29" ht="19.5" thickBot="1">
      <c r="A11" s="643">
        <f>Gen!B18</f>
        <v>0.12989999999999999</v>
      </c>
      <c r="B11" s="593">
        <f>Gen!A18</f>
        <v>44263</v>
      </c>
      <c r="C11" s="577"/>
      <c r="D11" s="582">
        <f t="shared" si="1"/>
        <v>9151.7000000000007</v>
      </c>
      <c r="E11" s="578">
        <v>9153.5</v>
      </c>
      <c r="F11" s="582">
        <f t="shared" si="2"/>
        <v>215.99999999991269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8312</v>
      </c>
      <c r="Q11" s="577">
        <f t="shared" si="8"/>
        <v>0</v>
      </c>
      <c r="R11" s="627">
        <f t="shared" si="4"/>
        <v>0</v>
      </c>
      <c r="S11" s="628">
        <f>Gen!T18</f>
        <v>2548</v>
      </c>
      <c r="T11" s="629">
        <f t="shared" si="9"/>
        <v>44263</v>
      </c>
      <c r="U11" s="577"/>
      <c r="V11" s="582">
        <f t="shared" si="5"/>
        <v>8037.8</v>
      </c>
      <c r="W11" s="579">
        <v>8038.8</v>
      </c>
      <c r="X11" s="582">
        <f t="shared" si="0"/>
        <v>200</v>
      </c>
      <c r="Y11" s="624">
        <f t="shared" si="10"/>
        <v>44263</v>
      </c>
      <c r="Z11" s="577"/>
      <c r="AA11" s="577"/>
      <c r="AB11" s="581">
        <f>'Water-Meter'!P13</f>
        <v>21027</v>
      </c>
      <c r="AC11" s="634">
        <f t="shared" si="11"/>
        <v>-21026</v>
      </c>
    </row>
    <row r="12" spans="1:29" ht="19.5" thickBot="1">
      <c r="A12" s="643">
        <f>Gen!B19</f>
        <v>0.15579999999999999</v>
      </c>
      <c r="B12" s="593">
        <f>Gen!A19</f>
        <v>44264</v>
      </c>
      <c r="C12" s="577"/>
      <c r="D12" s="582">
        <f t="shared" si="1"/>
        <v>9153.5</v>
      </c>
      <c r="E12" s="578">
        <v>9155.6</v>
      </c>
      <c r="F12" s="582">
        <f t="shared" si="2"/>
        <v>252.00000000004366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8314</v>
      </c>
      <c r="Q12" s="577">
        <f t="shared" si="8"/>
        <v>0</v>
      </c>
      <c r="R12" s="627">
        <f t="shared" si="4"/>
        <v>0</v>
      </c>
      <c r="S12" s="628">
        <f>Gen!T19</f>
        <v>2925</v>
      </c>
      <c r="T12" s="629">
        <f t="shared" si="9"/>
        <v>44264</v>
      </c>
      <c r="U12" s="577"/>
      <c r="V12" s="582">
        <f t="shared" si="5"/>
        <v>8038.8</v>
      </c>
      <c r="W12" s="579">
        <v>8040.5</v>
      </c>
      <c r="X12" s="582">
        <f t="shared" si="0"/>
        <v>339.99999999996362</v>
      </c>
      <c r="Y12" s="624">
        <f t="shared" si="10"/>
        <v>44264</v>
      </c>
      <c r="Z12" s="577"/>
      <c r="AA12" s="577"/>
      <c r="AB12" s="581">
        <f>'Water-Meter'!P14</f>
        <v>21028</v>
      </c>
      <c r="AC12" s="634">
        <f t="shared" si="11"/>
        <v>-21027</v>
      </c>
    </row>
    <row r="13" spans="1:29" ht="19.5" thickBot="1">
      <c r="A13" s="643">
        <f>Gen!B20</f>
        <v>0.15579999999999999</v>
      </c>
      <c r="B13" s="593">
        <f>Gen!A20</f>
        <v>44265</v>
      </c>
      <c r="C13" s="577"/>
      <c r="D13" s="582">
        <f t="shared" si="1"/>
        <v>9155.6</v>
      </c>
      <c r="E13" s="578">
        <v>9157.7999999999993</v>
      </c>
      <c r="F13" s="582">
        <f t="shared" si="2"/>
        <v>263.99999999986903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8316</v>
      </c>
      <c r="Q13" s="577">
        <f t="shared" si="8"/>
        <v>0</v>
      </c>
      <c r="R13" s="627">
        <f t="shared" si="4"/>
        <v>0</v>
      </c>
      <c r="S13" s="628">
        <f>Gen!T20</f>
        <v>2712</v>
      </c>
      <c r="T13" s="629">
        <f t="shared" si="9"/>
        <v>44265</v>
      </c>
      <c r="U13" s="577"/>
      <c r="V13" s="582">
        <f t="shared" si="5"/>
        <v>8040.5</v>
      </c>
      <c r="W13" s="579">
        <v>8041.6</v>
      </c>
      <c r="X13" s="582">
        <f t="shared" si="0"/>
        <v>220.00000000007276</v>
      </c>
      <c r="Y13" s="624">
        <f t="shared" si="10"/>
        <v>44265</v>
      </c>
      <c r="Z13" s="577"/>
      <c r="AA13" s="577"/>
      <c r="AB13" s="581">
        <f>'Water-Meter'!P15</f>
        <v>21032</v>
      </c>
      <c r="AC13" s="634">
        <f t="shared" si="11"/>
        <v>-21028</v>
      </c>
    </row>
    <row r="14" spans="1:29" ht="19.5" thickBot="1">
      <c r="A14" s="643">
        <f>Gen!B21</f>
        <v>0.1169</v>
      </c>
      <c r="B14" s="593">
        <f>Gen!A21</f>
        <v>44266</v>
      </c>
      <c r="C14" s="577"/>
      <c r="D14" s="582">
        <f t="shared" si="1"/>
        <v>9157.7999999999993</v>
      </c>
      <c r="E14" s="578">
        <v>9159.9</v>
      </c>
      <c r="F14" s="582">
        <f t="shared" si="2"/>
        <v>252.00000000004366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8318</v>
      </c>
      <c r="Q14" s="577">
        <v>8095</v>
      </c>
      <c r="R14" s="627">
        <f t="shared" si="4"/>
        <v>5.0123839009287927</v>
      </c>
      <c r="S14" s="628">
        <f>Gen!T21</f>
        <v>3220</v>
      </c>
      <c r="T14" s="629">
        <f t="shared" si="9"/>
        <v>44266</v>
      </c>
      <c r="U14" s="577"/>
      <c r="V14" s="582">
        <f t="shared" si="5"/>
        <v>8041.6</v>
      </c>
      <c r="W14" s="579">
        <v>8042.8</v>
      </c>
      <c r="X14" s="582">
        <f t="shared" si="0"/>
        <v>239.99999999996362</v>
      </c>
      <c r="Y14" s="624">
        <f t="shared" si="10"/>
        <v>44266</v>
      </c>
      <c r="Z14" s="577"/>
      <c r="AA14" s="577"/>
      <c r="AB14" s="581">
        <f>'Water-Meter'!P16</f>
        <v>21035</v>
      </c>
      <c r="AC14" s="634">
        <v>20490</v>
      </c>
    </row>
    <row r="15" spans="1:29" ht="19.5" thickBot="1">
      <c r="A15" s="643">
        <f>Gen!B22</f>
        <v>0.12989999999999999</v>
      </c>
      <c r="B15" s="593">
        <f>Gen!A22</f>
        <v>44267</v>
      </c>
      <c r="C15" s="577"/>
      <c r="D15" s="582">
        <f t="shared" si="1"/>
        <v>9159.9</v>
      </c>
      <c r="E15" s="578">
        <v>9162</v>
      </c>
      <c r="F15" s="582">
        <f t="shared" si="2"/>
        <v>252.00000000004366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8320</v>
      </c>
      <c r="Q15" s="577">
        <f t="shared" si="8"/>
        <v>0</v>
      </c>
      <c r="R15" s="627">
        <f t="shared" si="4"/>
        <v>0</v>
      </c>
      <c r="S15" s="628">
        <f>Gen!T22</f>
        <v>3248</v>
      </c>
      <c r="T15" s="629">
        <f t="shared" si="9"/>
        <v>44267</v>
      </c>
      <c r="U15" s="577"/>
      <c r="V15" s="582">
        <f t="shared" si="5"/>
        <v>8042.8</v>
      </c>
      <c r="W15" s="579">
        <v>8044.4</v>
      </c>
      <c r="X15" s="582">
        <f t="shared" si="0"/>
        <v>319.99999999989086</v>
      </c>
      <c r="Y15" s="624">
        <f t="shared" si="10"/>
        <v>44267</v>
      </c>
      <c r="Z15" s="577"/>
      <c r="AA15" s="577"/>
      <c r="AB15" s="581">
        <f>'Water-Meter'!P17</f>
        <v>21037</v>
      </c>
      <c r="AC15" s="634">
        <f t="shared" si="11"/>
        <v>-21035</v>
      </c>
    </row>
    <row r="16" spans="1:29" ht="19.5" thickBot="1">
      <c r="A16" s="643">
        <f>Gen!B23</f>
        <v>0.1429</v>
      </c>
      <c r="B16" s="593">
        <f>Gen!A23</f>
        <v>44268</v>
      </c>
      <c r="C16" s="577"/>
      <c r="D16" s="582">
        <f t="shared" si="1"/>
        <v>9162</v>
      </c>
      <c r="E16" s="578">
        <v>9164.1</v>
      </c>
      <c r="F16" s="582">
        <f>SUM(E16-D16)*120</f>
        <v>252.00000000004366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8322</v>
      </c>
      <c r="Q16" s="577">
        <f t="shared" si="8"/>
        <v>0</v>
      </c>
      <c r="R16" s="627">
        <f t="shared" si="4"/>
        <v>0</v>
      </c>
      <c r="S16" s="628">
        <f>Gen!T23</f>
        <v>3154</v>
      </c>
      <c r="T16" s="629">
        <f t="shared" si="9"/>
        <v>44268</v>
      </c>
      <c r="U16" s="577"/>
      <c r="V16" s="582">
        <f t="shared" si="5"/>
        <v>8044.4</v>
      </c>
      <c r="W16" s="579">
        <v>8045.5</v>
      </c>
      <c r="X16" s="582">
        <f t="shared" si="0"/>
        <v>220.00000000007276</v>
      </c>
      <c r="Y16" s="624">
        <f t="shared" si="10"/>
        <v>44268</v>
      </c>
      <c r="Z16" s="577"/>
      <c r="AA16" s="577"/>
      <c r="AB16" s="581">
        <f>'Water-Meter'!P18</f>
        <v>21043</v>
      </c>
      <c r="AC16" s="634">
        <f t="shared" si="11"/>
        <v>-21037</v>
      </c>
    </row>
    <row r="17" spans="1:29" ht="19.5" thickBot="1">
      <c r="A17" s="643">
        <f>Gen!B24</f>
        <v>0.14000000000000001</v>
      </c>
      <c r="B17" s="593">
        <f>Gen!A24</f>
        <v>44269</v>
      </c>
      <c r="C17" s="577"/>
      <c r="D17" s="582">
        <f t="shared" si="1"/>
        <v>9164.1</v>
      </c>
      <c r="E17" s="578">
        <v>9166.4</v>
      </c>
      <c r="F17" s="582">
        <f>SUM(E17-D17)*120</f>
        <v>275.99999999991269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8324</v>
      </c>
      <c r="Q17" s="577">
        <f t="shared" si="8"/>
        <v>0</v>
      </c>
      <c r="R17" s="627">
        <f t="shared" si="4"/>
        <v>0</v>
      </c>
      <c r="S17" s="628">
        <f>Gen!T24</f>
        <v>3356</v>
      </c>
      <c r="T17" s="629">
        <f t="shared" si="9"/>
        <v>44269</v>
      </c>
      <c r="U17" s="577"/>
      <c r="V17" s="582">
        <f t="shared" si="5"/>
        <v>8045.5</v>
      </c>
      <c r="W17" s="579">
        <v>8047.3</v>
      </c>
      <c r="X17" s="582">
        <f t="shared" si="0"/>
        <v>360.00000000003638</v>
      </c>
      <c r="Y17" s="624">
        <f t="shared" si="10"/>
        <v>44269</v>
      </c>
      <c r="Z17" s="577"/>
      <c r="AA17" s="577"/>
      <c r="AB17" s="581">
        <f>'Water-Meter'!P19</f>
        <v>21049</v>
      </c>
      <c r="AC17" s="634">
        <f t="shared" si="11"/>
        <v>-21043</v>
      </c>
    </row>
    <row r="18" spans="1:29" ht="19.5" thickBot="1">
      <c r="A18" s="643">
        <f>Gen!B25</f>
        <v>9.0899999999999995E-2</v>
      </c>
      <c r="B18" s="593">
        <f>Gen!A25</f>
        <v>44270</v>
      </c>
      <c r="C18" s="577"/>
      <c r="D18" s="582">
        <f t="shared" si="1"/>
        <v>9166.4</v>
      </c>
      <c r="E18" s="578">
        <v>9168.5</v>
      </c>
      <c r="F18" s="582">
        <f t="shared" ref="F18:F22" si="12">SUM(E18-D18)*120</f>
        <v>252.00000000004366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8328</v>
      </c>
      <c r="P18" s="581">
        <f>'Water-Meter'!J20</f>
        <v>8328</v>
      </c>
      <c r="Q18" s="577">
        <f t="shared" si="8"/>
        <v>0</v>
      </c>
      <c r="R18" s="627">
        <f t="shared" si="4"/>
        <v>0</v>
      </c>
      <c r="S18" s="628">
        <f>Gen!T25</f>
        <v>3251</v>
      </c>
      <c r="T18" s="629">
        <f t="shared" si="9"/>
        <v>44270</v>
      </c>
      <c r="U18" s="577"/>
      <c r="V18" s="582">
        <f t="shared" si="5"/>
        <v>8047.3</v>
      </c>
      <c r="W18" s="579">
        <v>8049.3</v>
      </c>
      <c r="X18" s="582">
        <f t="shared" si="0"/>
        <v>400</v>
      </c>
      <c r="Y18" s="624">
        <f t="shared" si="10"/>
        <v>44270</v>
      </c>
      <c r="Z18" s="577"/>
      <c r="AA18" s="577"/>
      <c r="AB18" s="581">
        <f>'Water-Meter'!P20</f>
        <v>21055</v>
      </c>
      <c r="AC18" s="634">
        <f t="shared" si="11"/>
        <v>-21049</v>
      </c>
    </row>
    <row r="19" spans="1:29" ht="19.5" thickBot="1">
      <c r="A19" s="643">
        <f>Gen!B26</f>
        <v>7.7899999999999997E-2</v>
      </c>
      <c r="B19" s="593">
        <f>Gen!A26</f>
        <v>44271</v>
      </c>
      <c r="C19" s="580"/>
      <c r="D19" s="582">
        <f t="shared" si="1"/>
        <v>9168.5</v>
      </c>
      <c r="E19" s="578">
        <v>9170.4</v>
      </c>
      <c r="F19" s="582">
        <f t="shared" si="12"/>
        <v>227.99999999995634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8331</v>
      </c>
      <c r="P19" s="581">
        <f>'Water-Meter'!J21</f>
        <v>8331</v>
      </c>
      <c r="Q19" s="577">
        <f t="shared" si="8"/>
        <v>-8328</v>
      </c>
      <c r="R19" s="627">
        <f t="shared" si="4"/>
        <v>-5.1566563467492257</v>
      </c>
      <c r="S19" s="628">
        <f>Gen!T26</f>
        <v>2895</v>
      </c>
      <c r="T19" s="629">
        <f t="shared" si="9"/>
        <v>44271</v>
      </c>
      <c r="U19" s="580"/>
      <c r="V19" s="582">
        <f t="shared" si="5"/>
        <v>8049.3</v>
      </c>
      <c r="W19" s="579">
        <v>8051.2</v>
      </c>
      <c r="X19" s="582">
        <f t="shared" si="0"/>
        <v>379.99999999992724</v>
      </c>
      <c r="Y19" s="624">
        <f t="shared" si="10"/>
        <v>44271</v>
      </c>
      <c r="Z19" s="580"/>
      <c r="AA19" s="577"/>
      <c r="AB19" s="581">
        <f>'Water-Meter'!P21</f>
        <v>21057</v>
      </c>
      <c r="AC19" s="634">
        <f t="shared" si="11"/>
        <v>-21055</v>
      </c>
    </row>
    <row r="20" spans="1:29" ht="19.5" thickBot="1">
      <c r="A20" s="643">
        <f>Gen!B27</f>
        <v>6.4899999999999999E-2</v>
      </c>
      <c r="B20" s="593">
        <f>Gen!A27</f>
        <v>44272</v>
      </c>
      <c r="C20" s="580"/>
      <c r="D20" s="582">
        <f t="shared" si="1"/>
        <v>9170.4</v>
      </c>
      <c r="E20" s="578">
        <v>9172.4</v>
      </c>
      <c r="F20" s="582">
        <f t="shared" si="12"/>
        <v>240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8335</v>
      </c>
      <c r="P20" s="581">
        <f>'Water-Meter'!J22</f>
        <v>8335</v>
      </c>
      <c r="Q20" s="577">
        <f t="shared" si="8"/>
        <v>-8331</v>
      </c>
      <c r="R20" s="627">
        <f t="shared" si="4"/>
        <v>-5.1585139318885451</v>
      </c>
      <c r="S20" s="628">
        <f>Gen!T27</f>
        <v>2779</v>
      </c>
      <c r="T20" s="629">
        <f t="shared" si="9"/>
        <v>44272</v>
      </c>
      <c r="U20" s="580"/>
      <c r="V20" s="582">
        <f t="shared" si="5"/>
        <v>8051.2</v>
      </c>
      <c r="W20" s="579">
        <v>8052.5</v>
      </c>
      <c r="X20" s="582">
        <f t="shared" si="0"/>
        <v>260.00000000003638</v>
      </c>
      <c r="Y20" s="624">
        <f t="shared" si="10"/>
        <v>44272</v>
      </c>
      <c r="Z20" s="580"/>
      <c r="AA20" s="577"/>
      <c r="AB20" s="581">
        <f>'Water-Meter'!P22</f>
        <v>21060</v>
      </c>
      <c r="AC20" s="634">
        <f t="shared" si="11"/>
        <v>-21057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9172.4</v>
      </c>
      <c r="E21" s="578"/>
      <c r="F21" s="582">
        <f t="shared" si="12"/>
        <v>-1100688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0</v>
      </c>
      <c r="P21" s="581">
        <f>'Water-Meter'!J23</f>
        <v>0</v>
      </c>
      <c r="Q21" s="577">
        <f t="shared" ref="Q21:Q35" si="13">N21-O20</f>
        <v>-8335</v>
      </c>
      <c r="R21" s="627">
        <f t="shared" ref="R21:R35" si="14">SUM(Q21/1615)</f>
        <v>-5.1609907120743035</v>
      </c>
      <c r="S21" s="628">
        <f>Gen!T28</f>
        <v>0</v>
      </c>
      <c r="T21" s="629">
        <f t="shared" si="9"/>
        <v>44273</v>
      </c>
      <c r="U21" s="580"/>
      <c r="V21" s="582">
        <f t="shared" si="5"/>
        <v>8052.5</v>
      </c>
      <c r="W21" s="579"/>
      <c r="X21" s="582">
        <f t="shared" si="0"/>
        <v>-1610500</v>
      </c>
      <c r="Y21" s="624">
        <f t="shared" si="10"/>
        <v>44273</v>
      </c>
      <c r="Z21" s="580"/>
      <c r="AA21" s="577"/>
      <c r="AB21" s="581">
        <f>'Water-Meter'!P23</f>
        <v>0</v>
      </c>
      <c r="AC21" s="634">
        <f t="shared" si="11"/>
        <v>-21060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0</v>
      </c>
      <c r="E22" s="578"/>
      <c r="F22" s="582">
        <f t="shared" si="12"/>
        <v>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0</v>
      </c>
      <c r="P22" s="581">
        <f>'Water-Meter'!J24</f>
        <v>0</v>
      </c>
      <c r="Q22" s="577">
        <f t="shared" si="13"/>
        <v>0</v>
      </c>
      <c r="R22" s="627">
        <f t="shared" si="14"/>
        <v>0</v>
      </c>
      <c r="S22" s="628">
        <f>Gen!T29</f>
        <v>0</v>
      </c>
      <c r="T22" s="629">
        <f t="shared" si="9"/>
        <v>44274</v>
      </c>
      <c r="U22" s="577"/>
      <c r="V22" s="582">
        <f t="shared" si="5"/>
        <v>0</v>
      </c>
      <c r="W22" s="579"/>
      <c r="X22" s="582">
        <f t="shared" si="0"/>
        <v>0</v>
      </c>
      <c r="Y22" s="624">
        <f t="shared" si="10"/>
        <v>44274</v>
      </c>
      <c r="Z22" s="577"/>
      <c r="AA22" s="577"/>
      <c r="AB22" s="581">
        <f>'Water-Meter'!P24</f>
        <v>0</v>
      </c>
      <c r="AC22" s="634">
        <f t="shared" si="11"/>
        <v>0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0</v>
      </c>
      <c r="E23" s="578"/>
      <c r="F23" s="582">
        <f t="shared" ref="F23:F34" si="15">SUM(E23-D23)*120</f>
        <v>0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0</v>
      </c>
      <c r="P23" s="581">
        <f>'Water-Meter'!J25</f>
        <v>0</v>
      </c>
      <c r="Q23" s="577">
        <f t="shared" si="13"/>
        <v>0</v>
      </c>
      <c r="R23" s="627">
        <f t="shared" si="14"/>
        <v>0</v>
      </c>
      <c r="S23" s="628">
        <f>Gen!T30</f>
        <v>0</v>
      </c>
      <c r="T23" s="629">
        <f t="shared" si="9"/>
        <v>44275</v>
      </c>
      <c r="U23" s="580"/>
      <c r="V23" s="582">
        <f t="shared" si="5"/>
        <v>0</v>
      </c>
      <c r="W23" s="579"/>
      <c r="X23" s="582">
        <f t="shared" si="0"/>
        <v>0</v>
      </c>
      <c r="Y23" s="624">
        <f t="shared" si="10"/>
        <v>44275</v>
      </c>
      <c r="Z23" s="580"/>
      <c r="AA23" s="577"/>
      <c r="AB23" s="581">
        <f>'Water-Meter'!P25</f>
        <v>0</v>
      </c>
      <c r="AC23" s="634">
        <f t="shared" si="11"/>
        <v>0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0</v>
      </c>
      <c r="E24" s="578"/>
      <c r="F24" s="582">
        <f t="shared" si="15"/>
        <v>0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0</v>
      </c>
      <c r="P24" s="581">
        <f>'Water-Meter'!J26</f>
        <v>0</v>
      </c>
      <c r="Q24" s="577">
        <f t="shared" si="13"/>
        <v>0</v>
      </c>
      <c r="R24" s="627">
        <f t="shared" si="14"/>
        <v>0</v>
      </c>
      <c r="S24" s="628">
        <f>Gen!T31</f>
        <v>0</v>
      </c>
      <c r="T24" s="629">
        <f t="shared" si="9"/>
        <v>44276</v>
      </c>
      <c r="U24" s="580"/>
      <c r="V24" s="582">
        <f t="shared" si="5"/>
        <v>0</v>
      </c>
      <c r="W24" s="579"/>
      <c r="X24" s="582">
        <f t="shared" si="0"/>
        <v>0</v>
      </c>
      <c r="Y24" s="624">
        <f t="shared" si="10"/>
        <v>44276</v>
      </c>
      <c r="Z24" s="580"/>
      <c r="AA24" s="577"/>
      <c r="AB24" s="581">
        <f>'Water-Meter'!P26</f>
        <v>0</v>
      </c>
      <c r="AC24" s="634">
        <f t="shared" si="11"/>
        <v>0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0</v>
      </c>
      <c r="E25" s="578"/>
      <c r="F25" s="582">
        <f t="shared" si="15"/>
        <v>0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0</v>
      </c>
      <c r="P25" s="581">
        <f>'Water-Meter'!J27</f>
        <v>0</v>
      </c>
      <c r="Q25" s="577">
        <f t="shared" si="13"/>
        <v>0</v>
      </c>
      <c r="R25" s="627">
        <f t="shared" si="14"/>
        <v>0</v>
      </c>
      <c r="S25" s="628">
        <f>Gen!T32</f>
        <v>0</v>
      </c>
      <c r="T25" s="629">
        <f t="shared" si="9"/>
        <v>44277</v>
      </c>
      <c r="U25" s="580"/>
      <c r="V25" s="582">
        <f t="shared" si="5"/>
        <v>0</v>
      </c>
      <c r="W25" s="579"/>
      <c r="X25" s="582">
        <f t="shared" si="0"/>
        <v>0</v>
      </c>
      <c r="Y25" s="624">
        <f t="shared" si="10"/>
        <v>44277</v>
      </c>
      <c r="Z25" s="580"/>
      <c r="AA25" s="577"/>
      <c r="AB25" s="581">
        <f>'Water-Meter'!P27</f>
        <v>0</v>
      </c>
      <c r="AC25" s="634">
        <f t="shared" si="11"/>
        <v>0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0</v>
      </c>
      <c r="E26" s="578"/>
      <c r="F26" s="582">
        <f t="shared" si="15"/>
        <v>0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0</v>
      </c>
      <c r="P26" s="581">
        <f>'Water-Meter'!J28</f>
        <v>0</v>
      </c>
      <c r="Q26" s="577">
        <f t="shared" si="13"/>
        <v>0</v>
      </c>
      <c r="R26" s="627">
        <f t="shared" si="14"/>
        <v>0</v>
      </c>
      <c r="S26" s="628">
        <f>Gen!T33</f>
        <v>0</v>
      </c>
      <c r="T26" s="629">
        <f t="shared" si="9"/>
        <v>44278</v>
      </c>
      <c r="U26" s="580"/>
      <c r="V26" s="582">
        <f t="shared" si="5"/>
        <v>0</v>
      </c>
      <c r="W26" s="579"/>
      <c r="X26" s="582">
        <f t="shared" si="0"/>
        <v>0</v>
      </c>
      <c r="Y26" s="624">
        <f t="shared" si="10"/>
        <v>44278</v>
      </c>
      <c r="Z26" s="580"/>
      <c r="AA26" s="577"/>
      <c r="AB26" s="581">
        <f>'Water-Meter'!P28</f>
        <v>0</v>
      </c>
      <c r="AC26" s="634">
        <f t="shared" si="11"/>
        <v>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0</v>
      </c>
      <c r="E27" s="578"/>
      <c r="F27" s="582">
        <f t="shared" si="15"/>
        <v>0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0</v>
      </c>
      <c r="P27" s="581">
        <f>'Water-Meter'!J29</f>
        <v>0</v>
      </c>
      <c r="Q27" s="577">
        <f t="shared" si="13"/>
        <v>0</v>
      </c>
      <c r="R27" s="627">
        <f t="shared" si="14"/>
        <v>0</v>
      </c>
      <c r="S27" s="628">
        <f>Gen!T34</f>
        <v>0</v>
      </c>
      <c r="T27" s="629">
        <f t="shared" si="9"/>
        <v>44279</v>
      </c>
      <c r="U27" s="580"/>
      <c r="V27" s="582">
        <f t="shared" si="5"/>
        <v>0</v>
      </c>
      <c r="W27" s="579"/>
      <c r="X27" s="582">
        <f t="shared" si="0"/>
        <v>0</v>
      </c>
      <c r="Y27" s="624">
        <f t="shared" si="10"/>
        <v>44279</v>
      </c>
      <c r="Z27" s="580"/>
      <c r="AA27" s="577"/>
      <c r="AB27" s="581">
        <f>'Water-Meter'!P29</f>
        <v>0</v>
      </c>
      <c r="AC27" s="634">
        <f t="shared" si="11"/>
        <v>0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0</v>
      </c>
      <c r="E28" s="578"/>
      <c r="F28" s="582">
        <f t="shared" si="15"/>
        <v>0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0</v>
      </c>
      <c r="P28" s="581">
        <f>'Water-Meter'!J30</f>
        <v>0</v>
      </c>
      <c r="Q28" s="577">
        <f t="shared" si="13"/>
        <v>0</v>
      </c>
      <c r="R28" s="627">
        <f t="shared" si="14"/>
        <v>0</v>
      </c>
      <c r="S28" s="628">
        <f>Gen!T35</f>
        <v>0</v>
      </c>
      <c r="T28" s="629">
        <f t="shared" si="9"/>
        <v>44280</v>
      </c>
      <c r="U28" s="580"/>
      <c r="V28" s="582">
        <f t="shared" si="5"/>
        <v>0</v>
      </c>
      <c r="W28" s="579"/>
      <c r="X28" s="582">
        <f t="shared" si="0"/>
        <v>0</v>
      </c>
      <c r="Y28" s="624">
        <f t="shared" si="10"/>
        <v>44280</v>
      </c>
      <c r="Z28" s="580"/>
      <c r="AA28" s="577"/>
      <c r="AB28" s="581">
        <f>'Water-Meter'!P30</f>
        <v>0</v>
      </c>
      <c r="AC28" s="634">
        <f t="shared" si="11"/>
        <v>0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0</v>
      </c>
      <c r="E29" s="578"/>
      <c r="F29" s="582">
        <f t="shared" si="15"/>
        <v>0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0</v>
      </c>
      <c r="P29" s="581">
        <f>'Water-Meter'!J31</f>
        <v>0</v>
      </c>
      <c r="Q29" s="577">
        <f t="shared" si="13"/>
        <v>0</v>
      </c>
      <c r="R29" s="627">
        <f t="shared" si="14"/>
        <v>0</v>
      </c>
      <c r="S29" s="628">
        <f>Gen!T36</f>
        <v>0</v>
      </c>
      <c r="T29" s="629">
        <f t="shared" si="9"/>
        <v>44281</v>
      </c>
      <c r="U29" s="580"/>
      <c r="V29" s="582">
        <f t="shared" si="5"/>
        <v>0</v>
      </c>
      <c r="W29" s="579"/>
      <c r="X29" s="582">
        <f t="shared" si="0"/>
        <v>0</v>
      </c>
      <c r="Y29" s="624">
        <f t="shared" si="10"/>
        <v>44281</v>
      </c>
      <c r="Z29" s="580"/>
      <c r="AA29" s="577"/>
      <c r="AB29" s="581">
        <f>'Water-Meter'!P31</f>
        <v>0</v>
      </c>
      <c r="AC29" s="634">
        <f t="shared" si="11"/>
        <v>0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0</v>
      </c>
      <c r="E30" s="578"/>
      <c r="F30" s="582">
        <f t="shared" si="15"/>
        <v>0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0</v>
      </c>
      <c r="P30" s="581">
        <f>'Water-Meter'!J32</f>
        <v>0</v>
      </c>
      <c r="Q30" s="577">
        <f t="shared" si="13"/>
        <v>0</v>
      </c>
      <c r="R30" s="627">
        <f t="shared" si="14"/>
        <v>0</v>
      </c>
      <c r="S30" s="628">
        <f>Gen!T37</f>
        <v>0</v>
      </c>
      <c r="T30" s="629">
        <f t="shared" si="9"/>
        <v>44282</v>
      </c>
      <c r="U30" s="580"/>
      <c r="V30" s="582">
        <f t="shared" si="5"/>
        <v>0</v>
      </c>
      <c r="W30" s="579"/>
      <c r="X30" s="582">
        <f t="shared" si="0"/>
        <v>0</v>
      </c>
      <c r="Y30" s="624">
        <f t="shared" si="10"/>
        <v>44282</v>
      </c>
      <c r="Z30" s="580"/>
      <c r="AA30" s="577"/>
      <c r="AB30" s="581">
        <f>'Water-Meter'!P32</f>
        <v>0</v>
      </c>
      <c r="AC30" s="634">
        <f t="shared" si="11"/>
        <v>0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0</v>
      </c>
      <c r="E31" s="578"/>
      <c r="F31" s="582">
        <f t="shared" si="15"/>
        <v>0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0</v>
      </c>
      <c r="R31" s="627">
        <f t="shared" si="14"/>
        <v>0</v>
      </c>
      <c r="S31" s="628">
        <f>Gen!T38</f>
        <v>0</v>
      </c>
      <c r="T31" s="629">
        <f t="shared" si="9"/>
        <v>44283</v>
      </c>
      <c r="U31" s="580"/>
      <c r="V31" s="582">
        <f t="shared" si="5"/>
        <v>0</v>
      </c>
      <c r="W31" s="579"/>
      <c r="X31" s="582">
        <f t="shared" si="0"/>
        <v>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0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8">
        <f>A5</f>
        <v>44256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</row>
    <row r="2" spans="1:13">
      <c r="A2" s="879"/>
      <c r="B2" s="879"/>
      <c r="C2" s="879"/>
      <c r="D2" s="879"/>
      <c r="E2" s="879"/>
      <c r="F2" s="879"/>
      <c r="G2" s="879"/>
      <c r="H2" s="879"/>
      <c r="I2" s="879"/>
      <c r="J2" s="879"/>
      <c r="K2" s="879"/>
      <c r="L2" s="879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0.01</v>
      </c>
      <c r="D5" s="647">
        <f t="shared" ref="D5:D36" si="0">E5</f>
        <v>1.3</v>
      </c>
      <c r="E5" s="648">
        <v>1.3</v>
      </c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66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2.5999999999999999E-2</v>
      </c>
      <c r="D6" s="434">
        <f t="shared" si="0"/>
        <v>2.6</v>
      </c>
      <c r="E6" s="74">
        <v>2.6</v>
      </c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64.811999999982078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2.5999999999999999E-2</v>
      </c>
      <c r="D7" s="434">
        <f t="shared" si="0"/>
        <v>2.6</v>
      </c>
      <c r="E7" s="74">
        <v>2.6</v>
      </c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65.912000000046106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5.1900000000000002E-2</v>
      </c>
      <c r="D8" s="434">
        <f>E8</f>
        <v>5.19</v>
      </c>
      <c r="E8" s="74">
        <v>5.19</v>
      </c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61.600000000000009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6.5000000000000002E-2</v>
      </c>
      <c r="D9" s="434">
        <f t="shared" si="0"/>
        <v>7.79</v>
      </c>
      <c r="E9" s="74">
        <v>7.79</v>
      </c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68.947999999992319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24</v>
      </c>
      <c r="C10" s="87">
        <f>Gen!B16</f>
        <v>5.1999999999999998E-2</v>
      </c>
      <c r="D10" s="434">
        <f t="shared" si="0"/>
        <v>5.19</v>
      </c>
      <c r="E10" s="74">
        <v>5.19</v>
      </c>
      <c r="F10" s="70">
        <f>Gen!U16</f>
        <v>0.40692591227423519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>
        <f>'Water-Meter'!E11</f>
        <v>64</v>
      </c>
      <c r="L10" s="654">
        <f>'Lpg (2)'!G15</f>
        <v>65.559999999974394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24</v>
      </c>
      <c r="C11" s="87">
        <f>Gen!B17</f>
        <v>0.1169</v>
      </c>
      <c r="D11" s="434">
        <f t="shared" si="0"/>
        <v>11.69</v>
      </c>
      <c r="E11" s="74">
        <v>11.69</v>
      </c>
      <c r="F11" s="70">
        <f>Gen!U17</f>
        <v>0.40235210768685792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37297.33</v>
      </c>
      <c r="K11" s="295">
        <f>'Water-Meter'!E12</f>
        <v>60</v>
      </c>
      <c r="L11" s="654">
        <f>'Lpg (2)'!G16</f>
        <v>61.776000000035864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24</v>
      </c>
      <c r="C12" s="87">
        <f>Gen!B18</f>
        <v>0.12989999999999999</v>
      </c>
      <c r="D12" s="434">
        <f t="shared" si="0"/>
        <v>12.99</v>
      </c>
      <c r="E12" s="74">
        <v>12.99</v>
      </c>
      <c r="F12" s="70">
        <f>Gen!U18</f>
        <v>0.41578492935635797</v>
      </c>
      <c r="G12" s="85">
        <f>Gen!T16</f>
        <v>2713</v>
      </c>
      <c r="H12" s="85">
        <f>Gen!AK18</f>
        <v>0</v>
      </c>
      <c r="I12" s="85">
        <f t="shared" si="1"/>
        <v>2713</v>
      </c>
      <c r="J12" s="446">
        <f>Gen!C18</f>
        <v>36098.58</v>
      </c>
      <c r="K12" s="295">
        <f>'Water-Meter'!E13</f>
        <v>50</v>
      </c>
      <c r="L12" s="654">
        <f>'Lpg (2)'!G17</f>
        <v>74.975999999971833</v>
      </c>
      <c r="M12" s="79" t="e">
        <f>SUM(#REF!-#REF!)</f>
        <v>#REF!</v>
      </c>
    </row>
    <row r="13" spans="1:13">
      <c r="A13" s="663">
        <f>Gen!A19</f>
        <v>44264</v>
      </c>
      <c r="B13" s="653">
        <f>'Daily report Gen'!Z14</f>
        <v>25</v>
      </c>
      <c r="C13" s="87">
        <f>Gen!B19</f>
        <v>0.15579999999999999</v>
      </c>
      <c r="D13" s="434">
        <f t="shared" si="0"/>
        <v>15.58</v>
      </c>
      <c r="E13" s="74">
        <v>15.58</v>
      </c>
      <c r="F13" s="70">
        <f>Gen!U19</f>
        <v>0.41022905982905983</v>
      </c>
      <c r="G13" s="85">
        <f>Gen!T17</f>
        <v>2823</v>
      </c>
      <c r="H13" s="85">
        <f>Gen!AK19</f>
        <v>0</v>
      </c>
      <c r="I13" s="85">
        <f t="shared" si="1"/>
        <v>2823</v>
      </c>
      <c r="J13" s="446">
        <f>Gen!C19</f>
        <v>35039.160000000003</v>
      </c>
      <c r="K13" s="295">
        <f>'Water-Meter'!E14</f>
        <v>43</v>
      </c>
      <c r="L13" s="654">
        <f>'Lpg (2)'!G18</f>
        <v>82.279999999987197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0.15579999999999999</v>
      </c>
      <c r="D14" s="434">
        <f t="shared" si="0"/>
        <v>15.58</v>
      </c>
      <c r="E14" s="74">
        <v>15.58</v>
      </c>
      <c r="F14" s="70">
        <f>Gen!U20</f>
        <v>0.41823377581120946</v>
      </c>
      <c r="G14" s="85">
        <f>Gen!T18</f>
        <v>2548</v>
      </c>
      <c r="H14" s="85">
        <f>Gen!AK20</f>
        <v>0</v>
      </c>
      <c r="I14" s="85">
        <f t="shared" si="1"/>
        <v>2548</v>
      </c>
      <c r="J14" s="446">
        <f>Gen!C20</f>
        <v>33773.240000000005</v>
      </c>
      <c r="K14" s="295">
        <f>'Water-Meter'!E15</f>
        <v>27</v>
      </c>
      <c r="L14" s="654">
        <f>'Lpg (2)'!G19</f>
        <v>93.94000000002562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25</v>
      </c>
      <c r="C15" s="87">
        <f>Gen!B21</f>
        <v>0.1169</v>
      </c>
      <c r="D15" s="434">
        <f t="shared" si="0"/>
        <v>11.69</v>
      </c>
      <c r="E15" s="74">
        <v>11.69</v>
      </c>
      <c r="F15" s="70">
        <f>Gen!U21</f>
        <v>0.39892236024844718</v>
      </c>
      <c r="G15" s="85">
        <f>Gen!T19</f>
        <v>2925</v>
      </c>
      <c r="H15" s="85">
        <f>Gen!AK21</f>
        <v>0</v>
      </c>
      <c r="I15" s="85">
        <f t="shared" si="1"/>
        <v>2925</v>
      </c>
      <c r="J15" s="446">
        <f>Gen!C21</f>
        <v>32353.720000000005</v>
      </c>
      <c r="K15" s="295">
        <f>'Water-Meter'!E16</f>
        <v>60</v>
      </c>
      <c r="L15" s="654">
        <f>'Lpg (2)'!G20</f>
        <v>104.58799999995391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24</v>
      </c>
      <c r="C16" s="87">
        <f>Gen!B22</f>
        <v>0.12989999999999999</v>
      </c>
      <c r="D16" s="434">
        <f t="shared" si="0"/>
        <v>12.99</v>
      </c>
      <c r="E16" s="74">
        <v>12.99</v>
      </c>
      <c r="F16" s="70">
        <f>Gen!U22</f>
        <v>0.40176416256157638</v>
      </c>
      <c r="G16" s="85">
        <f>Gen!T20</f>
        <v>2712</v>
      </c>
      <c r="H16" s="85">
        <f>Gen!AK22</f>
        <v>0</v>
      </c>
      <c r="I16" s="85">
        <f t="shared" si="1"/>
        <v>2712</v>
      </c>
      <c r="J16" s="446">
        <f>Gen!C22</f>
        <v>31036.340000000004</v>
      </c>
      <c r="K16" s="295">
        <f>'Water-Meter'!E17</f>
        <v>65</v>
      </c>
      <c r="L16" s="654">
        <f>'Lpg (2)'!G21</f>
        <v>84.568000000005128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23</v>
      </c>
      <c r="C17" s="87">
        <f>Gen!B23</f>
        <v>0.1429</v>
      </c>
      <c r="D17" s="434">
        <f t="shared" si="0"/>
        <v>14.29</v>
      </c>
      <c r="E17" s="74">
        <v>14.29</v>
      </c>
      <c r="F17" s="70">
        <f>Gen!U23</f>
        <v>0.41139822447685476</v>
      </c>
      <c r="G17" s="85">
        <f>Gen!T21</f>
        <v>3220</v>
      </c>
      <c r="H17" s="85">
        <f>Gen!AK23</f>
        <v>0</v>
      </c>
      <c r="I17" s="85">
        <f t="shared" si="1"/>
        <v>3220</v>
      </c>
      <c r="J17" s="446">
        <f>Gen!C23</f>
        <v>44373.790000000008</v>
      </c>
      <c r="K17" s="295">
        <f>'Water-Meter'!E18</f>
        <v>75</v>
      </c>
      <c r="L17" s="654">
        <f>'Lpg (2)'!G22</f>
        <v>79.464000000053787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25</v>
      </c>
      <c r="C18" s="87">
        <f>Gen!B24</f>
        <v>0.14000000000000001</v>
      </c>
      <c r="D18" s="434">
        <f t="shared" si="0"/>
        <v>14.29</v>
      </c>
      <c r="E18" s="74">
        <v>14.29</v>
      </c>
      <c r="F18" s="70">
        <f>Gen!U24</f>
        <v>0.40690107270560189</v>
      </c>
      <c r="G18" s="85">
        <f>Gen!T22</f>
        <v>3248</v>
      </c>
      <c r="H18" s="85">
        <f>Gen!AK24</f>
        <v>0</v>
      </c>
      <c r="I18" s="85">
        <f t="shared" si="1"/>
        <v>3248</v>
      </c>
      <c r="J18" s="446">
        <f>Gen!C24</f>
        <v>42952.210000000006</v>
      </c>
      <c r="K18" s="295">
        <f>'Water-Meter'!E19</f>
        <v>74</v>
      </c>
      <c r="L18" s="654">
        <f>'Lpg (2)'!G23</f>
        <v>79.023999999964147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25</v>
      </c>
      <c r="C19" s="87">
        <f>Gen!B25</f>
        <v>9.0899999999999995E-2</v>
      </c>
      <c r="D19" s="434">
        <f t="shared" si="0"/>
        <v>9.09</v>
      </c>
      <c r="E19" s="74">
        <v>9.09</v>
      </c>
      <c r="F19" s="70">
        <f>Gen!U25</f>
        <v>0.40051984004921559</v>
      </c>
      <c r="G19" s="85">
        <f>Gen!T23</f>
        <v>3154</v>
      </c>
      <c r="H19" s="85">
        <f>Gen!AK25</f>
        <v>0</v>
      </c>
      <c r="I19" s="85">
        <f t="shared" si="1"/>
        <v>3154</v>
      </c>
      <c r="J19" s="446">
        <f>Gen!C25</f>
        <v>41500.590000000004</v>
      </c>
      <c r="K19" s="295">
        <f>'Water-Meter'!E20</f>
        <v>74</v>
      </c>
      <c r="L19" s="654">
        <f>'Lpg (2)'!G24</f>
        <v>88.660000000038423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24</v>
      </c>
      <c r="C20" s="87">
        <f>Gen!B26</f>
        <v>7.7899999999999997E-2</v>
      </c>
      <c r="D20" s="434">
        <f t="shared" si="0"/>
        <v>7.79</v>
      </c>
      <c r="E20" s="74">
        <v>7.79</v>
      </c>
      <c r="F20" s="70">
        <f>Gen!U26</f>
        <v>0.41088773747841106</v>
      </c>
      <c r="G20" s="85">
        <f>Gen!T24</f>
        <v>3356</v>
      </c>
      <c r="H20" s="85">
        <f>Gen!AK26</f>
        <v>0</v>
      </c>
      <c r="I20" s="85">
        <f t="shared" si="1"/>
        <v>3356</v>
      </c>
      <c r="J20" s="446">
        <f>Gen!C26</f>
        <v>40033.94</v>
      </c>
      <c r="K20" s="295">
        <f>'Water-Meter'!E21</f>
        <v>60</v>
      </c>
      <c r="L20" s="654">
        <f>'Lpg (2)'!G25</f>
        <v>64.371999999956472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24</v>
      </c>
      <c r="C21" s="87">
        <f>Gen!B27</f>
        <v>6.4899999999999999E-2</v>
      </c>
      <c r="D21" s="434">
        <f t="shared" si="0"/>
        <v>6.49</v>
      </c>
      <c r="E21" s="74">
        <v>6.49</v>
      </c>
      <c r="F21" s="70">
        <f>Gen!U27</f>
        <v>0.37978409499820082</v>
      </c>
      <c r="G21" s="85">
        <f>Gen!T25</f>
        <v>3251</v>
      </c>
      <c r="H21" s="85">
        <f>Gen!AK27</f>
        <v>0</v>
      </c>
      <c r="I21" s="85">
        <f t="shared" si="1"/>
        <v>3251</v>
      </c>
      <c r="J21" s="446">
        <f>Gen!C27</f>
        <v>38844.420000000006</v>
      </c>
      <c r="K21" s="295">
        <f>'Water-Meter'!E22</f>
        <v>64</v>
      </c>
      <c r="L21" s="654">
        <f>'Lpg (2)'!G26</f>
        <v>81.620000000012809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-158573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2895</v>
      </c>
      <c r="H22" s="85">
        <f>Gen!AK28</f>
        <v>0</v>
      </c>
      <c r="I22" s="85">
        <f t="shared" si="1"/>
        <v>2895</v>
      </c>
      <c r="J22" s="446">
        <f>Gen!C28</f>
        <v>37749.620000000003</v>
      </c>
      <c r="K22" s="295" t="str">
        <f>'Water-Meter'!E23</f>
        <v>0</v>
      </c>
      <c r="L22" s="654">
        <f>'Lpg (2)'!G27</f>
        <v>66.395999999984639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2779</v>
      </c>
      <c r="H23" s="85">
        <f>Gen!AK29</f>
        <v>0</v>
      </c>
      <c r="I23" s="85">
        <f t="shared" si="1"/>
        <v>2779</v>
      </c>
      <c r="J23" s="446">
        <f>Gen!C29</f>
        <v>37749.620000000003</v>
      </c>
      <c r="K23" s="295">
        <f>'Water-Meter'!E24</f>
        <v>0</v>
      </c>
      <c r="L23" s="654">
        <f>'Lpg (2)'!G28</f>
        <v>-332296.09600000002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37749.620000000003</v>
      </c>
      <c r="K24" s="295">
        <f>'Water-Meter'!E25</f>
        <v>0</v>
      </c>
      <c r="L24" s="654">
        <f>'Lpg (2)'!G29</f>
        <v>0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37749.620000000003</v>
      </c>
      <c r="K25" s="295">
        <f>'Water-Meter'!E26</f>
        <v>0</v>
      </c>
      <c r="L25" s="654">
        <f>'Lpg (2)'!G30</f>
        <v>0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37749.620000000003</v>
      </c>
      <c r="K26" s="295">
        <f>'Water-Meter'!E27</f>
        <v>0</v>
      </c>
      <c r="L26" s="654">
        <f>'Lpg (2)'!G31</f>
        <v>0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37749.620000000003</v>
      </c>
      <c r="K27" s="295">
        <f>'Water-Meter'!E28</f>
        <v>0</v>
      </c>
      <c r="L27" s="654">
        <f>'Lpg (2)'!G32</f>
        <v>0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37749.620000000003</v>
      </c>
      <c r="K28" s="295">
        <f>'Water-Meter'!E29</f>
        <v>0</v>
      </c>
      <c r="L28" s="654">
        <f>'Lpg (2)'!G33</f>
        <v>0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37749.620000000003</v>
      </c>
      <c r="K29" s="295">
        <f>'Water-Meter'!E30</f>
        <v>0</v>
      </c>
      <c r="L29" s="654">
        <f>'Lpg (2)'!G34</f>
        <v>0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37749.620000000003</v>
      </c>
      <c r="K30" s="295">
        <f>'Water-Meter'!E31</f>
        <v>0</v>
      </c>
      <c r="L30" s="654">
        <f>'Lpg (2)'!G35</f>
        <v>0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37749.620000000003</v>
      </c>
      <c r="K31" s="295">
        <f>'Water-Meter'!E32</f>
        <v>0</v>
      </c>
      <c r="L31" s="654">
        <f>'Lpg (2)'!G36</f>
        <v>0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37749.620000000003</v>
      </c>
      <c r="K32" s="295">
        <f>'Water-Meter'!E33</f>
        <v>0</v>
      </c>
      <c r="L32" s="654">
        <f>'Lpg (2)'!G37</f>
        <v>0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37749.620000000003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37749.620000000003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37749.620000000003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37749.620000000003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4" sqref="AB2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80">
        <f>A6</f>
        <v>44256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  <c r="P1" s="881"/>
      <c r="Q1" s="881"/>
      <c r="R1" s="881"/>
      <c r="S1" s="881"/>
      <c r="T1" s="881"/>
      <c r="U1" s="881"/>
      <c r="V1" s="881"/>
      <c r="W1" s="881"/>
      <c r="X1" s="881"/>
      <c r="Y1" s="881"/>
      <c r="Z1" s="881"/>
      <c r="AA1" s="881"/>
      <c r="AB1" s="881"/>
      <c r="AC1" s="19"/>
    </row>
    <row r="2" spans="1:29" ht="12" customHeight="1" thickBot="1">
      <c r="A2" s="881"/>
      <c r="B2" s="881"/>
      <c r="C2" s="881"/>
      <c r="D2" s="881"/>
      <c r="E2" s="881"/>
      <c r="F2" s="881"/>
      <c r="G2" s="881"/>
      <c r="H2" s="881"/>
      <c r="I2" s="881"/>
      <c r="J2" s="881"/>
      <c r="K2" s="881"/>
      <c r="L2" s="881"/>
      <c r="M2" s="881"/>
      <c r="N2" s="881"/>
      <c r="O2" s="881"/>
      <c r="P2" s="881"/>
      <c r="Q2" s="881"/>
      <c r="R2" s="881"/>
      <c r="S2" s="881"/>
      <c r="T2" s="881"/>
      <c r="U2" s="881"/>
      <c r="V2" s="881"/>
      <c r="W2" s="881"/>
      <c r="X2" s="881"/>
      <c r="Y2" s="881"/>
      <c r="Z2" s="881"/>
      <c r="AA2" s="881"/>
      <c r="AB2" s="881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82" t="s">
        <v>298</v>
      </c>
      <c r="L3" s="883"/>
      <c r="M3" s="884"/>
      <c r="N3" s="882" t="s">
        <v>299</v>
      </c>
      <c r="O3" s="883"/>
      <c r="P3" s="884"/>
      <c r="Q3" s="882" t="s">
        <v>300</v>
      </c>
      <c r="R3" s="883"/>
      <c r="S3" s="884"/>
      <c r="T3" s="882" t="s">
        <v>301</v>
      </c>
      <c r="U3" s="883"/>
      <c r="V3" s="884"/>
      <c r="W3" s="882" t="s">
        <v>302</v>
      </c>
      <c r="X3" s="883"/>
      <c r="Y3" s="884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7" t="s">
        <v>191</v>
      </c>
      <c r="R4" s="339" t="s">
        <v>192</v>
      </c>
      <c r="S4" s="828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6">
        <v>30832</v>
      </c>
      <c r="P5" s="686"/>
      <c r="Q5" s="675"/>
      <c r="R5" s="305">
        <v>36102</v>
      </c>
      <c r="S5" s="686"/>
      <c r="T5" s="675"/>
      <c r="U5" s="826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6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6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6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 thickBo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>
        <v>35947</v>
      </c>
      <c r="M11" s="304">
        <f t="shared" si="1"/>
        <v>24</v>
      </c>
      <c r="N11" s="306">
        <f t="shared" si="2"/>
        <v>30857</v>
      </c>
      <c r="O11" s="125">
        <v>30857</v>
      </c>
      <c r="P11" s="304">
        <f t="shared" si="3"/>
        <v>0</v>
      </c>
      <c r="Q11" s="304">
        <f t="shared" si="4"/>
        <v>36126</v>
      </c>
      <c r="R11" s="305">
        <v>36126</v>
      </c>
      <c r="S11" s="304">
        <f t="shared" si="5"/>
        <v>0</v>
      </c>
      <c r="T11" s="304">
        <f t="shared" si="6"/>
        <v>33367</v>
      </c>
      <c r="U11" s="125">
        <v>33367</v>
      </c>
      <c r="V11" s="304">
        <f t="shared" si="7"/>
        <v>0</v>
      </c>
      <c r="W11" s="306">
        <f t="shared" si="8"/>
        <v>22009</v>
      </c>
      <c r="X11" s="305">
        <v>22009</v>
      </c>
      <c r="Y11" s="304">
        <f t="shared" si="9"/>
        <v>0</v>
      </c>
      <c r="Z11" s="307">
        <f t="shared" si="10"/>
        <v>24</v>
      </c>
      <c r="AA11" s="125">
        <v>300</v>
      </c>
      <c r="AB11" s="125">
        <v>115</v>
      </c>
      <c r="AC11" s="689">
        <f>Gen!AR16</f>
        <v>1190.5</v>
      </c>
    </row>
    <row r="12" spans="1:29" ht="20.100000000000001" customHeight="1" thickBot="1">
      <c r="A12" s="682">
        <f>Gen!A17</f>
        <v>44262</v>
      </c>
      <c r="B12" s="677"/>
      <c r="C12" s="793">
        <v>15024.33</v>
      </c>
      <c r="D12" s="675">
        <v>22273</v>
      </c>
      <c r="E12" s="491"/>
      <c r="F12" s="305"/>
      <c r="G12" s="305">
        <v>62.91</v>
      </c>
      <c r="H12" s="305"/>
      <c r="I12" s="305">
        <v>31727.5</v>
      </c>
      <c r="J12" s="678">
        <v>21132.6</v>
      </c>
      <c r="K12" s="688">
        <f t="shared" si="0"/>
        <v>35947</v>
      </c>
      <c r="L12" s="305">
        <v>35947</v>
      </c>
      <c r="M12" s="304">
        <f t="shared" si="1"/>
        <v>0</v>
      </c>
      <c r="N12" s="306">
        <f t="shared" si="2"/>
        <v>30857</v>
      </c>
      <c r="O12" s="125">
        <v>30857</v>
      </c>
      <c r="P12" s="304">
        <f t="shared" si="3"/>
        <v>0</v>
      </c>
      <c r="Q12" s="304">
        <f t="shared" si="4"/>
        <v>36126</v>
      </c>
      <c r="R12" s="305">
        <v>36126</v>
      </c>
      <c r="S12" s="304">
        <f t="shared" si="5"/>
        <v>0</v>
      </c>
      <c r="T12" s="304">
        <f t="shared" si="6"/>
        <v>33367</v>
      </c>
      <c r="U12" s="305">
        <v>33391</v>
      </c>
      <c r="V12" s="304">
        <f t="shared" si="7"/>
        <v>24</v>
      </c>
      <c r="W12" s="306">
        <f t="shared" si="8"/>
        <v>22009</v>
      </c>
      <c r="X12" s="305">
        <v>22009</v>
      </c>
      <c r="Y12" s="304">
        <f t="shared" si="9"/>
        <v>0</v>
      </c>
      <c r="Z12" s="307">
        <f t="shared" si="10"/>
        <v>24</v>
      </c>
      <c r="AA12" s="125">
        <v>210</v>
      </c>
      <c r="AB12" s="125">
        <v>117</v>
      </c>
      <c r="AC12" s="689">
        <f>Gen!AR17</f>
        <v>1198.75</v>
      </c>
    </row>
    <row r="13" spans="1:29" ht="20.100000000000001" customHeight="1" thickBot="1">
      <c r="A13" s="682">
        <f>Gen!A18</f>
        <v>44263</v>
      </c>
      <c r="B13" s="677"/>
      <c r="C13" s="793">
        <v>13825.58</v>
      </c>
      <c r="D13" s="675">
        <v>22273</v>
      </c>
      <c r="E13" s="491"/>
      <c r="F13" s="305"/>
      <c r="G13" s="305"/>
      <c r="H13" s="305"/>
      <c r="I13" s="305">
        <v>31731.8</v>
      </c>
      <c r="J13" s="678">
        <v>21136.3</v>
      </c>
      <c r="K13" s="688">
        <f t="shared" si="0"/>
        <v>35947</v>
      </c>
      <c r="L13" s="305">
        <v>35947</v>
      </c>
      <c r="M13" s="304">
        <f t="shared" si="1"/>
        <v>0</v>
      </c>
      <c r="N13" s="306">
        <f t="shared" si="2"/>
        <v>30857</v>
      </c>
      <c r="O13" s="125">
        <v>30857</v>
      </c>
      <c r="P13" s="304">
        <f>O14-N13</f>
        <v>0</v>
      </c>
      <c r="Q13" s="304">
        <f t="shared" si="4"/>
        <v>36126</v>
      </c>
      <c r="R13" s="125">
        <v>36150</v>
      </c>
      <c r="S13" s="304">
        <f t="shared" si="5"/>
        <v>24</v>
      </c>
      <c r="T13" s="304">
        <f t="shared" si="6"/>
        <v>33391</v>
      </c>
      <c r="U13" s="305">
        <v>33391</v>
      </c>
      <c r="V13" s="304">
        <f t="shared" si="7"/>
        <v>0</v>
      </c>
      <c r="W13" s="306">
        <f t="shared" si="8"/>
        <v>22009</v>
      </c>
      <c r="X13" s="305">
        <v>22009</v>
      </c>
      <c r="Y13" s="304">
        <f t="shared" si="9"/>
        <v>0</v>
      </c>
      <c r="Z13" s="307">
        <f t="shared" si="10"/>
        <v>24</v>
      </c>
      <c r="AA13" s="125">
        <v>225</v>
      </c>
      <c r="AB13" s="125">
        <v>110</v>
      </c>
      <c r="AC13" s="689">
        <f>Gen!AR18</f>
        <v>1059.42</v>
      </c>
    </row>
    <row r="14" spans="1:29" ht="20.100000000000001" customHeight="1" thickBot="1">
      <c r="A14" s="682">
        <f>Gen!A19</f>
        <v>44264</v>
      </c>
      <c r="B14" s="677"/>
      <c r="C14" s="793">
        <v>12766.16</v>
      </c>
      <c r="D14" s="675">
        <v>22273</v>
      </c>
      <c r="E14" s="491"/>
      <c r="F14" s="305"/>
      <c r="G14" s="305">
        <v>66</v>
      </c>
      <c r="H14" s="305"/>
      <c r="I14" s="305">
        <v>31735.8</v>
      </c>
      <c r="J14" s="678">
        <v>21139.5</v>
      </c>
      <c r="K14" s="688">
        <f t="shared" si="0"/>
        <v>35947</v>
      </c>
      <c r="L14" s="305">
        <v>35947</v>
      </c>
      <c r="M14" s="304">
        <f t="shared" si="1"/>
        <v>0</v>
      </c>
      <c r="N14" s="306">
        <f>O14</f>
        <v>30857</v>
      </c>
      <c r="O14" s="125">
        <v>30857</v>
      </c>
      <c r="P14" s="304">
        <f t="shared" ref="P14:P15" si="11">O15-N14</f>
        <v>0</v>
      </c>
      <c r="Q14" s="304">
        <f t="shared" si="4"/>
        <v>36150</v>
      </c>
      <c r="R14" s="125">
        <v>36150</v>
      </c>
      <c r="S14" s="304">
        <f t="shared" si="5"/>
        <v>0</v>
      </c>
      <c r="T14" s="304">
        <f t="shared" si="6"/>
        <v>33391</v>
      </c>
      <c r="U14" s="305">
        <v>33391</v>
      </c>
      <c r="V14" s="304">
        <f t="shared" si="7"/>
        <v>0</v>
      </c>
      <c r="W14" s="306">
        <f t="shared" si="8"/>
        <v>22009</v>
      </c>
      <c r="X14" s="305">
        <v>22034</v>
      </c>
      <c r="Y14" s="304">
        <f t="shared" si="9"/>
        <v>25</v>
      </c>
      <c r="Z14" s="307">
        <f t="shared" si="10"/>
        <v>25</v>
      </c>
      <c r="AA14" s="125">
        <v>230</v>
      </c>
      <c r="AB14" s="125">
        <v>125</v>
      </c>
      <c r="AC14" s="689">
        <f>Gen!AR19</f>
        <v>1265.92</v>
      </c>
    </row>
    <row r="15" spans="1:29" ht="20.100000000000001" customHeight="1" thickBot="1">
      <c r="A15" s="682">
        <f>Gen!A20</f>
        <v>44265</v>
      </c>
      <c r="B15" s="677"/>
      <c r="C15" s="793">
        <v>11500.24</v>
      </c>
      <c r="D15" s="675">
        <v>22273</v>
      </c>
      <c r="E15" s="491"/>
      <c r="F15" s="305"/>
      <c r="G15" s="305">
        <v>285.27</v>
      </c>
      <c r="H15" s="305"/>
      <c r="I15" s="305">
        <v>31740.400000000001</v>
      </c>
      <c r="J15" s="678">
        <v>21143.1</v>
      </c>
      <c r="K15" s="688">
        <f t="shared" si="0"/>
        <v>35947</v>
      </c>
      <c r="L15" s="305">
        <v>35971</v>
      </c>
      <c r="M15" s="304">
        <f t="shared" si="1"/>
        <v>24</v>
      </c>
      <c r="N15" s="306" t="e">
        <f>#REF!</f>
        <v>#REF!</v>
      </c>
      <c r="O15" s="125">
        <v>30857</v>
      </c>
      <c r="P15" s="304" t="e">
        <f t="shared" si="11"/>
        <v>#REF!</v>
      </c>
      <c r="Q15" s="304">
        <f t="shared" si="4"/>
        <v>36150</v>
      </c>
      <c r="R15" s="125">
        <v>36150</v>
      </c>
      <c r="S15" s="304">
        <f t="shared" si="5"/>
        <v>0</v>
      </c>
      <c r="T15" s="304">
        <f t="shared" si="6"/>
        <v>33391</v>
      </c>
      <c r="U15" s="305">
        <v>33391</v>
      </c>
      <c r="V15" s="304">
        <f t="shared" si="7"/>
        <v>0</v>
      </c>
      <c r="W15" s="306">
        <f t="shared" si="8"/>
        <v>22034</v>
      </c>
      <c r="X15" s="305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160</v>
      </c>
      <c r="AC15" s="689">
        <f>Gen!AR20</f>
        <v>1419.52</v>
      </c>
    </row>
    <row r="16" spans="1:29" ht="20.100000000000001" customHeight="1" thickBot="1">
      <c r="A16" s="682">
        <f>Gen!A21</f>
        <v>44266</v>
      </c>
      <c r="B16" s="677"/>
      <c r="C16" s="793">
        <v>10080.719999999999</v>
      </c>
      <c r="D16" s="675">
        <v>22273</v>
      </c>
      <c r="E16" s="491"/>
      <c r="F16" s="305"/>
      <c r="G16" s="305">
        <v>32.85</v>
      </c>
      <c r="H16" s="305"/>
      <c r="I16" s="305">
        <v>31744.799999999999</v>
      </c>
      <c r="J16" s="678">
        <v>21146.7</v>
      </c>
      <c r="K16" s="688">
        <f t="shared" si="0"/>
        <v>35971</v>
      </c>
      <c r="L16" s="305">
        <v>35971</v>
      </c>
      <c r="M16" s="304">
        <f>L16-K16</f>
        <v>0</v>
      </c>
      <c r="N16" s="306">
        <f t="shared" si="2"/>
        <v>30857</v>
      </c>
      <c r="O16" s="125">
        <v>30882</v>
      </c>
      <c r="P16" s="304">
        <f t="shared" si="3"/>
        <v>25</v>
      </c>
      <c r="Q16" s="304">
        <f t="shared" si="4"/>
        <v>36150</v>
      </c>
      <c r="R16" s="125">
        <v>36150</v>
      </c>
      <c r="S16" s="304">
        <f t="shared" si="5"/>
        <v>0</v>
      </c>
      <c r="T16" s="304">
        <f t="shared" si="6"/>
        <v>33391</v>
      </c>
      <c r="U16" s="305">
        <v>33391</v>
      </c>
      <c r="V16" s="304">
        <f t="shared" si="7"/>
        <v>0</v>
      </c>
      <c r="W16" s="306">
        <f t="shared" si="8"/>
        <v>22034</v>
      </c>
      <c r="X16" s="305">
        <v>22034</v>
      </c>
      <c r="Y16" s="304">
        <f t="shared" si="9"/>
        <v>0</v>
      </c>
      <c r="Z16" s="307">
        <f t="shared" si="10"/>
        <v>25</v>
      </c>
      <c r="AA16" s="125">
        <v>255</v>
      </c>
      <c r="AB16" s="125">
        <v>155</v>
      </c>
      <c r="AC16" s="689">
        <f>Gen!AR21</f>
        <v>1317.3799999999999</v>
      </c>
    </row>
    <row r="17" spans="1:29" ht="20.100000000000001" customHeight="1" thickBot="1">
      <c r="A17" s="682">
        <f>Gen!A22</f>
        <v>44267</v>
      </c>
      <c r="B17" s="677"/>
      <c r="C17" s="793">
        <v>8763.34</v>
      </c>
      <c r="D17" s="675">
        <v>22273</v>
      </c>
      <c r="E17" s="491"/>
      <c r="F17" s="305"/>
      <c r="G17" s="305">
        <v>357.62</v>
      </c>
      <c r="H17" s="305"/>
      <c r="I17" s="305">
        <v>31749.200000000001</v>
      </c>
      <c r="J17" s="678">
        <v>21151.3</v>
      </c>
      <c r="K17" s="688">
        <f>L16</f>
        <v>35971</v>
      </c>
      <c r="L17" s="305">
        <v>35971</v>
      </c>
      <c r="M17" s="304">
        <f>L17-K17</f>
        <v>0</v>
      </c>
      <c r="N17" s="306">
        <f t="shared" si="2"/>
        <v>30882</v>
      </c>
      <c r="O17" s="125">
        <v>30882</v>
      </c>
      <c r="P17" s="304">
        <f t="shared" si="3"/>
        <v>0</v>
      </c>
      <c r="Q17" s="304">
        <f t="shared" si="4"/>
        <v>36150</v>
      </c>
      <c r="R17" s="125">
        <v>36174</v>
      </c>
      <c r="S17" s="304">
        <f t="shared" si="5"/>
        <v>24</v>
      </c>
      <c r="T17" s="304">
        <f t="shared" si="6"/>
        <v>33391</v>
      </c>
      <c r="U17" s="305">
        <v>33391</v>
      </c>
      <c r="V17" s="304">
        <f t="shared" si="7"/>
        <v>0</v>
      </c>
      <c r="W17" s="306">
        <f t="shared" si="8"/>
        <v>22034</v>
      </c>
      <c r="X17" s="305">
        <v>22034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160</v>
      </c>
      <c r="AC17" s="689">
        <f>Gen!AR22</f>
        <v>1662.5500000000002</v>
      </c>
    </row>
    <row r="18" spans="1:29" ht="20.100000000000001" customHeight="1" thickBot="1">
      <c r="A18" s="682">
        <f>Gen!A23</f>
        <v>44268</v>
      </c>
      <c r="B18" s="677"/>
      <c r="C18" s="793">
        <v>22102.75</v>
      </c>
      <c r="D18" s="675">
        <v>22273</v>
      </c>
      <c r="E18" s="305"/>
      <c r="F18" s="305"/>
      <c r="G18" s="305">
        <v>124.03</v>
      </c>
      <c r="H18" s="305"/>
      <c r="I18" s="305">
        <v>31754</v>
      </c>
      <c r="J18" s="678">
        <v>21155.8</v>
      </c>
      <c r="K18" s="688">
        <f>L17</f>
        <v>35971</v>
      </c>
      <c r="L18" s="305">
        <v>35971</v>
      </c>
      <c r="M18" s="304">
        <f t="shared" si="1"/>
        <v>0</v>
      </c>
      <c r="N18" s="306">
        <f t="shared" si="2"/>
        <v>30882</v>
      </c>
      <c r="O18" s="125">
        <v>30905</v>
      </c>
      <c r="P18" s="304">
        <f t="shared" si="3"/>
        <v>23</v>
      </c>
      <c r="Q18" s="304">
        <f t="shared" si="4"/>
        <v>36174</v>
      </c>
      <c r="R18" s="125">
        <v>36174</v>
      </c>
      <c r="S18" s="304">
        <f t="shared" si="5"/>
        <v>0</v>
      </c>
      <c r="T18" s="304">
        <f t="shared" si="6"/>
        <v>33391</v>
      </c>
      <c r="U18" s="305">
        <v>33391</v>
      </c>
      <c r="V18" s="304">
        <f t="shared" si="7"/>
        <v>0</v>
      </c>
      <c r="W18" s="306">
        <f t="shared" si="8"/>
        <v>22034</v>
      </c>
      <c r="X18" s="305">
        <v>22034</v>
      </c>
      <c r="Y18" s="304">
        <f t="shared" si="9"/>
        <v>0</v>
      </c>
      <c r="Z18" s="307">
        <f t="shared" si="10"/>
        <v>23</v>
      </c>
      <c r="AA18" s="125">
        <v>230</v>
      </c>
      <c r="AB18" s="125">
        <v>135</v>
      </c>
      <c r="AC18" s="689">
        <f>Gen!AR23</f>
        <v>1421.58</v>
      </c>
    </row>
    <row r="19" spans="1:29" ht="20.100000000000001" customHeight="1" thickBot="1">
      <c r="A19" s="682">
        <f>Gen!A24</f>
        <v>44269</v>
      </c>
      <c r="B19" s="677"/>
      <c r="C19" s="793">
        <v>20679.21</v>
      </c>
      <c r="D19" s="675">
        <v>22273</v>
      </c>
      <c r="E19" s="305"/>
      <c r="F19" s="305"/>
      <c r="G19" s="305">
        <v>86.05</v>
      </c>
      <c r="H19" s="305"/>
      <c r="I19" s="305">
        <v>31758.5</v>
      </c>
      <c r="J19" s="678">
        <v>21160.6</v>
      </c>
      <c r="K19" s="688">
        <f t="shared" si="0"/>
        <v>35971</v>
      </c>
      <c r="L19" s="305">
        <v>35971</v>
      </c>
      <c r="M19" s="304">
        <f t="shared" si="1"/>
        <v>0</v>
      </c>
      <c r="N19" s="306">
        <f t="shared" si="2"/>
        <v>30905</v>
      </c>
      <c r="O19" s="125">
        <v>30905</v>
      </c>
      <c r="P19" s="304">
        <f t="shared" si="3"/>
        <v>0</v>
      </c>
      <c r="Q19" s="304">
        <f t="shared" si="4"/>
        <v>36174</v>
      </c>
      <c r="R19" s="125">
        <v>36174</v>
      </c>
      <c r="S19" s="304">
        <f t="shared" si="5"/>
        <v>0</v>
      </c>
      <c r="T19" s="304">
        <f t="shared" si="6"/>
        <v>33391</v>
      </c>
      <c r="U19" s="305">
        <v>33416</v>
      </c>
      <c r="V19" s="304">
        <f t="shared" si="7"/>
        <v>25</v>
      </c>
      <c r="W19" s="306">
        <f t="shared" si="8"/>
        <v>22034</v>
      </c>
      <c r="X19" s="305">
        <v>22034</v>
      </c>
      <c r="Y19" s="304">
        <f t="shared" si="9"/>
        <v>0</v>
      </c>
      <c r="Z19" s="307">
        <f t="shared" si="10"/>
        <v>25</v>
      </c>
      <c r="AA19" s="125">
        <v>260</v>
      </c>
      <c r="AB19" s="125">
        <v>160</v>
      </c>
      <c r="AC19" s="689">
        <f>Gen!AR24</f>
        <v>1451.62</v>
      </c>
    </row>
    <row r="20" spans="1:29" ht="20.100000000000001" customHeight="1" thickBot="1">
      <c r="A20" s="682">
        <f>Gen!A25</f>
        <v>44270</v>
      </c>
      <c r="B20" s="677"/>
      <c r="C20" s="793">
        <v>19227.59</v>
      </c>
      <c r="D20" s="675">
        <v>22273</v>
      </c>
      <c r="E20" s="305"/>
      <c r="F20" s="305"/>
      <c r="G20" s="305">
        <v>164.56</v>
      </c>
      <c r="H20" s="305"/>
      <c r="I20" s="305">
        <v>31763.5</v>
      </c>
      <c r="J20" s="678">
        <v>21165.4</v>
      </c>
      <c r="K20" s="688">
        <f t="shared" si="0"/>
        <v>35971</v>
      </c>
      <c r="L20" s="305">
        <v>35996</v>
      </c>
      <c r="M20" s="304">
        <f t="shared" si="1"/>
        <v>25</v>
      </c>
      <c r="N20" s="306">
        <f t="shared" si="2"/>
        <v>30905</v>
      </c>
      <c r="O20" s="125">
        <v>30905</v>
      </c>
      <c r="P20" s="304">
        <f t="shared" si="3"/>
        <v>0</v>
      </c>
      <c r="Q20" s="304">
        <f t="shared" si="4"/>
        <v>36174</v>
      </c>
      <c r="R20" s="125">
        <v>36174</v>
      </c>
      <c r="S20" s="304">
        <f t="shared" si="5"/>
        <v>0</v>
      </c>
      <c r="T20" s="304">
        <f t="shared" si="6"/>
        <v>33416</v>
      </c>
      <c r="U20" s="305">
        <v>33416</v>
      </c>
      <c r="V20" s="304">
        <f t="shared" si="7"/>
        <v>0</v>
      </c>
      <c r="W20" s="306">
        <f t="shared" si="8"/>
        <v>22034</v>
      </c>
      <c r="X20" s="305">
        <v>22034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150</v>
      </c>
      <c r="AC20" s="689">
        <f>Gen!AR25</f>
        <v>1466.6499999999999</v>
      </c>
    </row>
    <row r="21" spans="1:29" ht="20.100000000000001" customHeight="1" thickBot="1">
      <c r="A21" s="682">
        <f>Gen!A26</f>
        <v>44271</v>
      </c>
      <c r="B21" s="677"/>
      <c r="C21" s="793">
        <v>17760.939999999999</v>
      </c>
      <c r="D21" s="675">
        <v>22273</v>
      </c>
      <c r="E21" s="305"/>
      <c r="F21" s="305"/>
      <c r="G21" s="305"/>
      <c r="H21" s="305"/>
      <c r="I21" s="305">
        <v>31768.2</v>
      </c>
      <c r="J21" s="678">
        <v>21170.1</v>
      </c>
      <c r="K21" s="688">
        <f t="shared" si="0"/>
        <v>35996</v>
      </c>
      <c r="L21" s="305">
        <v>35996</v>
      </c>
      <c r="M21" s="304">
        <f t="shared" si="1"/>
        <v>0</v>
      </c>
      <c r="N21" s="306">
        <f t="shared" si="2"/>
        <v>30905</v>
      </c>
      <c r="O21" s="125">
        <v>30905</v>
      </c>
      <c r="P21" s="304">
        <f t="shared" si="3"/>
        <v>0</v>
      </c>
      <c r="Q21" s="304">
        <f t="shared" si="4"/>
        <v>36174</v>
      </c>
      <c r="R21" s="125">
        <v>36198</v>
      </c>
      <c r="S21" s="304">
        <f t="shared" si="5"/>
        <v>24</v>
      </c>
      <c r="T21" s="304">
        <f t="shared" si="6"/>
        <v>33416</v>
      </c>
      <c r="U21" s="305">
        <v>33416</v>
      </c>
      <c r="V21" s="304">
        <f t="shared" si="7"/>
        <v>0</v>
      </c>
      <c r="W21" s="306">
        <f t="shared" si="8"/>
        <v>22034</v>
      </c>
      <c r="X21" s="305">
        <v>22034</v>
      </c>
      <c r="Y21" s="304">
        <f t="shared" si="9"/>
        <v>0</v>
      </c>
      <c r="Z21" s="307">
        <f t="shared" si="10"/>
        <v>24</v>
      </c>
      <c r="AA21" s="125">
        <v>235</v>
      </c>
      <c r="AB21" s="125">
        <v>125</v>
      </c>
      <c r="AC21" s="689">
        <f>Gen!AR26</f>
        <v>1189.52</v>
      </c>
    </row>
    <row r="22" spans="1:29" ht="18.75" customHeight="1" thickBot="1">
      <c r="A22" s="682">
        <f>Gen!A27</f>
        <v>44272</v>
      </c>
      <c r="B22" s="677"/>
      <c r="C22" s="793">
        <v>16571.419999999998</v>
      </c>
      <c r="D22" s="675">
        <v>22273</v>
      </c>
      <c r="E22" s="305"/>
      <c r="F22" s="305"/>
      <c r="G22" s="305"/>
      <c r="H22" s="305"/>
      <c r="I22" s="305">
        <v>31772.9</v>
      </c>
      <c r="J22" s="678">
        <v>21173.8</v>
      </c>
      <c r="K22" s="688">
        <f t="shared" si="0"/>
        <v>35996</v>
      </c>
      <c r="L22" s="305">
        <v>35996</v>
      </c>
      <c r="M22" s="304">
        <f t="shared" si="1"/>
        <v>0</v>
      </c>
      <c r="N22" s="306">
        <f t="shared" si="2"/>
        <v>30905</v>
      </c>
      <c r="O22" s="125">
        <v>30929</v>
      </c>
      <c r="P22" s="304">
        <f t="shared" si="3"/>
        <v>24</v>
      </c>
      <c r="Q22" s="304">
        <f t="shared" si="4"/>
        <v>36198</v>
      </c>
      <c r="R22" s="125">
        <v>36198</v>
      </c>
      <c r="S22" s="304">
        <f t="shared" si="5"/>
        <v>0</v>
      </c>
      <c r="T22" s="304">
        <f t="shared" si="6"/>
        <v>33416</v>
      </c>
      <c r="U22" s="305">
        <v>33416</v>
      </c>
      <c r="V22" s="304">
        <f t="shared" si="7"/>
        <v>0</v>
      </c>
      <c r="W22" s="306">
        <f t="shared" si="8"/>
        <v>22034</v>
      </c>
      <c r="X22" s="305">
        <v>22034</v>
      </c>
      <c r="Y22" s="304">
        <f t="shared" si="9"/>
        <v>0</v>
      </c>
      <c r="Z22" s="307">
        <f t="shared" si="10"/>
        <v>24</v>
      </c>
      <c r="AA22" s="125">
        <v>240</v>
      </c>
      <c r="AB22" s="125">
        <v>100</v>
      </c>
      <c r="AC22" s="689">
        <f>Gen!AR27</f>
        <v>1094.8000000000002</v>
      </c>
    </row>
    <row r="23" spans="1:29" ht="20.100000000000001" customHeight="1">
      <c r="A23" s="682">
        <f>Gen!A28</f>
        <v>44273</v>
      </c>
      <c r="B23" s="677"/>
      <c r="C23" s="793">
        <v>15476.62</v>
      </c>
      <c r="D23" s="675">
        <v>22273</v>
      </c>
      <c r="E23" s="491"/>
      <c r="F23" s="305"/>
      <c r="G23" s="305"/>
      <c r="H23" s="305"/>
      <c r="I23" s="305">
        <v>31777.4</v>
      </c>
      <c r="J23" s="678">
        <v>21177.200000000001</v>
      </c>
      <c r="K23" s="688">
        <f t="shared" si="0"/>
        <v>35996</v>
      </c>
      <c r="L23" s="305"/>
      <c r="M23" s="304">
        <f t="shared" si="1"/>
        <v>-35996</v>
      </c>
      <c r="N23" s="306">
        <f t="shared" si="2"/>
        <v>30929</v>
      </c>
      <c r="O23" s="125"/>
      <c r="P23" s="304">
        <f t="shared" si="3"/>
        <v>-30929</v>
      </c>
      <c r="Q23" s="304">
        <f t="shared" si="4"/>
        <v>36198</v>
      </c>
      <c r="R23" s="125"/>
      <c r="S23" s="304">
        <f t="shared" si="5"/>
        <v>-36198</v>
      </c>
      <c r="T23" s="304">
        <f t="shared" si="6"/>
        <v>33416</v>
      </c>
      <c r="U23" s="305"/>
      <c r="V23" s="304">
        <f t="shared" si="7"/>
        <v>-33416</v>
      </c>
      <c r="W23" s="306">
        <f t="shared" si="8"/>
        <v>22034</v>
      </c>
      <c r="X23" s="305"/>
      <c r="Y23" s="304">
        <f t="shared" si="9"/>
        <v>-22034</v>
      </c>
      <c r="Z23" s="307">
        <f t="shared" si="10"/>
        <v>-158573</v>
      </c>
      <c r="AA23" s="125"/>
      <c r="AB23" s="125"/>
      <c r="AC23" s="689">
        <f>Gen!AR28</f>
        <v>0</v>
      </c>
    </row>
    <row r="24" spans="1:29" ht="20.100000000000001" customHeight="1">
      <c r="A24" s="682">
        <f>Gen!A29</f>
        <v>44274</v>
      </c>
      <c r="B24" s="677"/>
      <c r="C24" s="793"/>
      <c r="D24" s="794"/>
      <c r="E24" s="305"/>
      <c r="F24" s="305"/>
      <c r="G24" s="305"/>
      <c r="H24" s="305"/>
      <c r="I24" s="305"/>
      <c r="J24" s="678"/>
      <c r="K24" s="68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9">
        <f>Gen!AR29</f>
        <v>0</v>
      </c>
    </row>
    <row r="25" spans="1:29" ht="18.75" customHeight="1">
      <c r="A25" s="682">
        <f>Gen!A30</f>
        <v>44275</v>
      </c>
      <c r="B25" s="677"/>
      <c r="C25" s="793"/>
      <c r="D25" s="794"/>
      <c r="E25" s="305"/>
      <c r="F25" s="305"/>
      <c r="G25" s="305"/>
      <c r="H25" s="305"/>
      <c r="I25" s="305"/>
      <c r="J25" s="678"/>
      <c r="K25" s="68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9">
        <f>Gen!AR30</f>
        <v>0</v>
      </c>
    </row>
    <row r="26" spans="1:29" ht="20.100000000000001" customHeight="1">
      <c r="A26" s="682">
        <f>Gen!A31</f>
        <v>44276</v>
      </c>
      <c r="B26" s="677"/>
      <c r="C26" s="793"/>
      <c r="D26" s="794"/>
      <c r="E26" s="305"/>
      <c r="F26" s="305"/>
      <c r="G26" s="305"/>
      <c r="H26" s="305"/>
      <c r="I26" s="305"/>
      <c r="J26" s="678"/>
      <c r="K26" s="68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2">Y26+V26+S26+P26+M26</f>
        <v>0</v>
      </c>
      <c r="AA26" s="125"/>
      <c r="AB26" s="125"/>
      <c r="AC26" s="689">
        <f>Gen!AR31</f>
        <v>0</v>
      </c>
    </row>
    <row r="27" spans="1:29" ht="20.100000000000001" customHeight="1">
      <c r="A27" s="682">
        <f>Gen!A32</f>
        <v>44277</v>
      </c>
      <c r="B27" s="677"/>
      <c r="C27" s="793"/>
      <c r="D27" s="794"/>
      <c r="E27" s="305"/>
      <c r="F27" s="305"/>
      <c r="G27" s="305"/>
      <c r="H27" s="305"/>
      <c r="I27" s="305"/>
      <c r="J27" s="678"/>
      <c r="K27" s="68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2"/>
        <v>0</v>
      </c>
      <c r="AA27" s="125"/>
      <c r="AB27" s="125"/>
      <c r="AC27" s="689">
        <f>Gen!AR32</f>
        <v>0</v>
      </c>
    </row>
    <row r="28" spans="1:29" ht="20.100000000000001" customHeight="1">
      <c r="A28" s="682">
        <f>Gen!A33</f>
        <v>44278</v>
      </c>
      <c r="B28" s="677"/>
      <c r="C28" s="793"/>
      <c r="D28" s="794"/>
      <c r="E28" s="305"/>
      <c r="F28" s="305"/>
      <c r="G28" s="305"/>
      <c r="H28" s="305"/>
      <c r="I28" s="305"/>
      <c r="J28" s="678"/>
      <c r="K28" s="68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2"/>
        <v>0</v>
      </c>
      <c r="AA28" s="125"/>
      <c r="AB28" s="125"/>
      <c r="AC28" s="689">
        <f>Gen!AR33</f>
        <v>0</v>
      </c>
    </row>
    <row r="29" spans="1:29" ht="20.100000000000001" customHeight="1">
      <c r="A29" s="682">
        <f>Gen!A34</f>
        <v>44279</v>
      </c>
      <c r="B29" s="677"/>
      <c r="C29" s="793"/>
      <c r="D29" s="794"/>
      <c r="E29" s="305"/>
      <c r="F29" s="305"/>
      <c r="G29" s="305"/>
      <c r="H29" s="305"/>
      <c r="I29" s="305"/>
      <c r="J29" s="678"/>
      <c r="K29" s="688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2"/>
        <v>0</v>
      </c>
      <c r="AA29" s="125"/>
      <c r="AB29" s="125"/>
      <c r="AC29" s="689">
        <f>Gen!AR34</f>
        <v>0</v>
      </c>
    </row>
    <row r="30" spans="1:29" ht="20.100000000000001" customHeight="1">
      <c r="A30" s="682">
        <f>Gen!A35</f>
        <v>44280</v>
      </c>
      <c r="B30" s="677"/>
      <c r="C30" s="793"/>
      <c r="D30" s="794"/>
      <c r="E30" s="305"/>
      <c r="F30" s="305"/>
      <c r="G30" s="305"/>
      <c r="H30" s="305"/>
      <c r="I30" s="305"/>
      <c r="J30" s="678"/>
      <c r="K30" s="688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2"/>
        <v>0</v>
      </c>
      <c r="AA30" s="125"/>
      <c r="AB30" s="125"/>
      <c r="AC30" s="689">
        <f>Gen!AR35</f>
        <v>0</v>
      </c>
    </row>
    <row r="31" spans="1:29" ht="20.100000000000001" customHeight="1">
      <c r="A31" s="682">
        <f>Gen!A36</f>
        <v>44281</v>
      </c>
      <c r="B31" s="677"/>
      <c r="C31" s="793"/>
      <c r="D31" s="794"/>
      <c r="E31" s="305"/>
      <c r="F31" s="305"/>
      <c r="G31" s="305"/>
      <c r="H31" s="305"/>
      <c r="I31" s="305"/>
      <c r="J31" s="678"/>
      <c r="K31" s="688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2"/>
        <v>0</v>
      </c>
      <c r="AA31" s="125"/>
      <c r="AB31" s="125"/>
      <c r="AC31" s="689">
        <f>Gen!AR36</f>
        <v>0</v>
      </c>
    </row>
    <row r="32" spans="1:29" ht="20.100000000000001" customHeight="1">
      <c r="A32" s="682">
        <f>Gen!A37</f>
        <v>44282</v>
      </c>
      <c r="B32" s="677"/>
      <c r="C32" s="793"/>
      <c r="D32" s="794"/>
      <c r="E32" s="305"/>
      <c r="F32" s="305"/>
      <c r="G32" s="305"/>
      <c r="H32" s="305"/>
      <c r="I32" s="305"/>
      <c r="J32" s="678"/>
      <c r="K32" s="688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2"/>
        <v>0</v>
      </c>
      <c r="AA32" s="125"/>
      <c r="AB32" s="125"/>
      <c r="AC32" s="689">
        <f>Gen!AR37</f>
        <v>0</v>
      </c>
    </row>
    <row r="33" spans="1:29" ht="20.100000000000001" customHeight="1">
      <c r="A33" s="682">
        <f>Gen!A38</f>
        <v>44283</v>
      </c>
      <c r="B33" s="677"/>
      <c r="C33" s="793"/>
      <c r="D33" s="794"/>
      <c r="E33" s="305"/>
      <c r="F33" s="305"/>
      <c r="G33" s="305"/>
      <c r="H33" s="305"/>
      <c r="I33" s="305"/>
      <c r="J33" s="678"/>
      <c r="K33" s="688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2"/>
        <v>0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2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2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2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2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AC29" sqref="AC29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94"/>
      <c r="B1" s="894"/>
    </row>
    <row r="2" spans="1:46" ht="26.25">
      <c r="A2" s="894"/>
      <c r="B2" s="894"/>
      <c r="D2" s="895">
        <f>A11</f>
        <v>44256</v>
      </c>
      <c r="E2" s="895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6"/>
      <c r="AQ2" s="896"/>
      <c r="AR2" s="896"/>
      <c r="AS2" s="896"/>
      <c r="AT2" s="896"/>
    </row>
    <row r="3" spans="1:46" ht="12.75" customHeight="1">
      <c r="A3" s="894"/>
      <c r="B3" s="894"/>
      <c r="H3" s="897"/>
      <c r="I3" s="897"/>
      <c r="J3" s="897"/>
      <c r="K3" s="181"/>
      <c r="Q3" s="181"/>
    </row>
    <row r="4" spans="1:46" ht="11.25" customHeight="1">
      <c r="A4" s="894"/>
      <c r="B4" s="894"/>
      <c r="H4" s="897"/>
      <c r="I4" s="897"/>
      <c r="J4" s="897"/>
      <c r="K4" s="181"/>
      <c r="Q4" s="181"/>
    </row>
    <row r="5" spans="1:46" ht="12" thickBot="1">
      <c r="A5" s="894"/>
      <c r="B5" s="894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94"/>
      <c r="B6" s="894"/>
      <c r="C6" s="186"/>
      <c r="F6" s="898" t="s">
        <v>57</v>
      </c>
      <c r="G6" s="899"/>
      <c r="H6" s="899"/>
      <c r="I6" s="899"/>
      <c r="J6" s="899"/>
      <c r="K6" s="899"/>
      <c r="L6" s="900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45"/>
      <c r="AT6" s="846"/>
    </row>
    <row r="7" spans="1:46" ht="21" thickBot="1">
      <c r="C7" s="188"/>
      <c r="D7" s="188"/>
      <c r="E7" s="188"/>
      <c r="F7" s="901" t="s">
        <v>201</v>
      </c>
      <c r="G7" s="902"/>
      <c r="H7" s="902"/>
      <c r="I7" s="902"/>
      <c r="J7" s="902"/>
      <c r="K7" s="902"/>
      <c r="L7" s="903"/>
      <c r="M7" s="904" t="s">
        <v>40</v>
      </c>
      <c r="N7" s="905"/>
      <c r="O7" s="905"/>
      <c r="P7" s="905"/>
      <c r="Q7" s="905"/>
      <c r="R7" s="906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7"/>
      <c r="AT7" s="848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29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0">
        <v>0.01</v>
      </c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1">
        <v>2.5999999999999999E-2</v>
      </c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2">
        <v>2.5999999999999999E-2</v>
      </c>
      <c r="C13" s="807">
        <f t="shared" si="6"/>
        <v>42443.15</v>
      </c>
      <c r="D13" s="808"/>
      <c r="E13" s="805"/>
      <c r="F13" s="526"/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2">
        <v>5.1900000000000002E-2</v>
      </c>
      <c r="C14" s="807">
        <f t="shared" si="6"/>
        <v>41374.35</v>
      </c>
      <c r="D14" s="808"/>
      <c r="E14" s="805"/>
      <c r="F14" s="526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2">
        <v>6.5000000000000002E-2</v>
      </c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2">
        <v>5.1999999999999998E-2</v>
      </c>
      <c r="C16" s="807">
        <f t="shared" si="6"/>
        <v>38487.83</v>
      </c>
      <c r="D16" s="808"/>
      <c r="E16" s="805"/>
      <c r="F16" s="809"/>
      <c r="G16" s="806">
        <v>1103.99</v>
      </c>
      <c r="H16" s="204"/>
      <c r="I16" s="223"/>
      <c r="J16" s="204"/>
      <c r="K16" s="204"/>
      <c r="L16" s="299"/>
      <c r="M16" s="298">
        <v>2713</v>
      </c>
      <c r="N16" s="206"/>
      <c r="O16" s="206"/>
      <c r="P16" s="206"/>
      <c r="Q16" s="206"/>
      <c r="R16" s="563"/>
      <c r="S16" s="571">
        <f t="shared" si="0"/>
        <v>1103.99</v>
      </c>
      <c r="T16" s="218">
        <f t="shared" si="1"/>
        <v>2713</v>
      </c>
      <c r="U16" s="572">
        <f t="shared" si="4"/>
        <v>0.40692591227423519</v>
      </c>
      <c r="V16" s="211"/>
      <c r="W16" s="219"/>
      <c r="X16" s="197"/>
      <c r="Y16" s="219"/>
      <c r="Z16" s="204">
        <v>86.51</v>
      </c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86.51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1190.5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52">
        <v>0.1169</v>
      </c>
      <c r="C17" s="807">
        <f t="shared" si="6"/>
        <v>37297.33</v>
      </c>
      <c r="D17" s="808"/>
      <c r="E17" s="805"/>
      <c r="F17" s="809"/>
      <c r="G17" s="806"/>
      <c r="H17" s="204"/>
      <c r="I17" s="223"/>
      <c r="J17" s="204"/>
      <c r="K17" s="204">
        <v>1135.8399999999999</v>
      </c>
      <c r="L17" s="299"/>
      <c r="M17" s="298"/>
      <c r="N17" s="206"/>
      <c r="O17" s="206"/>
      <c r="P17" s="206"/>
      <c r="Q17" s="206">
        <v>2823</v>
      </c>
      <c r="R17" s="563"/>
      <c r="S17" s="571">
        <f t="shared" si="0"/>
        <v>1135.8399999999999</v>
      </c>
      <c r="T17" s="218">
        <f t="shared" si="1"/>
        <v>2823</v>
      </c>
      <c r="U17" s="572">
        <f t="shared" si="4"/>
        <v>0.40235210768685792</v>
      </c>
      <c r="V17" s="211"/>
      <c r="W17" s="219"/>
      <c r="X17" s="197">
        <v>62.91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62.91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1198.75</v>
      </c>
      <c r="AS17" s="221">
        <f t="shared" si="7"/>
        <v>0</v>
      </c>
      <c r="AT17" s="283">
        <f t="shared" si="5"/>
        <v>37297.33</v>
      </c>
    </row>
    <row r="18" spans="1:46" ht="13.5" customHeight="1">
      <c r="A18" s="576">
        <v>44263</v>
      </c>
      <c r="B18" s="852">
        <v>0.12989999999999999</v>
      </c>
      <c r="C18" s="807">
        <f t="shared" si="6"/>
        <v>36098.58</v>
      </c>
      <c r="D18" s="808"/>
      <c r="E18" s="805"/>
      <c r="F18" s="809"/>
      <c r="G18" s="806"/>
      <c r="H18" s="204"/>
      <c r="I18" s="223"/>
      <c r="J18" s="204">
        <v>1059.42</v>
      </c>
      <c r="K18" s="204"/>
      <c r="L18" s="299"/>
      <c r="M18" s="298"/>
      <c r="N18" s="206"/>
      <c r="O18" s="206"/>
      <c r="P18" s="206">
        <v>2548</v>
      </c>
      <c r="Q18" s="206"/>
      <c r="R18" s="563"/>
      <c r="S18" s="571">
        <f t="shared" si="0"/>
        <v>1059.42</v>
      </c>
      <c r="T18" s="218">
        <f t="shared" si="1"/>
        <v>2548</v>
      </c>
      <c r="U18" s="572">
        <f t="shared" si="4"/>
        <v>0.41578492935635797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1059.42</v>
      </c>
      <c r="AS18" s="221">
        <f t="shared" si="7"/>
        <v>0</v>
      </c>
      <c r="AT18" s="283">
        <f t="shared" si="5"/>
        <v>36098.58</v>
      </c>
    </row>
    <row r="19" spans="1:46" ht="13.5" customHeight="1">
      <c r="A19" s="576">
        <v>44264</v>
      </c>
      <c r="B19" s="852">
        <v>0.15579999999999999</v>
      </c>
      <c r="C19" s="807">
        <f t="shared" si="6"/>
        <v>35039.160000000003</v>
      </c>
      <c r="D19" s="808"/>
      <c r="E19" s="805"/>
      <c r="F19" s="809"/>
      <c r="G19" s="806"/>
      <c r="H19" s="204"/>
      <c r="I19" s="223"/>
      <c r="J19" s="204"/>
      <c r="K19" s="204"/>
      <c r="L19" s="299">
        <v>1199.92</v>
      </c>
      <c r="M19" s="298"/>
      <c r="N19" s="206"/>
      <c r="O19" s="206"/>
      <c r="P19" s="206"/>
      <c r="Q19" s="206"/>
      <c r="R19" s="563">
        <v>2925</v>
      </c>
      <c r="S19" s="571">
        <f t="shared" si="0"/>
        <v>1199.92</v>
      </c>
      <c r="T19" s="218">
        <f t="shared" si="1"/>
        <v>2925</v>
      </c>
      <c r="U19" s="572">
        <f t="shared" si="4"/>
        <v>0.41022905982905983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66</v>
      </c>
      <c r="AI19" s="386"/>
      <c r="AJ19" s="271">
        <f t="shared" si="3"/>
        <v>66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1265.92</v>
      </c>
      <c r="AS19" s="221">
        <f t="shared" si="7"/>
        <v>0</v>
      </c>
      <c r="AT19" s="283">
        <f t="shared" si="5"/>
        <v>35039.160000000003</v>
      </c>
    </row>
    <row r="20" spans="1:46" ht="15.75">
      <c r="A20" s="576">
        <v>44265</v>
      </c>
      <c r="B20" s="852">
        <v>0.15579999999999999</v>
      </c>
      <c r="C20" s="807">
        <f t="shared" si="6"/>
        <v>33773.240000000005</v>
      </c>
      <c r="D20" s="808"/>
      <c r="E20" s="805"/>
      <c r="F20" s="809"/>
      <c r="G20" s="806">
        <v>1134.25</v>
      </c>
      <c r="H20" s="219"/>
      <c r="I20" s="223"/>
      <c r="J20" s="204"/>
      <c r="K20" s="204"/>
      <c r="L20" s="526"/>
      <c r="M20" s="298">
        <v>2712</v>
      </c>
      <c r="N20" s="206"/>
      <c r="O20" s="206"/>
      <c r="P20" s="206"/>
      <c r="Q20" s="206"/>
      <c r="R20" s="564"/>
      <c r="S20" s="571">
        <f t="shared" si="0"/>
        <v>1134.25</v>
      </c>
      <c r="T20" s="218">
        <f t="shared" si="1"/>
        <v>2712</v>
      </c>
      <c r="U20" s="572">
        <f t="shared" si="4"/>
        <v>0.41823377581120946</v>
      </c>
      <c r="V20" s="211"/>
      <c r="W20" s="219"/>
      <c r="X20" s="197">
        <v>55.02</v>
      </c>
      <c r="Y20" s="219">
        <v>124</v>
      </c>
      <c r="Z20" s="204">
        <v>39.03</v>
      </c>
      <c r="AA20" s="273"/>
      <c r="AB20" s="219">
        <v>67.22</v>
      </c>
      <c r="AC20" s="219"/>
      <c r="AD20" s="219"/>
      <c r="AE20" s="219"/>
      <c r="AF20" s="219"/>
      <c r="AG20" s="219"/>
      <c r="AH20" s="219"/>
      <c r="AI20" s="386"/>
      <c r="AJ20" s="271">
        <f t="shared" si="3"/>
        <v>285.27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1419.52</v>
      </c>
      <c r="AS20" s="221">
        <f t="shared" si="7"/>
        <v>0</v>
      </c>
      <c r="AT20" s="283">
        <f t="shared" si="5"/>
        <v>33773.240000000005</v>
      </c>
    </row>
    <row r="21" spans="1:46" ht="15.75">
      <c r="A21" s="576">
        <v>44266</v>
      </c>
      <c r="B21" s="852">
        <v>0.1169</v>
      </c>
      <c r="C21" s="807">
        <f t="shared" si="6"/>
        <v>32353.720000000005</v>
      </c>
      <c r="D21" s="808"/>
      <c r="E21" s="805"/>
      <c r="F21" s="809"/>
      <c r="G21" s="806"/>
      <c r="H21" s="219">
        <v>1284.53</v>
      </c>
      <c r="I21" s="223"/>
      <c r="J21" s="204"/>
      <c r="K21" s="204"/>
      <c r="L21" s="495"/>
      <c r="M21" s="298"/>
      <c r="N21" s="298">
        <v>3220</v>
      </c>
      <c r="O21" s="206"/>
      <c r="P21" s="206"/>
      <c r="Q21" s="206"/>
      <c r="R21" s="563"/>
      <c r="S21" s="571">
        <f t="shared" si="0"/>
        <v>1284.53</v>
      </c>
      <c r="T21" s="218">
        <f t="shared" si="1"/>
        <v>3220</v>
      </c>
      <c r="U21" s="572">
        <f t="shared" si="4"/>
        <v>0.39892236024844718</v>
      </c>
      <c r="V21" s="211"/>
      <c r="W21" s="219"/>
      <c r="X21" s="197"/>
      <c r="Y21" s="219"/>
      <c r="Z21" s="204">
        <v>15.03</v>
      </c>
      <c r="AA21" s="273"/>
      <c r="AB21" s="219">
        <v>17.82</v>
      </c>
      <c r="AC21" s="219"/>
      <c r="AD21" s="219"/>
      <c r="AE21" s="219"/>
      <c r="AF21" s="219"/>
      <c r="AG21" s="219"/>
      <c r="AH21" s="219"/>
      <c r="AI21" s="386"/>
      <c r="AJ21" s="271">
        <f t="shared" si="3"/>
        <v>32.85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1317.3799999999999</v>
      </c>
      <c r="AS21" s="221">
        <f t="shared" si="7"/>
        <v>0</v>
      </c>
      <c r="AT21" s="283">
        <f t="shared" si="5"/>
        <v>32353.720000000005</v>
      </c>
    </row>
    <row r="22" spans="1:46" ht="15.75">
      <c r="A22" s="576">
        <v>44267</v>
      </c>
      <c r="B22" s="852">
        <v>0.12989999999999999</v>
      </c>
      <c r="C22" s="807">
        <f t="shared" si="6"/>
        <v>31036.340000000004</v>
      </c>
      <c r="D22" s="808"/>
      <c r="E22" s="805"/>
      <c r="F22" s="810"/>
      <c r="G22" s="806"/>
      <c r="H22" s="204"/>
      <c r="I22" s="223"/>
      <c r="J22" s="204">
        <v>1304.93</v>
      </c>
      <c r="K22" s="204"/>
      <c r="L22" s="526"/>
      <c r="M22" s="298"/>
      <c r="N22" s="298"/>
      <c r="O22" s="206"/>
      <c r="P22" s="206">
        <v>3248</v>
      </c>
      <c r="Q22" s="206"/>
      <c r="R22" s="563"/>
      <c r="S22" s="571">
        <f t="shared" si="0"/>
        <v>1304.93</v>
      </c>
      <c r="T22" s="218">
        <f t="shared" si="1"/>
        <v>3248</v>
      </c>
      <c r="U22" s="572">
        <f t="shared" si="4"/>
        <v>0.40176416256157638</v>
      </c>
      <c r="V22" s="211"/>
      <c r="W22" s="219"/>
      <c r="X22" s="197">
        <v>46.18</v>
      </c>
      <c r="Y22" s="219"/>
      <c r="Z22" s="204">
        <v>69.44</v>
      </c>
      <c r="AA22" s="273"/>
      <c r="AB22" s="219"/>
      <c r="AC22" s="219"/>
      <c r="AD22" s="219"/>
      <c r="AE22" s="219"/>
      <c r="AF22" s="219"/>
      <c r="AG22" s="219"/>
      <c r="AH22" s="219">
        <v>242</v>
      </c>
      <c r="AI22" s="386"/>
      <c r="AJ22" s="271">
        <f t="shared" si="3"/>
        <v>357.62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1662.5500000000002</v>
      </c>
      <c r="AS22" s="221">
        <f t="shared" si="7"/>
        <v>0</v>
      </c>
      <c r="AT22" s="283">
        <f t="shared" si="5"/>
        <v>31036.340000000004</v>
      </c>
    </row>
    <row r="23" spans="1:46" ht="13.5" customHeight="1">
      <c r="A23" s="576">
        <v>44268</v>
      </c>
      <c r="B23" s="852">
        <v>0.1429</v>
      </c>
      <c r="C23" s="807">
        <f t="shared" si="6"/>
        <v>44373.790000000008</v>
      </c>
      <c r="D23" s="808">
        <v>15000</v>
      </c>
      <c r="E23" s="805"/>
      <c r="F23" s="810"/>
      <c r="G23" s="806"/>
      <c r="H23" s="219">
        <v>1297.55</v>
      </c>
      <c r="I23" s="223"/>
      <c r="J23" s="204"/>
      <c r="K23" s="204"/>
      <c r="L23" s="526"/>
      <c r="M23" s="298">
        <v>3154</v>
      </c>
      <c r="N23" s="206"/>
      <c r="O23" s="206"/>
      <c r="P23" s="206"/>
      <c r="Q23" s="206"/>
      <c r="R23" s="563"/>
      <c r="S23" s="571">
        <f t="shared" si="0"/>
        <v>1297.55</v>
      </c>
      <c r="T23" s="218">
        <f t="shared" si="1"/>
        <v>3154</v>
      </c>
      <c r="U23" s="572">
        <f t="shared" si="4"/>
        <v>0.41139822447685476</v>
      </c>
      <c r="V23" s="211"/>
      <c r="W23" s="219"/>
      <c r="X23" s="197">
        <v>49.03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75</v>
      </c>
      <c r="AI23" s="386"/>
      <c r="AJ23" s="271">
        <f t="shared" si="3"/>
        <v>124.03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1421.58</v>
      </c>
      <c r="AS23" s="221">
        <f t="shared" si="7"/>
        <v>0</v>
      </c>
      <c r="AT23" s="283">
        <f t="shared" si="5"/>
        <v>44373.790000000008</v>
      </c>
    </row>
    <row r="24" spans="1:46" ht="15.75">
      <c r="A24" s="576">
        <v>44269</v>
      </c>
      <c r="B24" s="852">
        <v>0.14000000000000001</v>
      </c>
      <c r="C24" s="807">
        <f t="shared" si="6"/>
        <v>42952.210000000006</v>
      </c>
      <c r="D24" s="811"/>
      <c r="E24" s="805">
        <v>15000</v>
      </c>
      <c r="F24" s="825" t="s">
        <v>317</v>
      </c>
      <c r="G24" s="806"/>
      <c r="H24" s="204"/>
      <c r="I24" s="223"/>
      <c r="J24" s="204"/>
      <c r="K24" s="204">
        <v>1365.56</v>
      </c>
      <c r="L24" s="526"/>
      <c r="M24" s="298"/>
      <c r="N24" s="298"/>
      <c r="O24" s="206"/>
      <c r="P24" s="206"/>
      <c r="Q24" s="206">
        <v>3356</v>
      </c>
      <c r="R24" s="563"/>
      <c r="S24" s="571">
        <f t="shared" si="0"/>
        <v>1365.56</v>
      </c>
      <c r="T24" s="218">
        <f t="shared" si="1"/>
        <v>3356</v>
      </c>
      <c r="U24" s="572">
        <f t="shared" si="4"/>
        <v>0.40690107270560189</v>
      </c>
      <c r="V24" s="211"/>
      <c r="W24" s="219"/>
      <c r="X24" s="197">
        <v>9.19</v>
      </c>
      <c r="Y24" s="219"/>
      <c r="Z24" s="204"/>
      <c r="AA24" s="273"/>
      <c r="AB24" s="219"/>
      <c r="AC24" s="219">
        <v>76.87</v>
      </c>
      <c r="AD24" s="219"/>
      <c r="AE24" s="219"/>
      <c r="AF24" s="219"/>
      <c r="AG24" s="219"/>
      <c r="AH24" s="219"/>
      <c r="AI24" s="386"/>
      <c r="AJ24" s="271">
        <f t="shared" si="3"/>
        <v>86.06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1451.62</v>
      </c>
      <c r="AS24" s="221">
        <f t="shared" si="7"/>
        <v>0</v>
      </c>
      <c r="AT24" s="283">
        <f t="shared" si="5"/>
        <v>42952.210000000006</v>
      </c>
    </row>
    <row r="25" spans="1:46" ht="15.75">
      <c r="A25" s="576">
        <v>44270</v>
      </c>
      <c r="B25" s="832">
        <v>9.0899999999999995E-2</v>
      </c>
      <c r="C25" s="807">
        <f t="shared" si="6"/>
        <v>41500.590000000004</v>
      </c>
      <c r="D25" s="808"/>
      <c r="E25" s="805"/>
      <c r="F25" s="809"/>
      <c r="G25" s="806">
        <v>1302.0899999999999</v>
      </c>
      <c r="H25" s="219"/>
      <c r="I25" s="223"/>
      <c r="J25" s="204"/>
      <c r="K25" s="204"/>
      <c r="L25" s="526"/>
      <c r="M25" s="298">
        <v>3251</v>
      </c>
      <c r="N25" s="206"/>
      <c r="O25" s="206"/>
      <c r="P25" s="206"/>
      <c r="Q25" s="206"/>
      <c r="R25" s="563"/>
      <c r="S25" s="571">
        <f t="shared" si="0"/>
        <v>1302.0899999999999</v>
      </c>
      <c r="T25" s="218">
        <f t="shared" si="1"/>
        <v>3251</v>
      </c>
      <c r="U25" s="572">
        <f t="shared" si="4"/>
        <v>0.40051984004921559</v>
      </c>
      <c r="V25" s="211"/>
      <c r="W25" s="219"/>
      <c r="X25" s="197"/>
      <c r="Y25" s="219"/>
      <c r="Z25" s="204">
        <v>40.56</v>
      </c>
      <c r="AA25" s="273"/>
      <c r="AB25" s="219"/>
      <c r="AC25" s="219"/>
      <c r="AD25" s="219"/>
      <c r="AE25" s="219"/>
      <c r="AF25" s="219"/>
      <c r="AG25" s="219"/>
      <c r="AH25" s="219">
        <v>124</v>
      </c>
      <c r="AI25" s="386"/>
      <c r="AJ25" s="271">
        <f t="shared" si="3"/>
        <v>164.56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1466.6499999999999</v>
      </c>
      <c r="AS25" s="221">
        <f t="shared" si="7"/>
        <v>0</v>
      </c>
      <c r="AT25" s="283">
        <f t="shared" si="5"/>
        <v>41500.590000000004</v>
      </c>
    </row>
    <row r="26" spans="1:46" ht="15.75">
      <c r="A26" s="576">
        <v>44271</v>
      </c>
      <c r="B26" s="832">
        <v>7.7899999999999997E-2</v>
      </c>
      <c r="C26" s="807">
        <f t="shared" si="6"/>
        <v>40033.94</v>
      </c>
      <c r="D26" s="808"/>
      <c r="E26" s="805"/>
      <c r="F26" s="810"/>
      <c r="G26" s="806"/>
      <c r="H26" s="219"/>
      <c r="I26" s="223"/>
      <c r="J26" s="204">
        <v>1189.52</v>
      </c>
      <c r="K26" s="204"/>
      <c r="L26" s="526"/>
      <c r="M26" s="298"/>
      <c r="N26" s="206"/>
      <c r="O26" s="206"/>
      <c r="P26" s="206">
        <v>2895</v>
      </c>
      <c r="Q26" s="206"/>
      <c r="R26" s="563"/>
      <c r="S26" s="571">
        <f t="shared" si="0"/>
        <v>1189.52</v>
      </c>
      <c r="T26" s="218">
        <f t="shared" si="1"/>
        <v>2895</v>
      </c>
      <c r="U26" s="572">
        <f t="shared" si="4"/>
        <v>0.41088773747841106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1189.52</v>
      </c>
      <c r="AS26" s="221">
        <f t="shared" si="7"/>
        <v>0</v>
      </c>
      <c r="AT26" s="283">
        <f t="shared" si="5"/>
        <v>40033.94</v>
      </c>
    </row>
    <row r="27" spans="1:46" ht="15.75">
      <c r="A27" s="576">
        <v>44272</v>
      </c>
      <c r="B27" s="832">
        <v>6.4899999999999999E-2</v>
      </c>
      <c r="C27" s="807">
        <f t="shared" si="6"/>
        <v>38844.420000000006</v>
      </c>
      <c r="D27" s="808"/>
      <c r="E27" s="805"/>
      <c r="F27" s="809"/>
      <c r="G27" s="806"/>
      <c r="H27" s="219">
        <v>1055.42</v>
      </c>
      <c r="I27" s="223"/>
      <c r="J27" s="204"/>
      <c r="K27" s="204"/>
      <c r="L27" s="526"/>
      <c r="M27" s="298"/>
      <c r="N27" s="206">
        <v>2779</v>
      </c>
      <c r="O27" s="206"/>
      <c r="P27" s="206"/>
      <c r="Q27" s="206"/>
      <c r="R27" s="563"/>
      <c r="S27" s="571">
        <f t="shared" si="0"/>
        <v>1055.42</v>
      </c>
      <c r="T27" s="218">
        <f t="shared" si="1"/>
        <v>2779</v>
      </c>
      <c r="U27" s="572">
        <f t="shared" si="4"/>
        <v>0.37978409499820082</v>
      </c>
      <c r="V27" s="211"/>
      <c r="W27" s="219"/>
      <c r="X27" s="197"/>
      <c r="Y27" s="219"/>
      <c r="Z27" s="204">
        <v>21.97</v>
      </c>
      <c r="AA27" s="273"/>
      <c r="AB27" s="219"/>
      <c r="AC27" s="219">
        <v>17.41</v>
      </c>
      <c r="AD27" s="219"/>
      <c r="AE27" s="219"/>
      <c r="AF27" s="219"/>
      <c r="AG27" s="219"/>
      <c r="AH27" s="219"/>
      <c r="AI27" s="386"/>
      <c r="AJ27" s="271">
        <f t="shared" si="3"/>
        <v>39.379999999999995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1094.8000000000002</v>
      </c>
      <c r="AS27" s="221">
        <f t="shared" si="7"/>
        <v>0</v>
      </c>
      <c r="AT27" s="283">
        <f t="shared" si="5"/>
        <v>38844.420000000006</v>
      </c>
    </row>
    <row r="28" spans="1:46" ht="15.75">
      <c r="A28" s="576">
        <v>44273</v>
      </c>
      <c r="B28" s="832"/>
      <c r="C28" s="807">
        <f t="shared" si="6"/>
        <v>37749.620000000003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37749.620000000003</v>
      </c>
    </row>
    <row r="29" spans="1:46" ht="15.75">
      <c r="A29" s="576">
        <v>44274</v>
      </c>
      <c r="B29" s="832"/>
      <c r="C29" s="807">
        <f t="shared" si="6"/>
        <v>37749.620000000003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37749.620000000003</v>
      </c>
    </row>
    <row r="30" spans="1:46" ht="15.75">
      <c r="A30" s="576">
        <v>44275</v>
      </c>
      <c r="B30" s="832"/>
      <c r="C30" s="807">
        <f t="shared" si="6"/>
        <v>37749.620000000003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37749.620000000003</v>
      </c>
    </row>
    <row r="31" spans="1:46" ht="15.75">
      <c r="A31" s="576">
        <v>44276</v>
      </c>
      <c r="B31" s="832"/>
      <c r="C31" s="807">
        <f t="shared" si="6"/>
        <v>37749.620000000003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37749.620000000003</v>
      </c>
    </row>
    <row r="32" spans="1:46" ht="15.75">
      <c r="A32" s="576">
        <v>44277</v>
      </c>
      <c r="B32" s="832"/>
      <c r="C32" s="807">
        <f t="shared" si="6"/>
        <v>37749.620000000003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37749.620000000003</v>
      </c>
    </row>
    <row r="33" spans="1:46" ht="15.75">
      <c r="A33" s="576">
        <v>44278</v>
      </c>
      <c r="B33" s="832"/>
      <c r="C33" s="807">
        <f t="shared" si="6"/>
        <v>37749.620000000003</v>
      </c>
      <c r="D33" s="808"/>
      <c r="E33" s="805"/>
      <c r="F33" s="809"/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37749.620000000003</v>
      </c>
    </row>
    <row r="34" spans="1:46" ht="15.75">
      <c r="A34" s="576">
        <v>44279</v>
      </c>
      <c r="B34" s="832"/>
      <c r="C34" s="807">
        <f t="shared" si="6"/>
        <v>37749.620000000003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37749.620000000003</v>
      </c>
    </row>
    <row r="35" spans="1:46" ht="15.75">
      <c r="A35" s="576">
        <v>44280</v>
      </c>
      <c r="B35" s="832"/>
      <c r="C35" s="807">
        <f t="shared" si="6"/>
        <v>37749.620000000003</v>
      </c>
      <c r="D35" s="808"/>
      <c r="E35" s="805"/>
      <c r="F35" s="809"/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37749.620000000003</v>
      </c>
    </row>
    <row r="36" spans="1:46" ht="15.75">
      <c r="A36" s="576">
        <v>44281</v>
      </c>
      <c r="B36" s="832"/>
      <c r="C36" s="807">
        <f t="shared" si="6"/>
        <v>37749.620000000003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37749.620000000003</v>
      </c>
    </row>
    <row r="37" spans="1:46" ht="15.75">
      <c r="A37" s="576">
        <v>44282</v>
      </c>
      <c r="B37" s="832"/>
      <c r="C37" s="807">
        <f t="shared" si="6"/>
        <v>37749.620000000003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37749.620000000003</v>
      </c>
    </row>
    <row r="38" spans="1:46" ht="15.75">
      <c r="A38" s="576">
        <v>44283</v>
      </c>
      <c r="B38" s="832"/>
      <c r="C38" s="807">
        <f t="shared" si="6"/>
        <v>37749.620000000003</v>
      </c>
      <c r="D38" s="808"/>
      <c r="E38" s="805">
        <v>15000</v>
      </c>
      <c r="F38" s="825" t="s">
        <v>317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37749.620000000003</v>
      </c>
    </row>
    <row r="39" spans="1:46" ht="15.75">
      <c r="A39" s="576">
        <v>44284</v>
      </c>
      <c r="B39" s="832"/>
      <c r="C39" s="807">
        <f t="shared" si="6"/>
        <v>37749.620000000003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37749.620000000003</v>
      </c>
    </row>
    <row r="40" spans="1:46" ht="15.75">
      <c r="A40" s="576">
        <v>44285</v>
      </c>
      <c r="B40" s="832"/>
      <c r="C40" s="807">
        <f t="shared" si="6"/>
        <v>37749.620000000003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37749.620000000003</v>
      </c>
    </row>
    <row r="41" spans="1:46" ht="15.75">
      <c r="A41" s="576">
        <v>44286</v>
      </c>
      <c r="B41" s="832"/>
      <c r="C41" s="807">
        <f t="shared" si="6"/>
        <v>37749.620000000003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37749.620000000003</v>
      </c>
    </row>
    <row r="42" spans="1:46" ht="14.25">
      <c r="A42" s="576"/>
      <c r="B42" s="575"/>
      <c r="C42" s="807">
        <f t="shared" si="6"/>
        <v>37749.620000000003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37749.620000000003</v>
      </c>
    </row>
    <row r="43" spans="1:46" ht="14.25">
      <c r="A43" s="496" t="s">
        <v>25</v>
      </c>
      <c r="B43" s="469">
        <f>AVERAGE(B11:B42)</f>
        <v>9.1335294117647056E-2</v>
      </c>
      <c r="C43" s="803">
        <f t="shared" si="6"/>
        <v>37749.620000000003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37749.620000000003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15000</v>
      </c>
      <c r="E45" s="313">
        <f>SUM(E11:E42)</f>
        <v>30000</v>
      </c>
      <c r="F45" s="819">
        <f t="shared" ref="F45:O45" si="8">SUM(F11:F44)</f>
        <v>0</v>
      </c>
      <c r="G45" s="313">
        <f t="shared" si="8"/>
        <v>4596.97</v>
      </c>
      <c r="H45" s="308">
        <f t="shared" si="8"/>
        <v>4785.05</v>
      </c>
      <c r="I45" s="313">
        <f t="shared" si="8"/>
        <v>0</v>
      </c>
      <c r="J45" s="308">
        <f t="shared" si="8"/>
        <v>4611.8600000000006</v>
      </c>
      <c r="K45" s="313">
        <f t="shared" si="8"/>
        <v>3519.9599999999996</v>
      </c>
      <c r="L45" s="308">
        <f t="shared" si="8"/>
        <v>2346.5299999999997</v>
      </c>
      <c r="M45" s="313">
        <f t="shared" si="8"/>
        <v>14443</v>
      </c>
      <c r="N45" s="554">
        <f t="shared" si="8"/>
        <v>8904</v>
      </c>
      <c r="O45" s="313">
        <f t="shared" si="8"/>
        <v>0</v>
      </c>
      <c r="P45" s="308">
        <f>SUM(P11:P43)</f>
        <v>11292</v>
      </c>
      <c r="Q45" s="313">
        <f>SUM(Q11:Q44)</f>
        <v>8674</v>
      </c>
      <c r="R45" s="308">
        <f>SUM(R11:R44)</f>
        <v>5790</v>
      </c>
      <c r="S45" s="552">
        <f>SUM(G45:L45)</f>
        <v>19860.37</v>
      </c>
      <c r="T45" s="308">
        <f>SUM(M45:R45)</f>
        <v>49103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84.47</v>
      </c>
      <c r="X45" s="547">
        <f t="shared" si="9"/>
        <v>282.18</v>
      </c>
      <c r="Y45" s="234">
        <f t="shared" si="9"/>
        <v>124</v>
      </c>
      <c r="Z45" s="547">
        <f t="shared" si="9"/>
        <v>272.53999999999996</v>
      </c>
      <c r="AA45" s="234">
        <f t="shared" si="9"/>
        <v>0</v>
      </c>
      <c r="AB45" s="547">
        <f t="shared" si="9"/>
        <v>119.41999999999999</v>
      </c>
      <c r="AC45" s="234">
        <f>SUM(AC10:AC44)</f>
        <v>151.16</v>
      </c>
      <c r="AD45" s="547">
        <f>SUM(AD10:AD44)</f>
        <v>136.86000000000001</v>
      </c>
      <c r="AE45" s="234">
        <f>SUM(AE9:AE44)</f>
        <v>0</v>
      </c>
      <c r="AF45" s="547">
        <f>SUM(AF9:AF44)</f>
        <v>0</v>
      </c>
      <c r="AG45" s="234">
        <f>SUM(AG9:AG44)</f>
        <v>601.89</v>
      </c>
      <c r="AH45" s="547">
        <f>SUM(AH9:AH43)</f>
        <v>507</v>
      </c>
      <c r="AI45" s="234">
        <f>SUM(AI9:AI39)</f>
        <v>0</v>
      </c>
      <c r="AJ45" s="547">
        <f>SUM(AJ9:AJ44)</f>
        <v>2279.5200000000004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22139.890000000003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640.65709677419341</v>
      </c>
      <c r="T47" s="316">
        <f>S45*2315</f>
        <v>45976756.549999997</v>
      </c>
      <c r="U47" s="317" t="s">
        <v>244</v>
      </c>
      <c r="AR47" s="523">
        <f>AR45*2143</f>
        <v>47445784.270000003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20085.957426823938</v>
      </c>
      <c r="U48" s="317" t="s">
        <v>245</v>
      </c>
      <c r="W48" s="191"/>
      <c r="X48" s="191"/>
      <c r="Y48" s="191"/>
      <c r="Z48" s="191"/>
      <c r="AA48" s="191"/>
      <c r="AR48" s="316">
        <f>AR47/2289</f>
        <v>20727.734499781567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7" t="s">
        <v>241</v>
      </c>
      <c r="C50" s="908"/>
      <c r="D50" s="908"/>
      <c r="E50" s="908"/>
      <c r="F50" s="909"/>
      <c r="H50" s="885" t="s">
        <v>213</v>
      </c>
      <c r="I50" s="886"/>
      <c r="J50" s="886"/>
      <c r="K50" s="886"/>
      <c r="L50" s="887"/>
      <c r="N50" s="888" t="s">
        <v>309</v>
      </c>
      <c r="O50" s="889"/>
      <c r="P50" s="889"/>
      <c r="Q50" s="889"/>
      <c r="R50" s="890"/>
      <c r="T50" s="891" t="s">
        <v>226</v>
      </c>
      <c r="U50" s="892"/>
      <c r="V50" s="892"/>
      <c r="W50" s="892"/>
      <c r="X50" s="892"/>
      <c r="Y50" s="893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44264</v>
      </c>
      <c r="C52" s="499" t="s">
        <v>320</v>
      </c>
      <c r="D52" s="501">
        <v>66</v>
      </c>
      <c r="E52" s="500" t="s">
        <v>321</v>
      </c>
      <c r="F52" s="527" t="s">
        <v>322</v>
      </c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/>
      <c r="U52" s="532"/>
      <c r="V52" s="613"/>
      <c r="W52" s="533"/>
      <c r="X52" s="533"/>
      <c r="Y52" s="534"/>
    </row>
    <row r="53" spans="2:46" ht="11.25" customHeight="1">
      <c r="B53" s="499">
        <v>44267</v>
      </c>
      <c r="C53" s="499" t="s">
        <v>323</v>
      </c>
      <c r="D53" s="501">
        <v>51</v>
      </c>
      <c r="E53" s="500" t="s">
        <v>324</v>
      </c>
      <c r="F53" s="527" t="s">
        <v>322</v>
      </c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/>
      <c r="U53" s="200"/>
      <c r="V53" s="613"/>
      <c r="W53" s="500"/>
      <c r="X53" s="500"/>
      <c r="Y53" s="824"/>
    </row>
    <row r="54" spans="2:46" ht="11.25" customHeight="1">
      <c r="B54" s="499">
        <v>44267</v>
      </c>
      <c r="C54" s="499" t="s">
        <v>325</v>
      </c>
      <c r="D54" s="501">
        <v>69</v>
      </c>
      <c r="E54" s="500" t="s">
        <v>324</v>
      </c>
      <c r="F54" s="527" t="s">
        <v>322</v>
      </c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>
        <v>44267</v>
      </c>
      <c r="C55" s="302" t="s">
        <v>326</v>
      </c>
      <c r="D55" s="382">
        <v>122</v>
      </c>
      <c r="E55" s="302" t="s">
        <v>327</v>
      </c>
      <c r="F55" s="527" t="s">
        <v>322</v>
      </c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>
        <v>44268</v>
      </c>
      <c r="C56" s="302" t="s">
        <v>320</v>
      </c>
      <c r="D56" s="382">
        <v>75</v>
      </c>
      <c r="E56" s="302" t="s">
        <v>321</v>
      </c>
      <c r="F56" s="527" t="s">
        <v>322</v>
      </c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>
        <v>44270</v>
      </c>
      <c r="C57" s="302" t="s">
        <v>328</v>
      </c>
      <c r="D57" s="382">
        <v>124</v>
      </c>
      <c r="E57" s="302" t="s">
        <v>329</v>
      </c>
      <c r="F57" s="527" t="s">
        <v>322</v>
      </c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28" sqref="F2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12"/>
      <c r="D6" s="913"/>
      <c r="E6" s="914"/>
      <c r="F6" s="914"/>
      <c r="G6" s="48" t="s">
        <v>4</v>
      </c>
      <c r="H6" s="46" t="s">
        <v>14</v>
      </c>
      <c r="I6" s="41"/>
      <c r="J6" s="113"/>
    </row>
    <row r="7" spans="1:15" ht="18" customHeight="1">
      <c r="A7" s="91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30</v>
      </c>
      <c r="C10" s="268">
        <v>85</v>
      </c>
      <c r="D10" s="268">
        <v>85</v>
      </c>
      <c r="E10" s="268"/>
      <c r="F10" s="268">
        <v>75229</v>
      </c>
      <c r="G10" s="268">
        <f t="shared" ref="G10:G41" si="0">(F10-F9)*4.4</f>
        <v>66</v>
      </c>
      <c r="H10" s="111">
        <f>[4]Gen!B11</f>
        <v>7.6999999999999999E-2</v>
      </c>
      <c r="I10" s="849">
        <f>SUM(F10/H10)</f>
        <v>977000</v>
      </c>
      <c r="J10" s="850">
        <f t="shared" ref="J10:J40" si="1">SUM(G10/I10)</f>
        <v>6.7553735926305012E-5</v>
      </c>
      <c r="N10" s="156"/>
      <c r="O10" s="156"/>
    </row>
    <row r="11" spans="1:15" ht="18.75">
      <c r="A11" s="94">
        <f>Gen!A12</f>
        <v>44257</v>
      </c>
      <c r="B11" s="268">
        <v>28</v>
      </c>
      <c r="C11" s="268">
        <v>85</v>
      </c>
      <c r="D11" s="268">
        <v>85</v>
      </c>
      <c r="E11" s="268"/>
      <c r="F11" s="268">
        <v>75243.73</v>
      </c>
      <c r="G11" s="268">
        <f t="shared" si="0"/>
        <v>64.811999999982078</v>
      </c>
      <c r="H11" s="111">
        <f>[4]Gen!B12</f>
        <v>9.0999999999999998E-2</v>
      </c>
      <c r="I11" s="849">
        <f t="shared" ref="I11:I41" si="2">SUM(F11/H11)</f>
        <v>826854.17582417582</v>
      </c>
      <c r="J11" s="850">
        <f t="shared" si="1"/>
        <v>7.8383833443642007E-5</v>
      </c>
      <c r="M11" s="156"/>
      <c r="N11" s="156"/>
    </row>
    <row r="12" spans="1:15" ht="18.75">
      <c r="A12" s="94">
        <f>Gen!A13</f>
        <v>44258</v>
      </c>
      <c r="B12" s="268">
        <v>25</v>
      </c>
      <c r="C12" s="268">
        <v>85</v>
      </c>
      <c r="D12" s="268">
        <v>85</v>
      </c>
      <c r="E12" s="268"/>
      <c r="F12" s="268">
        <v>75258.710000000006</v>
      </c>
      <c r="G12" s="268">
        <f t="shared" si="0"/>
        <v>65.912000000046106</v>
      </c>
      <c r="H12" s="111">
        <f>[4]Gen!B13</f>
        <v>1.2999999999999999E-2</v>
      </c>
      <c r="I12" s="849">
        <f t="shared" si="2"/>
        <v>5789131.538461539</v>
      </c>
      <c r="J12" s="850">
        <f t="shared" si="1"/>
        <v>1.1385472857568238E-5</v>
      </c>
      <c r="M12" s="156"/>
      <c r="N12" s="156"/>
    </row>
    <row r="13" spans="1:15" ht="18.75">
      <c r="A13" s="94">
        <f>Gen!A14</f>
        <v>44259</v>
      </c>
      <c r="B13" s="268">
        <v>25</v>
      </c>
      <c r="C13" s="268">
        <v>85</v>
      </c>
      <c r="D13" s="268">
        <v>85</v>
      </c>
      <c r="E13" s="268"/>
      <c r="F13" s="268">
        <v>75272.710000000006</v>
      </c>
      <c r="G13" s="268">
        <f t="shared" ref="G13" si="3">(F13-F12)*4.4</f>
        <v>61.600000000000009</v>
      </c>
      <c r="H13" s="111">
        <f>[4]Gen!B14</f>
        <v>1.2999999999999999E-2</v>
      </c>
      <c r="I13" s="849">
        <f t="shared" si="2"/>
        <v>5790208.461538462</v>
      </c>
      <c r="J13" s="850">
        <f t="shared" si="1"/>
        <v>1.0638649784231232E-5</v>
      </c>
      <c r="M13" s="156"/>
      <c r="N13" s="156"/>
    </row>
    <row r="14" spans="1:15" ht="18.75">
      <c r="A14" s="94">
        <f>Gen!A15</f>
        <v>44260</v>
      </c>
      <c r="B14" s="268">
        <v>23</v>
      </c>
      <c r="C14" s="268">
        <v>85</v>
      </c>
      <c r="D14" s="268">
        <v>85</v>
      </c>
      <c r="E14" s="268"/>
      <c r="F14" s="268">
        <v>75288.38</v>
      </c>
      <c r="G14" s="268">
        <f t="shared" si="0"/>
        <v>68.947999999992319</v>
      </c>
      <c r="H14" s="111">
        <f>[4]Gen!B15</f>
        <v>0.01</v>
      </c>
      <c r="I14" s="849">
        <f t="shared" si="2"/>
        <v>7528838</v>
      </c>
      <c r="J14" s="850">
        <f t="shared" si="1"/>
        <v>9.157854107100235E-6</v>
      </c>
      <c r="M14" s="156"/>
      <c r="N14" s="156"/>
    </row>
    <row r="15" spans="1:15" ht="18.75">
      <c r="A15" s="94">
        <f>Gen!A16</f>
        <v>44261</v>
      </c>
      <c r="B15" s="268">
        <v>20</v>
      </c>
      <c r="C15" s="268">
        <v>85</v>
      </c>
      <c r="D15" s="268">
        <v>85</v>
      </c>
      <c r="E15" s="268"/>
      <c r="F15" s="268">
        <v>75303.28</v>
      </c>
      <c r="G15" s="268">
        <f t="shared" si="0"/>
        <v>65.559999999974394</v>
      </c>
      <c r="H15" s="111">
        <f>[4]Gen!B16</f>
        <v>0.01</v>
      </c>
      <c r="I15" s="849">
        <f t="shared" si="2"/>
        <v>7530328</v>
      </c>
      <c r="J15" s="850">
        <f t="shared" si="1"/>
        <v>8.7061280730367113E-6</v>
      </c>
      <c r="M15" s="156"/>
      <c r="N15" s="156"/>
    </row>
    <row r="16" spans="1:15" ht="18.75">
      <c r="A16" s="94">
        <f>Gen!A17</f>
        <v>44262</v>
      </c>
      <c r="B16" s="268">
        <v>19</v>
      </c>
      <c r="C16" s="268">
        <v>85</v>
      </c>
      <c r="D16" s="268">
        <v>85</v>
      </c>
      <c r="E16" s="268"/>
      <c r="F16" s="268">
        <v>75317.320000000007</v>
      </c>
      <c r="G16" s="268">
        <f t="shared" si="0"/>
        <v>61.776000000035864</v>
      </c>
      <c r="H16" s="111">
        <f>[4]Gen!B17</f>
        <v>0.01</v>
      </c>
      <c r="I16" s="849">
        <f t="shared" si="2"/>
        <v>7531732.0000000009</v>
      </c>
      <c r="J16" s="850">
        <f t="shared" si="1"/>
        <v>8.2020974724055305E-6</v>
      </c>
      <c r="M16" s="156"/>
      <c r="N16" s="156"/>
    </row>
    <row r="17" spans="1:14" ht="18.75">
      <c r="A17" s="94">
        <f>Gen!A18</f>
        <v>44263</v>
      </c>
      <c r="B17" s="268">
        <v>18</v>
      </c>
      <c r="C17" s="268">
        <v>85</v>
      </c>
      <c r="D17" s="268">
        <v>85</v>
      </c>
      <c r="E17" s="268"/>
      <c r="F17" s="268">
        <v>75334.36</v>
      </c>
      <c r="G17" s="268">
        <f t="shared" si="0"/>
        <v>74.975999999971833</v>
      </c>
      <c r="H17" s="111">
        <f>[4]Gen!B18</f>
        <v>0.01</v>
      </c>
      <c r="I17" s="849">
        <f t="shared" si="2"/>
        <v>7533436</v>
      </c>
      <c r="J17" s="850">
        <f t="shared" si="1"/>
        <v>9.9524307367809096E-6</v>
      </c>
      <c r="M17" s="156"/>
      <c r="N17" s="156"/>
    </row>
    <row r="18" spans="1:14" ht="18.75">
      <c r="A18" s="94">
        <f>Gen!A19</f>
        <v>44264</v>
      </c>
      <c r="B18" s="268">
        <v>16</v>
      </c>
      <c r="C18" s="268">
        <v>85</v>
      </c>
      <c r="D18" s="268">
        <v>85</v>
      </c>
      <c r="E18" s="268"/>
      <c r="F18" s="268">
        <v>75353.06</v>
      </c>
      <c r="G18" s="268">
        <f t="shared" si="0"/>
        <v>82.279999999987197</v>
      </c>
      <c r="H18" s="111">
        <f>[4]Gen!B19</f>
        <v>0.01</v>
      </c>
      <c r="I18" s="849">
        <f t="shared" si="2"/>
        <v>7535306</v>
      </c>
      <c r="J18" s="850">
        <f t="shared" si="1"/>
        <v>1.0919264592570918E-5</v>
      </c>
      <c r="M18" s="156"/>
      <c r="N18" s="156"/>
    </row>
    <row r="19" spans="1:14" ht="18.75">
      <c r="A19" s="94">
        <f>Gen!A20</f>
        <v>44265</v>
      </c>
      <c r="B19" s="268">
        <v>15</v>
      </c>
      <c r="C19" s="268">
        <v>85</v>
      </c>
      <c r="D19" s="268">
        <v>85</v>
      </c>
      <c r="E19" s="268"/>
      <c r="F19" s="268">
        <v>75374.41</v>
      </c>
      <c r="G19" s="268">
        <f t="shared" si="0"/>
        <v>93.94000000002562</v>
      </c>
      <c r="H19" s="111">
        <f>[4]Gen!B20</f>
        <v>0.01</v>
      </c>
      <c r="I19" s="849">
        <f t="shared" si="2"/>
        <v>7537441</v>
      </c>
      <c r="J19" s="850">
        <f t="shared" si="1"/>
        <v>1.2463115797526723E-5</v>
      </c>
      <c r="M19" s="156"/>
      <c r="N19" s="156"/>
    </row>
    <row r="20" spans="1:14" ht="18.75">
      <c r="A20" s="94">
        <f>Gen!A21</f>
        <v>44266</v>
      </c>
      <c r="B20" s="268">
        <v>12</v>
      </c>
      <c r="C20" s="268">
        <v>85</v>
      </c>
      <c r="D20" s="268">
        <v>85</v>
      </c>
      <c r="E20" s="268"/>
      <c r="F20" s="268">
        <v>75398.179999999993</v>
      </c>
      <c r="G20" s="268">
        <f t="shared" si="0"/>
        <v>104.58799999995391</v>
      </c>
      <c r="H20" s="111">
        <f>[4]Gen!B21</f>
        <v>0.01</v>
      </c>
      <c r="I20" s="849">
        <f t="shared" si="2"/>
        <v>7539817.9999999991</v>
      </c>
      <c r="J20" s="850">
        <f t="shared" si="1"/>
        <v>1.3871422360586677E-5</v>
      </c>
    </row>
    <row r="21" spans="1:14" ht="18.75">
      <c r="A21" s="94">
        <f>Gen!A22</f>
        <v>44267</v>
      </c>
      <c r="B21" s="268">
        <v>10</v>
      </c>
      <c r="C21" s="268">
        <v>85</v>
      </c>
      <c r="D21" s="268">
        <v>85</v>
      </c>
      <c r="E21" s="268"/>
      <c r="F21" s="268">
        <v>75417.399999999994</v>
      </c>
      <c r="G21" s="268">
        <f t="shared" si="0"/>
        <v>84.568000000005128</v>
      </c>
      <c r="H21" s="111">
        <f>[4]Gen!B22</f>
        <v>0.03</v>
      </c>
      <c r="I21" s="849">
        <f t="shared" si="2"/>
        <v>2513913.333333333</v>
      </c>
      <c r="J21" s="850">
        <f t="shared" si="1"/>
        <v>3.363998228525717E-5</v>
      </c>
    </row>
    <row r="22" spans="1:14" ht="18.75">
      <c r="A22" s="94">
        <f>Gen!A23</f>
        <v>44268</v>
      </c>
      <c r="B22" s="268">
        <v>8</v>
      </c>
      <c r="C22" s="268">
        <v>85</v>
      </c>
      <c r="D22" s="268">
        <v>85</v>
      </c>
      <c r="E22" s="268"/>
      <c r="F22" s="268">
        <v>75435.460000000006</v>
      </c>
      <c r="G22" s="268">
        <f t="shared" si="0"/>
        <v>79.464000000053787</v>
      </c>
      <c r="H22" s="111">
        <f>[4]Gen!B23</f>
        <v>0.22</v>
      </c>
      <c r="I22" s="849">
        <f t="shared" si="2"/>
        <v>342888.45454545459</v>
      </c>
      <c r="J22" s="850">
        <f t="shared" si="1"/>
        <v>2.3174883536220009E-4</v>
      </c>
    </row>
    <row r="23" spans="1:14" ht="18.75">
      <c r="A23" s="94">
        <f>Gen!A24</f>
        <v>44269</v>
      </c>
      <c r="B23" s="268">
        <v>5</v>
      </c>
      <c r="C23" s="268">
        <v>85</v>
      </c>
      <c r="D23" s="268">
        <v>85</v>
      </c>
      <c r="E23" s="268"/>
      <c r="F23" s="268">
        <v>75453.42</v>
      </c>
      <c r="G23" s="268">
        <f>(F23-F22)*4.4</f>
        <v>79.023999999964147</v>
      </c>
      <c r="H23" s="111">
        <f>[4]Gen!B24</f>
        <v>0.23</v>
      </c>
      <c r="I23" s="849">
        <f t="shared" si="2"/>
        <v>328058.34782608692</v>
      </c>
      <c r="J23" s="850">
        <f t="shared" si="1"/>
        <v>2.4088397848622047E-4</v>
      </c>
    </row>
    <row r="24" spans="1:14" ht="18.75">
      <c r="A24" s="94">
        <f>Gen!A25</f>
        <v>44270</v>
      </c>
      <c r="B24" s="268">
        <v>4</v>
      </c>
      <c r="C24" s="268">
        <v>85</v>
      </c>
      <c r="D24" s="268">
        <v>85</v>
      </c>
      <c r="E24" s="268"/>
      <c r="F24" s="268">
        <v>75473.570000000007</v>
      </c>
      <c r="G24" s="268">
        <f t="shared" si="0"/>
        <v>88.660000000038423</v>
      </c>
      <c r="H24" s="111">
        <f>[4]Gen!B25</f>
        <v>0.21</v>
      </c>
      <c r="I24" s="849">
        <f t="shared" si="2"/>
        <v>359397.95238095243</v>
      </c>
      <c r="J24" s="850">
        <f t="shared" si="1"/>
        <v>2.4669033146316078E-4</v>
      </c>
    </row>
    <row r="25" spans="1:14" ht="18.75">
      <c r="A25" s="94">
        <f>Gen!A26</f>
        <v>44271</v>
      </c>
      <c r="B25" s="268">
        <v>2</v>
      </c>
      <c r="C25" s="268">
        <v>85</v>
      </c>
      <c r="D25" s="268">
        <v>85</v>
      </c>
      <c r="E25" s="268"/>
      <c r="F25" s="268">
        <v>75488.2</v>
      </c>
      <c r="G25" s="268">
        <f t="shared" si="0"/>
        <v>64.371999999956472</v>
      </c>
      <c r="H25" s="111">
        <f>[4]Gen!B26</f>
        <v>0.03</v>
      </c>
      <c r="I25" s="849">
        <f t="shared" si="2"/>
        <v>2516273.3333333335</v>
      </c>
      <c r="J25" s="850">
        <f t="shared" si="1"/>
        <v>2.558227643524013E-5</v>
      </c>
    </row>
    <row r="26" spans="1:14" ht="18.75">
      <c r="A26" s="94">
        <f>Gen!A27</f>
        <v>44272</v>
      </c>
      <c r="B26" s="268">
        <v>1</v>
      </c>
      <c r="C26" s="268">
        <v>85</v>
      </c>
      <c r="D26" s="268">
        <v>85</v>
      </c>
      <c r="E26" s="268"/>
      <c r="F26" s="268">
        <v>75506.75</v>
      </c>
      <c r="G26" s="268">
        <f t="shared" si="0"/>
        <v>81.620000000012809</v>
      </c>
      <c r="H26" s="111">
        <f>[4]Gen!B27</f>
        <v>0.06</v>
      </c>
      <c r="I26" s="849">
        <f t="shared" si="2"/>
        <v>1258445.8333333335</v>
      </c>
      <c r="J26" s="850">
        <f t="shared" si="1"/>
        <v>6.4857777615918684E-5</v>
      </c>
    </row>
    <row r="27" spans="1:14" ht="18.75">
      <c r="A27" s="94">
        <f>Gen!A28</f>
        <v>44273</v>
      </c>
      <c r="B27" s="268">
        <v>1</v>
      </c>
      <c r="C27" s="268">
        <v>85</v>
      </c>
      <c r="D27" s="268">
        <v>85</v>
      </c>
      <c r="E27" s="268"/>
      <c r="F27" s="268">
        <v>75521.84</v>
      </c>
      <c r="G27" s="268">
        <f t="shared" si="0"/>
        <v>66.395999999984639</v>
      </c>
      <c r="H27" s="111">
        <f>[4]Gen!B28</f>
        <v>0.05</v>
      </c>
      <c r="I27" s="849">
        <f t="shared" si="2"/>
        <v>1510436.7999999998</v>
      </c>
      <c r="J27" s="850">
        <f t="shared" si="1"/>
        <v>4.3958145087556561E-5</v>
      </c>
    </row>
    <row r="28" spans="1:14" ht="18.75">
      <c r="A28" s="94">
        <f>Gen!A29</f>
        <v>44274</v>
      </c>
      <c r="B28" s="268"/>
      <c r="C28" s="268"/>
      <c r="D28" s="268"/>
      <c r="E28" s="268"/>
      <c r="F28" s="268"/>
      <c r="G28" s="268">
        <f t="shared" si="0"/>
        <v>-332296.09600000002</v>
      </c>
      <c r="H28" s="111">
        <f>[4]Gen!B29</f>
        <v>7.7899999999999997E-2</v>
      </c>
      <c r="I28" s="849">
        <f t="shared" si="2"/>
        <v>0</v>
      </c>
      <c r="J28" s="850" t="e">
        <f t="shared" si="1"/>
        <v>#DIV/0!</v>
      </c>
    </row>
    <row r="29" spans="1:14" ht="18.75">
      <c r="A29" s="94">
        <f>Gen!A30</f>
        <v>44275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849">
        <f t="shared" si="2"/>
        <v>0</v>
      </c>
      <c r="J29" s="850" t="e">
        <f t="shared" si="1"/>
        <v>#DIV/0!</v>
      </c>
    </row>
    <row r="30" spans="1:14" ht="18.75">
      <c r="A30" s="94">
        <f>Gen!A31</f>
        <v>44276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849">
        <f t="shared" si="2"/>
        <v>0</v>
      </c>
      <c r="J30" s="850" t="e">
        <f t="shared" si="1"/>
        <v>#DIV/0!</v>
      </c>
    </row>
    <row r="31" spans="1:14" ht="18.75">
      <c r="A31" s="94">
        <f>Gen!A32</f>
        <v>44277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849">
        <f t="shared" si="2"/>
        <v>0</v>
      </c>
      <c r="J31" s="850" t="e">
        <f t="shared" si="1"/>
        <v>#DIV/0!</v>
      </c>
    </row>
    <row r="32" spans="1:14" ht="18.75">
      <c r="A32" s="94">
        <f>Gen!A33</f>
        <v>44278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849">
        <f t="shared" si="2"/>
        <v>0</v>
      </c>
      <c r="J32" s="850" t="e">
        <f t="shared" si="1"/>
        <v>#DIV/0!</v>
      </c>
    </row>
    <row r="33" spans="1:10" ht="18.75">
      <c r="A33" s="94">
        <f>Gen!A34</f>
        <v>44279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849">
        <f t="shared" si="2"/>
        <v>0</v>
      </c>
      <c r="J33" s="850" t="e">
        <f t="shared" si="1"/>
        <v>#DIV/0!</v>
      </c>
    </row>
    <row r="34" spans="1:10" ht="18.75">
      <c r="A34" s="94">
        <f>Gen!A35</f>
        <v>44280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849">
        <f t="shared" si="2"/>
        <v>0</v>
      </c>
      <c r="J34" s="850" t="e">
        <f t="shared" si="1"/>
        <v>#DIV/0!</v>
      </c>
    </row>
    <row r="35" spans="1:10" ht="18.75">
      <c r="A35" s="94">
        <f>Gen!A36</f>
        <v>44281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849">
        <f t="shared" si="2"/>
        <v>0</v>
      </c>
      <c r="J35" s="850" t="e">
        <f t="shared" si="1"/>
        <v>#DIV/0!</v>
      </c>
    </row>
    <row r="36" spans="1:10" ht="18.75">
      <c r="A36" s="94">
        <f>Gen!A37</f>
        <v>44282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849">
        <f t="shared" si="2"/>
        <v>0</v>
      </c>
      <c r="J36" s="850" t="e">
        <f t="shared" si="1"/>
        <v>#DIV/0!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849">
        <f t="shared" si="2"/>
        <v>0</v>
      </c>
      <c r="J37" s="850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849">
        <f t="shared" si="2"/>
        <v>0</v>
      </c>
      <c r="J38" s="850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849">
        <f t="shared" si="2"/>
        <v>0</v>
      </c>
      <c r="J39" s="850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849">
        <f t="shared" si="2"/>
        <v>0</v>
      </c>
      <c r="J40" s="850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849" t="e">
        <f t="shared" si="2"/>
        <v>#DIV/0!</v>
      </c>
      <c r="J41" s="851"/>
    </row>
    <row r="42" spans="1:10" ht="17.25">
      <c r="A42" s="94"/>
      <c r="B42" s="5"/>
      <c r="C42" s="911" t="s">
        <v>6</v>
      </c>
      <c r="D42" s="911"/>
      <c r="E42" s="2">
        <f t="shared" ref="E42" si="4">SUM(E10:E40)</f>
        <v>0</v>
      </c>
      <c r="F42" s="2">
        <f>SUM(F10:F41)</f>
        <v>1356669.7800000003</v>
      </c>
      <c r="G42" s="101">
        <f>SUM(G10:G40)</f>
        <v>-330941.60000000003</v>
      </c>
      <c r="H42" s="111">
        <f>[4]Gen!B43</f>
        <v>0.18598064516129031</v>
      </c>
      <c r="I42" s="849"/>
      <c r="J42" s="850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10"/>
      <c r="C45" s="910"/>
      <c r="D45" s="910"/>
      <c r="E45" s="910"/>
      <c r="F45" s="910"/>
      <c r="G45" s="910"/>
      <c r="H45" s="910"/>
      <c r="I45" s="837"/>
      <c r="J45" s="844"/>
    </row>
    <row r="46" spans="1:10">
      <c r="A46" s="19"/>
      <c r="B46" s="910"/>
      <c r="C46" s="910"/>
      <c r="D46" s="910"/>
      <c r="E46" s="910"/>
      <c r="F46" s="910"/>
      <c r="G46" s="910"/>
      <c r="H46" s="910"/>
      <c r="I46" s="837"/>
      <c r="J46" s="844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4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4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4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4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4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4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4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4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3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R1" activePane="topRight" state="frozen"/>
      <selection pane="topRight" activeCell="AI24" sqref="AI2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1" t="s">
        <v>315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2"/>
      <c r="O1" s="922"/>
      <c r="P1" s="922"/>
      <c r="Q1" s="922"/>
      <c r="R1" s="922"/>
      <c r="S1" s="922"/>
      <c r="T1" s="922"/>
      <c r="U1" s="922"/>
      <c r="V1" s="922"/>
      <c r="W1" s="922"/>
      <c r="X1" s="922"/>
      <c r="Y1" s="922"/>
      <c r="Z1" s="922"/>
      <c r="AA1" s="922"/>
      <c r="AB1" s="922"/>
      <c r="AC1" s="922"/>
      <c r="AD1" s="922"/>
      <c r="AE1" s="922"/>
      <c r="AF1" s="922"/>
      <c r="AG1" s="922"/>
      <c r="AH1" s="922"/>
      <c r="AI1" s="922"/>
      <c r="AJ1" s="922"/>
      <c r="AK1" s="922"/>
      <c r="AL1" s="922"/>
      <c r="AM1" s="922"/>
      <c r="AN1" s="922"/>
    </row>
    <row r="2" spans="1:40" ht="13.5" customHeight="1" thickTop="1">
      <c r="A2" s="29"/>
      <c r="B2" s="29"/>
      <c r="C2" s="918" t="s">
        <v>52</v>
      </c>
      <c r="D2" s="918"/>
      <c r="E2" s="918"/>
      <c r="F2" s="918" t="s">
        <v>17</v>
      </c>
      <c r="G2" s="918"/>
      <c r="H2" s="918"/>
      <c r="I2" s="918" t="s">
        <v>131</v>
      </c>
      <c r="J2" s="918"/>
      <c r="K2" s="918"/>
      <c r="L2" s="918" t="s">
        <v>134</v>
      </c>
      <c r="M2" s="918"/>
      <c r="N2" s="918"/>
      <c r="O2" s="918" t="s">
        <v>132</v>
      </c>
      <c r="P2" s="918"/>
      <c r="Q2" s="918"/>
      <c r="R2" s="252"/>
      <c r="S2" s="929" t="s">
        <v>181</v>
      </c>
      <c r="T2" s="930"/>
      <c r="U2" s="931"/>
      <c r="V2" s="929" t="s">
        <v>182</v>
      </c>
      <c r="W2" s="930"/>
      <c r="X2" s="931"/>
      <c r="Y2" s="929" t="s">
        <v>183</v>
      </c>
      <c r="Z2" s="930"/>
      <c r="AA2" s="931"/>
      <c r="AB2" s="929" t="s">
        <v>184</v>
      </c>
      <c r="AC2" s="930"/>
      <c r="AD2" s="931"/>
      <c r="AE2" s="923" t="s">
        <v>239</v>
      </c>
      <c r="AF2" s="924"/>
      <c r="AG2" s="935"/>
      <c r="AH2" s="923" t="s">
        <v>243</v>
      </c>
      <c r="AI2" s="924"/>
      <c r="AJ2" s="935"/>
      <c r="AK2" s="923" t="s">
        <v>240</v>
      </c>
      <c r="AL2" s="924"/>
      <c r="AM2" s="924"/>
      <c r="AN2" s="927" t="s">
        <v>189</v>
      </c>
    </row>
    <row r="3" spans="1:40" ht="21.75" customHeight="1" thickBot="1">
      <c r="A3" s="919" t="s">
        <v>7</v>
      </c>
      <c r="B3" s="29"/>
      <c r="C3" s="918" t="s">
        <v>133</v>
      </c>
      <c r="D3" s="918" t="s">
        <v>15</v>
      </c>
      <c r="E3" s="918" t="s">
        <v>16</v>
      </c>
      <c r="F3" s="918" t="s">
        <v>133</v>
      </c>
      <c r="G3" s="918" t="s">
        <v>15</v>
      </c>
      <c r="H3" s="918" t="s">
        <v>16</v>
      </c>
      <c r="I3" s="918" t="s">
        <v>133</v>
      </c>
      <c r="J3" s="918" t="s">
        <v>15</v>
      </c>
      <c r="K3" s="918" t="s">
        <v>16</v>
      </c>
      <c r="L3" s="918" t="s">
        <v>133</v>
      </c>
      <c r="M3" s="918" t="s">
        <v>15</v>
      </c>
      <c r="N3" s="918" t="s">
        <v>16</v>
      </c>
      <c r="O3" s="918" t="s">
        <v>133</v>
      </c>
      <c r="P3" s="918" t="s">
        <v>15</v>
      </c>
      <c r="Q3" s="918" t="s">
        <v>16</v>
      </c>
      <c r="R3" s="937" t="s">
        <v>185</v>
      </c>
      <c r="S3" s="932"/>
      <c r="T3" s="933"/>
      <c r="U3" s="934"/>
      <c r="V3" s="932"/>
      <c r="W3" s="933"/>
      <c r="X3" s="934"/>
      <c r="Y3" s="932"/>
      <c r="Z3" s="933"/>
      <c r="AA3" s="934"/>
      <c r="AB3" s="932"/>
      <c r="AC3" s="933"/>
      <c r="AD3" s="934"/>
      <c r="AE3" s="925"/>
      <c r="AF3" s="926"/>
      <c r="AG3" s="936"/>
      <c r="AH3" s="925"/>
      <c r="AI3" s="926"/>
      <c r="AJ3" s="936"/>
      <c r="AK3" s="925"/>
      <c r="AL3" s="926"/>
      <c r="AM3" s="926"/>
      <c r="AN3" s="928"/>
    </row>
    <row r="4" spans="1:40" ht="15.75" thickTop="1">
      <c r="A4" s="920"/>
      <c r="B4" s="244"/>
      <c r="C4" s="918"/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3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>
        <v>251176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>
        <v>8308</v>
      </c>
      <c r="K11" s="474">
        <f t="shared" si="26"/>
        <v>2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>
        <v>21017</v>
      </c>
      <c r="Q11" s="474">
        <f t="shared" si="7"/>
        <v>3</v>
      </c>
      <c r="R11" s="250"/>
      <c r="S11" s="245">
        <f t="shared" si="15"/>
        <v>65650</v>
      </c>
      <c r="T11" s="384">
        <v>65735</v>
      </c>
      <c r="U11" s="475">
        <f t="shared" si="16"/>
        <v>85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89838</v>
      </c>
      <c r="Z11" s="384">
        <v>89838</v>
      </c>
      <c r="AA11" s="475">
        <f t="shared" si="18"/>
        <v>0</v>
      </c>
      <c r="AB11" s="607">
        <f t="shared" si="22"/>
        <v>18357</v>
      </c>
      <c r="AC11" s="608">
        <v>18372</v>
      </c>
      <c r="AD11" s="610">
        <f t="shared" si="23"/>
        <v>15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29617</v>
      </c>
      <c r="AI11" s="385">
        <v>29643</v>
      </c>
      <c r="AJ11" s="475">
        <f t="shared" si="20"/>
        <v>26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126</v>
      </c>
    </row>
    <row r="12" spans="1:40" ht="23.1" customHeight="1">
      <c r="A12" s="57">
        <f>Gen!A17</f>
        <v>44262</v>
      </c>
      <c r="B12" s="4"/>
      <c r="C12" s="95">
        <f t="shared" si="0"/>
        <v>251176</v>
      </c>
      <c r="D12" s="1">
        <v>251236</v>
      </c>
      <c r="E12" s="58">
        <f t="shared" si="1"/>
        <v>60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8308</v>
      </c>
      <c r="J12" s="1">
        <v>8310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21017</v>
      </c>
      <c r="P12" s="383">
        <v>21026</v>
      </c>
      <c r="Q12" s="474">
        <f t="shared" si="7"/>
        <v>9</v>
      </c>
      <c r="R12" s="250"/>
      <c r="S12" s="245">
        <f t="shared" si="15"/>
        <v>65735</v>
      </c>
      <c r="T12" s="384">
        <v>65820</v>
      </c>
      <c r="U12" s="475">
        <f t="shared" si="16"/>
        <v>85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89838</v>
      </c>
      <c r="Z12" s="384">
        <v>89838</v>
      </c>
      <c r="AA12" s="475">
        <f t="shared" si="18"/>
        <v>0</v>
      </c>
      <c r="AB12" s="607">
        <f t="shared" si="22"/>
        <v>18372</v>
      </c>
      <c r="AC12" s="608">
        <v>18388</v>
      </c>
      <c r="AD12" s="610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29643</v>
      </c>
      <c r="AI12" s="385">
        <v>29669</v>
      </c>
      <c r="AJ12" s="475">
        <f t="shared" si="20"/>
        <v>26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127</v>
      </c>
    </row>
    <row r="13" spans="1:40" ht="23.1" customHeight="1">
      <c r="A13" s="57">
        <f>Gen!A18</f>
        <v>44263</v>
      </c>
      <c r="B13" s="4"/>
      <c r="C13" s="95">
        <f t="shared" si="0"/>
        <v>251236</v>
      </c>
      <c r="D13" s="1">
        <v>251286</v>
      </c>
      <c r="E13" s="58">
        <f t="shared" si="1"/>
        <v>50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8310</v>
      </c>
      <c r="J13" s="1">
        <v>8312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21026</v>
      </c>
      <c r="P13" s="383">
        <v>21027</v>
      </c>
      <c r="Q13" s="474">
        <f t="shared" si="7"/>
        <v>1</v>
      </c>
      <c r="R13" s="250"/>
      <c r="S13" s="245">
        <f t="shared" si="15"/>
        <v>65820</v>
      </c>
      <c r="T13" s="384">
        <v>65903</v>
      </c>
      <c r="U13" s="475">
        <f t="shared" si="16"/>
        <v>83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89838</v>
      </c>
      <c r="Z13" s="384">
        <v>89838</v>
      </c>
      <c r="AA13" s="475">
        <f t="shared" si="18"/>
        <v>0</v>
      </c>
      <c r="AB13" s="607">
        <f t="shared" si="22"/>
        <v>18388</v>
      </c>
      <c r="AC13" s="608">
        <v>18404</v>
      </c>
      <c r="AD13" s="610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29669</v>
      </c>
      <c r="AI13" s="385">
        <v>29695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125</v>
      </c>
    </row>
    <row r="14" spans="1:40" ht="23.1" customHeight="1">
      <c r="A14" s="57">
        <f>Gen!A19</f>
        <v>44264</v>
      </c>
      <c r="B14" s="4"/>
      <c r="C14" s="95">
        <f t="shared" si="0"/>
        <v>251286</v>
      </c>
      <c r="D14" s="1">
        <v>251329</v>
      </c>
      <c r="E14" s="58">
        <f t="shared" si="1"/>
        <v>43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8312</v>
      </c>
      <c r="J14" s="1">
        <v>8314</v>
      </c>
      <c r="K14" s="474">
        <f t="shared" ref="K14:K27" si="28">IF((J14-J13)&lt;0,"0",(J14-J13))</f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21027</v>
      </c>
      <c r="P14" s="383">
        <v>21028</v>
      </c>
      <c r="Q14" s="474">
        <f t="shared" si="7"/>
        <v>1</v>
      </c>
      <c r="R14" s="250"/>
      <c r="S14" s="245">
        <f t="shared" si="15"/>
        <v>65903</v>
      </c>
      <c r="T14" s="384">
        <v>65980</v>
      </c>
      <c r="U14" s="475">
        <f t="shared" si="16"/>
        <v>77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89838</v>
      </c>
      <c r="Z14" s="384">
        <v>89838</v>
      </c>
      <c r="AA14" s="475">
        <f t="shared" si="18"/>
        <v>0</v>
      </c>
      <c r="AB14" s="607">
        <f t="shared" si="22"/>
        <v>18404</v>
      </c>
      <c r="AC14" s="611">
        <v>18420</v>
      </c>
      <c r="AD14" s="610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29695</v>
      </c>
      <c r="AI14" s="385">
        <v>29721</v>
      </c>
      <c r="AJ14" s="475">
        <f t="shared" si="20"/>
        <v>26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119</v>
      </c>
    </row>
    <row r="15" spans="1:40" ht="23.1" customHeight="1">
      <c r="A15" s="57">
        <f>Gen!A20</f>
        <v>44265</v>
      </c>
      <c r="B15" s="4"/>
      <c r="C15" s="95">
        <f t="shared" si="0"/>
        <v>251329</v>
      </c>
      <c r="D15" s="1">
        <v>251356</v>
      </c>
      <c r="E15" s="58">
        <f t="shared" si="1"/>
        <v>27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8314</v>
      </c>
      <c r="J15" s="1">
        <v>8316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21028</v>
      </c>
      <c r="P15" s="383">
        <v>21032</v>
      </c>
      <c r="Q15" s="474">
        <f t="shared" si="7"/>
        <v>4</v>
      </c>
      <c r="R15" s="250"/>
      <c r="S15" s="245">
        <f t="shared" si="15"/>
        <v>65980</v>
      </c>
      <c r="T15" s="384">
        <v>66063</v>
      </c>
      <c r="U15" s="475">
        <f t="shared" si="16"/>
        <v>83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89838</v>
      </c>
      <c r="Z15" s="384">
        <v>89838</v>
      </c>
      <c r="AA15" s="475">
        <f t="shared" si="18"/>
        <v>0</v>
      </c>
      <c r="AB15" s="607">
        <f t="shared" si="22"/>
        <v>18420</v>
      </c>
      <c r="AC15" s="611">
        <v>18436</v>
      </c>
      <c r="AD15" s="610">
        <f t="shared" si="23"/>
        <v>16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29721</v>
      </c>
      <c r="AI15" s="385">
        <v>29747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125</v>
      </c>
    </row>
    <row r="16" spans="1:40" ht="23.1" customHeight="1">
      <c r="A16" s="57">
        <f>Gen!A21</f>
        <v>44266</v>
      </c>
      <c r="B16" s="4"/>
      <c r="C16" s="95">
        <f t="shared" si="0"/>
        <v>251356</v>
      </c>
      <c r="D16" s="1">
        <v>251416</v>
      </c>
      <c r="E16" s="58">
        <f>IF((D16-D15)&lt;0,"0",(D16-D15))</f>
        <v>60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8316</v>
      </c>
      <c r="J16" s="1">
        <v>8318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21032</v>
      </c>
      <c r="P16" s="383">
        <v>21035</v>
      </c>
      <c r="Q16" s="474">
        <f t="shared" si="7"/>
        <v>3</v>
      </c>
      <c r="R16" s="250"/>
      <c r="S16" s="245">
        <f t="shared" si="15"/>
        <v>66063</v>
      </c>
      <c r="T16" s="384">
        <v>66147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89838</v>
      </c>
      <c r="Z16" s="384">
        <v>89838</v>
      </c>
      <c r="AA16" s="475">
        <f t="shared" si="18"/>
        <v>0</v>
      </c>
      <c r="AB16" s="607">
        <f t="shared" si="22"/>
        <v>18436</v>
      </c>
      <c r="AC16" s="611">
        <v>18450</v>
      </c>
      <c r="AD16" s="610">
        <f t="shared" si="23"/>
        <v>14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29747</v>
      </c>
      <c r="AI16" s="385">
        <v>29773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124</v>
      </c>
    </row>
    <row r="17" spans="1:40" ht="23.1" customHeight="1">
      <c r="A17" s="57">
        <f>Gen!A22</f>
        <v>44267</v>
      </c>
      <c r="B17" s="4"/>
      <c r="C17" s="95">
        <f t="shared" si="0"/>
        <v>251416</v>
      </c>
      <c r="D17" s="1">
        <v>251481</v>
      </c>
      <c r="E17" s="474">
        <f>IF((D17-D16)&lt;0,"0",(D17-D16))</f>
        <v>65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8318</v>
      </c>
      <c r="J17" s="1">
        <v>8320</v>
      </c>
      <c r="K17" s="474">
        <f t="shared" si="28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21035</v>
      </c>
      <c r="P17" s="383">
        <v>21037</v>
      </c>
      <c r="Q17" s="474">
        <f t="shared" si="7"/>
        <v>2</v>
      </c>
      <c r="R17" s="250"/>
      <c r="S17" s="245">
        <f t="shared" si="15"/>
        <v>66147</v>
      </c>
      <c r="T17" s="384">
        <v>66229</v>
      </c>
      <c r="U17" s="475">
        <f t="shared" si="16"/>
        <v>82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89838</v>
      </c>
      <c r="Z17" s="384">
        <v>89838</v>
      </c>
      <c r="AA17" s="475">
        <f>IF((Z17-Z16)&lt;0,"0",(Z17-Z16))</f>
        <v>0</v>
      </c>
      <c r="AB17" s="607">
        <f t="shared" si="22"/>
        <v>18450</v>
      </c>
      <c r="AC17" s="611">
        <v>18466</v>
      </c>
      <c r="AD17" s="610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29773</v>
      </c>
      <c r="AI17" s="385">
        <v>29800</v>
      </c>
      <c r="AJ17" s="475">
        <f t="shared" si="20"/>
        <v>27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125</v>
      </c>
    </row>
    <row r="18" spans="1:40" ht="23.1" customHeight="1">
      <c r="A18" s="57">
        <f>Gen!A23</f>
        <v>44268</v>
      </c>
      <c r="B18" s="4"/>
      <c r="C18" s="95">
        <f t="shared" si="0"/>
        <v>251481</v>
      </c>
      <c r="D18" s="1">
        <v>251556</v>
      </c>
      <c r="E18" s="474">
        <f t="shared" ref="E18:E37" si="29">IF((D18-D17)&lt;0,"0",(D18-D17))</f>
        <v>75</v>
      </c>
      <c r="F18" s="95">
        <f t="shared" si="2"/>
        <v>0</v>
      </c>
      <c r="G18" s="387"/>
      <c r="H18" s="474">
        <f t="shared" si="13"/>
        <v>0</v>
      </c>
      <c r="I18" s="95"/>
      <c r="J18" s="1">
        <v>8322</v>
      </c>
      <c r="K18" s="474">
        <f t="shared" si="28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21037</v>
      </c>
      <c r="P18" s="383">
        <v>21043</v>
      </c>
      <c r="Q18" s="474">
        <f t="shared" si="7"/>
        <v>6</v>
      </c>
      <c r="R18" s="250"/>
      <c r="S18" s="245">
        <f t="shared" si="15"/>
        <v>66229</v>
      </c>
      <c r="T18" s="384">
        <v>66312</v>
      </c>
      <c r="U18" s="475">
        <f t="shared" si="16"/>
        <v>83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89838</v>
      </c>
      <c r="Z18" s="384">
        <v>89838</v>
      </c>
      <c r="AA18" s="475">
        <f t="shared" si="18"/>
        <v>0</v>
      </c>
      <c r="AB18" s="607">
        <f t="shared" si="22"/>
        <v>18466</v>
      </c>
      <c r="AC18" s="611">
        <v>18483</v>
      </c>
      <c r="AD18" s="610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29800</v>
      </c>
      <c r="AI18" s="385">
        <v>29828</v>
      </c>
      <c r="AJ18" s="475">
        <f t="shared" si="20"/>
        <v>28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128</v>
      </c>
    </row>
    <row r="19" spans="1:40" ht="23.1" customHeight="1">
      <c r="A19" s="57">
        <f>Gen!A24</f>
        <v>44269</v>
      </c>
      <c r="B19" s="4"/>
      <c r="C19" s="95">
        <f t="shared" si="0"/>
        <v>251556</v>
      </c>
      <c r="D19" s="1">
        <v>251630</v>
      </c>
      <c r="E19" s="474">
        <f t="shared" si="29"/>
        <v>74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8322</v>
      </c>
      <c r="J19" s="1">
        <v>8324</v>
      </c>
      <c r="K19" s="474">
        <f t="shared" si="28"/>
        <v>2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21043</v>
      </c>
      <c r="P19" s="383">
        <v>21049</v>
      </c>
      <c r="Q19" s="474">
        <f t="shared" si="7"/>
        <v>6</v>
      </c>
      <c r="R19" s="250"/>
      <c r="S19" s="245">
        <f t="shared" si="15"/>
        <v>66312</v>
      </c>
      <c r="T19" s="384">
        <v>66353</v>
      </c>
      <c r="U19" s="475">
        <f t="shared" si="16"/>
        <v>41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89838</v>
      </c>
      <c r="Z19" s="384">
        <v>89838</v>
      </c>
      <c r="AA19" s="475">
        <f t="shared" si="18"/>
        <v>0</v>
      </c>
      <c r="AB19" s="607">
        <f t="shared" si="22"/>
        <v>18483</v>
      </c>
      <c r="AC19" s="611">
        <v>18499</v>
      </c>
      <c r="AD19" s="610">
        <f t="shared" si="23"/>
        <v>16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29828</v>
      </c>
      <c r="AI19" s="385">
        <v>29853</v>
      </c>
      <c r="AJ19" s="475">
        <f t="shared" si="20"/>
        <v>25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82</v>
      </c>
    </row>
    <row r="20" spans="1:40" ht="23.1" customHeight="1">
      <c r="A20" s="57">
        <f>Gen!A25</f>
        <v>44270</v>
      </c>
      <c r="B20" s="4"/>
      <c r="C20" s="95">
        <f t="shared" si="0"/>
        <v>251630</v>
      </c>
      <c r="D20" s="1">
        <v>251704</v>
      </c>
      <c r="E20" s="474">
        <f t="shared" si="29"/>
        <v>74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8324</v>
      </c>
      <c r="J20" s="1">
        <v>8328</v>
      </c>
      <c r="K20" s="474">
        <f t="shared" si="28"/>
        <v>4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21049</v>
      </c>
      <c r="P20" s="383">
        <v>21055</v>
      </c>
      <c r="Q20" s="474">
        <f t="shared" si="7"/>
        <v>6</v>
      </c>
      <c r="R20" s="250"/>
      <c r="S20" s="245">
        <f t="shared" si="15"/>
        <v>66353</v>
      </c>
      <c r="T20" s="384">
        <v>66353</v>
      </c>
      <c r="U20" s="475">
        <f t="shared" si="16"/>
        <v>0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89838</v>
      </c>
      <c r="Z20" s="384">
        <v>89838</v>
      </c>
      <c r="AA20" s="475">
        <f t="shared" si="18"/>
        <v>0</v>
      </c>
      <c r="AB20" s="607">
        <f t="shared" si="22"/>
        <v>18499</v>
      </c>
      <c r="AC20" s="611">
        <v>18515</v>
      </c>
      <c r="AD20" s="610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29853</v>
      </c>
      <c r="AI20" s="385">
        <v>29879</v>
      </c>
      <c r="AJ20" s="475">
        <f t="shared" si="20"/>
        <v>26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42</v>
      </c>
    </row>
    <row r="21" spans="1:40" ht="23.1" customHeight="1">
      <c r="A21" s="57">
        <f>Gen!A26</f>
        <v>44271</v>
      </c>
      <c r="B21" s="4"/>
      <c r="C21" s="95">
        <f t="shared" si="0"/>
        <v>251704</v>
      </c>
      <c r="D21" s="1">
        <v>251764</v>
      </c>
      <c r="E21" s="474">
        <f t="shared" si="29"/>
        <v>60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8328</v>
      </c>
      <c r="J21" s="1">
        <v>8331</v>
      </c>
      <c r="K21" s="474">
        <f t="shared" si="28"/>
        <v>3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21055</v>
      </c>
      <c r="P21" s="383">
        <v>21057</v>
      </c>
      <c r="Q21" s="474">
        <f t="shared" si="7"/>
        <v>2</v>
      </c>
      <c r="R21" s="250"/>
      <c r="S21" s="245">
        <f t="shared" si="15"/>
        <v>66353</v>
      </c>
      <c r="T21" s="384">
        <v>66411</v>
      </c>
      <c r="U21" s="475">
        <f t="shared" si="16"/>
        <v>58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89838</v>
      </c>
      <c r="Z21" s="384">
        <v>89838</v>
      </c>
      <c r="AA21" s="475">
        <f t="shared" si="18"/>
        <v>0</v>
      </c>
      <c r="AB21" s="607">
        <f t="shared" si="22"/>
        <v>18515</v>
      </c>
      <c r="AC21" s="611">
        <v>18531</v>
      </c>
      <c r="AD21" s="610">
        <f t="shared" si="23"/>
        <v>16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29879</v>
      </c>
      <c r="AI21" s="385">
        <v>29906</v>
      </c>
      <c r="AJ21" s="475">
        <f t="shared" si="20"/>
        <v>27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101</v>
      </c>
    </row>
    <row r="22" spans="1:40" ht="23.1" customHeight="1">
      <c r="A22" s="57">
        <f>Gen!A27</f>
        <v>44272</v>
      </c>
      <c r="B22" s="4"/>
      <c r="C22" s="95">
        <f t="shared" si="0"/>
        <v>251764</v>
      </c>
      <c r="D22" s="1">
        <v>251828</v>
      </c>
      <c r="E22" s="474">
        <f t="shared" si="29"/>
        <v>64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8331</v>
      </c>
      <c r="J22" s="1">
        <v>8335</v>
      </c>
      <c r="K22" s="474">
        <f t="shared" si="28"/>
        <v>4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21057</v>
      </c>
      <c r="P22" s="383">
        <v>21060</v>
      </c>
      <c r="Q22" s="474">
        <f t="shared" si="7"/>
        <v>3</v>
      </c>
      <c r="R22" s="250"/>
      <c r="S22" s="245">
        <f t="shared" si="15"/>
        <v>66411</v>
      </c>
      <c r="T22" s="384">
        <v>66495</v>
      </c>
      <c r="U22" s="475">
        <f t="shared" si="16"/>
        <v>84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89838</v>
      </c>
      <c r="Z22" s="384">
        <v>89838</v>
      </c>
      <c r="AA22" s="475">
        <f t="shared" si="18"/>
        <v>0</v>
      </c>
      <c r="AB22" s="607">
        <f t="shared" si="22"/>
        <v>18531</v>
      </c>
      <c r="AC22" s="611">
        <v>18549</v>
      </c>
      <c r="AD22" s="610">
        <f t="shared" si="23"/>
        <v>18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29906</v>
      </c>
      <c r="AI22" s="385">
        <v>29934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130</v>
      </c>
    </row>
    <row r="23" spans="1:40" ht="23.1" customHeight="1">
      <c r="A23" s="57">
        <f>Gen!A28</f>
        <v>44273</v>
      </c>
      <c r="B23" s="4"/>
      <c r="C23" s="95">
        <f t="shared" si="0"/>
        <v>251828</v>
      </c>
      <c r="D23" s="1"/>
      <c r="E23" s="474" t="str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8335</v>
      </c>
      <c r="J23" s="1"/>
      <c r="K23" s="474" t="str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21060</v>
      </c>
      <c r="P23" s="383"/>
      <c r="Q23" s="474" t="str">
        <f t="shared" si="7"/>
        <v>0</v>
      </c>
      <c r="R23" s="250"/>
      <c r="S23" s="245">
        <f t="shared" si="15"/>
        <v>66495</v>
      </c>
      <c r="T23" s="384"/>
      <c r="U23" s="475" t="str">
        <f t="shared" si="16"/>
        <v>0</v>
      </c>
      <c r="V23" s="245">
        <f t="shared" si="31"/>
        <v>73031</v>
      </c>
      <c r="W23" s="384"/>
      <c r="X23" s="475" t="str">
        <f t="shared" si="17"/>
        <v>0</v>
      </c>
      <c r="Y23" s="245">
        <f t="shared" si="9"/>
        <v>89838</v>
      </c>
      <c r="Z23" s="384"/>
      <c r="AA23" s="475" t="str">
        <f t="shared" si="18"/>
        <v>0</v>
      </c>
      <c r="AB23" s="607">
        <f t="shared" si="22"/>
        <v>18549</v>
      </c>
      <c r="AC23" s="608"/>
      <c r="AD23" s="610" t="str">
        <f t="shared" si="23"/>
        <v>0</v>
      </c>
      <c r="AE23" s="245">
        <f t="shared" si="10"/>
        <v>18300</v>
      </c>
      <c r="AF23" s="385"/>
      <c r="AG23" s="475" t="str">
        <f t="shared" si="19"/>
        <v>0</v>
      </c>
      <c r="AH23" s="245">
        <f t="shared" si="11"/>
        <v>29934</v>
      </c>
      <c r="AI23" s="385"/>
      <c r="AJ23" s="475" t="str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44274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7">
        <f t="shared" si="22"/>
        <v>0</v>
      </c>
      <c r="AC24" s="608"/>
      <c r="AD24" s="610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44275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7">
        <f t="shared" si="22"/>
        <v>0</v>
      </c>
      <c r="AC25" s="608"/>
      <c r="AD25" s="610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44276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7">
        <f t="shared" si="22"/>
        <v>0</v>
      </c>
      <c r="AC26" s="608"/>
      <c r="AD26" s="610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44277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7">
        <f t="shared" si="22"/>
        <v>0</v>
      </c>
      <c r="AC27" s="608"/>
      <c r="AD27" s="610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44278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7">
        <f t="shared" si="22"/>
        <v>0</v>
      </c>
      <c r="AC28" s="608"/>
      <c r="AD28" s="610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44279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7">
        <f t="shared" si="22"/>
        <v>0</v>
      </c>
      <c r="AC29" s="608"/>
      <c r="AD29" s="610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44280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7">
        <f t="shared" si="22"/>
        <v>0</v>
      </c>
      <c r="AC30" s="608"/>
      <c r="AD30" s="610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44281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7">
        <f t="shared" si="22"/>
        <v>0</v>
      </c>
      <c r="AC31" s="608"/>
      <c r="AD31" s="610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7">
        <f t="shared" si="22"/>
        <v>0</v>
      </c>
      <c r="AC32" s="608"/>
      <c r="AD32" s="610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44283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7">
        <f t="shared" si="22"/>
        <v>0</v>
      </c>
      <c r="AC33" s="246"/>
      <c r="AD33" s="610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1183</v>
      </c>
    </row>
    <row r="38" spans="1:41" ht="18.75">
      <c r="A38" s="57"/>
      <c r="B38" s="21"/>
      <c r="C38" s="917" t="s">
        <v>6</v>
      </c>
      <c r="D38" s="917"/>
      <c r="E38" s="22">
        <f>SUM(E6:E36)</f>
        <v>1000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41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1000</v>
      </c>
      <c r="S38" s="247"/>
      <c r="T38" s="247"/>
      <c r="U38" s="257">
        <f>SUM(U6:U37)</f>
        <v>1183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1183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43"/>
      <c r="B42" s="277"/>
      <c r="C42" s="940" t="s">
        <v>222</v>
      </c>
      <c r="D42" s="941"/>
      <c r="E42" s="941"/>
      <c r="F42" s="941"/>
      <c r="G42" s="941"/>
      <c r="H42" s="941"/>
      <c r="I42" s="941"/>
      <c r="J42" s="941"/>
      <c r="K42" s="942"/>
      <c r="R42" s="19"/>
    </row>
    <row r="43" spans="1:41" ht="24.75" customHeight="1">
      <c r="A43" s="944"/>
      <c r="B43" s="19"/>
      <c r="C43" s="946" t="s">
        <v>216</v>
      </c>
      <c r="D43" s="947"/>
      <c r="E43" s="948" t="s">
        <v>237</v>
      </c>
      <c r="F43" s="949"/>
      <c r="G43" s="950" t="s">
        <v>217</v>
      </c>
      <c r="H43" s="951"/>
      <c r="I43" s="950" t="s">
        <v>238</v>
      </c>
      <c r="J43" s="951"/>
      <c r="K43" s="93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44"/>
      <c r="B44" s="19"/>
      <c r="C44" s="952" t="s">
        <v>218</v>
      </c>
      <c r="D44" s="953"/>
      <c r="E44" s="952" t="s">
        <v>219</v>
      </c>
      <c r="F44" s="953"/>
      <c r="G44" s="952" t="s">
        <v>220</v>
      </c>
      <c r="H44" s="953"/>
      <c r="I44" s="952" t="s">
        <v>221</v>
      </c>
      <c r="J44" s="953"/>
      <c r="K44" s="93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4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>
        <v>275</v>
      </c>
      <c r="D52" s="325">
        <f t="shared" si="49"/>
        <v>198.91666666666666</v>
      </c>
      <c r="E52" s="6">
        <v>245</v>
      </c>
      <c r="F52" s="325">
        <f t="shared" si="50"/>
        <v>73.901639344262293</v>
      </c>
      <c r="G52" s="477">
        <v>300</v>
      </c>
      <c r="H52" s="325">
        <f t="shared" si="51"/>
        <v>114.36031331592689</v>
      </c>
      <c r="I52" s="6">
        <v>258</v>
      </c>
      <c r="J52" s="325">
        <f t="shared" si="52"/>
        <v>178.42207792207793</v>
      </c>
      <c r="K52" s="331">
        <f t="shared" si="53"/>
        <v>565.60069724893378</v>
      </c>
    </row>
    <row r="53" spans="1:15" ht="13.5">
      <c r="A53" s="293">
        <f>Gen!A18</f>
        <v>44263</v>
      </c>
      <c r="B53" s="19"/>
      <c r="C53" s="62">
        <v>245</v>
      </c>
      <c r="D53" s="325">
        <f t="shared" si="49"/>
        <v>177.21666666666667</v>
      </c>
      <c r="E53" s="6">
        <v>210</v>
      </c>
      <c r="F53" s="325">
        <f t="shared" si="50"/>
        <v>63.344262295081968</v>
      </c>
      <c r="G53" s="477">
        <v>300</v>
      </c>
      <c r="H53" s="325">
        <f t="shared" si="51"/>
        <v>114.36031331592689</v>
      </c>
      <c r="I53" s="6">
        <v>280</v>
      </c>
      <c r="J53" s="325">
        <f t="shared" si="52"/>
        <v>193.63636363636363</v>
      </c>
      <c r="K53" s="331">
        <f t="shared" si="53"/>
        <v>548.55760591403919</v>
      </c>
    </row>
    <row r="54" spans="1:15" ht="13.5">
      <c r="A54" s="293">
        <f>Gen!A19</f>
        <v>44264</v>
      </c>
      <c r="B54" s="19"/>
      <c r="C54" s="62">
        <v>300</v>
      </c>
      <c r="D54" s="325">
        <f t="shared" si="49"/>
        <v>217</v>
      </c>
      <c r="E54" s="6">
        <v>300</v>
      </c>
      <c r="F54" s="325">
        <f t="shared" si="50"/>
        <v>90.491803278688522</v>
      </c>
      <c r="G54" s="477">
        <v>175</v>
      </c>
      <c r="H54" s="325">
        <f t="shared" si="51"/>
        <v>66.710182767624019</v>
      </c>
      <c r="I54" s="6">
        <v>290</v>
      </c>
      <c r="J54" s="325">
        <f t="shared" si="52"/>
        <v>200.55194805194805</v>
      </c>
      <c r="K54" s="331">
        <f t="shared" si="53"/>
        <v>574.75393409826052</v>
      </c>
    </row>
    <row r="55" spans="1:15" ht="13.5">
      <c r="A55" s="293">
        <f>Gen!A20</f>
        <v>44265</v>
      </c>
      <c r="B55" s="19"/>
      <c r="C55" s="62">
        <v>200</v>
      </c>
      <c r="D55" s="325">
        <f t="shared" si="49"/>
        <v>144.66666666666666</v>
      </c>
      <c r="E55" s="6">
        <v>180</v>
      </c>
      <c r="F55" s="325">
        <f t="shared" si="50"/>
        <v>54.295081967213115</v>
      </c>
      <c r="G55" s="477">
        <v>300</v>
      </c>
      <c r="H55" s="325">
        <f t="shared" si="51"/>
        <v>114.36031331592689</v>
      </c>
      <c r="I55" s="6">
        <v>280</v>
      </c>
      <c r="J55" s="325">
        <f t="shared" si="52"/>
        <v>193.63636363636363</v>
      </c>
      <c r="K55" s="331">
        <f t="shared" si="53"/>
        <v>506.95842558617028</v>
      </c>
    </row>
    <row r="56" spans="1:15" ht="13.5">
      <c r="A56" s="293">
        <f>Gen!A21</f>
        <v>44266</v>
      </c>
      <c r="B56" s="19"/>
      <c r="C56" s="62">
        <v>300</v>
      </c>
      <c r="D56" s="325">
        <f t="shared" si="49"/>
        <v>217</v>
      </c>
      <c r="E56" s="6">
        <v>290</v>
      </c>
      <c r="F56" s="325">
        <f t="shared" si="50"/>
        <v>87.47540983606558</v>
      </c>
      <c r="G56" s="477">
        <v>160</v>
      </c>
      <c r="H56" s="325">
        <f t="shared" si="51"/>
        <v>60.992167101827675</v>
      </c>
      <c r="I56" s="6">
        <v>280</v>
      </c>
      <c r="J56" s="325">
        <f t="shared" si="52"/>
        <v>193.63636363636363</v>
      </c>
      <c r="K56" s="331">
        <f t="shared" si="53"/>
        <v>559.10394057425685</v>
      </c>
    </row>
    <row r="57" spans="1:15" ht="13.5">
      <c r="A57" s="293">
        <f>Gen!A22</f>
        <v>44267</v>
      </c>
      <c r="B57" s="19"/>
      <c r="C57" s="62">
        <v>220</v>
      </c>
      <c r="D57" s="325">
        <f t="shared" si="49"/>
        <v>159.13333333333333</v>
      </c>
      <c r="E57" s="6">
        <v>175</v>
      </c>
      <c r="F57" s="325">
        <f t="shared" si="50"/>
        <v>52.786885245901637</v>
      </c>
      <c r="G57" s="477">
        <v>300</v>
      </c>
      <c r="H57" s="325">
        <f t="shared" si="51"/>
        <v>114.36031331592689</v>
      </c>
      <c r="I57" s="6">
        <v>285</v>
      </c>
      <c r="J57" s="325">
        <f t="shared" si="52"/>
        <v>197.09415584415584</v>
      </c>
      <c r="K57" s="331">
        <f t="shared" si="53"/>
        <v>523.37468773931766</v>
      </c>
    </row>
    <row r="58" spans="1:15" ht="13.5">
      <c r="A58" s="293">
        <f>Gen!A23</f>
        <v>44268</v>
      </c>
      <c r="B58" s="19"/>
      <c r="C58" s="62">
        <v>300</v>
      </c>
      <c r="D58" s="325">
        <f t="shared" si="49"/>
        <v>217</v>
      </c>
      <c r="E58" s="6">
        <v>285</v>
      </c>
      <c r="F58" s="325">
        <f t="shared" si="50"/>
        <v>85.967213114754102</v>
      </c>
      <c r="G58" s="477">
        <v>235</v>
      </c>
      <c r="H58" s="325">
        <f t="shared" si="51"/>
        <v>89.582245430809394</v>
      </c>
      <c r="I58" s="6">
        <v>280</v>
      </c>
      <c r="J58" s="325">
        <f t="shared" si="52"/>
        <v>193.63636363636363</v>
      </c>
      <c r="K58" s="331">
        <f t="shared" si="53"/>
        <v>586.18582218192705</v>
      </c>
    </row>
    <row r="59" spans="1:15" ht="13.5">
      <c r="A59" s="293">
        <f>Gen!A24</f>
        <v>44269</v>
      </c>
      <c r="B59" s="19"/>
      <c r="C59" s="62">
        <v>300</v>
      </c>
      <c r="D59" s="325">
        <f t="shared" si="49"/>
        <v>217</v>
      </c>
      <c r="E59" s="6">
        <v>285</v>
      </c>
      <c r="F59" s="325">
        <f t="shared" si="50"/>
        <v>85.967213114754102</v>
      </c>
      <c r="G59" s="477">
        <v>150</v>
      </c>
      <c r="H59" s="325">
        <f t="shared" si="51"/>
        <v>57.180156657963444</v>
      </c>
      <c r="I59" s="6">
        <v>280</v>
      </c>
      <c r="J59" s="325">
        <f t="shared" si="52"/>
        <v>193.63636363636363</v>
      </c>
      <c r="K59" s="331">
        <f t="shared" si="53"/>
        <v>553.78373340908115</v>
      </c>
    </row>
    <row r="60" spans="1:15" ht="13.5">
      <c r="A60" s="293">
        <f>Gen!A25</f>
        <v>44270</v>
      </c>
      <c r="B60" s="19"/>
      <c r="C60" s="62">
        <v>240</v>
      </c>
      <c r="D60" s="325">
        <f t="shared" si="49"/>
        <v>173.6</v>
      </c>
      <c r="E60" s="6">
        <v>205</v>
      </c>
      <c r="F60" s="325">
        <f t="shared" si="50"/>
        <v>61.83606557377049</v>
      </c>
      <c r="G60" s="477">
        <v>220</v>
      </c>
      <c r="H60" s="325">
        <f t="shared" si="51"/>
        <v>83.86422976501305</v>
      </c>
      <c r="I60" s="6">
        <v>285</v>
      </c>
      <c r="J60" s="325">
        <f t="shared" si="52"/>
        <v>197.09415584415584</v>
      </c>
      <c r="K60" s="331">
        <f t="shared" si="53"/>
        <v>516.39445118293941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>
        <v>45</v>
      </c>
      <c r="D61" s="325">
        <f t="shared" si="49"/>
        <v>32.549999999999997</v>
      </c>
      <c r="E61" s="6">
        <v>23</v>
      </c>
      <c r="F61" s="325">
        <f t="shared" si="50"/>
        <v>6.9377049180327868</v>
      </c>
      <c r="G61" s="477">
        <v>300</v>
      </c>
      <c r="H61" s="325">
        <f t="shared" si="51"/>
        <v>114.36031331592689</v>
      </c>
      <c r="I61" s="6">
        <v>290</v>
      </c>
      <c r="J61" s="325">
        <f t="shared" si="52"/>
        <v>200.55194805194805</v>
      </c>
      <c r="K61" s="331">
        <f t="shared" si="53"/>
        <v>354.39996628590768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>
        <v>155</v>
      </c>
      <c r="D62" s="325">
        <f t="shared" si="49"/>
        <v>112.11666666666666</v>
      </c>
      <c r="E62" s="6">
        <v>115</v>
      </c>
      <c r="F62" s="325">
        <f t="shared" si="50"/>
        <v>34.688524590163937</v>
      </c>
      <c r="G62" s="477">
        <v>160</v>
      </c>
      <c r="H62" s="325">
        <f t="shared" si="51"/>
        <v>60.992167101827675</v>
      </c>
      <c r="I62" s="6">
        <v>280</v>
      </c>
      <c r="J62" s="325">
        <f t="shared" si="52"/>
        <v>193.63636363636363</v>
      </c>
      <c r="K62" s="331">
        <f t="shared" si="53"/>
        <v>401.43372199502187</v>
      </c>
    </row>
    <row r="63" spans="1:15" ht="13.5">
      <c r="A63" s="293">
        <f>Gen!A28</f>
        <v>44273</v>
      </c>
      <c r="B63" s="19"/>
      <c r="C63" s="62">
        <v>190</v>
      </c>
      <c r="D63" s="325">
        <f t="shared" si="49"/>
        <v>137.43333333333334</v>
      </c>
      <c r="E63" s="6">
        <v>150</v>
      </c>
      <c r="F63" s="325">
        <f t="shared" si="50"/>
        <v>45.245901639344261</v>
      </c>
      <c r="G63" s="477">
        <v>160</v>
      </c>
      <c r="H63" s="325">
        <f t="shared" si="51"/>
        <v>60.992167101827675</v>
      </c>
      <c r="I63" s="6">
        <v>275</v>
      </c>
      <c r="J63" s="325">
        <f t="shared" si="52"/>
        <v>190.17857142857142</v>
      </c>
      <c r="K63" s="331">
        <f t="shared" si="53"/>
        <v>433.84997350307668</v>
      </c>
    </row>
    <row r="64" spans="1:15" ht="13.5">
      <c r="A64" s="293">
        <f>Gen!A29</f>
        <v>44274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44275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44276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44277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44278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44279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44280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44281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44282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44283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44284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44286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4" t="s">
        <v>316</v>
      </c>
      <c r="B2" s="955"/>
      <c r="C2" s="955"/>
      <c r="D2" s="955"/>
      <c r="E2" s="95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66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81.791666666666671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2.5999999999999999E-2</v>
      </c>
      <c r="D6" s="434">
        <f t="shared" ref="D6:D35" si="2">SUM(77*C6)</f>
        <v>2.0019999999999998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64.811999999982078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80.319416666644457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2.5999999999999999E-2</v>
      </c>
      <c r="D7" s="434">
        <f t="shared" si="2"/>
        <v>2.0019999999999998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65.912000000046106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81.682611111168242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5.1900000000000002E-2</v>
      </c>
      <c r="D8" s="434">
        <f t="shared" si="2"/>
        <v>3.9963000000000002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61.600000000000009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76.338888888888903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6.5000000000000002E-2</v>
      </c>
      <c r="D9" s="434">
        <f t="shared" si="2"/>
        <v>5.0049999999999999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68.947999999992319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>
        <f t="shared" si="3"/>
        <v>725.0098197257289</v>
      </c>
      <c r="S9" s="438" t="e">
        <f t="shared" si="4"/>
        <v>#DIV/0!</v>
      </c>
      <c r="T9" s="76">
        <f t="shared" si="5"/>
        <v>2.8333333333333335</v>
      </c>
      <c r="U9" s="122">
        <f t="shared" si="6"/>
        <v>85.44502777776826</v>
      </c>
      <c r="V9" s="17">
        <f t="shared" si="7"/>
        <v>5747908.1283611106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5.1999999999999998E-2</v>
      </c>
      <c r="D10" s="434">
        <f t="shared" si="2"/>
        <v>4.0039999999999996</v>
      </c>
      <c r="E10" s="74"/>
      <c r="F10" s="70">
        <f>Gen!U16</f>
        <v>0.40692591227423519</v>
      </c>
      <c r="G10" s="85">
        <f>Gen!T16</f>
        <v>2713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65.559999999974394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81.246388888857155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0.1169</v>
      </c>
      <c r="D11" s="434">
        <f t="shared" si="2"/>
        <v>9.0013000000000005</v>
      </c>
      <c r="E11" s="74"/>
      <c r="F11" s="70">
        <f>Gen!U17</f>
        <v>0.40235210768685792</v>
      </c>
      <c r="G11" s="85">
        <f>Gen!T17</f>
        <v>2823</v>
      </c>
      <c r="H11" s="85">
        <f>[1]Gen!AJ25</f>
        <v>80.56</v>
      </c>
      <c r="I11" s="85">
        <f t="shared" si="0"/>
        <v>2903.56</v>
      </c>
      <c r="J11" s="85">
        <f>[1]Gen!AT17</f>
        <v>47513.140000000029</v>
      </c>
      <c r="K11" s="69">
        <f>'Water-Meter'!E12</f>
        <v>60</v>
      </c>
      <c r="L11" s="447">
        <f>'Lpg (2)'!G16</f>
        <v>61.776000000035864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6416432.0659999996</v>
      </c>
      <c r="R11" s="76">
        <f t="shared" si="3"/>
        <v>450.02142128852984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76.55700000004444</v>
      </c>
      <c r="V11" s="17">
        <f t="shared" si="7"/>
        <v>6416512.486636363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0.12989999999999999</v>
      </c>
      <c r="D12" s="434">
        <f t="shared" si="2"/>
        <v>10.002299999999998</v>
      </c>
      <c r="E12" s="74"/>
      <c r="F12" s="70">
        <f>Gen!U18</f>
        <v>0.41578492935635797</v>
      </c>
      <c r="G12" s="85">
        <f>Gen!T18</f>
        <v>2548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50</v>
      </c>
      <c r="L12" s="447">
        <f>'Lpg (2)'!G17</f>
        <v>74.975999999971833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3.2196969696969697</v>
      </c>
      <c r="U12" s="122">
        <f t="shared" si="6"/>
        <v>92.91533333329842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0.15579999999999999</v>
      </c>
      <c r="D13" s="434">
        <f t="shared" si="2"/>
        <v>11.996599999999999</v>
      </c>
      <c r="E13" s="74"/>
      <c r="F13" s="70">
        <f>Gen!U19</f>
        <v>0.41022905982905983</v>
      </c>
      <c r="G13" s="85">
        <f>Gen!T19</f>
        <v>2925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43</v>
      </c>
      <c r="L13" s="447">
        <f>'Lpg (2)'!G18</f>
        <v>82.279999999987197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2.768939393939394</v>
      </c>
      <c r="U13" s="122">
        <f t="shared" si="6"/>
        <v>101.96694444442858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0.15579999999999999</v>
      </c>
      <c r="D14" s="434">
        <f t="shared" si="2"/>
        <v>11.996599999999999</v>
      </c>
      <c r="E14" s="74"/>
      <c r="F14" s="70">
        <f>Gen!U20</f>
        <v>0.41823377581120946</v>
      </c>
      <c r="G14" s="85">
        <f>Gen!T20</f>
        <v>2712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27</v>
      </c>
      <c r="L14" s="447">
        <f>'Lpg (2)'!G19</f>
        <v>93.94000000002562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1.7386363636363635</v>
      </c>
      <c r="U14" s="122">
        <f t="shared" si="6"/>
        <v>116.4168055555873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0.1169</v>
      </c>
      <c r="D15" s="434">
        <f t="shared" si="2"/>
        <v>9.0013000000000005</v>
      </c>
      <c r="E15" s="74"/>
      <c r="F15" s="70">
        <f>Gen!U21</f>
        <v>0.39892236024844718</v>
      </c>
      <c r="G15" s="85">
        <f>Gen!T21</f>
        <v>3220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60</v>
      </c>
      <c r="L15" s="447">
        <f>'Lpg (2)'!G20</f>
        <v>104.58799999995391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3.8636363636363638</v>
      </c>
      <c r="U15" s="122">
        <f t="shared" si="6"/>
        <v>129.61252777772066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0.12989999999999999</v>
      </c>
      <c r="D16" s="434">
        <f t="shared" si="2"/>
        <v>10.002299999999998</v>
      </c>
      <c r="E16" s="74"/>
      <c r="F16" s="70">
        <f>Gen!U22</f>
        <v>0.40176416256157638</v>
      </c>
      <c r="G16" s="85">
        <f>Gen!T22</f>
        <v>3248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65</v>
      </c>
      <c r="L16" s="447">
        <f>'Lpg (2)'!G21</f>
        <v>84.568000000005128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4.1856060606060606</v>
      </c>
      <c r="U16" s="122">
        <f t="shared" si="6"/>
        <v>104.80238888889524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0.1429</v>
      </c>
      <c r="D17" s="434">
        <f t="shared" si="2"/>
        <v>11.003299999999999</v>
      </c>
      <c r="E17" s="74"/>
      <c r="F17" s="70">
        <f>Gen!U23</f>
        <v>0.41139822447685476</v>
      </c>
      <c r="G17" s="85">
        <f>Gen!T23</f>
        <v>3154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75</v>
      </c>
      <c r="L17" s="447">
        <f>'Lpg (2)'!G22</f>
        <v>79.464000000053787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4.8295454545454541</v>
      </c>
      <c r="U17" s="122">
        <f t="shared" si="6"/>
        <v>98.477166666733325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0.14000000000000001</v>
      </c>
      <c r="D18" s="434">
        <f t="shared" si="2"/>
        <v>10.780000000000001</v>
      </c>
      <c r="E18" s="74"/>
      <c r="F18" s="70">
        <f>Gen!U24</f>
        <v>0.40690107270560189</v>
      </c>
      <c r="G18" s="85">
        <f>Gen!T24</f>
        <v>3356</v>
      </c>
      <c r="H18" s="85">
        <f>[1]Gen!AJ27</f>
        <v>597.9</v>
      </c>
      <c r="I18" s="85">
        <f t="shared" si="0"/>
        <v>3953.9</v>
      </c>
      <c r="J18" s="85">
        <f>[1]Gen!AT24</f>
        <v>29915.45000000003</v>
      </c>
      <c r="K18" s="69">
        <f>'Water-Meter'!E19</f>
        <v>74</v>
      </c>
      <c r="L18" s="447">
        <f>'Lpg (2)'!G23</f>
        <v>79.023999999964147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8737525.9149999991</v>
      </c>
      <c r="R18" s="76">
        <f t="shared" si="3"/>
        <v>511.69896524381096</v>
      </c>
      <c r="S18" s="438" t="e">
        <f t="shared" si="4"/>
        <v>#DIV/0!</v>
      </c>
      <c r="T18" s="76">
        <f t="shared" si="5"/>
        <v>4.7651515151515156</v>
      </c>
      <c r="U18" s="122">
        <f t="shared" si="6"/>
        <v>97.931888888844455</v>
      </c>
      <c r="V18" s="17">
        <f t="shared" si="7"/>
        <v>8737628.6120404042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9.0899999999999995E-2</v>
      </c>
      <c r="D19" s="434">
        <f t="shared" si="2"/>
        <v>6.9992999999999999</v>
      </c>
      <c r="E19" s="74"/>
      <c r="F19" s="70">
        <f>Gen!U25</f>
        <v>0.40051984004921559</v>
      </c>
      <c r="G19" s="85">
        <f>Gen!T25</f>
        <v>3251</v>
      </c>
      <c r="H19" s="85">
        <f>[1]Gen!AJ28</f>
        <v>227.73000000000002</v>
      </c>
      <c r="I19" s="85">
        <f t="shared" si="0"/>
        <v>3478.73</v>
      </c>
      <c r="J19" s="85">
        <f>[1]Gen!AT25</f>
        <v>42248.240000000034</v>
      </c>
      <c r="K19" s="69">
        <f>'Water-Meter'!E20</f>
        <v>74</v>
      </c>
      <c r="L19" s="447">
        <f>'Lpg (2)'!G24</f>
        <v>88.660000000038423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7687471.4904999994</v>
      </c>
      <c r="R19" s="76">
        <f t="shared" si="3"/>
        <v>693.38386675067215</v>
      </c>
      <c r="S19" s="438" t="e">
        <f t="shared" si="4"/>
        <v>#DIV/0!</v>
      </c>
      <c r="T19" s="76">
        <f t="shared" si="5"/>
        <v>4.7651515151515156</v>
      </c>
      <c r="U19" s="122">
        <f t="shared" si="6"/>
        <v>109.87347222226984</v>
      </c>
      <c r="V19" s="17">
        <f t="shared" si="7"/>
        <v>7687586.1291237371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7.7899999999999997E-2</v>
      </c>
      <c r="D20" s="434">
        <f t="shared" si="2"/>
        <v>5.9982999999999995</v>
      </c>
      <c r="E20" s="74"/>
      <c r="F20" s="70">
        <f>Gen!U26</f>
        <v>0.41088773747841106</v>
      </c>
      <c r="G20" s="85">
        <f>Gen!T26</f>
        <v>2895</v>
      </c>
      <c r="H20" s="85">
        <f>[1]Gen!AJ29</f>
        <v>88.289999999999992</v>
      </c>
      <c r="I20" s="85">
        <f t="shared" si="0"/>
        <v>2983.29</v>
      </c>
      <c r="J20" s="85">
        <f>[1]Gen!AT26</f>
        <v>39497.370000000032</v>
      </c>
      <c r="K20" s="69">
        <f>'Water-Meter'!E21</f>
        <v>60</v>
      </c>
      <c r="L20" s="447">
        <f>'Lpg (2)'!G25</f>
        <v>64.371999999956472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6592623.4064999996</v>
      </c>
      <c r="R20" s="76">
        <f t="shared" si="3"/>
        <v>693.86488277107799</v>
      </c>
      <c r="S20" s="438" t="e">
        <f t="shared" si="4"/>
        <v>#DIV/0!</v>
      </c>
      <c r="T20" s="76">
        <f t="shared" si="5"/>
        <v>3.8636363636363638</v>
      </c>
      <c r="U20" s="122">
        <f t="shared" si="6"/>
        <v>79.774138888834941</v>
      </c>
      <c r="V20" s="17">
        <f t="shared" si="7"/>
        <v>6592707.0442752521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6.4899999999999999E-2</v>
      </c>
      <c r="D21" s="434">
        <f t="shared" si="2"/>
        <v>4.9973000000000001</v>
      </c>
      <c r="E21" s="74"/>
      <c r="F21" s="70">
        <f>Gen!U27</f>
        <v>0.37978409499820082</v>
      </c>
      <c r="G21" s="85">
        <f>Gen!T27</f>
        <v>2779</v>
      </c>
      <c r="H21" s="85">
        <f>[1]Gen!AJ30</f>
        <v>783.92</v>
      </c>
      <c r="I21" s="85">
        <f t="shared" si="0"/>
        <v>3562.92</v>
      </c>
      <c r="J21" s="85">
        <f>[1]Gen!AT27</f>
        <v>36688.350000000035</v>
      </c>
      <c r="K21" s="69">
        <f>'Water-Meter'!E22</f>
        <v>64</v>
      </c>
      <c r="L21" s="447">
        <f>'Lpg (2)'!G26</f>
        <v>81.620000000012809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7873518.7620000001</v>
      </c>
      <c r="R21" s="76">
        <f t="shared" si="3"/>
        <v>994.66827768813334</v>
      </c>
      <c r="S21" s="438" t="e">
        <f t="shared" si="4"/>
        <v>#DIV/0!</v>
      </c>
      <c r="T21" s="76">
        <f t="shared" si="5"/>
        <v>4.1212121212121211</v>
      </c>
      <c r="U21" s="122">
        <f t="shared" si="6"/>
        <v>101.14902777779365</v>
      </c>
      <c r="V21" s="17">
        <f t="shared" si="7"/>
        <v>7873624.032239899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 t="str">
        <f>'Water-Meter'!E23</f>
        <v>0</v>
      </c>
      <c r="L22" s="447">
        <f>'Lpg (2)'!G27</f>
        <v>66.395999999984639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82.282416666647634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-332296.09600000002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-411803.81088888895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1000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7" t="s">
        <v>180</v>
      </c>
      <c r="B1" s="958"/>
      <c r="C1" s="958"/>
      <c r="D1" s="958"/>
      <c r="E1" s="958"/>
      <c r="F1" s="958"/>
      <c r="G1" s="959"/>
    </row>
    <row r="2" spans="1:7" ht="13.5" thickBot="1">
      <c r="A2" s="300"/>
      <c r="B2" s="960" t="s">
        <v>175</v>
      </c>
      <c r="C2" s="961"/>
      <c r="D2" s="962"/>
      <c r="E2" s="960" t="s">
        <v>176</v>
      </c>
      <c r="F2" s="961"/>
      <c r="G2" s="96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8"/>
      <c r="C77" s="277"/>
      <c r="D77" s="839"/>
      <c r="E77" s="277"/>
      <c r="F77" s="277"/>
      <c r="G77" s="839"/>
    </row>
    <row r="78" spans="1:7">
      <c r="A78" s="19"/>
      <c r="B78" s="833"/>
      <c r="C78" s="19"/>
      <c r="D78" s="834"/>
      <c r="E78" s="19"/>
      <c r="F78" s="19"/>
      <c r="G78" s="834"/>
    </row>
    <row r="79" spans="1:7">
      <c r="A79" s="19"/>
      <c r="B79" s="833"/>
      <c r="C79" s="19"/>
      <c r="D79" s="834"/>
      <c r="E79" s="19"/>
      <c r="F79" s="19"/>
      <c r="G79" s="834"/>
    </row>
    <row r="80" spans="1:7">
      <c r="A80" s="19"/>
      <c r="B80" s="833"/>
      <c r="C80" s="19"/>
      <c r="D80" s="834"/>
      <c r="E80" s="19"/>
      <c r="F80" s="19"/>
      <c r="G80" s="834"/>
    </row>
    <row r="81" spans="1:7">
      <c r="A81" s="19"/>
      <c r="B81" s="833"/>
      <c r="C81" s="19"/>
      <c r="D81" s="834"/>
      <c r="E81" s="19"/>
      <c r="F81" s="19"/>
      <c r="G81" s="834"/>
    </row>
    <row r="82" spans="1:7">
      <c r="A82" s="19"/>
      <c r="B82" s="833"/>
      <c r="C82" s="19"/>
      <c r="D82" s="834"/>
      <c r="E82" s="19"/>
      <c r="F82" s="19"/>
      <c r="G82" s="834"/>
    </row>
    <row r="83" spans="1:7">
      <c r="A83" s="19"/>
      <c r="B83" s="833"/>
      <c r="C83" s="19"/>
      <c r="D83" s="834"/>
      <c r="E83" s="19"/>
      <c r="F83" s="19"/>
      <c r="G83" s="834"/>
    </row>
    <row r="84" spans="1:7">
      <c r="A84" s="19"/>
      <c r="B84" s="833"/>
      <c r="C84" s="19"/>
      <c r="D84" s="834"/>
      <c r="E84" s="19"/>
      <c r="F84" s="19"/>
      <c r="G84" s="834"/>
    </row>
    <row r="85" spans="1:7">
      <c r="A85" s="19"/>
      <c r="B85" s="833"/>
      <c r="C85" s="19"/>
      <c r="D85" s="834"/>
      <c r="E85" s="19"/>
      <c r="F85" s="19"/>
      <c r="G85" s="834"/>
    </row>
    <row r="86" spans="1:7">
      <c r="A86" s="19"/>
      <c r="B86" s="833"/>
      <c r="C86" s="19"/>
      <c r="D86" s="834"/>
      <c r="E86" s="19"/>
      <c r="F86" s="19"/>
      <c r="G86" s="834"/>
    </row>
    <row r="87" spans="1:7">
      <c r="A87" s="19"/>
      <c r="B87" s="833"/>
      <c r="C87" s="19"/>
      <c r="D87" s="834"/>
      <c r="E87" s="19"/>
      <c r="F87" s="19"/>
      <c r="G87" s="834"/>
    </row>
    <row r="88" spans="1:7" ht="13.5" thickBot="1">
      <c r="B88" s="835"/>
      <c r="C88" s="251"/>
      <c r="D88" s="836"/>
      <c r="E88" s="251"/>
      <c r="F88" s="251"/>
      <c r="G88" s="836"/>
    </row>
    <row r="89" spans="1:7" ht="13.5" thickBot="1">
      <c r="B89" s="840" t="s">
        <v>318</v>
      </c>
      <c r="C89" s="841"/>
      <c r="D89" s="842"/>
      <c r="E89" s="840" t="s">
        <v>319</v>
      </c>
      <c r="F89" s="841"/>
      <c r="G89" s="842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31" workbookViewId="0">
      <selection activeCell="F35" sqref="F3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7" t="s">
        <v>230</v>
      </c>
      <c r="B1" s="958"/>
      <c r="C1" s="958"/>
      <c r="D1" s="95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63"/>
      <c r="C76" s="964"/>
      <c r="D76" s="964"/>
      <c r="E76" s="965"/>
      <c r="H76" s="963"/>
      <c r="I76" s="964"/>
      <c r="J76" s="964"/>
      <c r="K76" s="964"/>
      <c r="L76" s="965"/>
    </row>
    <row r="77" spans="1:12">
      <c r="B77" s="966"/>
      <c r="C77" s="967"/>
      <c r="D77" s="967"/>
      <c r="E77" s="968"/>
      <c r="H77" s="966"/>
      <c r="I77" s="967"/>
      <c r="J77" s="967"/>
      <c r="K77" s="967"/>
      <c r="L77" s="968"/>
    </row>
    <row r="78" spans="1:12">
      <c r="B78" s="966"/>
      <c r="C78" s="967"/>
      <c r="D78" s="967"/>
      <c r="E78" s="968"/>
      <c r="H78" s="966"/>
      <c r="I78" s="967"/>
      <c r="J78" s="967"/>
      <c r="K78" s="967"/>
      <c r="L78" s="968"/>
    </row>
    <row r="79" spans="1:12">
      <c r="B79" s="966"/>
      <c r="C79" s="967"/>
      <c r="D79" s="967"/>
      <c r="E79" s="968"/>
      <c r="H79" s="966"/>
      <c r="I79" s="967"/>
      <c r="J79" s="967"/>
      <c r="K79" s="967"/>
      <c r="L79" s="968"/>
    </row>
    <row r="80" spans="1:12">
      <c r="B80" s="966"/>
      <c r="C80" s="967"/>
      <c r="D80" s="967"/>
      <c r="E80" s="968"/>
      <c r="H80" s="966"/>
      <c r="I80" s="967"/>
      <c r="J80" s="967"/>
      <c r="K80" s="967"/>
      <c r="L80" s="968"/>
    </row>
    <row r="81" spans="2:12">
      <c r="B81" s="966"/>
      <c r="C81" s="967"/>
      <c r="D81" s="967"/>
      <c r="E81" s="968"/>
      <c r="H81" s="966"/>
      <c r="I81" s="967"/>
      <c r="J81" s="967"/>
      <c r="K81" s="967"/>
      <c r="L81" s="968"/>
    </row>
    <row r="82" spans="2:12">
      <c r="B82" s="966"/>
      <c r="C82" s="967"/>
      <c r="D82" s="967"/>
      <c r="E82" s="968"/>
      <c r="H82" s="966"/>
      <c r="I82" s="967"/>
      <c r="J82" s="967"/>
      <c r="K82" s="967"/>
      <c r="L82" s="968"/>
    </row>
    <row r="83" spans="2:12">
      <c r="B83" s="966"/>
      <c r="C83" s="967"/>
      <c r="D83" s="967"/>
      <c r="E83" s="968"/>
      <c r="H83" s="966"/>
      <c r="I83" s="967"/>
      <c r="J83" s="967"/>
      <c r="K83" s="967"/>
      <c r="L83" s="968"/>
    </row>
    <row r="84" spans="2:12">
      <c r="B84" s="966"/>
      <c r="C84" s="967"/>
      <c r="D84" s="967"/>
      <c r="E84" s="968"/>
      <c r="H84" s="966"/>
      <c r="I84" s="967"/>
      <c r="J84" s="967"/>
      <c r="K84" s="967"/>
      <c r="L84" s="968"/>
    </row>
    <row r="85" spans="2:12">
      <c r="B85" s="966"/>
      <c r="C85" s="967"/>
      <c r="D85" s="967"/>
      <c r="E85" s="968"/>
      <c r="H85" s="966"/>
      <c r="I85" s="967"/>
      <c r="J85" s="967"/>
      <c r="K85" s="967"/>
      <c r="L85" s="968"/>
    </row>
    <row r="86" spans="2:12">
      <c r="B86" s="966"/>
      <c r="C86" s="967"/>
      <c r="D86" s="967"/>
      <c r="E86" s="968"/>
      <c r="H86" s="966"/>
      <c r="I86" s="967"/>
      <c r="J86" s="967"/>
      <c r="K86" s="967"/>
      <c r="L86" s="968"/>
    </row>
    <row r="87" spans="2:12">
      <c r="B87" s="966"/>
      <c r="C87" s="967"/>
      <c r="D87" s="967"/>
      <c r="E87" s="968"/>
      <c r="H87" s="966"/>
      <c r="I87" s="967"/>
      <c r="J87" s="967"/>
      <c r="K87" s="967"/>
      <c r="L87" s="968"/>
    </row>
    <row r="88" spans="2:12">
      <c r="B88" s="966"/>
      <c r="C88" s="967"/>
      <c r="D88" s="967"/>
      <c r="E88" s="968"/>
      <c r="H88" s="966"/>
      <c r="I88" s="967"/>
      <c r="J88" s="967"/>
      <c r="K88" s="967"/>
      <c r="L88" s="968"/>
    </row>
    <row r="89" spans="2:12">
      <c r="B89" s="966"/>
      <c r="C89" s="967"/>
      <c r="D89" s="967"/>
      <c r="E89" s="968"/>
      <c r="H89" s="966"/>
      <c r="I89" s="967"/>
      <c r="J89" s="967"/>
      <c r="K89" s="967"/>
      <c r="L89" s="968"/>
    </row>
    <row r="90" spans="2:12" ht="13.5" thickBot="1">
      <c r="B90" s="969"/>
      <c r="C90" s="970"/>
      <c r="D90" s="970"/>
      <c r="E90" s="971"/>
      <c r="H90" s="969"/>
      <c r="I90" s="970"/>
      <c r="J90" s="970"/>
      <c r="K90" s="970"/>
      <c r="L90" s="971"/>
    </row>
    <row r="91" spans="2:12">
      <c r="B91" s="972" t="s">
        <v>312</v>
      </c>
      <c r="C91" s="973"/>
      <c r="D91" s="973"/>
      <c r="E91" s="974"/>
      <c r="H91" s="972" t="s">
        <v>313</v>
      </c>
      <c r="I91" s="973"/>
      <c r="J91" s="973"/>
      <c r="K91" s="973"/>
      <c r="L91" s="974"/>
    </row>
    <row r="92" spans="2:12">
      <c r="B92" s="975"/>
      <c r="C92" s="976"/>
      <c r="D92" s="976"/>
      <c r="E92" s="977"/>
      <c r="H92" s="975"/>
      <c r="I92" s="976"/>
      <c r="J92" s="976"/>
      <c r="K92" s="976"/>
      <c r="L92" s="977"/>
    </row>
    <row r="93" spans="2:12" ht="13.5" thickBot="1">
      <c r="B93" s="978"/>
      <c r="C93" s="979"/>
      <c r="D93" s="979"/>
      <c r="E93" s="980"/>
      <c r="H93" s="978"/>
      <c r="I93" s="979"/>
      <c r="J93" s="979"/>
      <c r="K93" s="979"/>
      <c r="L93" s="98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81" t="s">
        <v>254</v>
      </c>
      <c r="B1" s="981"/>
      <c r="C1" s="981"/>
      <c r="D1" s="981"/>
      <c r="E1" s="981"/>
      <c r="F1" s="981"/>
      <c r="G1" s="981"/>
      <c r="H1" s="981"/>
      <c r="I1" s="981"/>
      <c r="J1" s="981"/>
    </row>
    <row r="2" spans="1:10" ht="19.5" thickBot="1">
      <c r="A2" s="990">
        <f>A5</f>
        <v>44256</v>
      </c>
      <c r="B2" s="991"/>
      <c r="C2" s="991"/>
      <c r="D2" s="991"/>
      <c r="E2" s="991"/>
      <c r="F2" s="991"/>
      <c r="G2" s="991"/>
      <c r="H2" s="991"/>
      <c r="I2" s="991"/>
      <c r="J2" s="991"/>
    </row>
    <row r="3" spans="1:10" ht="15.75" thickBot="1">
      <c r="A3" s="982" t="s">
        <v>7</v>
      </c>
      <c r="B3" s="984" t="s">
        <v>255</v>
      </c>
      <c r="C3" s="440"/>
      <c r="D3" s="986" t="s">
        <v>256</v>
      </c>
      <c r="E3" s="987"/>
      <c r="F3" s="988" t="s">
        <v>257</v>
      </c>
      <c r="G3" s="989"/>
      <c r="H3" s="987"/>
      <c r="I3" s="988" t="s">
        <v>258</v>
      </c>
      <c r="J3" s="987"/>
    </row>
    <row r="4" spans="1:10" ht="30.75" thickBot="1">
      <c r="A4" s="983"/>
      <c r="B4" s="98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0.01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2.5999999999999999E-2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2.5999999999999999E-2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5.1900000000000002E-2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6.5000000000000002E-2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5.1999999999999998E-2</v>
      </c>
      <c r="C10" s="443">
        <f>Gen!AJ16</f>
        <v>86.51</v>
      </c>
      <c r="D10" s="444">
        <f>Gen!S16</f>
        <v>1103.99</v>
      </c>
      <c r="E10" s="395">
        <f>Gen!C16</f>
        <v>38487.83</v>
      </c>
      <c r="F10" s="396">
        <f>'Water-Meter'!E11</f>
        <v>64</v>
      </c>
      <c r="G10" s="397">
        <f>'Water-Meter'!AN11</f>
        <v>126</v>
      </c>
      <c r="H10" s="395">
        <f>'Utility report '!AC11</f>
        <v>93</v>
      </c>
      <c r="I10" s="394">
        <f>'Kit report'!F9</f>
        <v>264.00000000008731</v>
      </c>
      <c r="J10" s="395">
        <f>'Kit report'!X9</f>
        <v>260.00000000003638</v>
      </c>
    </row>
    <row r="11" spans="1:10" ht="17.100000000000001" customHeight="1" thickBot="1">
      <c r="A11" s="217">
        <f>Gen!A17</f>
        <v>44262</v>
      </c>
      <c r="B11" s="399">
        <f>Gen!B17</f>
        <v>0.1169</v>
      </c>
      <c r="C11" s="443">
        <f>Gen!AJ17</f>
        <v>62.91</v>
      </c>
      <c r="D11" s="444">
        <f>Gen!S17</f>
        <v>1135.8399999999999</v>
      </c>
      <c r="E11" s="395">
        <f>Gen!C17</f>
        <v>37297.33</v>
      </c>
      <c r="F11" s="396">
        <f>'Water-Meter'!E12</f>
        <v>60</v>
      </c>
      <c r="G11" s="397">
        <f>'Water-Meter'!AN12</f>
        <v>127</v>
      </c>
      <c r="H11" s="395">
        <f>'Utility report '!AC12</f>
        <v>131</v>
      </c>
      <c r="I11" s="394">
        <f>'Kit report'!F10</f>
        <v>240</v>
      </c>
      <c r="J11" s="395">
        <f>'Kit report'!X10</f>
        <v>339.99999999996362</v>
      </c>
    </row>
    <row r="12" spans="1:10" ht="17.100000000000001" customHeight="1" thickBot="1">
      <c r="A12" s="217">
        <f>Gen!A18</f>
        <v>44263</v>
      </c>
      <c r="B12" s="399">
        <f>Gen!B18</f>
        <v>0.12989999999999999</v>
      </c>
      <c r="C12" s="443">
        <f>Gen!AJ18</f>
        <v>0</v>
      </c>
      <c r="D12" s="444">
        <f>Gen!S18</f>
        <v>1059.42</v>
      </c>
      <c r="E12" s="395">
        <f>Gen!C18</f>
        <v>36098.58</v>
      </c>
      <c r="F12" s="396">
        <f>'Water-Meter'!E13</f>
        <v>50</v>
      </c>
      <c r="G12" s="397">
        <f>'Water-Meter'!AN13</f>
        <v>125</v>
      </c>
      <c r="H12" s="395">
        <f>'Utility report '!AC13</f>
        <v>16</v>
      </c>
      <c r="I12" s="394">
        <f>'Kit report'!F11</f>
        <v>215.99999999991269</v>
      </c>
      <c r="J12" s="395">
        <f>'Kit report'!X11</f>
        <v>200</v>
      </c>
    </row>
    <row r="13" spans="1:10" ht="17.100000000000001" customHeight="1" thickBot="1">
      <c r="A13" s="217">
        <f>Gen!A19</f>
        <v>44264</v>
      </c>
      <c r="B13" s="399">
        <f>Gen!B19</f>
        <v>0.15579999999999999</v>
      </c>
      <c r="C13" s="443">
        <f>Gen!AJ19</f>
        <v>66</v>
      </c>
      <c r="D13" s="444">
        <f>Gen!S19</f>
        <v>1199.92</v>
      </c>
      <c r="E13" s="395">
        <f>Gen!C19</f>
        <v>35039.160000000003</v>
      </c>
      <c r="F13" s="396">
        <f>'Water-Meter'!E14</f>
        <v>43</v>
      </c>
      <c r="G13" s="397">
        <f>'Water-Meter'!AN14</f>
        <v>119</v>
      </c>
      <c r="H13" s="395">
        <f>'Utility report '!AC14</f>
        <v>12</v>
      </c>
      <c r="I13" s="394">
        <f>'Kit report'!F12</f>
        <v>252.00000000004366</v>
      </c>
      <c r="J13" s="395">
        <f>'Kit report'!X12</f>
        <v>339.99999999996362</v>
      </c>
    </row>
    <row r="14" spans="1:10" ht="17.100000000000001" customHeight="1" thickBot="1">
      <c r="A14" s="217">
        <f>Gen!A20</f>
        <v>44265</v>
      </c>
      <c r="B14" s="399">
        <f>Gen!B20</f>
        <v>0.15579999999999999</v>
      </c>
      <c r="C14" s="443">
        <f>Gen!AJ20</f>
        <v>285.27</v>
      </c>
      <c r="D14" s="444">
        <f>Gen!S20</f>
        <v>1134.25</v>
      </c>
      <c r="E14" s="395">
        <f>Gen!C20</f>
        <v>33773.240000000005</v>
      </c>
      <c r="F14" s="396">
        <f>'Water-Meter'!E15</f>
        <v>27</v>
      </c>
      <c r="G14" s="397">
        <f>'Water-Meter'!AN15</f>
        <v>125</v>
      </c>
      <c r="H14" s="395">
        <f>'Utility report '!AC15</f>
        <v>93</v>
      </c>
      <c r="I14" s="394">
        <f>'Kit report'!F13</f>
        <v>263.99999999986903</v>
      </c>
      <c r="J14" s="395">
        <f>'Kit report'!X13</f>
        <v>220.00000000007276</v>
      </c>
    </row>
    <row r="15" spans="1:10" ht="17.100000000000001" customHeight="1" thickBot="1">
      <c r="A15" s="217">
        <f>Gen!A21</f>
        <v>44266</v>
      </c>
      <c r="B15" s="399">
        <f>Gen!B21</f>
        <v>0.1169</v>
      </c>
      <c r="C15" s="443">
        <f>Gen!AJ21</f>
        <v>32.85</v>
      </c>
      <c r="D15" s="444">
        <f>Gen!S21</f>
        <v>1284.53</v>
      </c>
      <c r="E15" s="395">
        <f>Gen!C21</f>
        <v>32353.720000000005</v>
      </c>
      <c r="F15" s="396">
        <f>'Water-Meter'!E16</f>
        <v>60</v>
      </c>
      <c r="G15" s="397">
        <f>'Water-Meter'!AN16</f>
        <v>124</v>
      </c>
      <c r="H15" s="395">
        <f>'Utility report '!AC16</f>
        <v>33</v>
      </c>
      <c r="I15" s="394">
        <f>'Kit report'!F14</f>
        <v>252.00000000004366</v>
      </c>
      <c r="J15" s="395">
        <f>'Kit report'!X14</f>
        <v>239.99999999996362</v>
      </c>
    </row>
    <row r="16" spans="1:10" ht="17.100000000000001" customHeight="1" thickBot="1">
      <c r="A16" s="217">
        <f>Gen!A22</f>
        <v>44267</v>
      </c>
      <c r="B16" s="399">
        <f>Gen!B22</f>
        <v>0.12989999999999999</v>
      </c>
      <c r="C16" s="443">
        <f>Gen!AJ22</f>
        <v>357.62</v>
      </c>
      <c r="D16" s="444">
        <f>Gen!S22</f>
        <v>1304.93</v>
      </c>
      <c r="E16" s="395">
        <f>Gen!C22</f>
        <v>31036.340000000004</v>
      </c>
      <c r="F16" s="396">
        <f>'Water-Meter'!E17</f>
        <v>65</v>
      </c>
      <c r="G16" s="397">
        <f>'Water-Meter'!AN17</f>
        <v>125</v>
      </c>
      <c r="H16" s="395">
        <f>'Utility report '!AC17</f>
        <v>31</v>
      </c>
      <c r="I16" s="394">
        <f>'Kit report'!F15</f>
        <v>252.00000000004366</v>
      </c>
      <c r="J16" s="395">
        <f>'Kit report'!X15</f>
        <v>319.99999999989086</v>
      </c>
    </row>
    <row r="17" spans="1:10" ht="17.100000000000001" customHeight="1" thickBot="1">
      <c r="A17" s="217">
        <f>Gen!A23</f>
        <v>44268</v>
      </c>
      <c r="B17" s="399">
        <f>Gen!B23</f>
        <v>0.1429</v>
      </c>
      <c r="C17" s="443">
        <f>Gen!AJ23</f>
        <v>124.03</v>
      </c>
      <c r="D17" s="444">
        <f>Gen!S23</f>
        <v>1297.55</v>
      </c>
      <c r="E17" s="395">
        <f>Gen!C23</f>
        <v>44373.790000000008</v>
      </c>
      <c r="F17" s="396">
        <f>'Water-Meter'!E18</f>
        <v>75</v>
      </c>
      <c r="G17" s="397">
        <f>'Water-Meter'!AN18</f>
        <v>128</v>
      </c>
      <c r="H17" s="395">
        <f>'Utility report '!AC18</f>
        <v>25</v>
      </c>
      <c r="I17" s="394">
        <f>'Kit report'!F16</f>
        <v>252.00000000004366</v>
      </c>
      <c r="J17" s="395">
        <f>'Kit report'!X16</f>
        <v>220.00000000007276</v>
      </c>
    </row>
    <row r="18" spans="1:10" ht="17.100000000000001" customHeight="1" thickBot="1">
      <c r="A18" s="217">
        <f>Gen!A24</f>
        <v>44269</v>
      </c>
      <c r="B18" s="399">
        <f>Gen!B24</f>
        <v>0.14000000000000001</v>
      </c>
      <c r="C18" s="443">
        <f>Gen!AJ24</f>
        <v>86.06</v>
      </c>
      <c r="D18" s="444">
        <f>Gen!S24</f>
        <v>1365.56</v>
      </c>
      <c r="E18" s="395">
        <f>Gen!C24</f>
        <v>42952.210000000006</v>
      </c>
      <c r="F18" s="396">
        <f>'Water-Meter'!E19</f>
        <v>74</v>
      </c>
      <c r="G18" s="397">
        <f>'Water-Meter'!AN19</f>
        <v>82</v>
      </c>
      <c r="H18" s="395">
        <f>'Utility report '!AC19</f>
        <v>0</v>
      </c>
      <c r="I18" s="394">
        <f>'Kit report'!F17</f>
        <v>275.99999999991269</v>
      </c>
      <c r="J18" s="395">
        <f>'Kit report'!X17</f>
        <v>360.00000000003638</v>
      </c>
    </row>
    <row r="19" spans="1:10" ht="17.100000000000001" customHeight="1" thickBot="1">
      <c r="A19" s="217">
        <f>Gen!A25</f>
        <v>44270</v>
      </c>
      <c r="B19" s="399">
        <f>Gen!B25</f>
        <v>9.0899999999999995E-2</v>
      </c>
      <c r="C19" s="443">
        <f>Gen!AJ25</f>
        <v>164.56</v>
      </c>
      <c r="D19" s="444">
        <f>Gen!S25</f>
        <v>1302.0899999999999</v>
      </c>
      <c r="E19" s="395">
        <f>Gen!C25</f>
        <v>41500.590000000004</v>
      </c>
      <c r="F19" s="396">
        <f>'Water-Meter'!E20</f>
        <v>74</v>
      </c>
      <c r="G19" s="397">
        <f>'Water-Meter'!AN20</f>
        <v>42</v>
      </c>
      <c r="H19" s="395">
        <f>'Utility report '!AC20</f>
        <v>0</v>
      </c>
      <c r="I19" s="394">
        <f>'Kit report'!F18</f>
        <v>252.00000000004366</v>
      </c>
      <c r="J19" s="395">
        <f>'Kit report'!X18</f>
        <v>400</v>
      </c>
    </row>
    <row r="20" spans="1:10" ht="17.100000000000001" customHeight="1" thickBot="1">
      <c r="A20" s="217">
        <f>Gen!A26</f>
        <v>44271</v>
      </c>
      <c r="B20" s="399">
        <f>Gen!B26</f>
        <v>7.7899999999999997E-2</v>
      </c>
      <c r="C20" s="443">
        <f>Gen!AJ26</f>
        <v>0</v>
      </c>
      <c r="D20" s="444">
        <f>Gen!S26</f>
        <v>1189.52</v>
      </c>
      <c r="E20" s="395">
        <f>Gen!C26</f>
        <v>40033.94</v>
      </c>
      <c r="F20" s="396">
        <f>'Water-Meter'!E21</f>
        <v>60</v>
      </c>
      <c r="G20" s="397">
        <f>'Water-Meter'!AN21</f>
        <v>101</v>
      </c>
      <c r="H20" s="395">
        <f>'Utility report '!AC21</f>
        <v>0</v>
      </c>
      <c r="I20" s="394">
        <f>'Kit report'!F19</f>
        <v>227.99999999995634</v>
      </c>
      <c r="J20" s="395">
        <f>'Kit report'!X19</f>
        <v>379.99999999992724</v>
      </c>
    </row>
    <row r="21" spans="1:10" ht="15.75" thickBot="1">
      <c r="A21" s="217">
        <f>Gen!A27</f>
        <v>44272</v>
      </c>
      <c r="B21" s="399">
        <f>Gen!B27</f>
        <v>6.4899999999999999E-2</v>
      </c>
      <c r="C21" s="443">
        <f>Gen!AJ27</f>
        <v>39.379999999999995</v>
      </c>
      <c r="D21" s="444">
        <f>Gen!S27</f>
        <v>1055.42</v>
      </c>
      <c r="E21" s="395">
        <f>Gen!C27</f>
        <v>38844.420000000006</v>
      </c>
      <c r="F21" s="396">
        <f>'Water-Meter'!E22</f>
        <v>64</v>
      </c>
      <c r="G21" s="397">
        <f>'Water-Meter'!AN22</f>
        <v>130</v>
      </c>
      <c r="H21" s="395">
        <f>'Utility report '!AC22</f>
        <v>-48088</v>
      </c>
      <c r="I21" s="394">
        <f>'Kit report'!F20</f>
        <v>240</v>
      </c>
      <c r="J21" s="395">
        <f>'Kit report'!X20</f>
        <v>260.00000000003638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37749.620000000003</v>
      </c>
      <c r="F22" s="396" t="str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-1100688</v>
      </c>
      <c r="J22" s="395">
        <f>'Kit report'!X21</f>
        <v>-1610500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37749.620000000003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37749.620000000003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37749.620000000003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37749.620000000003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37749.620000000003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37749.620000000003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37749.620000000003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37749.620000000003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37749.620000000003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37749.620000000003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37749.620000000003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37749.620000000003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37749.620000000003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37749.620000000003</v>
      </c>
      <c r="F36" s="396">
        <f>'Water-Meter'!E37</f>
        <v>0</v>
      </c>
      <c r="G36" s="397">
        <f>'Water-Meter'!AN37</f>
        <v>1183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2021-03-18T05:41:17Z</dcterms:modified>
</cp:coreProperties>
</file>