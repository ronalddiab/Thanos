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4" i="9" l="1"/>
  <c r="R25" i="9"/>
  <c r="R26" i="9"/>
  <c r="R27" i="9"/>
  <c r="R28" i="9"/>
  <c r="R29" i="9"/>
  <c r="R30" i="9"/>
  <c r="R31" i="9"/>
  <c r="R32" i="9"/>
  <c r="Q24" i="9"/>
  <c r="Q25" i="9"/>
  <c r="Q26" i="9"/>
  <c r="Q27" i="9"/>
  <c r="Q28" i="9"/>
  <c r="Q29" i="9"/>
  <c r="Q30" i="9"/>
  <c r="Q31" i="9"/>
  <c r="Q32" i="9"/>
  <c r="P24" i="9"/>
  <c r="P25" i="9"/>
  <c r="P26" i="9"/>
  <c r="P27" i="9"/>
  <c r="P28" i="9"/>
  <c r="P29" i="9"/>
  <c r="P30" i="9"/>
  <c r="P31" i="9"/>
  <c r="P32" i="9"/>
  <c r="O24" i="9"/>
  <c r="O25" i="9"/>
  <c r="O26" i="9"/>
  <c r="O27" i="9"/>
  <c r="O28" i="9"/>
  <c r="O29" i="9"/>
  <c r="O30" i="9"/>
  <c r="O31" i="9"/>
  <c r="O32" i="9"/>
  <c r="N24" i="9"/>
  <c r="N25" i="9"/>
  <c r="N26" i="9"/>
  <c r="N27" i="9"/>
  <c r="N28" i="9"/>
  <c r="N29" i="9"/>
  <c r="N30" i="9"/>
  <c r="N31" i="9"/>
  <c r="M24" i="9"/>
  <c r="M25" i="9"/>
  <c r="M26" i="9"/>
  <c r="M27" i="9"/>
  <c r="M28" i="9"/>
  <c r="M29" i="9"/>
  <c r="M30" i="9"/>
  <c r="M31" i="9"/>
  <c r="M32" i="9"/>
  <c r="L24" i="9"/>
  <c r="L25" i="9"/>
  <c r="L26" i="9"/>
  <c r="L27" i="9"/>
  <c r="L28" i="9"/>
  <c r="L29" i="9"/>
  <c r="L30" i="9"/>
  <c r="L31" i="9"/>
  <c r="L32" i="9"/>
  <c r="K24" i="9"/>
  <c r="K25" i="9"/>
  <c r="K26" i="9"/>
  <c r="K27" i="9"/>
  <c r="K28" i="9"/>
  <c r="K29" i="9"/>
  <c r="K30" i="9"/>
  <c r="K31" i="9"/>
  <c r="K32" i="9"/>
  <c r="J24" i="9"/>
  <c r="J25" i="9"/>
  <c r="J26" i="9"/>
  <c r="J27" i="9"/>
  <c r="J28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28" i="9"/>
  <c r="H29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8" i="7" l="1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<sst xmlns="http://schemas.openxmlformats.org/spreadsheetml/2006/main" count="128" uniqueCount="49">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</sst>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50010</v>
      </c>
      <c r="F22" s="11">
        <v>5.0000000000000001E-3</v>
      </c>
      <c r="G22" s="12">
        <f>Submetering!R22</f>
        <v>888.81426799999997</v>
      </c>
      <c r="H22" s="11">
        <v>0.52800000000000002</v>
      </c>
      <c r="I22" s="12">
        <f>Hotel!B27</f>
        <v>85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550</v>
      </c>
      <c r="F22" s="4">
        <f>Hotel!R27</f>
        <v>1890</v>
      </c>
      <c r="G22" s="4">
        <f>Hotel!S27</f>
        <v>2680</v>
      </c>
      <c r="H22" s="4">
        <f>Hotel!T27</f>
        <v>1490</v>
      </c>
      <c r="I22" s="4">
        <f>Hotel!U27</f>
        <v>5140</v>
      </c>
      <c r="J22" s="4">
        <f>Hotel!V27</f>
        <v>3420</v>
      </c>
      <c r="K22" s="4">
        <f>Hotel!W27</f>
        <v>2390</v>
      </c>
      <c r="L22" s="4">
        <f>Hotel!X27</f>
        <v>3890</v>
      </c>
      <c r="M22" s="4">
        <f>Hotel!Y27</f>
        <v>5520</v>
      </c>
      <c r="N22" s="4">
        <f>Hotel!Z27</f>
        <v>2550</v>
      </c>
      <c r="O22" s="4">
        <f>Hotel!AA27</f>
        <v>3700</v>
      </c>
      <c r="P22" s="4">
        <f>Hotel!AB27</f>
        <v>7050</v>
      </c>
      <c r="Q22" s="4">
        <f>Hotel!AC27</f>
        <v>9740</v>
      </c>
      <c r="R22" s="4">
        <f>Hotel!AV27*0.00378541*100</f>
        <v>888.81426799999997</v>
      </c>
      <c r="S22" s="4">
        <f>Hotel!B27</f>
        <v>85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P29" sqref="AP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>
        <v>85</v>
      </c>
      <c r="C27" s="24">
        <v>6535720</v>
      </c>
      <c r="D27" s="24">
        <v>15132510</v>
      </c>
      <c r="E27" s="24">
        <v>2399680</v>
      </c>
      <c r="F27" s="24">
        <v>3311260</v>
      </c>
      <c r="G27" s="24">
        <v>9976730</v>
      </c>
      <c r="H27" s="24">
        <v>5195870</v>
      </c>
      <c r="I27" s="24">
        <v>4834950</v>
      </c>
      <c r="J27" s="24">
        <v>5590860</v>
      </c>
      <c r="K27" s="24">
        <v>8722430</v>
      </c>
      <c r="L27" s="24">
        <v>3576870</v>
      </c>
      <c r="M27" s="24">
        <v>7562920</v>
      </c>
      <c r="N27" s="24">
        <v>11320320</v>
      </c>
      <c r="O27" s="24">
        <v>15587770</v>
      </c>
      <c r="Q27" s="37">
        <f t="shared" si="33"/>
        <v>550</v>
      </c>
      <c r="R27" s="37">
        <f t="shared" si="33"/>
        <v>1890</v>
      </c>
      <c r="S27" s="37">
        <f t="shared" si="33"/>
        <v>2680</v>
      </c>
      <c r="T27" s="37">
        <f t="shared" si="33"/>
        <v>1490</v>
      </c>
      <c r="U27" s="37">
        <f t="shared" si="33"/>
        <v>5140</v>
      </c>
      <c r="V27" s="37">
        <f t="shared" si="33"/>
        <v>3420</v>
      </c>
      <c r="W27" s="37">
        <f t="shared" si="33"/>
        <v>2390</v>
      </c>
      <c r="X27" s="37">
        <f t="shared" si="33"/>
        <v>3890</v>
      </c>
      <c r="Y27" s="37">
        <f t="shared" si="33"/>
        <v>5520</v>
      </c>
      <c r="Z27" s="37">
        <f t="shared" si="33"/>
        <v>2550</v>
      </c>
      <c r="AA27" s="37">
        <f t="shared" si="33"/>
        <v>3700</v>
      </c>
      <c r="AB27" s="37">
        <f t="shared" si="33"/>
        <v>7050</v>
      </c>
      <c r="AC27" s="37">
        <f t="shared" si="33"/>
        <v>9740</v>
      </c>
      <c r="AD27" s="35">
        <f t="shared" si="29"/>
        <v>50010</v>
      </c>
      <c r="AF27" s="20">
        <f t="shared" si="1"/>
        <v>2.75</v>
      </c>
      <c r="AG27" s="20">
        <f t="shared" si="2"/>
        <v>9.4500000000000011</v>
      </c>
      <c r="AH27" s="20">
        <f t="shared" si="3"/>
        <v>13.4</v>
      </c>
      <c r="AI27" s="20">
        <f t="shared" si="4"/>
        <v>7.45</v>
      </c>
      <c r="AJ27" s="20">
        <f t="shared" si="5"/>
        <v>25.7</v>
      </c>
      <c r="AK27" s="20">
        <f t="shared" si="6"/>
        <v>17.100000000000001</v>
      </c>
      <c r="AL27" s="20">
        <f t="shared" si="7"/>
        <v>11.950000000000001</v>
      </c>
      <c r="AM27" s="20">
        <f t="shared" si="8"/>
        <v>19.45</v>
      </c>
      <c r="AN27" s="20">
        <f t="shared" si="9"/>
        <v>27.6</v>
      </c>
      <c r="AO27" s="20">
        <f t="shared" si="10"/>
        <v>12.75</v>
      </c>
      <c r="AP27" s="20">
        <f t="shared" si="11"/>
        <v>18.5</v>
      </c>
      <c r="AQ27" s="20">
        <f t="shared" si="12"/>
        <v>35.25</v>
      </c>
      <c r="AR27" s="20">
        <f t="shared" si="13"/>
        <v>48.7</v>
      </c>
      <c r="AS27" s="35">
        <f t="shared" si="30"/>
        <v>250.05</v>
      </c>
      <c r="AU27" s="47">
        <v>473559</v>
      </c>
      <c r="AV27" s="37">
        <f>IF((AU27-AU26&lt;0),"0",AU27-AU26)</f>
        <v>2348</v>
      </c>
      <c r="AW27" s="35">
        <f t="shared" si="14"/>
        <v>4.6959999999999997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 t="str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11390</v>
      </c>
      <c r="R38" s="38">
        <f t="shared" ref="R38:AD38" si="62">SUM(R7:R37)</f>
        <v>39350</v>
      </c>
      <c r="S38" s="38">
        <f t="shared" si="62"/>
        <v>60830</v>
      </c>
      <c r="T38" s="38">
        <f t="shared" si="62"/>
        <v>31000</v>
      </c>
      <c r="U38" s="38">
        <f t="shared" si="62"/>
        <v>109360</v>
      </c>
      <c r="V38" s="38">
        <f t="shared" si="62"/>
        <v>71990</v>
      </c>
      <c r="W38" s="38">
        <f t="shared" si="62"/>
        <v>50680</v>
      </c>
      <c r="X38" s="38">
        <f t="shared" si="62"/>
        <v>82360</v>
      </c>
      <c r="Y38" s="38">
        <f t="shared" si="62"/>
        <v>111980</v>
      </c>
      <c r="Z38" s="38">
        <f t="shared" si="62"/>
        <v>53910</v>
      </c>
      <c r="AA38" s="38">
        <f t="shared" si="62"/>
        <v>72850</v>
      </c>
      <c r="AB38" s="38">
        <f t="shared" si="62"/>
        <v>145580</v>
      </c>
      <c r="AC38" s="38">
        <f t="shared" si="62"/>
        <v>226290</v>
      </c>
      <c r="AD38" s="38">
        <f t="shared" si="62"/>
        <v>1067570</v>
      </c>
      <c r="AF38" s="35">
        <f t="shared" ref="AF38:AS38" si="63">SUM(AF7:AF34)</f>
        <v>56.949999999999989</v>
      </c>
      <c r="AG38" s="35">
        <f t="shared" si="63"/>
        <v>196.74999999999997</v>
      </c>
      <c r="AH38" s="35">
        <f t="shared" si="63"/>
        <v>304.14999999999998</v>
      </c>
      <c r="AI38" s="35">
        <f t="shared" si="63"/>
        <v>154.99999999999994</v>
      </c>
      <c r="AJ38" s="35">
        <f t="shared" si="63"/>
        <v>546.80000000000007</v>
      </c>
      <c r="AK38" s="35">
        <f t="shared" si="63"/>
        <v>359.95000000000005</v>
      </c>
      <c r="AL38" s="35">
        <f t="shared" si="63"/>
        <v>253.39999999999998</v>
      </c>
      <c r="AM38" s="35">
        <f t="shared" si="63"/>
        <v>411.8</v>
      </c>
      <c r="AN38" s="35">
        <f t="shared" si="63"/>
        <v>559.9</v>
      </c>
      <c r="AO38" s="35">
        <f t="shared" si="63"/>
        <v>269.55</v>
      </c>
      <c r="AP38" s="35">
        <f t="shared" si="63"/>
        <v>364.25000000000006</v>
      </c>
      <c r="AQ38" s="35">
        <f t="shared" si="63"/>
        <v>727.90000000000009</v>
      </c>
      <c r="AR38" s="35">
        <f t="shared" si="63"/>
        <v>1131.4500000000003</v>
      </c>
      <c r="AS38" s="35">
        <f t="shared" si="63"/>
        <v>5337.85</v>
      </c>
      <c r="AU38" s="48"/>
      <c r="AV38" s="35">
        <f>SUM(AV7:AV34)</f>
        <v>37094</v>
      </c>
      <c r="AW38" s="35">
        <f>SUM(AW7:AW34)</f>
        <v>74.187999999999988</v>
      </c>
    </row>
    <row r="39" spans="1:49" x14ac:dyDescent="0.25">
      <c r="D39">
        <v>5.0000000000000001E-3</v>
      </c>
      <c r="AV39" s="36">
        <f>AV38*0.00378541*1000</f>
        <v>140415.99854</v>
      </c>
    </row>
    <row r="40" spans="1:49" x14ac:dyDescent="0.25">
      <c r="D40">
        <v>2E-3</v>
      </c>
      <c r="AV40">
        <f>AV39/31</f>
        <v>4529.5483400000003</v>
      </c>
    </row>
    <row r="41" spans="1:49" x14ac:dyDescent="0.25">
      <c r="AV41">
        <f>AV38*0.00378541</f>
        <v>140.41599854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2021-02-22T07:18:27Z</dcterms:modified>
</cp:coreProperties>
</file>