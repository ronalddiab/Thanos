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W30" i="7"/>
  <c r="AV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W29" i="7"/>
  <c r="AV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AV28" i="7"/>
  <c r="AW28" i="7" s="1"/>
  <c r="AO28" i="7"/>
  <c r="AN28" i="7"/>
  <c r="AC28" i="7"/>
  <c r="AR28" i="7" s="1"/>
  <c r="AB28" i="7"/>
  <c r="AQ28" i="7" s="1"/>
  <c r="AA28" i="7"/>
  <c r="AP28" i="7" s="1"/>
  <c r="Z28" i="7"/>
  <c r="Y28" i="7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AP26" i="7" s="1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B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B24" i="9"/>
  <c r="S23" i="9"/>
  <c r="R23" i="9"/>
  <c r="P23" i="9"/>
  <c r="N23" i="9"/>
  <c r="M23" i="9"/>
  <c r="L23" i="9"/>
  <c r="K23" i="9"/>
  <c r="I23" i="9"/>
  <c r="G23" i="9"/>
  <c r="B23" i="9"/>
  <c r="S22" i="9"/>
  <c r="O22" i="9"/>
  <c r="K22" i="9"/>
  <c r="H22" i="9"/>
  <c r="F22" i="9"/>
  <c r="B22" i="9"/>
  <c r="S21" i="9"/>
  <c r="R21" i="9"/>
  <c r="G21" i="5" s="1"/>
  <c r="Q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G25" i="5"/>
  <c r="E25" i="5"/>
  <c r="B25" i="5"/>
  <c r="I24" i="5"/>
  <c r="G24" i="5"/>
  <c r="E24" i="5"/>
  <c r="B24" i="5"/>
  <c r="I23" i="5"/>
  <c r="G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Q23" i="9" l="1"/>
  <c r="O23" i="9"/>
  <c r="L22" i="9"/>
  <c r="AK28" i="7"/>
  <c r="AI28" i="7"/>
  <c r="G22" i="9"/>
  <c r="AG28" i="7"/>
  <c r="E23" i="5"/>
  <c r="AF27" i="7"/>
  <c r="AD28" i="7"/>
  <c r="AF28" i="7"/>
  <c r="AS28" i="7" s="1"/>
  <c r="R22" i="9"/>
  <c r="G22" i="5" s="1"/>
  <c r="Q22" i="9"/>
  <c r="AQ27" i="7"/>
  <c r="P21" i="9"/>
  <c r="N22" i="9"/>
  <c r="AO26" i="7"/>
  <c r="AN27" i="7"/>
  <c r="AN38" i="7" s="1"/>
  <c r="J22" i="9"/>
  <c r="AD27" i="7"/>
  <c r="AJ27" i="7"/>
  <c r="O20" i="9"/>
  <c r="M21" i="9"/>
  <c r="M20" i="9"/>
  <c r="E21" i="9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AJ38" i="7"/>
  <c r="U38" i="7"/>
  <c r="AI38" i="7"/>
  <c r="AS23" i="7"/>
  <c r="AD23" i="7"/>
  <c r="AC38" i="7"/>
  <c r="AR22" i="7"/>
  <c r="AS22" i="7" s="1"/>
  <c r="P16" i="9"/>
  <c r="AQ38" i="7"/>
  <c r="AA38" i="7"/>
  <c r="N16" i="9"/>
  <c r="AO38" i="7"/>
  <c r="L16" i="9"/>
  <c r="AM38" i="7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E22" i="5" l="1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S38" i="7" s="1"/>
  <c r="AP38" i="7"/>
  <c r="AD38" i="7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<sst xmlns="http://schemas.openxmlformats.org/spreadsheetml/2006/main" count="128" uniqueCount="49">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</sst>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Submetering!R21</f>
        <v>753.67513099999996</v>
      </c>
      <c r="H21" s="11">
        <v>0.52800000000000002</v>
      </c>
      <c r="I21" s="12">
        <f>Hotel!B26</f>
        <v>56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58620</v>
      </c>
      <c r="F22" s="11">
        <v>5.0000000000000001E-3</v>
      </c>
      <c r="G22" s="12">
        <f>Submetering!R22</f>
        <v>284.284291</v>
      </c>
      <c r="H22" s="11">
        <v>0.52800000000000002</v>
      </c>
      <c r="I22" s="12">
        <f>Hotel!B27</f>
        <v>68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Hotel!AV26*0.00378541*100</f>
        <v>753.67513099999996</v>
      </c>
      <c r="S21" s="4">
        <f>Hotel!B26</f>
        <v>56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1010</v>
      </c>
      <c r="F22" s="4">
        <f>Hotel!R27</f>
        <v>11810</v>
      </c>
      <c r="G22" s="4">
        <f>Hotel!S27</f>
        <v>2820</v>
      </c>
      <c r="H22" s="4">
        <f>Hotel!T27</f>
        <v>1550</v>
      </c>
      <c r="I22" s="4">
        <f>Hotel!U27</f>
        <v>4350</v>
      </c>
      <c r="J22" s="4">
        <f>Hotel!V27</f>
        <v>3050</v>
      </c>
      <c r="K22" s="4">
        <f>Hotel!W27</f>
        <v>2410</v>
      </c>
      <c r="L22" s="4">
        <f>Hotel!X27</f>
        <v>3650</v>
      </c>
      <c r="M22" s="4">
        <f>Hotel!Y27</f>
        <v>5240</v>
      </c>
      <c r="N22" s="4">
        <f>Hotel!Z27</f>
        <v>2410</v>
      </c>
      <c r="O22" s="4">
        <f>Hotel!AA27</f>
        <v>2930</v>
      </c>
      <c r="P22" s="4">
        <f>Hotel!AB27</f>
        <v>6780</v>
      </c>
      <c r="Q22" s="4">
        <f>Hotel!AC27</f>
        <v>10610</v>
      </c>
      <c r="R22" s="4">
        <f>Hotel!AV27*0.00378541*100</f>
        <v>284.284291</v>
      </c>
      <c r="S22" s="4">
        <f>Hotel!B27</f>
        <v>68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30" sqref="AP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3"/>
        <v>1060</v>
      </c>
      <c r="R26" s="37">
        <f t="shared" si="33"/>
        <v>12460</v>
      </c>
      <c r="S26" s="37">
        <f t="shared" si="33"/>
        <v>2990</v>
      </c>
      <c r="T26" s="37">
        <f t="shared" si="33"/>
        <v>1610</v>
      </c>
      <c r="U26" s="37">
        <f t="shared" si="33"/>
        <v>4630</v>
      </c>
      <c r="V26" s="37">
        <f t="shared" si="33"/>
        <v>3170</v>
      </c>
      <c r="W26" s="37">
        <f t="shared" si="33"/>
        <v>2500</v>
      </c>
      <c r="X26" s="37">
        <f t="shared" si="33"/>
        <v>3840</v>
      </c>
      <c r="Y26" s="37">
        <f t="shared" si="33"/>
        <v>5390</v>
      </c>
      <c r="Z26" s="37">
        <f t="shared" si="33"/>
        <v>2510</v>
      </c>
      <c r="AA26" s="37">
        <f t="shared" si="33"/>
        <v>3100</v>
      </c>
      <c r="AB26" s="37">
        <f t="shared" si="33"/>
        <v>7120</v>
      </c>
      <c r="AC26" s="37">
        <f t="shared" si="33"/>
        <v>11880</v>
      </c>
      <c r="AD26" s="35">
        <f t="shared" si="28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29"/>
        <v>311.3</v>
      </c>
      <c r="AU26" s="47">
        <v>253661</v>
      </c>
      <c r="AV26" s="37">
        <f t="shared" si="31"/>
        <v>1991</v>
      </c>
      <c r="AW26" s="35">
        <f t="shared" si="30"/>
        <v>3.9820000000000002</v>
      </c>
    </row>
    <row r="27" spans="1:49" x14ac:dyDescent="0.25">
      <c r="A27" s="23">
        <v>44125</v>
      </c>
      <c r="B27" s="40">
        <v>68</v>
      </c>
      <c r="C27" s="24">
        <v>6394220</v>
      </c>
      <c r="D27" s="24">
        <v>14609540</v>
      </c>
      <c r="E27" s="24">
        <v>2147750</v>
      </c>
      <c r="F27" s="24">
        <v>3080500</v>
      </c>
      <c r="G27" s="24">
        <v>9344210</v>
      </c>
      <c r="H27" s="24">
        <v>4773620</v>
      </c>
      <c r="I27" s="24">
        <v>4538950</v>
      </c>
      <c r="J27" s="24">
        <v>5115870</v>
      </c>
      <c r="K27" s="24">
        <v>8021110</v>
      </c>
      <c r="L27" s="24">
        <v>3257820</v>
      </c>
      <c r="M27" s="24">
        <v>7142940</v>
      </c>
      <c r="N27" s="24">
        <v>10464410</v>
      </c>
      <c r="O27" s="24">
        <v>14161730</v>
      </c>
      <c r="Q27" s="37">
        <f t="shared" si="33"/>
        <v>1010</v>
      </c>
      <c r="R27" s="37">
        <f t="shared" si="33"/>
        <v>11810</v>
      </c>
      <c r="S27" s="37">
        <f t="shared" si="33"/>
        <v>2820</v>
      </c>
      <c r="T27" s="37">
        <f t="shared" si="33"/>
        <v>1550</v>
      </c>
      <c r="U27" s="37">
        <f t="shared" si="33"/>
        <v>4350</v>
      </c>
      <c r="V27" s="37">
        <f t="shared" si="33"/>
        <v>3050</v>
      </c>
      <c r="W27" s="37">
        <f t="shared" si="33"/>
        <v>2410</v>
      </c>
      <c r="X27" s="37">
        <f t="shared" si="33"/>
        <v>3650</v>
      </c>
      <c r="Y27" s="37">
        <f t="shared" si="33"/>
        <v>5240</v>
      </c>
      <c r="Z27" s="37">
        <f t="shared" si="33"/>
        <v>2410</v>
      </c>
      <c r="AA27" s="37">
        <f t="shared" si="33"/>
        <v>2930</v>
      </c>
      <c r="AB27" s="37">
        <f t="shared" si="33"/>
        <v>6780</v>
      </c>
      <c r="AC27" s="37">
        <f t="shared" si="33"/>
        <v>10610</v>
      </c>
      <c r="AD27" s="35">
        <f t="shared" si="28"/>
        <v>58620</v>
      </c>
      <c r="AF27" s="20">
        <f t="shared" si="1"/>
        <v>5.05</v>
      </c>
      <c r="AG27" s="20">
        <f t="shared" si="2"/>
        <v>59.050000000000004</v>
      </c>
      <c r="AH27" s="20">
        <f t="shared" si="3"/>
        <v>14.1</v>
      </c>
      <c r="AI27" s="20">
        <f t="shared" si="4"/>
        <v>7.75</v>
      </c>
      <c r="AJ27" s="20">
        <f t="shared" si="5"/>
        <v>21.75</v>
      </c>
      <c r="AK27" s="20">
        <f t="shared" si="6"/>
        <v>15.25</v>
      </c>
      <c r="AL27" s="20">
        <f t="shared" si="7"/>
        <v>12.05</v>
      </c>
      <c r="AM27" s="20">
        <f t="shared" si="8"/>
        <v>18.25</v>
      </c>
      <c r="AN27" s="20">
        <f t="shared" si="9"/>
        <v>26.2</v>
      </c>
      <c r="AO27" s="20">
        <f t="shared" si="10"/>
        <v>12.05</v>
      </c>
      <c r="AP27" s="20">
        <f t="shared" si="11"/>
        <v>14.65</v>
      </c>
      <c r="AQ27" s="20">
        <f t="shared" si="12"/>
        <v>33.9</v>
      </c>
      <c r="AR27" s="20">
        <f t="shared" si="13"/>
        <v>53.050000000000004</v>
      </c>
      <c r="AS27" s="35">
        <f t="shared" si="29"/>
        <v>293.10000000000002</v>
      </c>
      <c r="AU27" s="47">
        <v>254412</v>
      </c>
      <c r="AV27" s="37">
        <f>IF((AU27-AU26&lt;0),"0",AU27-AU26)</f>
        <v>751</v>
      </c>
      <c r="AW27" s="35">
        <f t="shared" si="30"/>
        <v>1.502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21270</v>
      </c>
      <c r="R38" s="30">
        <f t="shared" si="38"/>
        <v>276080</v>
      </c>
      <c r="S38" s="30">
        <f t="shared" si="38"/>
        <v>67950</v>
      </c>
      <c r="T38" s="30">
        <f t="shared" si="38"/>
        <v>33000</v>
      </c>
      <c r="U38" s="30">
        <f t="shared" si="38"/>
        <v>98170</v>
      </c>
      <c r="V38" s="30">
        <f t="shared" si="38"/>
        <v>68510</v>
      </c>
      <c r="W38" s="30">
        <f t="shared" si="38"/>
        <v>50140</v>
      </c>
      <c r="X38" s="30">
        <f t="shared" si="38"/>
        <v>77350</v>
      </c>
      <c r="Y38" s="30">
        <f t="shared" si="38"/>
        <v>109790</v>
      </c>
      <c r="Z38" s="30">
        <f t="shared" si="38"/>
        <v>55790</v>
      </c>
      <c r="AA38" s="30">
        <f t="shared" si="38"/>
        <v>69020</v>
      </c>
      <c r="AB38" s="30">
        <f t="shared" si="38"/>
        <v>143680</v>
      </c>
      <c r="AC38" s="30">
        <f t="shared" si="38"/>
        <v>217540</v>
      </c>
      <c r="AD38" s="35">
        <f t="shared" si="38"/>
        <v>1288290</v>
      </c>
      <c r="AF38" s="35">
        <f t="shared" ref="AF38:AS38" si="39">SUM(AF7:AF34)</f>
        <v>106.35</v>
      </c>
      <c r="AG38" s="35">
        <f t="shared" si="39"/>
        <v>1380.4</v>
      </c>
      <c r="AH38" s="35">
        <f t="shared" si="39"/>
        <v>339.75000000000006</v>
      </c>
      <c r="AI38" s="35">
        <f t="shared" si="39"/>
        <v>165</v>
      </c>
      <c r="AJ38" s="35">
        <f t="shared" si="39"/>
        <v>490.84999999999997</v>
      </c>
      <c r="AK38" s="35">
        <f t="shared" si="39"/>
        <v>342.55000000000007</v>
      </c>
      <c r="AL38" s="35">
        <f t="shared" si="39"/>
        <v>250.70000000000002</v>
      </c>
      <c r="AM38" s="35">
        <f t="shared" si="39"/>
        <v>386.75</v>
      </c>
      <c r="AN38" s="35">
        <f t="shared" si="39"/>
        <v>548.95000000000005</v>
      </c>
      <c r="AO38" s="35">
        <f t="shared" si="39"/>
        <v>278.95000000000005</v>
      </c>
      <c r="AP38" s="35">
        <f t="shared" si="39"/>
        <v>345.1</v>
      </c>
      <c r="AQ38" s="35">
        <f t="shared" si="39"/>
        <v>718.4</v>
      </c>
      <c r="AR38" s="35">
        <f t="shared" si="39"/>
        <v>1087.6999999999998</v>
      </c>
      <c r="AS38" s="35">
        <f t="shared" si="39"/>
        <v>6441.45</v>
      </c>
      <c r="AU38" s="48"/>
      <c r="AV38" s="35">
        <f>SUM(AV7:AV34)</f>
        <v>43217</v>
      </c>
      <c r="AW38" s="35">
        <f>SUM(AW7:AW34)</f>
        <v>77.34999999999998</v>
      </c>
    </row>
    <row r="39" spans="1:49" x14ac:dyDescent="0.25">
      <c r="D39">
        <v>5.0000000000000001E-3</v>
      </c>
      <c r="AV39" s="36">
        <f>AV38*0.00378541*1000</f>
        <v>163594.06397000002</v>
      </c>
    </row>
    <row r="40" spans="1:49" x14ac:dyDescent="0.25">
      <c r="D40">
        <v>2E-3</v>
      </c>
      <c r="AV40">
        <f>AV39/31</f>
        <v>5277.2278700000006</v>
      </c>
    </row>
    <row r="41" spans="1:49" x14ac:dyDescent="0.25">
      <c r="AV41">
        <f>AV38*0.00378541</f>
        <v>163.59406397000001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2020-10-22T06:19:15Z</dcterms:modified>
</cp:coreProperties>
</file>