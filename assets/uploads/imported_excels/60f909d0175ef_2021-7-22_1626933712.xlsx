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15865255-170A-47FF-848E-5287670C0080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3" l="1"/>
  <c r="E24" i="3"/>
  <c r="E23" i="3"/>
  <c r="ED24" i="3"/>
  <c r="EB24" i="3"/>
  <c r="DZ24" i="3"/>
  <c r="DX24" i="3"/>
  <c r="DU24" i="3"/>
  <c r="DV24" i="3" s="1"/>
  <c r="DR24" i="3"/>
  <c r="DS24" i="3" s="1"/>
  <c r="DO24" i="3"/>
  <c r="DP24" i="3" s="1"/>
  <c r="DL24" i="3"/>
  <c r="DM24" i="3" s="1"/>
  <c r="DI24" i="3"/>
  <c r="DJ24" i="3" s="1"/>
  <c r="DF24" i="3"/>
  <c r="DG24" i="3" s="1"/>
  <c r="DC24" i="3"/>
  <c r="DD24" i="3" s="1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K24" i="3" s="1"/>
  <c r="CB24" i="3"/>
  <c r="CC24" i="3" s="1"/>
  <c r="BZ24" i="3"/>
  <c r="BX24" i="3"/>
  <c r="BS24" i="3"/>
  <c r="BQ24" i="3"/>
  <c r="BO24" i="3"/>
  <c r="BM24" i="3"/>
  <c r="BU24" i="3" s="1"/>
  <c r="BI24" i="3"/>
  <c r="BG24" i="3"/>
  <c r="BE24" i="3"/>
  <c r="BC24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AC24" i="3"/>
  <c r="AA24" i="3"/>
  <c r="T24" i="3"/>
  <c r="R24" i="3"/>
  <c r="P24" i="3"/>
  <c r="N24" i="3"/>
  <c r="L24" i="3"/>
  <c r="J24" i="3"/>
  <c r="C24" i="3"/>
  <c r="ED23" i="3"/>
  <c r="EB23" i="3"/>
  <c r="DZ23" i="3"/>
  <c r="DX23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ED22" i="3"/>
  <c r="EB22" i="3"/>
  <c r="DZ22" i="3"/>
  <c r="DX22" i="3"/>
  <c r="DU22" i="3"/>
  <c r="DV22" i="3" s="1"/>
  <c r="DR22" i="3"/>
  <c r="DS22" i="3" s="1"/>
  <c r="DO22" i="3"/>
  <c r="DP22" i="3" s="1"/>
  <c r="DL22" i="3"/>
  <c r="DM22" i="3" s="1"/>
  <c r="DI22" i="3"/>
  <c r="DJ22" i="3" s="1"/>
  <c r="DF22" i="3"/>
  <c r="DG22" i="3" s="1"/>
  <c r="DC22" i="3"/>
  <c r="DD22" i="3" s="1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B22" i="3"/>
  <c r="CC22" i="3" s="1"/>
  <c r="BZ22" i="3"/>
  <c r="BX22" i="3"/>
  <c r="BS22" i="3"/>
  <c r="BQ22" i="3"/>
  <c r="BO22" i="3"/>
  <c r="BM22" i="3"/>
  <c r="BU22" i="3" s="1"/>
  <c r="BI22" i="3"/>
  <c r="BG22" i="3"/>
  <c r="BE22" i="3"/>
  <c r="BC22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AC22" i="3"/>
  <c r="AA22" i="3"/>
  <c r="V23" i="3"/>
  <c r="T23" i="3"/>
  <c r="R23" i="3"/>
  <c r="P23" i="3"/>
  <c r="N23" i="3"/>
  <c r="L23" i="3"/>
  <c r="J23" i="3"/>
  <c r="C23" i="3"/>
  <c r="V22" i="3"/>
  <c r="T22" i="3"/>
  <c r="R22" i="3"/>
  <c r="P22" i="3"/>
  <c r="N22" i="3"/>
  <c r="L22" i="3"/>
  <c r="J22" i="3"/>
  <c r="E22" i="3"/>
  <c r="C22" i="3"/>
  <c r="ED21" i="3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BJ24" i="3" l="1"/>
  <c r="BK24" i="3" s="1"/>
  <c r="BT24" i="3"/>
  <c r="F24" i="3"/>
  <c r="BJ22" i="3"/>
  <c r="BK22" i="3" s="1"/>
  <c r="BT22" i="3"/>
  <c r="CK23" i="3"/>
  <c r="CK22" i="3"/>
  <c r="BJ23" i="3"/>
  <c r="BK23" i="3" s="1"/>
  <c r="BT23" i="3"/>
  <c r="DD23" i="3"/>
  <c r="DG23" i="3"/>
  <c r="DJ23" i="3"/>
  <c r="DM23" i="3"/>
  <c r="DP23" i="3"/>
  <c r="DS23" i="3"/>
  <c r="DD20" i="3"/>
  <c r="DG20" i="3"/>
  <c r="DJ20" i="3"/>
  <c r="DM20" i="3"/>
  <c r="DP20" i="3"/>
  <c r="DS20" i="3"/>
  <c r="F22" i="3"/>
  <c r="F23" i="3"/>
  <c r="BJ20" i="3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<sst xmlns="http://schemas.openxmlformats.org/spreadsheetml/2006/main" count="266" uniqueCount="128">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</sst>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9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98.756671899529039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98.756671899529039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4740.3202511773943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97.073394495412842</v>
      </c>
      <c r="K13" s="7">
        <f>HOTEL!EE15</f>
        <v>2</v>
      </c>
      <c r="L13" s="18"/>
      <c r="N13" s="7">
        <f>HOTEL!W23</f>
        <v>100</v>
      </c>
      <c r="O13" s="7">
        <f t="shared" si="0"/>
        <v>250000</v>
      </c>
      <c r="P13" s="8">
        <f>IFERROR(((((HOTEL!V15*34))+(N13*2500))/(I13+N13*25)),0)</f>
        <v>97.073394495412842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11260.51376146789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99.99870055718533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99.99870055718533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7499.9025417888997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3196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2618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34</v>
      </c>
      <c r="K17" s="7">
        <f>HOTEL!EE19</f>
        <v>2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3162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34</v>
      </c>
      <c r="K18" s="7">
        <f>HOTEL!EE20</f>
        <v>2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1972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34</v>
      </c>
      <c r="K19" s="7">
        <f>HOTEL!EE21</f>
        <v>2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1632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5542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96</v>
      </c>
      <c r="J20" s="16">
        <f t="shared" si="1"/>
        <v>34</v>
      </c>
      <c r="K20" s="7">
        <f>HOTEL!EE22</f>
        <v>2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3264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5760</v>
      </c>
      <c r="F21" s="16">
        <v>6.21</v>
      </c>
      <c r="G21" s="8">
        <f>HOTEL!CK23</f>
        <v>0</v>
      </c>
      <c r="H21" s="16">
        <v>57.45</v>
      </c>
      <c r="I21" s="8">
        <f>HOTEL!V23+HOTEL!Y23</f>
        <v>60</v>
      </c>
      <c r="J21" s="16">
        <f t="shared" si="1"/>
        <v>34</v>
      </c>
      <c r="K21" s="7">
        <f>HOTEL!EE23</f>
        <v>2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2040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5306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66</v>
      </c>
      <c r="J22" s="16">
        <f t="shared" si="1"/>
        <v>34</v>
      </c>
      <c r="K22" s="7">
        <f>HOTEL!EE24</f>
        <v>2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2244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5542</v>
      </c>
      <c r="F20" s="7">
        <f>HOTEL!R22</f>
        <v>121</v>
      </c>
      <c r="G20" s="7">
        <f>HOTEL!T22</f>
        <v>109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98</v>
      </c>
      <c r="M20" s="7">
        <f>HOTEL!AE22</f>
        <v>0</v>
      </c>
      <c r="N20" s="7">
        <f>HOTEL!AI22</f>
        <v>40</v>
      </c>
      <c r="O20" s="7">
        <f>HOTEL!AM22</f>
        <v>14</v>
      </c>
      <c r="P20" s="7">
        <f>HOTEL!AO22</f>
        <v>0</v>
      </c>
      <c r="Q20" s="7">
        <f>HOTEL!AQ22</f>
        <v>0</v>
      </c>
      <c r="R20" s="7">
        <f>HOTEL!AS22</f>
        <v>2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50</v>
      </c>
      <c r="X20" s="7">
        <f>HOTEL!BT22</f>
        <v>8</v>
      </c>
      <c r="Y20" s="7">
        <f>HOTEL!CO22</f>
        <v>3.9040000000142028</v>
      </c>
      <c r="Z20" s="7">
        <f>HOTEL!CR21</f>
        <v>0</v>
      </c>
      <c r="AA20" s="7">
        <f>HOTEL!CU22</f>
        <v>0</v>
      </c>
      <c r="AB20" s="8">
        <f>HOTEL!CX22</f>
        <v>102.48</v>
      </c>
      <c r="AC20" s="7">
        <f>HOTEL!DA22</f>
        <v>10.755000000000001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5760</v>
      </c>
      <c r="F21" s="7">
        <f>HOTEL!R23</f>
        <v>150</v>
      </c>
      <c r="G21" s="7">
        <f>HOTEL!T23</f>
        <v>33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60</v>
      </c>
      <c r="M21" s="7">
        <f>HOTEL!AE23</f>
        <v>0</v>
      </c>
      <c r="N21" s="7">
        <f>HOTEL!AI23</f>
        <v>10</v>
      </c>
      <c r="O21" s="7">
        <f>HOTEL!AM23</f>
        <v>2</v>
      </c>
      <c r="P21" s="7">
        <f>HOTEL!AO23</f>
        <v>1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20</v>
      </c>
      <c r="X21" s="7">
        <f>HOTEL!BT23</f>
        <v>30</v>
      </c>
      <c r="Y21" s="7">
        <f>HOTEL!CO23</f>
        <v>8.5399999999999991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5.7359999999991311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5306</v>
      </c>
      <c r="F22" s="7">
        <f>HOTEL!R24</f>
        <v>148</v>
      </c>
      <c r="G22" s="7">
        <f>HOTEL!T24</f>
        <v>4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90</v>
      </c>
      <c r="M22" s="7">
        <f>HOTEL!AE24</f>
        <v>0</v>
      </c>
      <c r="N22" s="7">
        <f>HOTEL!AI24</f>
        <v>30</v>
      </c>
      <c r="O22" s="7">
        <f>HOTEL!AM24</f>
        <v>4</v>
      </c>
      <c r="P22" s="7">
        <f>HOTEL!AO24</f>
        <v>0</v>
      </c>
      <c r="Q22" s="7">
        <f>HOTEL!AQ24</f>
        <v>0</v>
      </c>
      <c r="R22" s="7">
        <f>HOTEL!AS24</f>
        <v>3</v>
      </c>
      <c r="S22" s="7">
        <f>HOTEL!AU24</f>
        <v>0</v>
      </c>
      <c r="T22" s="7">
        <f>HOTEL!AW24</f>
        <v>0</v>
      </c>
      <c r="U22" s="7" t="str">
        <f>HOTEL!AY24</f>
        <v>0</v>
      </c>
      <c r="V22" s="7">
        <f>HOTEL!BA24</f>
        <v>0</v>
      </c>
      <c r="W22" s="7">
        <f>HOTEL!BM24</f>
        <v>40</v>
      </c>
      <c r="X22" s="7">
        <f>HOTEL!BT24</f>
        <v>20</v>
      </c>
      <c r="Y22" s="7">
        <f>HOTEL!CO24</f>
        <v>15.86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6.6920000000004354</v>
      </c>
      <c r="AD22" s="8">
        <f>HOTEL!DD24</f>
        <v>0</v>
      </c>
      <c r="AE22" s="7">
        <f>HOTEL!DG24</f>
        <v>0.1999999999998181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B22" activePane="bottomRight" state="frozen"/>
      <selection pane="bottomRight" activeCell="V23" sqref="V23:V24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6" t="s">
        <v>52</v>
      </c>
      <c r="C1" s="127"/>
      <c r="D1" s="127"/>
      <c r="E1" s="127"/>
      <c r="F1" s="127"/>
      <c r="G1" s="127"/>
      <c r="H1" s="127"/>
      <c r="I1" s="128" t="s">
        <v>53</v>
      </c>
      <c r="J1" s="128"/>
      <c r="K1" s="128"/>
      <c r="L1" s="128"/>
      <c r="M1" s="128" t="s">
        <v>54</v>
      </c>
      <c r="N1" s="128"/>
      <c r="O1" s="128"/>
      <c r="P1" s="128"/>
      <c r="Q1" s="26" t="s">
        <v>55</v>
      </c>
      <c r="R1" s="120" t="s">
        <v>56</v>
      </c>
      <c r="S1" s="27" t="s">
        <v>22</v>
      </c>
      <c r="T1" s="28" t="s">
        <v>56</v>
      </c>
      <c r="U1" s="126" t="s">
        <v>57</v>
      </c>
      <c r="V1" s="129"/>
      <c r="W1" s="29" t="s">
        <v>58</v>
      </c>
      <c r="X1" s="29"/>
      <c r="Y1" s="29"/>
      <c r="Z1" s="30"/>
      <c r="AA1" s="30"/>
      <c r="AB1" s="130" t="s">
        <v>59</v>
      </c>
      <c r="AC1" s="130"/>
      <c r="AD1" s="121" t="s">
        <v>60</v>
      </c>
      <c r="AE1" s="121"/>
      <c r="AF1" s="29" t="s">
        <v>61</v>
      </c>
      <c r="AG1" s="121" t="s">
        <v>56</v>
      </c>
      <c r="AH1" s="131" t="s">
        <v>62</v>
      </c>
      <c r="AI1" s="132"/>
      <c r="AJ1" s="131" t="s">
        <v>63</v>
      </c>
      <c r="AK1" s="132"/>
      <c r="AL1" s="126" t="s">
        <v>64</v>
      </c>
      <c r="AM1" s="129"/>
      <c r="AN1" s="126" t="s">
        <v>65</v>
      </c>
      <c r="AO1" s="129"/>
      <c r="AP1" s="126" t="s">
        <v>66</v>
      </c>
      <c r="AQ1" s="129"/>
      <c r="AR1" s="126" t="s">
        <v>67</v>
      </c>
      <c r="AS1" s="129"/>
      <c r="AT1" s="126" t="s">
        <v>68</v>
      </c>
      <c r="AU1" s="129"/>
      <c r="AV1" s="126" t="s">
        <v>69</v>
      </c>
      <c r="AW1" s="129"/>
      <c r="AX1" s="126" t="s">
        <v>70</v>
      </c>
      <c r="AY1" s="129"/>
      <c r="AZ1" s="126" t="s">
        <v>71</v>
      </c>
      <c r="BA1" s="129"/>
      <c r="BB1" s="31"/>
      <c r="BC1" s="31"/>
      <c r="BD1" s="31"/>
      <c r="BE1" s="31"/>
      <c r="BF1" s="31"/>
      <c r="BG1" s="31"/>
      <c r="BH1" s="121"/>
      <c r="BI1" s="121"/>
      <c r="BJ1" s="121"/>
      <c r="BK1" s="121"/>
      <c r="BL1" s="131" t="s">
        <v>72</v>
      </c>
      <c r="BM1" s="132"/>
      <c r="BN1" s="131" t="s">
        <v>73</v>
      </c>
      <c r="BO1" s="132"/>
      <c r="BP1" s="126" t="s">
        <v>74</v>
      </c>
      <c r="BQ1" s="129"/>
      <c r="BR1" s="131" t="s">
        <v>75</v>
      </c>
      <c r="BS1" s="132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2" t="s">
        <v>78</v>
      </c>
      <c r="CW1" s="123"/>
      <c r="CX1" s="124"/>
      <c r="CY1" s="126" t="s">
        <v>64</v>
      </c>
      <c r="CZ1" s="127"/>
      <c r="DA1" s="129"/>
      <c r="DB1" s="122" t="s">
        <v>65</v>
      </c>
      <c r="DC1" s="123"/>
      <c r="DD1" s="124"/>
      <c r="DE1" s="122" t="s">
        <v>66</v>
      </c>
      <c r="DF1" s="123"/>
      <c r="DG1" s="124"/>
      <c r="DH1" s="122" t="s">
        <v>67</v>
      </c>
      <c r="DI1" s="123"/>
      <c r="DJ1" s="124"/>
      <c r="DK1" s="122" t="s">
        <v>68</v>
      </c>
      <c r="DL1" s="123"/>
      <c r="DM1" s="124"/>
      <c r="DN1" s="122" t="s">
        <v>69</v>
      </c>
      <c r="DO1" s="123"/>
      <c r="DP1" s="124"/>
      <c r="DQ1" s="122" t="s">
        <v>70</v>
      </c>
      <c r="DR1" s="123"/>
      <c r="DS1" s="124"/>
      <c r="DT1" s="122" t="s">
        <v>71</v>
      </c>
      <c r="DU1" s="123"/>
      <c r="DV1" s="124"/>
      <c r="DW1" s="36"/>
      <c r="DX1" s="36"/>
      <c r="DY1" s="36"/>
      <c r="DZ1" s="36"/>
      <c r="EH1" s="125" t="s">
        <v>79</v>
      </c>
      <c r="EI1" s="125"/>
      <c r="EJ1" s="125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:C24" si="56">IF((B16-B15)&lt;0,"0",(B16-B15))</f>
        <v>6523</v>
      </c>
      <c r="D16" s="78">
        <v>6482769</v>
      </c>
      <c r="E16" s="73">
        <f t="shared" ref="E16:E24" si="57">IF((D16-D15)&lt;0,"0",(D16-D15))</f>
        <v>5433</v>
      </c>
      <c r="F16" s="22">
        <f t="shared" ref="F16:F24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N24" si="59">IF((I16-I15)&lt;0,"0",(I16-I15))</f>
        <v>0</v>
      </c>
      <c r="K16" s="77">
        <v>776</v>
      </c>
      <c r="L16" s="73">
        <f t="shared" ref="L16:L24" si="60">IF((K16-K15)&lt;0,"0",(K16-K15))</f>
        <v>0</v>
      </c>
      <c r="M16" s="78">
        <v>633954</v>
      </c>
      <c r="N16" s="76">
        <f t="shared" ref="N16:N23" si="61">IF((M16-M15)&lt;0,"0",(M16-M15))</f>
        <v>0</v>
      </c>
      <c r="O16" s="78">
        <v>1000</v>
      </c>
      <c r="P16" s="76">
        <f t="shared" ref="P16:P24" si="62">IF((O16-O15)&lt;0,"0",(O16-O15))</f>
        <v>7</v>
      </c>
      <c r="Q16" s="78">
        <v>2556415</v>
      </c>
      <c r="R16" s="76">
        <f t="shared" ref="R16:V24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4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4" si="66">(AD16-AD15)</f>
        <v>0</v>
      </c>
      <c r="AF16" s="19"/>
      <c r="AG16" s="19"/>
      <c r="AH16" s="78">
        <v>583040</v>
      </c>
      <c r="AI16" s="76">
        <f t="shared" ref="AI16:AI24" si="67">IF((AH16-AH15)&lt;0,"0",(AH16-AH15))</f>
        <v>30</v>
      </c>
      <c r="AJ16" s="89">
        <v>790</v>
      </c>
      <c r="AK16" s="73">
        <f t="shared" ref="AK16:AK24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4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4" si="74">IF((AV16-AV15)&lt;0,"0",(AV16-AV15))</f>
        <v>0</v>
      </c>
      <c r="AX16" s="78">
        <v>13871</v>
      </c>
      <c r="AY16" s="81">
        <f t="shared" ref="AY16:AY24" si="75">IF((AX17-AX15)&lt;0,"0",(AX17-AX15))</f>
        <v>0</v>
      </c>
      <c r="AZ16" s="78">
        <v>6225</v>
      </c>
      <c r="BA16" s="73">
        <f t="shared" ref="BA16:BA24" si="76">(AZ16-AZ15)</f>
        <v>0</v>
      </c>
      <c r="BB16" s="78">
        <v>26559</v>
      </c>
      <c r="BC16" s="73">
        <f t="shared" ref="BC16:BC24" si="77">(BB16-BB15)</f>
        <v>1</v>
      </c>
      <c r="BD16" s="74">
        <v>1115</v>
      </c>
      <c r="BE16" s="73">
        <f t="shared" ref="BE16:BE24" si="78">(BD16-BD15)</f>
        <v>0</v>
      </c>
      <c r="BF16" s="74">
        <v>4378</v>
      </c>
      <c r="BG16" s="73">
        <f t="shared" ref="BG16:BG24" si="79">(BF16-BF15)</f>
        <v>0</v>
      </c>
      <c r="BH16" s="78">
        <v>3636</v>
      </c>
      <c r="BI16" s="73">
        <f t="shared" ref="BI16:BI24" si="80">(BH16-BH15)</f>
        <v>0</v>
      </c>
      <c r="BJ16" s="81">
        <f t="shared" ref="BJ16:BJ24" si="81">AY16+AW16+AS16</f>
        <v>0</v>
      </c>
      <c r="BK16" s="81">
        <f t="shared" ref="BK16:BK24" si="82">AI16-BJ16</f>
        <v>30</v>
      </c>
      <c r="BL16" s="78">
        <v>603350</v>
      </c>
      <c r="BM16" s="81">
        <f t="shared" ref="BM16:BM24" si="83">IF((BL16-BL15)&lt;0,"0",(BL16-BL15))</f>
        <v>20</v>
      </c>
      <c r="BN16" s="88">
        <v>747</v>
      </c>
      <c r="BO16" s="73">
        <f t="shared" ref="BO16:BO24" si="84">(BN16-BN15)</f>
        <v>0</v>
      </c>
      <c r="BP16" s="78">
        <v>783250</v>
      </c>
      <c r="BQ16" s="81">
        <f t="shared" ref="BQ16:BQ24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3" si="87">BQ16-AI16</f>
        <v>10</v>
      </c>
      <c r="BU16" s="81">
        <f t="shared" ref="BU16:BU24" si="88">SUM(BM16, BQ16)</f>
        <v>60</v>
      </c>
      <c r="BV16" s="93">
        <f t="shared" ref="BV16:BV24" si="89" xml:space="preserve"> SUM(AM16,AO16,AQ16,AS16,AU16,AW16,AY16,BA16,BE16)</f>
        <v>3</v>
      </c>
      <c r="BW16" s="78">
        <v>122</v>
      </c>
      <c r="BX16" s="94">
        <f t="shared" ref="BX16:BX24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4" si="91">(BY16-BY15)</f>
        <v>0</v>
      </c>
      <c r="CA16" s="78">
        <v>206798.1</v>
      </c>
      <c r="CB16" s="81">
        <f t="shared" ref="CB16:CB24" si="92">IF((CA16-CA15)&lt;0,"0",(CA16-CA15))</f>
        <v>5.3000000000174623</v>
      </c>
      <c r="CC16" s="91">
        <f t="shared" ref="CC16:CC24" si="93">CB16*5.71</f>
        <v>30.263000000099709</v>
      </c>
      <c r="CD16" s="78">
        <v>58</v>
      </c>
      <c r="CE16" s="100">
        <f t="shared" ref="CE16:CE24" si="94">(CD16*10775)/100</f>
        <v>6249.5</v>
      </c>
      <c r="CF16" s="78">
        <v>56</v>
      </c>
      <c r="CG16" s="101">
        <f t="shared" ref="CG16:CG24" si="95">(CF16*10775)/100</f>
        <v>6034</v>
      </c>
      <c r="CH16" s="78">
        <v>59</v>
      </c>
      <c r="CI16" s="102">
        <f t="shared" ref="CI16:CI24" si="96">(CH16*10775)/100</f>
        <v>6357.25</v>
      </c>
      <c r="CJ16" s="103">
        <f t="shared" ref="CJ16:CJ24" si="97">CE16+CG16+CI16</f>
        <v>18640.75</v>
      </c>
      <c r="CK16" s="104">
        <f t="shared" ref="CK16:CK24" si="98">IF((CJ15-CJ16+CL15)=CJ15,"0",(CJ15-CJ16+CL15))</f>
        <v>107.75</v>
      </c>
      <c r="CL16" s="78"/>
      <c r="CM16" s="78">
        <v>34681.599999999999</v>
      </c>
      <c r="CN16" s="81">
        <f t="shared" ref="CN16:CN24" si="99">IF((CM16-CM15)&lt;0,"0",(CM16-CM15))</f>
        <v>4.6999999999970896</v>
      </c>
      <c r="CO16" s="91">
        <f t="shared" ref="CO16:CO24" si="100">CN16*2.44</f>
        <v>11.467999999992898</v>
      </c>
      <c r="CP16" s="78">
        <v>34300</v>
      </c>
      <c r="CQ16" s="81">
        <f t="shared" ref="CQ16:CQ24" si="101">IF((CP16-CP15)&lt;0,"0",(CP16-CP15))</f>
        <v>0</v>
      </c>
      <c r="CR16" s="91">
        <f t="shared" ref="CR16:CR24" si="102">CQ16*2.44</f>
        <v>0</v>
      </c>
      <c r="CS16" s="78">
        <v>10235.6</v>
      </c>
      <c r="CT16" s="81">
        <f t="shared" ref="CT16:CT24" si="103">IF((CS16-CS15)&lt;0,"0",(CS16-CS15))</f>
        <v>0</v>
      </c>
      <c r="CU16" s="91">
        <f t="shared" ref="CU16:CU24" si="104">CT16*2.44</f>
        <v>0</v>
      </c>
      <c r="CV16" s="78">
        <v>832172.5</v>
      </c>
      <c r="CW16" s="81">
        <f t="shared" ref="CW16:CW24" si="105">IF((CV16-CV15)&lt;0,"0",(CV16-CV15))</f>
        <v>0</v>
      </c>
      <c r="CX16" s="91">
        <f t="shared" ref="CX16:CX24" si="106">CW16*2.44</f>
        <v>0</v>
      </c>
      <c r="CY16" s="78">
        <v>6110.4</v>
      </c>
      <c r="CZ16" s="81">
        <f t="shared" ref="CZ16:CZ24" si="107">IF((CY16-CY15)&lt;0,"0",(CY16-CY15))</f>
        <v>2.5999999999994543</v>
      </c>
      <c r="DA16" s="91">
        <f t="shared" ref="DA16:DA24" si="108">CZ16*2.39</f>
        <v>6.2139999999986957</v>
      </c>
      <c r="DB16" s="78">
        <v>7420</v>
      </c>
      <c r="DC16" s="81">
        <f t="shared" ref="DC16:DD24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4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4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4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4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4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4" si="121">IF((DT16-DT15)&lt;0,"0",(DT16-DT15))</f>
        <v>0</v>
      </c>
      <c r="DV16" s="91">
        <f t="shared" ref="DV16:DV24" si="122">DU16*2.39</f>
        <v>0</v>
      </c>
      <c r="DW16" s="98">
        <v>12871</v>
      </c>
      <c r="DX16" s="91">
        <f t="shared" ref="DX16:DX24" si="123">(DW16-DW15)</f>
        <v>0</v>
      </c>
      <c r="DY16" s="98">
        <v>62789</v>
      </c>
      <c r="DZ16" s="91">
        <f t="shared" ref="DZ16:DZ24" si="124">(DY16-DY15)</f>
        <v>0</v>
      </c>
      <c r="EA16" s="109">
        <v>15588</v>
      </c>
      <c r="EB16" s="91">
        <f t="shared" ref="EB16:EB24" si="125">(EA16-EA15)</f>
        <v>0</v>
      </c>
      <c r="EC16" s="109">
        <v>24679</v>
      </c>
      <c r="ED16" s="91">
        <f t="shared" ref="ED16:ED24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4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4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>
        <v>12.4</v>
      </c>
      <c r="EL19" s="119">
        <v>12.9</v>
      </c>
      <c r="EM19" s="119">
        <v>13.1</v>
      </c>
    </row>
    <row r="20" spans="1:144" s="20" customFormat="1" ht="15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:AM24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>
        <v>7309059</v>
      </c>
      <c r="C22" s="73">
        <f t="shared" si="56"/>
        <v>6082</v>
      </c>
      <c r="D22" s="78">
        <v>6514630</v>
      </c>
      <c r="E22" s="73">
        <f t="shared" si="57"/>
        <v>5542</v>
      </c>
      <c r="F22" s="22">
        <f t="shared" si="58"/>
        <v>0.91121341663926336</v>
      </c>
      <c r="G22" s="74">
        <v>360</v>
      </c>
      <c r="H22" s="74">
        <v>306</v>
      </c>
      <c r="I22" s="75">
        <v>288064</v>
      </c>
      <c r="J22" s="76">
        <f t="shared" si="59"/>
        <v>0</v>
      </c>
      <c r="K22" s="77">
        <v>776</v>
      </c>
      <c r="L22" s="73">
        <f t="shared" si="60"/>
        <v>0</v>
      </c>
      <c r="M22" s="78">
        <v>633954</v>
      </c>
      <c r="N22" s="76">
        <f t="shared" si="61"/>
        <v>0</v>
      </c>
      <c r="O22" s="78">
        <v>993</v>
      </c>
      <c r="P22" s="76">
        <f t="shared" si="62"/>
        <v>0</v>
      </c>
      <c r="Q22" s="78">
        <v>2557128</v>
      </c>
      <c r="R22" s="76">
        <f t="shared" si="63"/>
        <v>121</v>
      </c>
      <c r="S22" s="78">
        <v>2192439</v>
      </c>
      <c r="T22" s="76">
        <f t="shared" si="63"/>
        <v>109</v>
      </c>
      <c r="U22" s="78">
        <v>116706</v>
      </c>
      <c r="V22" s="76">
        <f t="shared" si="63"/>
        <v>96</v>
      </c>
      <c r="W22" s="86">
        <v>100</v>
      </c>
      <c r="X22" s="78">
        <v>152370</v>
      </c>
      <c r="Y22" s="76">
        <v>0</v>
      </c>
      <c r="Z22" s="74">
        <v>40419</v>
      </c>
      <c r="AA22" s="81">
        <f t="shared" si="64"/>
        <v>9</v>
      </c>
      <c r="AB22" s="78">
        <v>1131</v>
      </c>
      <c r="AC22" s="82">
        <f t="shared" si="128"/>
        <v>2</v>
      </c>
      <c r="AD22" s="78">
        <v>4605</v>
      </c>
      <c r="AE22" s="83">
        <f t="shared" si="66"/>
        <v>0</v>
      </c>
      <c r="AF22" s="19"/>
      <c r="AG22" s="19"/>
      <c r="AH22" s="78">
        <v>583280</v>
      </c>
      <c r="AI22" s="76">
        <f t="shared" si="67"/>
        <v>40</v>
      </c>
      <c r="AJ22" s="90">
        <v>815</v>
      </c>
      <c r="AK22" s="73">
        <f t="shared" si="68"/>
        <v>1</v>
      </c>
      <c r="AL22" s="78">
        <v>52391</v>
      </c>
      <c r="AM22" s="87">
        <f t="shared" si="129"/>
        <v>14</v>
      </c>
      <c r="AN22" s="78">
        <v>8929</v>
      </c>
      <c r="AO22" s="73">
        <f t="shared" si="70"/>
        <v>0</v>
      </c>
      <c r="AP22" s="78">
        <v>10582</v>
      </c>
      <c r="AQ22" s="73">
        <f t="shared" si="70"/>
        <v>0</v>
      </c>
      <c r="AR22" s="78">
        <v>14618</v>
      </c>
      <c r="AS22" s="73">
        <f t="shared" si="70"/>
        <v>2</v>
      </c>
      <c r="AT22" s="78">
        <v>19369</v>
      </c>
      <c r="AU22" s="73">
        <f t="shared" si="70"/>
        <v>0</v>
      </c>
      <c r="AV22" s="78">
        <v>20680</v>
      </c>
      <c r="AW22" s="81">
        <f t="shared" si="74"/>
        <v>0</v>
      </c>
      <c r="AX22" s="78">
        <v>13871</v>
      </c>
      <c r="AY22" s="81">
        <f t="shared" si="75"/>
        <v>0</v>
      </c>
      <c r="AZ22" s="78">
        <v>6225</v>
      </c>
      <c r="BA22" s="73">
        <f t="shared" si="76"/>
        <v>0</v>
      </c>
      <c r="BB22" s="78">
        <v>26567</v>
      </c>
      <c r="BC22" s="73">
        <f t="shared" si="77"/>
        <v>2</v>
      </c>
      <c r="BD22" s="78">
        <v>1115</v>
      </c>
      <c r="BE22" s="73">
        <f t="shared" si="78"/>
        <v>0</v>
      </c>
      <c r="BF22" s="78">
        <v>4378</v>
      </c>
      <c r="BG22" s="73">
        <f t="shared" si="79"/>
        <v>0</v>
      </c>
      <c r="BH22" s="78">
        <v>3636</v>
      </c>
      <c r="BI22" s="73">
        <f t="shared" si="80"/>
        <v>0</v>
      </c>
      <c r="BJ22" s="81">
        <f t="shared" si="81"/>
        <v>2</v>
      </c>
      <c r="BK22" s="81">
        <f t="shared" si="82"/>
        <v>38</v>
      </c>
      <c r="BL22" s="78">
        <v>603590</v>
      </c>
      <c r="BM22" s="81">
        <f t="shared" si="83"/>
        <v>50</v>
      </c>
      <c r="BN22" s="88">
        <v>747</v>
      </c>
      <c r="BO22" s="73">
        <f t="shared" si="84"/>
        <v>0</v>
      </c>
      <c r="BP22" s="78">
        <v>783660</v>
      </c>
      <c r="BQ22" s="81">
        <f t="shared" si="85"/>
        <v>48</v>
      </c>
      <c r="BR22" s="92">
        <v>7693</v>
      </c>
      <c r="BS22" s="81">
        <f t="shared" si="127"/>
        <v>7</v>
      </c>
      <c r="BT22" s="91">
        <f t="shared" si="87"/>
        <v>8</v>
      </c>
      <c r="BU22" s="81">
        <f t="shared" si="88"/>
        <v>98</v>
      </c>
      <c r="BV22" s="93">
        <f t="shared" si="89"/>
        <v>16</v>
      </c>
      <c r="BW22" s="78">
        <v>122</v>
      </c>
      <c r="BX22" s="94">
        <f t="shared" si="90"/>
        <v>15128.057958131996</v>
      </c>
      <c r="BY22" s="99"/>
      <c r="BZ22" s="96">
        <f t="shared" si="91"/>
        <v>0</v>
      </c>
      <c r="CA22" s="78">
        <v>206933</v>
      </c>
      <c r="CB22" s="81">
        <f t="shared" si="92"/>
        <v>49</v>
      </c>
      <c r="CC22" s="91">
        <f t="shared" si="93"/>
        <v>279.79000000000002</v>
      </c>
      <c r="CD22" s="78">
        <v>55</v>
      </c>
      <c r="CE22" s="100">
        <f t="shared" si="94"/>
        <v>5926.25</v>
      </c>
      <c r="CF22" s="78">
        <v>54</v>
      </c>
      <c r="CG22" s="101">
        <f t="shared" si="95"/>
        <v>5818.5</v>
      </c>
      <c r="CH22" s="78">
        <v>56</v>
      </c>
      <c r="CI22" s="102">
        <f t="shared" si="96"/>
        <v>6034</v>
      </c>
      <c r="CJ22" s="103">
        <f t="shared" si="97"/>
        <v>17778.75</v>
      </c>
      <c r="CK22" s="104">
        <f t="shared" si="98"/>
        <v>107.75</v>
      </c>
      <c r="CL22" s="78"/>
      <c r="CM22" s="78">
        <v>34702.300000000003</v>
      </c>
      <c r="CN22" s="81">
        <f t="shared" si="99"/>
        <v>1.6000000000058208</v>
      </c>
      <c r="CO22" s="91">
        <f t="shared" si="100"/>
        <v>3.9040000000142028</v>
      </c>
      <c r="CP22" s="78">
        <v>34300</v>
      </c>
      <c r="CQ22" s="81">
        <f t="shared" si="101"/>
        <v>0</v>
      </c>
      <c r="CR22" s="91">
        <f t="shared" si="102"/>
        <v>0</v>
      </c>
      <c r="CS22" s="78">
        <v>10235.6</v>
      </c>
      <c r="CT22" s="81">
        <f t="shared" si="103"/>
        <v>0</v>
      </c>
      <c r="CU22" s="91">
        <f t="shared" si="104"/>
        <v>0</v>
      </c>
      <c r="CV22" s="78">
        <v>832280</v>
      </c>
      <c r="CW22" s="81">
        <f t="shared" si="105"/>
        <v>42</v>
      </c>
      <c r="CX22" s="91">
        <f t="shared" si="106"/>
        <v>102.48</v>
      </c>
      <c r="CY22" s="78">
        <v>6129.1</v>
      </c>
      <c r="CZ22" s="81">
        <f t="shared" si="107"/>
        <v>4.5</v>
      </c>
      <c r="DA22" s="91">
        <f t="shared" si="108"/>
        <v>10.755000000000001</v>
      </c>
      <c r="DB22" s="78">
        <v>7420</v>
      </c>
      <c r="DC22" s="81">
        <f t="shared" si="109"/>
        <v>0</v>
      </c>
      <c r="DD22" s="81">
        <f t="shared" si="109"/>
        <v>0</v>
      </c>
      <c r="DE22" s="78">
        <v>4158</v>
      </c>
      <c r="DF22" s="81">
        <f t="shared" si="111"/>
        <v>4</v>
      </c>
      <c r="DG22" s="81" t="str">
        <f t="shared" si="111"/>
        <v>0</v>
      </c>
      <c r="DH22" s="78">
        <v>1855.9</v>
      </c>
      <c r="DI22" s="81">
        <f t="shared" si="113"/>
        <v>0</v>
      </c>
      <c r="DJ22" s="81">
        <f t="shared" si="113"/>
        <v>0</v>
      </c>
      <c r="DK22" s="78">
        <v>5081.7</v>
      </c>
      <c r="DL22" s="81">
        <f t="shared" si="115"/>
        <v>0</v>
      </c>
      <c r="DM22" s="81">
        <f t="shared" si="115"/>
        <v>0</v>
      </c>
      <c r="DN22" s="78">
        <v>4454.7</v>
      </c>
      <c r="DO22" s="81">
        <f t="shared" si="117"/>
        <v>0</v>
      </c>
      <c r="DP22" s="81">
        <f t="shared" si="117"/>
        <v>0</v>
      </c>
      <c r="DQ22" s="78">
        <v>5089.6000000000004</v>
      </c>
      <c r="DR22" s="81">
        <f t="shared" si="119"/>
        <v>0</v>
      </c>
      <c r="DS22" s="81">
        <f t="shared" si="119"/>
        <v>0</v>
      </c>
      <c r="DT22" s="78">
        <v>5109.1000000000004</v>
      </c>
      <c r="DU22" s="81">
        <f t="shared" si="121"/>
        <v>0</v>
      </c>
      <c r="DV22" s="91">
        <f t="shared" si="122"/>
        <v>0</v>
      </c>
      <c r="DW22" s="98">
        <v>12871</v>
      </c>
      <c r="DX22" s="91">
        <f t="shared" si="123"/>
        <v>0</v>
      </c>
      <c r="DY22" s="98">
        <v>62789</v>
      </c>
      <c r="DZ22" s="91">
        <f t="shared" si="124"/>
        <v>0</v>
      </c>
      <c r="EA22" s="109">
        <v>15588</v>
      </c>
      <c r="EB22" s="91">
        <f t="shared" si="125"/>
        <v>0</v>
      </c>
      <c r="EC22" s="109">
        <v>24679</v>
      </c>
      <c r="ED22" s="91">
        <f t="shared" si="126"/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>
        <v>7315465</v>
      </c>
      <c r="C23" s="73">
        <f t="shared" si="56"/>
        <v>6406</v>
      </c>
      <c r="D23" s="78">
        <v>6520390</v>
      </c>
      <c r="E23" s="73">
        <f t="shared" si="57"/>
        <v>5760</v>
      </c>
      <c r="F23" s="22">
        <f t="shared" si="58"/>
        <v>0.89915704027474241</v>
      </c>
      <c r="G23" s="74">
        <v>360</v>
      </c>
      <c r="H23" s="74">
        <v>306</v>
      </c>
      <c r="I23" s="75">
        <v>288064</v>
      </c>
      <c r="J23" s="76">
        <f t="shared" si="59"/>
        <v>0</v>
      </c>
      <c r="K23" s="77">
        <v>776</v>
      </c>
      <c r="L23" s="73">
        <f t="shared" si="60"/>
        <v>0</v>
      </c>
      <c r="M23" s="78">
        <v>633954</v>
      </c>
      <c r="N23" s="76">
        <f t="shared" si="61"/>
        <v>0</v>
      </c>
      <c r="O23" s="78">
        <v>993</v>
      </c>
      <c r="P23" s="76">
        <f t="shared" si="62"/>
        <v>0</v>
      </c>
      <c r="Q23" s="78">
        <v>2557278</v>
      </c>
      <c r="R23" s="76">
        <f t="shared" si="63"/>
        <v>150</v>
      </c>
      <c r="S23" s="78">
        <v>2192472</v>
      </c>
      <c r="T23" s="76">
        <f t="shared" si="63"/>
        <v>33</v>
      </c>
      <c r="U23" s="78">
        <v>116766</v>
      </c>
      <c r="V23" s="76">
        <f t="shared" si="63"/>
        <v>60</v>
      </c>
      <c r="W23" s="86">
        <v>100</v>
      </c>
      <c r="X23" s="78">
        <v>152370</v>
      </c>
      <c r="Y23" s="76">
        <v>0</v>
      </c>
      <c r="Z23" s="74">
        <v>40426</v>
      </c>
      <c r="AA23" s="81">
        <f t="shared" si="64"/>
        <v>7</v>
      </c>
      <c r="AB23" s="78">
        <v>1131</v>
      </c>
      <c r="AC23" s="82">
        <f t="shared" si="128"/>
        <v>0</v>
      </c>
      <c r="AD23" s="78">
        <v>4605</v>
      </c>
      <c r="AE23" s="83">
        <f t="shared" si="66"/>
        <v>0</v>
      </c>
      <c r="AF23" s="19"/>
      <c r="AG23" s="19"/>
      <c r="AH23" s="78">
        <v>583290</v>
      </c>
      <c r="AI23" s="76">
        <f t="shared" si="67"/>
        <v>10</v>
      </c>
      <c r="AJ23" s="90">
        <v>817</v>
      </c>
      <c r="AK23" s="73">
        <f t="shared" si="68"/>
        <v>2</v>
      </c>
      <c r="AL23" s="78">
        <v>52393</v>
      </c>
      <c r="AM23" s="87">
        <f t="shared" si="129"/>
        <v>2</v>
      </c>
      <c r="AN23" s="78">
        <v>8930</v>
      </c>
      <c r="AO23" s="73">
        <f t="shared" si="70"/>
        <v>1</v>
      </c>
      <c r="AP23" s="78">
        <v>10582</v>
      </c>
      <c r="AQ23" s="73">
        <f t="shared" si="70"/>
        <v>0</v>
      </c>
      <c r="AR23" s="78">
        <v>14619</v>
      </c>
      <c r="AS23" s="73">
        <f t="shared" si="70"/>
        <v>1</v>
      </c>
      <c r="AT23" s="78">
        <v>19369</v>
      </c>
      <c r="AU23" s="73">
        <f t="shared" si="70"/>
        <v>0</v>
      </c>
      <c r="AV23" s="78">
        <v>20680</v>
      </c>
      <c r="AW23" s="81">
        <f t="shared" si="74"/>
        <v>0</v>
      </c>
      <c r="AX23" s="78">
        <v>13871</v>
      </c>
      <c r="AY23" s="81">
        <f t="shared" si="75"/>
        <v>0</v>
      </c>
      <c r="AZ23" s="78">
        <v>6225</v>
      </c>
      <c r="BA23" s="73">
        <f t="shared" si="76"/>
        <v>0</v>
      </c>
      <c r="BB23" s="78">
        <v>26569</v>
      </c>
      <c r="BC23" s="73">
        <f t="shared" si="77"/>
        <v>2</v>
      </c>
      <c r="BD23" s="78">
        <v>1115</v>
      </c>
      <c r="BE23" s="73">
        <f t="shared" si="78"/>
        <v>0</v>
      </c>
      <c r="BF23" s="78">
        <v>4378</v>
      </c>
      <c r="BG23" s="73">
        <f t="shared" si="79"/>
        <v>0</v>
      </c>
      <c r="BH23" s="78">
        <v>3636</v>
      </c>
      <c r="BI23" s="73">
        <f t="shared" si="80"/>
        <v>0</v>
      </c>
      <c r="BJ23" s="81">
        <f t="shared" si="81"/>
        <v>1</v>
      </c>
      <c r="BK23" s="81">
        <f t="shared" si="82"/>
        <v>9</v>
      </c>
      <c r="BL23" s="78">
        <v>603610</v>
      </c>
      <c r="BM23" s="81">
        <f t="shared" si="83"/>
        <v>20</v>
      </c>
      <c r="BN23" s="88">
        <v>747</v>
      </c>
      <c r="BO23" s="73">
        <f t="shared" si="84"/>
        <v>0</v>
      </c>
      <c r="BP23" s="78">
        <v>783700</v>
      </c>
      <c r="BQ23" s="81">
        <f t="shared" si="85"/>
        <v>40</v>
      </c>
      <c r="BR23" s="92">
        <v>7706</v>
      </c>
      <c r="BS23" s="81">
        <f t="shared" si="127"/>
        <v>13</v>
      </c>
      <c r="BT23" s="91">
        <f t="shared" si="87"/>
        <v>30</v>
      </c>
      <c r="BU23" s="81">
        <f t="shared" si="88"/>
        <v>60</v>
      </c>
      <c r="BV23" s="93">
        <f t="shared" si="89"/>
        <v>4</v>
      </c>
      <c r="BW23" s="78">
        <v>122</v>
      </c>
      <c r="BX23" s="94">
        <f t="shared" si="90"/>
        <v>15128.057958131996</v>
      </c>
      <c r="BY23" s="99"/>
      <c r="BZ23" s="96">
        <f t="shared" si="91"/>
        <v>0</v>
      </c>
      <c r="CA23" s="78">
        <v>206938</v>
      </c>
      <c r="CB23" s="81">
        <f t="shared" si="92"/>
        <v>5</v>
      </c>
      <c r="CC23" s="91">
        <f t="shared" si="93"/>
        <v>28.55</v>
      </c>
      <c r="CD23" s="78">
        <v>55</v>
      </c>
      <c r="CE23" s="100">
        <f t="shared" si="94"/>
        <v>5926.25</v>
      </c>
      <c r="CF23" s="78">
        <v>54</v>
      </c>
      <c r="CG23" s="101">
        <f t="shared" si="95"/>
        <v>5818.5</v>
      </c>
      <c r="CH23" s="78">
        <v>56</v>
      </c>
      <c r="CI23" s="102">
        <f t="shared" si="96"/>
        <v>6034</v>
      </c>
      <c r="CJ23" s="103">
        <f t="shared" si="97"/>
        <v>17778.75</v>
      </c>
      <c r="CK23" s="104">
        <f t="shared" si="98"/>
        <v>0</v>
      </c>
      <c r="CL23" s="78"/>
      <c r="CM23" s="78">
        <v>34705.800000000003</v>
      </c>
      <c r="CN23" s="81">
        <f t="shared" si="99"/>
        <v>3.5</v>
      </c>
      <c r="CO23" s="91">
        <f t="shared" si="100"/>
        <v>8.5399999999999991</v>
      </c>
      <c r="CP23" s="78">
        <v>34300</v>
      </c>
      <c r="CQ23" s="81">
        <f t="shared" si="101"/>
        <v>0</v>
      </c>
      <c r="CR23" s="91">
        <f t="shared" si="102"/>
        <v>0</v>
      </c>
      <c r="CS23" s="78">
        <v>10235.6</v>
      </c>
      <c r="CT23" s="81">
        <f t="shared" si="103"/>
        <v>0</v>
      </c>
      <c r="CU23" s="91">
        <f t="shared" si="104"/>
        <v>0</v>
      </c>
      <c r="CV23" s="78">
        <v>832280</v>
      </c>
      <c r="CW23" s="81">
        <f t="shared" si="105"/>
        <v>0</v>
      </c>
      <c r="CX23" s="91">
        <f t="shared" si="106"/>
        <v>0</v>
      </c>
      <c r="CY23" s="78">
        <v>6131.5</v>
      </c>
      <c r="CZ23" s="81">
        <f t="shared" si="107"/>
        <v>2.3999999999996362</v>
      </c>
      <c r="DA23" s="91">
        <f t="shared" si="108"/>
        <v>5.7359999999991311</v>
      </c>
      <c r="DB23" s="78">
        <v>7420</v>
      </c>
      <c r="DC23" s="81">
        <f t="shared" si="109"/>
        <v>0</v>
      </c>
      <c r="DD23" s="81">
        <f t="shared" si="109"/>
        <v>0</v>
      </c>
      <c r="DE23" s="78">
        <v>4162</v>
      </c>
      <c r="DF23" s="81">
        <f t="shared" si="111"/>
        <v>4</v>
      </c>
      <c r="DG23" s="81">
        <f t="shared" si="111"/>
        <v>0</v>
      </c>
      <c r="DH23" s="78">
        <v>1855.9</v>
      </c>
      <c r="DI23" s="81">
        <f t="shared" si="113"/>
        <v>0</v>
      </c>
      <c r="DJ23" s="81">
        <f t="shared" si="113"/>
        <v>0</v>
      </c>
      <c r="DK23" s="78">
        <v>5081.7</v>
      </c>
      <c r="DL23" s="81">
        <f t="shared" si="115"/>
        <v>0</v>
      </c>
      <c r="DM23" s="81">
        <f t="shared" si="115"/>
        <v>0</v>
      </c>
      <c r="DN23" s="78">
        <v>4454.7</v>
      </c>
      <c r="DO23" s="81">
        <f t="shared" si="117"/>
        <v>0</v>
      </c>
      <c r="DP23" s="81">
        <f t="shared" si="117"/>
        <v>0</v>
      </c>
      <c r="DQ23" s="78">
        <v>5089.6000000000004</v>
      </c>
      <c r="DR23" s="81">
        <f t="shared" si="119"/>
        <v>0</v>
      </c>
      <c r="DS23" s="81">
        <f t="shared" si="119"/>
        <v>0</v>
      </c>
      <c r="DT23" s="78">
        <v>5109.1000000000004</v>
      </c>
      <c r="DU23" s="81">
        <f t="shared" si="121"/>
        <v>0</v>
      </c>
      <c r="DV23" s="91">
        <f t="shared" si="122"/>
        <v>0</v>
      </c>
      <c r="DW23" s="98">
        <v>12871</v>
      </c>
      <c r="DX23" s="91">
        <f t="shared" si="123"/>
        <v>0</v>
      </c>
      <c r="DY23" s="98">
        <v>62789</v>
      </c>
      <c r="DZ23" s="91">
        <f t="shared" si="124"/>
        <v>0</v>
      </c>
      <c r="EA23" s="109">
        <v>15588</v>
      </c>
      <c r="EB23" s="91">
        <f t="shared" si="125"/>
        <v>0</v>
      </c>
      <c r="EC23" s="109">
        <v>24679</v>
      </c>
      <c r="ED23" s="91">
        <f t="shared" si="126"/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>
        <v>7321208</v>
      </c>
      <c r="C24" s="73">
        <f t="shared" si="56"/>
        <v>5743</v>
      </c>
      <c r="D24" s="78">
        <v>6525696</v>
      </c>
      <c r="E24" s="73">
        <f t="shared" si="57"/>
        <v>5306</v>
      </c>
      <c r="F24" s="22">
        <f t="shared" si="58"/>
        <v>0.92390736548842067</v>
      </c>
      <c r="G24" s="74">
        <v>360</v>
      </c>
      <c r="H24" s="74">
        <v>306</v>
      </c>
      <c r="I24" s="75">
        <v>288064</v>
      </c>
      <c r="J24" s="76">
        <f t="shared" si="59"/>
        <v>0</v>
      </c>
      <c r="K24" s="77">
        <v>776</v>
      </c>
      <c r="L24" s="73">
        <f t="shared" si="60"/>
        <v>0</v>
      </c>
      <c r="M24" s="78">
        <v>633954</v>
      </c>
      <c r="N24" s="73">
        <f t="shared" si="59"/>
        <v>0</v>
      </c>
      <c r="O24" s="78">
        <v>993</v>
      </c>
      <c r="P24" s="76">
        <f t="shared" si="62"/>
        <v>0</v>
      </c>
      <c r="Q24" s="78">
        <v>2557426</v>
      </c>
      <c r="R24" s="76">
        <f t="shared" si="63"/>
        <v>148</v>
      </c>
      <c r="S24" s="78">
        <v>2192476</v>
      </c>
      <c r="T24" s="76">
        <f t="shared" si="63"/>
        <v>4</v>
      </c>
      <c r="U24" s="78">
        <v>116832</v>
      </c>
      <c r="V24" s="76">
        <f t="shared" si="63"/>
        <v>66</v>
      </c>
      <c r="W24" s="114">
        <v>100</v>
      </c>
      <c r="X24" s="78">
        <v>152370</v>
      </c>
      <c r="Y24" s="76">
        <v>0</v>
      </c>
      <c r="Z24" s="74">
        <v>40434</v>
      </c>
      <c r="AA24" s="81">
        <f t="shared" si="64"/>
        <v>8</v>
      </c>
      <c r="AB24" s="78">
        <v>1131</v>
      </c>
      <c r="AC24" s="82">
        <f t="shared" si="128"/>
        <v>0</v>
      </c>
      <c r="AD24" s="78">
        <v>4605</v>
      </c>
      <c r="AE24" s="83">
        <f t="shared" si="66"/>
        <v>0</v>
      </c>
      <c r="AF24" s="19"/>
      <c r="AG24" s="19"/>
      <c r="AH24" s="78">
        <v>583320</v>
      </c>
      <c r="AI24" s="76">
        <f t="shared" si="67"/>
        <v>30</v>
      </c>
      <c r="AJ24" s="90">
        <v>818</v>
      </c>
      <c r="AK24" s="73">
        <f t="shared" si="68"/>
        <v>1</v>
      </c>
      <c r="AL24" s="78">
        <v>52397</v>
      </c>
      <c r="AM24" s="87">
        <f t="shared" si="129"/>
        <v>4</v>
      </c>
      <c r="AN24" s="78">
        <v>8930</v>
      </c>
      <c r="AO24" s="73">
        <f t="shared" si="70"/>
        <v>0</v>
      </c>
      <c r="AP24" s="78">
        <v>10582</v>
      </c>
      <c r="AQ24" s="73">
        <f t="shared" si="70"/>
        <v>0</v>
      </c>
      <c r="AR24" s="78">
        <v>14622</v>
      </c>
      <c r="AS24" s="73">
        <f t="shared" si="70"/>
        <v>3</v>
      </c>
      <c r="AT24" s="78">
        <v>19369</v>
      </c>
      <c r="AU24" s="76">
        <f t="shared" si="70"/>
        <v>0</v>
      </c>
      <c r="AV24" s="78">
        <v>20680</v>
      </c>
      <c r="AW24" s="81">
        <f t="shared" si="74"/>
        <v>0</v>
      </c>
      <c r="AX24" s="78">
        <v>13871</v>
      </c>
      <c r="AY24" s="81" t="str">
        <f t="shared" si="75"/>
        <v>0</v>
      </c>
      <c r="AZ24" s="78">
        <v>6225</v>
      </c>
      <c r="BA24" s="73">
        <f t="shared" si="76"/>
        <v>0</v>
      </c>
      <c r="BB24" s="78">
        <v>26570</v>
      </c>
      <c r="BC24" s="73">
        <f t="shared" si="77"/>
        <v>1</v>
      </c>
      <c r="BD24" s="78">
        <v>1115</v>
      </c>
      <c r="BE24" s="73">
        <f t="shared" si="78"/>
        <v>0</v>
      </c>
      <c r="BF24" s="78">
        <v>4378</v>
      </c>
      <c r="BG24" s="73">
        <f t="shared" si="79"/>
        <v>0</v>
      </c>
      <c r="BH24" s="78">
        <v>3636</v>
      </c>
      <c r="BI24" s="73">
        <f t="shared" si="80"/>
        <v>0</v>
      </c>
      <c r="BJ24" s="81">
        <f t="shared" si="81"/>
        <v>3</v>
      </c>
      <c r="BK24" s="81">
        <f t="shared" si="82"/>
        <v>27</v>
      </c>
      <c r="BL24" s="78">
        <v>603650</v>
      </c>
      <c r="BM24" s="81">
        <f t="shared" si="83"/>
        <v>40</v>
      </c>
      <c r="BN24" s="88">
        <v>747</v>
      </c>
      <c r="BO24" s="73">
        <f t="shared" si="84"/>
        <v>0</v>
      </c>
      <c r="BP24" s="78">
        <v>783750</v>
      </c>
      <c r="BQ24" s="81">
        <f t="shared" si="85"/>
        <v>50</v>
      </c>
      <c r="BR24" s="92">
        <v>7706</v>
      </c>
      <c r="BS24" s="81">
        <f t="shared" si="127"/>
        <v>0</v>
      </c>
      <c r="BT24" s="91">
        <f>BQ24-AI24</f>
        <v>20</v>
      </c>
      <c r="BU24" s="81">
        <f t="shared" si="88"/>
        <v>90</v>
      </c>
      <c r="BV24" s="93">
        <f t="shared" si="89"/>
        <v>7</v>
      </c>
      <c r="BW24" s="78">
        <v>122</v>
      </c>
      <c r="BX24" s="94">
        <f t="shared" si="90"/>
        <v>15128.057958131996</v>
      </c>
      <c r="BY24" s="99"/>
      <c r="BZ24" s="96">
        <f t="shared" si="91"/>
        <v>0</v>
      </c>
      <c r="CA24" s="78">
        <v>206947</v>
      </c>
      <c r="CB24" s="81">
        <f t="shared" si="92"/>
        <v>9</v>
      </c>
      <c r="CC24" s="91">
        <f t="shared" si="93"/>
        <v>51.39</v>
      </c>
      <c r="CD24" s="78">
        <v>55</v>
      </c>
      <c r="CE24" s="100">
        <f t="shared" si="94"/>
        <v>5926.25</v>
      </c>
      <c r="CF24" s="78">
        <v>53</v>
      </c>
      <c r="CG24" s="101">
        <f t="shared" si="95"/>
        <v>5710.75</v>
      </c>
      <c r="CH24" s="78">
        <v>56</v>
      </c>
      <c r="CI24" s="102">
        <f t="shared" si="96"/>
        <v>6034</v>
      </c>
      <c r="CJ24" s="103">
        <f t="shared" si="97"/>
        <v>17671</v>
      </c>
      <c r="CK24" s="104">
        <f t="shared" si="98"/>
        <v>107.75</v>
      </c>
      <c r="CL24" s="78"/>
      <c r="CM24" s="78">
        <v>34712.300000000003</v>
      </c>
      <c r="CN24" s="81">
        <f t="shared" si="99"/>
        <v>6.5</v>
      </c>
      <c r="CO24" s="91">
        <f t="shared" si="100"/>
        <v>15.86</v>
      </c>
      <c r="CP24" s="78">
        <v>34300</v>
      </c>
      <c r="CQ24" s="81">
        <f t="shared" si="101"/>
        <v>0</v>
      </c>
      <c r="CR24" s="91">
        <f t="shared" si="102"/>
        <v>0</v>
      </c>
      <c r="CS24" s="78">
        <v>10235.6</v>
      </c>
      <c r="CT24" s="81">
        <f t="shared" si="103"/>
        <v>0</v>
      </c>
      <c r="CU24" s="91">
        <f t="shared" si="104"/>
        <v>0</v>
      </c>
      <c r="CV24" s="78">
        <v>832280</v>
      </c>
      <c r="CW24" s="81">
        <f t="shared" si="105"/>
        <v>0</v>
      </c>
      <c r="CX24" s="91">
        <f t="shared" si="106"/>
        <v>0</v>
      </c>
      <c r="CY24" s="78">
        <v>6134.3</v>
      </c>
      <c r="CZ24" s="81">
        <f t="shared" si="107"/>
        <v>2.8000000000001819</v>
      </c>
      <c r="DA24" s="91">
        <f t="shared" si="108"/>
        <v>6.6920000000004354</v>
      </c>
      <c r="DB24" s="78">
        <v>7420</v>
      </c>
      <c r="DC24" s="81">
        <f t="shared" si="109"/>
        <v>0</v>
      </c>
      <c r="DD24" s="81">
        <f t="shared" si="109"/>
        <v>0</v>
      </c>
      <c r="DE24" s="78">
        <v>4166.2</v>
      </c>
      <c r="DF24" s="81">
        <f t="shared" si="111"/>
        <v>4.1999999999998181</v>
      </c>
      <c r="DG24" s="81">
        <f t="shared" si="111"/>
        <v>0.1999999999998181</v>
      </c>
      <c r="DH24" s="78">
        <v>1855.9</v>
      </c>
      <c r="DI24" s="81">
        <f t="shared" si="113"/>
        <v>0</v>
      </c>
      <c r="DJ24" s="81">
        <f t="shared" si="113"/>
        <v>0</v>
      </c>
      <c r="DK24" s="78">
        <v>5081.7</v>
      </c>
      <c r="DL24" s="81">
        <f t="shared" si="115"/>
        <v>0</v>
      </c>
      <c r="DM24" s="81">
        <f t="shared" si="115"/>
        <v>0</v>
      </c>
      <c r="DN24" s="78">
        <v>4454.7</v>
      </c>
      <c r="DO24" s="81">
        <f t="shared" si="117"/>
        <v>0</v>
      </c>
      <c r="DP24" s="81">
        <f t="shared" si="117"/>
        <v>0</v>
      </c>
      <c r="DQ24" s="78">
        <v>5089.6000000000004</v>
      </c>
      <c r="DR24" s="81">
        <f t="shared" si="119"/>
        <v>0</v>
      </c>
      <c r="DS24" s="81">
        <f t="shared" si="119"/>
        <v>0</v>
      </c>
      <c r="DT24" s="78">
        <v>5109.1000000000004</v>
      </c>
      <c r="DU24" s="81">
        <f t="shared" si="121"/>
        <v>0</v>
      </c>
      <c r="DV24" s="91">
        <f t="shared" si="122"/>
        <v>0</v>
      </c>
      <c r="DW24" s="98">
        <v>12871</v>
      </c>
      <c r="DX24" s="91">
        <f t="shared" si="123"/>
        <v>0</v>
      </c>
      <c r="DY24" s="98">
        <v>62789</v>
      </c>
      <c r="DZ24" s="91">
        <f t="shared" si="124"/>
        <v>0</v>
      </c>
      <c r="EA24" s="109">
        <v>15588</v>
      </c>
      <c r="EB24" s="91">
        <f t="shared" si="125"/>
        <v>0</v>
      </c>
      <c r="EC24" s="109">
        <v>24679</v>
      </c>
      <c r="ED24" s="91">
        <f t="shared" si="126"/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120167</v>
      </c>
      <c r="D35" s="64"/>
      <c r="E35" s="66">
        <f>SUM(E4:E34)</f>
        <v>108943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2457</v>
      </c>
      <c r="S35" s="64"/>
      <c r="T35" s="66">
        <f>SUM(T4:T34)</f>
        <v>397</v>
      </c>
      <c r="U35" s="64"/>
      <c r="V35" s="66">
        <f>SUM(V4:V34)</f>
        <v>1652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660</v>
      </c>
      <c r="AK35" s="66">
        <f t="shared" ref="AK35" si="130">SUM(AK4:AK34)</f>
        <v>97</v>
      </c>
      <c r="AM35" s="66">
        <f t="shared" ref="AM35" si="131">SUM(AM4:AM34)</f>
        <v>73</v>
      </c>
      <c r="AO35" s="66">
        <f t="shared" ref="AO35" si="132">SUM(AO4:AO34)</f>
        <v>2</v>
      </c>
      <c r="AQ35" s="66">
        <f t="shared" ref="AQ35" si="133">SUM(AQ4:AQ34)</f>
        <v>4</v>
      </c>
      <c r="AS35" s="66">
        <f t="shared" ref="AS35" si="134">SUM(AS4:AS34)</f>
        <v>15</v>
      </c>
      <c r="AU35" s="66">
        <f t="shared" ref="AU35" si="135">SUM(AU4:AU34)</f>
        <v>0</v>
      </c>
      <c r="AW35" s="66">
        <f t="shared" ref="AW35" si="136">SUM(AW4:AW34)</f>
        <v>3</v>
      </c>
      <c r="AY35" s="66">
        <f t="shared" ref="AY35" si="137">SUM(AY4:AY34)</f>
        <v>0</v>
      </c>
      <c r="BA35" s="66">
        <f t="shared" ref="BA35" si="138">SUM(BA4:BA34)</f>
        <v>0</v>
      </c>
      <c r="BC35" s="66">
        <f t="shared" ref="BC35" si="139">SUM(BC4:BC34)</f>
        <v>28</v>
      </c>
      <c r="BE35" s="66">
        <f t="shared" ref="BE35" si="140">SUM(BE4:BE34)</f>
        <v>0</v>
      </c>
      <c r="BG35" s="66">
        <f t="shared" ref="BG35" si="141">SUM(BG4:BG34)</f>
        <v>0</v>
      </c>
      <c r="BI35" s="66">
        <f t="shared" ref="BI35" si="142">SUM(BI4:BI34)</f>
        <v>0</v>
      </c>
      <c r="BJ35" s="66">
        <v>934</v>
      </c>
      <c r="BK35" s="64"/>
      <c r="BL35" s="64"/>
      <c r="BM35" s="66">
        <f t="shared" ref="BM35" si="143">SUM(BM4:BM34)</f>
        <v>670</v>
      </c>
      <c r="BN35" s="64"/>
      <c r="BO35" s="66">
        <f t="shared" ref="BO35" si="144">SUM(BO4:BO34)</f>
        <v>0</v>
      </c>
      <c r="BP35" s="64"/>
      <c r="BQ35" s="66">
        <f t="shared" ref="BQ35" si="145">SUM(BQ4:BQ34)</f>
        <v>1260</v>
      </c>
      <c r="BS35" s="66">
        <f t="shared" ref="BS35" si="146">SUM(BS4:BS34)</f>
        <v>209</v>
      </c>
      <c r="BT35" s="66">
        <f t="shared" ref="BT35" si="147">SUM(BT4:BT34)</f>
        <v>600</v>
      </c>
      <c r="BU35" s="66">
        <f t="shared" ref="BU35" si="148">SUM(BU4:BU34)</f>
        <v>1930</v>
      </c>
      <c r="BV35" s="66">
        <f t="shared" ref="BV35" si="149">SUM(BV4:BV34)</f>
        <v>97</v>
      </c>
      <c r="BW35" s="14"/>
      <c r="BX35" s="64"/>
      <c r="BY35" s="64"/>
      <c r="BZ35" s="66">
        <f t="shared" ref="BZ35" si="150">SUM(BZ4:BZ34)</f>
        <v>0</v>
      </c>
      <c r="CB35" s="66">
        <f t="shared" ref="CB35:CC35" si="151">SUM(CB4:CB34)</f>
        <v>210.70000000001164</v>
      </c>
      <c r="CC35" s="66">
        <f t="shared" si="151"/>
        <v>1203.0970000000666</v>
      </c>
      <c r="CK35" s="66">
        <f t="shared" ref="CK35" si="152">SUM(CK4:CK34)</f>
        <v>1616.25</v>
      </c>
      <c r="CL35" s="64"/>
      <c r="CN35" s="66">
        <f t="shared" ref="CN35:CO35" si="153">SUM(CN4:CN34)</f>
        <v>72.600000000005821</v>
      </c>
      <c r="CO35" s="66">
        <f t="shared" si="153"/>
        <v>177.14400000001416</v>
      </c>
      <c r="CQ35" s="66">
        <f t="shared" ref="CQ35" si="154">SUM(CQ4:CQ34)</f>
        <v>0</v>
      </c>
      <c r="CR35" s="66">
        <f t="shared" ref="CR35" si="155">SUM(CR4:CR34)</f>
        <v>0</v>
      </c>
      <c r="CT35" s="66">
        <f t="shared" ref="CT35" si="156">SUM(CT4:CT34)</f>
        <v>130</v>
      </c>
      <c r="CU35" s="66">
        <f t="shared" ref="CU35" si="157">SUM(CU4:CU34)</f>
        <v>317.2</v>
      </c>
      <c r="CW35" s="66">
        <f t="shared" ref="CW35" si="158">SUM(CW4:CW34)</f>
        <v>107.5</v>
      </c>
      <c r="CX35" s="66">
        <f t="shared" ref="CX35" si="159">SUM(CX4:CX34)</f>
        <v>262.3</v>
      </c>
      <c r="CZ35" s="66">
        <f t="shared" ref="CZ35" si="160">SUM(CZ4:CZ34)</f>
        <v>50</v>
      </c>
      <c r="DA35" s="66">
        <f t="shared" ref="DA35" si="161">SUM(DA4:DA34)</f>
        <v>119.5</v>
      </c>
      <c r="DC35" s="66">
        <f t="shared" ref="DC35" si="162">SUM(DC4:DC34)</f>
        <v>0</v>
      </c>
      <c r="DD35" s="66">
        <f t="shared" ref="DD35" si="163">SUM(DD4:DD34)</f>
        <v>0</v>
      </c>
      <c r="DF35" s="66">
        <f t="shared" ref="DF35" si="164">SUM(DF4:DF34)</f>
        <v>99.199999999999818</v>
      </c>
      <c r="DG35" s="66">
        <f t="shared" ref="DG35" si="165">SUM(DG4:DG34)</f>
        <v>20.500000000000909</v>
      </c>
      <c r="DI35" s="66">
        <f t="shared" ref="DI35" si="166">SUM(DI4:DI34)</f>
        <v>0</v>
      </c>
      <c r="DJ35" s="66">
        <f t="shared" ref="DJ35" si="167">SUM(DJ4:DJ34)</f>
        <v>0</v>
      </c>
      <c r="DL35" s="66">
        <f t="shared" ref="DL35" si="168">SUM(DL4:DL34)</f>
        <v>0</v>
      </c>
      <c r="DM35" s="66">
        <f t="shared" ref="DM35" si="169">SUM(DM4:DM34)</f>
        <v>0</v>
      </c>
      <c r="DO35" s="66">
        <f t="shared" ref="DO35" si="170">SUM(DO4:DO34)</f>
        <v>0</v>
      </c>
      <c r="DP35" s="66">
        <f t="shared" ref="DP35" si="171">SUM(DP4:DP34)</f>
        <v>0</v>
      </c>
      <c r="DR35" s="66">
        <f t="shared" ref="DR35" si="172">SUM(DR4:DR34)</f>
        <v>0</v>
      </c>
      <c r="DS35" s="66">
        <f t="shared" ref="DS35" si="173">SUM(DS4:DS34)</f>
        <v>0</v>
      </c>
      <c r="DU35" s="66">
        <f t="shared" ref="DU35" si="174">SUM(DU4:DU34)</f>
        <v>0</v>
      </c>
      <c r="DV35" s="66">
        <f t="shared" ref="DV35:DX35" si="175">SUM(DV4:DV34)</f>
        <v>0</v>
      </c>
      <c r="DW35" s="14"/>
      <c r="DX35" s="66">
        <f t="shared" si="175"/>
        <v>0</v>
      </c>
      <c r="DY35" s="14"/>
      <c r="DZ35" s="66">
        <f t="shared" ref="DZ35" si="176">SUM(DZ4:DZ34)</f>
        <v>0</v>
      </c>
      <c r="EA35" s="14"/>
      <c r="EB35" s="66">
        <f t="shared" ref="EB35" si="177">SUM(EB4:EB34)</f>
        <v>0</v>
      </c>
      <c r="EC35" s="14"/>
      <c r="ED35" s="66">
        <f t="shared" ref="ED35" si="178">SUM(ED4:ED34)</f>
        <v>0</v>
      </c>
      <c r="EE35" s="66">
        <f t="shared" ref="EE35" si="179">SUM(EE4:EE34)</f>
        <v>42</v>
      </c>
      <c r="EF35" s="66">
        <f t="shared" ref="EF35" si="180">SUM(EF4:EF34)</f>
        <v>126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940" priority="8812" operator="lessThan">
      <formula>0</formula>
    </cfRule>
  </conditionalFormatting>
  <conditionalFormatting sqref="I36:J36">
    <cfRule type="cellIs" dxfId="939" priority="5045" operator="lessThan">
      <formula>0</formula>
    </cfRule>
  </conditionalFormatting>
  <conditionalFormatting sqref="M36:N36">
    <cfRule type="cellIs" dxfId="938" priority="5038" operator="lessThan">
      <formula>0</formula>
    </cfRule>
  </conditionalFormatting>
  <conditionalFormatting sqref="AJ36:AK36 AJ35 AL35 AN35 AP35 AR35 AT35 AV35 AX35 AZ35 BB35 BD35 BF35 BH35">
    <cfRule type="cellIs" dxfId="937" priority="5031" operator="lessThan">
      <formula>0</formula>
    </cfRule>
  </conditionalFormatting>
  <conditionalFormatting sqref="BN36:BO36">
    <cfRule type="cellIs" dxfId="936" priority="5021" operator="lessThan">
      <formula>0</formula>
    </cfRule>
  </conditionalFormatting>
  <conditionalFormatting sqref="BR36:BS36 BR35">
    <cfRule type="cellIs" dxfId="935" priority="5012" operator="lessThan">
      <formula>0</formula>
    </cfRule>
  </conditionalFormatting>
  <conditionalFormatting sqref="BU36:BV36">
    <cfRule type="cellIs" dxfId="934" priority="5001" operator="lessThan">
      <formula>0</formula>
    </cfRule>
  </conditionalFormatting>
  <conditionalFormatting sqref="EH36:EL36">
    <cfRule type="cellIs" dxfId="933" priority="4990" operator="lessThan">
      <formula>0</formula>
    </cfRule>
  </conditionalFormatting>
  <conditionalFormatting sqref="A1:H1 L1 AL1:BN1 BP1:BQ1 AB1:AJ1 BT1:XFD1">
    <cfRule type="cellIs" dxfId="932" priority="4930" operator="lessThan">
      <formula>0</formula>
    </cfRule>
  </conditionalFormatting>
  <conditionalFormatting sqref="BR1">
    <cfRule type="cellIs" dxfId="931" priority="4929" operator="lessThan">
      <formula>0</formula>
    </cfRule>
  </conditionalFormatting>
  <conditionalFormatting sqref="Z1:AA1">
    <cfRule type="cellIs" dxfId="930" priority="4928" operator="lessThan">
      <formula>0</formula>
    </cfRule>
  </conditionalFormatting>
  <conditionalFormatting sqref="AB2:XFD2 EK18:EN18 EK4:EM15 EK17:EM17">
    <cfRule type="cellIs" dxfId="929" priority="4924" operator="lessThan">
      <formula>0</formula>
    </cfRule>
  </conditionalFormatting>
  <conditionalFormatting sqref="Z2:AA2">
    <cfRule type="cellIs" dxfId="928" priority="4867" operator="lessThan">
      <formula>0</formula>
    </cfRule>
  </conditionalFormatting>
  <conditionalFormatting sqref="EN4:XFD15 EN19:XFD19 EO18:XFD18 EN17:XFD17 EQ16:XFD16">
    <cfRule type="cellIs" dxfId="927" priority="3871" operator="lessThan">
      <formula>0</formula>
    </cfRule>
  </conditionalFormatting>
  <conditionalFormatting sqref="EK20:EM35 EM36">
    <cfRule type="cellIs" dxfId="926" priority="2528" operator="lessThan">
      <formula>0</formula>
    </cfRule>
  </conditionalFormatting>
  <conditionalFormatting sqref="EN20:XFD32">
    <cfRule type="cellIs" dxfId="925" priority="2527" operator="lessThan">
      <formula>0</formula>
    </cfRule>
  </conditionalFormatting>
  <conditionalFormatting sqref="EN33:XFD34">
    <cfRule type="cellIs" dxfId="924" priority="2447" operator="lessThan">
      <formula>0</formula>
    </cfRule>
  </conditionalFormatting>
  <conditionalFormatting sqref="U19">
    <cfRule type="cellIs" dxfId="923" priority="1503" operator="lessThan">
      <formula>0</formula>
    </cfRule>
  </conditionalFormatting>
  <conditionalFormatting sqref="DV34">
    <cfRule type="cellIs" dxfId="922" priority="1253" operator="lessThan">
      <formula>0</formula>
    </cfRule>
  </conditionalFormatting>
  <conditionalFormatting sqref="DG34">
    <cfRule type="cellIs" dxfId="921" priority="1252" operator="lessThan">
      <formula>0</formula>
    </cfRule>
  </conditionalFormatting>
  <conditionalFormatting sqref="DJ34">
    <cfRule type="cellIs" dxfId="920" priority="1251" operator="lessThan">
      <formula>0</formula>
    </cfRule>
  </conditionalFormatting>
  <conditionalFormatting sqref="DM34">
    <cfRule type="cellIs" dxfId="919" priority="1250" operator="lessThan">
      <formula>0</formula>
    </cfRule>
  </conditionalFormatting>
  <conditionalFormatting sqref="DP34">
    <cfRule type="cellIs" dxfId="918" priority="1249" operator="lessThan">
      <formula>0</formula>
    </cfRule>
  </conditionalFormatting>
  <conditionalFormatting sqref="DW34">
    <cfRule type="cellIs" dxfId="917" priority="1263" operator="lessThan">
      <formula>0</formula>
    </cfRule>
  </conditionalFormatting>
  <conditionalFormatting sqref="DY34">
    <cfRule type="cellIs" dxfId="916" priority="1262" operator="lessThan">
      <formula>0</formula>
    </cfRule>
  </conditionalFormatting>
  <conditionalFormatting sqref="ED34">
    <cfRule type="cellIs" dxfId="915" priority="1246" operator="lessThan">
      <formula>0</formula>
    </cfRule>
  </conditionalFormatting>
  <conditionalFormatting sqref="BQ34">
    <cfRule type="cellIs" dxfId="914" priority="1245" operator="lessThan">
      <formula>0</formula>
    </cfRule>
  </conditionalFormatting>
  <conditionalFormatting sqref="BT34:BV34">
    <cfRule type="cellIs" dxfId="913" priority="1244" operator="lessThan">
      <formula>0</formula>
    </cfRule>
  </conditionalFormatting>
  <conditionalFormatting sqref="BS34">
    <cfRule type="cellIs" dxfId="912" priority="1243" operator="lessThan">
      <formula>0</formula>
    </cfRule>
  </conditionalFormatting>
  <conditionalFormatting sqref="BX34">
    <cfRule type="cellIs" dxfId="911" priority="1242" operator="lessThan">
      <formula>0</formula>
    </cfRule>
  </conditionalFormatting>
  <conditionalFormatting sqref="BZ34">
    <cfRule type="cellIs" dxfId="910" priority="1241" operator="lessThan">
      <formula>0</formula>
    </cfRule>
  </conditionalFormatting>
  <conditionalFormatting sqref="CC34">
    <cfRule type="cellIs" dxfId="909" priority="1239" operator="lessThan">
      <formula>0</formula>
    </cfRule>
  </conditionalFormatting>
  <conditionalFormatting sqref="CG34">
    <cfRule type="cellIs" dxfId="908" priority="1238" operator="lessThan">
      <formula>0</formula>
    </cfRule>
  </conditionalFormatting>
  <conditionalFormatting sqref="W34">
    <cfRule type="cellIs" dxfId="907" priority="1269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906" priority="1268" operator="lessThan">
      <formula>0</formula>
    </cfRule>
  </conditionalFormatting>
  <conditionalFormatting sqref="EE34:EG34">
    <cfRule type="cellIs" dxfId="905" priority="1266" operator="lessThan">
      <formula>0</formula>
    </cfRule>
  </conditionalFormatting>
  <conditionalFormatting sqref="X34">
    <cfRule type="cellIs" dxfId="904" priority="1265" operator="lessThan">
      <formula>0</formula>
    </cfRule>
  </conditionalFormatting>
  <conditionalFormatting sqref="DZ34">
    <cfRule type="cellIs" dxfId="903" priority="1264" operator="lessThan">
      <formula>0</formula>
    </cfRule>
  </conditionalFormatting>
  <conditionalFormatting sqref="EA34">
    <cfRule type="cellIs" dxfId="902" priority="1261" operator="lessThan">
      <formula>0</formula>
    </cfRule>
  </conditionalFormatting>
  <conditionalFormatting sqref="EA34">
    <cfRule type="cellIs" dxfId="901" priority="1260" operator="lessThan">
      <formula>0</formula>
    </cfRule>
  </conditionalFormatting>
  <conditionalFormatting sqref="EC34">
    <cfRule type="cellIs" dxfId="900" priority="1258" operator="lessThan">
      <formula>0</formula>
    </cfRule>
  </conditionalFormatting>
  <conditionalFormatting sqref="EC34">
    <cfRule type="cellIs" dxfId="899" priority="1259" operator="lessThan">
      <formula>0</formula>
    </cfRule>
  </conditionalFormatting>
  <conditionalFormatting sqref="BL34">
    <cfRule type="cellIs" dxfId="898" priority="1256" operator="lessThan">
      <formula>0</formula>
    </cfRule>
  </conditionalFormatting>
  <conditionalFormatting sqref="DF34 DU34 DR34 DO34 CE34 CW34:CX34 CZ34 CT34:CU34 CN34:CO34 CJ34:CK34 DC34:DD34 DI34 DL34 CQ34:CR34">
    <cfRule type="cellIs" dxfId="897" priority="1255" operator="lessThan">
      <formula>0</formula>
    </cfRule>
  </conditionalFormatting>
  <conditionalFormatting sqref="DA34">
    <cfRule type="cellIs" dxfId="896" priority="1254" operator="lessThan">
      <formula>0</formula>
    </cfRule>
  </conditionalFormatting>
  <conditionalFormatting sqref="DS34">
    <cfRule type="cellIs" dxfId="895" priority="1248" operator="lessThan">
      <formula>0</formula>
    </cfRule>
  </conditionalFormatting>
  <conditionalFormatting sqref="EB34">
    <cfRule type="cellIs" dxfId="894" priority="1247" operator="lessThan">
      <formula>0</formula>
    </cfRule>
  </conditionalFormatting>
  <conditionalFormatting sqref="CB34">
    <cfRule type="cellIs" dxfId="893" priority="1240" operator="lessThan">
      <formula>0</formula>
    </cfRule>
  </conditionalFormatting>
  <conditionalFormatting sqref="CI34">
    <cfRule type="cellIs" dxfId="892" priority="1237" operator="lessThan">
      <formula>0</formula>
    </cfRule>
  </conditionalFormatting>
  <conditionalFormatting sqref="AR34">
    <cfRule type="cellIs" dxfId="891" priority="1236" operator="lessThan">
      <formula>0</formula>
    </cfRule>
  </conditionalFormatting>
  <conditionalFormatting sqref="Y34 AA34 AC34 AI34 AO34 AQ34 AS34 AU34 AW34 AY34 BA34 BC34 BE34 BI34">
    <cfRule type="cellIs" dxfId="890" priority="1162" operator="lessThan">
      <formula>0</formula>
    </cfRule>
  </conditionalFormatting>
  <conditionalFormatting sqref="AK34">
    <cfRule type="cellIs" dxfId="889" priority="1149" operator="lessThan">
      <formula>0</formula>
    </cfRule>
  </conditionalFormatting>
  <conditionalFormatting sqref="AE34 AM34 BM34">
    <cfRule type="cellIs" dxfId="888" priority="1142" operator="lessThan">
      <formula>0</formula>
    </cfRule>
  </conditionalFormatting>
  <conditionalFormatting sqref="BO34">
    <cfRule type="cellIs" dxfId="887" priority="1137" operator="lessThan">
      <formula>0</formula>
    </cfRule>
  </conditionalFormatting>
  <conditionalFormatting sqref="EH8:EH10">
    <cfRule type="cellIs" dxfId="886" priority="1040" operator="lessThan">
      <formula>0</formula>
    </cfRule>
  </conditionalFormatting>
  <conditionalFormatting sqref="U11:U15 G11:H15 B11:B15 D11:D15 R11:R15 O11">
    <cfRule type="cellIs" dxfId="885" priority="992" operator="lessThan">
      <formula>0</formula>
    </cfRule>
  </conditionalFormatting>
  <conditionalFormatting sqref="I15">
    <cfRule type="cellIs" dxfId="884" priority="989" operator="lessThan">
      <formula>0</formula>
    </cfRule>
  </conditionalFormatting>
  <conditionalFormatting sqref="S15">
    <cfRule type="cellIs" dxfId="883" priority="988" operator="lessThan">
      <formula>0</formula>
    </cfRule>
  </conditionalFormatting>
  <conditionalFormatting sqref="S11:S14">
    <cfRule type="cellIs" dxfId="882" priority="987" operator="lessThan">
      <formula>0</formula>
    </cfRule>
  </conditionalFormatting>
  <conditionalFormatting sqref="K15">
    <cfRule type="cellIs" dxfId="881" priority="986" operator="lessThan">
      <formula>0</formula>
    </cfRule>
  </conditionalFormatting>
  <conditionalFormatting sqref="O15">
    <cfRule type="cellIs" dxfId="880" priority="985" operator="lessThan">
      <formula>0</formula>
    </cfRule>
  </conditionalFormatting>
  <conditionalFormatting sqref="Q11:Q15">
    <cfRule type="cellIs" dxfId="879" priority="984" operator="lessThan">
      <formula>0</formula>
    </cfRule>
  </conditionalFormatting>
  <conditionalFormatting sqref="L11:L15">
    <cfRule type="cellIs" dxfId="878" priority="983" operator="lessThan">
      <formula>0</formula>
    </cfRule>
  </conditionalFormatting>
  <conditionalFormatting sqref="R11:R15">
    <cfRule type="cellIs" dxfId="877" priority="982" operator="lessThan">
      <formula>0</formula>
    </cfRule>
  </conditionalFormatting>
  <conditionalFormatting sqref="M15">
    <cfRule type="cellIs" dxfId="876" priority="981" operator="lessThan">
      <formula>0</formula>
    </cfRule>
  </conditionalFormatting>
  <conditionalFormatting sqref="E11:E15 C11:C15">
    <cfRule type="cellIs" dxfId="875" priority="980" operator="lessThan">
      <formula>0</formula>
    </cfRule>
  </conditionalFormatting>
  <conditionalFormatting sqref="F11:F15">
    <cfRule type="cellIs" dxfId="874" priority="979" operator="lessThan">
      <formula>0</formula>
    </cfRule>
  </conditionalFormatting>
  <conditionalFormatting sqref="J11:J15">
    <cfRule type="cellIs" dxfId="873" priority="978" operator="lessThan">
      <formula>0</formula>
    </cfRule>
  </conditionalFormatting>
  <conditionalFormatting sqref="N11:N15">
    <cfRule type="cellIs" dxfId="872" priority="977" operator="lessThan">
      <formula>0</formula>
    </cfRule>
  </conditionalFormatting>
  <conditionalFormatting sqref="P11:P15">
    <cfRule type="cellIs" dxfId="871" priority="976" operator="lessThan">
      <formula>0</formula>
    </cfRule>
  </conditionalFormatting>
  <conditionalFormatting sqref="T11:T15">
    <cfRule type="cellIs" dxfId="870" priority="975" operator="lessThan">
      <formula>0</formula>
    </cfRule>
  </conditionalFormatting>
  <conditionalFormatting sqref="T11:T15">
    <cfRule type="cellIs" dxfId="869" priority="974" operator="lessThan">
      <formula>0</formula>
    </cfRule>
  </conditionalFormatting>
  <conditionalFormatting sqref="K11">
    <cfRule type="cellIs" dxfId="868" priority="973" operator="lessThan">
      <formula>0</formula>
    </cfRule>
  </conditionalFormatting>
  <conditionalFormatting sqref="M11">
    <cfRule type="cellIs" dxfId="867" priority="972" operator="lessThan">
      <formula>0</formula>
    </cfRule>
  </conditionalFormatting>
  <conditionalFormatting sqref="I11">
    <cfRule type="cellIs" dxfId="866" priority="971" operator="lessThan">
      <formula>0</formula>
    </cfRule>
  </conditionalFormatting>
  <conditionalFormatting sqref="I14">
    <cfRule type="cellIs" dxfId="865" priority="970" operator="lessThan">
      <formula>0</formula>
    </cfRule>
  </conditionalFormatting>
  <conditionalFormatting sqref="K14">
    <cfRule type="cellIs" dxfId="864" priority="969" operator="lessThan">
      <formula>0</formula>
    </cfRule>
  </conditionalFormatting>
  <conditionalFormatting sqref="M14">
    <cfRule type="cellIs" dxfId="863" priority="968" operator="lessThan">
      <formula>0</formula>
    </cfRule>
  </conditionalFormatting>
  <conditionalFormatting sqref="O14">
    <cfRule type="cellIs" dxfId="862" priority="967" operator="lessThan">
      <formula>0</formula>
    </cfRule>
  </conditionalFormatting>
  <conditionalFormatting sqref="V11:V15">
    <cfRule type="cellIs" dxfId="861" priority="965" operator="lessThan">
      <formula>0</formula>
    </cfRule>
  </conditionalFormatting>
  <conditionalFormatting sqref="V11:V15">
    <cfRule type="cellIs" dxfId="860" priority="964" operator="lessThan">
      <formula>0</formula>
    </cfRule>
  </conditionalFormatting>
  <conditionalFormatting sqref="I12">
    <cfRule type="cellIs" dxfId="859" priority="963" operator="lessThan">
      <formula>0</formula>
    </cfRule>
  </conditionalFormatting>
  <conditionalFormatting sqref="K12">
    <cfRule type="cellIs" dxfId="858" priority="962" operator="lessThan">
      <formula>0</formula>
    </cfRule>
  </conditionalFormatting>
  <conditionalFormatting sqref="M12">
    <cfRule type="cellIs" dxfId="857" priority="961" operator="lessThan">
      <formula>0</formula>
    </cfRule>
  </conditionalFormatting>
  <conditionalFormatting sqref="O12">
    <cfRule type="cellIs" dxfId="856" priority="960" operator="lessThan">
      <formula>0</formula>
    </cfRule>
  </conditionalFormatting>
  <conditionalFormatting sqref="I13">
    <cfRule type="cellIs" dxfId="855" priority="959" operator="lessThan">
      <formula>0</formula>
    </cfRule>
  </conditionalFormatting>
  <conditionalFormatting sqref="K13">
    <cfRule type="cellIs" dxfId="854" priority="958" operator="lessThan">
      <formula>0</formula>
    </cfRule>
  </conditionalFormatting>
  <conditionalFormatting sqref="M13">
    <cfRule type="cellIs" dxfId="853" priority="957" operator="lessThan">
      <formula>0</formula>
    </cfRule>
  </conditionalFormatting>
  <conditionalFormatting sqref="O13">
    <cfRule type="cellIs" dxfId="852" priority="956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851" priority="946" operator="lessThan">
      <formula>0</formula>
    </cfRule>
  </conditionalFormatting>
  <conditionalFormatting sqref="EC13:EC15">
    <cfRule type="cellIs" dxfId="850" priority="940" operator="lessThan">
      <formula>0</formula>
    </cfRule>
  </conditionalFormatting>
  <conditionalFormatting sqref="EC15">
    <cfRule type="cellIs" dxfId="849" priority="939" operator="lessThan">
      <formula>0</formula>
    </cfRule>
  </conditionalFormatting>
  <conditionalFormatting sqref="EE11:EE14 EE15:EF15 EG12:EG16">
    <cfRule type="cellIs" dxfId="848" priority="938" operator="lessThan">
      <formula>0</formula>
    </cfRule>
  </conditionalFormatting>
  <conditionalFormatting sqref="EC11:EC12">
    <cfRule type="cellIs" dxfId="847" priority="937" operator="lessThan">
      <formula>0</formula>
    </cfRule>
  </conditionalFormatting>
  <conditionalFormatting sqref="Z11:Z15">
    <cfRule type="cellIs" dxfId="846" priority="936" operator="lessThan">
      <formula>0</formula>
    </cfRule>
  </conditionalFormatting>
  <conditionalFormatting sqref="AV11:AV15 AX11:AX15 DQ11:DQ15 DT11:DT15 CV12:CV13 AZ11:AZ15">
    <cfRule type="cellIs" dxfId="845" priority="934" operator="lessThan">
      <formula>0</formula>
    </cfRule>
  </conditionalFormatting>
  <conditionalFormatting sqref="X11:X15">
    <cfRule type="cellIs" dxfId="844" priority="933" operator="lessThan">
      <formula>0</formula>
    </cfRule>
  </conditionalFormatting>
  <conditionalFormatting sqref="DW11:DW15 DY11:DY15 EA11:EA15">
    <cfRule type="cellIs" dxfId="843" priority="932" operator="lessThan">
      <formula>0</formula>
    </cfRule>
  </conditionalFormatting>
  <conditionalFormatting sqref="EA11:EA15">
    <cfRule type="cellIs" dxfId="842" priority="931" operator="lessThan">
      <formula>0</formula>
    </cfRule>
  </conditionalFormatting>
  <conditionalFormatting sqref="EF11:EF14">
    <cfRule type="cellIs" dxfId="841" priority="930" operator="lessThan">
      <formula>0</formula>
    </cfRule>
  </conditionalFormatting>
  <conditionalFormatting sqref="AK11:AK15">
    <cfRule type="cellIs" dxfId="840" priority="926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839" priority="925" operator="lessThan">
      <formula>0</formula>
    </cfRule>
  </conditionalFormatting>
  <conditionalFormatting sqref="EG11">
    <cfRule type="cellIs" dxfId="838" priority="924" operator="lessThan">
      <formula>0</formula>
    </cfRule>
  </conditionalFormatting>
  <conditionalFormatting sqref="DA11:DA15">
    <cfRule type="cellIs" dxfId="837" priority="923" operator="lessThan">
      <formula>0</formula>
    </cfRule>
  </conditionalFormatting>
  <conditionalFormatting sqref="DV11:DV15">
    <cfRule type="cellIs" dxfId="836" priority="922" operator="lessThan">
      <formula>0</formula>
    </cfRule>
  </conditionalFormatting>
  <conditionalFormatting sqref="DG11:DG15">
    <cfRule type="cellIs" dxfId="835" priority="921" operator="lessThan">
      <formula>0</formula>
    </cfRule>
  </conditionalFormatting>
  <conditionalFormatting sqref="DJ11:DJ15">
    <cfRule type="cellIs" dxfId="834" priority="920" operator="lessThan">
      <formula>0</formula>
    </cfRule>
  </conditionalFormatting>
  <conditionalFormatting sqref="DM11:DM15">
    <cfRule type="cellIs" dxfId="833" priority="919" operator="lessThan">
      <formula>0</formula>
    </cfRule>
  </conditionalFormatting>
  <conditionalFormatting sqref="DP11:DP15">
    <cfRule type="cellIs" dxfId="832" priority="918" operator="lessThan">
      <formula>0</formula>
    </cfRule>
  </conditionalFormatting>
  <conditionalFormatting sqref="DS11:DS15">
    <cfRule type="cellIs" dxfId="831" priority="917" operator="lessThan">
      <formula>0</formula>
    </cfRule>
  </conditionalFormatting>
  <conditionalFormatting sqref="DZ11:DZ15">
    <cfRule type="cellIs" dxfId="830" priority="916" operator="lessThan">
      <formula>0</formula>
    </cfRule>
  </conditionalFormatting>
  <conditionalFormatting sqref="EB11:EB15">
    <cfRule type="cellIs" dxfId="829" priority="915" operator="lessThan">
      <formula>0</formula>
    </cfRule>
  </conditionalFormatting>
  <conditionalFormatting sqref="ED11:ED15">
    <cfRule type="cellIs" dxfId="828" priority="914" operator="lessThan">
      <formula>0</formula>
    </cfRule>
  </conditionalFormatting>
  <conditionalFormatting sqref="BO11:BO15">
    <cfRule type="cellIs" dxfId="827" priority="913" operator="lessThan">
      <formula>0</formula>
    </cfRule>
  </conditionalFormatting>
  <conditionalFormatting sqref="BQ11:BQ15">
    <cfRule type="cellIs" dxfId="826" priority="912" operator="lessThan">
      <formula>0</formula>
    </cfRule>
  </conditionalFormatting>
  <conditionalFormatting sqref="BT11:BV15">
    <cfRule type="cellIs" dxfId="825" priority="911" operator="lessThan">
      <formula>0</formula>
    </cfRule>
  </conditionalFormatting>
  <conditionalFormatting sqref="BS11:BS15">
    <cfRule type="cellIs" dxfId="824" priority="910" operator="lessThan">
      <formula>0</formula>
    </cfRule>
  </conditionalFormatting>
  <conditionalFormatting sqref="BX11:BX15">
    <cfRule type="cellIs" dxfId="823" priority="909" operator="lessThan">
      <formula>0</formula>
    </cfRule>
  </conditionalFormatting>
  <conditionalFormatting sqref="BZ11:BZ15">
    <cfRule type="cellIs" dxfId="822" priority="908" operator="lessThan">
      <formula>0</formula>
    </cfRule>
  </conditionalFormatting>
  <conditionalFormatting sqref="CB11:CB15">
    <cfRule type="cellIs" dxfId="821" priority="907" operator="lessThan">
      <formula>0</formula>
    </cfRule>
  </conditionalFormatting>
  <conditionalFormatting sqref="CC11:CC15">
    <cfRule type="cellIs" dxfId="820" priority="906" operator="lessThan">
      <formula>0</formula>
    </cfRule>
  </conditionalFormatting>
  <conditionalFormatting sqref="CG11:CG15">
    <cfRule type="cellIs" dxfId="819" priority="905" operator="lessThan">
      <formula>0</formula>
    </cfRule>
  </conditionalFormatting>
  <conditionalFormatting sqref="CI11:CI15">
    <cfRule type="cellIs" dxfId="818" priority="904" operator="lessThan">
      <formula>0</formula>
    </cfRule>
  </conditionalFormatting>
  <conditionalFormatting sqref="CV11">
    <cfRule type="cellIs" dxfId="817" priority="903" operator="lessThan">
      <formula>0</formula>
    </cfRule>
  </conditionalFormatting>
  <conditionalFormatting sqref="BW11:BW15">
    <cfRule type="cellIs" dxfId="816" priority="902" operator="lessThan">
      <formula>0</formula>
    </cfRule>
  </conditionalFormatting>
  <conditionalFormatting sqref="AT11:AT15">
    <cfRule type="cellIs" dxfId="815" priority="901" operator="lessThan">
      <formula>0</formula>
    </cfRule>
  </conditionalFormatting>
  <conditionalFormatting sqref="R25:R31">
    <cfRule type="cellIs" dxfId="814" priority="815" operator="lessThan">
      <formula>0</formula>
    </cfRule>
  </conditionalFormatting>
  <conditionalFormatting sqref="S31">
    <cfRule type="cellIs" dxfId="813" priority="814" operator="lessThan">
      <formula>0</formula>
    </cfRule>
  </conditionalFormatting>
  <conditionalFormatting sqref="E25:E31 C25:C31">
    <cfRule type="cellIs" dxfId="812" priority="813" operator="lessThan">
      <formula>0</formula>
    </cfRule>
  </conditionalFormatting>
  <conditionalFormatting sqref="S29:S30 G29:H29 G27:H27 U24:U31 B25:B31 D25:D31 R25:R31">
    <cfRule type="cellIs" dxfId="811" priority="834" operator="lessThan">
      <formula>0</formula>
    </cfRule>
  </conditionalFormatting>
  <conditionalFormatting sqref="J25:J31">
    <cfRule type="cellIs" dxfId="810" priority="811" operator="lessThan">
      <formula>0</formula>
    </cfRule>
  </conditionalFormatting>
  <conditionalFormatting sqref="S25">
    <cfRule type="cellIs" dxfId="809" priority="830" operator="lessThan">
      <formula>0</formula>
    </cfRule>
  </conditionalFormatting>
  <conditionalFormatting sqref="G25:H25 Q25">
    <cfRule type="cellIs" dxfId="808" priority="829" operator="lessThan">
      <formula>0</formula>
    </cfRule>
  </conditionalFormatting>
  <conditionalFormatting sqref="S26:S27">
    <cfRule type="cellIs" dxfId="807" priority="828" operator="lessThan">
      <formula>0</formula>
    </cfRule>
  </conditionalFormatting>
  <conditionalFormatting sqref="G26:H26 Q26:Q28">
    <cfRule type="cellIs" dxfId="806" priority="827" operator="lessThan">
      <formula>0</formula>
    </cfRule>
  </conditionalFormatting>
  <conditionalFormatting sqref="G28:H28">
    <cfRule type="cellIs" dxfId="805" priority="826" operator="lessThan">
      <formula>0</formula>
    </cfRule>
  </conditionalFormatting>
  <conditionalFormatting sqref="Q29">
    <cfRule type="cellIs" dxfId="804" priority="825" operator="lessThan">
      <formula>0</formula>
    </cfRule>
  </conditionalFormatting>
  <conditionalFormatting sqref="G30:H30">
    <cfRule type="cellIs" dxfId="803" priority="824" operator="lessThan">
      <formula>0</formula>
    </cfRule>
  </conditionalFormatting>
  <conditionalFormatting sqref="G31:H31">
    <cfRule type="cellIs" dxfId="802" priority="823" operator="lessThan">
      <formula>0</formula>
    </cfRule>
  </conditionalFormatting>
  <conditionalFormatting sqref="Q31">
    <cfRule type="cellIs" dxfId="801" priority="822" operator="lessThan">
      <formula>0</formula>
    </cfRule>
  </conditionalFormatting>
  <conditionalFormatting sqref="S28">
    <cfRule type="cellIs" dxfId="800" priority="821" operator="lessThan">
      <formula>0</formula>
    </cfRule>
  </conditionalFormatting>
  <conditionalFormatting sqref="Q30">
    <cfRule type="cellIs" dxfId="799" priority="820" operator="lessThan">
      <formula>0</formula>
    </cfRule>
  </conditionalFormatting>
  <conditionalFormatting sqref="I26:I27">
    <cfRule type="cellIs" dxfId="798" priority="819" operator="lessThan">
      <formula>0</formula>
    </cfRule>
  </conditionalFormatting>
  <conditionalFormatting sqref="K26">
    <cfRule type="cellIs" dxfId="797" priority="818" operator="lessThan">
      <formula>0</formula>
    </cfRule>
  </conditionalFormatting>
  <conditionalFormatting sqref="L25:L31">
    <cfRule type="cellIs" dxfId="796" priority="817" operator="lessThan">
      <formula>0</formula>
    </cfRule>
  </conditionalFormatting>
  <conditionalFormatting sqref="N25:N31">
    <cfRule type="cellIs" dxfId="795" priority="816" operator="lessThan">
      <formula>0</formula>
    </cfRule>
  </conditionalFormatting>
  <conditionalFormatting sqref="F25:F31">
    <cfRule type="cellIs" dxfId="794" priority="812" operator="lessThan">
      <formula>0</formula>
    </cfRule>
  </conditionalFormatting>
  <conditionalFormatting sqref="P25:P31">
    <cfRule type="cellIs" dxfId="793" priority="809" operator="lessThan">
      <formula>0</formula>
    </cfRule>
  </conditionalFormatting>
  <conditionalFormatting sqref="T25:T31">
    <cfRule type="cellIs" dxfId="792" priority="808" operator="lessThan">
      <formula>0</formula>
    </cfRule>
  </conditionalFormatting>
  <conditionalFormatting sqref="T25:T31">
    <cfRule type="cellIs" dxfId="791" priority="807" operator="lessThan">
      <formula>0</formula>
    </cfRule>
  </conditionalFormatting>
  <conditionalFormatting sqref="K27">
    <cfRule type="cellIs" dxfId="790" priority="806" operator="lessThan">
      <formula>0</formula>
    </cfRule>
  </conditionalFormatting>
  <conditionalFormatting sqref="I28">
    <cfRule type="cellIs" dxfId="789" priority="805" operator="lessThan">
      <formula>0</formula>
    </cfRule>
  </conditionalFormatting>
  <conditionalFormatting sqref="K28">
    <cfRule type="cellIs" dxfId="788" priority="804" operator="lessThan">
      <formula>0</formula>
    </cfRule>
  </conditionalFormatting>
  <conditionalFormatting sqref="I29">
    <cfRule type="cellIs" dxfId="787" priority="803" operator="lessThan">
      <formula>0</formula>
    </cfRule>
  </conditionalFormatting>
  <conditionalFormatting sqref="K29:K30">
    <cfRule type="cellIs" dxfId="786" priority="802" operator="lessThan">
      <formula>0</formula>
    </cfRule>
  </conditionalFormatting>
  <conditionalFormatting sqref="I31">
    <cfRule type="cellIs" dxfId="785" priority="801" operator="lessThan">
      <formula>0</formula>
    </cfRule>
  </conditionalFormatting>
  <conditionalFormatting sqref="K31">
    <cfRule type="cellIs" dxfId="784" priority="800" operator="lessThan">
      <formula>0</formula>
    </cfRule>
  </conditionalFormatting>
  <conditionalFormatting sqref="M31">
    <cfRule type="cellIs" dxfId="783" priority="799" operator="lessThan">
      <formula>0</formula>
    </cfRule>
  </conditionalFormatting>
  <conditionalFormatting sqref="O31">
    <cfRule type="cellIs" dxfId="782" priority="798" operator="lessThan">
      <formula>0</formula>
    </cfRule>
  </conditionalFormatting>
  <conditionalFormatting sqref="I25">
    <cfRule type="cellIs" dxfId="781" priority="793" operator="lessThan">
      <formula>0</formula>
    </cfRule>
  </conditionalFormatting>
  <conditionalFormatting sqref="K25">
    <cfRule type="cellIs" dxfId="780" priority="792" operator="lessThan">
      <formula>0</formula>
    </cfRule>
  </conditionalFormatting>
  <conditionalFormatting sqref="M25">
    <cfRule type="cellIs" dxfId="779" priority="791" operator="lessThan">
      <formula>0</formula>
    </cfRule>
  </conditionalFormatting>
  <conditionalFormatting sqref="O25">
    <cfRule type="cellIs" dxfId="778" priority="790" operator="lessThan">
      <formula>0</formula>
    </cfRule>
  </conditionalFormatting>
  <conditionalFormatting sqref="O33">
    <cfRule type="cellIs" dxfId="777" priority="767" operator="lessThan">
      <formula>0</formula>
    </cfRule>
  </conditionalFormatting>
  <conditionalFormatting sqref="C32:C33 E32:E33">
    <cfRule type="cellIs" dxfId="776" priority="766" operator="lessThan">
      <formula>0</formula>
    </cfRule>
  </conditionalFormatting>
  <conditionalFormatting sqref="F32:F33">
    <cfRule type="cellIs" dxfId="775" priority="765" operator="lessThan">
      <formula>0</formula>
    </cfRule>
  </conditionalFormatting>
  <conditionalFormatting sqref="J32:J33">
    <cfRule type="cellIs" dxfId="774" priority="764" operator="lessThan">
      <formula>0</formula>
    </cfRule>
  </conditionalFormatting>
  <conditionalFormatting sqref="V25:V31">
    <cfRule type="cellIs" dxfId="773" priority="785" operator="lessThan">
      <formula>0</formula>
    </cfRule>
  </conditionalFormatting>
  <conditionalFormatting sqref="V25:V31">
    <cfRule type="cellIs" dxfId="772" priority="784" operator="lessThan">
      <formula>0</formula>
    </cfRule>
  </conditionalFormatting>
  <conditionalFormatting sqref="S32 R33 D32:D33 B32:B33 U32:U33">
    <cfRule type="cellIs" dxfId="771" priority="783" operator="lessThan">
      <formula>0</formula>
    </cfRule>
  </conditionalFormatting>
  <conditionalFormatting sqref="G32:H32">
    <cfRule type="cellIs" dxfId="770" priority="782" operator="lessThan">
      <formula>0</formula>
    </cfRule>
  </conditionalFormatting>
  <conditionalFormatting sqref="Q32">
    <cfRule type="cellIs" dxfId="769" priority="781" operator="lessThan">
      <formula>0</formula>
    </cfRule>
  </conditionalFormatting>
  <conditionalFormatting sqref="G33:H33">
    <cfRule type="cellIs" dxfId="768" priority="780" operator="lessThan">
      <formula>0</formula>
    </cfRule>
  </conditionalFormatting>
  <conditionalFormatting sqref="S33">
    <cfRule type="cellIs" dxfId="767" priority="779" operator="lessThan">
      <formula>0</formula>
    </cfRule>
  </conditionalFormatting>
  <conditionalFormatting sqref="L32:L33">
    <cfRule type="cellIs" dxfId="766" priority="778" operator="lessThan">
      <formula>0</formula>
    </cfRule>
  </conditionalFormatting>
  <conditionalFormatting sqref="N32:N33">
    <cfRule type="cellIs" dxfId="765" priority="777" operator="lessThan">
      <formula>0</formula>
    </cfRule>
  </conditionalFormatting>
  <conditionalFormatting sqref="R33">
    <cfRule type="cellIs" dxfId="764" priority="776" operator="lessThan">
      <formula>0</formula>
    </cfRule>
  </conditionalFormatting>
  <conditionalFormatting sqref="Q33">
    <cfRule type="cellIs" dxfId="763" priority="775" operator="lessThan">
      <formula>0</formula>
    </cfRule>
  </conditionalFormatting>
  <conditionalFormatting sqref="V32:V33">
    <cfRule type="cellIs" dxfId="762" priority="762" operator="lessThan">
      <formula>0</formula>
    </cfRule>
  </conditionalFormatting>
  <conditionalFormatting sqref="I32">
    <cfRule type="cellIs" dxfId="761" priority="774" operator="lessThan">
      <formula>0</formula>
    </cfRule>
  </conditionalFormatting>
  <conditionalFormatting sqref="K32">
    <cfRule type="cellIs" dxfId="760" priority="773" operator="lessThan">
      <formula>0</formula>
    </cfRule>
  </conditionalFormatting>
  <conditionalFormatting sqref="M32">
    <cfRule type="cellIs" dxfId="759" priority="772" operator="lessThan">
      <formula>0</formula>
    </cfRule>
  </conditionalFormatting>
  <conditionalFormatting sqref="O32">
    <cfRule type="cellIs" dxfId="758" priority="771" operator="lessThan">
      <formula>0</formula>
    </cfRule>
  </conditionalFormatting>
  <conditionalFormatting sqref="I33">
    <cfRule type="cellIs" dxfId="757" priority="770" operator="lessThan">
      <formula>0</formula>
    </cfRule>
  </conditionalFormatting>
  <conditionalFormatting sqref="K33">
    <cfRule type="cellIs" dxfId="756" priority="769" operator="lessThan">
      <formula>0</formula>
    </cfRule>
  </conditionalFormatting>
  <conditionalFormatting sqref="M33">
    <cfRule type="cellIs" dxfId="755" priority="768" operator="lessThan">
      <formula>0</formula>
    </cfRule>
  </conditionalFormatting>
  <conditionalFormatting sqref="P32:P33">
    <cfRule type="cellIs" dxfId="754" priority="763" operator="lessThan">
      <formula>0</formula>
    </cfRule>
  </conditionalFormatting>
  <conditionalFormatting sqref="T33">
    <cfRule type="cellIs" dxfId="753" priority="761" operator="lessThan">
      <formula>0</formula>
    </cfRule>
  </conditionalFormatting>
  <conditionalFormatting sqref="T33">
    <cfRule type="cellIs" dxfId="752" priority="760" operator="lessThan">
      <formula>0</formula>
    </cfRule>
  </conditionalFormatting>
  <conditionalFormatting sqref="T32">
    <cfRule type="cellIs" dxfId="751" priority="759" operator="lessThan">
      <formula>0</formula>
    </cfRule>
  </conditionalFormatting>
  <conditionalFormatting sqref="R32">
    <cfRule type="cellIs" dxfId="750" priority="758" operator="lessThan">
      <formula>0</formula>
    </cfRule>
  </conditionalFormatting>
  <conditionalFormatting sqref="M26:M29">
    <cfRule type="cellIs" dxfId="749" priority="757" operator="lessThan">
      <formula>0</formula>
    </cfRule>
  </conditionalFormatting>
  <conditionalFormatting sqref="I30">
    <cfRule type="cellIs" dxfId="748" priority="756" operator="lessThan">
      <formula>0</formula>
    </cfRule>
  </conditionalFormatting>
  <conditionalFormatting sqref="M30">
    <cfRule type="cellIs" dxfId="747" priority="755" operator="lessThan">
      <formula>0</formula>
    </cfRule>
  </conditionalFormatting>
  <conditionalFormatting sqref="O26:O30">
    <cfRule type="cellIs" dxfId="746" priority="754" operator="lessThan">
      <formula>0</formula>
    </cfRule>
  </conditionalFormatting>
  <conditionalFormatting sqref="W24:W33">
    <cfRule type="cellIs" dxfId="745" priority="753" operator="lessThan">
      <formula>0</formula>
    </cfRule>
  </conditionalFormatting>
  <conditionalFormatting sqref="DB25:DB31 DK25:DK31 DW25:DW30 DY25:DY30 EA25:EA30 CY25:CY31 EH29:EH33 EH23:EH27 CP25:CP31 DH25:DH31 DN25:DN31 DQ25:DQ31 DT25:DT31 CA25:CA31 CH25:CH31 AU25:AY26 BW25:BW31 AL25:AL31 BY25:BY31 BP25:BP31 BR25:BR31 BN25:BN31 CS25:CS31 CV25:CV31 DE25:DE31 DX25:DX31 BI25:BL31 AF25:AJ31 AN25:AS30 AN31:AR31 AT27:AY27 CL25:CM31 Y25:AD31 BA25:BH27 CF25:CF31 CD25:CD31 AT28:BH31 AS31:AS33">
    <cfRule type="cellIs" dxfId="744" priority="752" operator="lessThan">
      <formula>0</formula>
    </cfRule>
  </conditionalFormatting>
  <conditionalFormatting sqref="EA25:EA30">
    <cfRule type="cellIs" dxfId="743" priority="751" operator="lessThan">
      <formula>0</formula>
    </cfRule>
  </conditionalFormatting>
  <conditionalFormatting sqref="EC25:EC28">
    <cfRule type="cellIs" dxfId="742" priority="750" operator="lessThan">
      <formula>0</formula>
    </cfRule>
  </conditionalFormatting>
  <conditionalFormatting sqref="EC25:EC28">
    <cfRule type="cellIs" dxfId="741" priority="749" operator="lessThan">
      <formula>0</formula>
    </cfRule>
  </conditionalFormatting>
  <conditionalFormatting sqref="EH28 EE25:EG31">
    <cfRule type="cellIs" dxfId="740" priority="748" operator="lessThan">
      <formula>0</formula>
    </cfRule>
  </conditionalFormatting>
  <conditionalFormatting sqref="X25">
    <cfRule type="cellIs" dxfId="739" priority="743" operator="lessThan">
      <formula>0</formula>
    </cfRule>
  </conditionalFormatting>
  <conditionalFormatting sqref="X26">
    <cfRule type="cellIs" dxfId="738" priority="742" operator="lessThan">
      <formula>0</formula>
    </cfRule>
  </conditionalFormatting>
  <conditionalFormatting sqref="X27">
    <cfRule type="cellIs" dxfId="737" priority="741" operator="lessThan">
      <formula>0</formula>
    </cfRule>
  </conditionalFormatting>
  <conditionalFormatting sqref="X28:X31">
    <cfRule type="cellIs" dxfId="736" priority="740" operator="lessThan">
      <formula>0</formula>
    </cfRule>
  </conditionalFormatting>
  <conditionalFormatting sqref="AT25:AT26">
    <cfRule type="cellIs" dxfId="735" priority="739" operator="lessThan">
      <formula>0</formula>
    </cfRule>
  </conditionalFormatting>
  <conditionalFormatting sqref="DG25:DG31">
    <cfRule type="cellIs" dxfId="734" priority="716" operator="lessThan">
      <formula>0</formula>
    </cfRule>
  </conditionalFormatting>
  <conditionalFormatting sqref="EC29">
    <cfRule type="cellIs" dxfId="733" priority="730" operator="lessThan">
      <formula>0</formula>
    </cfRule>
  </conditionalFormatting>
  <conditionalFormatting sqref="EC29">
    <cfRule type="cellIs" dxfId="732" priority="729" operator="lessThan">
      <formula>0</formula>
    </cfRule>
  </conditionalFormatting>
  <conditionalFormatting sqref="EC30">
    <cfRule type="cellIs" dxfId="731" priority="728" operator="lessThan">
      <formula>0</formula>
    </cfRule>
  </conditionalFormatting>
  <conditionalFormatting sqref="EC30">
    <cfRule type="cellIs" dxfId="730" priority="727" operator="lessThan">
      <formula>0</formula>
    </cfRule>
  </conditionalFormatting>
  <conditionalFormatting sqref="AK25:AK31">
    <cfRule type="cellIs" dxfId="729" priority="726" operator="lessThan">
      <formula>0</formula>
    </cfRule>
  </conditionalFormatting>
  <conditionalFormatting sqref="DW31">
    <cfRule type="cellIs" dxfId="728" priority="725" operator="lessThan">
      <formula>0</formula>
    </cfRule>
  </conditionalFormatting>
  <conditionalFormatting sqref="DY31">
    <cfRule type="cellIs" dxfId="727" priority="724" operator="lessThan">
      <formula>0</formula>
    </cfRule>
  </conditionalFormatting>
  <conditionalFormatting sqref="EA31">
    <cfRule type="cellIs" dxfId="726" priority="723" operator="lessThan">
      <formula>0</formula>
    </cfRule>
  </conditionalFormatting>
  <conditionalFormatting sqref="EA31">
    <cfRule type="cellIs" dxfId="725" priority="722" operator="lessThan">
      <formula>0</formula>
    </cfRule>
  </conditionalFormatting>
  <conditionalFormatting sqref="EC31">
    <cfRule type="cellIs" dxfId="724" priority="721" operator="lessThan">
      <formula>0</formula>
    </cfRule>
  </conditionalFormatting>
  <conditionalFormatting sqref="EC31">
    <cfRule type="cellIs" dxfId="723" priority="720" operator="lessThan">
      <formula>0</formula>
    </cfRule>
  </conditionalFormatting>
  <conditionalFormatting sqref="CQ25:CR31 DL25:DL31 DI25:DI31 DC25:DD31 AE25:AE31 AM25:AM31 CN25:CO31 CT25:CU31 CZ25:CZ31 CW25:CX31 CE25:CE31 DO25:DO31 DR25:DR31 DU25:DU31 CK25:CK31 CJ25:CJ33 BM25:BM31 DF25:DF33">
    <cfRule type="cellIs" dxfId="722" priority="719" operator="lessThan">
      <formula>0</formula>
    </cfRule>
  </conditionalFormatting>
  <conditionalFormatting sqref="DA25:DA31">
    <cfRule type="cellIs" dxfId="721" priority="718" operator="lessThan">
      <formula>0</formula>
    </cfRule>
  </conditionalFormatting>
  <conditionalFormatting sqref="DV25:DV31">
    <cfRule type="cellIs" dxfId="720" priority="717" operator="lessThan">
      <formula>0</formula>
    </cfRule>
  </conditionalFormatting>
  <conditionalFormatting sqref="DJ25:DJ31">
    <cfRule type="cellIs" dxfId="719" priority="715" operator="lessThan">
      <formula>0</formula>
    </cfRule>
  </conditionalFormatting>
  <conditionalFormatting sqref="DM25:DM31">
    <cfRule type="cellIs" dxfId="718" priority="714" operator="lessThan">
      <formula>0</formula>
    </cfRule>
  </conditionalFormatting>
  <conditionalFormatting sqref="DP25:DP31">
    <cfRule type="cellIs" dxfId="717" priority="713" operator="lessThan">
      <formula>0</formula>
    </cfRule>
  </conditionalFormatting>
  <conditionalFormatting sqref="DS25:DS31">
    <cfRule type="cellIs" dxfId="716" priority="712" operator="lessThan">
      <formula>0</formula>
    </cfRule>
  </conditionalFormatting>
  <conditionalFormatting sqref="DZ25:DZ31">
    <cfRule type="cellIs" dxfId="715" priority="711" operator="lessThan">
      <formula>0</formula>
    </cfRule>
  </conditionalFormatting>
  <conditionalFormatting sqref="EB25:EB31">
    <cfRule type="cellIs" dxfId="714" priority="710" operator="lessThan">
      <formula>0</formula>
    </cfRule>
  </conditionalFormatting>
  <conditionalFormatting sqref="ED25:ED31">
    <cfRule type="cellIs" dxfId="713" priority="709" operator="lessThan">
      <formula>0</formula>
    </cfRule>
  </conditionalFormatting>
  <conditionalFormatting sqref="BO25:BO31">
    <cfRule type="cellIs" dxfId="712" priority="708" operator="lessThan">
      <formula>0</formula>
    </cfRule>
  </conditionalFormatting>
  <conditionalFormatting sqref="BQ25:BQ31">
    <cfRule type="cellIs" dxfId="711" priority="707" operator="lessThan">
      <formula>0</formula>
    </cfRule>
  </conditionalFormatting>
  <conditionalFormatting sqref="BT25:BV31">
    <cfRule type="cellIs" dxfId="710" priority="706" operator="lessThan">
      <formula>0</formula>
    </cfRule>
  </conditionalFormatting>
  <conditionalFormatting sqref="BS25:BS31">
    <cfRule type="cellIs" dxfId="709" priority="705" operator="lessThan">
      <formula>0</formula>
    </cfRule>
  </conditionalFormatting>
  <conditionalFormatting sqref="BX25:BX31">
    <cfRule type="cellIs" dxfId="708" priority="704" operator="lessThan">
      <formula>0</formula>
    </cfRule>
  </conditionalFormatting>
  <conditionalFormatting sqref="BZ25:BZ31">
    <cfRule type="cellIs" dxfId="707" priority="703" operator="lessThan">
      <formula>0</formula>
    </cfRule>
  </conditionalFormatting>
  <conditionalFormatting sqref="CB25:CB31">
    <cfRule type="cellIs" dxfId="706" priority="702" operator="lessThan">
      <formula>0</formula>
    </cfRule>
  </conditionalFormatting>
  <conditionalFormatting sqref="CC25:CC31">
    <cfRule type="cellIs" dxfId="705" priority="701" operator="lessThan">
      <formula>0</formula>
    </cfRule>
  </conditionalFormatting>
  <conditionalFormatting sqref="CG25:CG31">
    <cfRule type="cellIs" dxfId="704" priority="700" operator="lessThan">
      <formula>0</formula>
    </cfRule>
  </conditionalFormatting>
  <conditionalFormatting sqref="CI25:CI31">
    <cfRule type="cellIs" dxfId="703" priority="699" operator="lessThan">
      <formula>0</formula>
    </cfRule>
  </conditionalFormatting>
  <conditionalFormatting sqref="AZ25">
    <cfRule type="cellIs" dxfId="702" priority="696" operator="lessThan">
      <formula>0</formula>
    </cfRule>
  </conditionalFormatting>
  <conditionalFormatting sqref="AZ26">
    <cfRule type="cellIs" dxfId="701" priority="695" operator="lessThan">
      <formula>0</formula>
    </cfRule>
  </conditionalFormatting>
  <conditionalFormatting sqref="AZ27">
    <cfRule type="cellIs" dxfId="700" priority="694" operator="lessThan">
      <formula>0</formula>
    </cfRule>
  </conditionalFormatting>
  <conditionalFormatting sqref="AF32:AH33 Y32:Z33 AB32:AD33">
    <cfRule type="cellIs" dxfId="699" priority="693" operator="lessThan">
      <formula>0</formula>
    </cfRule>
  </conditionalFormatting>
  <conditionalFormatting sqref="X32:X33">
    <cfRule type="cellIs" dxfId="698" priority="692" operator="lessThan">
      <formula>0</formula>
    </cfRule>
  </conditionalFormatting>
  <conditionalFormatting sqref="AE32:AE33">
    <cfRule type="cellIs" dxfId="697" priority="691" operator="lessThan">
      <formula>0</formula>
    </cfRule>
  </conditionalFormatting>
  <conditionalFormatting sqref="AN32:AN33 AL32:AL33 AJ32:AJ33 AP32:AP33 AR32:AR33 AV32:AV33 AX32:AX33 AZ32:AZ33 AT32:AT33">
    <cfRule type="cellIs" dxfId="696" priority="690" operator="lessThan">
      <formula>0</formula>
    </cfRule>
  </conditionalFormatting>
  <conditionalFormatting sqref="CA32:CA33 BY32:BY33 BB32:BB33 BN32:BN33 BR32:BR33 BP32:BP33 BW32:BW33 BD32:BD33 BF32:BF33 BH32:BH33">
    <cfRule type="cellIs" dxfId="695" priority="689" operator="lessThan">
      <formula>0</formula>
    </cfRule>
  </conditionalFormatting>
  <conditionalFormatting sqref="BL32:BL33">
    <cfRule type="cellIs" dxfId="694" priority="688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693" priority="687" operator="lessThan">
      <formula>0</formula>
    </cfRule>
  </conditionalFormatting>
  <conditionalFormatting sqref="DU32:DU33 DR32:DR33 DO32:DO33 DI32:DI33">
    <cfRule type="cellIs" dxfId="692" priority="686" operator="lessThan">
      <formula>0</formula>
    </cfRule>
  </conditionalFormatting>
  <conditionalFormatting sqref="DV32:DV33">
    <cfRule type="cellIs" dxfId="691" priority="685" operator="lessThan">
      <formula>0</formula>
    </cfRule>
  </conditionalFormatting>
  <conditionalFormatting sqref="DG32:DG33">
    <cfRule type="cellIs" dxfId="690" priority="684" operator="lessThan">
      <formula>0</formula>
    </cfRule>
  </conditionalFormatting>
  <conditionalFormatting sqref="DJ32:DJ33">
    <cfRule type="cellIs" dxfId="689" priority="683" operator="lessThan">
      <formula>0</formula>
    </cfRule>
  </conditionalFormatting>
  <conditionalFormatting sqref="DM32:DM33">
    <cfRule type="cellIs" dxfId="688" priority="682" operator="lessThan">
      <formula>0</formula>
    </cfRule>
  </conditionalFormatting>
  <conditionalFormatting sqref="DP32:DP33">
    <cfRule type="cellIs" dxfId="687" priority="681" operator="lessThan">
      <formula>0</formula>
    </cfRule>
  </conditionalFormatting>
  <conditionalFormatting sqref="DS32:DS33">
    <cfRule type="cellIs" dxfId="686" priority="680" operator="lessThan">
      <formula>0</formula>
    </cfRule>
  </conditionalFormatting>
  <conditionalFormatting sqref="DX32:DX33">
    <cfRule type="cellIs" dxfId="685" priority="679" operator="lessThan">
      <formula>0</formula>
    </cfRule>
  </conditionalFormatting>
  <conditionalFormatting sqref="EE32:EG33">
    <cfRule type="cellIs" dxfId="684" priority="678" operator="lessThan">
      <formula>0</formula>
    </cfRule>
  </conditionalFormatting>
  <conditionalFormatting sqref="DW32">
    <cfRule type="cellIs" dxfId="683" priority="677" operator="lessThan">
      <formula>0</formula>
    </cfRule>
  </conditionalFormatting>
  <conditionalFormatting sqref="DY32">
    <cfRule type="cellIs" dxfId="682" priority="676" operator="lessThan">
      <formula>0</formula>
    </cfRule>
  </conditionalFormatting>
  <conditionalFormatting sqref="EA32">
    <cfRule type="cellIs" dxfId="681" priority="675" operator="lessThan">
      <formula>0</formula>
    </cfRule>
  </conditionalFormatting>
  <conditionalFormatting sqref="EA32">
    <cfRule type="cellIs" dxfId="680" priority="674" operator="lessThan">
      <formula>0</formula>
    </cfRule>
  </conditionalFormatting>
  <conditionalFormatting sqref="EC32">
    <cfRule type="cellIs" dxfId="679" priority="672" operator="lessThan">
      <formula>0</formula>
    </cfRule>
  </conditionalFormatting>
  <conditionalFormatting sqref="EC32">
    <cfRule type="cellIs" dxfId="678" priority="673" operator="lessThan">
      <formula>0</formula>
    </cfRule>
  </conditionalFormatting>
  <conditionalFormatting sqref="DW33">
    <cfRule type="cellIs" dxfId="677" priority="671" operator="lessThan">
      <formula>0</formula>
    </cfRule>
  </conditionalFormatting>
  <conditionalFormatting sqref="DY33">
    <cfRule type="cellIs" dxfId="676" priority="670" operator="lessThan">
      <formula>0</formula>
    </cfRule>
  </conditionalFormatting>
  <conditionalFormatting sqref="EA33">
    <cfRule type="cellIs" dxfId="675" priority="669" operator="lessThan">
      <formula>0</formula>
    </cfRule>
  </conditionalFormatting>
  <conditionalFormatting sqref="EA33">
    <cfRule type="cellIs" dxfId="674" priority="668" operator="lessThan">
      <formula>0</formula>
    </cfRule>
  </conditionalFormatting>
  <conditionalFormatting sqref="EC33">
    <cfRule type="cellIs" dxfId="673" priority="666" operator="lessThan">
      <formula>0</formula>
    </cfRule>
  </conditionalFormatting>
  <conditionalFormatting sqref="EC33">
    <cfRule type="cellIs" dxfId="672" priority="667" operator="lessThan">
      <formula>0</formula>
    </cfRule>
  </conditionalFormatting>
  <conditionalFormatting sqref="DZ32:DZ33">
    <cfRule type="cellIs" dxfId="671" priority="665" operator="lessThan">
      <formula>0</formula>
    </cfRule>
  </conditionalFormatting>
  <conditionalFormatting sqref="EB32:EB33">
    <cfRule type="cellIs" dxfId="670" priority="664" operator="lessThan">
      <formula>0</formula>
    </cfRule>
  </conditionalFormatting>
  <conditionalFormatting sqref="ED32:ED33">
    <cfRule type="cellIs" dxfId="669" priority="663" operator="lessThan">
      <formula>0</formula>
    </cfRule>
  </conditionalFormatting>
  <conditionalFormatting sqref="DL32:DL33 DC32:DD33">
    <cfRule type="cellIs" dxfId="668" priority="662" operator="lessThan">
      <formula>0</formula>
    </cfRule>
  </conditionalFormatting>
  <conditionalFormatting sqref="AI32:AI33 AA32:AA33 AO32:AO33 AQ32:AQ33 AU32:AU33 AW32:AW33 AY32:AY33 BA32:BA33 BC32:BC33 BE32:BE33 BG32:BG33 BI32:BK33">
    <cfRule type="cellIs" dxfId="667" priority="661" operator="lessThan">
      <formula>0</formula>
    </cfRule>
  </conditionalFormatting>
  <conditionalFormatting sqref="AK32:AK33">
    <cfRule type="cellIs" dxfId="666" priority="660" operator="lessThan">
      <formula>0</formula>
    </cfRule>
  </conditionalFormatting>
  <conditionalFormatting sqref="AM32:AM33 CN32:CO33 CQ32:CR33 CT32:CU33 CW32:CX33 CZ32:CZ33 CK32:CK33 CE32:CE33 BM32:BM33">
    <cfRule type="cellIs" dxfId="665" priority="659" operator="lessThan">
      <formula>0</formula>
    </cfRule>
  </conditionalFormatting>
  <conditionalFormatting sqref="DA32:DA33">
    <cfRule type="cellIs" dxfId="664" priority="658" operator="lessThan">
      <formula>0</formula>
    </cfRule>
  </conditionalFormatting>
  <conditionalFormatting sqref="BO32:BO33">
    <cfRule type="cellIs" dxfId="663" priority="657" operator="lessThan">
      <formula>0</formula>
    </cfRule>
  </conditionalFormatting>
  <conditionalFormatting sqref="BQ32:BQ33">
    <cfRule type="cellIs" dxfId="662" priority="656" operator="lessThan">
      <formula>0</formula>
    </cfRule>
  </conditionalFormatting>
  <conditionalFormatting sqref="BT32:BV33">
    <cfRule type="cellIs" dxfId="661" priority="655" operator="lessThan">
      <formula>0</formula>
    </cfRule>
  </conditionalFormatting>
  <conditionalFormatting sqref="BS32:BS33">
    <cfRule type="cellIs" dxfId="660" priority="654" operator="lessThan">
      <formula>0</formula>
    </cfRule>
  </conditionalFormatting>
  <conditionalFormatting sqref="BX32:BX33">
    <cfRule type="cellIs" dxfId="659" priority="653" operator="lessThan">
      <formula>0</formula>
    </cfRule>
  </conditionalFormatting>
  <conditionalFormatting sqref="BZ32:BZ33">
    <cfRule type="cellIs" dxfId="658" priority="652" operator="lessThan">
      <formula>0</formula>
    </cfRule>
  </conditionalFormatting>
  <conditionalFormatting sqref="CB32:CB33">
    <cfRule type="cellIs" dxfId="657" priority="651" operator="lessThan">
      <formula>0</formula>
    </cfRule>
  </conditionalFormatting>
  <conditionalFormatting sqref="CC32:CC33">
    <cfRule type="cellIs" dxfId="656" priority="650" operator="lessThan">
      <formula>0</formula>
    </cfRule>
  </conditionalFormatting>
  <conditionalFormatting sqref="CG32:CG33">
    <cfRule type="cellIs" dxfId="655" priority="649" operator="lessThan">
      <formula>0</formula>
    </cfRule>
  </conditionalFormatting>
  <conditionalFormatting sqref="CI32:CI33">
    <cfRule type="cellIs" dxfId="654" priority="648" operator="lessThan">
      <formula>0</formula>
    </cfRule>
  </conditionalFormatting>
  <conditionalFormatting sqref="EK3:EM3">
    <cfRule type="cellIs" dxfId="653" priority="647" operator="lessThan">
      <formula>0</formula>
    </cfRule>
  </conditionalFormatting>
  <conditionalFormatting sqref="EN3:XFD3">
    <cfRule type="cellIs" dxfId="652" priority="646" operator="lessThan">
      <formula>0</formula>
    </cfRule>
  </conditionalFormatting>
  <conditionalFormatting sqref="A3:A34">
    <cfRule type="cellIs" dxfId="651" priority="645" operator="lessThan">
      <formula>0</formula>
    </cfRule>
  </conditionalFormatting>
  <conditionalFormatting sqref="R3 D3 B3 U3">
    <cfRule type="cellIs" dxfId="650" priority="644" operator="lessThan">
      <formula>0</formula>
    </cfRule>
  </conditionalFormatting>
  <conditionalFormatting sqref="G3:H3">
    <cfRule type="cellIs" dxfId="649" priority="643" operator="lessThan">
      <formula>0</formula>
    </cfRule>
  </conditionalFormatting>
  <conditionalFormatting sqref="S3">
    <cfRule type="cellIs" dxfId="648" priority="642" operator="lessThan">
      <formula>0</formula>
    </cfRule>
  </conditionalFormatting>
  <conditionalFormatting sqref="L3">
    <cfRule type="cellIs" dxfId="647" priority="641" operator="lessThan">
      <formula>0</formula>
    </cfRule>
  </conditionalFormatting>
  <conditionalFormatting sqref="N3">
    <cfRule type="cellIs" dxfId="646" priority="640" operator="lessThan">
      <formula>0</formula>
    </cfRule>
  </conditionalFormatting>
  <conditionalFormatting sqref="R3">
    <cfRule type="cellIs" dxfId="645" priority="639" operator="lessThan">
      <formula>0</formula>
    </cfRule>
  </conditionalFormatting>
  <conditionalFormatting sqref="Q3">
    <cfRule type="cellIs" dxfId="644" priority="638" operator="lessThan">
      <formula>0</formula>
    </cfRule>
  </conditionalFormatting>
  <conditionalFormatting sqref="V3">
    <cfRule type="cellIs" dxfId="643" priority="629" operator="lessThan">
      <formula>0</formula>
    </cfRule>
  </conditionalFormatting>
  <conditionalFormatting sqref="I3">
    <cfRule type="cellIs" dxfId="642" priority="637" operator="lessThan">
      <formula>0</formula>
    </cfRule>
  </conditionalFormatting>
  <conditionalFormatting sqref="K3">
    <cfRule type="cellIs" dxfId="641" priority="636" operator="lessThan">
      <formula>0</formula>
    </cfRule>
  </conditionalFormatting>
  <conditionalFormatting sqref="M3">
    <cfRule type="cellIs" dxfId="640" priority="635" operator="lessThan">
      <formula>0</formula>
    </cfRule>
  </conditionalFormatting>
  <conditionalFormatting sqref="O3">
    <cfRule type="cellIs" dxfId="639" priority="634" operator="lessThan">
      <formula>0</formula>
    </cfRule>
  </conditionalFormatting>
  <conditionalFormatting sqref="C3 E3">
    <cfRule type="cellIs" dxfId="638" priority="633" operator="lessThan">
      <formula>0</formula>
    </cfRule>
  </conditionalFormatting>
  <conditionalFormatting sqref="F3">
    <cfRule type="cellIs" dxfId="637" priority="632" operator="lessThan">
      <formula>0</formula>
    </cfRule>
  </conditionalFormatting>
  <conditionalFormatting sqref="J3">
    <cfRule type="cellIs" dxfId="636" priority="631" operator="lessThan">
      <formula>0</formula>
    </cfRule>
  </conditionalFormatting>
  <conditionalFormatting sqref="P3">
    <cfRule type="cellIs" dxfId="635" priority="630" operator="lessThan">
      <formula>0</formula>
    </cfRule>
  </conditionalFormatting>
  <conditionalFormatting sqref="T3">
    <cfRule type="cellIs" dxfId="634" priority="628" operator="lessThan">
      <formula>0</formula>
    </cfRule>
  </conditionalFormatting>
  <conditionalFormatting sqref="T3">
    <cfRule type="cellIs" dxfId="633" priority="627" operator="lessThan">
      <formula>0</formula>
    </cfRule>
  </conditionalFormatting>
  <conditionalFormatting sqref="W3">
    <cfRule type="cellIs" dxfId="632" priority="626" operator="lessThan">
      <formula>0</formula>
    </cfRule>
  </conditionalFormatting>
  <conditionalFormatting sqref="EH3 AS3">
    <cfRule type="cellIs" dxfId="631" priority="625" operator="lessThan">
      <formula>0</formula>
    </cfRule>
  </conditionalFormatting>
  <conditionalFormatting sqref="CJ3 DF3">
    <cfRule type="cellIs" dxfId="630" priority="624" operator="lessThan">
      <formula>0</formula>
    </cfRule>
  </conditionalFormatting>
  <conditionalFormatting sqref="AF3:AH3 Y3:Z3 AB3:AD3">
    <cfRule type="cellIs" dxfId="629" priority="623" operator="lessThan">
      <formula>0</formula>
    </cfRule>
  </conditionalFormatting>
  <conditionalFormatting sqref="X3">
    <cfRule type="cellIs" dxfId="628" priority="622" operator="lessThan">
      <formula>0</formula>
    </cfRule>
  </conditionalFormatting>
  <conditionalFormatting sqref="AE3">
    <cfRule type="cellIs" dxfId="627" priority="621" operator="lessThan">
      <formula>0</formula>
    </cfRule>
  </conditionalFormatting>
  <conditionalFormatting sqref="AN3 AL3 AJ3 AP3 AR3 AV3 AX3 AZ3 AT3">
    <cfRule type="cellIs" dxfId="626" priority="620" operator="lessThan">
      <formula>0</formula>
    </cfRule>
  </conditionalFormatting>
  <conditionalFormatting sqref="CA3 BY3 BB3 BN3 BR3 BP3 BW3 BD3 BF3 BH3">
    <cfRule type="cellIs" dxfId="625" priority="619" operator="lessThan">
      <formula>0</formula>
    </cfRule>
  </conditionalFormatting>
  <conditionalFormatting sqref="BL3">
    <cfRule type="cellIs" dxfId="624" priority="618" operator="lessThan">
      <formula>0</formula>
    </cfRule>
  </conditionalFormatting>
  <conditionalFormatting sqref="DB3 DK3 CY3 CP3 DH3 DN3 DQ3 DT3 CL3:CM3 CD3 CH3 CF3 CS3 CV3 DE3">
    <cfRule type="cellIs" dxfId="623" priority="617" operator="lessThan">
      <formula>0</formula>
    </cfRule>
  </conditionalFormatting>
  <conditionalFormatting sqref="DU3 DR3 DO3 DI3">
    <cfRule type="cellIs" dxfId="622" priority="616" operator="lessThan">
      <formula>0</formula>
    </cfRule>
  </conditionalFormatting>
  <conditionalFormatting sqref="DV3">
    <cfRule type="cellIs" dxfId="621" priority="615" operator="lessThan">
      <formula>0</formula>
    </cfRule>
  </conditionalFormatting>
  <conditionalFormatting sqref="DG3">
    <cfRule type="cellIs" dxfId="620" priority="614" operator="lessThan">
      <formula>0</formula>
    </cfRule>
  </conditionalFormatting>
  <conditionalFormatting sqref="DJ3">
    <cfRule type="cellIs" dxfId="619" priority="613" operator="lessThan">
      <formula>0</formula>
    </cfRule>
  </conditionalFormatting>
  <conditionalFormatting sqref="DM3">
    <cfRule type="cellIs" dxfId="618" priority="612" operator="lessThan">
      <formula>0</formula>
    </cfRule>
  </conditionalFormatting>
  <conditionalFormatting sqref="DP3">
    <cfRule type="cellIs" dxfId="617" priority="611" operator="lessThan">
      <formula>0</formula>
    </cfRule>
  </conditionalFormatting>
  <conditionalFormatting sqref="DS3">
    <cfRule type="cellIs" dxfId="616" priority="610" operator="lessThan">
      <formula>0</formula>
    </cfRule>
  </conditionalFormatting>
  <conditionalFormatting sqref="DX3">
    <cfRule type="cellIs" dxfId="615" priority="609" operator="lessThan">
      <formula>0</formula>
    </cfRule>
  </conditionalFormatting>
  <conditionalFormatting sqref="EE3:EG3">
    <cfRule type="cellIs" dxfId="614" priority="608" operator="lessThan">
      <formula>0</formula>
    </cfRule>
  </conditionalFormatting>
  <conditionalFormatting sqref="DW3">
    <cfRule type="cellIs" dxfId="613" priority="607" operator="lessThan">
      <formula>0</formula>
    </cfRule>
  </conditionalFormatting>
  <conditionalFormatting sqref="DY3">
    <cfRule type="cellIs" dxfId="612" priority="606" operator="lessThan">
      <formula>0</formula>
    </cfRule>
  </conditionalFormatting>
  <conditionalFormatting sqref="EA3">
    <cfRule type="cellIs" dxfId="611" priority="605" operator="lessThan">
      <formula>0</formula>
    </cfRule>
  </conditionalFormatting>
  <conditionalFormatting sqref="EA3">
    <cfRule type="cellIs" dxfId="610" priority="604" operator="lessThan">
      <formula>0</formula>
    </cfRule>
  </conditionalFormatting>
  <conditionalFormatting sqref="EC3">
    <cfRule type="cellIs" dxfId="609" priority="602" operator="lessThan">
      <formula>0</formula>
    </cfRule>
  </conditionalFormatting>
  <conditionalFormatting sqref="EC3">
    <cfRule type="cellIs" dxfId="608" priority="603" operator="lessThan">
      <formula>0</formula>
    </cfRule>
  </conditionalFormatting>
  <conditionalFormatting sqref="DZ3">
    <cfRule type="cellIs" dxfId="607" priority="601" operator="lessThan">
      <formula>0</formula>
    </cfRule>
  </conditionalFormatting>
  <conditionalFormatting sqref="EB3">
    <cfRule type="cellIs" dxfId="606" priority="600" operator="lessThan">
      <formula>0</formula>
    </cfRule>
  </conditionalFormatting>
  <conditionalFormatting sqref="ED3">
    <cfRule type="cellIs" dxfId="605" priority="599" operator="lessThan">
      <formula>0</formula>
    </cfRule>
  </conditionalFormatting>
  <conditionalFormatting sqref="DL3 DC3:DD3">
    <cfRule type="cellIs" dxfId="604" priority="598" operator="lessThan">
      <formula>0</formula>
    </cfRule>
  </conditionalFormatting>
  <conditionalFormatting sqref="AI3 AA3 AO3 AQ3 AU3 AW3 AY3 BA3 BC3 BE3 BG3 BI3:BK3">
    <cfRule type="cellIs" dxfId="603" priority="597" operator="lessThan">
      <formula>0</formula>
    </cfRule>
  </conditionalFormatting>
  <conditionalFormatting sqref="AK3">
    <cfRule type="cellIs" dxfId="602" priority="596" operator="lessThan">
      <formula>0</formula>
    </cfRule>
  </conditionalFormatting>
  <conditionalFormatting sqref="AM3 CN3:CO3 CQ3:CR3 CT3:CU3 CW3:CX3 CZ3 CK3 CE3 BM3">
    <cfRule type="cellIs" dxfId="601" priority="595" operator="lessThan">
      <formula>0</formula>
    </cfRule>
  </conditionalFormatting>
  <conditionalFormatting sqref="DA3">
    <cfRule type="cellIs" dxfId="600" priority="594" operator="lessThan">
      <formula>0</formula>
    </cfRule>
  </conditionalFormatting>
  <conditionalFormatting sqref="BO3">
    <cfRule type="cellIs" dxfId="599" priority="593" operator="lessThan">
      <formula>0</formula>
    </cfRule>
  </conditionalFormatting>
  <conditionalFormatting sqref="BQ3">
    <cfRule type="cellIs" dxfId="598" priority="592" operator="lessThan">
      <formula>0</formula>
    </cfRule>
  </conditionalFormatting>
  <conditionalFormatting sqref="BT3:BV3">
    <cfRule type="cellIs" dxfId="597" priority="591" operator="lessThan">
      <formula>0</formula>
    </cfRule>
  </conditionalFormatting>
  <conditionalFormatting sqref="BS3">
    <cfRule type="cellIs" dxfId="596" priority="590" operator="lessThan">
      <formula>0</formula>
    </cfRule>
  </conditionalFormatting>
  <conditionalFormatting sqref="BX3">
    <cfRule type="cellIs" dxfId="595" priority="589" operator="lessThan">
      <formula>0</formula>
    </cfRule>
  </conditionalFormatting>
  <conditionalFormatting sqref="BZ3">
    <cfRule type="cellIs" dxfId="594" priority="588" operator="lessThan">
      <formula>0</formula>
    </cfRule>
  </conditionalFormatting>
  <conditionalFormatting sqref="CB3">
    <cfRule type="cellIs" dxfId="593" priority="587" operator="lessThan">
      <formula>0</formula>
    </cfRule>
  </conditionalFormatting>
  <conditionalFormatting sqref="CC3">
    <cfRule type="cellIs" dxfId="592" priority="586" operator="lessThan">
      <formula>0</formula>
    </cfRule>
  </conditionalFormatting>
  <conditionalFormatting sqref="CG3">
    <cfRule type="cellIs" dxfId="591" priority="585" operator="lessThan">
      <formula>0</formula>
    </cfRule>
  </conditionalFormatting>
  <conditionalFormatting sqref="CI3">
    <cfRule type="cellIs" dxfId="590" priority="584" operator="lessThan">
      <formula>0</formula>
    </cfRule>
  </conditionalFormatting>
  <conditionalFormatting sqref="U5:U10 G7:H10 G6 B5:B10 D5:D10 R4:R10 O8:O10">
    <cfRule type="cellIs" dxfId="589" priority="583" operator="lessThan">
      <formula>0</formula>
    </cfRule>
  </conditionalFormatting>
  <conditionalFormatting sqref="S4:S10">
    <cfRule type="cellIs" dxfId="588" priority="582" operator="lessThan">
      <formula>0</formula>
    </cfRule>
  </conditionalFormatting>
  <conditionalFormatting sqref="Q5:Q10">
    <cfRule type="cellIs" dxfId="587" priority="581" operator="lessThan">
      <formula>0</formula>
    </cfRule>
  </conditionalFormatting>
  <conditionalFormatting sqref="L7:L10">
    <cfRule type="cellIs" dxfId="586" priority="580" operator="lessThan">
      <formula>0</formula>
    </cfRule>
  </conditionalFormatting>
  <conditionalFormatting sqref="R4:R10">
    <cfRule type="cellIs" dxfId="585" priority="579" operator="lessThan">
      <formula>0</formula>
    </cfRule>
  </conditionalFormatting>
  <conditionalFormatting sqref="I8:I10">
    <cfRule type="cellIs" dxfId="584" priority="578" operator="lessThan">
      <formula>0</formula>
    </cfRule>
  </conditionalFormatting>
  <conditionalFormatting sqref="M8:M10">
    <cfRule type="cellIs" dxfId="583" priority="577" operator="lessThan">
      <formula>0</formula>
    </cfRule>
  </conditionalFormatting>
  <conditionalFormatting sqref="D4">
    <cfRule type="cellIs" dxfId="582" priority="575" operator="lessThan">
      <formula>0</formula>
    </cfRule>
  </conditionalFormatting>
  <conditionalFormatting sqref="Q4">
    <cfRule type="cellIs" dxfId="581" priority="574" operator="lessThan">
      <formula>0</formula>
    </cfRule>
  </conditionalFormatting>
  <conditionalFormatting sqref="B4 U4">
    <cfRule type="cellIs" dxfId="580" priority="576" operator="lessThan">
      <formula>0</formula>
    </cfRule>
  </conditionalFormatting>
  <conditionalFormatting sqref="H6:I6">
    <cfRule type="cellIs" dxfId="579" priority="573" operator="lessThan">
      <formula>0</formula>
    </cfRule>
  </conditionalFormatting>
  <conditionalFormatting sqref="K6">
    <cfRule type="cellIs" dxfId="578" priority="572" operator="lessThan">
      <formula>0</formula>
    </cfRule>
  </conditionalFormatting>
  <conditionalFormatting sqref="M6">
    <cfRule type="cellIs" dxfId="577" priority="571" operator="lessThan">
      <formula>0</formula>
    </cfRule>
  </conditionalFormatting>
  <conditionalFormatting sqref="O6">
    <cfRule type="cellIs" dxfId="576" priority="570" operator="lessThan">
      <formula>0</formula>
    </cfRule>
  </conditionalFormatting>
  <conditionalFormatting sqref="I7">
    <cfRule type="cellIs" dxfId="575" priority="569" operator="lessThan">
      <formula>0</formula>
    </cfRule>
  </conditionalFormatting>
  <conditionalFormatting sqref="K7:K10">
    <cfRule type="cellIs" dxfId="574" priority="568" operator="lessThan">
      <formula>0</formula>
    </cfRule>
  </conditionalFormatting>
  <conditionalFormatting sqref="M7">
    <cfRule type="cellIs" dxfId="573" priority="567" operator="lessThan">
      <formula>0</formula>
    </cfRule>
  </conditionalFormatting>
  <conditionalFormatting sqref="O7">
    <cfRule type="cellIs" dxfId="572" priority="566" operator="lessThan">
      <formula>0</formula>
    </cfRule>
  </conditionalFormatting>
  <conditionalFormatting sqref="E4:E10 C4:C10">
    <cfRule type="cellIs" dxfId="571" priority="565" operator="lessThan">
      <formula>0</formula>
    </cfRule>
  </conditionalFormatting>
  <conditionalFormatting sqref="F4:F10">
    <cfRule type="cellIs" dxfId="570" priority="564" operator="lessThan">
      <formula>0</formula>
    </cfRule>
  </conditionalFormatting>
  <conditionalFormatting sqref="J4:J10">
    <cfRule type="cellIs" dxfId="569" priority="563" operator="lessThan">
      <formula>0</formula>
    </cfRule>
  </conditionalFormatting>
  <conditionalFormatting sqref="L5:L6">
    <cfRule type="cellIs" dxfId="568" priority="562" operator="lessThan">
      <formula>0</formula>
    </cfRule>
  </conditionalFormatting>
  <conditionalFormatting sqref="N4:N10">
    <cfRule type="cellIs" dxfId="567" priority="561" operator="lessThan">
      <formula>0</formula>
    </cfRule>
  </conditionalFormatting>
  <conditionalFormatting sqref="P4:P10">
    <cfRule type="cellIs" dxfId="566" priority="560" operator="lessThan">
      <formula>0</formula>
    </cfRule>
  </conditionalFormatting>
  <conditionalFormatting sqref="T4:T10">
    <cfRule type="cellIs" dxfId="565" priority="559" operator="lessThan">
      <formula>0</formula>
    </cfRule>
  </conditionalFormatting>
  <conditionalFormatting sqref="T4:T10">
    <cfRule type="cellIs" dxfId="564" priority="558" operator="lessThan">
      <formula>0</formula>
    </cfRule>
  </conditionalFormatting>
  <conditionalFormatting sqref="G4:H5">
    <cfRule type="cellIs" dxfId="563" priority="557" operator="lessThan">
      <formula>0</formula>
    </cfRule>
  </conditionalFormatting>
  <conditionalFormatting sqref="I4:I5">
    <cfRule type="cellIs" dxfId="562" priority="556" operator="lessThan">
      <formula>0</formula>
    </cfRule>
  </conditionalFormatting>
  <conditionalFormatting sqref="L4">
    <cfRule type="cellIs" dxfId="561" priority="555" operator="lessThan">
      <formula>0</formula>
    </cfRule>
  </conditionalFormatting>
  <conditionalFormatting sqref="V4:V10">
    <cfRule type="cellIs" dxfId="560" priority="554" operator="lessThan">
      <formula>0</formula>
    </cfRule>
  </conditionalFormatting>
  <conditionalFormatting sqref="V4:V10">
    <cfRule type="cellIs" dxfId="559" priority="553" operator="lessThan">
      <formula>0</formula>
    </cfRule>
  </conditionalFormatting>
  <conditionalFormatting sqref="K5">
    <cfRule type="cellIs" dxfId="558" priority="552" operator="lessThan">
      <formula>0</formula>
    </cfRule>
  </conditionalFormatting>
  <conditionalFormatting sqref="M5">
    <cfRule type="cellIs" dxfId="557" priority="551" operator="lessThan">
      <formula>0</formula>
    </cfRule>
  </conditionalFormatting>
  <conditionalFormatting sqref="O5">
    <cfRule type="cellIs" dxfId="556" priority="550" operator="lessThan">
      <formula>0</formula>
    </cfRule>
  </conditionalFormatting>
  <conditionalFormatting sqref="K4">
    <cfRule type="cellIs" dxfId="555" priority="549" operator="lessThan">
      <formula>0</formula>
    </cfRule>
  </conditionalFormatting>
  <conditionalFormatting sqref="M4">
    <cfRule type="cellIs" dxfId="554" priority="548" operator="lessThan">
      <formula>0</formula>
    </cfRule>
  </conditionalFormatting>
  <conditionalFormatting sqref="O4">
    <cfRule type="cellIs" dxfId="553" priority="547" operator="lessThan">
      <formula>0</formula>
    </cfRule>
  </conditionalFormatting>
  <conditionalFormatting sqref="W6:W10">
    <cfRule type="cellIs" dxfId="552" priority="546" operator="lessThan">
      <formula>0</formula>
    </cfRule>
  </conditionalFormatting>
  <conditionalFormatting sqref="W5">
    <cfRule type="cellIs" dxfId="551" priority="545" operator="lessThan">
      <formula>0</formula>
    </cfRule>
  </conditionalFormatting>
  <conditionalFormatting sqref="W4">
    <cfRule type="cellIs" dxfId="550" priority="544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549" priority="543" operator="lessThan">
      <formula>0</formula>
    </cfRule>
  </conditionalFormatting>
  <conditionalFormatting sqref="EE5:EE6 EE9:EE10">
    <cfRule type="cellIs" dxfId="548" priority="542" operator="lessThan">
      <formula>0</formula>
    </cfRule>
  </conditionalFormatting>
  <conditionalFormatting sqref="EC10">
    <cfRule type="cellIs" dxfId="547" priority="541" operator="lessThan">
      <formula>0</formula>
    </cfRule>
  </conditionalFormatting>
  <conditionalFormatting sqref="Z5:Z10">
    <cfRule type="cellIs" dxfId="546" priority="540" operator="lessThan">
      <formula>0</formula>
    </cfRule>
  </conditionalFormatting>
  <conditionalFormatting sqref="CY5:CY6 BP5:BP9 AV8:AV10 DQ8:DQ10 DT8:DT10 AZ5:AZ10">
    <cfRule type="cellIs" dxfId="545" priority="539" operator="lessThan">
      <formula>0</formula>
    </cfRule>
  </conditionalFormatting>
  <conditionalFormatting sqref="X5:X10">
    <cfRule type="cellIs" dxfId="544" priority="538" operator="lessThan">
      <formula>0</formula>
    </cfRule>
  </conditionalFormatting>
  <conditionalFormatting sqref="DW5:DW10 DY5:DY10 EA5:EA10">
    <cfRule type="cellIs" dxfId="543" priority="537" operator="lessThan">
      <formula>0</formula>
    </cfRule>
  </conditionalFormatting>
  <conditionalFormatting sqref="EA5:EA10">
    <cfRule type="cellIs" dxfId="542" priority="536" operator="lessThan">
      <formula>0</formula>
    </cfRule>
  </conditionalFormatting>
  <conditionalFormatting sqref="EF5:EF6 EF9:EF10">
    <cfRule type="cellIs" dxfId="541" priority="535" operator="lessThan">
      <formula>0</formula>
    </cfRule>
  </conditionalFormatting>
  <conditionalFormatting sqref="DN5:DN7">
    <cfRule type="cellIs" dxfId="540" priority="534" operator="lessThan">
      <formula>0</formula>
    </cfRule>
  </conditionalFormatting>
  <conditionalFormatting sqref="DK5:DK9">
    <cfRule type="cellIs" dxfId="539" priority="533" operator="lessThan">
      <formula>0</formula>
    </cfRule>
  </conditionalFormatting>
  <conditionalFormatting sqref="DH5:DH7">
    <cfRule type="cellIs" dxfId="538" priority="532" operator="lessThan">
      <formula>0</formula>
    </cfRule>
  </conditionalFormatting>
  <conditionalFormatting sqref="DQ5:DQ7">
    <cfRule type="cellIs" dxfId="537" priority="531" operator="lessThan">
      <formula>0</formula>
    </cfRule>
  </conditionalFormatting>
  <conditionalFormatting sqref="DT5:DT7">
    <cfRule type="cellIs" dxfId="536" priority="530" operator="lessThan">
      <formula>0</formula>
    </cfRule>
  </conditionalFormatting>
  <conditionalFormatting sqref="EC9">
    <cfRule type="cellIs" dxfId="535" priority="529" operator="lessThan">
      <formula>0</formula>
    </cfRule>
  </conditionalFormatting>
  <conditionalFormatting sqref="EC6">
    <cfRule type="cellIs" dxfId="534" priority="528" operator="lessThan">
      <formula>0</formula>
    </cfRule>
  </conditionalFormatting>
  <conditionalFormatting sqref="EC7">
    <cfRule type="cellIs" dxfId="533" priority="527" operator="lessThan">
      <formula>0</formula>
    </cfRule>
  </conditionalFormatting>
  <conditionalFormatting sqref="EE7">
    <cfRule type="cellIs" dxfId="532" priority="526" operator="lessThan">
      <formula>0</formula>
    </cfRule>
  </conditionalFormatting>
  <conditionalFormatting sqref="EC8">
    <cfRule type="cellIs" dxfId="531" priority="524" operator="lessThan">
      <formula>0</formula>
    </cfRule>
  </conditionalFormatting>
  <conditionalFormatting sqref="EE8">
    <cfRule type="cellIs" dxfId="530" priority="523" operator="lessThan">
      <formula>0</formula>
    </cfRule>
  </conditionalFormatting>
  <conditionalFormatting sqref="EF8">
    <cfRule type="cellIs" dxfId="529" priority="522" operator="lessThan">
      <formula>0</formula>
    </cfRule>
  </conditionalFormatting>
  <conditionalFormatting sqref="EF7">
    <cfRule type="cellIs" dxfId="528" priority="525" operator="lessThan">
      <formula>0</formula>
    </cfRule>
  </conditionalFormatting>
  <conditionalFormatting sqref="AK4:AK10">
    <cfRule type="cellIs" dxfId="527" priority="521" operator="lessThan">
      <formula>0</formula>
    </cfRule>
  </conditionalFormatting>
  <conditionalFormatting sqref="Z4">
    <cfRule type="cellIs" dxfId="526" priority="519" operator="lessThan">
      <formula>0</formula>
    </cfRule>
  </conditionalFormatting>
  <conditionalFormatting sqref="CM4">
    <cfRule type="cellIs" dxfId="525" priority="518" operator="lessThan">
      <formula>0</formula>
    </cfRule>
  </conditionalFormatting>
  <conditionalFormatting sqref="X4 AD4 AH4 AL4 AN4 AP4 AR4 AZ4 BB4 BD4 BF4 BH4 BL4 BN4 BP4 BR4 CA4 DB4 DE4 DH4 DK4 DN4 DQ4 DT4 DW4 DY4 EA4 CY4">
    <cfRule type="cellIs" dxfId="524" priority="517" operator="lessThan">
      <formula>0</formula>
    </cfRule>
  </conditionalFormatting>
  <conditionalFormatting sqref="EE4:EF4">
    <cfRule type="cellIs" dxfId="523" priority="516" operator="lessThan">
      <formula>0</formula>
    </cfRule>
  </conditionalFormatting>
  <conditionalFormatting sqref="BY4 AB4 AF4:AG4 AJ4 CL4 CH4 CF4:CF5 CD4:CD5">
    <cfRule type="cellIs" dxfId="522" priority="520" operator="lessThan">
      <formula>0</formula>
    </cfRule>
  </conditionalFormatting>
  <conditionalFormatting sqref="AX4:AX10">
    <cfRule type="cellIs" dxfId="521" priority="515" operator="lessThan">
      <formula>0</formula>
    </cfRule>
  </conditionalFormatting>
  <conditionalFormatting sqref="AV4:AV7">
    <cfRule type="cellIs" dxfId="520" priority="514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519" priority="513" operator="lessThan">
      <formula>0</formula>
    </cfRule>
  </conditionalFormatting>
  <conditionalFormatting sqref="BS4:BS8">
    <cfRule type="cellIs" dxfId="518" priority="512" operator="lessThan">
      <formula>0</formula>
    </cfRule>
  </conditionalFormatting>
  <conditionalFormatting sqref="EG6:EG10">
    <cfRule type="cellIs" dxfId="517" priority="511" operator="lessThan">
      <formula>0</formula>
    </cfRule>
  </conditionalFormatting>
  <conditionalFormatting sqref="DA4:DA10">
    <cfRule type="cellIs" dxfId="516" priority="510" operator="lessThan">
      <formula>0</formula>
    </cfRule>
  </conditionalFormatting>
  <conditionalFormatting sqref="DV4:DV10">
    <cfRule type="cellIs" dxfId="515" priority="509" operator="lessThan">
      <formula>0</formula>
    </cfRule>
  </conditionalFormatting>
  <conditionalFormatting sqref="CC4:CC8">
    <cfRule type="cellIs" dxfId="514" priority="508" operator="lessThan">
      <formula>0</formula>
    </cfRule>
  </conditionalFormatting>
  <conditionalFormatting sqref="BO4:BO8">
    <cfRule type="cellIs" dxfId="513" priority="507" operator="lessThan">
      <formula>0</formula>
    </cfRule>
  </conditionalFormatting>
  <conditionalFormatting sqref="BZ4:BZ8">
    <cfRule type="cellIs" dxfId="512" priority="506" operator="lessThan">
      <formula>0</formula>
    </cfRule>
  </conditionalFormatting>
  <conditionalFormatting sqref="DG4:DG10">
    <cfRule type="cellIs" dxfId="511" priority="505" operator="lessThan">
      <formula>0</formula>
    </cfRule>
  </conditionalFormatting>
  <conditionalFormatting sqref="DJ4:DJ10">
    <cfRule type="cellIs" dxfId="510" priority="504" operator="lessThan">
      <formula>0</formula>
    </cfRule>
  </conditionalFormatting>
  <conditionalFormatting sqref="DM4:DM10">
    <cfRule type="cellIs" dxfId="509" priority="503" operator="lessThan">
      <formula>0</formula>
    </cfRule>
  </conditionalFormatting>
  <conditionalFormatting sqref="DP4:DP10">
    <cfRule type="cellIs" dxfId="508" priority="502" operator="lessThan">
      <formula>0</formula>
    </cfRule>
  </conditionalFormatting>
  <conditionalFormatting sqref="DS4:DS10">
    <cfRule type="cellIs" dxfId="507" priority="501" operator="lessThan">
      <formula>0</formula>
    </cfRule>
  </conditionalFormatting>
  <conditionalFormatting sqref="DZ4:DZ10">
    <cfRule type="cellIs" dxfId="506" priority="500" operator="lessThan">
      <formula>0</formula>
    </cfRule>
  </conditionalFormatting>
  <conditionalFormatting sqref="EB4:EB10">
    <cfRule type="cellIs" dxfId="505" priority="499" operator="lessThan">
      <formula>0</formula>
    </cfRule>
  </conditionalFormatting>
  <conditionalFormatting sqref="ED4:ED10">
    <cfRule type="cellIs" dxfId="504" priority="498" operator="lessThan">
      <formula>0</formula>
    </cfRule>
  </conditionalFormatting>
  <conditionalFormatting sqref="BO9:BO10">
    <cfRule type="cellIs" dxfId="503" priority="497" operator="lessThan">
      <formula>0</formula>
    </cfRule>
  </conditionalFormatting>
  <conditionalFormatting sqref="BQ9:BQ10">
    <cfRule type="cellIs" dxfId="502" priority="496" operator="lessThan">
      <formula>0</formula>
    </cfRule>
  </conditionalFormatting>
  <conditionalFormatting sqref="BT9:BV10">
    <cfRule type="cellIs" dxfId="501" priority="495" operator="lessThan">
      <formula>0</formula>
    </cfRule>
  </conditionalFormatting>
  <conditionalFormatting sqref="BS9:BS10">
    <cfRule type="cellIs" dxfId="500" priority="494" operator="lessThan">
      <formula>0</formula>
    </cfRule>
  </conditionalFormatting>
  <conditionalFormatting sqref="BX9:BX10">
    <cfRule type="cellIs" dxfId="499" priority="493" operator="lessThan">
      <formula>0</formula>
    </cfRule>
  </conditionalFormatting>
  <conditionalFormatting sqref="BZ9:BZ10">
    <cfRule type="cellIs" dxfId="498" priority="492" operator="lessThan">
      <formula>0</formula>
    </cfRule>
  </conditionalFormatting>
  <conditionalFormatting sqref="CB9:CB10">
    <cfRule type="cellIs" dxfId="497" priority="491" operator="lessThan">
      <formula>0</formula>
    </cfRule>
  </conditionalFormatting>
  <conditionalFormatting sqref="CC9:CC10">
    <cfRule type="cellIs" dxfId="496" priority="490" operator="lessThan">
      <formula>0</formula>
    </cfRule>
  </conditionalFormatting>
  <conditionalFormatting sqref="CG4:CG8">
    <cfRule type="cellIs" dxfId="495" priority="489" operator="lessThan">
      <formula>0</formula>
    </cfRule>
  </conditionalFormatting>
  <conditionalFormatting sqref="CG9:CG10">
    <cfRule type="cellIs" dxfId="494" priority="488" operator="lessThan">
      <formula>0</formula>
    </cfRule>
  </conditionalFormatting>
  <conditionalFormatting sqref="CI9:CI10">
    <cfRule type="cellIs" dxfId="493" priority="487" operator="lessThan">
      <formula>0</formula>
    </cfRule>
  </conditionalFormatting>
  <conditionalFormatting sqref="CV4:CV10 BI4 BA4:BA8 AO4:AO7">
    <cfRule type="cellIs" dxfId="492" priority="486" operator="lessThan">
      <formula>0</formula>
    </cfRule>
  </conditionalFormatting>
  <conditionalFormatting sqref="EG4:EG5">
    <cfRule type="cellIs" dxfId="491" priority="485" operator="lessThan">
      <formula>0</formula>
    </cfRule>
  </conditionalFormatting>
  <conditionalFormatting sqref="EC4:EC5">
    <cfRule type="cellIs" dxfId="490" priority="483" operator="lessThan">
      <formula>0</formula>
    </cfRule>
  </conditionalFormatting>
  <conditionalFormatting sqref="EC4:EC5">
    <cfRule type="cellIs" dxfId="489" priority="484" operator="lessThan">
      <formula>0</formula>
    </cfRule>
  </conditionalFormatting>
  <conditionalFormatting sqref="CT4:CT8">
    <cfRule type="cellIs" dxfId="488" priority="482" operator="lessThan">
      <formula>0</formula>
    </cfRule>
  </conditionalFormatting>
  <conditionalFormatting sqref="CS4:CS8">
    <cfRule type="cellIs" dxfId="487" priority="481" operator="lessThan">
      <formula>0</formula>
    </cfRule>
  </conditionalFormatting>
  <conditionalFormatting sqref="BW4:BW10">
    <cfRule type="cellIs" dxfId="486" priority="480" operator="lessThan">
      <formula>0</formula>
    </cfRule>
  </conditionalFormatting>
  <conditionalFormatting sqref="AT4:AT10">
    <cfRule type="cellIs" dxfId="485" priority="479" operator="lessThan">
      <formula>0</formula>
    </cfRule>
  </conditionalFormatting>
  <conditionalFormatting sqref="W11:W15">
    <cfRule type="cellIs" dxfId="484" priority="478" operator="lessThan">
      <formula>0</formula>
    </cfRule>
  </conditionalFormatting>
  <conditionalFormatting sqref="U16 G16:H16 B16 D16 R16">
    <cfRule type="cellIs" dxfId="483" priority="477" operator="lessThan">
      <formula>0</formula>
    </cfRule>
  </conditionalFormatting>
  <conditionalFormatting sqref="I16">
    <cfRule type="cellIs" dxfId="482" priority="476" operator="lessThan">
      <formula>0</formula>
    </cfRule>
  </conditionalFormatting>
  <conditionalFormatting sqref="S16">
    <cfRule type="cellIs" dxfId="481" priority="475" operator="lessThan">
      <formula>0</formula>
    </cfRule>
  </conditionalFormatting>
  <conditionalFormatting sqref="K16">
    <cfRule type="cellIs" dxfId="480" priority="474" operator="lessThan">
      <formula>0</formula>
    </cfRule>
  </conditionalFormatting>
  <conditionalFormatting sqref="O16">
    <cfRule type="cellIs" dxfId="479" priority="473" operator="lessThan">
      <formula>0</formula>
    </cfRule>
  </conditionalFormatting>
  <conditionalFormatting sqref="Q16">
    <cfRule type="cellIs" dxfId="478" priority="472" operator="lessThan">
      <formula>0</formula>
    </cfRule>
  </conditionalFormatting>
  <conditionalFormatting sqref="L16">
    <cfRule type="cellIs" dxfId="477" priority="471" operator="lessThan">
      <formula>0</formula>
    </cfRule>
  </conditionalFormatting>
  <conditionalFormatting sqref="R16">
    <cfRule type="cellIs" dxfId="476" priority="470" operator="lessThan">
      <formula>0</formula>
    </cfRule>
  </conditionalFormatting>
  <conditionalFormatting sqref="C16 E16">
    <cfRule type="cellIs" dxfId="475" priority="469" operator="lessThan">
      <formula>0</formula>
    </cfRule>
  </conditionalFormatting>
  <conditionalFormatting sqref="F16">
    <cfRule type="cellIs" dxfId="474" priority="468" operator="lessThan">
      <formula>0</formula>
    </cfRule>
  </conditionalFormatting>
  <conditionalFormatting sqref="J16">
    <cfRule type="cellIs" dxfId="473" priority="467" operator="lessThan">
      <formula>0</formula>
    </cfRule>
  </conditionalFormatting>
  <conditionalFormatting sqref="N16">
    <cfRule type="cellIs" dxfId="472" priority="466" operator="lessThan">
      <formula>0</formula>
    </cfRule>
  </conditionalFormatting>
  <conditionalFormatting sqref="P16">
    <cfRule type="cellIs" dxfId="471" priority="465" operator="lessThan">
      <formula>0</formula>
    </cfRule>
  </conditionalFormatting>
  <conditionalFormatting sqref="T16">
    <cfRule type="cellIs" dxfId="470" priority="464" operator="lessThan">
      <formula>0</formula>
    </cfRule>
  </conditionalFormatting>
  <conditionalFormatting sqref="T16">
    <cfRule type="cellIs" dxfId="469" priority="463" operator="lessThan">
      <formula>0</formula>
    </cfRule>
  </conditionalFormatting>
  <conditionalFormatting sqref="M16">
    <cfRule type="cellIs" dxfId="468" priority="462" operator="lessThan">
      <formula>0</formula>
    </cfRule>
  </conditionalFormatting>
  <conditionalFormatting sqref="V16">
    <cfRule type="cellIs" dxfId="467" priority="461" operator="lessThan">
      <formula>0</formula>
    </cfRule>
  </conditionalFormatting>
  <conditionalFormatting sqref="V16">
    <cfRule type="cellIs" dxfId="466" priority="460" operator="lessThan">
      <formula>0</formula>
    </cfRule>
  </conditionalFormatting>
  <conditionalFormatting sqref="W16:W19">
    <cfRule type="cellIs" dxfId="465" priority="459" operator="lessThan">
      <formula>0</formula>
    </cfRule>
  </conditionalFormatting>
  <conditionalFormatting sqref="EP16 EK16">
    <cfRule type="cellIs" dxfId="464" priority="425" operator="lessThan">
      <formula>0</formula>
    </cfRule>
  </conditionalFormatting>
  <conditionalFormatting sqref="EP16">
    <cfRule type="cellIs" dxfId="463" priority="424" operator="lessThan">
      <formula>0</formula>
    </cfRule>
  </conditionalFormatting>
  <conditionalFormatting sqref="EP16">
    <cfRule type="cellIs" dxfId="462" priority="423" operator="lessThan">
      <formula>0</formula>
    </cfRule>
  </conditionalFormatting>
  <conditionalFormatting sqref="ER16:ES16">
    <cfRule type="cellIs" dxfId="461" priority="422" operator="lessThan">
      <formula>0</formula>
    </cfRule>
  </conditionalFormatting>
  <conditionalFormatting sqref="EJ16 EL16 EN16">
    <cfRule type="cellIs" dxfId="460" priority="418" operator="lessThan">
      <formula>0</formula>
    </cfRule>
  </conditionalFormatting>
  <conditionalFormatting sqref="EN16">
    <cfRule type="cellIs" dxfId="459" priority="417" operator="lessThan">
      <formula>0</formula>
    </cfRule>
  </conditionalFormatting>
  <conditionalFormatting sqref="EM16">
    <cfRule type="cellIs" dxfId="458" priority="407" operator="lessThan">
      <formula>0</formula>
    </cfRule>
  </conditionalFormatting>
  <conditionalFormatting sqref="EO16">
    <cfRule type="cellIs" dxfId="457" priority="406" operator="lessThan">
      <formula>0</formula>
    </cfRule>
  </conditionalFormatting>
  <conditionalFormatting sqref="EQ16">
    <cfRule type="cellIs" dxfId="456" priority="405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455" priority="391" operator="lessThan">
      <formula>0</formula>
    </cfRule>
  </conditionalFormatting>
  <conditionalFormatting sqref="EF16">
    <cfRule type="cellIs" dxfId="454" priority="390" operator="lessThan">
      <formula>0</formula>
    </cfRule>
  </conditionalFormatting>
  <conditionalFormatting sqref="EF16">
    <cfRule type="cellIs" dxfId="453" priority="389" operator="lessThan">
      <formula>0</formula>
    </cfRule>
  </conditionalFormatting>
  <conditionalFormatting sqref="EH16:EI16">
    <cfRule type="cellIs" dxfId="452" priority="388" operator="lessThan">
      <formula>0</formula>
    </cfRule>
  </conditionalFormatting>
  <conditionalFormatting sqref="AC16">
    <cfRule type="cellIs" dxfId="451" priority="387" operator="lessThan">
      <formula>0</formula>
    </cfRule>
  </conditionalFormatting>
  <conditionalFormatting sqref="AY16 BA16 BC16">
    <cfRule type="cellIs" dxfId="450" priority="386" operator="lessThan">
      <formula>0</formula>
    </cfRule>
  </conditionalFormatting>
  <conditionalFormatting sqref="AA16">
    <cfRule type="cellIs" dxfId="449" priority="385" operator="lessThan">
      <formula>0</formula>
    </cfRule>
  </conditionalFormatting>
  <conditionalFormatting sqref="DZ16 EB16 ED16">
    <cfRule type="cellIs" dxfId="448" priority="384" operator="lessThan">
      <formula>0</formula>
    </cfRule>
  </conditionalFormatting>
  <conditionalFormatting sqref="ED16">
    <cfRule type="cellIs" dxfId="447" priority="383" operator="lessThan">
      <formula>0</formula>
    </cfRule>
  </conditionalFormatting>
  <conditionalFormatting sqref="AN16">
    <cfRule type="cellIs" dxfId="446" priority="382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445" priority="381" operator="lessThan">
      <formula>0</formula>
    </cfRule>
  </conditionalFormatting>
  <conditionalFormatting sqref="DD16">
    <cfRule type="cellIs" dxfId="444" priority="380" operator="lessThan">
      <formula>0</formula>
    </cfRule>
  </conditionalFormatting>
  <conditionalFormatting sqref="DY16">
    <cfRule type="cellIs" dxfId="443" priority="379" operator="lessThan">
      <formula>0</formula>
    </cfRule>
  </conditionalFormatting>
  <conditionalFormatting sqref="DJ16">
    <cfRule type="cellIs" dxfId="442" priority="378" operator="lessThan">
      <formula>0</formula>
    </cfRule>
  </conditionalFormatting>
  <conditionalFormatting sqref="DM16">
    <cfRule type="cellIs" dxfId="441" priority="377" operator="lessThan">
      <formula>0</formula>
    </cfRule>
  </conditionalFormatting>
  <conditionalFormatting sqref="DP16">
    <cfRule type="cellIs" dxfId="440" priority="376" operator="lessThan">
      <formula>0</formula>
    </cfRule>
  </conditionalFormatting>
  <conditionalFormatting sqref="DS16">
    <cfRule type="cellIs" dxfId="439" priority="375" operator="lessThan">
      <formula>0</formula>
    </cfRule>
  </conditionalFormatting>
  <conditionalFormatting sqref="DV16">
    <cfRule type="cellIs" dxfId="438" priority="374" operator="lessThan">
      <formula>0</formula>
    </cfRule>
  </conditionalFormatting>
  <conditionalFormatting sqref="EC16">
    <cfRule type="cellIs" dxfId="437" priority="373" operator="lessThan">
      <formula>0</formula>
    </cfRule>
  </conditionalFormatting>
  <conditionalFormatting sqref="EE16">
    <cfRule type="cellIs" dxfId="436" priority="372" operator="lessThan">
      <formula>0</formula>
    </cfRule>
  </conditionalFormatting>
  <conditionalFormatting sqref="BR16">
    <cfRule type="cellIs" dxfId="435" priority="370" operator="lessThan">
      <formula>0</formula>
    </cfRule>
  </conditionalFormatting>
  <conditionalFormatting sqref="BT16">
    <cfRule type="cellIs" dxfId="434" priority="369" operator="lessThan">
      <formula>0</formula>
    </cfRule>
  </conditionalFormatting>
  <conditionalFormatting sqref="BW16:BY16">
    <cfRule type="cellIs" dxfId="433" priority="368" operator="lessThan">
      <formula>0</formula>
    </cfRule>
  </conditionalFormatting>
  <conditionalFormatting sqref="BV16">
    <cfRule type="cellIs" dxfId="432" priority="367" operator="lessThan">
      <formula>0</formula>
    </cfRule>
  </conditionalFormatting>
  <conditionalFormatting sqref="CA16">
    <cfRule type="cellIs" dxfId="431" priority="366" operator="lessThan">
      <formula>0</formula>
    </cfRule>
  </conditionalFormatting>
  <conditionalFormatting sqref="CC16">
    <cfRule type="cellIs" dxfId="430" priority="365" operator="lessThan">
      <formula>0</formula>
    </cfRule>
  </conditionalFormatting>
  <conditionalFormatting sqref="CE16">
    <cfRule type="cellIs" dxfId="429" priority="364" operator="lessThan">
      <formula>0</formula>
    </cfRule>
  </conditionalFormatting>
  <conditionalFormatting sqref="CF16">
    <cfRule type="cellIs" dxfId="428" priority="363" operator="lessThan">
      <formula>0</formula>
    </cfRule>
  </conditionalFormatting>
  <conditionalFormatting sqref="CJ16">
    <cfRule type="cellIs" dxfId="427" priority="362" operator="lessThan">
      <formula>0</formula>
    </cfRule>
  </conditionalFormatting>
  <conditionalFormatting sqref="CL16">
    <cfRule type="cellIs" dxfId="426" priority="361" operator="lessThan">
      <formula>0</formula>
    </cfRule>
  </conditionalFormatting>
  <conditionalFormatting sqref="Y16">
    <cfRule type="cellIs" dxfId="425" priority="360" operator="lessThan">
      <formula>0</formula>
    </cfRule>
  </conditionalFormatting>
  <conditionalFormatting sqref="BZ16">
    <cfRule type="cellIs" dxfId="424" priority="359" operator="lessThan">
      <formula>0</formula>
    </cfRule>
  </conditionalFormatting>
  <conditionalFormatting sqref="AW16">
    <cfRule type="cellIs" dxfId="423" priority="358" operator="lessThan">
      <formula>0</formula>
    </cfRule>
  </conditionalFormatting>
  <conditionalFormatting sqref="EM16 EH16">
    <cfRule type="cellIs" dxfId="422" priority="357" operator="lessThan">
      <formula>0</formula>
    </cfRule>
  </conditionalFormatting>
  <conditionalFormatting sqref="EM16">
    <cfRule type="cellIs" dxfId="421" priority="356" operator="lessThan">
      <formula>0</formula>
    </cfRule>
  </conditionalFormatting>
  <conditionalFormatting sqref="EM16">
    <cfRule type="cellIs" dxfId="420" priority="355" operator="lessThan">
      <formula>0</formula>
    </cfRule>
  </conditionalFormatting>
  <conditionalFormatting sqref="EO16:EP16">
    <cfRule type="cellIs" dxfId="419" priority="354" operator="lessThan">
      <formula>0</formula>
    </cfRule>
  </conditionalFormatting>
  <conditionalFormatting sqref="EI16 EK16">
    <cfRule type="cellIs" dxfId="418" priority="353" operator="lessThan">
      <formula>0</formula>
    </cfRule>
  </conditionalFormatting>
  <conditionalFormatting sqref="EK16">
    <cfRule type="cellIs" dxfId="417" priority="352" operator="lessThan">
      <formula>0</formula>
    </cfRule>
  </conditionalFormatting>
  <conditionalFormatting sqref="EJ16">
    <cfRule type="cellIs" dxfId="416" priority="351" operator="lessThan">
      <formula>0</formula>
    </cfRule>
  </conditionalFormatting>
  <conditionalFormatting sqref="EL16">
    <cfRule type="cellIs" dxfId="415" priority="350" operator="lessThan">
      <formula>0</formula>
    </cfRule>
  </conditionalFormatting>
  <conditionalFormatting sqref="EN16">
    <cfRule type="cellIs" dxfId="414" priority="349" operator="lessThan">
      <formula>0</formula>
    </cfRule>
  </conditionalFormatting>
  <conditionalFormatting sqref="EC16">
    <cfRule type="cellIs" dxfId="413" priority="348" operator="lessThan">
      <formula>0</formula>
    </cfRule>
  </conditionalFormatting>
  <conditionalFormatting sqref="EC16">
    <cfRule type="cellIs" dxfId="412" priority="347" operator="lessThan">
      <formula>0</formula>
    </cfRule>
  </conditionalFormatting>
  <conditionalFormatting sqref="EE16:EF16">
    <cfRule type="cellIs" dxfId="411" priority="346" operator="lessThan">
      <formula>0</formula>
    </cfRule>
  </conditionalFormatting>
  <conditionalFormatting sqref="Z16">
    <cfRule type="cellIs" dxfId="410" priority="345" operator="lessThan">
      <formula>0</formula>
    </cfRule>
  </conditionalFormatting>
  <conditionalFormatting sqref="AV16 AX16 AZ16">
    <cfRule type="cellIs" dxfId="409" priority="344" operator="lessThan">
      <formula>0</formula>
    </cfRule>
  </conditionalFormatting>
  <conditionalFormatting sqref="X16">
    <cfRule type="cellIs" dxfId="408" priority="343" operator="lessThan">
      <formula>0</formula>
    </cfRule>
  </conditionalFormatting>
  <conditionalFormatting sqref="DW16 DY16 EA16">
    <cfRule type="cellIs" dxfId="407" priority="342" operator="lessThan">
      <formula>0</formula>
    </cfRule>
  </conditionalFormatting>
  <conditionalFormatting sqref="EA16">
    <cfRule type="cellIs" dxfId="406" priority="341" operator="lessThan">
      <formula>0</formula>
    </cfRule>
  </conditionalFormatting>
  <conditionalFormatting sqref="AK16">
    <cfRule type="cellIs" dxfId="405" priority="340" operator="lessThan">
      <formula>0</formula>
    </cfRule>
  </conditionalFormatting>
  <conditionalFormatting sqref="DA16">
    <cfRule type="cellIs" dxfId="404" priority="339" operator="lessThan">
      <formula>0</formula>
    </cfRule>
  </conditionalFormatting>
  <conditionalFormatting sqref="DV16">
    <cfRule type="cellIs" dxfId="403" priority="338" operator="lessThan">
      <formula>0</formula>
    </cfRule>
  </conditionalFormatting>
  <conditionalFormatting sqref="DG16">
    <cfRule type="cellIs" dxfId="402" priority="337" operator="lessThan">
      <formula>0</formula>
    </cfRule>
  </conditionalFormatting>
  <conditionalFormatting sqref="DJ16">
    <cfRule type="cellIs" dxfId="401" priority="336" operator="lessThan">
      <formula>0</formula>
    </cfRule>
  </conditionalFormatting>
  <conditionalFormatting sqref="DM16">
    <cfRule type="cellIs" dxfId="400" priority="335" operator="lessThan">
      <formula>0</formula>
    </cfRule>
  </conditionalFormatting>
  <conditionalFormatting sqref="DP16">
    <cfRule type="cellIs" dxfId="399" priority="334" operator="lessThan">
      <formula>0</formula>
    </cfRule>
  </conditionalFormatting>
  <conditionalFormatting sqref="DS16">
    <cfRule type="cellIs" dxfId="398" priority="333" operator="lessThan">
      <formula>0</formula>
    </cfRule>
  </conditionalFormatting>
  <conditionalFormatting sqref="DZ16">
    <cfRule type="cellIs" dxfId="397" priority="332" operator="lessThan">
      <formula>0</formula>
    </cfRule>
  </conditionalFormatting>
  <conditionalFormatting sqref="EB16">
    <cfRule type="cellIs" dxfId="396" priority="331" operator="lessThan">
      <formula>0</formula>
    </cfRule>
  </conditionalFormatting>
  <conditionalFormatting sqref="ED16">
    <cfRule type="cellIs" dxfId="395" priority="330" operator="lessThan">
      <formula>0</formula>
    </cfRule>
  </conditionalFormatting>
  <conditionalFormatting sqref="BO16">
    <cfRule type="cellIs" dxfId="394" priority="329" operator="lessThan">
      <formula>0</formula>
    </cfRule>
  </conditionalFormatting>
  <conditionalFormatting sqref="BQ16">
    <cfRule type="cellIs" dxfId="393" priority="328" operator="lessThan">
      <formula>0</formula>
    </cfRule>
  </conditionalFormatting>
  <conditionalFormatting sqref="BT16:BV16">
    <cfRule type="cellIs" dxfId="392" priority="327" operator="lessThan">
      <formula>0</formula>
    </cfRule>
  </conditionalFormatting>
  <conditionalFormatting sqref="BS16">
    <cfRule type="cellIs" dxfId="391" priority="326" operator="lessThan">
      <formula>0</formula>
    </cfRule>
  </conditionalFormatting>
  <conditionalFormatting sqref="BX16">
    <cfRule type="cellIs" dxfId="390" priority="325" operator="lessThan">
      <formula>0</formula>
    </cfRule>
  </conditionalFormatting>
  <conditionalFormatting sqref="BZ16">
    <cfRule type="cellIs" dxfId="389" priority="324" operator="lessThan">
      <formula>0</formula>
    </cfRule>
  </conditionalFormatting>
  <conditionalFormatting sqref="CB16">
    <cfRule type="cellIs" dxfId="388" priority="323" operator="lessThan">
      <formula>0</formula>
    </cfRule>
  </conditionalFormatting>
  <conditionalFormatting sqref="CC16">
    <cfRule type="cellIs" dxfId="387" priority="322" operator="lessThan">
      <formula>0</formula>
    </cfRule>
  </conditionalFormatting>
  <conditionalFormatting sqref="CG16">
    <cfRule type="cellIs" dxfId="386" priority="321" operator="lessThan">
      <formula>0</formula>
    </cfRule>
  </conditionalFormatting>
  <conditionalFormatting sqref="CI16">
    <cfRule type="cellIs" dxfId="385" priority="320" operator="lessThan">
      <formula>0</formula>
    </cfRule>
  </conditionalFormatting>
  <conditionalFormatting sqref="BW16">
    <cfRule type="cellIs" dxfId="384" priority="319" operator="lessThan">
      <formula>0</formula>
    </cfRule>
  </conditionalFormatting>
  <conditionalFormatting sqref="AT16">
    <cfRule type="cellIs" dxfId="383" priority="318" operator="lessThan">
      <formula>0</formula>
    </cfRule>
  </conditionalFormatting>
  <conditionalFormatting sqref="U17 G17:H18 R17:R18">
    <cfRule type="cellIs" dxfId="382" priority="317" operator="lessThan">
      <formula>0</formula>
    </cfRule>
  </conditionalFormatting>
  <conditionalFormatting sqref="B17:B18">
    <cfRule type="cellIs" dxfId="381" priority="316" operator="lessThan">
      <formula>0</formula>
    </cfRule>
  </conditionalFormatting>
  <conditionalFormatting sqref="D17:D18">
    <cfRule type="cellIs" dxfId="380" priority="315" operator="lessThan">
      <formula>0</formula>
    </cfRule>
  </conditionalFormatting>
  <conditionalFormatting sqref="U18">
    <cfRule type="cellIs" dxfId="379" priority="314" operator="lessThan">
      <formula>0</formula>
    </cfRule>
  </conditionalFormatting>
  <conditionalFormatting sqref="I17:I18">
    <cfRule type="cellIs" dxfId="378" priority="313" operator="lessThan">
      <formula>0</formula>
    </cfRule>
  </conditionalFormatting>
  <conditionalFormatting sqref="S17:S18">
    <cfRule type="cellIs" dxfId="377" priority="312" operator="lessThan">
      <formula>0</formula>
    </cfRule>
  </conditionalFormatting>
  <conditionalFormatting sqref="K17">
    <cfRule type="cellIs" dxfId="376" priority="311" operator="lessThan">
      <formula>0</formula>
    </cfRule>
  </conditionalFormatting>
  <conditionalFormatting sqref="Q17:Q18">
    <cfRule type="cellIs" dxfId="375" priority="310" operator="lessThan">
      <formula>0</formula>
    </cfRule>
  </conditionalFormatting>
  <conditionalFormatting sqref="L17:L18">
    <cfRule type="cellIs" dxfId="374" priority="309" operator="lessThan">
      <formula>0</formula>
    </cfRule>
  </conditionalFormatting>
  <conditionalFormatting sqref="R17:R18">
    <cfRule type="cellIs" dxfId="373" priority="308" operator="lessThan">
      <formula>0</formula>
    </cfRule>
  </conditionalFormatting>
  <conditionalFormatting sqref="C17:C18 E17:E18">
    <cfRule type="cellIs" dxfId="372" priority="305" operator="lessThan">
      <formula>0</formula>
    </cfRule>
  </conditionalFormatting>
  <conditionalFormatting sqref="F17:F18">
    <cfRule type="cellIs" dxfId="371" priority="304" operator="lessThan">
      <formula>0</formula>
    </cfRule>
  </conditionalFormatting>
  <conditionalFormatting sqref="J17:J18">
    <cfRule type="cellIs" dxfId="370" priority="303" operator="lessThan">
      <formula>0</formula>
    </cfRule>
  </conditionalFormatting>
  <conditionalFormatting sqref="N17:N18">
    <cfRule type="cellIs" dxfId="369" priority="302" operator="lessThan">
      <formula>0</formula>
    </cfRule>
  </conditionalFormatting>
  <conditionalFormatting sqref="P17:P18">
    <cfRule type="cellIs" dxfId="368" priority="301" operator="lessThan">
      <formula>0</formula>
    </cfRule>
  </conditionalFormatting>
  <conditionalFormatting sqref="T17:T18">
    <cfRule type="cellIs" dxfId="367" priority="300" operator="lessThan">
      <formula>0</formula>
    </cfRule>
  </conditionalFormatting>
  <conditionalFormatting sqref="T17:T18">
    <cfRule type="cellIs" dxfId="366" priority="299" operator="lessThan">
      <formula>0</formula>
    </cfRule>
  </conditionalFormatting>
  <conditionalFormatting sqref="M18">
    <cfRule type="cellIs" dxfId="365" priority="298" operator="lessThan">
      <formula>0</formula>
    </cfRule>
  </conditionalFormatting>
  <conditionalFormatting sqref="V17:V19">
    <cfRule type="cellIs" dxfId="364" priority="297" operator="lessThan">
      <formula>0</formula>
    </cfRule>
  </conditionalFormatting>
  <conditionalFormatting sqref="V17:V19">
    <cfRule type="cellIs" dxfId="363" priority="296" operator="lessThan">
      <formula>0</formula>
    </cfRule>
  </conditionalFormatting>
  <conditionalFormatting sqref="M17">
    <cfRule type="cellIs" dxfId="362" priority="295" operator="lessThan">
      <formula>0</formula>
    </cfRule>
  </conditionalFormatting>
  <conditionalFormatting sqref="K18">
    <cfRule type="cellIs" dxfId="361" priority="294" operator="lessThan">
      <formula>0</formula>
    </cfRule>
  </conditionalFormatting>
  <conditionalFormatting sqref="O17:O18">
    <cfRule type="cellIs" dxfId="360" priority="293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359" priority="290" operator="lessThan">
      <formula>0</formula>
    </cfRule>
  </conditionalFormatting>
  <conditionalFormatting sqref="AN17:AN18">
    <cfRule type="cellIs" dxfId="358" priority="289" operator="lessThan">
      <formula>0</formula>
    </cfRule>
  </conditionalFormatting>
  <conditionalFormatting sqref="CA18">
    <cfRule type="cellIs" dxfId="357" priority="288" operator="lessThan">
      <formula>0</formula>
    </cfRule>
  </conditionalFormatting>
  <conditionalFormatting sqref="CH17:CH18">
    <cfRule type="cellIs" dxfId="356" priority="287" operator="lessThan">
      <formula>0</formula>
    </cfRule>
  </conditionalFormatting>
  <conditionalFormatting sqref="CY18">
    <cfRule type="cellIs" dxfId="355" priority="286" operator="lessThan">
      <formula>0</formula>
    </cfRule>
  </conditionalFormatting>
  <conditionalFormatting sqref="DB17:DB18">
    <cfRule type="cellIs" dxfId="354" priority="285" operator="lessThan">
      <formula>0</formula>
    </cfRule>
  </conditionalFormatting>
  <conditionalFormatting sqref="DE17:DE18">
    <cfRule type="cellIs" dxfId="353" priority="284" operator="lessThan">
      <formula>0</formula>
    </cfRule>
  </conditionalFormatting>
  <conditionalFormatting sqref="EE17:EG18">
    <cfRule type="cellIs" dxfId="352" priority="283" operator="lessThan">
      <formula>0</formula>
    </cfRule>
  </conditionalFormatting>
  <conditionalFormatting sqref="Z17">
    <cfRule type="cellIs" dxfId="351" priority="282" operator="lessThan">
      <formula>0</formula>
    </cfRule>
  </conditionalFormatting>
  <conditionalFormatting sqref="Z18">
    <cfRule type="cellIs" dxfId="350" priority="281" operator="lessThan">
      <formula>0</formula>
    </cfRule>
  </conditionalFormatting>
  <conditionalFormatting sqref="BB17:BB18">
    <cfRule type="cellIs" dxfId="349" priority="280" operator="lessThan">
      <formula>0</formula>
    </cfRule>
  </conditionalFormatting>
  <conditionalFormatting sqref="AV17:AV18 AX17:AX18 BW18 AT18 AZ17:AZ18">
    <cfRule type="cellIs" dxfId="348" priority="279" operator="lessThan">
      <formula>0</formula>
    </cfRule>
  </conditionalFormatting>
  <conditionalFormatting sqref="X17:X18">
    <cfRule type="cellIs" dxfId="347" priority="278" operator="lessThan">
      <formula>0</formula>
    </cfRule>
  </conditionalFormatting>
  <conditionalFormatting sqref="DW17:DW18 DY17:DY18 EA17:EA18">
    <cfRule type="cellIs" dxfId="346" priority="277" operator="lessThan">
      <formula>0</formula>
    </cfRule>
  </conditionalFormatting>
  <conditionalFormatting sqref="EA17:EA18">
    <cfRule type="cellIs" dxfId="345" priority="276" operator="lessThan">
      <formula>0</formula>
    </cfRule>
  </conditionalFormatting>
  <conditionalFormatting sqref="EC17">
    <cfRule type="cellIs" dxfId="344" priority="275" operator="lessThan">
      <formula>0</formula>
    </cfRule>
  </conditionalFormatting>
  <conditionalFormatting sqref="EC17">
    <cfRule type="cellIs" dxfId="343" priority="274" operator="lessThan">
      <formula>0</formula>
    </cfRule>
  </conditionalFormatting>
  <conditionalFormatting sqref="EC17">
    <cfRule type="cellIs" dxfId="342" priority="273" operator="lessThan">
      <formula>0</formula>
    </cfRule>
  </conditionalFormatting>
  <conditionalFormatting sqref="EC18">
    <cfRule type="cellIs" dxfId="341" priority="272" operator="lessThan">
      <formula>0</formula>
    </cfRule>
  </conditionalFormatting>
  <conditionalFormatting sqref="EC18">
    <cfRule type="cellIs" dxfId="340" priority="271" operator="lessThan">
      <formula>0</formula>
    </cfRule>
  </conditionalFormatting>
  <conditionalFormatting sqref="EC18">
    <cfRule type="cellIs" dxfId="339" priority="270" operator="lessThan">
      <formula>0</formula>
    </cfRule>
  </conditionalFormatting>
  <conditionalFormatting sqref="AK17:AK18">
    <cfRule type="cellIs" dxfId="338" priority="269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337" priority="268" operator="lessThan">
      <formula>0</formula>
    </cfRule>
  </conditionalFormatting>
  <conditionalFormatting sqref="DA17:DA18">
    <cfRule type="cellIs" dxfId="336" priority="267" operator="lessThan">
      <formula>0</formula>
    </cfRule>
  </conditionalFormatting>
  <conditionalFormatting sqref="DV17:DV18">
    <cfRule type="cellIs" dxfId="335" priority="266" operator="lessThan">
      <formula>0</formula>
    </cfRule>
  </conditionalFormatting>
  <conditionalFormatting sqref="DG17:DG18">
    <cfRule type="cellIs" dxfId="334" priority="265" operator="lessThan">
      <formula>0</formula>
    </cfRule>
  </conditionalFormatting>
  <conditionalFormatting sqref="DJ17:DJ18">
    <cfRule type="cellIs" dxfId="333" priority="264" operator="lessThan">
      <formula>0</formula>
    </cfRule>
  </conditionalFormatting>
  <conditionalFormatting sqref="DM17:DM18">
    <cfRule type="cellIs" dxfId="332" priority="263" operator="lessThan">
      <formula>0</formula>
    </cfRule>
  </conditionalFormatting>
  <conditionalFormatting sqref="DP17:DP18">
    <cfRule type="cellIs" dxfId="331" priority="262" operator="lessThan">
      <formula>0</formula>
    </cfRule>
  </conditionalFormatting>
  <conditionalFormatting sqref="DS17:DS18">
    <cfRule type="cellIs" dxfId="330" priority="261" operator="lessThan">
      <formula>0</formula>
    </cfRule>
  </conditionalFormatting>
  <conditionalFormatting sqref="DZ17:DZ18">
    <cfRule type="cellIs" dxfId="329" priority="260" operator="lessThan">
      <formula>0</formula>
    </cfRule>
  </conditionalFormatting>
  <conditionalFormatting sqref="EB17:EB18">
    <cfRule type="cellIs" dxfId="328" priority="259" operator="lessThan">
      <formula>0</formula>
    </cfRule>
  </conditionalFormatting>
  <conditionalFormatting sqref="ED17:ED18">
    <cfRule type="cellIs" dxfId="327" priority="258" operator="lessThan">
      <formula>0</formula>
    </cfRule>
  </conditionalFormatting>
  <conditionalFormatting sqref="BO17:BO18">
    <cfRule type="cellIs" dxfId="326" priority="257" operator="lessThan">
      <formula>0</formula>
    </cfRule>
  </conditionalFormatting>
  <conditionalFormatting sqref="BQ17:BQ18">
    <cfRule type="cellIs" dxfId="325" priority="256" operator="lessThan">
      <formula>0</formula>
    </cfRule>
  </conditionalFormatting>
  <conditionalFormatting sqref="BT17:BV18">
    <cfRule type="cellIs" dxfId="324" priority="255" operator="lessThan">
      <formula>0</formula>
    </cfRule>
  </conditionalFormatting>
  <conditionalFormatting sqref="BS17:BS18">
    <cfRule type="cellIs" dxfId="323" priority="254" operator="lessThan">
      <formula>0</formula>
    </cfRule>
  </conditionalFormatting>
  <conditionalFormatting sqref="BX17:BX18">
    <cfRule type="cellIs" dxfId="322" priority="253" operator="lessThan">
      <formula>0</formula>
    </cfRule>
  </conditionalFormatting>
  <conditionalFormatting sqref="BZ17:BZ18">
    <cfRule type="cellIs" dxfId="321" priority="252" operator="lessThan">
      <formula>0</formula>
    </cfRule>
  </conditionalFormatting>
  <conditionalFormatting sqref="CB17:CB18">
    <cfRule type="cellIs" dxfId="320" priority="251" operator="lessThan">
      <formula>0</formula>
    </cfRule>
  </conditionalFormatting>
  <conditionalFormatting sqref="CC17:CC18">
    <cfRule type="cellIs" dxfId="319" priority="250" operator="lessThan">
      <formula>0</formula>
    </cfRule>
  </conditionalFormatting>
  <conditionalFormatting sqref="CG17:CG18">
    <cfRule type="cellIs" dxfId="318" priority="249" operator="lessThan">
      <formula>0</formula>
    </cfRule>
  </conditionalFormatting>
  <conditionalFormatting sqref="CI17:CI18">
    <cfRule type="cellIs" dxfId="317" priority="248" operator="lessThan">
      <formula>0</formula>
    </cfRule>
  </conditionalFormatting>
  <conditionalFormatting sqref="BW17">
    <cfRule type="cellIs" dxfId="316" priority="247" operator="lessThan">
      <formula>0</formula>
    </cfRule>
  </conditionalFormatting>
  <conditionalFormatting sqref="AT17">
    <cfRule type="cellIs" dxfId="315" priority="246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314" priority="245" operator="lessThan">
      <formula>0</formula>
    </cfRule>
  </conditionalFormatting>
  <conditionalFormatting sqref="AH19">
    <cfRule type="cellIs" dxfId="313" priority="244" operator="lessThan">
      <formula>0</formula>
    </cfRule>
  </conditionalFormatting>
  <conditionalFormatting sqref="EE19:EG19">
    <cfRule type="cellIs" dxfId="312" priority="243" operator="lessThan">
      <formula>0</formula>
    </cfRule>
  </conditionalFormatting>
  <conditionalFormatting sqref="AD19">
    <cfRule type="cellIs" dxfId="311" priority="242" operator="lessThan">
      <formula>0</formula>
    </cfRule>
  </conditionalFormatting>
  <conditionalFormatting sqref="BB19">
    <cfRule type="cellIs" dxfId="310" priority="241" operator="lessThan">
      <formula>0</formula>
    </cfRule>
  </conditionalFormatting>
  <conditionalFormatting sqref="BD19">
    <cfRule type="cellIs" dxfId="309" priority="240" operator="lessThan">
      <formula>0</formula>
    </cfRule>
  </conditionalFormatting>
  <conditionalFormatting sqref="BF19">
    <cfRule type="cellIs" dxfId="308" priority="239" operator="lessThan">
      <formula>0</formula>
    </cfRule>
  </conditionalFormatting>
  <conditionalFormatting sqref="AV19 AX19 BW19 AT19 AZ19">
    <cfRule type="cellIs" dxfId="307" priority="238" operator="lessThan">
      <formula>0</formula>
    </cfRule>
  </conditionalFormatting>
  <conditionalFormatting sqref="X19">
    <cfRule type="cellIs" dxfId="306" priority="237" operator="lessThan">
      <formula>0</formula>
    </cfRule>
  </conditionalFormatting>
  <conditionalFormatting sqref="DW19 DY19 EA19">
    <cfRule type="cellIs" dxfId="305" priority="236" operator="lessThan">
      <formula>0</formula>
    </cfRule>
  </conditionalFormatting>
  <conditionalFormatting sqref="EA19">
    <cfRule type="cellIs" dxfId="304" priority="235" operator="lessThan">
      <formula>0</formula>
    </cfRule>
  </conditionalFormatting>
  <conditionalFormatting sqref="EC19">
    <cfRule type="cellIs" dxfId="303" priority="234" operator="lessThan">
      <formula>0</formula>
    </cfRule>
  </conditionalFormatting>
  <conditionalFormatting sqref="EC19">
    <cfRule type="cellIs" dxfId="302" priority="233" operator="lessThan">
      <formula>0</formula>
    </cfRule>
  </conditionalFormatting>
  <conditionalFormatting sqref="EC19">
    <cfRule type="cellIs" dxfId="301" priority="232" operator="lessThan">
      <formula>0</formula>
    </cfRule>
  </conditionalFormatting>
  <conditionalFormatting sqref="AK19">
    <cfRule type="cellIs" dxfId="300" priority="231" operator="lessThan">
      <formula>0</formula>
    </cfRule>
  </conditionalFormatting>
  <conditionalFormatting sqref="CQ19:CR19 DL19 DI19 DC19:DD19 AE19 CN19:CO19 CT19:CU19 CZ19 CW19:CX19 CE19 DO19 DR19 DU19 CJ19:CK19 BM19 AM19 DF19">
    <cfRule type="cellIs" dxfId="299" priority="230" operator="lessThan">
      <formula>0</formula>
    </cfRule>
  </conditionalFormatting>
  <conditionalFormatting sqref="DA19">
    <cfRule type="cellIs" dxfId="298" priority="229" operator="lessThan">
      <formula>0</formula>
    </cfRule>
  </conditionalFormatting>
  <conditionalFormatting sqref="DV19">
    <cfRule type="cellIs" dxfId="297" priority="228" operator="lessThan">
      <formula>0</formula>
    </cfRule>
  </conditionalFormatting>
  <conditionalFormatting sqref="DG19">
    <cfRule type="cellIs" dxfId="296" priority="227" operator="lessThan">
      <formula>0</formula>
    </cfRule>
  </conditionalFormatting>
  <conditionalFormatting sqref="DJ19">
    <cfRule type="cellIs" dxfId="295" priority="226" operator="lessThan">
      <formula>0</formula>
    </cfRule>
  </conditionalFormatting>
  <conditionalFormatting sqref="DM19">
    <cfRule type="cellIs" dxfId="294" priority="225" operator="lessThan">
      <formula>0</formula>
    </cfRule>
  </conditionalFormatting>
  <conditionalFormatting sqref="DP19">
    <cfRule type="cellIs" dxfId="293" priority="224" operator="lessThan">
      <formula>0</formula>
    </cfRule>
  </conditionalFormatting>
  <conditionalFormatting sqref="DS19">
    <cfRule type="cellIs" dxfId="292" priority="223" operator="lessThan">
      <formula>0</formula>
    </cfRule>
  </conditionalFormatting>
  <conditionalFormatting sqref="DZ19">
    <cfRule type="cellIs" dxfId="291" priority="222" operator="lessThan">
      <formula>0</formula>
    </cfRule>
  </conditionalFormatting>
  <conditionalFormatting sqref="EB19">
    <cfRule type="cellIs" dxfId="290" priority="221" operator="lessThan">
      <formula>0</formula>
    </cfRule>
  </conditionalFormatting>
  <conditionalFormatting sqref="ED19">
    <cfRule type="cellIs" dxfId="289" priority="220" operator="lessThan">
      <formula>0</formula>
    </cfRule>
  </conditionalFormatting>
  <conditionalFormatting sqref="BO19">
    <cfRule type="cellIs" dxfId="288" priority="219" operator="lessThan">
      <formula>0</formula>
    </cfRule>
  </conditionalFormatting>
  <conditionalFormatting sqref="BQ19">
    <cfRule type="cellIs" dxfId="287" priority="218" operator="lessThan">
      <formula>0</formula>
    </cfRule>
  </conditionalFormatting>
  <conditionalFormatting sqref="BT19:BV19">
    <cfRule type="cellIs" dxfId="286" priority="217" operator="lessThan">
      <formula>0</formula>
    </cfRule>
  </conditionalFormatting>
  <conditionalFormatting sqref="BS19">
    <cfRule type="cellIs" dxfId="285" priority="216" operator="lessThan">
      <formula>0</formula>
    </cfRule>
  </conditionalFormatting>
  <conditionalFormatting sqref="BX19">
    <cfRule type="cellIs" dxfId="284" priority="215" operator="lessThan">
      <formula>0</formula>
    </cfRule>
  </conditionalFormatting>
  <conditionalFormatting sqref="BZ19">
    <cfRule type="cellIs" dxfId="283" priority="214" operator="lessThan">
      <formula>0</formula>
    </cfRule>
  </conditionalFormatting>
  <conditionalFormatting sqref="CB19">
    <cfRule type="cellIs" dxfId="282" priority="213" operator="lessThan">
      <formula>0</formula>
    </cfRule>
  </conditionalFormatting>
  <conditionalFormatting sqref="CC19">
    <cfRule type="cellIs" dxfId="281" priority="212" operator="lessThan">
      <formula>0</formula>
    </cfRule>
  </conditionalFormatting>
  <conditionalFormatting sqref="CG19">
    <cfRule type="cellIs" dxfId="280" priority="211" operator="lessThan">
      <formula>0</formula>
    </cfRule>
  </conditionalFormatting>
  <conditionalFormatting sqref="CI19">
    <cfRule type="cellIs" dxfId="279" priority="210" operator="lessThan">
      <formula>0</formula>
    </cfRule>
  </conditionalFormatting>
  <conditionalFormatting sqref="G19:H19 B19 D19 R19">
    <cfRule type="cellIs" dxfId="278" priority="209" operator="lessThan">
      <formula>0</formula>
    </cfRule>
  </conditionalFormatting>
  <conditionalFormatting sqref="I19">
    <cfRule type="cellIs" dxfId="277" priority="208" operator="lessThan">
      <formula>0</formula>
    </cfRule>
  </conditionalFormatting>
  <conditionalFormatting sqref="S19">
    <cfRule type="cellIs" dxfId="276" priority="207" operator="lessThan">
      <formula>0</formula>
    </cfRule>
  </conditionalFormatting>
  <conditionalFormatting sqref="Q19">
    <cfRule type="cellIs" dxfId="275" priority="206" operator="lessThan">
      <formula>0</formula>
    </cfRule>
  </conditionalFormatting>
  <conditionalFormatting sqref="L19">
    <cfRule type="cellIs" dxfId="274" priority="205" operator="lessThan">
      <formula>0</formula>
    </cfRule>
  </conditionalFormatting>
  <conditionalFormatting sqref="R19">
    <cfRule type="cellIs" dxfId="273" priority="204" operator="lessThan">
      <formula>0</formula>
    </cfRule>
  </conditionalFormatting>
  <conditionalFormatting sqref="C19 E19">
    <cfRule type="cellIs" dxfId="272" priority="203" operator="lessThan">
      <formula>0</formula>
    </cfRule>
  </conditionalFormatting>
  <conditionalFormatting sqref="F19">
    <cfRule type="cellIs" dxfId="271" priority="202" operator="lessThan">
      <formula>0</formula>
    </cfRule>
  </conditionalFormatting>
  <conditionalFormatting sqref="J19">
    <cfRule type="cellIs" dxfId="270" priority="201" operator="lessThan">
      <formula>0</formula>
    </cfRule>
  </conditionalFormatting>
  <conditionalFormatting sqref="N19">
    <cfRule type="cellIs" dxfId="269" priority="200" operator="lessThan">
      <formula>0</formula>
    </cfRule>
  </conditionalFormatting>
  <conditionalFormatting sqref="P19">
    <cfRule type="cellIs" dxfId="268" priority="199" operator="lessThan">
      <formula>0</formula>
    </cfRule>
  </conditionalFormatting>
  <conditionalFormatting sqref="T19">
    <cfRule type="cellIs" dxfId="267" priority="198" operator="lessThan">
      <formula>0</formula>
    </cfRule>
  </conditionalFormatting>
  <conditionalFormatting sqref="T19">
    <cfRule type="cellIs" dxfId="266" priority="197" operator="lessThan">
      <formula>0</formula>
    </cfRule>
  </conditionalFormatting>
  <conditionalFormatting sqref="K19">
    <cfRule type="cellIs" dxfId="265" priority="196" operator="lessThan">
      <formula>0</formula>
    </cfRule>
  </conditionalFormatting>
  <conditionalFormatting sqref="M19">
    <cfRule type="cellIs" dxfId="264" priority="195" operator="lessThan">
      <formula>0</formula>
    </cfRule>
  </conditionalFormatting>
  <conditionalFormatting sqref="O19">
    <cfRule type="cellIs" dxfId="263" priority="194" operator="lessThan">
      <formula>0</formula>
    </cfRule>
  </conditionalFormatting>
  <conditionalFormatting sqref="U20:U21 G20:H21 W20:W21 B20:B21 D20:D21 R20:S21">
    <cfRule type="cellIs" dxfId="262" priority="193" operator="lessThan">
      <formula>0</formula>
    </cfRule>
  </conditionalFormatting>
  <conditionalFormatting sqref="Q20">
    <cfRule type="cellIs" dxfId="261" priority="192" operator="lessThan">
      <formula>0</formula>
    </cfRule>
  </conditionalFormatting>
  <conditionalFormatting sqref="L20:L21">
    <cfRule type="cellIs" dxfId="260" priority="191" operator="lessThan">
      <formula>0</formula>
    </cfRule>
  </conditionalFormatting>
  <conditionalFormatting sqref="R20:R21">
    <cfRule type="cellIs" dxfId="259" priority="190" operator="lessThan">
      <formula>0</formula>
    </cfRule>
  </conditionalFormatting>
  <conditionalFormatting sqref="C20:C21 E20:E21">
    <cfRule type="cellIs" dxfId="258" priority="188" operator="lessThan">
      <formula>0</formula>
    </cfRule>
  </conditionalFormatting>
  <conditionalFormatting sqref="F20:F21">
    <cfRule type="cellIs" dxfId="257" priority="187" operator="lessThan">
      <formula>0</formula>
    </cfRule>
  </conditionalFormatting>
  <conditionalFormatting sqref="J20:J21">
    <cfRule type="cellIs" dxfId="256" priority="186" operator="lessThan">
      <formula>0</formula>
    </cfRule>
  </conditionalFormatting>
  <conditionalFormatting sqref="N20:N21">
    <cfRule type="cellIs" dxfId="255" priority="185" operator="lessThan">
      <formula>0</formula>
    </cfRule>
  </conditionalFormatting>
  <conditionalFormatting sqref="P20:P21">
    <cfRule type="cellIs" dxfId="254" priority="184" operator="lessThan">
      <formula>0</formula>
    </cfRule>
  </conditionalFormatting>
  <conditionalFormatting sqref="T20:T21">
    <cfRule type="cellIs" dxfId="253" priority="183" operator="lessThan">
      <formula>0</formula>
    </cfRule>
  </conditionalFormatting>
  <conditionalFormatting sqref="T20:T21">
    <cfRule type="cellIs" dxfId="252" priority="182" operator="lessThan">
      <formula>0</formula>
    </cfRule>
  </conditionalFormatting>
  <conditionalFormatting sqref="Q21">
    <cfRule type="cellIs" dxfId="251" priority="181" operator="lessThan">
      <formula>0</formula>
    </cfRule>
  </conditionalFormatting>
  <conditionalFormatting sqref="V20:V21">
    <cfRule type="cellIs" dxfId="250" priority="180" operator="lessThan">
      <formula>0</formula>
    </cfRule>
  </conditionalFormatting>
  <conditionalFormatting sqref="V20:V21">
    <cfRule type="cellIs" dxfId="249" priority="179" operator="lessThan">
      <formula>0</formula>
    </cfRule>
  </conditionalFormatting>
  <conditionalFormatting sqref="I20">
    <cfRule type="cellIs" dxfId="248" priority="178" operator="lessThan">
      <formula>0</formula>
    </cfRule>
  </conditionalFormatting>
  <conditionalFormatting sqref="I21">
    <cfRule type="cellIs" dxfId="247" priority="177" operator="lessThan">
      <formula>0</formula>
    </cfRule>
  </conditionalFormatting>
  <conditionalFormatting sqref="K20">
    <cfRule type="cellIs" dxfId="246" priority="176" operator="lessThan">
      <formula>0</formula>
    </cfRule>
  </conditionalFormatting>
  <conditionalFormatting sqref="K21">
    <cfRule type="cellIs" dxfId="245" priority="175" operator="lessThan">
      <formula>0</formula>
    </cfRule>
  </conditionalFormatting>
  <conditionalFormatting sqref="M20">
    <cfRule type="cellIs" dxfId="244" priority="174" operator="lessThan">
      <formula>0</formula>
    </cfRule>
  </conditionalFormatting>
  <conditionalFormatting sqref="M21">
    <cfRule type="cellIs" dxfId="243" priority="173" operator="lessThan">
      <formula>0</formula>
    </cfRule>
  </conditionalFormatting>
  <conditionalFormatting sqref="O20">
    <cfRule type="cellIs" dxfId="242" priority="172" operator="lessThan">
      <formula>0</formula>
    </cfRule>
  </conditionalFormatting>
  <conditionalFormatting sqref="O21">
    <cfRule type="cellIs" dxfId="241" priority="171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240" priority="170" operator="lessThan">
      <formula>0</formula>
    </cfRule>
  </conditionalFormatting>
  <conditionalFormatting sqref="EE20:EG21">
    <cfRule type="cellIs" dxfId="239" priority="169" operator="lessThan">
      <formula>0</formula>
    </cfRule>
  </conditionalFormatting>
  <conditionalFormatting sqref="AV20">
    <cfRule type="cellIs" dxfId="238" priority="168" operator="lessThan">
      <formula>0</formula>
    </cfRule>
  </conditionalFormatting>
  <conditionalFormatting sqref="DN20 DQ20 DT20">
    <cfRule type="cellIs" dxfId="237" priority="167" operator="lessThan">
      <formula>0</formula>
    </cfRule>
  </conditionalFormatting>
  <conditionalFormatting sqref="AD20">
    <cfRule type="cellIs" dxfId="236" priority="166" operator="lessThan">
      <formula>0</formula>
    </cfRule>
  </conditionalFormatting>
  <conditionalFormatting sqref="AX20">
    <cfRule type="cellIs" dxfId="235" priority="165" operator="lessThan">
      <formula>0</formula>
    </cfRule>
  </conditionalFormatting>
  <conditionalFormatting sqref="BD20">
    <cfRule type="cellIs" dxfId="234" priority="164" operator="lessThan">
      <formula>0</formula>
    </cfRule>
  </conditionalFormatting>
  <conditionalFormatting sqref="BF20">
    <cfRule type="cellIs" dxfId="233" priority="163" operator="lessThan">
      <formula>0</formula>
    </cfRule>
  </conditionalFormatting>
  <conditionalFormatting sqref="AR21 BB21">
    <cfRule type="cellIs" dxfId="232" priority="162" operator="lessThan">
      <formula>0</formula>
    </cfRule>
  </conditionalFormatting>
  <conditionalFormatting sqref="AV21">
    <cfRule type="cellIs" dxfId="231" priority="161" operator="lessThan">
      <formula>0</formula>
    </cfRule>
  </conditionalFormatting>
  <conditionalFormatting sqref="AX21">
    <cfRule type="cellIs" dxfId="230" priority="160" operator="lessThan">
      <formula>0</formula>
    </cfRule>
  </conditionalFormatting>
  <conditionalFormatting sqref="BD21">
    <cfRule type="cellIs" dxfId="229" priority="159" operator="lessThan">
      <formula>0</formula>
    </cfRule>
  </conditionalFormatting>
  <conditionalFormatting sqref="BF21">
    <cfRule type="cellIs" dxfId="228" priority="158" operator="lessThan">
      <formula>0</formula>
    </cfRule>
  </conditionalFormatting>
  <conditionalFormatting sqref="AT20:AT21">
    <cfRule type="cellIs" dxfId="227" priority="157" operator="lessThan">
      <formula>0</formula>
    </cfRule>
  </conditionalFormatting>
  <conditionalFormatting sqref="DW20 DY20 EA20">
    <cfRule type="cellIs" dxfId="226" priority="156" operator="lessThan">
      <formula>0</formula>
    </cfRule>
  </conditionalFormatting>
  <conditionalFormatting sqref="EA20">
    <cfRule type="cellIs" dxfId="225" priority="155" operator="lessThan">
      <formula>0</formula>
    </cfRule>
  </conditionalFormatting>
  <conditionalFormatting sqref="EC20">
    <cfRule type="cellIs" dxfId="224" priority="154" operator="lessThan">
      <formula>0</formula>
    </cfRule>
  </conditionalFormatting>
  <conditionalFormatting sqref="EC20">
    <cfRule type="cellIs" dxfId="223" priority="153" operator="lessThan">
      <formula>0</formula>
    </cfRule>
  </conditionalFormatting>
  <conditionalFormatting sqref="EC20">
    <cfRule type="cellIs" dxfId="222" priority="152" operator="lessThan">
      <formula>0</formula>
    </cfRule>
  </conditionalFormatting>
  <conditionalFormatting sqref="AK20:AK21">
    <cfRule type="cellIs" dxfId="221" priority="151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220" priority="150" operator="lessThan">
      <formula>0</formula>
    </cfRule>
  </conditionalFormatting>
  <conditionalFormatting sqref="DA20:DA21">
    <cfRule type="cellIs" dxfId="219" priority="149" operator="lessThan">
      <formula>0</formula>
    </cfRule>
  </conditionalFormatting>
  <conditionalFormatting sqref="DV20:DV21">
    <cfRule type="cellIs" dxfId="218" priority="148" operator="lessThan">
      <formula>0</formula>
    </cfRule>
  </conditionalFormatting>
  <conditionalFormatting sqref="DG20:DG21">
    <cfRule type="cellIs" dxfId="217" priority="147" operator="lessThan">
      <formula>0</formula>
    </cfRule>
  </conditionalFormatting>
  <conditionalFormatting sqref="DJ20:DJ21">
    <cfRule type="cellIs" dxfId="216" priority="146" operator="lessThan">
      <formula>0</formula>
    </cfRule>
  </conditionalFormatting>
  <conditionalFormatting sqref="DM20:DM21">
    <cfRule type="cellIs" dxfId="215" priority="145" operator="lessThan">
      <formula>0</formula>
    </cfRule>
  </conditionalFormatting>
  <conditionalFormatting sqref="DP20:DP21">
    <cfRule type="cellIs" dxfId="214" priority="144" operator="lessThan">
      <formula>0</formula>
    </cfRule>
  </conditionalFormatting>
  <conditionalFormatting sqref="DS20:DS21">
    <cfRule type="cellIs" dxfId="213" priority="143" operator="lessThan">
      <formula>0</formula>
    </cfRule>
  </conditionalFormatting>
  <conditionalFormatting sqref="DZ20:DZ21">
    <cfRule type="cellIs" dxfId="212" priority="142" operator="lessThan">
      <formula>0</formula>
    </cfRule>
  </conditionalFormatting>
  <conditionalFormatting sqref="EB20:EB21">
    <cfRule type="cellIs" dxfId="211" priority="141" operator="lessThan">
      <formula>0</formula>
    </cfRule>
  </conditionalFormatting>
  <conditionalFormatting sqref="ED20:ED21">
    <cfRule type="cellIs" dxfId="210" priority="140" operator="lessThan">
      <formula>0</formula>
    </cfRule>
  </conditionalFormatting>
  <conditionalFormatting sqref="BO20:BO21">
    <cfRule type="cellIs" dxfId="209" priority="139" operator="lessThan">
      <formula>0</formula>
    </cfRule>
  </conditionalFormatting>
  <conditionalFormatting sqref="BQ20:BQ21">
    <cfRule type="cellIs" dxfId="208" priority="138" operator="lessThan">
      <formula>0</formula>
    </cfRule>
  </conditionalFormatting>
  <conditionalFormatting sqref="BT20:BV21">
    <cfRule type="cellIs" dxfId="207" priority="137" operator="lessThan">
      <formula>0</formula>
    </cfRule>
  </conditionalFormatting>
  <conditionalFormatting sqref="BS20:BS21">
    <cfRule type="cellIs" dxfId="206" priority="136" operator="lessThan">
      <formula>0</formula>
    </cfRule>
  </conditionalFormatting>
  <conditionalFormatting sqref="BX20:BX21">
    <cfRule type="cellIs" dxfId="205" priority="135" operator="lessThan">
      <formula>0</formula>
    </cfRule>
  </conditionalFormatting>
  <conditionalFormatting sqref="BZ20:BZ21">
    <cfRule type="cellIs" dxfId="204" priority="134" operator="lessThan">
      <formula>0</formula>
    </cfRule>
  </conditionalFormatting>
  <conditionalFormatting sqref="CB20:CB21">
    <cfRule type="cellIs" dxfId="203" priority="133" operator="lessThan">
      <formula>0</formula>
    </cfRule>
  </conditionalFormatting>
  <conditionalFormatting sqref="CC20:CC21">
    <cfRule type="cellIs" dxfId="202" priority="132" operator="lessThan">
      <formula>0</formula>
    </cfRule>
  </conditionalFormatting>
  <conditionalFormatting sqref="CG20:CG21">
    <cfRule type="cellIs" dxfId="201" priority="131" operator="lessThan">
      <formula>0</formula>
    </cfRule>
  </conditionalFormatting>
  <conditionalFormatting sqref="CI20:CI21">
    <cfRule type="cellIs" dxfId="200" priority="130" operator="lessThan">
      <formula>0</formula>
    </cfRule>
  </conditionalFormatting>
  <conditionalFormatting sqref="AZ20">
    <cfRule type="cellIs" dxfId="199" priority="129" operator="lessThan">
      <formula>0</formula>
    </cfRule>
  </conditionalFormatting>
  <conditionalFormatting sqref="AZ21">
    <cfRule type="cellIs" dxfId="198" priority="128" operator="lessThan">
      <formula>0</formula>
    </cfRule>
  </conditionalFormatting>
  <conditionalFormatting sqref="X20">
    <cfRule type="cellIs" dxfId="197" priority="127" operator="lessThan">
      <formula>0</formula>
    </cfRule>
  </conditionalFormatting>
  <conditionalFormatting sqref="X21">
    <cfRule type="cellIs" dxfId="196" priority="126" operator="lessThan">
      <formula>0</formula>
    </cfRule>
  </conditionalFormatting>
  <conditionalFormatting sqref="DW21">
    <cfRule type="cellIs" dxfId="195" priority="125" operator="lessThan">
      <formula>0</formula>
    </cfRule>
  </conditionalFormatting>
  <conditionalFormatting sqref="DY21">
    <cfRule type="cellIs" dxfId="194" priority="124" operator="lessThan">
      <formula>0</formula>
    </cfRule>
  </conditionalFormatting>
  <conditionalFormatting sqref="EA21">
    <cfRule type="cellIs" dxfId="193" priority="123" operator="lessThan">
      <formula>0</formula>
    </cfRule>
  </conditionalFormatting>
  <conditionalFormatting sqref="EA21">
    <cfRule type="cellIs" dxfId="192" priority="122" operator="lessThan">
      <formula>0</formula>
    </cfRule>
  </conditionalFormatting>
  <conditionalFormatting sqref="EC21">
    <cfRule type="cellIs" dxfId="191" priority="121" operator="lessThan">
      <formula>0</formula>
    </cfRule>
  </conditionalFormatting>
  <conditionalFormatting sqref="EC21">
    <cfRule type="cellIs" dxfId="190" priority="120" operator="lessThan">
      <formula>0</formula>
    </cfRule>
  </conditionalFormatting>
  <conditionalFormatting sqref="EC21">
    <cfRule type="cellIs" dxfId="189" priority="119" operator="lessThan">
      <formula>0</formula>
    </cfRule>
  </conditionalFormatting>
  <conditionalFormatting sqref="Q22 U22:U23 G22:H22 W22:W23 B22:B23 D22 R22:S23">
    <cfRule type="cellIs" dxfId="188" priority="118" operator="lessThan">
      <formula>0</formula>
    </cfRule>
  </conditionalFormatting>
  <conditionalFormatting sqref="G23:H23 Q23">
    <cfRule type="cellIs" dxfId="187" priority="117" operator="lessThan">
      <formula>0</formula>
    </cfRule>
  </conditionalFormatting>
  <conditionalFormatting sqref="L22:L23">
    <cfRule type="cellIs" dxfId="186" priority="116" operator="lessThan">
      <formula>0</formula>
    </cfRule>
  </conditionalFormatting>
  <conditionalFormatting sqref="R22:R23">
    <cfRule type="cellIs" dxfId="185" priority="115" operator="lessThan">
      <formula>0</formula>
    </cfRule>
  </conditionalFormatting>
  <conditionalFormatting sqref="C22:C23 E22">
    <cfRule type="cellIs" dxfId="184" priority="113" operator="lessThan">
      <formula>0</formula>
    </cfRule>
  </conditionalFormatting>
  <conditionalFormatting sqref="F22:F23">
    <cfRule type="cellIs" dxfId="183" priority="112" operator="lessThan">
      <formula>0</formula>
    </cfRule>
  </conditionalFormatting>
  <conditionalFormatting sqref="J22:J23">
    <cfRule type="cellIs" dxfId="182" priority="111" operator="lessThan">
      <formula>0</formula>
    </cfRule>
  </conditionalFormatting>
  <conditionalFormatting sqref="N22:N23">
    <cfRule type="cellIs" dxfId="181" priority="110" operator="lessThan">
      <formula>0</formula>
    </cfRule>
  </conditionalFormatting>
  <conditionalFormatting sqref="P22:P23">
    <cfRule type="cellIs" dxfId="180" priority="109" operator="lessThan">
      <formula>0</formula>
    </cfRule>
  </conditionalFormatting>
  <conditionalFormatting sqref="T22:T23">
    <cfRule type="cellIs" dxfId="179" priority="108" operator="lessThan">
      <formula>0</formula>
    </cfRule>
  </conditionalFormatting>
  <conditionalFormatting sqref="T22:T23">
    <cfRule type="cellIs" dxfId="178" priority="107" operator="lessThan">
      <formula>0</formula>
    </cfRule>
  </conditionalFormatting>
  <conditionalFormatting sqref="I22">
    <cfRule type="cellIs" dxfId="177" priority="106" operator="lessThan">
      <formula>0</formula>
    </cfRule>
  </conditionalFormatting>
  <conditionalFormatting sqref="K22">
    <cfRule type="cellIs" dxfId="176" priority="105" operator="lessThan">
      <formula>0</formula>
    </cfRule>
  </conditionalFormatting>
  <conditionalFormatting sqref="M22">
    <cfRule type="cellIs" dxfId="175" priority="104" operator="lessThan">
      <formula>0</formula>
    </cfRule>
  </conditionalFormatting>
  <conditionalFormatting sqref="O22">
    <cfRule type="cellIs" dxfId="174" priority="103" operator="lessThan">
      <formula>0</formula>
    </cfRule>
  </conditionalFormatting>
  <conditionalFormatting sqref="I23">
    <cfRule type="cellIs" dxfId="173" priority="102" operator="lessThan">
      <formula>0</formula>
    </cfRule>
  </conditionalFormatting>
  <conditionalFormatting sqref="K23">
    <cfRule type="cellIs" dxfId="172" priority="101" operator="lessThan">
      <formula>0</formula>
    </cfRule>
  </conditionalFormatting>
  <conditionalFormatting sqref="M23">
    <cfRule type="cellIs" dxfId="171" priority="100" operator="lessThan">
      <formula>0</formula>
    </cfRule>
  </conditionalFormatting>
  <conditionalFormatting sqref="O23">
    <cfRule type="cellIs" dxfId="170" priority="99" operator="lessThan">
      <formula>0</formula>
    </cfRule>
  </conditionalFormatting>
  <conditionalFormatting sqref="V22:V24">
    <cfRule type="cellIs" dxfId="169" priority="98" operator="lessThan">
      <formula>0</formula>
    </cfRule>
  </conditionalFormatting>
  <conditionalFormatting sqref="V22:V24">
    <cfRule type="cellIs" dxfId="168" priority="97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167" priority="96" operator="lessThan">
      <formula>0</formula>
    </cfRule>
  </conditionalFormatting>
  <conditionalFormatting sqref="EE22:EG23">
    <cfRule type="cellIs" dxfId="166" priority="95" operator="lessThan">
      <formula>0</formula>
    </cfRule>
  </conditionalFormatting>
  <conditionalFormatting sqref="AN22 AP22">
    <cfRule type="cellIs" dxfId="165" priority="94" operator="lessThan">
      <formula>0</formula>
    </cfRule>
  </conditionalFormatting>
  <conditionalFormatting sqref="AR22">
    <cfRule type="cellIs" dxfId="164" priority="93" operator="lessThan">
      <formula>0</formula>
    </cfRule>
  </conditionalFormatting>
  <conditionalFormatting sqref="AV22">
    <cfRule type="cellIs" dxfId="163" priority="92" operator="lessThan">
      <formula>0</formula>
    </cfRule>
  </conditionalFormatting>
  <conditionalFormatting sqref="AX22:AX23">
    <cfRule type="cellIs" dxfId="162" priority="91" operator="lessThan">
      <formula>0</formula>
    </cfRule>
  </conditionalFormatting>
  <conditionalFormatting sqref="BB22">
    <cfRule type="cellIs" dxfId="161" priority="90" operator="lessThan">
      <formula>0</formula>
    </cfRule>
  </conditionalFormatting>
  <conditionalFormatting sqref="BH22">
    <cfRule type="cellIs" dxfId="160" priority="89" operator="lessThan">
      <formula>0</formula>
    </cfRule>
  </conditionalFormatting>
  <conditionalFormatting sqref="BD22">
    <cfRule type="cellIs" dxfId="159" priority="88" operator="lessThan">
      <formula>0</formula>
    </cfRule>
  </conditionalFormatting>
  <conditionalFormatting sqref="BF22">
    <cfRule type="cellIs" dxfId="158" priority="87" operator="lessThan">
      <formula>0</formula>
    </cfRule>
  </conditionalFormatting>
  <conditionalFormatting sqref="BL23">
    <cfRule type="cellIs" dxfId="157" priority="86" operator="lessThan">
      <formula>0</formula>
    </cfRule>
  </conditionalFormatting>
  <conditionalFormatting sqref="BH23">
    <cfRule type="cellIs" dxfId="156" priority="85" operator="lessThan">
      <formula>0</formula>
    </cfRule>
  </conditionalFormatting>
  <conditionalFormatting sqref="BF23">
    <cfRule type="cellIs" dxfId="155" priority="84" operator="lessThan">
      <formula>0</formula>
    </cfRule>
  </conditionalFormatting>
  <conditionalFormatting sqref="AT22:AT23">
    <cfRule type="cellIs" dxfId="154" priority="83" operator="lessThan">
      <formula>0</formula>
    </cfRule>
  </conditionalFormatting>
  <conditionalFormatting sqref="X22:X23">
    <cfRule type="cellIs" dxfId="153" priority="82" operator="lessThan">
      <formula>0</formula>
    </cfRule>
  </conditionalFormatting>
  <conditionalFormatting sqref="DW22:DW23">
    <cfRule type="cellIs" dxfId="152" priority="81" operator="lessThan">
      <formula>0</formula>
    </cfRule>
  </conditionalFormatting>
  <conditionalFormatting sqref="DY22:DY23">
    <cfRule type="cellIs" dxfId="151" priority="80" operator="lessThan">
      <formula>0</formula>
    </cfRule>
  </conditionalFormatting>
  <conditionalFormatting sqref="EA22:EA23">
    <cfRule type="cellIs" dxfId="150" priority="79" operator="lessThan">
      <formula>0</formula>
    </cfRule>
  </conditionalFormatting>
  <conditionalFormatting sqref="EA22:EA23">
    <cfRule type="cellIs" dxfId="149" priority="78" operator="lessThan">
      <formula>0</formula>
    </cfRule>
  </conditionalFormatting>
  <conditionalFormatting sqref="EC22:EC23">
    <cfRule type="cellIs" dxfId="148" priority="77" operator="lessThan">
      <formula>0</formula>
    </cfRule>
  </conditionalFormatting>
  <conditionalFormatting sqref="EC22:EC23">
    <cfRule type="cellIs" dxfId="147" priority="76" operator="lessThan">
      <formula>0</formula>
    </cfRule>
  </conditionalFormatting>
  <conditionalFormatting sqref="EC22:EC23">
    <cfRule type="cellIs" dxfId="146" priority="75" operator="lessThan">
      <formula>0</formula>
    </cfRule>
  </conditionalFormatting>
  <conditionalFormatting sqref="AK22:AK23">
    <cfRule type="cellIs" dxfId="145" priority="74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144" priority="73" operator="lessThan">
      <formula>0</formula>
    </cfRule>
  </conditionalFormatting>
  <conditionalFormatting sqref="DA22:DA23">
    <cfRule type="cellIs" dxfId="143" priority="72" operator="lessThan">
      <formula>0</formula>
    </cfRule>
  </conditionalFormatting>
  <conditionalFormatting sqref="DV22:DV23">
    <cfRule type="cellIs" dxfId="142" priority="71" operator="lessThan">
      <formula>0</formula>
    </cfRule>
  </conditionalFormatting>
  <conditionalFormatting sqref="DG22:DG23">
    <cfRule type="cellIs" dxfId="141" priority="70" operator="lessThan">
      <formula>0</formula>
    </cfRule>
  </conditionalFormatting>
  <conditionalFormatting sqref="DJ22:DJ23">
    <cfRule type="cellIs" dxfId="140" priority="69" operator="lessThan">
      <formula>0</formula>
    </cfRule>
  </conditionalFormatting>
  <conditionalFormatting sqref="DM22:DM23">
    <cfRule type="cellIs" dxfId="139" priority="68" operator="lessThan">
      <formula>0</formula>
    </cfRule>
  </conditionalFormatting>
  <conditionalFormatting sqref="DP22:DP23">
    <cfRule type="cellIs" dxfId="138" priority="67" operator="lessThan">
      <formula>0</formula>
    </cfRule>
  </conditionalFormatting>
  <conditionalFormatting sqref="DS22:DS23">
    <cfRule type="cellIs" dxfId="137" priority="66" operator="lessThan">
      <formula>0</formula>
    </cfRule>
  </conditionalFormatting>
  <conditionalFormatting sqref="DZ22:DZ23">
    <cfRule type="cellIs" dxfId="136" priority="65" operator="lessThan">
      <formula>0</formula>
    </cfRule>
  </conditionalFormatting>
  <conditionalFormatting sqref="EB22:EB23">
    <cfRule type="cellIs" dxfId="135" priority="64" operator="lessThan">
      <formula>0</formula>
    </cfRule>
  </conditionalFormatting>
  <conditionalFormatting sqref="ED22:ED23">
    <cfRule type="cellIs" dxfId="134" priority="63" operator="lessThan">
      <formula>0</formula>
    </cfRule>
  </conditionalFormatting>
  <conditionalFormatting sqref="BO22:BO23">
    <cfRule type="cellIs" dxfId="133" priority="62" operator="lessThan">
      <formula>0</formula>
    </cfRule>
  </conditionalFormatting>
  <conditionalFormatting sqref="BQ22:BQ23">
    <cfRule type="cellIs" dxfId="132" priority="61" operator="lessThan">
      <formula>0</formula>
    </cfRule>
  </conditionalFormatting>
  <conditionalFormatting sqref="BT22:BV23">
    <cfRule type="cellIs" dxfId="131" priority="60" operator="lessThan">
      <formula>0</formula>
    </cfRule>
  </conditionalFormatting>
  <conditionalFormatting sqref="BS22:BS23">
    <cfRule type="cellIs" dxfId="130" priority="59" operator="lessThan">
      <formula>0</formula>
    </cfRule>
  </conditionalFormatting>
  <conditionalFormatting sqref="BX22:BX23">
    <cfRule type="cellIs" dxfId="129" priority="58" operator="lessThan">
      <formula>0</formula>
    </cfRule>
  </conditionalFormatting>
  <conditionalFormatting sqref="BZ22:BZ23">
    <cfRule type="cellIs" dxfId="128" priority="57" operator="lessThan">
      <formula>0</formula>
    </cfRule>
  </conditionalFormatting>
  <conditionalFormatting sqref="CB22:CB23">
    <cfRule type="cellIs" dxfId="127" priority="56" operator="lessThan">
      <formula>0</formula>
    </cfRule>
  </conditionalFormatting>
  <conditionalFormatting sqref="CC22:CC23">
    <cfRule type="cellIs" dxfId="126" priority="55" operator="lessThan">
      <formula>0</formula>
    </cfRule>
  </conditionalFormatting>
  <conditionalFormatting sqref="CG22:CG23">
    <cfRule type="cellIs" dxfId="125" priority="54" operator="lessThan">
      <formula>0</formula>
    </cfRule>
  </conditionalFormatting>
  <conditionalFormatting sqref="CI22:CI23">
    <cfRule type="cellIs" dxfId="124" priority="53" operator="lessThan">
      <formula>0</formula>
    </cfRule>
  </conditionalFormatting>
  <conditionalFormatting sqref="AZ22">
    <cfRule type="cellIs" dxfId="123" priority="52" operator="lessThan">
      <formula>0</formula>
    </cfRule>
  </conditionalFormatting>
  <conditionalFormatting sqref="AZ23">
    <cfRule type="cellIs" dxfId="122" priority="51" operator="lessThan">
      <formula>0</formula>
    </cfRule>
  </conditionalFormatting>
  <conditionalFormatting sqref="B24 R24">
    <cfRule type="cellIs" dxfId="121" priority="50" operator="lessThan">
      <formula>0</formula>
    </cfRule>
  </conditionalFormatting>
  <conditionalFormatting sqref="S24">
    <cfRule type="cellIs" dxfId="120" priority="49" operator="lessThan">
      <formula>0</formula>
    </cfRule>
  </conditionalFormatting>
  <conditionalFormatting sqref="G24:H24 Q24">
    <cfRule type="cellIs" dxfId="119" priority="48" operator="lessThan">
      <formula>0</formula>
    </cfRule>
  </conditionalFormatting>
  <conditionalFormatting sqref="L24">
    <cfRule type="cellIs" dxfId="118" priority="47" operator="lessThan">
      <formula>0</formula>
    </cfRule>
  </conditionalFormatting>
  <conditionalFormatting sqref="N24">
    <cfRule type="cellIs" dxfId="117" priority="46" operator="lessThan">
      <formula>0</formula>
    </cfRule>
  </conditionalFormatting>
  <conditionalFormatting sqref="R24">
    <cfRule type="cellIs" dxfId="116" priority="45" operator="lessThan">
      <formula>0</formula>
    </cfRule>
  </conditionalFormatting>
  <conditionalFormatting sqref="C24">
    <cfRule type="cellIs" dxfId="115" priority="44" operator="lessThan">
      <formula>0</formula>
    </cfRule>
  </conditionalFormatting>
  <conditionalFormatting sqref="F24">
    <cfRule type="cellIs" dxfId="114" priority="43" operator="lessThan">
      <formula>0</formula>
    </cfRule>
  </conditionalFormatting>
  <conditionalFormatting sqref="J24">
    <cfRule type="cellIs" dxfId="113" priority="42" operator="lessThan">
      <formula>0</formula>
    </cfRule>
  </conditionalFormatting>
  <conditionalFormatting sqref="P24">
    <cfRule type="cellIs" dxfId="112" priority="41" operator="lessThan">
      <formula>0</formula>
    </cfRule>
  </conditionalFormatting>
  <conditionalFormatting sqref="T24">
    <cfRule type="cellIs" dxfId="111" priority="40" operator="lessThan">
      <formula>0</formula>
    </cfRule>
  </conditionalFormatting>
  <conditionalFormatting sqref="T24">
    <cfRule type="cellIs" dxfId="110" priority="39" operator="lessThan">
      <formula>0</formula>
    </cfRule>
  </conditionalFormatting>
  <conditionalFormatting sqref="K24">
    <cfRule type="cellIs" dxfId="109" priority="38" operator="lessThan">
      <formula>0</formula>
    </cfRule>
  </conditionalFormatting>
  <conditionalFormatting sqref="M24">
    <cfRule type="cellIs" dxfId="108" priority="37" operator="lessThan">
      <formula>0</formula>
    </cfRule>
  </conditionalFormatting>
  <conditionalFormatting sqref="O24">
    <cfRule type="cellIs" dxfId="107" priority="36" operator="lessThan">
      <formula>0</formula>
    </cfRule>
  </conditionalFormatting>
  <conditionalFormatting sqref="I24">
    <cfRule type="cellIs" dxfId="106" priority="35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105" priority="34" operator="lessThan">
      <formula>0</formula>
    </cfRule>
  </conditionalFormatting>
  <conditionalFormatting sqref="EA24">
    <cfRule type="cellIs" dxfId="104" priority="33" operator="lessThan">
      <formula>0</formula>
    </cfRule>
  </conditionalFormatting>
  <conditionalFormatting sqref="EE24:EG24">
    <cfRule type="cellIs" dxfId="103" priority="32" operator="lessThan">
      <formula>0</formula>
    </cfRule>
  </conditionalFormatting>
  <conditionalFormatting sqref="X24">
    <cfRule type="cellIs" dxfId="102" priority="31" operator="lessThan">
      <formula>0</formula>
    </cfRule>
  </conditionalFormatting>
  <conditionalFormatting sqref="AT24">
    <cfRule type="cellIs" dxfId="101" priority="30" operator="lessThan">
      <formula>0</formula>
    </cfRule>
  </conditionalFormatting>
  <conditionalFormatting sqref="DY24">
    <cfRule type="cellIs" dxfId="100" priority="29" operator="lessThan">
      <formula>0</formula>
    </cfRule>
  </conditionalFormatting>
  <conditionalFormatting sqref="EC24">
    <cfRule type="cellIs" dxfId="99" priority="28" operator="lessThan">
      <formula>0</formula>
    </cfRule>
  </conditionalFormatting>
  <conditionalFormatting sqref="EC24">
    <cfRule type="cellIs" dxfId="98" priority="27" operator="lessThan">
      <formula>0</formula>
    </cfRule>
  </conditionalFormatting>
  <conditionalFormatting sqref="EC24">
    <cfRule type="cellIs" dxfId="97" priority="26" operator="lessThan">
      <formula>0</formula>
    </cfRule>
  </conditionalFormatting>
  <conditionalFormatting sqref="AK24">
    <cfRule type="cellIs" dxfId="96" priority="25" operator="lessThan">
      <formula>0</formula>
    </cfRule>
  </conditionalFormatting>
  <conditionalFormatting sqref="CQ24:CR24 DL24 DI24 DC24:DD24 AE24 CN24:CO24 CT24:CU24 CZ24 CW24:CX24 CE24 DO24 DR24 DU24 CJ24:CK24 BM24 AM24 DF24">
    <cfRule type="cellIs" dxfId="95" priority="24" operator="lessThan">
      <formula>0</formula>
    </cfRule>
  </conditionalFormatting>
  <conditionalFormatting sqref="DA24">
    <cfRule type="cellIs" dxfId="94" priority="23" operator="lessThan">
      <formula>0</formula>
    </cfRule>
  </conditionalFormatting>
  <conditionalFormatting sqref="DV24">
    <cfRule type="cellIs" dxfId="93" priority="22" operator="lessThan">
      <formula>0</formula>
    </cfRule>
  </conditionalFormatting>
  <conditionalFormatting sqref="DG24">
    <cfRule type="cellIs" dxfId="92" priority="21" operator="lessThan">
      <formula>0</formula>
    </cfRule>
  </conditionalFormatting>
  <conditionalFormatting sqref="DJ24">
    <cfRule type="cellIs" dxfId="91" priority="20" operator="lessThan">
      <formula>0</formula>
    </cfRule>
  </conditionalFormatting>
  <conditionalFormatting sqref="DM24">
    <cfRule type="cellIs" dxfId="90" priority="19" operator="lessThan">
      <formula>0</formula>
    </cfRule>
  </conditionalFormatting>
  <conditionalFormatting sqref="DP24">
    <cfRule type="cellIs" dxfId="89" priority="18" operator="lessThan">
      <formula>0</formula>
    </cfRule>
  </conditionalFormatting>
  <conditionalFormatting sqref="DS24">
    <cfRule type="cellIs" dxfId="88" priority="17" operator="lessThan">
      <formula>0</formula>
    </cfRule>
  </conditionalFormatting>
  <conditionalFormatting sqref="DZ24">
    <cfRule type="cellIs" dxfId="87" priority="16" operator="lessThan">
      <formula>0</formula>
    </cfRule>
  </conditionalFormatting>
  <conditionalFormatting sqref="EB24">
    <cfRule type="cellIs" dxfId="86" priority="15" operator="lessThan">
      <formula>0</formula>
    </cfRule>
  </conditionalFormatting>
  <conditionalFormatting sqref="ED24">
    <cfRule type="cellIs" dxfId="85" priority="14" operator="lessThan">
      <formula>0</formula>
    </cfRule>
  </conditionalFormatting>
  <conditionalFormatting sqref="BO24">
    <cfRule type="cellIs" dxfId="84" priority="13" operator="lessThan">
      <formula>0</formula>
    </cfRule>
  </conditionalFormatting>
  <conditionalFormatting sqref="BQ24">
    <cfRule type="cellIs" dxfId="83" priority="12" operator="lessThan">
      <formula>0</formula>
    </cfRule>
  </conditionalFormatting>
  <conditionalFormatting sqref="BT24:BV24">
    <cfRule type="cellIs" dxfId="82" priority="11" operator="lessThan">
      <formula>0</formula>
    </cfRule>
  </conditionalFormatting>
  <conditionalFormatting sqref="BS24">
    <cfRule type="cellIs" dxfId="81" priority="10" operator="lessThan">
      <formula>0</formula>
    </cfRule>
  </conditionalFormatting>
  <conditionalFormatting sqref="BX24">
    <cfRule type="cellIs" dxfId="80" priority="9" operator="lessThan">
      <formula>0</formula>
    </cfRule>
  </conditionalFormatting>
  <conditionalFormatting sqref="BZ24">
    <cfRule type="cellIs" dxfId="79" priority="8" operator="lessThan">
      <formula>0</formula>
    </cfRule>
  </conditionalFormatting>
  <conditionalFormatting sqref="CB24">
    <cfRule type="cellIs" dxfId="78" priority="7" operator="lessThan">
      <formula>0</formula>
    </cfRule>
  </conditionalFormatting>
  <conditionalFormatting sqref="CC24">
    <cfRule type="cellIs" dxfId="77" priority="6" operator="lessThan">
      <formula>0</formula>
    </cfRule>
  </conditionalFormatting>
  <conditionalFormatting sqref="CG24">
    <cfRule type="cellIs" dxfId="76" priority="5" operator="lessThan">
      <formula>0</formula>
    </cfRule>
  </conditionalFormatting>
  <conditionalFormatting sqref="CI24">
    <cfRule type="cellIs" dxfId="75" priority="4" operator="lessThan">
      <formula>0</formula>
    </cfRule>
  </conditionalFormatting>
  <conditionalFormatting sqref="AZ24">
    <cfRule type="cellIs" dxfId="74" priority="3" operator="lessThan">
      <formula>0</formula>
    </cfRule>
  </conditionalFormatting>
  <conditionalFormatting sqref="D23:D24">
    <cfRule type="cellIs" dxfId="73" priority="2" operator="lessThan">
      <formula>0</formula>
    </cfRule>
  </conditionalFormatting>
  <conditionalFormatting sqref="E23:E2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2021-07-22T06:01:04Z</dcterms:modified>
  <cp:category/>
  <cp:contentStatus/>
</cp:coreProperties>
</file>